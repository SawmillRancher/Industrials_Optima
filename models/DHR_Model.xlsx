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Bull-Base-Bear" sheetId="2" state="visible" r:id="rId4"/>
    <sheet name="DCF" sheetId="3" state="visible" r:id="rId5"/>
    <sheet name="Charts" sheetId="4" state="visible" r:id="rId6"/>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11" authorId="0">
      <text>
        <r>
          <rPr>
            <sz val="10"/>
            <rFont val="Arial"/>
            <family val="2"/>
          </rPr>
          <t xml:space="preserve">Source: 10-K / 10-Q segment note and release segment tables (Biotechnology from Q4-22; 2022 quarters on the Q1-23 recast basis).</t>
        </r>
      </text>
    </comment>
    <comment ref="B13" authorId="0">
      <text>
        <r>
          <rPr>
            <sz val="10"/>
            <rFont val="Arial"/>
            <family val="2"/>
          </rPr>
          <t xml:space="preserve">Source: Danaher earnings releases (Form 8-K Ex. 99.1) — "Sales Growth by Segment, Core Sales Growth by Segment" tables.</t>
        </r>
      </text>
    </comment>
    <comment ref="B19" authorId="0">
      <text>
        <r>
          <rPr>
            <sz val="10"/>
            <rFont val="Arial"/>
            <family val="2"/>
          </rPr>
          <t xml:space="preserve">Source: segment note (amortization, depreciation by segment from 2024; Q4 = FY − 9M where not published).</t>
        </r>
      </text>
    </comment>
    <comment ref="B21" authorId="0">
      <text>
        <r>
          <rPr>
            <sz val="10"/>
            <rFont val="Arial"/>
            <family val="2"/>
          </rPr>
          <t xml:space="preserve">Source: Danaher earnings releases (Form 8-K Ex. 99.1) — Q4-25 segment table (Other Operating Profit Adjustments) and adjusted-EPS footnotes (segment named in each footnote).</t>
        </r>
      </text>
    </comment>
    <comment ref="B65" authorId="0">
      <text>
        <r>
          <rPr>
            <sz val="10"/>
            <rFont val="Arial"/>
            <family val="2"/>
          </rPr>
          <t xml:space="preserve">Source: Masimo Corp. (CIK 0000937556) Forms 10-K / 10-Q via SEC XBRL companyfacts; continuing operations as last reported.</t>
        </r>
      </text>
    </comment>
    <comment ref="B73" authorId="0">
      <text>
        <r>
          <rPr>
            <sz val="10"/>
            <rFont val="Arial"/>
            <family val="2"/>
          </rPr>
          <t xml:space="preserve">Source: Q2-26 10-Q Note 2 (Masimo, closed 10-Jun-2026) and Q2-26 release (acquisition impact on growth: Diagnostics 4.0%).</t>
        </r>
      </text>
    </comment>
    <comment ref="B85" authorId="0">
      <text>
        <r>
          <rPr>
            <sz val="10"/>
            <rFont val="Arial"/>
            <family val="2"/>
          </rPr>
          <t xml:space="preserve">Source: Q2-26 release "Pending SLMP LLC (StatLab) Acquisition" (~$250m 2025 revenue; close expected by end-2026).</t>
        </r>
      </text>
    </comment>
    <comment ref="B122" authorId="0">
      <text>
        <r>
          <rPr>
            <sz val="10"/>
            <rFont val="Arial"/>
            <family val="2"/>
          </rPr>
          <t xml:space="preserve">Source: Danaher earnings releases (Form 8-K Ex. 99.1) — core sales growth (non-GAAP) — total company, as published (hybrid-recast periods use the restated comparative).</t>
        </r>
      </text>
    </comment>
    <comment ref="B140" authorId="0">
      <text>
        <r>
          <rPr>
            <sz val="10"/>
            <rFont val="Arial"/>
            <family val="2"/>
          </rPr>
          <t xml:space="preserve">Source: 10-K / 10-Q segment notes as reported in each period (hybrid recast where restated).</t>
        </r>
      </text>
    </comment>
    <comment ref="B178" authorId="0">
      <text>
        <r>
          <rPr>
            <sz val="10"/>
            <rFont val="Arial"/>
            <family val="2"/>
          </rPr>
          <t xml:space="preserve">Source: Consolidated Statements of Earnings (release / 10-Q / 10-K). Hybrid recast: see the comments on recast periods.</t>
        </r>
      </text>
    </comment>
    <comment ref="B214" authorId="0">
      <text>
        <r>
          <rPr>
            <sz val="10"/>
            <rFont val="Arial"/>
            <family val="2"/>
          </rPr>
          <t xml:space="preserve">Source: releases / 10-Q / 10-K equity note (split-adjusted: 2-for-1 split June 2010).</t>
        </r>
      </text>
    </comment>
    <comment ref="B245" authorId="0">
      <text>
        <r>
          <rPr>
            <sz val="10"/>
            <rFont val="Arial"/>
            <family val="2"/>
          </rPr>
          <t xml:space="preserve">Source: Danaher earnings releases (Form 8-K Ex. 99.1) — Q4-25 release segment table: Adjusted Operating Profit (non-GAAP) for Q4-25, Q4-24, FY25, FY24.</t>
        </r>
      </text>
    </comment>
    <comment ref="B267" authorId="0">
      <text>
        <r>
          <rPr>
            <sz val="10"/>
            <rFont val="Arial"/>
            <family val="2"/>
          </rPr>
          <t xml:space="preserve">Source: Danaher earnings releases (Form 8-K Ex. 99.1) — Reconciliation of Diluted Net EPS to Adjusted Diluted Net EPS (narrative bridges 2006–2013; tables from 2014).</t>
        </r>
      </text>
    </comment>
    <comment ref="B294" authorId="0">
      <text>
        <r>
          <rPr>
            <sz val="10"/>
            <rFont val="Arial"/>
            <family val="2"/>
          </rPr>
          <t xml:space="preserve">Source: Consolidated Statements of Cash Flows (10-K / 10-Q year-to-date; discrete quarters derived; Q4 = FY − 9M).</t>
        </r>
      </text>
    </comment>
    <comment ref="B326" authorId="0">
      <text>
        <r>
          <rPr>
            <sz val="10"/>
            <rFont val="Arial"/>
            <family val="2"/>
          </rPr>
          <t xml:space="preserve">Source: Danaher earnings releases (Form 8-K Ex. 99.1) — free cash flow tables (published from 2018; continuing operations from 2023).</t>
        </r>
      </text>
    </comment>
    <comment ref="B348" authorId="0">
      <text>
        <r>
          <rPr>
            <sz val="10"/>
            <rFont val="Arial"/>
            <family val="2"/>
          </rPr>
          <t xml:space="preserve">Source: Consolidated Balance Sheets (10-K / 10-Q).</t>
        </r>
      </text>
    </comment>
    <comment ref="B397" authorId="0">
      <text>
        <r>
          <rPr>
            <sz val="10"/>
            <rFont val="Arial"/>
            <family val="2"/>
          </rPr>
          <t xml:space="preserve">Source: Q2-26 10-Q Note 2 Acquisitions (Masimo preliminary purchase-price allocation).</t>
        </r>
      </text>
    </comment>
    <comment ref="C178" authorId="0">
      <text>
        <r>
          <rPr>
            <sz val="10"/>
            <rFont val="Arial"/>
            <family val="2"/>
          </rPr>
          <t xml:space="preserve">Hybrid recast basis — recast: prior-year comparatives in the 2007 filing (2006 comparative recast for the power quality business (sold Jul-2007, discontinued ops) and for the new R&amp;D line. As originally reported (2006 10-K): sales 9,596.4, COGS 5,353.0, SG&amp;A 2,741.8 (incl. R&amp;D, no separate line), OP 1,518.0, EBT 1,446.2, net earnings 1,122.0 (all continuing), diluted EPS 3.48, adjusted EPS 3.24; Industrial Technologies 3,119.2 / 485.5. Recast: sales 9,466.1, OP 1,500.2, cont ops 1,109.2 + disc ops 12.8, diluted EPS cont 3.44; adjusted EPS from continuing ops 3.20; IT 2,988.8 / 467.7.) Balance sheet and cash flow as originally reported.</t>
        </r>
      </text>
    </comment>
    <comment ref="C241" authorId="0">
      <text>
        <r>
          <rPr>
            <sz val="10"/>
            <rFont val="Arial"/>
            <family val="2"/>
          </rPr>
          <t xml:space="preserve">Company footnotes (release): After-tax gain on sale of securities acquired in connection with an unsuccessful acquisition bid (First Technology - $14 million pre-tax): -14.0 pretax / -9.1 after tax | Other after-tax (gains) loss on sale of real estate &amp; other non-operational assets: None pretax / -1.7 after tax</t>
        </r>
      </text>
    </comment>
    <comment ref="C247" authorId="0">
      <text>
        <r>
          <rPr>
            <sz val="10"/>
            <rFont val="Arial"/>
            <family val="2"/>
          </rPr>
          <t xml:space="preserve">Danaher published adjusted operating profit for FY24, Q4-24, FY25 and Q4-25 (checked). Before 2015 the other-adjustment detail comes from the adjusted-EPS narrative bridges.</t>
        </r>
      </text>
    </comment>
    <comment ref="C254" authorId="0">
      <text>
        <r>
          <rPr>
            <sz val="10"/>
            <rFont val="Arial"/>
            <family val="2"/>
          </rPr>
          <t xml:space="preserve">Company footnotes (release): After-tax gain on sale of securities acquired in connection with an unsuccessful acquisition bid (First Technology - $14 million pre-tax): -14.0 pretax / -9.1 after tax | Other after-tax (gains) loss on sale of real estate &amp; other non-operational assets: None pretax / -1.7 after tax</t>
        </r>
      </text>
    </comment>
    <comment ref="C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C267" authorId="0">
      <text>
        <r>
          <rPr>
            <sz val="10"/>
            <rFont val="Arial"/>
            <family val="2"/>
          </rPr>
          <t xml:space="preserve">Recast comparative (following year's release). As originally published: $1.62.</t>
        </r>
      </text>
    </comment>
    <comment ref="D241" authorId="0">
      <text>
        <r>
          <rPr>
            <sz val="10"/>
            <rFont val="Arial"/>
            <family val="2"/>
          </rPr>
          <t xml:space="preserve">Company footnotes (release): After-tax gain on indemnity proceeds related to litigation matter ($12.5 million pre-tax): -12.5 pretax / -8.1 after tax | After-tax charges related to the acquisition of Tektronix, for purchased in-process research and development and fair value adjustments to recorded inventory and deferred revenue balances ($68.2 Million pre-tax): 68.2 pretax / 66.0 after tax</t>
        </r>
      </text>
    </comment>
    <comment ref="D254" authorId="0">
      <text>
        <r>
          <rPr>
            <sz val="10"/>
            <rFont val="Arial"/>
            <family val="2"/>
          </rPr>
          <t xml:space="preserve">Company footnotes (release): After-tax gain on indemnity proceeds related to litigation matter ($12.5 million pre-tax): -12.5 pretax / -8.1 after tax | After-tax charges related to the acquisition of Tektronix, for purchased in-process research and development and fair value adjustments to recorded inventory and deferred revenue balances ($68.2 Million pre-tax): 68.2 pretax / 66.0 after tax</t>
        </r>
      </text>
    </comment>
    <comment ref="E241" authorId="0">
      <text>
        <r>
          <rPr>
            <sz val="10"/>
            <rFont val="Arial"/>
            <family val="2"/>
          </rPr>
          <t xml:space="preserve">Company footnotes (release): After-tax charges for purchased in-process research and development and fair value adjustments to recorded inventory and deferred revenue balances related to the acquisition of Tektronix: 59.5 pretax / 44.5 after tax | After-tax charge related to fourth quarter 2008 restructuring actions and related charges ($82.0 million pre-tax).: 82.0 pretax / 61.5 after tax</t>
        </r>
      </text>
    </comment>
    <comment ref="E254" authorId="0">
      <text>
        <r>
          <rPr>
            <sz val="10"/>
            <rFont val="Arial"/>
            <family val="2"/>
          </rPr>
          <t xml:space="preserve">Company footnotes (release): After-tax charges for purchased in-process research and development and fair value adjustments to recorded inventory and deferred revenue balances related to the acquisition of Tektronix: 59.5 pretax / 44.5 after tax | After-tax charge related to fourth quarter 2008 restructuring actions and related charges ($82.0 million pre-tax).: 82.0 pretax / 61.5 after tax</t>
        </r>
      </text>
    </comment>
    <comment ref="F178" authorId="0">
      <text>
        <r>
          <rPr>
            <sz val="10"/>
            <rFont val="Arial"/>
            <family val="2"/>
          </rPr>
          <t xml:space="preserve">Hybrid recast basis — segments recast: prior-year comparatives in the 2010 filing Balance sheet and cash flow as originally reported.</t>
        </r>
      </text>
    </comment>
    <comment ref="F241" authorId="0">
      <text>
        <r>
          <rPr>
            <sz val="10"/>
            <rFont val="Arial"/>
            <family val="2"/>
          </rPr>
          <t xml:space="preserve">Company footnotes (release): Restructuring charges in excess of amounts originally budgeted for the applicable period ("Additional Restructurings"): 190.0 pretax / 144.4 after tax | 2009 transaction costs associated with completed and pending acquisitions ($24m pre-tax) and fair value adjustments to acquisition-related inventory and deferred revenue ($13m pre-tax) ("Acquisition Related Costs"): 37.0 pretax / 31.8 after tax | Gain on intellectual property litigation settlement with Align Technology, Inc. ("Align Settlement Gain"): -85.0 pretax / -53.4 after tax</t>
        </r>
      </text>
    </comment>
    <comment ref="F254" authorId="0">
      <text>
        <r>
          <rPr>
            <sz val="10"/>
            <rFont val="Arial"/>
            <family val="2"/>
          </rPr>
          <t xml:space="preserve">Company footnotes (release): Restructuring charges in excess of amounts originally budgeted for the applicable period ("Additional Restructurings"): 190.0 pretax / 144.4 after tax | 2009 transaction costs associated with completed and pending acquisitions ($24m pre-tax) and fair value adjustments to acquisition-related inventory and deferred revenue ($13m pre-tax) ("Acquisition Related Costs"): 37.0 pretax / 31.8 after tax | Gain on intellectual property litigation settlement with Align Technology, Inc. ("Align Settlement Gain"): -85.0 pretax / -53.4 after tax</t>
        </r>
      </text>
    </comment>
    <comment ref="G178" authorId="0">
      <text>
        <r>
          <rPr>
            <sz val="10"/>
            <rFont val="Arial"/>
            <family val="2"/>
          </rPr>
          <t xml:space="preserve">Hybrid recast basis — recast: prior-year comparatives in the 2011 filing (2010 comparative recast for discontinued operations: Pacific Scientific Aerospace (sold Apr-2011), Accu-Sort (ASI) and Kollmorgen Electro-Optical (KEO) (agreed Nov/Dec-2011, closed Jan/Feb-2012), all formerly Industrial Technologies. As originally reported (Q4-10 release / 2010 10-K): sales 13,202.6, operating profit 2,166.4, net earnings 1,793.0 (no discontinued ops), diluted EPS 2.64, adjusted diluted EPS 2.31, Industrial Technologies sales 3,193.2 / OP 630.1 (recast 2,540.6 / 513.3). Recast: disc-ops sales 652.6, earnings from discontinued operations 74.8; adjusted diluted EPS from continuing ops 2.20. Other segments unchanged.) Balance sheet and cash flow as originally reported.</t>
        </r>
      </text>
    </comment>
    <comment ref="G241" authorId="0">
      <text>
        <r>
          <rPr>
            <sz val="10"/>
            <rFont val="Arial"/>
            <family val="2"/>
          </rPr>
          <t xml:space="preserve">Company footnotes (release): Acquisition-related transaction costs deemed significant ($8m pre-tax) and fair value adjustments to acquisition related inventory and deferred revenue balances ($54m pre-tax) ("Acquisition Related Costs"): 62.0 pretax / 46.4 after tax</t>
        </r>
      </text>
    </comment>
    <comment ref="G254" authorId="0">
      <text>
        <r>
          <rPr>
            <sz val="10"/>
            <rFont val="Arial"/>
            <family val="2"/>
          </rPr>
          <t xml:space="preserve">Company footnotes (release): Acquisition-related transaction costs deemed significant ($8m pre-tax) and fair value adjustments to acquisition related inventory and deferred revenue balances ($54m pre-tax) ("Acquisition Related Costs"): 62.0 pretax / 46.4 after tax</t>
        </r>
      </text>
    </comment>
    <comment ref="G256" authorId="0">
      <text>
        <r>
          <rPr>
            <sz val="10"/>
            <rFont val="Arial"/>
            <family val="2"/>
          </rPr>
          <t xml:space="preserve">Company footnotes (release): Gain on contribution of assets to Apex joint venture ("Joint Venture Gain"): -291.0 pretax / -232.2 after tax</t>
        </r>
      </text>
    </comment>
    <comment ref="G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G267" authorId="0">
      <text>
        <r>
          <rPr>
            <sz val="10"/>
            <rFont val="Arial"/>
            <family val="2"/>
          </rPr>
          <t xml:space="preserve">Recast comparative (following year's release). As originally published: $2.31.</t>
        </r>
      </text>
    </comment>
    <comment ref="H241" authorId="0">
      <text>
        <r>
          <rPr>
            <sz val="10"/>
            <rFont val="Arial"/>
            <family val="2"/>
          </rPr>
          <t xml:space="preserve">Company footnotes (release): Acquisition-related transaction costs deemed significant ($26m pre-tax), fair value adjustments to acquisition related inventory and deferred revenue balances and change-in-control payments to employees of Beckman Coulter ($139m pre-tax) ("Acquisition Related Costs"): 165.0 pretax / 125.5 after tax | Reversal of reserve relating to legal contingency ("Reversal of Legal Contingency Reserve"): -12.0 pretax / -8.9 after tax</t>
        </r>
      </text>
    </comment>
    <comment ref="H254" authorId="0">
      <text>
        <r>
          <rPr>
            <sz val="10"/>
            <rFont val="Arial"/>
            <family val="2"/>
          </rPr>
          <t xml:space="preserve">Company footnotes (release): Acquisition-related transaction costs deemed significant ($26m pre-tax), fair value adjustments to acquisition related inventory and deferred revenue balances and change-in-control payments to employees of Beckman Coulter ($139m pre-tax) ("Acquisition Related Costs"): 165.0 pretax / 125.5 after tax | Reversal of reserve relating to legal contingency ("Reversal of Legal Contingency Reserve"): -12.0 pretax / -8.9 after tax</t>
        </r>
      </text>
    </comment>
    <comment ref="H256" authorId="0">
      <text>
        <r>
          <rPr>
            <sz val="10"/>
            <rFont val="Arial"/>
            <family val="2"/>
          </rPr>
          <t xml:space="preserve">Company footnotes (release): Loss on early extinguishment of debt resulting from "make whole" payments associated with the retirement of certain of the acquired Beckman Coulter debt ("Loss on Early Extinguishment of Debt"): 33.0 pretax / 20.8 after tax</t>
        </r>
      </text>
    </comment>
    <comment ref="J256" authorId="0">
      <text>
        <r>
          <rPr>
            <sz val="10"/>
            <rFont val="Arial"/>
            <family val="2"/>
          </rPr>
          <t xml:space="preserve">Company footnotes (release): Gain on the sale of investment in Apex Tool Group LLC in the first quarter of 2013: -230.0 pretax / -144.0 after tax</t>
        </r>
      </text>
    </comment>
    <comment ref="M241" authorId="0">
      <text>
        <r>
          <rPr>
            <sz val="10"/>
            <rFont val="Arial"/>
            <family val="2"/>
          </rPr>
          <t xml:space="preserve">Company footnotes (release): Impairment of intangible assets associated with a technology investment in the Communications platform (Test &amp; Measurement; within operating costs): 31.0 pretax / 19.0 after tax</t>
        </r>
      </text>
    </comment>
    <comment ref="M254" authorId="0">
      <text>
        <r>
          <rPr>
            <sz val="10"/>
            <rFont val="Arial"/>
            <family val="2"/>
          </rPr>
          <t xml:space="preserve">Company footnotes (release): Impairment of intangible assets associated with a technology investment in the Communications platform (Test &amp; Measurement; within operating costs): 31.0 pretax / 19.0 after tax</t>
        </r>
      </text>
    </comment>
    <comment ref="M256" authorId="0">
      <text>
        <r>
          <rPr>
            <sz val="10"/>
            <rFont val="Arial"/>
            <family val="2"/>
          </rPr>
          <t xml:space="preserve">Company footnotes (release): Gain on sale of shares in Align Technologies, Inc. (sale of ~5m Align shares, Q4-13; IS 'Gain on sale of marketable equity securities' 201.5): -202.0 pretax / -125.0 after tax</t>
        </r>
      </text>
    </comment>
    <comment ref="N241" authorId="0">
      <text>
        <r>
          <rPr>
            <sz val="10"/>
            <rFont val="Arial"/>
            <family val="2"/>
          </rPr>
          <t xml:space="preserve">Company footnotes (release): Impairment of intangible assets associated with a technology investment in the Communications platform (Test &amp; Measurement; within operating costs): 31.0 pretax / 19.0 after tax</t>
        </r>
      </text>
    </comment>
    <comment ref="N254" authorId="0">
      <text>
        <r>
          <rPr>
            <sz val="10"/>
            <rFont val="Arial"/>
            <family val="2"/>
          </rPr>
          <t xml:space="preserve">Company footnotes (release): Impairment of intangible assets associated with a technology investment in the Communications platform (Test &amp; Measurement; within operating costs): 31.0 pretax / 19.0 after tax</t>
        </r>
      </text>
    </comment>
    <comment ref="N256" authorId="0">
      <text>
        <r>
          <rPr>
            <sz val="10"/>
            <rFont val="Arial"/>
            <family val="2"/>
          </rPr>
          <t xml:space="preserve">Company footnotes (release): Gain on the sale of investment in Apex Tool Group LLC in the first quarter of 2013 (IS 'Gain on sale of unconsolidated joint venture' 229.8): -230.0 pretax / -144.0 after tax | Gain on sale of shares in Align Technologies, Inc. (sale of ~5m Align shares, Q4-13; IS 'Gain on sale of marketable equity securities' 201.5): -202.0 pretax / -125.0 after tax</t>
        </r>
      </text>
    </comment>
    <comment ref="Q178" authorId="0">
      <text>
        <r>
          <rPr>
            <sz val="10"/>
            <rFont val="Arial"/>
            <family val="2"/>
          </rPr>
          <t xml:space="preserve">Hybrid recast basis — recast: prior-year comparatives in the Q3-15 filing (Q3-14 comparative recast to remove the Communications business (discontinued operations, split off 14-Jul-2015). As originally reported (Q3-14 release/10-Q): sales 4,870.3, cost of sales 2,304.6, SG&amp;A 1,371.6, R&amp;D 328.3, operating profit 865.8, interest expense 30.5, pretax 877.1, tax 196.5, net earnings 680.6, diluted EPS 0.95; Test &amp; Measurement sales 821.0 / OP 143.8 (recast 657.8 / 144.2). Q3-14 adjusted EPS was not published originally; 0.99 is the recast continuing-ops figure on the 2015 definition (amortization $90m pretax/$69m after-tax added back).) Balance sheet and cash flow as originally reported.</t>
        </r>
      </text>
    </comment>
    <comment ref="R178" authorId="0">
      <text>
        <r>
          <rPr>
            <sz val="10"/>
            <rFont val="Arial"/>
            <family val="2"/>
          </rPr>
          <t xml:space="preserve">Hybrid recast basis — recast: prior-year comparatives in the Q4-15 filing (Q4-14 comparative recast to remove the Communications business (discontinued operations). As originally reported (Q4-14 release): sales 5,417.2, cost of sales 2,613.5, SG&amp;A 1,580.3, R&amp;D 336.1, operating profit 887.3, interest expense 26.5, pretax 964.4, tax 302.7, net earnings 661.7, diluted EPS 0.92, adjusted EPS 1.04 (old definition, no amortization add-back); Test &amp; Measurement sales 913.4 / OP 163.6 (recast 720.4 / 143.2). Recast adjusted EPS 1.12 (continuing ops, amortization $92m pretax added back).) Balance sheet and cash flow as originally reported.</t>
        </r>
      </text>
    </comment>
    <comment ref="R241" authorId="0">
      <text>
        <r>
          <rPr>
            <sz val="10"/>
            <rFont val="Arial"/>
            <family val="2"/>
          </rPr>
          <t xml:space="preserve">Company footnotes (release): Restructuring charges in excess of amounts originally budgeted and publicly communicated in December 2013: 94.0 pretax / 72.0 after tax | Acquisition-related transaction costs deemed significant (Nobel Biocare): 12.0 pretax / 9.0 after tax | Fair value adjustments to acquisition related inventory (Nobel Biocare): 5.0 pretax / 4.0 after tax</t>
        </r>
      </text>
    </comment>
    <comment ref="R254" authorId="0">
      <text>
        <r>
          <rPr>
            <sz val="10"/>
            <rFont val="Arial"/>
            <family val="2"/>
          </rPr>
          <t xml:space="preserve">Company footnotes (release): Restructuring charges in excess of amounts originally budgeted and publicly communicated in December 2013: 94.0 pretax / 72.0 after tax | Acquisition-related transaction costs deemed significant (Nobel Biocare): 12.0 pretax / 9.0 after tax | Fair value adjustments to acquisition related inventory (Nobel Biocare): 5.0 pretax / 4.0 after tax</t>
        </r>
      </text>
    </comment>
    <comment ref="R256" authorId="0">
      <text>
        <r>
          <rPr>
            <sz val="10"/>
            <rFont val="Arial"/>
            <family val="2"/>
          </rPr>
          <t xml:space="preserve">Company footnotes (release): Gain on sale of marketable equity securities: -99.0 pretax / -62.0 after tax</t>
        </r>
      </text>
    </comment>
    <comment ref="R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R267" authorId="0">
      <text>
        <r>
          <rPr>
            <sz val="10"/>
            <rFont val="Arial"/>
            <family val="2"/>
          </rPr>
          <t xml:space="preserve">Recast comparative (following year's release). As originally published: $1.04.</t>
        </r>
      </text>
    </comment>
    <comment ref="S178" authorId="0">
      <text>
        <r>
          <rPr>
            <sz val="10"/>
            <rFont val="Arial"/>
            <family val="2"/>
          </rPr>
          <t xml:space="preserve">Hybrid recast basis — recast: prior-year comparatives in the 2015 filing (2014 comparative recast to remove the Communications business (discontinued operations after the 14-Jul-2015 split-off to NetScout). As originally reported (Q4-14 release / 2014 10-K): sales 19,913.8, cost of sales 9,471.3, SG&amp;A 5,697.0, R&amp;D 1,314.2, operating profit 3,431.3, interest expense 122.7, pretax 3,481.8, tax 883.4, net earnings 2,598.4 (all continuing), diluted EPS 3.63, adjusted EPS 3.68 (old definition, no amortization add-back); Test &amp; Measurement sales 3,461.9 / OP 657.9 (recast 2,702.1 / 573.2). Recast adjusted EPS from continuing ops 3.97 (adds back $352m pretax / $270m after-tax amortization).) Balance sheet and cash flow as originally reported.</t>
        </r>
      </text>
    </comment>
    <comment ref="S241" authorId="0">
      <text>
        <r>
          <rPr>
            <sz val="10"/>
            <rFont val="Arial"/>
            <family val="2"/>
          </rPr>
          <t xml:space="preserve">Company footnotes (release): Restructuring charges in excess of amounts originally budgeted and publicly communicated in December 2013: 94.0 pretax / 72.0 after tax | Acquisition-related transaction costs deemed significant (Nobel Biocare): 12.0 pretax / 9.0 after tax | Fair value adjustments to acquisition related inventory (Nobel Biocare): 5.0 pretax / 4.0 after tax</t>
        </r>
      </text>
    </comment>
    <comment ref="S254" authorId="0">
      <text>
        <r>
          <rPr>
            <sz val="10"/>
            <rFont val="Arial"/>
            <family val="2"/>
          </rPr>
          <t xml:space="preserve">Company footnotes (release): Restructuring charges in excess of amounts originally budgeted and publicly communicated in December 2013: 94.0 pretax / 72.0 after tax | Acquisition-related transaction costs deemed significant (Nobel Biocare): 12.0 pretax / 9.0 after tax | Fair value adjustments to acquisition related inventory (Nobel Biocare): 5.0 pretax / 4.0 after tax</t>
        </r>
      </text>
    </comment>
    <comment ref="S256" authorId="0">
      <text>
        <r>
          <rPr>
            <sz val="10"/>
            <rFont val="Arial"/>
            <family val="2"/>
          </rPr>
          <t xml:space="preserve">Company footnotes (release): Gain on sale of marketable equity securities (within 'Other income'): -123.0 pretax / -77.0 after tax | Gain on sale of electric vehicle systems product line (within 'Other income'): -34.0 pretax / -26.0 after tax</t>
        </r>
      </text>
    </comment>
    <comment ref="S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S267" authorId="0">
      <text>
        <r>
          <rPr>
            <sz val="10"/>
            <rFont val="Arial"/>
            <family val="2"/>
          </rPr>
          <t xml:space="preserve">Recast comparative (following year's release). As originally published: $3.68.</t>
        </r>
      </text>
    </comment>
    <comment ref="T178" authorId="0">
      <text>
        <r>
          <rPr>
            <sz val="10"/>
            <rFont val="Arial"/>
            <family val="2"/>
          </rPr>
          <t xml:space="preserve">Hybrid recast basis — recast: prior-year comparatives in the Q1-16 filing (Q1-15 comparative as presented in the Q1-16 release / 10-Q is recast for the communications business split-off (Jul-2015, discontinued operations). As originally reported (Q1-15 release): sales 4,873.3, operating profit 774.2, net earnings 569.8 (no discontinued operations line), diluted EPS 0.79, adjusted diluted EPS 0.93 (amortization $109m pretax). Recast: sales 4,694.7 / OP 755.1 / continuing ops 558.0 / diluted EPS cont 0.78 / adjusted 0.91. Still includes the businesses later spun off as Fortive (not yet recast for the Jul-2016 spin).) Balance sheet and cash flow as originally reported.</t>
        </r>
      </text>
    </comment>
    <comment ref="T241" authorId="0">
      <text>
        <r>
          <rPr>
            <sz val="10"/>
            <rFont val="Arial"/>
            <family val="2"/>
          </rPr>
          <t xml:space="preserve">Company footnotes (release): Fair value adjustments to Nobel Biocare acquisition-related inventory: 20.0 pretax / 15.0 after tax</t>
        </r>
      </text>
    </comment>
    <comment ref="T254" authorId="0">
      <text>
        <r>
          <rPr>
            <sz val="10"/>
            <rFont val="Arial"/>
            <family val="2"/>
          </rPr>
          <t xml:space="preserve">Company footnotes (release): Fair value adjustments to Nobel Biocare acquisition-related inventory: 20.0 pretax / 15.0 after tax</t>
        </r>
      </text>
    </comment>
    <comment ref="T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T267" authorId="0">
      <text>
        <r>
          <rPr>
            <sz val="10"/>
            <rFont val="Arial"/>
            <family val="2"/>
          </rPr>
          <t xml:space="preserve">Recast comparative (following year's release). As originally published: $0.93.</t>
        </r>
      </text>
    </comment>
    <comment ref="T270" authorId="0">
      <text>
        <r>
          <rPr>
            <sz val="10"/>
            <rFont val="Arial"/>
            <family val="2"/>
          </rPr>
          <t xml:space="preserve">Prior-year comparatives in 2015 releases were restated to the new definition.</t>
        </r>
      </text>
    </comment>
    <comment ref="U178" authorId="0">
      <text>
        <r>
          <rPr>
            <sz val="10"/>
            <rFont val="Arial"/>
            <family val="2"/>
          </rPr>
          <t xml:space="preserve">Hybrid recast basis — recast: prior-year comparatives in the Q2-16 filing (Q2-15 comparative as presented in the Q2-16 release / 10-Q is recast for the communications business split-off (Jul-2015, discontinued operations). As originally reported (Q2-15 release): sales 5,127.1, operating profit 931.1, net earnings 695.6, diluted EPS 0.97, adjusted diluted EPS 1.08. Recast: sales 4,960.2 / OP 934.4 / continuing ops 715.5 / diluted EPS cont 0.99 / adjusted 1.07 (new definition incl. discrete tax items). Still includes Fortive.) Balance sheet and cash flow as originally reported.</t>
        </r>
      </text>
    </comment>
    <comment ref="U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U267" authorId="0">
      <text>
        <r>
          <rPr>
            <sz val="10"/>
            <rFont val="Arial"/>
            <family val="2"/>
          </rPr>
          <t xml:space="preserve">Recast comparative (following year's release). As originally published: $1.08.</t>
        </r>
      </text>
    </comment>
    <comment ref="V178" authorId="0">
      <text>
        <r>
          <rPr>
            <sz val="10"/>
            <rFont val="Arial"/>
            <family val="2"/>
          </rPr>
          <t xml:space="preserve">Hybrid recast basis — recast: prior-year comparatives in the Q3-16 filing (Q3-15 comparative recast for the Fortive spin-off (discontinued operations from Q3-16) and new four-segment structure. As originally reported (Q3-15 release): sales 5,023.4, operating profit 800.8, net earnings from continuing ops 590.0, diluted EPS cont 0.85, adjusted diluted EPS 1.05 (five old segments). Recast: sales 3,512.2 / OP 480.0 / continuing ops 379.9 / EPS cont 0.54 / adjusted 0.71. Q3-15 discontinued operations (1,023.4) include the communications split-off gain and Fortive.) Balance sheet and cash flow as originally reported.</t>
        </r>
      </text>
    </comment>
    <comment ref="V241" authorId="0">
      <text>
        <r>
          <rPr>
            <sz val="10"/>
            <rFont val="Arial"/>
            <family val="2"/>
          </rPr>
          <t xml:space="preserve">Company footnotes (release): Acquisition-related transaction costs deemed significant (Pall): 21.0 pretax / 16.0 after tax | Change in control payments and fair value adjustments to inventory balances (Pall): 47.0 pretax / 36.0 after tax | Costs related to preparation for Danaher's 2016 separation: 9.0 pretax / 7.0 after tax</t>
        </r>
      </text>
    </comment>
    <comment ref="V254" authorId="0">
      <text>
        <r>
          <rPr>
            <sz val="10"/>
            <rFont val="Arial"/>
            <family val="2"/>
          </rPr>
          <t xml:space="preserve">Company footnotes (release): Acquisition-related transaction costs deemed significant (Pall): 21.0 pretax / 16.0 after tax | Change in control payments and fair value adjustments to inventory balances (Pall): 47.0 pretax / 36.0 after tax | Costs related to preparation for Danaher's 2016 separation: 9.0 pretax / 7.0 after tax</t>
        </r>
      </text>
    </comment>
    <comment ref="V256" authorId="0">
      <text>
        <r>
          <rPr>
            <sz val="10"/>
            <rFont val="Arial"/>
            <family val="2"/>
          </rPr>
          <t xml:space="preserve">Company footnotes (release): Gain on sale of marketable securities: -12.0 pretax / -8.0 after tax</t>
        </r>
      </text>
    </comment>
    <comment ref="V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V267" authorId="0">
      <text>
        <r>
          <rPr>
            <sz val="10"/>
            <rFont val="Arial"/>
            <family val="2"/>
          </rPr>
          <t xml:space="preserve">Recast comparative (following year's release). As originally published: $1.05.</t>
        </r>
      </text>
    </comment>
    <comment ref="W178" authorId="0">
      <text>
        <r>
          <rPr>
            <sz val="10"/>
            <rFont val="Arial"/>
            <family val="2"/>
          </rPr>
          <t xml:space="preserve">Hybrid recast basis — recast: prior-year comparatives in the Q4-16 filing (Q4-15 comparative recast for the Fortive spin-off (discontinued operations) and the new four-segment structure. As originally reported (Q4-15 release): sales 5,884.8, operating profit 978.8, net earnings from continuing ops 735.2, diluted EPS cont 1.06, adjusted diluted EPS 1.27. Recast: sales 4,323.0 / OP 651.6 / continuing ops 521.0 / EPS cont 0.75 / adjusted 0.91.) Balance sheet and cash flow as originally reported.</t>
        </r>
      </text>
    </comment>
    <comment ref="W241" authorId="0">
      <text>
        <r>
          <rPr>
            <sz val="10"/>
            <rFont val="Arial"/>
            <family val="2"/>
          </rPr>
          <t xml:space="preserve">Company footnotes (release): Fair value adjustments to inventory and deferred revenue, net of the impact of freezing pension benefits (Pall): 60.0 pretax / 48.0 after tax | Costs related to preparation for Danaher's 2016 separation: 15.0 pretax / 9.0 after tax</t>
        </r>
      </text>
    </comment>
    <comment ref="W254" authorId="0">
      <text>
        <r>
          <rPr>
            <sz val="10"/>
            <rFont val="Arial"/>
            <family val="2"/>
          </rPr>
          <t xml:space="preserve">Company footnotes (release): Fair value adjustments to inventory and deferred revenue, net of the impact of freezing pension benefits (Pall): 60.0 pretax / 48.0 after tax | Costs related to preparation for Danaher's 2016 separation: 15.0 pretax / 9.0 after tax</t>
        </r>
      </text>
    </comment>
    <comment ref="W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W267" authorId="0">
      <text>
        <r>
          <rPr>
            <sz val="10"/>
            <rFont val="Arial"/>
            <family val="2"/>
          </rPr>
          <t xml:space="preserve">Recast comparative (following year's release). As originally published: $1.27.</t>
        </r>
      </text>
    </comment>
    <comment ref="X178" authorId="0">
      <text>
        <r>
          <rPr>
            <sz val="10"/>
            <rFont val="Arial"/>
            <family val="2"/>
          </rPr>
          <t xml:space="preserve">Hybrid recast basis — recast: prior-year comparatives in the 2016 filing (2015 comparative recast for the Fortive spin-off (discontinued operations) and the new four-segment structure. As originally reported (Q4-15 release / 2015 10-K): sales 20,563.1, operating profit 3,469.1, net earnings from continuing ops 2,598.7, diluted EPS cont 3.67, adjusted diluted EPS 4.30 (five old segments). Recast: sales 14,433.7 / OP 2,162.2 / continuing ops 1,746.7 / EPS cont 2.47 / adjusted 2.98.) Balance sheet and cash flow as originally reported.</t>
        </r>
      </text>
    </comment>
    <comment ref="X241" authorId="0">
      <text>
        <r>
          <rPr>
            <sz val="10"/>
            <rFont val="Arial"/>
            <family val="2"/>
          </rPr>
          <t xml:space="preserve">Company footnotes (release): Fair value adjustments to Nobel Biocare acquisition-related inventory: 20.0 pretax / 15.0 after tax | Pall: acquisition-related transaction costs deemed significant, change in control payments, and fair value adjustments to inventory and deferred revenue, net of the impact of freezing pension benefits: 107.0 pretax / 84.0 after tax | Costs related to preparation for Danaher's 2016 separation: 23.0 pretax / 16.0 after tax</t>
        </r>
      </text>
    </comment>
    <comment ref="X254" authorId="0">
      <text>
        <r>
          <rPr>
            <sz val="10"/>
            <rFont val="Arial"/>
            <family val="2"/>
          </rPr>
          <t xml:space="preserve">Company footnotes (release): Fair value adjustments to Nobel Biocare acquisition-related inventory: 20.0 pretax / 15.0 after tax | Pall: acquisition-related transaction costs deemed significant, change in control payments, and fair value adjustments to inventory and deferred revenue, net of the impact of freezing pension benefits: 107.0 pretax / 84.0 after tax | Costs related to preparation for Danaher's 2016 separation: 23.0 pretax / 16.0 after tax</t>
        </r>
      </text>
    </comment>
    <comment ref="X256" authorId="0">
      <text>
        <r>
          <rPr>
            <sz val="10"/>
            <rFont val="Arial"/>
            <family val="2"/>
          </rPr>
          <t xml:space="preserve">Company footnotes (release): Gain on sale of marketable securities: -12.0 pretax / -8.0 after tax</t>
        </r>
      </text>
    </comment>
    <comment ref="X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X267" authorId="0">
      <text>
        <r>
          <rPr>
            <sz val="10"/>
            <rFont val="Arial"/>
            <family val="2"/>
          </rPr>
          <t xml:space="preserve">Recast comparative (following year's release). As originally published: $4.30.</t>
        </r>
      </text>
    </comment>
    <comment ref="Y178" authorId="0">
      <text>
        <r>
          <rPr>
            <sz val="10"/>
            <rFont val="Arial"/>
            <family val="2"/>
          </rPr>
          <t xml:space="preserve">Hybrid recast basis — recast: prior-year comparatives in the Q1-17 filing (Q1-16 comparative recast for the Fortive separation (spun off 2-Jul-2016, presented as discontinued operations). As originally reported in the Q1-16 release (incl. Fortive): sales 5,387.2, operating profit 882.1, net earnings from continuing ops 758.4, diluted EPS 1.09, adjusted diluted EPS 1.08. Recast: 3,924.1 / 613.1 / 585.8 / 0.84 / 0.79. Q1-16 included a $223.4m pretax gain on sale of investments (other income).) Balance sheet and cash flow as originally reported.</t>
        </r>
      </text>
    </comment>
    <comment ref="Y241" authorId="0">
      <text>
        <r>
          <rPr>
            <sz val="10"/>
            <rFont val="Arial"/>
            <family val="2"/>
          </rPr>
          <t xml:space="preserve">Company footnotes (release): Costs related to preparation for Danaher's 2016 separation including professional fees and separation-related income tax costs: 9.0 pretax / 14.0 after tax</t>
        </r>
      </text>
    </comment>
    <comment ref="Y254" authorId="0">
      <text>
        <r>
          <rPr>
            <sz val="10"/>
            <rFont val="Arial"/>
            <family val="2"/>
          </rPr>
          <t xml:space="preserve">Company footnotes (release): Costs related to preparation for Danaher's 2016 separation including professional fees and separation-related income tax costs: 9.0 pretax / 14.0 after tax</t>
        </r>
      </text>
    </comment>
    <comment ref="Y256" authorId="0">
      <text>
        <r>
          <rPr>
            <sz val="10"/>
            <rFont val="Arial"/>
            <family val="2"/>
          </rPr>
          <t xml:space="preserve">Company footnotes (release): Gain on sale of marketable securities: -223.0 pretax / -140.0 after tax</t>
        </r>
      </text>
    </comment>
    <comment ref="Y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Y267" authorId="0">
      <text>
        <r>
          <rPr>
            <sz val="10"/>
            <rFont val="Arial"/>
            <family val="2"/>
          </rPr>
          <t xml:space="preserve">Recast comparative (following year's release). As originally published: $1.08.</t>
        </r>
      </text>
    </comment>
    <comment ref="Z178" authorId="0">
      <text>
        <r>
          <rPr>
            <sz val="10"/>
            <rFont val="Arial"/>
            <family val="2"/>
          </rPr>
          <t xml:space="preserve">Hybrid recast basis — recast: prior-year comparatives in the Q2-17 filing (Q2-16 comparative recast for the Fortive separation (spun off 2-Jul-2016). The Q2-16 release (25-Jul-2016) still reported Fortive within continuing operations: sales 5,785.0, operating profit 1,034.5, net earnings from continuing ops 656.7, diluted EPS 0.94, adjusted diluted EPS 1.25 (incl. Fortive). Recast: 4,241.9 / 710.1 / 418.0 / 0.60 / 0.90; Fortive earnings 238.7 now in discontinued operations.) Balance sheet and cash flow as originally reported.</t>
        </r>
      </text>
    </comment>
    <comment ref="Z241" authorId="0">
      <text>
        <r>
          <rPr>
            <sz val="10"/>
            <rFont val="Arial"/>
            <family val="2"/>
          </rPr>
          <t xml:space="preserve">Company footnotes (release): Pretax costs related to preparation for 2016 separation of Fortive Corporation: 17.0 pretax / 15.0 after tax</t>
        </r>
      </text>
    </comment>
    <comment ref="Z254" authorId="0">
      <text>
        <r>
          <rPr>
            <sz val="10"/>
            <rFont val="Arial"/>
            <family val="2"/>
          </rPr>
          <t xml:space="preserve">Company footnotes (release): Pretax costs related to preparation for 2016 separation of Fortive Corporation: 17.0 pretax / 15.0 after tax</t>
        </r>
      </text>
    </comment>
    <comment ref="Z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Z267" authorId="0">
      <text>
        <r>
          <rPr>
            <sz val="10"/>
            <rFont val="Arial"/>
            <family val="2"/>
          </rPr>
          <t xml:space="preserve">Recast comparative (following year's release). As originally published: $1.25.</t>
        </r>
      </text>
    </comment>
    <comment ref="AA241" authorId="0">
      <text>
        <r>
          <rPr>
            <sz val="10"/>
            <rFont val="Arial"/>
            <family val="2"/>
          </rPr>
          <t xml:space="preserve">Company footnotes (release): Gain on resolution of acquisition-related matters: -18.0 pretax / -14.0 after tax</t>
        </r>
      </text>
    </comment>
    <comment ref="AA254" authorId="0">
      <text>
        <r>
          <rPr>
            <sz val="10"/>
            <rFont val="Arial"/>
            <family val="2"/>
          </rPr>
          <t xml:space="preserve">Company footnotes (release): Gain on resolution of acquisition-related matters: -18.0 pretax / -14.0 after tax</t>
        </r>
      </text>
    </comment>
    <comment ref="AA256" authorId="0">
      <text>
        <r>
          <rPr>
            <sz val="10"/>
            <rFont val="Arial"/>
            <family val="2"/>
          </rPr>
          <t xml:space="preserve">Company footnotes (release): Charge for early extinguishment of borrowings: 179.0 pretax / 112.0 after tax</t>
        </r>
      </text>
    </comment>
    <comment ref="AB241" authorId="0">
      <text>
        <r>
          <rPr>
            <sz val="10"/>
            <rFont val="Arial"/>
            <family val="2"/>
          </rPr>
          <t xml:space="preserve">Company footnotes (release): Acquisition-related transaction costs deemed significant ($12m), change in control payments and restructuring costs ($49m) and fair value adjustments to inventory and deferred revenue ($23m) - Cepheid / Phenomenex: 84.0 pretax / 53.0 after tax</t>
        </r>
      </text>
    </comment>
    <comment ref="AB254" authorId="0">
      <text>
        <r>
          <rPr>
            <sz val="10"/>
            <rFont val="Arial"/>
            <family val="2"/>
          </rPr>
          <t xml:space="preserve">Company footnotes (release): Acquisition-related transaction costs deemed significant ($12m), change in control payments and restructuring costs ($49m) and fair value adjustments to inventory and deferred revenue ($23m) - Cepheid / Phenomenex: 84.0 pretax / 53.0 after tax</t>
        </r>
      </text>
    </comment>
    <comment ref="AC241" authorId="0">
      <text>
        <r>
          <rPr>
            <sz val="10"/>
            <rFont val="Arial"/>
            <family val="2"/>
          </rPr>
          <t xml:space="preserve">Company footnotes (release): Gains on resolution of acquisition-related matters: -18.0 pretax / -14.0 after tax | Acquisition-related transaction costs deemed significant ($12m), change in control payments and restructuring costs ($49m) and fair value adjustments to inventory and deferred revenue ($23m) - Cepheid / Phenomenex: 84.0 pretax / 53.0 after tax</t>
        </r>
      </text>
    </comment>
    <comment ref="AC254" authorId="0">
      <text>
        <r>
          <rPr>
            <sz val="10"/>
            <rFont val="Arial"/>
            <family val="2"/>
          </rPr>
          <t xml:space="preserve">Company footnotes (release): Gains on resolution of acquisition-related matters: -18.0 pretax / -14.0 after tax | Acquisition-related transaction costs deemed significant ($12m), change in control payments and restructuring costs ($49m) and fair value adjustments to inventory and deferred revenue ($23m) - Cepheid / Phenomenex: 84.0 pretax / 53.0 after tax</t>
        </r>
      </text>
    </comment>
    <comment ref="AC256" authorId="0">
      <text>
        <r>
          <rPr>
            <sz val="10"/>
            <rFont val="Arial"/>
            <family val="2"/>
          </rPr>
          <t xml:space="preserve">Company footnotes (release): Charge for early extinguishment of borrowings: 179.0 pretax / 112.0 after tax | Gain on sales of investments: -223.0 pretax / -140.0 after tax</t>
        </r>
      </text>
    </comment>
    <comment ref="AD178" authorId="0">
      <text>
        <r>
          <rPr>
            <sz val="10"/>
            <rFont val="Arial"/>
            <family val="2"/>
          </rPr>
          <t xml:space="preserve">Hybrid recast basis — recast: prior-year comparatives in the Q1-18 filing (Comparative recast for ASU 2017-07 (adopted 1-Jan-2018, retrospective): non-service components of net periodic pension/postretirement cost moved out of operating costs (SG&amp;A) into 'Other income, net' below operating profit, and into the 'Other' segment line; net earnings, EPS and adjusted EPS unchanged. Q1-17 as originally reported: SG&amp;A 1,443.0, operating profit 623.9, other income — , Other segment (39.7); recast: SG&amp;A 1,449.9, operating profit 617.0, other income, net 6.9, Other segment (46.6). Sales, EBT 585.2, net earnings 506.1, diluted EPS 0.69 and adjusted EPS 0.85 unchanged.) Balance sheet and cash flow as originally reported.</t>
        </r>
      </text>
    </comment>
    <comment ref="AD267" authorId="0">
      <text>
        <r>
          <rPr>
            <sz val="10"/>
            <rFont val="Arial"/>
            <family val="2"/>
          </rPr>
          <t xml:space="preserve">Recast comparative (following year's release). As originally published: $0.85.</t>
        </r>
      </text>
    </comment>
    <comment ref="AE178" authorId="0">
      <text>
        <r>
          <rPr>
            <sz val="10"/>
            <rFont val="Arial"/>
            <family val="2"/>
          </rPr>
          <t xml:space="preserve">Hybrid recast basis — recast: prior-year comparatives in the Q2-18 filing (Comparative recast for ASU 2017-07 (adopted 1-Jan-2018, retrospective): non-service components of net periodic pension/postretirement cost moved out of operating costs (SG&amp;A) into 'Other income, net' below operating profit, and into the 'Other' segment line; net earnings, EPS and adjusted EPS unchanged. Q2-17 as originally reported: SG&amp;A 1,515.3, operating profit 683.7, other income — , Other segment (40.5); recast: SG&amp;A 1,522.3, operating profit 676.7, other income, net 7.0, Other segment (47.5). EBT 644.8, net earnings 557.3, EPS 0.79, adjusted EPS 0.99 unchanged.) Balance sheet and cash flow as originally reported.</t>
        </r>
      </text>
    </comment>
    <comment ref="AE241" authorId="0">
      <text>
        <r>
          <rPr>
            <sz val="10"/>
            <rFont val="Arial"/>
            <family val="2"/>
          </rPr>
          <t xml:space="preserve">Company footnotes (release): Pretax restructuring, impairment and other related charges recorded in the second quarter of 2017 (discontinued molecular diagnostics product development, Diagnostics: $49m noncash impairment of technology intangibles/inventory/PP&amp;E + $27m cash severance): 76.0 pretax / 51.0 after tax</t>
        </r>
      </text>
    </comment>
    <comment ref="AE254" authorId="0">
      <text>
        <r>
          <rPr>
            <sz val="10"/>
            <rFont val="Arial"/>
            <family val="2"/>
          </rPr>
          <t xml:space="preserve">Company footnotes (release): Pretax restructuring, impairment and other related charges recorded in the second quarter of 2017 (discontinued molecular diagnostics product development, Diagnostics: $49m noncash impairment of technology intangibles/inventory/PP&amp;E + $27m cash severance): 76.0 pretax / 51.0 after tax</t>
        </r>
      </text>
    </comment>
    <comment ref="AE267" authorId="0">
      <text>
        <r>
          <rPr>
            <sz val="10"/>
            <rFont val="Arial"/>
            <family val="2"/>
          </rPr>
          <t xml:space="preserve">Recast comparative (following year's release). As originally published: $0.99.</t>
        </r>
      </text>
    </comment>
    <comment ref="AF178" authorId="0">
      <text>
        <r>
          <rPr>
            <sz val="10"/>
            <rFont val="Arial"/>
            <family val="2"/>
          </rPr>
          <t xml:space="preserve">Hybrid recast basis — recast: prior-year comparatives in the Q3-18 filing (Comparative recast for ASU 2017-07 (adopted 1-Jan-2018, retrospective): non-service components of net periodic pension/postretirement cost moved out of operating costs (SG&amp;A) into 'Other income, net' below operating profit, and into the 'Other' segment line; net earnings, EPS and adjusted EPS unchanged. Q3-17 as originally reported: SG&amp;A 1,490.1, operating profit 767.5, other income — , Other segment (47.0); recast: SG&amp;A 1,498.4, operating profit 759.2, other income, net 8.3, Other segment (55.3). EBT 729.8, net earnings 572.1, EPS 0.81, adjusted EPS 1.00 unchanged.) Balance sheet and cash flow as originally reported.</t>
        </r>
      </text>
    </comment>
    <comment ref="AF267" authorId="0">
      <text>
        <r>
          <rPr>
            <sz val="10"/>
            <rFont val="Arial"/>
            <family val="2"/>
          </rPr>
          <t xml:space="preserve">Recast comparative (following year's release). As originally published: $1.00.</t>
        </r>
      </text>
    </comment>
    <comment ref="AG178" authorId="0">
      <text>
        <r>
          <rPr>
            <sz val="10"/>
            <rFont val="Arial"/>
            <family val="2"/>
          </rPr>
          <t xml:space="preserve">Hybrid recast basis — recast: prior-year comparatives in the Q4-18 filing (Comparative recast for ASU 2017-07 (adopted 1-Jan-2018, retrospective): non-service components of net periodic pension/postretirement cost moved out of operating costs (SG&amp;A) into 'Other income, net' below operating profit, and into the 'Other' segment line; net earnings, EPS and adjusted EPS unchanged. Q4-17 as originally reported (Q4-17 release): SG&amp;A 1,594.1, operating profit 946.1, other income 72.8, Other segment (42.8); recast: SG&amp;A 1,602.7, operating profit 937.5, other income, net 81.4, Other segment (51.4). EBT 979.0, net earnings 856.6, EPS 1.21, adjusted EPS 1.19 unchanged.) Balance sheet and cash flow as originally reported.</t>
        </r>
      </text>
    </comment>
    <comment ref="AG241" authorId="0">
      <text>
        <r>
          <rPr>
            <sz val="10"/>
            <rFont val="Arial"/>
            <family val="2"/>
          </rPr>
          <t xml:space="preserve">Company footnotes (release): Pretax gains on resolution of acquisition-related matters (net gains, Life Sciences and Diagnostics): -11.0 pretax / -8.0 after tax</t>
        </r>
      </text>
    </comment>
    <comment ref="AG254" authorId="0">
      <text>
        <r>
          <rPr>
            <sz val="10"/>
            <rFont val="Arial"/>
            <family val="2"/>
          </rPr>
          <t xml:space="preserve">Company footnotes (release): Pretax gains on resolution of acquisition-related matters (net gains, Life Sciences and Diagnostics): -11.0 pretax / -8.0 after tax</t>
        </r>
      </text>
    </comment>
    <comment ref="AG256" authorId="0">
      <text>
        <r>
          <rPr>
            <sz val="10"/>
            <rFont val="Arial"/>
            <family val="2"/>
          </rPr>
          <t xml:space="preserve">Company footnotes (release): Pretax gain on sales of investments: -73.0 pretax / -46.0 after tax</t>
        </r>
      </text>
    </comment>
    <comment ref="AG267" authorId="0">
      <text>
        <r>
          <rPr>
            <sz val="10"/>
            <rFont val="Arial"/>
            <family val="2"/>
          </rPr>
          <t xml:space="preserve">Recast comparative (following year's release). As originally published: $1.19.</t>
        </r>
      </text>
    </comment>
    <comment ref="AH178" authorId="0">
      <text>
        <r>
          <rPr>
            <sz val="10"/>
            <rFont val="Arial"/>
            <family val="2"/>
          </rPr>
          <t xml:space="preserve">Hybrid recast basis — recast: prior-year comparatives in the 2018 filing (Comparative recast for ASU 2017-07 (adopted 1-Jan-2018, retrospective): non-service components of net periodic pension/postretirement cost moved out of operating costs (SG&amp;A) into 'Other income, net' below operating profit, and into the 'Other' segment line; net earnings, EPS and adjusted EPS unchanged. 2017 as originally reported (2017 10-K / Q4-17 release): SG&amp;A 6,042.5, operating profit 3,021.2, other income 72.8, Other segment (170.0); recast in the 2018 10-K: SG&amp;A 6,073.3, operating profit 2,990.4, other income, net 103.6, Other segment (200.8). Sales 18,329.7, EBT 2,938.8, net earnings 2,492.1, EPS 3.50, adjusted EPS 4.03 unchanged.) Balance sheet and cash flow as originally reported.</t>
        </r>
      </text>
    </comment>
    <comment ref="AH241" authorId="0">
      <text>
        <r>
          <rPr>
            <sz val="10"/>
            <rFont val="Arial"/>
            <family val="2"/>
          </rPr>
          <t xml:space="preserve">Company footnotes (release): Net gains on resolution of acquisition-related matters in the Life Sciences and Diagnostics segments: -11.0 pretax / -8.0 after tax | Restructuring, impairment and other related charges (discontinued molecular diagnostic product line, Q2-17): 76.0 pretax / 51.0 after tax</t>
        </r>
      </text>
    </comment>
    <comment ref="AH254" authorId="0">
      <text>
        <r>
          <rPr>
            <sz val="10"/>
            <rFont val="Arial"/>
            <family val="2"/>
          </rPr>
          <t xml:space="preserve">Company footnotes (release): Net gains on resolution of acquisition-related matters in the Life Sciences and Diagnostics segments: -11.0 pretax / -8.0 after tax | Restructuring, impairment and other related charges (discontinued molecular diagnostic product line, Q2-17): 76.0 pretax / 51.0 after tax</t>
        </r>
      </text>
    </comment>
    <comment ref="AH256" authorId="0">
      <text>
        <r>
          <rPr>
            <sz val="10"/>
            <rFont val="Arial"/>
            <family val="2"/>
          </rPr>
          <t xml:space="preserve">Company footnotes (release): Gain on sales of investments: -73.0 pretax / -46.0 after tax</t>
        </r>
      </text>
    </comment>
    <comment ref="AH267" authorId="0">
      <text>
        <r>
          <rPr>
            <sz val="10"/>
            <rFont val="Arial"/>
            <family val="2"/>
          </rPr>
          <t xml:space="preserve">Recast comparative (following year's release). As originally published: $4.03.</t>
        </r>
      </text>
    </comment>
    <comment ref="AJ241" authorId="0">
      <text>
        <r>
          <rPr>
            <sz val="10"/>
            <rFont val="Arial"/>
            <family val="2"/>
          </rPr>
          <t xml:space="preserve">Company footnotes (release): Acquisition-related transaction costs deemed significant (IDT): 15.0 pretax / 13.0 after tax | Fair value adjustments to inventory (IDT): 1.0 pretax / 0.8 after tax | Net gains on resolution of acquisition-related matters in the Life Sciences segment: -9.0 pretax / -7.0 after tax</t>
        </r>
      </text>
    </comment>
    <comment ref="AJ254" authorId="0">
      <text>
        <r>
          <rPr>
            <sz val="10"/>
            <rFont val="Arial"/>
            <family val="2"/>
          </rPr>
          <t xml:space="preserve">Company footnotes (release): Acquisition-related transaction costs deemed significant (IDT): 15.0 pretax / 13.0 after tax | Fair value adjustments to inventory (IDT): 1.0 pretax / 0.8 after tax | Net gains on resolution of acquisition-related matters in the Life Sciences segment: -9.0 pretax / -7.0 after tax</t>
        </r>
      </text>
    </comment>
    <comment ref="AL178" authorId="0">
      <text>
        <r>
          <rPr>
            <sz val="10"/>
            <rFont val="Arial"/>
            <family val="2"/>
          </rPr>
          <t xml:space="preserve">Hybrid recast basis — recast: prior-year comparatives in the Q4-19 filing (Q4-18 comparative recast for the Envista (Dental) split-off (completed 18-Dec-2019, discontinued operations). As originally reported in the Q4-18 release: sales 5,363.5 (incl. Dental 759.0), operating profit 962.6 (Dental 104.9), net earnings 746.8 (all continuing), diluted EPS 1.05, adjusted diluted EPS from continuing ops 1.28. Recast: sales 4,604.5, OP 863.4, continuing ops 683.8, diluted EPS cont 0.96, adjusted EPS 1.14.) Balance sheet and cash flow as originally reported.</t>
        </r>
      </text>
    </comment>
    <comment ref="AL241" authorId="0">
      <text>
        <r>
          <rPr>
            <sz val="10"/>
            <rFont val="Arial"/>
            <family val="2"/>
          </rPr>
          <t xml:space="preserve">Company footnotes (release): Pretax costs related to preparation for the Dental Separation (professional fees): 15.0 pretax / 14.0 after tax</t>
        </r>
      </text>
    </comment>
    <comment ref="AL254" authorId="0">
      <text>
        <r>
          <rPr>
            <sz val="10"/>
            <rFont val="Arial"/>
            <family val="2"/>
          </rPr>
          <t xml:space="preserve">Company footnotes (release): Pretax costs related to preparation for the Dental Separation (professional fees): 15.0 pretax / 14.0 after tax</t>
        </r>
      </text>
    </comment>
    <comment ref="AL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AL267" authorId="0">
      <text>
        <r>
          <rPr>
            <sz val="10"/>
            <rFont val="Arial"/>
            <family val="2"/>
          </rPr>
          <t xml:space="preserve">Recast comparative (following year's release). As originally published: $1.28.</t>
        </r>
      </text>
    </comment>
    <comment ref="AM178" authorId="0">
      <text>
        <r>
          <rPr>
            <sz val="10"/>
            <rFont val="Arial"/>
            <family val="2"/>
          </rPr>
          <t xml:space="preserve">Hybrid recast basis — recast: prior-year comparatives in the 2019 filing (2018 comparative recast for the Envista (Dental segment) split-off, completed 18-Dec-2019 and presented as discontinued operations. As originally reported (Q4-18 release / 2018 10-K): sales 19,893.0, operating profit 3,403.8, net earnings from continuing ops 2,650.9, adjusted diluted EPS 4.52 (recast: 17,048.5 / 3,055.1 / 2,406.3 / 4.05). Original segments included Dental (sales 2,844.5, OP 346.7).) Balance sheet and cash flow as originally reported.</t>
        </r>
      </text>
    </comment>
    <comment ref="AM241" authorId="0">
      <text>
        <r>
          <rPr>
            <sz val="10"/>
            <rFont val="Arial"/>
            <family val="2"/>
          </rPr>
          <t xml:space="preserve">Company footnotes (release): Acquisition-related transaction costs deemed significant (IDT): 15.0 pretax / 13.0 after tax | Fair value adjustments to inventory (IDT): 1.0 pretax / 0.8 after tax | Net gains on resolution of acquisition-related matters in the Life Sciences segment (Q2-18): -9.0 pretax / -7.0 after tax | Pretax costs related to preparation for the Dental Separation (professional fees): 15.0 pretax / 14.0 after tax</t>
        </r>
      </text>
    </comment>
    <comment ref="AM254" authorId="0">
      <text>
        <r>
          <rPr>
            <sz val="10"/>
            <rFont val="Arial"/>
            <family val="2"/>
          </rPr>
          <t xml:space="preserve">Company footnotes (release): Acquisition-related transaction costs deemed significant (IDT): 15.0 pretax / 13.0 after tax | Fair value adjustments to inventory (IDT): 1.0 pretax / 0.8 after tax | Net gains on resolution of acquisition-related matters in the Life Sciences segment (Q2-18): -9.0 pretax / -7.0 after tax | Pretax costs related to preparation for the Dental Separation (professional fees): 15.0 pretax / 14.0 after tax</t>
        </r>
      </text>
    </comment>
    <comment ref="AM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AM267" authorId="0">
      <text>
        <r>
          <rPr>
            <sz val="10"/>
            <rFont val="Arial"/>
            <family val="2"/>
          </rPr>
          <t xml:space="preserve">Recast comparative (following year's release). As originally published: $4.52.</t>
        </r>
      </text>
    </comment>
    <comment ref="AN178" authorId="0">
      <text>
        <r>
          <rPr>
            <sz val="10"/>
            <rFont val="Arial"/>
            <family val="2"/>
          </rPr>
          <t xml:space="preserve">Hybrid recast basis — recast: prior-year comparatives in the Q1-20 filing (Q1-19 comparative recast for the Envista (Dental) split-off (discontinued operations). As originally reported (Q1-19 release / 10-Q): sales 4,879.9 (incl. Dental 659.7), operating profit 723.8 (Dental 48.2; Other (111.1) vs recast (67.0)), net earnings 333.8 all continuing, diluted EPS 0.46, adjusted diluted EPS 1.07. Recast: sales 4,220.2, OP 719.7, continuing ops 332.3, disc ops 1.5, diluted EPS cont 0.45, adjusted EPS 0.99 (recast bridge: amortization 0.22, Cytiva costs 0.02, tax effect (0.04), discrete tax 0.34).) Balance sheet and cash flow as originally reported.</t>
        </r>
      </text>
    </comment>
    <comment ref="AN241" authorId="0">
      <text>
        <r>
          <rPr>
            <sz val="10"/>
            <rFont val="Arial"/>
            <family val="2"/>
          </rPr>
          <t xml:space="preserve">Company footnotes (release): Pretax separation and duplicative general and administrative costs related to the Dental business separation and initial public offering: 11.0 pretax / 10.0 after tax | Pretax transaction costs deemed significant and integration preparation costs related to the anticipated GE Biopharma acquisition: 15.0 pretax / 13.0 after tax | Provision for a legal contingency: 36.0 pretax / 29.0 after tax</t>
        </r>
      </text>
    </comment>
    <comment ref="AN254" authorId="0">
      <text>
        <r>
          <rPr>
            <sz val="10"/>
            <rFont val="Arial"/>
            <family val="2"/>
          </rPr>
          <t xml:space="preserve">Company footnotes (release): Pretax separation and duplicative general and administrative costs related to the Dental business separation and initial public offering: 11.0 pretax / 10.0 after tax | Pretax transaction costs deemed significant and integration preparation costs related to the anticipated GE Biopharma acquisition: 15.0 pretax / 13.0 after tax | Provision for a legal contingency: 36.0 pretax / 29.0 after tax</t>
        </r>
      </text>
    </comment>
    <comment ref="AN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AN267" authorId="0">
      <text>
        <r>
          <rPr>
            <sz val="10"/>
            <rFont val="Arial"/>
            <family val="2"/>
          </rPr>
          <t xml:space="preserve">Recast comparative (following year's release). As originally published: $1.07.</t>
        </r>
      </text>
    </comment>
    <comment ref="AO178" authorId="0">
      <text>
        <r>
          <rPr>
            <sz val="10"/>
            <rFont val="Arial"/>
            <family val="2"/>
          </rPr>
          <t xml:space="preserve">Hybrid recast basis — recast: prior-year comparatives in the Q2-20 filing (Q2-19 comparative recast for the Envista (Dental) split-off (discontinued operations). As originally reported (Q2-19 release / 10-Q): sales 5,156.6 (incl. Dental 712.1), operating profit 883.8 (Dental 79.5; Other (82.8) vs recast (75.4)), net earnings 731.3 all continuing, diluted EPS 0.97, adjusted diluted EPS 1.19. Recast: sales 4,444.5, OP 811.7, continuing ops 676.4, disc ops 54.9, diluted EPS cont 0.90, adjusted EPS 1.09.) Balance sheet and cash flow as originally reported.</t>
        </r>
      </text>
    </comment>
    <comment ref="AO241" authorId="0">
      <text>
        <r>
          <rPr>
            <sz val="10"/>
            <rFont val="Arial"/>
            <family val="2"/>
          </rPr>
          <t xml:space="preserve">Company footnotes (release): Pretax Dental business separation costs and costs related to establishing new separate company infrastructure: 11.0 pretax / 9.0 after tax | Pretax transaction costs deemed significant and integration preparation costs related to the anticipated GE Biopharma acquisition: 18.0 pretax / 16.0 after tax</t>
        </r>
      </text>
    </comment>
    <comment ref="AO254" authorId="0">
      <text>
        <r>
          <rPr>
            <sz val="10"/>
            <rFont val="Arial"/>
            <family val="2"/>
          </rPr>
          <t xml:space="preserve">Company footnotes (release): Pretax Dental business separation costs and costs related to establishing new separate company infrastructure: 11.0 pretax / 9.0 after tax | Pretax transaction costs deemed significant and integration preparation costs related to the anticipated GE Biopharma acquisition: 18.0 pretax / 16.0 after tax</t>
        </r>
      </text>
    </comment>
    <comment ref="AO260" authorId="0">
      <text>
        <r>
          <rPr>
            <sz val="10"/>
            <rFont val="Arial"/>
            <family val="2"/>
          </rPr>
          <t xml:space="preserve">Mandatory convertible preferred stock: preferred dividends added back where the company EPS uses the if-converted method (MCPS "as if converted").</t>
        </r>
      </text>
    </comment>
    <comment ref="AO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AO267" authorId="0">
      <text>
        <r>
          <rPr>
            <sz val="10"/>
            <rFont val="Arial"/>
            <family val="2"/>
          </rPr>
          <t xml:space="preserve">Recast comparative (following year's release). As originally published: $1.19.</t>
        </r>
      </text>
    </comment>
    <comment ref="AP178" authorId="0">
      <text>
        <r>
          <rPr>
            <sz val="10"/>
            <rFont val="Arial"/>
            <family val="2"/>
          </rPr>
          <t xml:space="preserve">Hybrid recast basis — recast: prior-year comparatives in the Q3-20 filing (Q3-19 comparative recast for the Envista (Dental) split-off (discontinued operations). As originally reported (Q3-19 release / 10-Q): sales 5,037.3 (incl. Dental / Envista 659.3), operating profit 834.8 (Envista 78.7; Other (108.9) vs recast (88.7)), net earnings 673.9 less NCI 5.9 = 668.0 attributable, diluted EPS 0.89, adjusted diluted EPS 1.16. Recast: sales 4,378.0, OP 776.3, continuing ops 630.7, disc ops 37.3 (net of the Envista NCI), net earnings 668.0, diluted EPS cont 0.84, adjusted EPS 1.06.) Balance sheet and cash flow as originally reported.</t>
        </r>
      </text>
    </comment>
    <comment ref="AP241" authorId="0">
      <text>
        <r>
          <rPr>
            <sz val="10"/>
            <rFont val="Arial"/>
            <family val="2"/>
          </rPr>
          <t xml:space="preserve">Company footnotes (release): Pretax Envista separation costs and costs related to establishing a new separate company infrastructure: 25.0 pretax / 22.0 after tax | Pretax transaction costs deemed significant and integration preparation costs related to the anticipated GE Biopharma acquisition: 30.0 pretax / 28.0 after tax</t>
        </r>
      </text>
    </comment>
    <comment ref="AP254" authorId="0">
      <text>
        <r>
          <rPr>
            <sz val="10"/>
            <rFont val="Arial"/>
            <family val="2"/>
          </rPr>
          <t xml:space="preserve">Company footnotes (release): Pretax Envista separation costs and costs related to establishing a new separate company infrastructure: 25.0 pretax / 22.0 after tax | Pretax transaction costs deemed significant and integration preparation costs related to the anticipated GE Biopharma acquisition: 30.0 pretax / 28.0 after tax</t>
        </r>
      </text>
    </comment>
    <comment ref="AP260" authorId="0">
      <text>
        <r>
          <rPr>
            <sz val="10"/>
            <rFont val="Arial"/>
            <family val="2"/>
          </rPr>
          <t xml:space="preserve">Mandatory convertible preferred stock: preferred dividends added back where the company EPS uses the if-converted method (MCPS "as if converted").</t>
        </r>
      </text>
    </comment>
    <comment ref="AP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AP267" authorId="0">
      <text>
        <r>
          <rPr>
            <sz val="10"/>
            <rFont val="Arial"/>
            <family val="2"/>
          </rPr>
          <t xml:space="preserve">Recast comparative (following year's release). As originally published: $1.16.</t>
        </r>
      </text>
    </comment>
    <comment ref="AQ241" authorId="0">
      <text>
        <r>
          <rPr>
            <sz val="10"/>
            <rFont val="Arial"/>
            <family val="2"/>
          </rPr>
          <t xml:space="preserve">Company footnotes (release): Pretax transaction costs deemed significant and integration preparation costs related to the anticipated GE Biopharma acquisition: 30.0 pretax / 27.0 after tax</t>
        </r>
      </text>
    </comment>
    <comment ref="AQ254" authorId="0">
      <text>
        <r>
          <rPr>
            <sz val="10"/>
            <rFont val="Arial"/>
            <family val="2"/>
          </rPr>
          <t xml:space="preserve">Company footnotes (release): Pretax transaction costs deemed significant and integration preparation costs related to the anticipated GE Biopharma acquisition: 30.0 pretax / 27.0 after tax</t>
        </r>
      </text>
    </comment>
    <comment ref="AQ256" authorId="0">
      <text>
        <r>
          <rPr>
            <sz val="10"/>
            <rFont val="Arial"/>
            <family val="2"/>
          </rPr>
          <t xml:space="preserve">Company footnotes (release): Loss on early extinguishment of debt: 7.0 pretax / 5.0 after tax | Loss on partial settlement of a defined benefit plan: 7.0 pretax / 6.0 after tax</t>
        </r>
      </text>
    </comment>
    <comment ref="AQ260" authorId="0">
      <text>
        <r>
          <rPr>
            <sz val="10"/>
            <rFont val="Arial"/>
            <family val="2"/>
          </rPr>
          <t xml:space="preserve">Mandatory convertible preferred stock: preferred dividends added back where the company EPS uses the if-converted method (MCPS "as if converted").</t>
        </r>
      </text>
    </comment>
    <comment ref="AR241" authorId="0">
      <text>
        <r>
          <rPr>
            <sz val="10"/>
            <rFont val="Arial"/>
            <family val="2"/>
          </rPr>
          <t xml:space="preserve">Company footnotes (release): Pretax transaction costs deemed significant and integration preparation costs related to the anticipated GE Biopharma acquisition: 93.0 pretax / 84.0 after tax</t>
        </r>
      </text>
    </comment>
    <comment ref="AR254" authorId="0">
      <text>
        <r>
          <rPr>
            <sz val="10"/>
            <rFont val="Arial"/>
            <family val="2"/>
          </rPr>
          <t xml:space="preserve">Company footnotes (release): Pretax transaction costs deemed significant and integration preparation costs related to the anticipated GE Biopharma acquisition: 93.0 pretax / 84.0 after tax</t>
        </r>
      </text>
    </comment>
    <comment ref="AR256" authorId="0">
      <text>
        <r>
          <rPr>
            <sz val="10"/>
            <rFont val="Arial"/>
            <family val="2"/>
          </rPr>
          <t xml:space="preserve">Company footnotes (release): Loss on early extinguishment of debt: 7.0 pretax / 5.0 after tax | Loss on partial settlement of a defined benefit plan: 7.0 pretax / 6.0 after tax</t>
        </r>
      </text>
    </comment>
    <comment ref="AR260" authorId="0">
      <text>
        <r>
          <rPr>
            <sz val="10"/>
            <rFont val="Arial"/>
            <family val="2"/>
          </rPr>
          <t xml:space="preserve">Mandatory convertible preferred stock: preferred dividends added back where the company EPS uses the if-converted method (MCPS "as if converted").</t>
        </r>
      </text>
    </comment>
    <comment ref="AS241" authorId="0">
      <text>
        <r>
          <rPr>
            <sz val="10"/>
            <rFont val="Arial"/>
            <family val="2"/>
          </rPr>
          <t xml:space="preserve">Company footnotes (release): Pretax transaction costs deemed significant and integration preparation costs, in each case related to the acquisition of Cytiva: 59.0 pretax / 53.0 after tax | Pretax impairment charges related to a facility in the Diagnostics segment and a trade name and other intangible assets in the Environmental &amp; Applied Solutions segment: 8.0 pretax / 6.0 after tax</t>
        </r>
      </text>
    </comment>
    <comment ref="AS254" authorId="0">
      <text>
        <r>
          <rPr>
            <sz val="10"/>
            <rFont val="Arial"/>
            <family val="2"/>
          </rPr>
          <t xml:space="preserve">Company footnotes (release): Pretax transaction costs deemed significant and integration preparation costs, in each case related to the acquisition of Cytiva: 59.0 pretax / 53.0 after tax | Pretax impairment charges related to a facility in the Diagnostics segment and a trade name and other intangible assets in the Environmental &amp; Applied Solutions segment: 8.0 pretax / 6.0 after tax</t>
        </r>
      </text>
    </comment>
    <comment ref="AS256" authorId="0">
      <text>
        <r>
          <rPr>
            <sz val="10"/>
            <rFont val="Arial"/>
            <family val="2"/>
          </rPr>
          <t xml:space="preserve">Company footnotes (release): Pretax fair value adjustments and losses on the Company's equity and limited partnership investments: 7.0 pretax / 5.0 after tax</t>
        </r>
      </text>
    </comment>
    <comment ref="AS260" authorId="0">
      <text>
        <r>
          <rPr>
            <sz val="10"/>
            <rFont val="Arial"/>
            <family val="2"/>
          </rPr>
          <t xml:space="preserve">Mandatory convertible preferred stock: preferred dividends added back where the company EPS uses the if-converted method (MCPS "as if converted").</t>
        </r>
      </text>
    </comment>
    <comment ref="AT241" authorId="0">
      <text>
        <r>
          <rPr>
            <sz val="10"/>
            <rFont val="Arial"/>
            <family val="2"/>
          </rPr>
          <t xml:space="preserve">Company footnotes (release): Pretax acquisition-related fair value adjustments to inventory and deferred revenue related to the Cytiva Acquisition: 228.0 pretax / 178.0 after tax</t>
        </r>
      </text>
    </comment>
    <comment ref="AT254" authorId="0">
      <text>
        <r>
          <rPr>
            <sz val="10"/>
            <rFont val="Arial"/>
            <family val="2"/>
          </rPr>
          <t xml:space="preserve">Company footnotes (release): Pretax acquisition-related fair value adjustments to inventory and deferred revenue related to the Cytiva Acquisition: 228.0 pretax / 178.0 after tax</t>
        </r>
      </text>
    </comment>
    <comment ref="AT256" authorId="0">
      <text>
        <r>
          <rPr>
            <sz val="10"/>
            <rFont val="Arial"/>
            <family val="2"/>
          </rPr>
          <t xml:space="preserve">Company footnotes (release): Pretax fair value adjustments and losses on the Company's equity and limited partnership investments: 6.0 pretax / 4.0 after tax | Gain on the sale of certain product lines in the Life Sciences segment: -455.0 pretax / -305.0 after tax</t>
        </r>
      </text>
    </comment>
    <comment ref="AT260" authorId="0">
      <text>
        <r>
          <rPr>
            <sz val="10"/>
            <rFont val="Arial"/>
            <family val="2"/>
          </rPr>
          <t xml:space="preserve">Mandatory convertible preferred stock: preferred dividends added back where the company EPS uses the if-converted method (MCPS "as if converted").</t>
        </r>
      </text>
    </comment>
    <comment ref="AU241" authorId="0">
      <text>
        <r>
          <rPr>
            <sz val="10"/>
            <rFont val="Arial"/>
            <family val="2"/>
          </rPr>
          <t xml:space="preserve">Company footnotes (release): Pretax fair value adjustments to inventory and deferred revenue related to the acquisition of Cytiva: 232.0 pretax / 181.0 after tax | Pretax impairment charges related to trade names in the Environmental &amp; Applied Solutions segment: 14.0 pretax / 11.0 after tax</t>
        </r>
      </text>
    </comment>
    <comment ref="AU254" authorId="0">
      <text>
        <r>
          <rPr>
            <sz val="10"/>
            <rFont val="Arial"/>
            <family val="2"/>
          </rPr>
          <t xml:space="preserve">Company footnotes (release): Pretax fair value adjustments to inventory and deferred revenue related to the acquisition of Cytiva: 232.0 pretax / 181.0 after tax | Pretax impairment charges related to trade names in the Environmental &amp; Applied Solutions segment: 14.0 pretax / 11.0 after tax</t>
        </r>
      </text>
    </comment>
    <comment ref="AU260" authorId="0">
      <text>
        <r>
          <rPr>
            <sz val="10"/>
            <rFont val="Arial"/>
            <family val="2"/>
          </rPr>
          <t xml:space="preserve">Mandatory convertible preferred stock: preferred dividends added back where the company EPS uses the if-converted method (MCPS "as if converted").</t>
        </r>
      </text>
    </comment>
    <comment ref="AV241" authorId="0">
      <text>
        <r>
          <rPr>
            <sz val="10"/>
            <rFont val="Arial"/>
            <family val="2"/>
          </rPr>
          <t xml:space="preserve">Company footnotes (release): Pretax fair value adjustments to inventory and deferred revenue related to the acquisition of Cytiva: 49.0 pretax / 39.0 after tax</t>
        </r>
      </text>
    </comment>
    <comment ref="AV254" authorId="0">
      <text>
        <r>
          <rPr>
            <sz val="10"/>
            <rFont val="Arial"/>
            <family val="2"/>
          </rPr>
          <t xml:space="preserve">Company footnotes (release): Pretax fair value adjustments to inventory and deferred revenue related to the acquisition of Cytiva: 49.0 pretax / 39.0 after tax</t>
        </r>
      </text>
    </comment>
    <comment ref="AV256" authorId="0">
      <text>
        <r>
          <rPr>
            <sz val="10"/>
            <rFont val="Arial"/>
            <family val="2"/>
          </rPr>
          <t xml:space="preserve">Company footnotes (release): Loss on early extinguishment of debt (make-whole payments on the 2022 Euronotes): 26.0 pretax / 20.0 after tax | Pretax fair value (gains) and losses on the Company's equity and limited partnership investments: -31.0 pretax / -24.0 after tax</t>
        </r>
      </text>
    </comment>
    <comment ref="AV260" authorId="0">
      <text>
        <r>
          <rPr>
            <sz val="10"/>
            <rFont val="Arial"/>
            <family val="2"/>
          </rPr>
          <t xml:space="preserve">Mandatory convertible preferred stock: preferred dividends added back where the company EPS uses the if-converted method (MCPS "as if converted").</t>
        </r>
      </text>
    </comment>
    <comment ref="AW241" authorId="0">
      <text>
        <r>
          <rPr>
            <sz val="10"/>
            <rFont val="Arial"/>
            <family val="2"/>
          </rPr>
          <t xml:space="preserve">Company footnotes (release): Pretax fair value adjustments to inventory and deferred revenue, transaction costs deemed significant and integration preparation costs related to the acquisition of Cytiva: 568.0 pretax / 450.0 after tax | Pretax impairment charges (Dx facility and EAS trade name / intangibles Q1-20; EAS trade names Q3-20): 22.0 pretax / 17.0 after tax</t>
        </r>
      </text>
    </comment>
    <comment ref="AW254" authorId="0">
      <text>
        <r>
          <rPr>
            <sz val="10"/>
            <rFont val="Arial"/>
            <family val="2"/>
          </rPr>
          <t xml:space="preserve">Company footnotes (release): Pretax fair value adjustments to inventory and deferred revenue, transaction costs deemed significant and integration preparation costs related to the acquisition of Cytiva: 568.0 pretax / 450.0 after tax | Pretax impairment charges (Dx facility and EAS trade name / intangibles Q1-20; EAS trade names Q3-20): 22.0 pretax / 17.0 after tax</t>
        </r>
      </text>
    </comment>
    <comment ref="AW256" authorId="0">
      <text>
        <r>
          <rPr>
            <sz val="10"/>
            <rFont val="Arial"/>
            <family val="2"/>
          </rPr>
          <t xml:space="preserve">Company footnotes (release): Loss on early extinguishment of debt (make-whole payments on the 2022 Euronotes): 26.0 pretax / 20.0 after tax | Pretax fair value (gains) and losses on the Company's equity and limited partnership investments: -18.0 pretax / -14.0 after tax | Gain on the sale of certain product lines in the Life Sciences segment: -455.0 pretax / -305.0 after tax</t>
        </r>
      </text>
    </comment>
    <comment ref="AW260" authorId="0">
      <text>
        <r>
          <rPr>
            <sz val="10"/>
            <rFont val="Arial"/>
            <family val="2"/>
          </rPr>
          <t xml:space="preserve">Mandatory convertible preferred stock: preferred dividends added back where the company EPS uses the if-converted method (MCPS "as if converted").</t>
        </r>
      </text>
    </comment>
    <comment ref="AX241" authorId="0">
      <text>
        <r>
          <rPr>
            <sz val="10"/>
            <rFont val="Arial"/>
            <family val="2"/>
          </rPr>
          <t xml:space="preserve">Company footnotes (release): Cytiva acquisition-related fair value adjustments to inventory and deferred revenue: 46.0 pretax / 36.0 after tax | Pretax impairment charge related to a trade name in the Diagnostics segment: 10.0 pretax / 8.0 after tax</t>
        </r>
      </text>
    </comment>
    <comment ref="AX254" authorId="0">
      <text>
        <r>
          <rPr>
            <sz val="10"/>
            <rFont val="Arial"/>
            <family val="2"/>
          </rPr>
          <t xml:space="preserve">Company footnotes (release): Cytiva acquisition-related fair value adjustments to inventory and deferred revenue: 46.0 pretax / 36.0 after tax | Pretax impairment charge related to a trade name in the Diagnostics segment: 10.0 pretax / 8.0 after tax</t>
        </r>
      </text>
    </comment>
    <comment ref="AX256" authorId="0">
      <text>
        <r>
          <rPr>
            <sz val="10"/>
            <rFont val="Arial"/>
            <family val="2"/>
          </rPr>
          <t xml:space="preserve">Company footnotes (release): Pretax fair value gains on the Company's equity and limited partnership investments: -116.0 pretax / -94.0 after tax | Pretax gain on disposition of certain product lines: -13.0 pretax / -10.0 after tax</t>
        </r>
      </text>
    </comment>
    <comment ref="AX260" authorId="0">
      <text>
        <r>
          <rPr>
            <sz val="10"/>
            <rFont val="Arial"/>
            <family val="2"/>
          </rPr>
          <t xml:space="preserve">Mandatory convertible preferred stock: preferred dividends added back where the company EPS uses the if-converted method (MCPS "as if converted").</t>
        </r>
      </text>
    </comment>
    <comment ref="AX261" authorId="0">
      <text>
        <r>
          <rPr>
            <sz val="10"/>
            <rFont val="Arial"/>
            <family val="2"/>
          </rPr>
          <t xml:space="preserve">Per-share rounding / other per-share-only lines in the company bridge × diluted shares.</t>
        </r>
      </text>
    </comment>
    <comment ref="AY256" authorId="0">
      <text>
        <r>
          <rPr>
            <sz val="10"/>
            <rFont val="Arial"/>
            <family val="2"/>
          </rPr>
          <t xml:space="preserve">Company footnotes (release): Pretax fair value gains on the Company's equity and limited partnership investments: -86.0 pretax / -67.0 after tax</t>
        </r>
      </text>
    </comment>
    <comment ref="AY260" authorId="0">
      <text>
        <r>
          <rPr>
            <sz val="10"/>
            <rFont val="Arial"/>
            <family val="2"/>
          </rPr>
          <t xml:space="preserve">Mandatory convertible preferred stock: preferred dividends added back where the company EPS uses the if-converted method (MCPS "as if converted").</t>
        </r>
      </text>
    </comment>
    <comment ref="AZ241" authorId="0">
      <text>
        <r>
          <rPr>
            <sz val="10"/>
            <rFont val="Arial"/>
            <family val="2"/>
          </rPr>
          <t xml:space="preserve">Company footnotes (release): Aldevron acquisition-related fair value adjustments to inventory and transaction costs deemed significant: 45.0 pretax / 36.0 after tax | Contract settlement expense (modification and partial termination of a prior commercial arrangement and resolution of the associated litigation): 547.0 pretax / 415.0 after tax</t>
        </r>
      </text>
    </comment>
    <comment ref="AZ254" authorId="0">
      <text>
        <r>
          <rPr>
            <sz val="10"/>
            <rFont val="Arial"/>
            <family val="2"/>
          </rPr>
          <t xml:space="preserve">Company footnotes (release): Aldevron acquisition-related fair value adjustments to inventory and transaction costs deemed significant: 45.0 pretax / 36.0 after tax | Contract settlement expense (modification and partial termination of a prior commercial arrangement and resolution of the associated litigation): 547.0 pretax / 415.0 after tax</t>
        </r>
      </text>
    </comment>
    <comment ref="AZ256" authorId="0">
      <text>
        <r>
          <rPr>
            <sz val="10"/>
            <rFont val="Arial"/>
            <family val="2"/>
          </rPr>
          <t xml:space="preserve">Company footnotes (release): Pretax fair value net gains on the Company's equity and limited partnership investments: -128.0 pretax / -97.0 after tax</t>
        </r>
      </text>
    </comment>
    <comment ref="AZ260" authorId="0">
      <text>
        <r>
          <rPr>
            <sz val="10"/>
            <rFont val="Arial"/>
            <family val="2"/>
          </rPr>
          <t xml:space="preserve">Mandatory convertible preferred stock: preferred dividends added back where the company EPS uses the if-converted method (MCPS "as if converted").</t>
        </r>
      </text>
    </comment>
    <comment ref="BA241" authorId="0">
      <text>
        <r>
          <rPr>
            <sz val="10"/>
            <rFont val="Arial"/>
            <family val="2"/>
          </rPr>
          <t xml:space="preserve">Company footnotes (release): Acquisition-related items (Aldevron inventory fair value adjustments): 13.0 pretax / 10.0 after tax</t>
        </r>
      </text>
    </comment>
    <comment ref="BA254" authorId="0">
      <text>
        <r>
          <rPr>
            <sz val="10"/>
            <rFont val="Arial"/>
            <family val="2"/>
          </rPr>
          <t xml:space="preserve">Company footnotes (release): Acquisition-related items (Aldevron inventory fair value adjustments): 13.0 pretax / 10.0 after tax</t>
        </r>
      </text>
    </comment>
    <comment ref="BA256" authorId="0">
      <text>
        <r>
          <rPr>
            <sz val="10"/>
            <rFont val="Arial"/>
            <family val="2"/>
          </rPr>
          <t xml:space="preserve">Company footnotes (release): Fair value net (gains) losses on investments: -71.0 pretax / -57.0 after tax | Loss on early extinguishment of debt (make-whole payments and deferred costs, 2025 Euronotes): 96.0 pretax / 73.0 after tax</t>
        </r>
      </text>
    </comment>
    <comment ref="BA260" authorId="0">
      <text>
        <r>
          <rPr>
            <sz val="10"/>
            <rFont val="Arial"/>
            <family val="2"/>
          </rPr>
          <t xml:space="preserve">Mandatory convertible preferred stock: preferred dividends added back where the company EPS uses the if-converted method (MCPS "as if converted").</t>
        </r>
      </text>
    </comment>
    <comment ref="BB178" authorId="0">
      <text>
        <r>
          <rPr>
            <sz val="10"/>
            <rFont val="Arial"/>
            <family val="2"/>
          </rPr>
          <t xml:space="preserve">Hybrid recast basis — segments recast: prior-year comparatives in the 2022 filing Balance sheet and cash flow as originally reported.</t>
        </r>
      </text>
    </comment>
    <comment ref="BB241" authorId="0">
      <text>
        <r>
          <rPr>
            <sz val="10"/>
            <rFont val="Arial"/>
            <family val="2"/>
          </rPr>
          <t xml:space="preserve">Company footnotes (release): Acquisition-related items (Cytiva and Aldevron inventory / deferred revenue fair value adjustments and significant transaction costs): 104.0 pretax / 82.0 after tax | Impairments (trade name, Diagnostics): 10.0 pretax / 8.0 after tax | Contract settlement expense: 547.0 pretax / 415.0 after tax</t>
        </r>
      </text>
    </comment>
    <comment ref="BB254" authorId="0">
      <text>
        <r>
          <rPr>
            <sz val="10"/>
            <rFont val="Arial"/>
            <family val="2"/>
          </rPr>
          <t xml:space="preserve">Company footnotes (release): Acquisition-related items (Cytiva and Aldevron inventory / deferred revenue fair value adjustments and significant transaction costs): 104.0 pretax / 82.0 after tax | Impairments (trade name, Diagnostics): 10.0 pretax / 8.0 after tax | Contract settlement expense: 547.0 pretax / 415.0 after tax</t>
        </r>
      </text>
    </comment>
    <comment ref="BB256" authorId="0">
      <text>
        <r>
          <rPr>
            <sz val="10"/>
            <rFont val="Arial"/>
            <family val="2"/>
          </rPr>
          <t xml:space="preserve">Company footnotes (release): Fair value net (gains) losses on investments: -401.0 pretax / -315.0 after tax | Gain on disposition of certain product lines: -13.0 pretax / -10.0 after tax | Loss on early extinguishment of debt: 96.0 pretax / 73.0 after tax</t>
        </r>
      </text>
    </comment>
    <comment ref="BB260" authorId="0">
      <text>
        <r>
          <rPr>
            <sz val="10"/>
            <rFont val="Arial"/>
            <family val="2"/>
          </rPr>
          <t xml:space="preserve">Mandatory convertible preferred stock: preferred dividends added back where the company EPS uses the if-converted method (MCPS "as if converted").</t>
        </r>
      </text>
    </comment>
    <comment ref="BC241" authorId="0">
      <text>
        <r>
          <rPr>
            <sz val="10"/>
            <rFont val="Arial"/>
            <family val="2"/>
          </rPr>
          <t xml:space="preserve">Company footnotes (release): Impairments and other charges (impairments of accounts receivable and inventory and accruals for contractual obligations in Russia): 43.0 pretax / 40.0 after tax</t>
        </r>
      </text>
    </comment>
    <comment ref="BC254" authorId="0">
      <text>
        <r>
          <rPr>
            <sz val="10"/>
            <rFont val="Arial"/>
            <family val="2"/>
          </rPr>
          <t xml:space="preserve">Company footnotes (release): Impairments and other charges (impairments of accounts receivable and inventory and accruals for contractual obligations in Russia): 43.0 pretax / 40.0 after tax</t>
        </r>
      </text>
    </comment>
    <comment ref="BC256" authorId="0">
      <text>
        <r>
          <rPr>
            <sz val="10"/>
            <rFont val="Arial"/>
            <family val="2"/>
          </rPr>
          <t xml:space="preserve">Company footnotes (release): Fair value net (gains) losses on investments: 24.0 pretax / 18.0 after tax | Loss on partial settlement of a defined benefit plan: 10.0 pretax / 9.0 after tax</t>
        </r>
      </text>
    </comment>
    <comment ref="BC260" authorId="0">
      <text>
        <r>
          <rPr>
            <sz val="10"/>
            <rFont val="Arial"/>
            <family val="2"/>
          </rPr>
          <t xml:space="preserve">Mandatory convertible preferred stock: preferred dividends added back where the company EPS uses the if-converted method (MCPS "as if converted").</t>
        </r>
      </text>
    </comment>
    <comment ref="BD241" authorId="0">
      <text>
        <r>
          <rPr>
            <sz val="10"/>
            <rFont val="Arial"/>
            <family val="2"/>
          </rPr>
          <t xml:space="preserve">Company footnotes (release): Impairments and other charges (impairment of technology and customer relationships in Environmental &amp; Applied Solutions): 9.0 pretax / 7.0 after tax</t>
        </r>
      </text>
    </comment>
    <comment ref="BD254" authorId="0">
      <text>
        <r>
          <rPr>
            <sz val="10"/>
            <rFont val="Arial"/>
            <family val="2"/>
          </rPr>
          <t xml:space="preserve">Company footnotes (release): Impairments and other charges (impairment of technology and customer relationships in Environmental &amp; Applied Solutions): 9.0 pretax / 7.0 after tax</t>
        </r>
      </text>
    </comment>
    <comment ref="BD256" authorId="0">
      <text>
        <r>
          <rPr>
            <sz val="10"/>
            <rFont val="Arial"/>
            <family val="2"/>
          </rPr>
          <t xml:space="preserve">Company footnotes (release): Fair value net (gains) losses on investments: 98.0 pretax / 75.0 after tax</t>
        </r>
      </text>
    </comment>
    <comment ref="BD261" authorId="0">
      <text>
        <r>
          <rPr>
            <sz val="10"/>
            <rFont val="Arial"/>
            <family val="2"/>
          </rPr>
          <t xml:space="preserve">Per-share rounding / other per-share-only lines in the company bridge × diluted shares.</t>
        </r>
      </text>
    </comment>
    <comment ref="BE256" authorId="0">
      <text>
        <r>
          <rPr>
            <sz val="10"/>
            <rFont val="Arial"/>
            <family val="2"/>
          </rPr>
          <t xml:space="preserve">Company footnotes (release): Fair value net (gains) losses on investments: 64.0 pretax / 48.0 after tax</t>
        </r>
      </text>
    </comment>
    <comment ref="BF178" authorId="0">
      <text>
        <r>
          <rPr>
            <sz val="10"/>
            <rFont val="Arial"/>
            <family val="2"/>
          </rPr>
          <t xml:space="preserve">Hybrid recast basis — recast: prior-year comparatives in the Q4-23 filing (Q4-22 comparative recast for the Veralto spin (EAS = discontinued operations). As originally reported (Q4-22 release): sales 8,369, OP 2,296, cont ops 2,232 (disc ops 0), adj EPS 2.87, EAS segment 1,235 / 306, Other (84). Recast: sales 7,134, OP 1,997, cont ops 2,012, disc ops 220, adj EPS 2.54, Other (77).) Balance sheet and cash flow as originally reported.</t>
        </r>
      </text>
    </comment>
    <comment ref="BF241" authorId="0">
      <text>
        <r>
          <rPr>
            <sz val="10"/>
            <rFont val="Arial"/>
            <family val="2"/>
          </rPr>
          <t xml:space="preserve">Company footnotes (release): Separation costs (preparation for separation of Environmental &amp; Applied Solutions): 9.0 pretax / 8.0 after tax</t>
        </r>
      </text>
    </comment>
    <comment ref="BF254" authorId="0">
      <text>
        <r>
          <rPr>
            <sz val="10"/>
            <rFont val="Arial"/>
            <family val="2"/>
          </rPr>
          <t xml:space="preserve">Company footnotes (release): Separation costs (preparation for separation of Environmental &amp; Applied Solutions): 9.0 pretax / 8.0 after tax</t>
        </r>
      </text>
    </comment>
    <comment ref="BF256" authorId="0">
      <text>
        <r>
          <rPr>
            <sz val="10"/>
            <rFont val="Arial"/>
            <family val="2"/>
          </rPr>
          <t xml:space="preserve">Company footnotes (release): Fair value net (gains) losses on investments: 85.0 pretax / 57.0 after tax</t>
        </r>
      </text>
    </comment>
    <comment ref="BF267" authorId="0">
      <text>
        <r>
          <rPr>
            <sz val="10"/>
            <rFont val="Arial"/>
            <family val="2"/>
          </rPr>
          <t xml:space="preserve">Recast comparative (following year's release). As originally published: $2.87.</t>
        </r>
      </text>
    </comment>
    <comment ref="BG178" authorId="0">
      <text>
        <r>
          <rPr>
            <sz val="10"/>
            <rFont val="Arial"/>
            <family val="2"/>
          </rPr>
          <t xml:space="preserve">Hybrid recast basis — recast: prior-year comparatives in the 2023 filing (2022 comparative recast for the Veralto spin (EAS = discontinued operations). As originally reported (Q4-22 release / 2022 10-K): sales 31,471, OP 8,688, cont ops 7,209 (disc ops 0), adj EPS 10.95, EAS segment 4,828 / 1,135, Other (305). Recast: sales 26,643, OP 7,536, cont ops 6,328, disc ops 881, adj EPS 9.71, Other (322).) Balance sheet and cash flow as originally reported.</t>
        </r>
      </text>
    </comment>
    <comment ref="BG241" authorId="0">
      <text>
        <r>
          <rPr>
            <sz val="10"/>
            <rFont val="Arial"/>
            <family val="2"/>
          </rPr>
          <t xml:space="preserve">Company footnotes (release): Separation costs (anticipated EAS separation): 9.0 pretax / 8.0 after tax | Impairments and other charges (EAS technology / customer relationships $9m; Russia receivables, inventory and contractual accruals $43m): 52.0 pretax / 47.0 after tax</t>
        </r>
      </text>
    </comment>
    <comment ref="BG254" authorId="0">
      <text>
        <r>
          <rPr>
            <sz val="10"/>
            <rFont val="Arial"/>
            <family val="2"/>
          </rPr>
          <t xml:space="preserve">Company footnotes (release): Separation costs (anticipated EAS separation): 9.0 pretax / 8.0 after tax | Impairments and other charges (EAS technology / customer relationships $9m; Russia receivables, inventory and contractual accruals $43m): 52.0 pretax / 47.0 after tax</t>
        </r>
      </text>
    </comment>
    <comment ref="BG256" authorId="0">
      <text>
        <r>
          <rPr>
            <sz val="10"/>
            <rFont val="Arial"/>
            <family val="2"/>
          </rPr>
          <t xml:space="preserve">Company footnotes (release): Fair value net (gains) losses on investments (incl. impairments of equity / LP investments): 271.0 pretax / 198.0 after tax | Loss on partial settlement of a defined benefit plan: 10.0 pretax / 9.0 after tax</t>
        </r>
      </text>
    </comment>
    <comment ref="BG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BG267" authorId="0">
      <text>
        <r>
          <rPr>
            <sz val="10"/>
            <rFont val="Arial"/>
            <family val="2"/>
          </rPr>
          <t xml:space="preserve">Recast comparative (following year's release). As originally published: $10.95.</t>
        </r>
      </text>
    </comment>
    <comment ref="BH178" authorId="0">
      <text>
        <r>
          <rPr>
            <sz val="10"/>
            <rFont val="Arial"/>
            <family val="2"/>
          </rPr>
          <t xml:space="preserve">Hybrid recast basis — recast: prior-year comparatives in the Q1-24 filing (Q1-23 three-month comparative recast for the Veralto (former Environmental &amp; Applied Solutions segment) spin-off completed 30-Sep-2023 and presented as discontinued operations. As originally reported in the Q1-23 release / 10-Q (four segments incl. EAS): sales 7,167, operating profit 1,794, net earnings 1,450 (all continuing), diluted EPS 1.94, adjusted diluted EPS 2.36; EAS sales 1,218. Biotechnology / Life Sciences / Diagnostics sales and OP unchanged (1,864/596, 1,709/321, 2,376/677). Recast: sales 5,949, OP 1,517, continuing net earnings 1,240, adjusted EPS 2.05.) Balance sheet and cash flow as originally reported.</t>
        </r>
      </text>
    </comment>
    <comment ref="BH241" authorId="0">
      <text>
        <r>
          <rPr>
            <sz val="10"/>
            <rFont val="Arial"/>
            <family val="2"/>
          </rPr>
          <t xml:space="preserve">Company footnotes (release): Separation costs (preparation for separation of Environmental &amp; Applied Solutions): 28.0 pretax / 25.0 after tax</t>
        </r>
      </text>
    </comment>
    <comment ref="BH254" authorId="0">
      <text>
        <r>
          <rPr>
            <sz val="10"/>
            <rFont val="Arial"/>
            <family val="2"/>
          </rPr>
          <t xml:space="preserve">Company footnotes (release): Separation costs (preparation for separation of Environmental &amp; Applied Solutions): 28.0 pretax / 25.0 after tax</t>
        </r>
      </text>
    </comment>
    <comment ref="BH256" authorId="0">
      <text>
        <r>
          <rPr>
            <sz val="10"/>
            <rFont val="Arial"/>
            <family val="2"/>
          </rPr>
          <t xml:space="preserve">Company footnotes (release): Fair value net (gains) losses on investments: -22.0 pretax / -17.0 after tax</t>
        </r>
      </text>
    </comment>
    <comment ref="BH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BH267" authorId="0">
      <text>
        <r>
          <rPr>
            <sz val="10"/>
            <rFont val="Arial"/>
            <family val="2"/>
          </rPr>
          <t xml:space="preserve">Recast comparative (following year's release). As originally published: $2.36.</t>
        </r>
      </text>
    </comment>
    <comment ref="BI178" authorId="0">
      <text>
        <r>
          <rPr>
            <sz val="10"/>
            <rFont val="Arial"/>
            <family val="2"/>
          </rPr>
          <t xml:space="preserve">Hybrid recast basis — recast: prior-year comparatives in the Q2-24 filing (Q2-23 three-month comparative recast for the Veralto (former Environmental &amp; Applied Solutions segment) spin-off (30-Sep-2023, discontinued operations). As originally reported in the Q2-23 release / 10-Q (four segments incl. EAS): sales 7,157, operating profit 1,429, net earnings 1,106 (all continuing), diluted EPS 1.49, adjusted diluted EPS 2.05; EAS sales 1,245. Biotechnology / Life Sciences / Diagnostics sales unchanged (1,885 / 1,796 / 2,231). Recast: sales 5,912, OP 1,163, continuing net earnings 920, adjusted EPS 1.73.) Balance sheet and cash flow as originally reported.</t>
        </r>
      </text>
    </comment>
    <comment ref="BI241" authorId="0">
      <text>
        <r>
          <rPr>
            <sz val="10"/>
            <rFont val="Arial"/>
            <family val="2"/>
          </rPr>
          <t xml:space="preserve">Company footnotes (release): Separation costs (preparation for separation of Environmental &amp; Applied Solutions): 37.0 pretax / 34.0 after tax | Impairments and other charges (technology, a facility and other assets in Biotechnology; customer relationships in EAS): 48.0 pretax / 37.0 after tax</t>
        </r>
      </text>
    </comment>
    <comment ref="BI254" authorId="0">
      <text>
        <r>
          <rPr>
            <sz val="10"/>
            <rFont val="Arial"/>
            <family val="2"/>
          </rPr>
          <t xml:space="preserve">Company footnotes (release): Separation costs (preparation for separation of Environmental &amp; Applied Solutions): 37.0 pretax / 34.0 after tax | Impairments and other charges (technology, a facility and other assets in Biotechnology; customer relationships in EAS): 48.0 pretax / 37.0 after tax</t>
        </r>
      </text>
    </comment>
    <comment ref="BI256" authorId="0">
      <text>
        <r>
          <rPr>
            <sz val="10"/>
            <rFont val="Arial"/>
            <family val="2"/>
          </rPr>
          <t xml:space="preserve">Company footnotes (release): Fair value net (gains) losses on investments: 32.0 pretax / 25.0 after tax</t>
        </r>
      </text>
    </comment>
    <comment ref="BI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BI267" authorId="0">
      <text>
        <r>
          <rPr>
            <sz val="10"/>
            <rFont val="Arial"/>
            <family val="2"/>
          </rPr>
          <t xml:space="preserve">Recast comparative (following year's release). As originally published: $2.05.</t>
        </r>
      </text>
    </comment>
    <comment ref="BJ178" authorId="0">
      <text>
        <r>
          <rPr>
            <sz val="10"/>
            <rFont val="Arial"/>
            <family val="2"/>
          </rPr>
          <t xml:space="preserve">Hybrid recast basis — recast: prior-year comparatives in the Q3-24 filing (Q3-23 three-month comparative recast for the Veralto (former Environmental &amp; Applied Solutions segment) spin-off completed 30-Sep-2023 (discontinued operations). As originally reported in the Q3-23 release / 10-Q (four segments incl. EAS, sales 1,249): sales 6,873, operating profit 1,438, net earnings 1,129, diluted EPS 1.51, adjusted diluted EPS 2.02. Biotechnology / Life Sciences / Diagnostics sales unchanged (1,664 / 1,706 / 2,254). Recast: sales 5,624, OP 1,185, continuing net earnings 940, adjusted EPS 1.72.) Balance sheet and cash flow as originally reported.</t>
        </r>
      </text>
    </comment>
    <comment ref="BJ241" authorId="0">
      <text>
        <r>
          <rPr>
            <sz val="10"/>
            <rFont val="Arial"/>
            <family val="2"/>
          </rPr>
          <t xml:space="preserve">Company footnotes (release): Separation costs (preparation for separation of Environmental &amp; Applied Solutions): 36.0 pretax / 31.0 after tax | Impairments and other charges (trade name in Environmental &amp; Applied Solutions): 6.0 pretax / 4.0 after tax</t>
        </r>
      </text>
    </comment>
    <comment ref="BJ254" authorId="0">
      <text>
        <r>
          <rPr>
            <sz val="10"/>
            <rFont val="Arial"/>
            <family val="2"/>
          </rPr>
          <t xml:space="preserve">Company footnotes (release): Separation costs (preparation for separation of Environmental &amp; Applied Solutions): 36.0 pretax / 31.0 after tax | Impairments and other charges (trade name in Environmental &amp; Applied Solutions): 6.0 pretax / 4.0 after tax</t>
        </r>
      </text>
    </comment>
    <comment ref="BJ256" authorId="0">
      <text>
        <r>
          <rPr>
            <sz val="10"/>
            <rFont val="Arial"/>
            <family val="2"/>
          </rPr>
          <t xml:space="preserve">Company footnotes (release): Fair value net (gains) losses on investments: 48.0 pretax / 36.0 after tax</t>
        </r>
      </text>
    </comment>
    <comment ref="BJ261" authorId="0">
      <text>
        <r>
          <rPr>
            <sz val="10"/>
            <rFont val="Arial"/>
            <family val="2"/>
          </rPr>
          <t xml:space="preserve">Recast period: adjusted EPS shown on the recast continuing-operations basis (prior-year comparative in the following year's release); the item detail is on the original basis, so the difference (adjusting items of the discontinued business) is shown here.</t>
        </r>
      </text>
    </comment>
    <comment ref="BJ267" authorId="0">
      <text>
        <r>
          <rPr>
            <sz val="10"/>
            <rFont val="Arial"/>
            <family val="2"/>
          </rPr>
          <t xml:space="preserve">Recast comparative (following year's release). As originally published: $2.02.</t>
        </r>
      </text>
    </comment>
    <comment ref="BK241" authorId="0">
      <text>
        <r>
          <rPr>
            <sz val="10"/>
            <rFont val="Arial"/>
            <family val="2"/>
          </rPr>
          <t xml:space="preserve">Company footnotes (release): Impairments and other charges (technology-based intangibles in Diagnostics 23/18 and in Biotechnology 12/8): 35.0 pretax / 26.0 after tax | Acquisition-related items (Abcam transaction costs, settlement of pre-acquisition share-based awards, inventory fair value step-up): 95.0 pretax / 75.0 after tax | Litigation gains (Life Sciences): -10.0 pretax / -8.0 after tax</t>
        </r>
      </text>
    </comment>
    <comment ref="BK254" authorId="0">
      <text>
        <r>
          <rPr>
            <sz val="10"/>
            <rFont val="Arial"/>
            <family val="2"/>
          </rPr>
          <t xml:space="preserve">Company footnotes (release): Impairments and other charges (technology-based intangibles in Diagnostics 23/18 and in Biotechnology 12/8): 35.0 pretax / 26.0 after tax | Acquisition-related items (Abcam transaction costs, settlement of pre-acquisition share-based awards, inventory fair value step-up): 95.0 pretax / 75.0 after tax | Litigation gains (Life Sciences): -10.0 pretax / -8.0 after tax</t>
        </r>
      </text>
    </comment>
    <comment ref="BK256" authorId="0">
      <text>
        <r>
          <rPr>
            <sz val="10"/>
            <rFont val="Arial"/>
            <family val="2"/>
          </rPr>
          <t xml:space="preserve">Company footnotes (release): Fair value net (gains) losses on investments: 139.0 pretax / 98.0 after tax</t>
        </r>
      </text>
    </comment>
    <comment ref="BL241" authorId="0">
      <text>
        <r>
          <rPr>
            <sz val="10"/>
            <rFont val="Arial"/>
            <family val="2"/>
          </rPr>
          <t xml:space="preserve">Company footnotes (release): Impairments and other charges (technology-based intangibles in Diagnostics 23/18; technology and other assets in Biotechnology 54/40): 77.0 pretax / 58.0 after tax | Acquisition-related items (Abcam transaction costs, settlement of pre-acquisition share-based awards, inventory fair value step-up): 95.0 pretax / 75.0 after tax | Litigation gains (Life Sciences): -10.0 pretax / -8.0 after tax</t>
        </r>
      </text>
    </comment>
    <comment ref="BL254" authorId="0">
      <text>
        <r>
          <rPr>
            <sz val="10"/>
            <rFont val="Arial"/>
            <family val="2"/>
          </rPr>
          <t xml:space="preserve">Company footnotes (release): Impairments and other charges (technology-based intangibles in Diagnostics 23/18; technology and other assets in Biotechnology 54/40): 77.0 pretax / 58.0 after tax | Acquisition-related items (Abcam transaction costs, settlement of pre-acquisition share-based awards, inventory fair value step-up): 95.0 pretax / 75.0 after tax | Litigation gains (Life Sciences): -10.0 pretax / -8.0 after tax</t>
        </r>
      </text>
    </comment>
    <comment ref="BL256" authorId="0">
      <text>
        <r>
          <rPr>
            <sz val="10"/>
            <rFont val="Arial"/>
            <family val="2"/>
          </rPr>
          <t xml:space="preserve">Company footnotes (release): Fair value net (gains) losses on investments: 182.0 pretax / 130.0 after tax</t>
        </r>
      </text>
    </comment>
    <comment ref="BL260" authorId="0">
      <text>
        <r>
          <rPr>
            <sz val="10"/>
            <rFont val="Arial"/>
            <family val="2"/>
          </rPr>
          <t xml:space="preserve">Mandatory convertible preferred stock: preferred dividends added back where the company EPS uses the if-converted method (MCPS "as if converted").</t>
        </r>
      </text>
    </comment>
    <comment ref="BL261" authorId="0">
      <text>
        <r>
          <rPr>
            <sz val="10"/>
            <rFont val="Arial"/>
            <family val="2"/>
          </rPr>
          <t xml:space="preserve">Per-share rounding / other per-share-only lines in the company bridge × diluted shares.</t>
        </r>
      </text>
    </comment>
    <comment ref="BM21" authorId="0">
      <text>
        <r>
          <rPr>
            <sz val="10"/>
            <rFont val="Arial"/>
            <family val="2"/>
          </rPr>
          <t xml:space="preserve">Allocated from the release footnote: Q1-24 release note: Abcam inventory fair-value step-up ($25m) — Life Sciences (Abcam)</t>
        </r>
      </text>
    </comment>
    <comment ref="BM39" authorId="0">
      <text>
        <r>
          <rPr>
            <sz val="10"/>
            <rFont val="Arial"/>
            <family val="2"/>
          </rPr>
          <t xml:space="preserve">Allocated from the release footnote: Q1-24 release note: Abcam inventory fair-value step-up ($25m) — Life Sciences (Abcam)</t>
        </r>
      </text>
    </comment>
    <comment ref="BM57" authorId="0">
      <text>
        <r>
          <rPr>
            <sz val="10"/>
            <rFont val="Arial"/>
            <family val="2"/>
          </rPr>
          <t xml:space="preserve">Allocated from the release footnote: Q1-24 release note: Abcam inventory fair-value step-up ($25m) — Life Sciences (Abcam)</t>
        </r>
      </text>
    </comment>
    <comment ref="BM241" authorId="0">
      <text>
        <r>
          <rPr>
            <sz val="10"/>
            <rFont val="Arial"/>
            <family val="2"/>
          </rPr>
          <t xml:space="preserve">Company footnotes (release): Acquisition-related items (fair value adjustment to inventory, Abcam): 25.0 pretax / 19.0 after tax</t>
        </r>
      </text>
    </comment>
    <comment ref="BM254" authorId="0">
      <text>
        <r>
          <rPr>
            <sz val="10"/>
            <rFont val="Arial"/>
            <family val="2"/>
          </rPr>
          <t xml:space="preserve">Company footnotes (release): Acquisition-related items (fair value adjustment to inventory, Abcam): 25.0 pretax / 19.0 after tax</t>
        </r>
      </text>
    </comment>
    <comment ref="BM256" authorId="0">
      <text>
        <r>
          <rPr>
            <sz val="10"/>
            <rFont val="Arial"/>
            <family val="2"/>
          </rPr>
          <t xml:space="preserve">Company footnotes (release): Fair value net (gains) losses on investments (equity and limited partnership investments): 37.0 pretax / 28.0 after tax</t>
        </r>
      </text>
    </comment>
    <comment ref="BM261" authorId="0">
      <text>
        <r>
          <rPr>
            <sz val="10"/>
            <rFont val="Arial"/>
            <family val="2"/>
          </rPr>
          <t xml:space="preserve">Per-share rounding / other per-share-only lines in the company bridge × diluted shares.</t>
        </r>
      </text>
    </comment>
    <comment ref="BN256" authorId="0">
      <text>
        <r>
          <rPr>
            <sz val="10"/>
            <rFont val="Arial"/>
            <family val="2"/>
          </rPr>
          <t xml:space="preserve">Company footnotes (release): Fair value net (gains) losses on investments (equity and limited partnership investments): 59.0 pretax / 45.0 after tax</t>
        </r>
      </text>
    </comment>
    <comment ref="BO21" authorId="0">
      <text>
        <r>
          <rPr>
            <sz val="10"/>
            <rFont val="Arial"/>
            <family val="2"/>
          </rPr>
          <t xml:space="preserve">Allocated from the release footnote: Q3-24 release note: trade-name impairment, Life Sciences ($222m)</t>
        </r>
      </text>
    </comment>
    <comment ref="BO39" authorId="0">
      <text>
        <r>
          <rPr>
            <sz val="10"/>
            <rFont val="Arial"/>
            <family val="2"/>
          </rPr>
          <t xml:space="preserve">Allocated from the release footnote: Q3-24 release note: trade-name impairment, Life Sciences ($222m)</t>
        </r>
      </text>
    </comment>
    <comment ref="BO57" authorId="0">
      <text>
        <r>
          <rPr>
            <sz val="10"/>
            <rFont val="Arial"/>
            <family val="2"/>
          </rPr>
          <t xml:space="preserve">Allocated from the release footnote: Q3-24 release note: trade-name impairment, Life Sciences ($222m)</t>
        </r>
      </text>
    </comment>
    <comment ref="BO241" authorId="0">
      <text>
        <r>
          <rPr>
            <sz val="10"/>
            <rFont val="Arial"/>
            <family val="2"/>
          </rPr>
          <t xml:space="preserve">Company footnotes (release): Impairments (trade name, Life Sciences segment): 222.0 pretax / 169.0 after tax</t>
        </r>
      </text>
    </comment>
    <comment ref="BO254" authorId="0">
      <text>
        <r>
          <rPr>
            <sz val="10"/>
            <rFont val="Arial"/>
            <family val="2"/>
          </rPr>
          <t xml:space="preserve">Company footnotes (release): Impairments (trade name, Life Sciences segment): 222.0 pretax / 169.0 after tax</t>
        </r>
      </text>
    </comment>
    <comment ref="BO256" authorId="0">
      <text>
        <r>
          <rPr>
            <sz val="10"/>
            <rFont val="Arial"/>
            <family val="2"/>
          </rPr>
          <t xml:space="preserve">Company footnotes (release): Fair value net (gains) losses on investments (equity and limited partnership investments): -103.0 pretax / -82.0 after tax</t>
        </r>
      </text>
    </comment>
    <comment ref="BP241" authorId="0">
      <text>
        <r>
          <rPr>
            <sz val="10"/>
            <rFont val="Arial"/>
            <family val="2"/>
          </rPr>
          <t xml:space="preserve">Company footnotes (release): Impairments (trade name, Diagnostics segment): 43.0 pretax / 32.0 after tax | Contract termination expense (loss on termination of a commercial agreement, Diagnostics): 56.0 pretax / 56.0 after tax</t>
        </r>
      </text>
    </comment>
    <comment ref="BP254" authorId="0">
      <text>
        <r>
          <rPr>
            <sz val="10"/>
            <rFont val="Arial"/>
            <family val="2"/>
          </rPr>
          <t xml:space="preserve">Company footnotes (release): Impairments (trade name, Diagnostics segment): 43.0 pretax / 32.0 after tax | Contract termination expense (loss on termination of a commercial agreement, Diagnostics): 56.0 pretax / 56.0 after tax</t>
        </r>
      </text>
    </comment>
    <comment ref="BP256" authorId="0">
      <text>
        <r>
          <rPr>
            <sz val="10"/>
            <rFont val="Arial"/>
            <family val="2"/>
          </rPr>
          <t xml:space="preserve">Company footnotes (release): Fair value net (gains) losses on investments (incl. impairments of equity and limited partnership investments): 64.0 pretax / 48.0 after tax</t>
        </r>
      </text>
    </comment>
    <comment ref="BQ241" authorId="0">
      <text>
        <r>
          <rPr>
            <sz val="10"/>
            <rFont val="Arial"/>
            <family val="2"/>
          </rPr>
          <t xml:space="preserve">Company footnotes (release): Impairments (trade names: Life Sciences $222m / $169m after-tax; Diagnostics $43m / $32m): 265.0 pretax / 201.0 after tax | Acquisition-related items (fair value adjustment to inventory, Abcam): 25.0 pretax / 19.0 after tax | Contract termination expense (loss on termination of a commercial agreement, Diagnostics): 56.0 pretax / 56.0 after tax</t>
        </r>
      </text>
    </comment>
    <comment ref="BQ254" authorId="0">
      <text>
        <r>
          <rPr>
            <sz val="10"/>
            <rFont val="Arial"/>
            <family val="2"/>
          </rPr>
          <t xml:space="preserve">Company footnotes (release): Impairments (trade names: Life Sciences $222m / $169m after-tax; Diagnostics $43m / $32m): 265.0 pretax / 201.0 after tax | Acquisition-related items (fair value adjustment to inventory, Abcam): 25.0 pretax / 19.0 after tax | Contract termination expense (loss on termination of a commercial agreement, Diagnostics): 56.0 pretax / 56.0 after tax</t>
        </r>
      </text>
    </comment>
    <comment ref="BQ256" authorId="0">
      <text>
        <r>
          <rPr>
            <sz val="10"/>
            <rFont val="Arial"/>
            <family val="2"/>
          </rPr>
          <t xml:space="preserve">Company footnotes (release): Fair value net (gains) losses on investments (incl. impairments of equity and limited partnership investments): 57.0 pretax / 39.0 after tax</t>
        </r>
      </text>
    </comment>
    <comment ref="BQ261" authorId="0">
      <text>
        <r>
          <rPr>
            <sz val="10"/>
            <rFont val="Arial"/>
            <family val="2"/>
          </rPr>
          <t xml:space="preserve">Per-share rounding / other per-share-only lines in the company bridge × diluted shares.</t>
        </r>
      </text>
    </comment>
    <comment ref="BR21" authorId="0">
      <text>
        <r>
          <rPr>
            <sz val="10"/>
            <rFont val="Arial"/>
            <family val="2"/>
          </rPr>
          <t xml:space="preserve">Allocated from the release footnote: Q1-25 release note: facility impairment, Biotechnology ($15m)</t>
        </r>
      </text>
    </comment>
    <comment ref="BR39" authorId="0">
      <text>
        <r>
          <rPr>
            <sz val="10"/>
            <rFont val="Arial"/>
            <family val="2"/>
          </rPr>
          <t xml:space="preserve">Allocated from the release footnote: Q1-25 release note: facility impairment, Biotechnology ($15m)</t>
        </r>
      </text>
    </comment>
    <comment ref="BR57" authorId="0">
      <text>
        <r>
          <rPr>
            <sz val="10"/>
            <rFont val="Arial"/>
            <family val="2"/>
          </rPr>
          <t xml:space="preserve">Allocated from the release footnote: Q1-25 release note: facility impairment, Biotechnology ($15m)</t>
        </r>
      </text>
    </comment>
    <comment ref="BR241" authorId="0">
      <text>
        <r>
          <rPr>
            <sz val="10"/>
            <rFont val="Arial"/>
            <family val="2"/>
          </rPr>
          <t xml:space="preserve">Company footnotes (release): Impairments (facility in the Biotechnology segment): 15.0 pretax / 11.0 after tax</t>
        </r>
      </text>
    </comment>
    <comment ref="BR254" authorId="0">
      <text>
        <r>
          <rPr>
            <sz val="10"/>
            <rFont val="Arial"/>
            <family val="2"/>
          </rPr>
          <t xml:space="preserve">Company footnotes (release): Impairments (facility in the Biotechnology segment): 15.0 pretax / 11.0 after tax</t>
        </r>
      </text>
    </comment>
    <comment ref="BR256" authorId="0">
      <text>
        <r>
          <rPr>
            <sz val="10"/>
            <rFont val="Arial"/>
            <family val="2"/>
          </rPr>
          <t xml:space="preserve">Company footnotes (release): Fair value net (gains) losses on investments: 90.0 pretax / 68.0 after tax | Gain on a product line disposition: -9.0 pretax / -7.0 after tax</t>
        </r>
      </text>
    </comment>
    <comment ref="BS21" authorId="0">
      <text>
        <r>
          <rPr>
            <sz val="10"/>
            <rFont val="Arial"/>
            <family val="2"/>
          </rPr>
          <t xml:space="preserve">Allocated from the release footnote: Q2-25 release note: trade-name impairment, Life Sciences ($432m)</t>
        </r>
      </text>
    </comment>
    <comment ref="BS39" authorId="0">
      <text>
        <r>
          <rPr>
            <sz val="10"/>
            <rFont val="Arial"/>
            <family val="2"/>
          </rPr>
          <t xml:space="preserve">Allocated from the release footnote: Q2-25 release note: trade-name impairment, Life Sciences ($432m)</t>
        </r>
      </text>
    </comment>
    <comment ref="BS57" authorId="0">
      <text>
        <r>
          <rPr>
            <sz val="10"/>
            <rFont val="Arial"/>
            <family val="2"/>
          </rPr>
          <t xml:space="preserve">Allocated from the release footnote: Q2-25 release note: trade-name impairment, Life Sciences ($432m)</t>
        </r>
      </text>
    </comment>
    <comment ref="BS241" authorId="0">
      <text>
        <r>
          <rPr>
            <sz val="10"/>
            <rFont val="Arial"/>
            <family val="2"/>
          </rPr>
          <t xml:space="preserve">Company footnotes (release): Impairments (trade name in the Life Sciences segment): 432.0 pretax / 328.0 after tax</t>
        </r>
      </text>
    </comment>
    <comment ref="BS254" authorId="0">
      <text>
        <r>
          <rPr>
            <sz val="10"/>
            <rFont val="Arial"/>
            <family val="2"/>
          </rPr>
          <t xml:space="preserve">Company footnotes (release): Impairments (trade name in the Life Sciences segment): 432.0 pretax / 328.0 after tax</t>
        </r>
      </text>
    </comment>
    <comment ref="BS256" authorId="0">
      <text>
        <r>
          <rPr>
            <sz val="10"/>
            <rFont val="Arial"/>
            <family val="2"/>
          </rPr>
          <t xml:space="preserve">Company footnotes (release): Fair value net (gains) losses on investments: 44.0 pretax / 33.0 after tax</t>
        </r>
      </text>
    </comment>
    <comment ref="BS261" authorId="0">
      <text>
        <r>
          <rPr>
            <sz val="10"/>
            <rFont val="Arial"/>
            <family val="2"/>
          </rPr>
          <t xml:space="preserve">Per-share rounding / other per-share-only lines in the company bridge × diluted shares.</t>
        </r>
      </text>
    </comment>
    <comment ref="BT21" authorId="0">
      <text>
        <r>
          <rPr>
            <sz val="10"/>
            <rFont val="Arial"/>
            <family val="2"/>
          </rPr>
          <t xml:space="preserve">Allocated from the release footnote: Q3-25 release note: technology / other intangibles &amp; facility impairments, Biotechnology ($86m); trade name, Diagnostics ($15m)</t>
        </r>
      </text>
    </comment>
    <comment ref="BT39" authorId="0">
      <text>
        <r>
          <rPr>
            <sz val="10"/>
            <rFont val="Arial"/>
            <family val="2"/>
          </rPr>
          <t xml:space="preserve">Allocated from the release footnote: Q3-25 release note: technology / other intangibles &amp; facility impairments, Biotechnology ($86m); trade name, Diagnostics ($15m)</t>
        </r>
      </text>
    </comment>
    <comment ref="BT57" authorId="0">
      <text>
        <r>
          <rPr>
            <sz val="10"/>
            <rFont val="Arial"/>
            <family val="2"/>
          </rPr>
          <t xml:space="preserve">Allocated from the release footnote: Q3-25 release note: technology / other intangibles &amp; facility impairments, Biotechnology ($86m); trade name, Diagnostics ($15m)</t>
        </r>
      </text>
    </comment>
    <comment ref="BT241" authorId="0">
      <text>
        <r>
          <rPr>
            <sz val="10"/>
            <rFont val="Arial"/>
            <family val="2"/>
          </rPr>
          <t xml:space="preserve">Company footnotes (release): Impairments (technology and other intangible assets in the Biotechnology segment): 86.0 pretax / 58.0 after tax | Impairments (trade name in the Diagnostics segment): 15.0 pretax / 12.0 after tax</t>
        </r>
      </text>
    </comment>
    <comment ref="BT254" authorId="0">
      <text>
        <r>
          <rPr>
            <sz val="10"/>
            <rFont val="Arial"/>
            <family val="2"/>
          </rPr>
          <t xml:space="preserve">Company footnotes (release): Impairments (technology and other intangible assets in the Biotechnology segment): 86.0 pretax / 58.0 after tax | Impairments (trade name in the Diagnostics segment): 15.0 pretax / 12.0 after tax</t>
        </r>
      </text>
    </comment>
    <comment ref="BT256" authorId="0">
      <text>
        <r>
          <rPr>
            <sz val="10"/>
            <rFont val="Arial"/>
            <family val="2"/>
          </rPr>
          <t xml:space="preserve">Company footnotes (release): Fair value net (gains) losses on investments: 15.0 pretax / 12.0 after tax</t>
        </r>
      </text>
    </comment>
    <comment ref="BU241" authorId="0">
      <text>
        <r>
          <rPr>
            <sz val="10"/>
            <rFont val="Arial"/>
            <family val="2"/>
          </rPr>
          <t xml:space="preserve">Company footnotes (release): Impairments (facility in the Life Sciences segment; in cost of sales): 14.0 pretax / 11.0 after tax | Resolution of an acquisition contingency (Diagnostics): -10.0 pretax / -8.0 after tax</t>
        </r>
      </text>
    </comment>
    <comment ref="BU254" authorId="0">
      <text>
        <r>
          <rPr>
            <sz val="10"/>
            <rFont val="Arial"/>
            <family val="2"/>
          </rPr>
          <t xml:space="preserve">Company footnotes (release): Impairments (facility in the Life Sciences segment; in cost of sales): 14.0 pretax / 11.0 after tax | Resolution of an acquisition contingency (Diagnostics): -10.0 pretax / -8.0 after tax</t>
        </r>
      </text>
    </comment>
    <comment ref="BU256" authorId="0">
      <text>
        <r>
          <rPr>
            <sz val="10"/>
            <rFont val="Arial"/>
            <family val="2"/>
          </rPr>
          <t xml:space="preserve">Company footnotes (release): Fair value net (gains) losses on investments (incl. impairments of equity / LP investments): 99.0 pretax / 75.0 after tax | Gain on sale of a facility: -11.0 pretax / -8.0 after tax</t>
        </r>
      </text>
    </comment>
    <comment ref="BU261" authorId="0">
      <text>
        <r>
          <rPr>
            <sz val="10"/>
            <rFont val="Arial"/>
            <family val="2"/>
          </rPr>
          <t xml:space="preserve">Per-share rounding / other per-share-only lines in the company bridge × diluted shares.</t>
        </r>
      </text>
    </comment>
    <comment ref="BV241" authorId="0">
      <text>
        <r>
          <rPr>
            <sz val="10"/>
            <rFont val="Arial"/>
            <family val="2"/>
          </rPr>
          <t xml:space="preserve">Company footnotes (release): Impairments (Biotech technology/other intangibles/facility $101m; LS trade name $432m and facility $14m; Dx trade name $15m): 562.0 pretax / 420.0 after tax | Resolution of an acquisition contingency (Diagnostics): -10.0 pretax / -8.0 after tax</t>
        </r>
      </text>
    </comment>
    <comment ref="BV254" authorId="0">
      <text>
        <r>
          <rPr>
            <sz val="10"/>
            <rFont val="Arial"/>
            <family val="2"/>
          </rPr>
          <t xml:space="preserve">Company footnotes (release): Impairments (Biotech technology/other intangibles/facility $101m; LS trade name $432m and facility $14m; Dx trade name $15m): 562.0 pretax / 420.0 after tax | Resolution of an acquisition contingency (Diagnostics): -10.0 pretax / -8.0 after tax</t>
        </r>
      </text>
    </comment>
    <comment ref="BV256" authorId="0">
      <text>
        <r>
          <rPr>
            <sz val="10"/>
            <rFont val="Arial"/>
            <family val="2"/>
          </rPr>
          <t xml:space="preserve">Company footnotes (release): Fair value net (gains) losses on investments (incl. impairments of equity and limited partnership investments): 248.0 pretax / 188.0 after tax | Gain on sale of a facility: -11.0 pretax / -8.0 after tax | Gain on a product line disposition: -9.0 pretax / -7.0 after tax</t>
        </r>
      </text>
    </comment>
    <comment ref="BW21" authorId="0">
      <text>
        <r>
          <rPr>
            <sz val="10"/>
            <rFont val="Arial"/>
            <family val="2"/>
          </rPr>
          <t xml:space="preserve">Allocated from the release footnote: Q1-26 release note: Masimo transaction costs ($17m); Other (corporate) operating profit unchanged at ~$(89)m, so allocated to Diagnostics</t>
        </r>
      </text>
    </comment>
    <comment ref="BW39" authorId="0">
      <text>
        <r>
          <rPr>
            <sz val="10"/>
            <rFont val="Arial"/>
            <family val="2"/>
          </rPr>
          <t xml:space="preserve">Allocated from the release footnote: Q1-26 release note: Masimo transaction costs ($17m); Other (corporate) operating profit unchanged at ~$(89)m, so allocated to Diagnostics</t>
        </r>
      </text>
    </comment>
    <comment ref="BW57" authorId="0">
      <text>
        <r>
          <rPr>
            <sz val="10"/>
            <rFont val="Arial"/>
            <family val="2"/>
          </rPr>
          <t xml:space="preserve">Allocated from the release footnote: Q1-26 release note: Masimo transaction costs ($17m); Other (corporate) operating profit unchanged at ~$(89)m, so allocated to Diagnostics</t>
        </r>
      </text>
    </comment>
    <comment ref="BW241" authorId="0">
      <text>
        <r>
          <rPr>
            <sz val="10"/>
            <rFont val="Arial"/>
            <family val="2"/>
          </rPr>
          <t xml:space="preserve">Company footnotes (release): Acquisition-related items (Masimo transaction costs): 17.0 pretax / 15.0 after tax</t>
        </r>
      </text>
    </comment>
    <comment ref="BW254" authorId="0">
      <text>
        <r>
          <rPr>
            <sz val="10"/>
            <rFont val="Arial"/>
            <family val="2"/>
          </rPr>
          <t xml:space="preserve">Company footnotes (release): Acquisition-related items (Masimo transaction costs): 17.0 pretax / 15.0 after tax</t>
        </r>
      </text>
    </comment>
    <comment ref="BW256" authorId="0">
      <text>
        <r>
          <rPr>
            <sz val="10"/>
            <rFont val="Arial"/>
            <family val="2"/>
          </rPr>
          <t xml:space="preserve">Company footnotes (release): Fair value net (gains) losses on investments: 77.0 pretax / 59.0 after tax</t>
        </r>
      </text>
    </comment>
    <comment ref="BX21" authorId="0">
      <text>
        <r>
          <rPr>
            <sz val="10"/>
            <rFont val="Arial"/>
            <family val="2"/>
          </rPr>
          <t xml:space="preserve">Allocated from the release footnote: Q2-26 release note C: Masimo inventory step-up, transaction costs, pre-acquisition share-based &amp; change-in-control payments ($108m); Diagnostics operating profit</t>
        </r>
      </text>
    </comment>
    <comment ref="BX39" authorId="0">
      <text>
        <r>
          <rPr>
            <sz val="10"/>
            <rFont val="Arial"/>
            <family val="2"/>
          </rPr>
          <t xml:space="preserve">Allocated from the release footnote: Q2-26 release note C: Masimo inventory step-up, transaction costs, pre-acquisition share-based &amp; change-in-control payments ($108m); Diagnostics operating profit</t>
        </r>
      </text>
    </comment>
    <comment ref="BX57" authorId="0">
      <text>
        <r>
          <rPr>
            <sz val="10"/>
            <rFont val="Arial"/>
            <family val="2"/>
          </rPr>
          <t xml:space="preserve">Allocated from the release footnote: Q2-26 release note C: Masimo inventory step-up, transaction costs, pre-acquisition share-based &amp; change-in-control payments ($108m); Diagnostics operating profit</t>
        </r>
      </text>
    </comment>
    <comment ref="BX241" authorId="0">
      <text>
        <r>
          <rPr>
            <sz val="10"/>
            <rFont val="Arial"/>
            <family val="2"/>
          </rPr>
          <t xml:space="preserve">Company footnotes (release): Acquisition-related items (Masimo inventory fair value step-up, significant transaction costs, pre-acquisition share-based and change-in-control payments): 108.0 pretax / 95.0 after tax</t>
        </r>
      </text>
    </comment>
    <comment ref="BX254" authorId="0">
      <text>
        <r>
          <rPr>
            <sz val="10"/>
            <rFont val="Arial"/>
            <family val="2"/>
          </rPr>
          <t xml:space="preserve">Company footnotes (release): Acquisition-related items (Masimo inventory fair value step-up, significant transaction costs, pre-acquisition share-based and change-in-control payments): 108.0 pretax / 95.0 after tax</t>
        </r>
      </text>
    </comment>
    <comment ref="BX256" authorId="0">
      <text>
        <r>
          <rPr>
            <sz val="10"/>
            <rFont val="Arial"/>
            <family val="2"/>
          </rPr>
          <t xml:space="preserve">Company footnotes (release): Fair value net (gains) losses on investments: 7.0 pretax / 5.0 after tax</t>
        </r>
      </text>
    </comment>
    <comment ref="CF2" authorId="0">
      <text>
        <r>
          <rPr>
            <sz val="10"/>
            <rFont val="Arial"/>
            <family val="2"/>
          </rPr>
          <t xml:space="preserve">Scenario toggle. Choose Bull / Base / Bear. Drives: FY26 core-growth and adjusted-EPS outlook end-points (high / mid / low), 2H/26 buybacks, 2027E–2030E segment core growth and adjusted margins, Masimo / StatLab growth, M&amp;A spend and the leverage floor for 2027E+ buybacks (scenario table CN:CR).</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26" authorId="0">
      <text>
        <r>
          <rPr>
            <sz val="10"/>
            <rFont val="Arial"/>
            <family val="2"/>
          </rPr>
          <t xml:space="preserve">P/E on adjusted EPS (continuing operations, company definition incl. amortization add-back). Danaher has traded at ~22–35x NTM adjusted EPS over 2016–26 (~26x 2026E at $221.21). Base 25x, Bull 28x, Bear 20x applied to 2030E.</t>
        </r>
      </text>
    </comment>
    <comment ref="P40" authorId="0">
      <text>
        <r>
          <rPr>
            <sz val="10"/>
            <rFont val="Arial"/>
            <family val="2"/>
          </rPr>
          <t xml:space="preserve">Snapshot (values) of Model rows 337–339 (Share Buyback Schedule) with Model!CF2 = Bull; Bear panel AB40:AF42 likewise. Base panel (D40:H42) is live-linked.</t>
        </r>
      </text>
    </comment>
  </commentList>
</comments>
</file>

<file path=xl/sharedStrings.xml><?xml version="1.0" encoding="utf-8"?>
<sst xmlns="http://schemas.openxmlformats.org/spreadsheetml/2006/main" count="1041" uniqueCount="834">
  <si>
    <t xml:space="preserve">SCENARIO SWITCH ▼ (Bull / Base / Bear) — drives all scenario-linked forecast drivers</t>
  </si>
  <si>
    <t xml:space="preserve">Danaher Corporation (NYSE: DHR) — 3-Statement Financial Model</t>
  </si>
  <si>
    <t xml:space="preserve">Base</t>
  </si>
  <si>
    <t xml:space="preserve">US GAAP as reported · USD millions (per-share data in USD; shares in millions, split-adjusted) · Source: Danaher Forms 10-K / 10-Q and Form 8-K earnings releases (Ex. 99.1), deal 8-Ks (Masimo Feb-2026; financing Apr–Jun 2026), SEC EDGAR CIK 0000313616; Masimo standalone history from Masimo Corp. filings (CIK 0000937556) (investor-relations releases are the same documents as filed on EDGAR)</t>
  </si>
  <si>
    <t xml:space="preserve">Basis notes: calendar fiscal year (quarters end on the Friday nearest the calendar quarter end). Hybrid recast: income statement, segments and adjusted EPS of the periods before each separation use the restated continuing-operations comparatives of the following year's filings (Apex JV 2010, Communications 2015, Fortive 2-Jul-2016, ASU 2017-07 pension recast, Envista Dec-2019, Veralto 30-Sep-2023); balance sheet and cash flow as originally reported. 2-for-1 split Jun-2010. Segments: Biotechnology / Life Sciences / Diagnostics from Q4-22 (legacy segments in memo rows). Cytiva 31-Mar-2020; Aldevron Aug-2021; Abcam Dec-2023; Masimo 10-Jun-2026 (in Diagnostics; modelled separately); StatLab pending (assumed closed end-2026). Q3/26E–Q4/26E calibrated to FY26 core-growth and adjusted-EPS guidance.</t>
  </si>
  <si>
    <t xml:space="preserve">Forecast</t>
  </si>
  <si>
    <t xml:space="preserve">Historical</t>
  </si>
  <si>
    <t xml:space="preserve">(USDm)</t>
  </si>
  <si>
    <t xml:space="preserve">Q1/13</t>
  </si>
  <si>
    <t xml:space="preserve">Q2/13</t>
  </si>
  <si>
    <t xml:space="preserve">Q3/13</t>
  </si>
  <si>
    <t xml:space="preserve">Q4/13</t>
  </si>
  <si>
    <t xml:space="preserve">Q1/14</t>
  </si>
  <si>
    <t xml:space="preserve">Q2/14</t>
  </si>
  <si>
    <t xml:space="preserve">Q3/14</t>
  </si>
  <si>
    <t xml:space="preserve">Q4/14</t>
  </si>
  <si>
    <t xml:space="preserve">Q1/15</t>
  </si>
  <si>
    <t xml:space="preserve">Q2/15</t>
  </si>
  <si>
    <t xml:space="preserve">Q3/15</t>
  </si>
  <si>
    <t xml:space="preserve">Q4/15</t>
  </si>
  <si>
    <t xml:space="preserve">Q1/16</t>
  </si>
  <si>
    <t xml:space="preserve">Q2/16</t>
  </si>
  <si>
    <t xml:space="preserve">Q3/16</t>
  </si>
  <si>
    <t xml:space="preserve">Q4/16</t>
  </si>
  <si>
    <t xml:space="preserve">Q1/17</t>
  </si>
  <si>
    <t xml:space="preserve">Q2/17</t>
  </si>
  <si>
    <t xml:space="preserve">Q3/17</t>
  </si>
  <si>
    <t xml:space="preserve">Q4/17</t>
  </si>
  <si>
    <t xml:space="preserve">Q1/18</t>
  </si>
  <si>
    <t xml:space="preserve">Q2/18</t>
  </si>
  <si>
    <t xml:space="preserve">Q3/18</t>
  </si>
  <si>
    <t xml:space="preserve">Q4/18</t>
  </si>
  <si>
    <t xml:space="preserve">Q1/19</t>
  </si>
  <si>
    <t xml:space="preserve">Q2/19</t>
  </si>
  <si>
    <t xml:space="preserve">Q3/19</t>
  </si>
  <si>
    <t xml:space="preserve">Q4/19</t>
  </si>
  <si>
    <t xml:space="preserve">Q1/20</t>
  </si>
  <si>
    <t xml:space="preserve">Q2/20</t>
  </si>
  <si>
    <t xml:space="preserve">Q3/20</t>
  </si>
  <si>
    <t xml:space="preserve">Q4/20</t>
  </si>
  <si>
    <t xml:space="preserve">Q1/21</t>
  </si>
  <si>
    <t xml:space="preserve">Q2/21</t>
  </si>
  <si>
    <t xml:space="preserve">Q3/21</t>
  </si>
  <si>
    <t xml:space="preserve">Q4/21</t>
  </si>
  <si>
    <t xml:space="preserve">Q1/22</t>
  </si>
  <si>
    <t xml:space="preserve">Q2/22</t>
  </si>
  <si>
    <t xml:space="preserve">Q3/22</t>
  </si>
  <si>
    <t xml:space="preserve">Q4/22</t>
  </si>
  <si>
    <t xml:space="preserve">Q1/23</t>
  </si>
  <si>
    <t xml:space="preserve">Q2/23</t>
  </si>
  <si>
    <t xml:space="preserve">Q3/23</t>
  </si>
  <si>
    <t xml:space="preserve">Q4/23</t>
  </si>
  <si>
    <t xml:space="preserve">Q1/24</t>
  </si>
  <si>
    <t xml:space="preserve">Q2/24</t>
  </si>
  <si>
    <t xml:space="preserve">Q3/24</t>
  </si>
  <si>
    <t xml:space="preserve">Q4/24</t>
  </si>
  <si>
    <t xml:space="preserve">Q1/25</t>
  </si>
  <si>
    <t xml:space="preserve">Q2/25</t>
  </si>
  <si>
    <t xml:space="preserve">Q3/25</t>
  </si>
  <si>
    <t xml:space="preserve">Q4/25</t>
  </si>
  <si>
    <t xml:space="preserve">Q1/26</t>
  </si>
  <si>
    <t xml:space="preserve">Q2/26</t>
  </si>
  <si>
    <t xml:space="preserve">Q3/26E</t>
  </si>
  <si>
    <t xml:space="preserve">Q4/26E</t>
  </si>
  <si>
    <t xml:space="preserve">2026E</t>
  </si>
  <si>
    <t xml:space="preserve">2027E</t>
  </si>
  <si>
    <t xml:space="preserve">2028E</t>
  </si>
  <si>
    <t xml:space="preserve">2029E</t>
  </si>
  <si>
    <t xml:space="preserve">2030E</t>
  </si>
  <si>
    <t xml:space="preserve">Modelling Notes</t>
  </si>
  <si>
    <t xml:space="preserve">5Y CAGR</t>
  </si>
  <si>
    <t xml:space="preserve">10Y CAGR</t>
  </si>
  <si>
    <t xml:space="preserve">19Y CAGR</t>
  </si>
  <si>
    <t xml:space="preserve">25-'30</t>
  </si>
  <si>
    <t xml:space="preserve">20-'25</t>
  </si>
  <si>
    <t xml:space="preserve">15-'25</t>
  </si>
  <si>
    <t xml:space="preserve">06-'25</t>
  </si>
  <si>
    <t xml:space="preserve">SEGMENT P&amp;L — BIOTECHNOLOGY · LIFE SCIENCES · DIAGNOSTICS (+ MASIMO · STATLAB) · CORE GROWTH BRIDGE</t>
  </si>
  <si>
    <t xml:space="preserve">SEGMENT BUILD — modelling logic (prior-year sales × (1 + core growth + FX) → segment sales × adjusted operating margin → adjusted operating profit → adjusted EPS)</t>
  </si>
  <si>
    <t xml:space="preserve">SCENARIO INPUT TABLE — driver assumptions per Bull / Base / Bear</t>
  </si>
  <si>
    <t xml:space="preserve">Bull</t>
  </si>
  <si>
    <t xml:space="preserve">Bear</t>
  </si>
  <si>
    <t xml:space="preserve">Bull / Bear = Base + Δ (Δ inputs on each block header). Outlook block = high / mid / low end of FY26 guidance ranges.</t>
  </si>
  <si>
    <t xml:space="preserve">Biotechnology (bioprocessing — Cytiva, Pall Biotech; discovery &amp; medical — Aldevron, Abcam reagents to 2024 in Life Sciences)</t>
  </si>
  <si>
    <t xml:space="preserve">BIOTECHNOLOGY — modelling logic</t>
  </si>
  <si>
    <t xml:space="preserve">  Biotechnology sales</t>
  </si>
  <si>
    <t xml:space="preserve">Segment sales as reported (hybrid recast basis: periods before a segment recast / spin-off on the restated comparatives). Q3/Q4-26E: prior-year quarter × (1 + core growth + FX). 2027E+: prior year × (1 + scenario core growth); FX nil.</t>
  </si>
  <si>
    <t xml:space="preserve">FY26 outlook — Q2-26 release (21-Jul-26)</t>
  </si>
  <si>
    <t xml:space="preserve">High</t>
  </si>
  <si>
    <t xml:space="preserve">Mid</t>
  </si>
  <si>
    <t xml:space="preserve">Low</t>
  </si>
  <si>
    <t xml:space="preserve">Raised adjusted EPS in the Q2-26 release ($8.45–8.60 vs $8.35–8.55 in Q1-26; $8.35–8.50 in Jan-26). Includes Masimo (closed 10-Jun-2026); excludes pending StatLab.</t>
  </si>
  <si>
    <t xml:space="preserve">    Sales y/y %</t>
  </si>
  <si>
    <t xml:space="preserve">  FY26 core sales growth (non-GAAP)</t>
  </si>
  <si>
    <t xml:space="preserve">Guided +3.0% to +4.0% (Q2-26 release). Drives the Q3/Q4-26E core-growth calibration.</t>
  </si>
  <si>
    <t xml:space="preserve">    Core sales growth % (non-GAAP, as published)</t>
  </si>
  <si>
    <t xml:space="preserve">Q3/Q4-26E: segment input (row below) + core-growth outlook calibration Δ (Group block). 2027E–2030E: scenario lever (Bull/Base/Bear table →).</t>
  </si>
  <si>
    <t xml:space="preserve">  FY26 adjusted diluted EPS ($)</t>
  </si>
  <si>
    <t xml:space="preserve">Guided $8.45–8.60 (raised in Q2-26). Drives the Q3/Q4-26E adjusted-margin calibration.</t>
  </si>
  <si>
    <t xml:space="preserve">    Q3/Q4-26E core growth input before outlook calibration</t>
  </si>
  <si>
    <t xml:space="preserve">Q2-26 release segment guidance: Q3 +MSD; FY +MSD. Q4 input +7% (bioprocessing; Q4-25 comparison +6%).</t>
  </si>
  <si>
    <t xml:space="preserve">  2H/26 share repurchases ($m)</t>
  </si>
  <si>
    <t xml:space="preserve">Q2/26: 5.0m shares for $903m; ~32m shares of authorization left. Net debt ~2.6x Adjusted EBITDA after Masimo — Base assumes modest repurchases.</t>
  </si>
  <si>
    <t xml:space="preserve">    Acquisitions / divestitures contribution % (as published)</t>
  </si>
  <si>
    <t xml:space="preserve">    Currency contribution % (as published)</t>
  </si>
  <si>
    <t xml:space="preserve">Q3/Q4-26E: company FX guidance (Q3 ~−1.0%; FY ~+0.5% → Q4 implied). 2027E+: nil.</t>
  </si>
  <si>
    <t xml:space="preserve">FY26 point estimates (all cases)</t>
  </si>
  <si>
    <t xml:space="preserve">  Biotechnology operating profit (GAAP)</t>
  </si>
  <si>
    <t xml:space="preserve">  Interest expense, net ($m)</t>
  </si>
  <si>
    <t xml:space="preserve">Q2-26 release: FY26 interest expense, net ~$(310)m (Q3 ~$(115)m) after the Masimo financing.</t>
  </si>
  <si>
    <t xml:space="preserve">    Operating margin (GAAP) %</t>
  </si>
  <si>
    <t xml:space="preserve">  Adjusted effective tax rate</t>
  </si>
  <si>
    <t xml:space="preserve">Q2-26 release: effective tax rate ~17.0% (non-GAAP supplemental).</t>
  </si>
  <si>
    <t xml:space="preserve">    Amortization of acquired intangibles in segment</t>
  </si>
  <si>
    <t xml:space="preserve">Segment amortization as published (segment note; 2024+). Forecast = existing-intangibles schedule × segment share (1H/26).</t>
  </si>
  <si>
    <t xml:space="preserve">  Capital expenditures ($m)</t>
  </si>
  <si>
    <t xml:space="preserve">1H/26 $506m; FY25 $1,156m (not guided).</t>
  </si>
  <si>
    <t xml:space="preserve">    Segment share of amortization (existing intangibles) %</t>
  </si>
  <si>
    <t xml:space="preserve">  Q3/26 adjusted operating profit margin</t>
  </si>
  <si>
    <t xml:space="preserve">Q2-26 release: Q3/26 adjusted operating profit margin ~26.5% (Q1/26 guide was ~28.5%; actual 30.2%). Drives the Q3 margin calibration.</t>
  </si>
  <si>
    <t xml:space="preserve">    Other operating profit adjustments in segment (impairments, step-up, contingencies; company definition)</t>
  </si>
  <si>
    <t xml:space="preserve">Published by segment from the Q4-25 release (FY24, Q4-24, FY25, Q4-25); 2025–26 quarters allocated from the release footnotes (see comments). Blank = not disclosed by segment.</t>
  </si>
  <si>
    <t xml:space="preserve">  Q3/26 amortization of acquired intangibles ($m)</t>
  </si>
  <si>
    <t xml:space="preserve">Q2-26 release: Q3 ~$(500)m incl. Masimo.</t>
  </si>
  <si>
    <t xml:space="preserve">  Biotechnology adjusted operating profit (non-GAAP)</t>
  </si>
  <si>
    <t xml:space="preserve">Company definition (Q4-25 release): operating profit + amortization of intangibles + other operating profit adjustments. Historical where segment amortization is disclosed (2024+). Forecast = sales × adjusted margin.</t>
  </si>
  <si>
    <t xml:space="preserve">  FY26 amortization of acquired intangibles ($m)</t>
  </si>
  <si>
    <t xml:space="preserve">Q2-26 release: FY26 ~$(1,900)m incl. Masimo (10-K schedule pre-Masimo ~$1.7bn).</t>
  </si>
  <si>
    <t xml:space="preserve">    Adjusted operating margin %</t>
  </si>
  <si>
    <t xml:space="preserve">Q3/Q4-26E: margin before calibration + outlook calibration Δ of the quarter (Group block: Q3 margin guidance, Q4 FY26 EPS guidance). 2027E–2030E: scenario lever.</t>
  </si>
  <si>
    <t xml:space="preserve">    Adjusted operating margin before outlook calibration % (Q3/Q4-26E helper)</t>
  </si>
  <si>
    <t xml:space="preserve">Prior-year quarter adjusted margin + (1H/26 − 1H/25 adjusted margin drift).</t>
  </si>
  <si>
    <t xml:space="preserve">    Incremental adjusted operating margin (Δ adj. op. profit / Δ sales)</t>
  </si>
  <si>
    <t xml:space="preserve">    Depreciation in segment</t>
  </si>
  <si>
    <t xml:space="preserve">Life Sciences (Beckman Coulter Life Sciences, Leica Microsystems, SCIEX, Molecular Devices, IDT, Abcam, Aldevron, Pall Industrial)</t>
  </si>
  <si>
    <t xml:space="preserve">LIFE SCIENCES — modelling logic</t>
  </si>
  <si>
    <t xml:space="preserve">  Life Sciences sales</t>
  </si>
  <si>
    <t xml:space="preserve">  Minimum net debt / Adjusted EBITDA (x) — buyback floor 2027E+</t>
  </si>
  <si>
    <t xml:space="preserve">Danaher de-levers to ~2x after large deals (Cytiva 2020, Aldevron 2021) before resuming buybacks / M&amp;A. Net debt ~2.6x at 26-Jun-26 (model Adjusted EBITDA). Buybacks absorb surplus cash once leverage reaches the scenario floor.</t>
  </si>
  <si>
    <t xml:space="preserve">Q2-26 release: Q3 +3.0–4.0%; FY +3.0–4.0%. Q4 input +4%.</t>
  </si>
  <si>
    <t xml:space="preserve">BIO_CORE (Biotechnology core growth)</t>
  </si>
  <si>
    <t xml:space="preserve">Δ →</t>
  </si>
  <si>
    <t xml:space="preserve">Bioprocessing (Cytiva / Pall): consumables recovery after the 2023–24 destock; FY25 +6.5%, 1H/26 +4.7%; long-term HSD.</t>
  </si>
  <si>
    <t xml:space="preserve">  2027E</t>
  </si>
  <si>
    <t xml:space="preserve">  2028E</t>
  </si>
  <si>
    <t xml:space="preserve">  Life Sciences operating profit (GAAP)</t>
  </si>
  <si>
    <t xml:space="preserve">  2029E</t>
  </si>
  <si>
    <t xml:space="preserve">  2030E</t>
  </si>
  <si>
    <t xml:space="preserve">LS_CORE (Life Sciences core growth)</t>
  </si>
  <si>
    <t xml:space="preserve">Instruments (pharma / academic capex), reagents (Abcam, IDT), genomic medicines (Aldevron); FY25 −1.5%, 1H/26 +3.0%; guided +3–4% FY26.</t>
  </si>
  <si>
    <t xml:space="preserve">  Life Sciences adjusted operating profit (non-GAAP)</t>
  </si>
  <si>
    <t xml:space="preserve">DX_CORE (Diagnostics core growth, legacy ex Masimo / StatLab)</t>
  </si>
  <si>
    <t xml:space="preserve">Clinical diagnostics (Beckman, Radiometer, Leica) MSD; Cepheid respiratory normalising (~$1.6bn FY26 vs ~$1.9bn FY25).</t>
  </si>
  <si>
    <t xml:space="preserve">Diagnostics (Beckman Coulter Diagnostics, Radiometer, Leica Biosystems, Cepheid; Masimo from 10-Jun-2026)</t>
  </si>
  <si>
    <t xml:space="preserve">DIAGNOSTICS — modelling logic</t>
  </si>
  <si>
    <t xml:space="preserve">  Diagnostics sales (legacy, ex Masimo &amp; StatLab)</t>
  </si>
  <si>
    <t xml:space="preserve">Segment sales as reported (hybrid recast basis: periods before a segment recast / spin-off on the restated comparatives). Q3/Q4-26E: prior-year quarter × (1 + core growth + FX). 2027E+: prior year × (1 + scenario core growth); FX nil. Diagnostics shown ex Masimo (from 10-Jun-2026) and StatLab — both modelled in their own blocks below.</t>
  </si>
  <si>
    <t xml:space="preserve">BIO_OPM (Biotechnology adjusted operating margin)</t>
  </si>
  <si>
    <t xml:space="preserve">FY25 39.3% (adjusted operating profit $2,867m / sales $7,293m); bioprocessing volume leverage.</t>
  </si>
  <si>
    <t xml:space="preserve">Q2-26 release: Q3 flat (respiratory +2.5 pt headwind); FY up slightly; Q4 respiratory flat → input +4.5%.</t>
  </si>
  <si>
    <t xml:space="preserve">LS_OPM (Life Sciences adjusted operating margin)</t>
  </si>
  <si>
    <t xml:space="preserve">FY25 21.4% ($1,570m / $7,334m); FY24 23.2%; cost actions and Abcam integration.</t>
  </si>
  <si>
    <t xml:space="preserve">  Diagnostics operating profit (GAAP) (legacy, ex Masimo &amp; StatLab)</t>
  </si>
  <si>
    <t xml:space="preserve">DX_OPM (Diagnostics adjusted operating margin, legacy)</t>
  </si>
  <si>
    <t xml:space="preserve">FY25 28.6% ($2,846m / $9,941m); respiratory mix headwind fading.</t>
  </si>
  <si>
    <t xml:space="preserve">  Diagnostics adjusted operating profit (non-GAAP) (legacy, ex Masimo &amp; StatLab)</t>
  </si>
  <si>
    <t xml:space="preserve">MS_G (Masimo sales growth)</t>
  </si>
  <si>
    <t xml:space="preserve">Company: Masimo high-single-digit core growth long term; 1Q26 standalone +8.5% y/y.</t>
  </si>
  <si>
    <t xml:space="preserve">Masimo (pulse oximetry &amp; patient monitoring; acquired 10-Jun-2026 for ~$9.9bn EV; standalone operating company in Diagnostics)</t>
  </si>
  <si>
    <t xml:space="preserve">MASIMO — modelling logic (standalone history from Masimo's own SEC filings; consolidated from closing)</t>
  </si>
  <si>
    <t xml:space="preserve">  Memo: Masimo standalone sales (pre-acquisition; MASI filings, continuing operations)</t>
  </si>
  <si>
    <t xml:space="preserve">Masimo Corp. Forms 10-K / 10-Q (XBRL), continuing operations (consumer audio sold 2025); Q4 = FY − 9M. 2023 not on the recast basis (omitted).</t>
  </si>
  <si>
    <t xml:space="preserve">  Standalone sales growth y/y %</t>
  </si>
  <si>
    <t xml:space="preserve">  Memo: Masimo standalone operating income (GAAP, MASI filings)</t>
  </si>
  <si>
    <t xml:space="preserve">ST_G (StatLab sales growth)</t>
  </si>
  <si>
    <t xml:space="preserve">Company: StatLab high-single-digit core growth long term.</t>
  </si>
  <si>
    <t xml:space="preserve">  Standalone operating margin (GAAP) %</t>
  </si>
  <si>
    <t xml:space="preserve">  Pro forma Masimo sales (full period, standalone basis)</t>
  </si>
  <si>
    <t xml:space="preserve">Q2/26 = Q2/25 standalone × (1 + Q1/26 standalone growth) (Masimo stopped filing after closing). Forecast = prior year × (1 + growth) + revenue synergies.</t>
  </si>
  <si>
    <t xml:space="preserve">  Masimo sales growth % (standalone basis)</t>
  </si>
  <si>
    <t xml:space="preserve">Company: high-single-digit core growth long term (Feb-2026 deal release). Scenario lever 2027E+.</t>
  </si>
  <si>
    <t xml:space="preserve">  Revenue synergies (cumulative run-rate; &gt;$50m by year 5)</t>
  </si>
  <si>
    <t xml:space="preserve">  Days consolidated in period (closing 10-Jun-2026)</t>
  </si>
  <si>
    <t xml:space="preserve">M&amp;A_spend (bolt-on acquisitions, $m)</t>
  </si>
  <si>
    <t xml:space="preserve">Danaher deployed ~$10bn on Masimo in 2026 (plus StatLab). Base resumes bolt-ons as leverage falls toward ~2x.</t>
  </si>
  <si>
    <t xml:space="preserve">  Masimo sales consolidated (in Diagnostics)</t>
  </si>
  <si>
    <t xml:space="preserve">Q2/26: sales contributed since closing (10-Q acquisition note). Q3/Q4-26E: pro forma quarter (full quarter consolidated). 2027E+: full year.</t>
  </si>
  <si>
    <t xml:space="preserve">  Adjusted operating margin of Masimo (before purchase accounting &amp; synergies) %</t>
  </si>
  <si>
    <t xml:space="preserve">Masimo standalone FY25 GAAP operating margin 20.3% (MASI 10-K, continuing operations); Danaher target EBITDA &gt;$530m in 2027 under its ownership (Feb-2026 deal release) → ~26% adjusted operating margin + depreciation. Synergies added separately.</t>
  </si>
  <si>
    <t xml:space="preserve">  (+) Cost synergies realised (&gt;$125m run-rate by year 5)</t>
  </si>
  <si>
    <t xml:space="preserve">  Masimo adjusted operating profit contribution</t>
  </si>
  <si>
    <t xml:space="preserve">Q2/26: stub-period estimate (sales contributed × Q1/26 standalone operating margin + amortization add-back). Forecast = sales × margin + cost synergies.</t>
  </si>
  <si>
    <t xml:space="preserve">  Adjusted operating margin incl. synergies %</t>
  </si>
  <si>
    <t xml:space="preserve">  (−) Amortization of Masimo acquired intangibles (within total amortization)</t>
  </si>
  <si>
    <t xml:space="preserve">Preliminary PPA intangibles ÷ weighted useful life (schedule block). Non-cash; added back in adjusted results.</t>
  </si>
  <si>
    <t xml:space="preserve">  (−) Inventory fair-value step-up &amp; acquisition-related items expensed</t>
  </si>
  <si>
    <t xml:space="preserve">Q2/26: $108m (inventory step-up $46m, transaction costs $34m, share-based / change-in-control payments). Q3/26E input: remaining inventory step-up (estimate; total step-up not disclosed).</t>
  </si>
  <si>
    <t xml:space="preserve">  Memo: Masimo EBITDA (adjusted operating profit + D&amp;A ex purchase accounting; company target &gt;$530m in 2027)</t>
  </si>
  <si>
    <t xml:space="preserve">  Masimo depreciation % of sales (standalone)</t>
  </si>
  <si>
    <t xml:space="preserve">StatLab (histology consumables; pending — Leica Biosystems / Diagnostics; ~$250m 2025 sales; closing assumed end-2026)</t>
  </si>
  <si>
    <t xml:space="preserve">STATLAB — pending acquisition (announced Jul-2026, expected to close by end-2026); excluded from FY26 guidance</t>
  </si>
  <si>
    <t xml:space="preserve">  Closing assumed (1 = consolidated from 1-Jan-2027; purchase price paid in 2026E)</t>
  </si>
  <si>
    <t xml:space="preserve">Company: expected to close by the end of 2026, subject to regulatory approvals. Set 2026E to 0 to exclude the deal.</t>
  </si>
  <si>
    <t xml:space="preserve">  StatLab sales (pro forma, standalone)</t>
  </si>
  <si>
    <t xml:space="preserve">Q2-26 release: StatLab ~$250m revenue in FY2025; 2026E pro forma at +8%.</t>
  </si>
  <si>
    <t xml:space="preserve">  StatLab sales growth %</t>
  </si>
  <si>
    <t xml:space="preserve">Company: high-single-digit core growth long term.</t>
  </si>
  <si>
    <t xml:space="preserve">  StatLab sales consolidated (in Diagnostics)</t>
  </si>
  <si>
    <t xml:space="preserve">  Adjusted operating margin of StatLab %</t>
  </si>
  <si>
    <t xml:space="preserve">Assumption: histology consumables (&gt;85% recurring revenue); ~30% adjusted operating margin before synergies.</t>
  </si>
  <si>
    <t xml:space="preserve">  StatLab adjusted operating profit contribution</t>
  </si>
  <si>
    <t xml:space="preserve">  (−) Amortization of StatLab acquired intangibles</t>
  </si>
  <si>
    <t xml:space="preserve">  Purchase price (enterprise value, cash; scenario-neutral input)</t>
  </si>
  <si>
    <t xml:space="preserve">Purchase price = 2026E pro forma sales × EV/sales input × closing switch. Paid in 2026E (funded with commercial paper).</t>
  </si>
  <si>
    <t xml:space="preserve">  Purchase multiple — EV / sales (x)</t>
  </si>
  <si>
    <t xml:space="preserve">ASSUMPTION — purchase price not disclosed in any SEC filing. 7.5x sales (~$2.0bn) for a recurring-revenue consumables business; update when disclosed.</t>
  </si>
  <si>
    <t xml:space="preserve">  Acquired intangibles % of price</t>
  </si>
  <si>
    <t xml:space="preserve">  Intangible amortization life (years)</t>
  </si>
  <si>
    <t xml:space="preserve">Future acquisitions (M&amp;A lever — bolt-ons, unallocated; deals closed from 2027E)</t>
  </si>
  <si>
    <t xml:space="preserve">M&amp;A LEVER — acquired sales = spend ÷ EV/sales; mid-year convention</t>
  </si>
  <si>
    <t xml:space="preserve">  Acquisition spend (USDm, scenario)</t>
  </si>
  <si>
    <t xml:space="preserve">Scenario lever M&amp;A_spend. Danaher acquisitions: Cytiva $20.7bn (2020), Aldevron $9.6bn (2021), Abcam $5.6bn (2023), Masimo $9.8bn (2026).</t>
  </si>
  <si>
    <t xml:space="preserve">Danaher life-science / diagnostics deals: Abcam ~11x, Aldevron ~16x, Cytiva ~6x, Masimo ~6.5x sales; 6.0x input for bolt-ons.</t>
  </si>
  <si>
    <t xml:space="preserve">  Annualised sales acquired in the year</t>
  </si>
  <si>
    <t xml:space="preserve">  Growth of acquired businesses after acquisition %</t>
  </si>
  <si>
    <t xml:space="preserve">  Run-rate sales of businesses acquired (year end)</t>
  </si>
  <si>
    <t xml:space="preserve">  Sales from future acquisitions</t>
  </si>
  <si>
    <t xml:space="preserve">Mid-year convention: deals close evenly through the year (half a year of sales in year 1). Unallocated to segments.</t>
  </si>
  <si>
    <t xml:space="preserve">  Adjusted operating margin of acquired businesses %</t>
  </si>
  <si>
    <t xml:space="preserve">  Adjusted operating profit from future acquisitions</t>
  </si>
  <si>
    <t xml:space="preserve">  PP&amp;E % of spend</t>
  </si>
  <si>
    <t xml:space="preserve">  Acquired intangibles % of spend</t>
  </si>
  <si>
    <t xml:space="preserve">Danaher PPAs (Abcam, Aldevron, Cytiva): intangibles ~35–45% of consideration; balance mostly goodwill.</t>
  </si>
  <si>
    <t xml:space="preserve">  Cumulative acquired intangibles (gross)</t>
  </si>
  <si>
    <t xml:space="preserve">  Amortization of future-acquisition intangibles</t>
  </si>
  <si>
    <t xml:space="preserve">Non-cash; added back in adjusted operating profit / adjusted EPS (company definition).</t>
  </si>
  <si>
    <t xml:space="preserve">Other (unallocated corporate costs)</t>
  </si>
  <si>
    <t xml:space="preserve">CORPORATE ("Other" segment)</t>
  </si>
  <si>
    <t xml:space="preserve">  Other / corporate operating profit (GAAP = adjusted)</t>
  </si>
  <si>
    <t xml:space="preserve">Company guidance: corporate expense ~$(90)m per quarter / ~$(360)m FY26. 2027E+: % of sales input.</t>
  </si>
  <si>
    <t xml:space="preserve">  Corporate cost % of sales</t>
  </si>
  <si>
    <t xml:space="preserve">Group Total — sales &amp; adjusted operating profit (segment build) → FY26 outlook calibration</t>
  </si>
  <si>
    <t xml:space="preserve">GROUP TOTAL (CONSOLIDATED) — modelling logic</t>
  </si>
  <si>
    <t xml:space="preserve">Sales (segment build)</t>
  </si>
  <si>
    <t xml:space="preserve">Σ Biotechnology + Life Sciences + Diagnostics (legacy) + Masimo + StatLab + future acquisitions (+ legacy segments in history).</t>
  </si>
  <si>
    <t xml:space="preserve">Adjusted operating profit (segment build)</t>
  </si>
  <si>
    <t xml:space="preserve">Σ segment adjusted operating profit + Masimo + StatLab + future M&amp;A + Other (corporate). Historical from 2024 (segment other adjustments published / allocated from FY24). Danaher's profit KPI (adjusted operating profit margin guided).</t>
  </si>
  <si>
    <t xml:space="preserve">  Adjusted operating margin %</t>
  </si>
  <si>
    <t xml:space="preserve">  Sales y/y %</t>
  </si>
  <si>
    <t xml:space="preserve">  Check: segment build vs consolidated sales (should be 0)</t>
  </si>
  <si>
    <t xml:space="preserve">  Check: segment build vs adjusted operating profit bridge (should be 0)</t>
  </si>
  <si>
    <t xml:space="preserve">  Core sales growth — total company % (published; model 2H/26E)</t>
  </si>
  <si>
    <t xml:space="preserve">Historical as published. Q3/Q4-26E = legacy segment core growth (FX excluded). 2026E = Σ quarterly core-sales increments ÷ FY25 sales. 2027E+: Σ segment core growth (+ Masimo / StatLab organic growth once owned &gt;1 year, i.e. from 2028E) ÷ prior-year sales.</t>
  </si>
  <si>
    <t xml:space="preserve">  Acquisitions / divestitures contribution %</t>
  </si>
  <si>
    <t xml:space="preserve">  Currency contribution %</t>
  </si>
  <si>
    <t xml:space="preserve">  Core sales increment $ (core growth × prior-year quarter sales; helper)</t>
  </si>
  <si>
    <t xml:space="preserve">  Memo: FY26 core sales growth guidance (scenario end-point)</t>
  </si>
  <si>
    <t xml:space="preserve">Company FY26 core sales growth guidance +3.0% to +4.0% (Q2-26 release, 21-Jul-2026).</t>
  </si>
  <si>
    <t xml:space="preserve">  Core sales sensitivity to +1.00 of growth (Q3/Q4-26E helper; Σ prior-year segment sales)</t>
  </si>
  <si>
    <t xml:space="preserve">  Outlook calibration: Δ core growth applied to all segments (Q3/Q4-26E)</t>
  </si>
  <si>
    <t xml:space="preserve">Solves the uniform core-growth shift (vs the segment inputs) so that FY26 core sales growth = the guidance end-point of the active scenario.</t>
  </si>
  <si>
    <t xml:space="preserve">  Check: FY26 core growth vs guidance end-point (should be 0.0%)</t>
  </si>
  <si>
    <t xml:space="preserve">  Memo: FY26 adjusted diluted EPS guidance (scenario end-point, $)</t>
  </si>
  <si>
    <t xml:space="preserve">Company FY26 adjusted diluted EPS guidance $8.45–8.60 (raised in the Q2-26 release). Drives the adjusted-margin calibration (StatLab excluded).</t>
  </si>
  <si>
    <t xml:space="preserve">  Required FY26 adjusted net earnings = guidance × FY26 diluted shares (ex StatLab)</t>
  </si>
  <si>
    <t xml:space="preserve">  Adjusted operating profit before margin calibration (Q3/Q4-26E helper)</t>
  </si>
  <si>
    <t xml:space="preserve">  Required 2H/26 adjusted operating profit (given interest, other income, tax)</t>
  </si>
  <si>
    <t xml:space="preserve">Required 2H adjusted net earnings ÷ (1 − adjusted tax rate) + net interest − adjusted other income: adjusting items are excluded on both sides.</t>
  </si>
  <si>
    <t xml:space="preserve">  Outlook calibration: Δ adjusted operating margin applied to the three segments (Q3: Q3 margin guidance; Q4: FY26 EPS guidance)</t>
  </si>
  <si>
    <t xml:space="preserve">Q3/26E: uniform adjusted-margin shift (vs prior-year quarter + 1H drift) so that the Q3 adjusted operating margin = company Q3 guidance (~26.5%). Q4/26E: shift so that FY26 adjusted EPS = the guidance end-point of the active scenario.</t>
  </si>
  <si>
    <t xml:space="preserve">  Check: FY26 adjusted EPS vs guidance end-point (should be 0.00)</t>
  </si>
  <si>
    <t xml:space="preserve">  Memo: Q3/26 adjusted operating profit margin — company guidance (~26.5%)</t>
  </si>
  <si>
    <t xml:space="preserve">Q2-26 release, Non-GAAP forward-looking information: three-month period ending 25-Sep-2026 adjusted operating profit margin ~26.5%.</t>
  </si>
  <si>
    <t xml:space="preserve">  Check: Q3/26E adjusted operating margin vs guidance (should be 0.0%)</t>
  </si>
  <si>
    <t xml:space="preserve">Legacy reportable segments (as reported; memo) &amp; other disclosures</t>
  </si>
  <si>
    <t xml:space="preserve">DISCLOSURES — historical only (not forecast)</t>
  </si>
  <si>
    <t xml:space="preserve">  Legacy segments — sales not in the current three-segment structure (Σ rows below)</t>
  </si>
  <si>
    <t xml:space="preserve">    Life Sciences &amp; Diagnostics (to 2014) — sales</t>
  </si>
  <si>
    <t xml:space="preserve">    Life Sciences &amp; Diagnostics (to 2014) — operating profit</t>
  </si>
  <si>
    <t xml:space="preserve">    Environmental &amp; Applied Solutions (2015 – Q2/23; Veralto spun 30-Sep-2023) — sales</t>
  </si>
  <si>
    <t xml:space="preserve">    Environmental &amp; Applied Solutions (2015 – Q2/23; Veralto spun 30-Sep-2023) — operating profit</t>
  </si>
  <si>
    <t xml:space="preserve">    Environmental (to 2014) — sales</t>
  </si>
  <si>
    <t xml:space="preserve">    Environmental (to 2014) — operating profit</t>
  </si>
  <si>
    <t xml:space="preserve">    Dental (to Q3/19; Envista split-off Dec-2019) — sales</t>
  </si>
  <si>
    <t xml:space="preserve">    Dental (to Q3/19; Envista split-off Dec-2019) — operating profit</t>
  </si>
  <si>
    <t xml:space="preserve">    Test &amp; Measurement (to Q2/16; Fortive) — sales</t>
  </si>
  <si>
    <t xml:space="preserve">    Test &amp; Measurement (to Q2/16; Fortive) — operating profit</t>
  </si>
  <si>
    <t xml:space="preserve">    Industrial Technologies (to Q2/16; Fortive) — sales</t>
  </si>
  <si>
    <t xml:space="preserve">    Industrial Technologies (to Q2/16; Fortive) — operating profit</t>
  </si>
  <si>
    <t xml:space="preserve">    Professional Instrumentation (to 2008) — sales</t>
  </si>
  <si>
    <t xml:space="preserve">    Professional Instrumentation (to 2008) — operating profit</t>
  </si>
  <si>
    <t xml:space="preserve">    Medical Technologies (to 2008) — sales</t>
  </si>
  <si>
    <t xml:space="preserve">    Medical Technologies (to 2008) — operating profit</t>
  </si>
  <si>
    <t xml:space="preserve">    Tools &amp; Components (to 2008) — sales</t>
  </si>
  <si>
    <t xml:space="preserve">    Tools &amp; Components (to 2008) — operating profit</t>
  </si>
  <si>
    <t xml:space="preserve">    Businesses contributed to the Apex Tool JV (2010–12) — sales</t>
  </si>
  <si>
    <t xml:space="preserve">    Businesses contributed to the Apex Tool JV (2010–12) — operating profit</t>
  </si>
  <si>
    <t xml:space="preserve">  Check: Σ segment operating profit + Other vs consolidated operating profit (should be 0)</t>
  </si>
  <si>
    <t xml:space="preserve">  Masimo operating profit in Diagnostics as reported (stub; reported Diagnostics − legacy)</t>
  </si>
  <si>
    <t xml:space="preserve">  Diagnostics segment sales as reported (legacy + Masimo + StatLab)</t>
  </si>
  <si>
    <t xml:space="preserve">  Cepheid respiratory testing sales (~, as published)</t>
  </si>
  <si>
    <t xml:space="preserve">  Core sales growth excl. respiratory testing % (as published)</t>
  </si>
  <si>
    <t xml:space="preserve">  Recurring revenue % of sales (company / revenue note)</t>
  </si>
  <si>
    <t xml:space="preserve">  Employees (year end, 10-K)</t>
  </si>
  <si>
    <t xml:space="preserve">Cost drivers &amp; D&amp;A</t>
  </si>
  <si>
    <t xml:space="preserve">COST DRIVERS — inputs that drive forecast cost lines</t>
  </si>
  <si>
    <t xml:space="preserve">  Depreciation</t>
  </si>
  <si>
    <t xml:space="preserve">Forecast = sales × depreciation %.</t>
  </si>
  <si>
    <t xml:space="preserve">  Depreciation % of sales</t>
  </si>
  <si>
    <t xml:space="preserve">  Amortization of existing intangibles (schedule, ex Masimo / StatLab / future M&amp;A)</t>
  </si>
  <si>
    <t xml:space="preserve">Q3/Q4-26E: amortization guidance (Q3 ~$500m, FY ~$1.9bn) less Masimo. 2027E+: 2025 10-K schedule of existing intangibles (2027 $1,600m, 2028 $1,600m, 2029 $1,600m, 2030 $1,400m; published in $bn to one decimal).</t>
  </si>
  <si>
    <t xml:space="preserve">  SG&amp;A excl. other operating profit adjustments % of sales</t>
  </si>
  <si>
    <t xml:space="preserve">Other operating profit adjustments (impairments, Masimo acquisition items, contingencies) are booked in SG&amp;A (company footnote).</t>
  </si>
  <si>
    <t xml:space="preserve">  R&amp;D % of sales</t>
  </si>
  <si>
    <t xml:space="preserve">  Stock-based compensation % of sales</t>
  </si>
  <si>
    <t xml:space="preserve">CONSOLIDATED STATEMENT OF EARNINGS (US GAAP; continuing operations)</t>
  </si>
  <si>
    <t xml:space="preserve">CONSOLIDATED IS — forecast logic</t>
  </si>
  <si>
    <t xml:space="preserve">Sales</t>
  </si>
  <si>
    <t xml:space="preserve">Forecast linked to the segment build.</t>
  </si>
  <si>
    <t xml:space="preserve">Cost of sales</t>
  </si>
  <si>
    <t xml:space="preserve">Forecast = sales − (operating profit + SG&amp;A + R&amp;D): gross profit is implied by the adjusted operating profit build (amortization sits mainly in cost of sales).</t>
  </si>
  <si>
    <t xml:space="preserve">Gross profit</t>
  </si>
  <si>
    <t xml:space="preserve">  Gross margin %</t>
  </si>
  <si>
    <t xml:space="preserve">Selling, general &amp; administrative expenses</t>
  </si>
  <si>
    <t xml:space="preserve">Forecast = sales × SG&amp;A % + other operating profit adjustments.</t>
  </si>
  <si>
    <t xml:space="preserve">Research &amp; development expenses</t>
  </si>
  <si>
    <t xml:space="preserve">Other operating items (gains on sales, impairments where presented separately)</t>
  </si>
  <si>
    <t xml:space="preserve">Operating profit</t>
  </si>
  <si>
    <t xml:space="preserve">Forecast = adjusted operating profit (segment build) − amortization − other operating profit adjustments.</t>
  </si>
  <si>
    <t xml:space="preserve">  Operating margin (GAAP) %</t>
  </si>
  <si>
    <t xml:space="preserve">  Check: operating profit vs reported (should be 0)</t>
  </si>
  <si>
    <t xml:space="preserve">  Memo: operating profit as reported</t>
  </si>
  <si>
    <t xml:space="preserve">Other income (expense), net &amp; other nonoperating items</t>
  </si>
  <si>
    <t xml:space="preserve">Fair-value gains / losses on equity &amp; LP investments (excluded from adjusted EPS), pension non-service items, debt extinguishment. Forecast nil.</t>
  </si>
  <si>
    <t xml:space="preserve">Interest expense</t>
  </si>
  <si>
    <t xml:space="preserve">Q3/Q4-26E: FY26 net interest guidance (~$310m) less 1H/26 net, split evenly, + interest income. 2027E+ = rate × opening notes + rate × opening CP (no circularity).</t>
  </si>
  <si>
    <t xml:space="preserve">Interest income</t>
  </si>
  <si>
    <t xml:space="preserve">Cash balances fell after the Masimo closing (Jun-2026). 2027E+: yield × opening cash.</t>
  </si>
  <si>
    <t xml:space="preserve">Earnings from continuing operations before income taxes</t>
  </si>
  <si>
    <t xml:space="preserve">Income taxes</t>
  </si>
  <si>
    <t xml:space="preserve">Forecast = adjusted pretax earnings × adjusted tax rate (guided ~17%) − tax effect of adjusting items: the adjusted tax rate is the guided input.</t>
  </si>
  <si>
    <t xml:space="preserve">  Effective tax rate (GAAP)</t>
  </si>
  <si>
    <t xml:space="preserve">Net earnings from continuing operations</t>
  </si>
  <si>
    <t xml:space="preserve">Earnings (loss) from discontinued operations, net of tax</t>
  </si>
  <si>
    <t xml:space="preserve">Fortive (2016), Envista (2019), Veralto (2023) and other divested businesses — historical as reported.</t>
  </si>
  <si>
    <t xml:space="preserve">Net earnings</t>
  </si>
  <si>
    <t xml:space="preserve">  Less: noncontrolling interests (where presented)</t>
  </si>
  <si>
    <t xml:space="preserve">  Less: mandatory convertible preferred stock dividends (2019–2023)</t>
  </si>
  <si>
    <t xml:space="preserve">Net earnings attributable to common stockholders</t>
  </si>
  <si>
    <t xml:space="preserve">  Check: net earnings vs reported (should be 0; ±0.6 rounding)</t>
  </si>
  <si>
    <t xml:space="preserve">  Memo: net earnings as reported</t>
  </si>
  <si>
    <t xml:space="preserve">  Memo: net earnings from continuing operations attributable to common</t>
  </si>
  <si>
    <t xml:space="preserve">  Memo: amortization of acquisition-related intangibles (total)</t>
  </si>
  <si>
    <t xml:space="preserve">Historical: cash-flow statement / adjusted-EPS footnote. Forecast: existing schedule + Masimo + StatLab + future M&amp;A.</t>
  </si>
  <si>
    <t xml:space="preserve">  Memo: depreciation &amp; amortization (total)</t>
  </si>
  <si>
    <t xml:space="preserve">  Memo: stock-based compensation</t>
  </si>
  <si>
    <t xml:space="preserve">(Earnings per share)</t>
  </si>
  <si>
    <t xml:space="preserve">  Weighted-average basic shares (m)</t>
  </si>
  <si>
    <t xml:space="preserve">Q3/Q4-26E: Q2/26 less the 2H/26 buyback phased in (¼ in Q3, ¾ in Q4). 2027E+: average of beginning and ending shares. Pre-June-2010 restated for the 2-for-1 split.</t>
  </si>
  <si>
    <t xml:space="preserve">  Weighted-average diluted shares (m)</t>
  </si>
  <si>
    <t xml:space="preserve">EPS – diluted, continuing operations ($)</t>
  </si>
  <si>
    <t xml:space="preserve">Computed as net earnings from continuing operations attributable to common / diluted shares (MCPS anti-dilutive / if-converted cases may differ by a few cents).</t>
  </si>
  <si>
    <t xml:space="preserve">EPS – diluted, net earnings ($)</t>
  </si>
  <si>
    <t xml:space="preserve">  EPS – diluted continuing operations y/y %</t>
  </si>
  <si>
    <t xml:space="preserve">  Memo: EPS – diluted, continuing operations as reported ($; split-adjusted)</t>
  </si>
  <si>
    <t xml:space="preserve">  Dividends declared per share ($)</t>
  </si>
  <si>
    <t xml:space="preserve">Q3/Q4-26E at the current quarterly rate; 2027E+ grows with the DPS growth input.</t>
  </si>
  <si>
    <t xml:space="preserve">  Dividend per share growth %</t>
  </si>
  <si>
    <t xml:space="preserve">  Dividend payout (DPS / adjusted EPS) %</t>
  </si>
  <si>
    <t xml:space="preserve">RECONCILIATION: NET EARNINGS → EBITDA → ADJUSTED EBITDA (model definition — Danaher does not publish EBITDA)</t>
  </si>
  <si>
    <t xml:space="preserve">ADJUSTED EBITDA (model) — continuing net earnings + taxes + net interest + D&amp;A; + other operating profit adjustments and nonoperating items excluded from adjusted EPS (= adjusted operating profit + depreciation)</t>
  </si>
  <si>
    <t xml:space="preserve">Net earnings from continuing operations (GAAP)</t>
  </si>
  <si>
    <t xml:space="preserve">  (+) Income taxes</t>
  </si>
  <si>
    <t xml:space="preserve">  (+) Interest expense, net of interest income</t>
  </si>
  <si>
    <t xml:space="preserve">  (+) Depreciation &amp; amortization</t>
  </si>
  <si>
    <t xml:space="preserve">  = EBITDA</t>
  </si>
  <si>
    <t xml:space="preserve">  (+) Other operating profit adjustments (impairments, acquisition items, restructuring, contingencies)</t>
  </si>
  <si>
    <t xml:space="preserve">  (+/−) Nonoperating (income) expense (investment fair-value gains / losses, other)</t>
  </si>
  <si>
    <t xml:space="preserve">  Total adjusting items</t>
  </si>
  <si>
    <t xml:space="preserve">  = Adjusted EBITDA (model bridge)</t>
  </si>
  <si>
    <t xml:space="preserve">Model definition consistent with Danaher's adjusted operating profit: adjusted EBITDA = adjusted operating profit + depreciation. Danaher does not publish EBITDA (only the Masimo deal EBITDA target).</t>
  </si>
  <si>
    <t xml:space="preserve">  Adjusted EBITDA margin %</t>
  </si>
  <si>
    <t xml:space="preserve">  Company-published Adjusted EBITDA</t>
  </si>
  <si>
    <t xml:space="preserve">Not published by Danaher (n/p).</t>
  </si>
  <si>
    <t xml:space="preserve">  Check: Adjusted EBITDA = adjusted operating profit (bridge 2) + depreciation (should be 0)</t>
  </si>
  <si>
    <t xml:space="preserve">  Memo: Adjusted EBITDA pro forma — Masimo full year (2026E), for leverage &amp; valuation</t>
  </si>
  <si>
    <t xml:space="preserve">2026E adds Masimo pre-closing (1-Jan to 9-Jun-2026) EBITDA at the 2026E Masimo margin; other years = Adjusted EBITDA.</t>
  </si>
  <si>
    <t xml:space="preserve">  Definition basis (Adjusted EBITDA — model definition in force)</t>
  </si>
  <si>
    <t xml:space="preserve">Model definition (not published by Danaher): continuing net earnings + taxes + net interest + D&amp;A + other operating profit adjustments + nonoperating items = adjusted operating profit + depreciation</t>
  </si>
  <si>
    <t xml:space="preserve">To adjusted EBIT:</t>
  </si>
  <si>
    <t xml:space="preserve">  (−) Depreciation &amp; amortization</t>
  </si>
  <si>
    <t xml:space="preserve">  = Adjusted EBIT (model; Adjusted EBITDA − D&amp;A, i.e. after acquired-intangible amortization)</t>
  </si>
  <si>
    <t xml:space="preserve">Used for NOPAT / ROIC (conservative: deducts ~$1.7–1.9bn of non-cash acquired-intangible amortization).</t>
  </si>
  <si>
    <t xml:space="preserve">  Adjusted EBIT margin %</t>
  </si>
  <si>
    <t xml:space="preserve">RECONCILIATION: GAAP OPERATING PROFIT → ADJUSTED OPERATING PROFIT (company definition; published from FY24)</t>
  </si>
  <si>
    <t xml:space="preserve">ADJUSTED OPERATING PROFIT — Danaher definition (Q4-25 release): operating profit + amortization of intangible assets + other operating profit adjustments</t>
  </si>
  <si>
    <t xml:space="preserve">Operating profit (GAAP)</t>
  </si>
  <si>
    <t xml:space="preserve">  (+) Amortization of acquisition-related intangible assets</t>
  </si>
  <si>
    <t xml:space="preserve">  (+) Other operating profit adjustments (impairments, acquisition-related items, restructuring, contingencies, gains)</t>
  </si>
  <si>
    <t xml:space="preserve">Operating-level items excluded from adjusted EPS (release footnotes, pretax). Forecast: Masimo inventory step-up / acquisition items only.</t>
  </si>
  <si>
    <t xml:space="preserve">  Total operating-level adjusting items</t>
  </si>
  <si>
    <t xml:space="preserve">  = Adjusted operating profit (model bridge)</t>
  </si>
  <si>
    <t xml:space="preserve">Company definition applied in every period (Danaher has published the measure since the Q4-25 release, with FY24 / Q4-24 comparatives).</t>
  </si>
  <si>
    <t xml:space="preserve">  Adjusted operating profit margin %</t>
  </si>
  <si>
    <t xml:space="preserve">  Company-published adjusted operating profit</t>
  </si>
  <si>
    <t xml:space="preserve">  Check: model bridge vs company-published (should be 0)</t>
  </si>
  <si>
    <t xml:space="preserve">  Definition basis (company adjusted operating profit definition)</t>
  </si>
  <si>
    <t xml:space="preserve">Company definition (introduced in the Q4-25 release): operating profit + amortization of intangible assets + other operating profit adjustments; applied by the model to all periods</t>
  </si>
  <si>
    <t xml:space="preserve">  Adjusted operating profit y/y %</t>
  </si>
  <si>
    <t xml:space="preserve">  Incremental adjusted operating margin (Δ adj. op. profit / Δ sales)</t>
  </si>
  <si>
    <t xml:space="preserve">RECONCILIATION: GAAP NET EARNINGS / DILUTED EPS → ADJUSTED NET EARNINGS → ADJUSTED DILUTED EPS (company definition, as published)</t>
  </si>
  <si>
    <t xml:space="preserve">ADJUSTED EPS — company definition in force in each period ($ amounts from the release footnotes; per-share lines × diluted shares where no $ amount is given)</t>
  </si>
  <si>
    <t xml:space="preserve">Net earnings from continuing operations attributable to common (GAAP)</t>
  </si>
  <si>
    <t xml:space="preserve">  (+) Amortization of acquisition-related intangibles, pretax</t>
  </si>
  <si>
    <t xml:space="preserve">Added back from Q1-16 (earlier adjusted EPS excluded only discrete items).</t>
  </si>
  <si>
    <t xml:space="preserve">  (+) Other operating-level items, pretax</t>
  </si>
  <si>
    <t xml:space="preserve">  Operating-level adjusting items in the adjusted EPS bridge, pretax</t>
  </si>
  <si>
    <t xml:space="preserve">  (+) Nonoperating items, pretax (investment fair-value gains / losses, debt extinguishment)</t>
  </si>
  <si>
    <t xml:space="preserve">  Memo: adjusted other income (nonoperating income not excluded; helper)</t>
  </si>
  <si>
    <t xml:space="preserve">  (−) Tax effect of adjusting items</t>
  </si>
  <si>
    <t xml:space="preserve">  (+/−) Discrete tax adjustments</t>
  </si>
  <si>
    <t xml:space="preserve">  (+) MCPS dividends / if-converted adjustment (2019–2023)</t>
  </si>
  <si>
    <t xml:space="preserve">  (+/−) Other per-share-only items &amp; rounding (× diluted shares)</t>
  </si>
  <si>
    <t xml:space="preserve">  = Adjusted net earnings (model bridge)</t>
  </si>
  <si>
    <t xml:space="preserve">Historical shown where Danaher published adjusted EPS.</t>
  </si>
  <si>
    <t xml:space="preserve">  Tax rate applied to adjusting items</t>
  </si>
  <si>
    <t xml:space="preserve">Historical: implied by the company footnotes (after-tax vs pretax amounts). Forecast input (amortization deductible at blended jurisdictional rates).</t>
  </si>
  <si>
    <t xml:space="preserve">  Adjusted effective tax rate (adjusted tax ÷ adjusted pretax earnings)</t>
  </si>
  <si>
    <t xml:space="preserve">Guided ~17% for FY26 (non-GAAP basis). 2027E+ input.</t>
  </si>
  <si>
    <t xml:space="preserve">  Diluted shares used in adjusted EPS (m)</t>
  </si>
  <si>
    <t xml:space="preserve">Weighted diluted shares (MCPS if-converted shares for 2019–2023 periods are captured in the per-share adjustment row).</t>
  </si>
  <si>
    <t xml:space="preserve">Adjusted diluted EPS ($) (model bridge)</t>
  </si>
  <si>
    <t xml:space="preserve">  Company-published adjusted diluted EPS ($; split-adjusted; hybrid-recast basis)</t>
  </si>
  <si>
    <t xml:space="preserve">  Check: model vs company-published adjusted EPS (should be 0.00; ±0.02 rounding)</t>
  </si>
  <si>
    <t xml:space="preserve">  Memo: adjusted EPS as originally published (where the period was later recast)</t>
  </si>
  <si>
    <t xml:space="preserve">  Definition basis (company adjusted EPS definition in force)</t>
  </si>
  <si>
    <t xml:space="preserve">2006–2014: adjusted EPS excludes discrete items only (restructuring above plan, acquisition fair-value charges, gains, discrete tax); amortization NOT added back</t>
  </si>
  <si>
    <t xml:space="preserve">Q1-15+: amortization of acquisition-related intangibles added back (after tax)</t>
  </si>
  <si>
    <t xml:space="preserve">Q2-16+: single tax-effect line; discrete tax adjustments excluded; investment fair-value gains / losses excluded (from 2018)</t>
  </si>
  <si>
    <t xml:space="preserve">2019–Q2/23: MCPS — preferred dividends / if-converted shares where dilutive</t>
  </si>
  <si>
    <t xml:space="preserve">Q4-23+: continuing operations after the Veralto spin-off (30-Sep-2023)</t>
  </si>
  <si>
    <t xml:space="preserve">  Adjusted EPS y/y %</t>
  </si>
  <si>
    <t xml:space="preserve">GROWTH &amp; MARGINS</t>
  </si>
  <si>
    <t xml:space="preserve">GROWTH &amp; MARGINS (consolidated) — forecast outputs</t>
  </si>
  <si>
    <t xml:space="preserve">  Core sales growth %</t>
  </si>
  <si>
    <t xml:space="preserve">  Biotechnology sales y/y %</t>
  </si>
  <si>
    <t xml:space="preserve">  Life Sciences sales y/y %</t>
  </si>
  <si>
    <t xml:space="preserve">  Diagnostics sales y/y % (legacy)</t>
  </si>
  <si>
    <t xml:space="preserve">  Adjusted EBITDA y/y %</t>
  </si>
  <si>
    <t xml:space="preserve">  Operating profit (GAAP) y/y %</t>
  </si>
  <si>
    <t xml:space="preserve">  Net earnings from continuing operations y/y %</t>
  </si>
  <si>
    <t xml:space="preserve">  Incremental Adjusted EBITDA margin (ΔEBITDA / ΔSales)</t>
  </si>
  <si>
    <t xml:space="preserve">  Net margin (continuing, attributable to common) %</t>
  </si>
  <si>
    <t xml:space="preserve">  SG&amp;A % of sales</t>
  </si>
  <si>
    <t xml:space="preserve">CONSOLIDATED STATEMENT OF CASH FLOWS</t>
  </si>
  <si>
    <t xml:space="preserve">CASH FLOW — forecast logic (annual; 2026E = 1H/26 actual + 2H estimate; quarters = discrete, derived from year-to-date statements)</t>
  </si>
  <si>
    <t xml:space="preserve">Net earnings (total, incl. discontinued operations)</t>
  </si>
  <si>
    <t xml:space="preserve">Adjustments:</t>
  </si>
  <si>
    <t xml:space="preserve">  Amortization of intangible assets</t>
  </si>
  <si>
    <t xml:space="preserve">  Stock-based compensation</t>
  </si>
  <si>
    <t xml:space="preserve">  Change in deferred income taxes</t>
  </si>
  <si>
    <t xml:space="preserve">Deferred tax benefit as book amortization of acquired intangibles exceeds tax amortization (FY25 −$440m; FY24 −$483m). 2H/26 and 2027E+ inputs.</t>
  </si>
  <si>
    <t xml:space="preserve">  Impairments, investment (gains) losses, inventory step-up &amp; other operating items, net (derived)</t>
  </si>
  <si>
    <t xml:space="preserve">2026E = 1H/26 actual; forecast other adjustments (Masimo inventory step-up) treated as working-capital / cash items; 2027E+ nil.</t>
  </si>
  <si>
    <t xml:space="preserve">  Changes in operating assets &amp; liabilities (working capital), net</t>
  </si>
  <si>
    <t xml:space="preserve">Linked to the balance sheet: −Δ(receivables, inventories) + Δ(payables, accrued expenses). Acquired working capital (StatLab, M&amp;A lever) is excluded via the acquisition line.</t>
  </si>
  <si>
    <t xml:space="preserve">Net cash provided by operating activities</t>
  </si>
  <si>
    <t xml:space="preserve">Payments for additions to property, plant &amp; equipment</t>
  </si>
  <si>
    <t xml:space="preserve">2026E: FY26 capex point estimate. 2027E+: sales × capex %.</t>
  </si>
  <si>
    <t xml:space="preserve">Proceeds from sales of property, plant &amp; equipment</t>
  </si>
  <si>
    <t xml:space="preserve">Cash paid for acquisitions</t>
  </si>
  <si>
    <t xml:space="preserve">2026E = 1H/26 actual (Masimo $9.84bn net of cash acquired) + StatLab (assumed paid at closing, end-2026). 2027E+: M&amp;A lever.</t>
  </si>
  <si>
    <t xml:space="preserve">Proceeds from sales of businesses / product lines</t>
  </si>
  <si>
    <t xml:space="preserve">Investments &amp; other investing activities, net (derived)</t>
  </si>
  <si>
    <t xml:space="preserve">Net cash used in investing activities</t>
  </si>
  <si>
    <t xml:space="preserve">Proceeds from issuance of common stock (stock-based compensation)</t>
  </si>
  <si>
    <t xml:space="preserve">Payment of dividends</t>
  </si>
  <si>
    <t xml:space="preserve">2027E+: dividends per share × beginning shares outstanding (avoids circularity with buybacks).</t>
  </si>
  <si>
    <t xml:space="preserve">Payments for repurchase of common stock</t>
  </si>
  <si>
    <t xml:space="preserve">2026E = 1H/26 actual + 2H scenario amount; 2027E+ = leverage plug (surplus cash returned via buybacks once net debt / Adjusted EBITDA reaches the scenario floor).</t>
  </si>
  <si>
    <t xml:space="preserve">Borrowings / (repayments), net (notes, commercial paper, credit facilities)</t>
  </si>
  <si>
    <t xml:space="preserve">Forecast = change in total debt per the debt schedule (scheduled note maturities, refinancing, commercial paper to a minimum cash balance).</t>
  </si>
  <si>
    <t xml:space="preserve">Spin-off distributions, equity offerings &amp; other financing, net (derived)</t>
  </si>
  <si>
    <t xml:space="preserve">Net cash provided by (used in) financing activities</t>
  </si>
  <si>
    <t xml:space="preserve">Effect of exchange rate changes on cash</t>
  </si>
  <si>
    <t xml:space="preserve">Net change in cash and equivalents</t>
  </si>
  <si>
    <t xml:space="preserve">Cash — beginning of period</t>
  </si>
  <si>
    <t xml:space="preserve">Cash — end of period</t>
  </si>
  <si>
    <t xml:space="preserve">Cash and equivalents as presented in each statement (some spin-off years include cash of discontinued operations).</t>
  </si>
  <si>
    <t xml:space="preserve">  Check: CFO + CFI + CFF + FX = change in cash (should be 0; ±0.6 rounding)</t>
  </si>
  <si>
    <t xml:space="preserve">  Check: beginning cash + change = ending cash (should be 0)</t>
  </si>
  <si>
    <t xml:space="preserve">(Memo)</t>
  </si>
  <si>
    <t xml:space="preserve">  Memo: operating cash flow — company FCF basis (continuing operations where presented)</t>
  </si>
  <si>
    <t xml:space="preserve">  Memo: capital expenditures — company FCF basis</t>
  </si>
  <si>
    <t xml:space="preserve">  Memo: proceeds from PP&amp;E sales — company FCF basis (not in the 2010–12 definition)</t>
  </si>
  <si>
    <t xml:space="preserve">Free cash flow (company definition: operating cash flow − capex + PP&amp;E disposals)</t>
  </si>
  <si>
    <t xml:space="preserve">Danaher definition (non-GAAP): operating cash flow (continuing operations from 2023) − capex + proceeds from PP&amp;E sales; components as in the company FCF table where published, else the cash-flow statement.</t>
  </si>
  <si>
    <t xml:space="preserve">  Memo: free cash flow as published</t>
  </si>
  <si>
    <t xml:space="preserve">  Check: model FCF vs published (should be 0; differences = discontinued-operations cash flows)</t>
  </si>
  <si>
    <t xml:space="preserve">  FCF y/y %</t>
  </si>
  <si>
    <t xml:space="preserve">  FCF % of sales</t>
  </si>
  <si>
    <t xml:space="preserve">  FCF / adjusted net earnings conversion %</t>
  </si>
  <si>
    <t xml:space="preserve">  FCF per diluted share ($)</t>
  </si>
  <si>
    <t xml:space="preserve">Capex ratios</t>
  </si>
  <si>
    <t xml:space="preserve">  Capex % of sales</t>
  </si>
  <si>
    <t xml:space="preserve">2027E+: input (2024 5.8%, 2025 4.7%; normalising after the bioprocessing capacity build-out).</t>
  </si>
  <si>
    <t xml:space="preserve">  Capex / depreciation (x)</t>
  </si>
  <si>
    <t xml:space="preserve">SHARE BUYBACK SCHEDULE</t>
  </si>
  <si>
    <t xml:space="preserve">SHARES — 2026E starts from shares outstanding at 26-Jun-2026; 2H/26 buyback per scenario</t>
  </si>
  <si>
    <t xml:space="preserve">  Avg buyback price ($)</t>
  </si>
  <si>
    <t xml:space="preserve">2026E = current share price (valuation input); appreciates with the share-price input.</t>
  </si>
  <si>
    <t xml:space="preserve">  Buyback cash deployed (USDm)</t>
  </si>
  <si>
    <t xml:space="preserve">2026E row = 2H/26 buyback only (1H/26 repurchases — $903m in Q2 — already in the Q2 share count).</t>
  </si>
  <si>
    <t xml:space="preserve">  Implied shares repurchased (m)</t>
  </si>
  <si>
    <t xml:space="preserve">  Shares issued under equity plans (m)</t>
  </si>
  <si>
    <t xml:space="preserve">  Beginning shares outstanding (m)</t>
  </si>
  <si>
    <t xml:space="preserve">2026E begins from shares outstanding at 26-Jun-2026 (10-Q).</t>
  </si>
  <si>
    <t xml:space="preserve">  Ending shares outstanding (m)</t>
  </si>
  <si>
    <t xml:space="preserve">  % of shares repurchased</t>
  </si>
  <si>
    <t xml:space="preserve">  Memo: cumulative shares repurchased since 2H/26 (m)</t>
  </si>
  <si>
    <t xml:space="preserve">CONSOLIDATED BALANCE SHEET</t>
  </si>
  <si>
    <t xml:space="preserve">BS FORECAST — 2026E rolled forward from the 26-Jun-2026 balance sheet (Q2/26) + 2H flows; 2027E+ from prior year end</t>
  </si>
  <si>
    <t xml:space="preserve">ASSETS</t>
  </si>
  <si>
    <t xml:space="preserve">  Cash and equivalents</t>
  </si>
  <si>
    <t xml:space="preserve">  Trade accounts receivable, net</t>
  </si>
  <si>
    <t xml:space="preserve">Receivables = annualised sales × DSO / 365.</t>
  </si>
  <si>
    <t xml:space="preserve">  Inventories</t>
  </si>
  <si>
    <t xml:space="preserve">  Prepaid expenses &amp; other current assets (incl. assets held for sale; derived)</t>
  </si>
  <si>
    <t xml:space="preserve">Total current assets</t>
  </si>
  <si>
    <t xml:space="preserve">  Property, plant &amp; equipment, net</t>
  </si>
  <si>
    <t xml:space="preserve">PP&amp;E roll-forward: prior − capex (negative cash flow) − depreciation + acquired PP&amp;E (StatLab 5% of price; M&amp;A lever).</t>
  </si>
  <si>
    <t xml:space="preserve">  Other long-term assets (incl. ROU, investments; derived)</t>
  </si>
  <si>
    <t xml:space="preserve">+ net investments (other investing cash flows).</t>
  </si>
  <si>
    <t xml:space="preserve">  Goodwill</t>
  </si>
  <si>
    <t xml:space="preserve">  Other intangible assets, net</t>
  </si>
  <si>
    <t xml:space="preserve">Intangibles roll-forward: prior − amortization + acquired intangibles (StatLab; M&amp;A lever).</t>
  </si>
  <si>
    <t xml:space="preserve">TOTAL ASSETS</t>
  </si>
  <si>
    <t xml:space="preserve">LIABILITIES AND STOCKHOLDERS' EQUITY</t>
  </si>
  <si>
    <t xml:space="preserve">  Notes payable &amp; current portion of long-term debt</t>
  </si>
  <si>
    <t xml:space="preserve">Forecast: next year's scheduled note maturities.</t>
  </si>
  <si>
    <t xml:space="preserve">  Trade accounts payable</t>
  </si>
  <si>
    <t xml:space="preserve">  Accrued expenses &amp; other liabilities</t>
  </si>
  <si>
    <t xml:space="preserve">  Other current liabilities (liabilities of discontinued operations / held for sale; derived)</t>
  </si>
  <si>
    <t xml:space="preserve">Total current liabilities</t>
  </si>
  <si>
    <t xml:space="preserve">  Other long-term liabilities (incl. deferred taxes, pensions, leases; derived)</t>
  </si>
  <si>
    <t xml:space="preserve">  Long-term debt</t>
  </si>
  <si>
    <t xml:space="preserve">Total liabilities</t>
  </si>
  <si>
    <t xml:space="preserve">Stockholders' equity:</t>
  </si>
  <si>
    <t xml:space="preserve">  Preferred stock (mandatory convertible, 2019–2023)</t>
  </si>
  <si>
    <t xml:space="preserve">  Common stock &amp; additional paid-in capital (derived)</t>
  </si>
  <si>
    <t xml:space="preserve">+ stock-based compensation + stock-plan proceeds + other financing (tax withholding on equity awards, debt costs).</t>
  </si>
  <si>
    <t xml:space="preserve">  Treasury stock</t>
  </si>
  <si>
    <t xml:space="preserve">Repurchased shares held in treasury: + repurchases (negative).</t>
  </si>
  <si>
    <t xml:space="preserve">  Retained earnings</t>
  </si>
  <si>
    <t xml:space="preserve">+ net earnings − dividends.</t>
  </si>
  <si>
    <t xml:space="preserve">  Accumulated other comprehensive income (loss)</t>
  </si>
  <si>
    <t xml:space="preserve">Total Danaher stockholders' equity</t>
  </si>
  <si>
    <t xml:space="preserve">  Noncontrolling interests</t>
  </si>
  <si>
    <t xml:space="preserve">Total stockholders' equity</t>
  </si>
  <si>
    <t xml:space="preserve">TOTAL LIABILITIES AND STOCKHOLDERS' EQUITY</t>
  </si>
  <si>
    <t xml:space="preserve">BS tie-out check (TA − TL&amp;E; ±0.6 rounding)</t>
  </si>
  <si>
    <t xml:space="preserve">  Check: model total assets vs reported (should be 0)</t>
  </si>
  <si>
    <t xml:space="preserve">  Memo: total assets as reported</t>
  </si>
  <si>
    <t xml:space="preserve">  Check: BS cash vs cash-flow ending cash (should be 0; differences = cash of discontinued operations / held for sale)</t>
  </si>
  <si>
    <t xml:space="preserve">  Memo: common shares outstanding at period end (m)</t>
  </si>
  <si>
    <t xml:space="preserve">WORKING CAPITAL &amp; CASH CONVERSION</t>
  </si>
  <si>
    <t xml:space="preserve">WORKING CAPITAL — forecast drivers (blue = input)</t>
  </si>
  <si>
    <t xml:space="preserve">  Sales — annualised (quarters × 4)</t>
  </si>
  <si>
    <t xml:space="preserve">  Cost of sales — annualised</t>
  </si>
  <si>
    <t xml:space="preserve">  Acquired receivables (StatLab, M&amp;A lever; enters with the acquisition, not through operating cash flow)</t>
  </si>
  <si>
    <t xml:space="preserve">  DSO — receivables / sales × 365</t>
  </si>
  <si>
    <t xml:space="preserve">  Inventory days — inventories / cost of sales × 365</t>
  </si>
  <si>
    <t xml:space="preserve">  Payable days — payables / cost of sales × 365</t>
  </si>
  <si>
    <t xml:space="preserve">  Accrued expenses &amp; other liabilities % of sales</t>
  </si>
  <si>
    <t xml:space="preserve">Forecast inputs at FY2025 levels (DSO 58d, inventory 90d, payables 67d, accrued expenses 20.2% of sales). Masimo working capital enters through the Q2/26 balance sheet.</t>
  </si>
  <si>
    <t xml:space="preserve">  Operating NWC (receivables + inventories − payables − accrued expenses)</t>
  </si>
  <si>
    <t xml:space="preserve">  NWC % of sales</t>
  </si>
  <si>
    <t xml:space="preserve">  ΔNWC (y/y)</t>
  </si>
  <si>
    <t xml:space="preserve">BALANCE SHEET FORECAST SCHEDULES</t>
  </si>
  <si>
    <t xml:space="preserve">BS FORECAST SCHEDULES — explicit driver assumptions</t>
  </si>
  <si>
    <t xml:space="preserve">Masimo acquisition — consideration &amp; preliminary purchase-price allocation (Q2-26 10-Q, closing-quarter column)</t>
  </si>
  <si>
    <t xml:space="preserve">  Cash consideration, net of cash acquired</t>
  </si>
  <si>
    <t xml:space="preserve">  Replacement equity awards (non-cash consideration)</t>
  </si>
  <si>
    <t xml:space="preserve">  Trade accounts receivable</t>
  </si>
  <si>
    <t xml:space="preserve">  Inventories (incl. fair-value step-up)</t>
  </si>
  <si>
    <t xml:space="preserve">  Property, plant &amp; equipment</t>
  </si>
  <si>
    <t xml:space="preserve">  Other intangible assets (technology, customer relationships, trade names)</t>
  </si>
  <si>
    <t xml:space="preserve">  Goodwill (Diagnostics)</t>
  </si>
  <si>
    <t xml:space="preserve">  Deferred tax liabilities</t>
  </si>
  <si>
    <t xml:space="preserve">  Other assets &amp; liabilities, net</t>
  </si>
  <si>
    <t xml:space="preserve">  Weighted useful life of acquired intangibles (years; implied by amortization guidance)</t>
  </si>
  <si>
    <t xml:space="preserve">Not disclosed. Implied by the FY26 amortization guidance (~$1.9bn incl. Masimo vs ~$1.7bn pre-deal schedule) and Q3 guidance (~$500m).</t>
  </si>
  <si>
    <t xml:space="preserve">  Check: assets acquired − liabilities assumed − consideration (should be 0)</t>
  </si>
  <si>
    <t xml:space="preserve">Asset roll-forwards &amp; non-cash items</t>
  </si>
  <si>
    <t xml:space="preserve">  Dilutive securities (m shares)</t>
  </si>
  <si>
    <t xml:space="preserve">  Share-price appreciation % (buyback pricing)</t>
  </si>
  <si>
    <t xml:space="preserve">Debt schedule (scheduled note maturities + commercial paper / facilities to a minimum cash balance)</t>
  </si>
  <si>
    <t xml:space="preserve">  Total debt (current + long-term)</t>
  </si>
  <si>
    <t xml:space="preserve">Debt at 26-Jun-26 $26,558m: euro commercial paper $4,703m (2.5%) + senior notes $21,855m (EUR / CHF / JPY / USD, coupons 0.2–4.4%). Masimo financing: €3.0bn notes (Apr-26), CHF 2.38bn private placement (Jun-26), euro CP. $5bn revolver (2028) + $5bn 364-day facility undrawn.</t>
  </si>
  <si>
    <t xml:space="preserve">  Scheduled note maturities (input, negative)</t>
  </si>
  <si>
    <t xml:space="preserve">2H/26: €800m 2.1% notes (30-Sep-26, $912m; repaid). 2027: CHF / yen / €600m notes ($1,181m); 2028: €1.3bn 0.45% Biopharma, €500m floating, CHF ($2,249m); 2029: CHF / $800m 2.6% ($1,198m); 2030: €750m 2.5% + €750m 3.25% ($1,760m). Carrying amounts at 26-Jun-26 (Q2-26 10-Q Note 10).</t>
  </si>
  <si>
    <t xml:space="preserve">  % of scheduled maturities refinanced (input)</t>
  </si>
  <si>
    <t xml:space="preserve">100% = maturity refinanced with new notes; otherwise repaid from cash / commercial paper.</t>
  </si>
  <si>
    <t xml:space="preserve">  Refinancing issuance</t>
  </si>
  <si>
    <t xml:space="preserve">  Senior notes outstanding (year end)</t>
  </si>
  <si>
    <t xml:space="preserve">  Cash before commercial paper (opening cash + CFO + CFI + non-debt financing + FX + scheduled note flows)</t>
  </si>
  <si>
    <t xml:space="preserve">  Minimum cash balance</t>
  </si>
  <si>
    <t xml:space="preserve">  Commercial paper &amp; credit facilities outstanding (year end)</t>
  </si>
  <si>
    <t xml:space="preserve">Drawn / repaid so that cash = minimum balance; surplus cash first repays commercial paper, then accumulates (or funds buybacks via the leverage plug).</t>
  </si>
  <si>
    <t xml:space="preserve">  Net issuance / (repayment)</t>
  </si>
  <si>
    <t xml:space="preserve">  Interest rate on senior notes (opening balance) %</t>
  </si>
  <si>
    <t xml:space="preserve">Blended coupon ~1.9% on the 26-Jun-26 notes (low-coupon EUR / CHF paper + 2026 Masimo issues at 1.65–4.0%); drifts up as 0.2–1.2% notes refinance at ~3%.</t>
  </si>
  <si>
    <t xml:space="preserve">  Interest rate on commercial paper %</t>
  </si>
  <si>
    <t xml:space="preserve">  Interest income yield on opening cash %</t>
  </si>
  <si>
    <t xml:space="preserve">Leverage-targeted buybacks (repurchases plug to a minimum net debt / Adjusted EBITDA, 2027E+)</t>
  </si>
  <si>
    <t xml:space="preserve">  Minimum net debt / Adjusted EBITDA (x) (scenario)</t>
  </si>
  <si>
    <t xml:space="preserve">  Net debt before buybacks (year end)</t>
  </si>
  <si>
    <t xml:space="preserve">  Target minimum net debt = min. leverage × Adjusted EBITDA</t>
  </si>
  <si>
    <t xml:space="preserve">  Share repurchases: plug to minimum leverage</t>
  </si>
  <si>
    <t xml:space="preserve">Surplus cash beyond the leverage floor is returned via buybacks; feeds the cash-flow repurchase line.</t>
  </si>
  <si>
    <t xml:space="preserve">Historical reference (driver context)</t>
  </si>
  <si>
    <t xml:space="preserve">  Total D&amp;A % of sales</t>
  </si>
  <si>
    <t xml:space="preserve">  Amortization % of sales</t>
  </si>
  <si>
    <t xml:space="preserve">RATIO ANALYSIS</t>
  </si>
  <si>
    <t xml:space="preserve">RETURNS — annual columns (NOPAT on Adjusted EBIT, i.e. after acquired-intangible amortization)</t>
  </si>
  <si>
    <t xml:space="preserve">DuPont decomposition of ROIC</t>
  </si>
  <si>
    <t xml:space="preserve">Adjusted EBIT (Adjusted EBITDA − D&amp;A)</t>
  </si>
  <si>
    <t xml:space="preserve">Effective tax rate (actual)</t>
  </si>
  <si>
    <t xml:space="preserve">NOPAT = Adjusted EBIT × (1 − tax rate)</t>
  </si>
  <si>
    <t xml:space="preserve">Invested capital (IC) = Equity + Net debt</t>
  </si>
  <si>
    <t xml:space="preserve">  Total equity incl. NCI</t>
  </si>
  <si>
    <t xml:space="preserve">  Net debt = Total debt − Cash</t>
  </si>
  <si>
    <t xml:space="preserve">ROIC = NOPAT / IC</t>
  </si>
  <si>
    <t xml:space="preserve">  Margin = Adjusted EBIT / Sales</t>
  </si>
  <si>
    <t xml:space="preserve">  Capital turnover = Sales / IC</t>
  </si>
  <si>
    <t xml:space="preserve">  Tax burden = (1 − effective tax rate)</t>
  </si>
  <si>
    <t xml:space="preserve">  Check: Margin × Turnover × Tax burden = ROIC</t>
  </si>
  <si>
    <t xml:space="preserve">RONTA decomposition</t>
  </si>
  <si>
    <t xml:space="preserve">  Total assets</t>
  </si>
  <si>
    <t xml:space="preserve">  − Goodwill &amp; acquired intangible assets</t>
  </si>
  <si>
    <t xml:space="preserve">  − Non-interest-bearing current liabilities (total CL excl. debt)</t>
  </si>
  <si>
    <t xml:space="preserve">  = Net tangible assets</t>
  </si>
  <si>
    <t xml:space="preserve">RONTA = NOPAT / NTA</t>
  </si>
  <si>
    <t xml:space="preserve">Return on Equity (ROE)</t>
  </si>
  <si>
    <t xml:space="preserve">Danaher stockholders' equity</t>
  </si>
  <si>
    <t xml:space="preserve">ROE = Net earnings / Equity</t>
  </si>
  <si>
    <t xml:space="preserve">Leverage</t>
  </si>
  <si>
    <t xml:space="preserve">Net debt = Total debt − cash</t>
  </si>
  <si>
    <t xml:space="preserve">Adjusted EBITDA (model definition; 2026E pro forma Masimo full year)</t>
  </si>
  <si>
    <t xml:space="preserve">Net debt / Adjusted EBITDA (x)</t>
  </si>
  <si>
    <t xml:space="preserve">VALUATION</t>
  </si>
  <si>
    <t xml:space="preserve">VALUATION — share price input $221.21 (NYSE close 5-Oct-2026); update to market.</t>
  </si>
  <si>
    <t xml:space="preserve">Share price ($) — current</t>
  </si>
  <si>
    <t xml:space="preserve">Diluted shares at period end (m)</t>
  </si>
  <si>
    <t xml:space="preserve">Market capitalisation (USDm)</t>
  </si>
  <si>
    <t xml:space="preserve">Net debt (USDm)</t>
  </si>
  <si>
    <t xml:space="preserve">Noncontrolling interests (USDm)</t>
  </si>
  <si>
    <t xml:space="preserve">Enterprise value (USDm)</t>
  </si>
  <si>
    <t xml:space="preserve">Multiples</t>
  </si>
  <si>
    <t xml:space="preserve">  EV / Sales</t>
  </si>
  <si>
    <t xml:space="preserve">  EV / Adjusted EBITDA</t>
  </si>
  <si>
    <t xml:space="preserve">  EV / Adjusted operating profit</t>
  </si>
  <si>
    <t xml:space="preserve">  EV / IC</t>
  </si>
  <si>
    <t xml:space="preserve">  P / E (GAAP diluted, continuing)</t>
  </si>
  <si>
    <t xml:space="preserve">  P / E (adjusted EPS)</t>
  </si>
  <si>
    <t xml:space="preserve">  FCF yield</t>
  </si>
  <si>
    <t xml:space="preserve">  Dividend yield</t>
  </si>
  <si>
    <t xml:space="preserve">Danaher Corporation (DHR) — Bull / Base / Bear Case P&amp;L Summary</t>
  </si>
  <si>
    <t xml:space="preserve">Share price ($):</t>
  </si>
  <si>
    <t xml:space="preserve">Adjusted figures (company definitions: core sales growth, adjusted operating profit, adjusted diluted EPS incl. add-back of acquired-intangible amortization; Adjusted EBITDA = model definition) · USD millions · Live panel linked to Model — toggle scenario via Model!CF2. Bull and Bear panels are value snapshots generated from the Model with the switch set to each case. 2026E includes Masimo from 10-Jun-2026; StatLab assumed closed end-2026.</t>
  </si>
  <si>
    <t xml:space="preserve">As of:</t>
  </si>
  <si>
    <t xml:space="preserve">Scenario:</t>
  </si>
  <si>
    <t xml:space="preserve">Snapshot (values) — Model run with switch = Bull</t>
  </si>
  <si>
    <t xml:space="preserve">Snapshot (values) — Model run with switch = Bear</t>
  </si>
  <si>
    <t xml:space="preserve">(USDm, except EPS and shares)</t>
  </si>
  <si>
    <t xml:space="preserve">2025A</t>
  </si>
  <si>
    <t xml:space="preserve">25-'30 CAGR</t>
  </si>
  <si>
    <t xml:space="preserve">LT Hist Avg</t>
  </si>
  <si>
    <t xml:space="preserve">LT Hist Min</t>
  </si>
  <si>
    <t xml:space="preserve">LT Hist Max</t>
  </si>
  <si>
    <t xml:space="preserve">   Sales y/y %</t>
  </si>
  <si>
    <t xml:space="preserve">   Core sales growth % (non-GAAP)</t>
  </si>
  <si>
    <t xml:space="preserve">Adjusted EBITDA (model definition)</t>
  </si>
  <si>
    <t xml:space="preserve">   Adjusted EBITDA margin %</t>
  </si>
  <si>
    <t xml:space="preserve">Operating Profit (GAAP)</t>
  </si>
  <si>
    <t xml:space="preserve">   Operating profit y/y %</t>
  </si>
  <si>
    <t xml:space="preserve">   Operating margin (GAAP) %</t>
  </si>
  <si>
    <t xml:space="preserve">Adjusted Net Earnings (continuing operations, attributable to common)</t>
  </si>
  <si>
    <t xml:space="preserve">FDSO (m)</t>
  </si>
  <si>
    <t xml:space="preserve">Adjusted EPS — Diluted ($)</t>
  </si>
  <si>
    <t xml:space="preserve">   EPS y/y %</t>
  </si>
  <si>
    <t xml:space="preserve">P / E (x) — assumed (adjusted EPS)</t>
  </si>
  <si>
    <t xml:space="preserve">Price Target ($)</t>
  </si>
  <si>
    <t xml:space="preserve">   Upside / (Downside) vs current</t>
  </si>
  <si>
    <t xml:space="preserve">IRR (to Dec-Y-1)</t>
  </si>
  <si>
    <t xml:space="preserve">Free Cash Flow</t>
  </si>
  <si>
    <t xml:space="preserve">   FCF %</t>
  </si>
  <si>
    <t xml:space="preserve">   FCF / share ($)</t>
  </si>
  <si>
    <t xml:space="preserve">   FCF Yield (on PT)</t>
  </si>
  <si>
    <t xml:space="preserve">Adjusted EBITDA — pro forma (2026E incl. Masimo full year)</t>
  </si>
  <si>
    <t xml:space="preserve">   Adjusted EBITDA (pro forma) % of sales</t>
  </si>
  <si>
    <t xml:space="preserve">Net Debt</t>
  </si>
  <si>
    <t xml:space="preserve">   Net Debt / Adjusted EBITDA (x)</t>
  </si>
  <si>
    <t xml:space="preserve">   Share repurchases ($m)</t>
  </si>
  <si>
    <t xml:space="preserve">   Implied avg buyback price ($)</t>
  </si>
  <si>
    <t xml:space="preserve">   Shares repurchased (m)</t>
  </si>
  <si>
    <t xml:space="preserve">ROIC</t>
  </si>
  <si>
    <t xml:space="preserve">RONTA</t>
  </si>
  <si>
    <t xml:space="preserve">Implied Market Cap (USDm)</t>
  </si>
  <si>
    <t xml:space="preserve">(+) Net Debt &amp; NCI</t>
  </si>
  <si>
    <t xml:space="preserve">Implied Enterprise Value (USDm)</t>
  </si>
  <si>
    <t xml:space="preserve">Implied EV / Adjusted EBITDA (x)</t>
  </si>
  <si>
    <t xml:space="preserve">DCF VALUATION — DANAHER CORPORATION (DHR)</t>
  </si>
  <si>
    <t xml:space="preserve">1. WACC BUILD</t>
  </si>
  <si>
    <t xml:space="preserve">Risk-free rate (US 10Y govt)</t>
  </si>
  <si>
    <t xml:space="preserve">Assumption (~US 10Y Treasury yield); update to market</t>
  </si>
  <si>
    <t xml:space="preserve">Equity risk premium</t>
  </si>
  <si>
    <t xml:space="preserve">US implied ERP ~4.5–5.5% (Damodaran)</t>
  </si>
  <si>
    <t xml:space="preserve">Levered beta</t>
  </si>
  <si>
    <t xml:space="preserve">Life-science tools &amp; diagnostics peers (TMO, A, RVTY, WAT, ABT diagnostics) ~0.8–1.1; ~80% recurring revenue (consumables, service) dampens cyclicality</t>
  </si>
  <si>
    <t xml:space="preserve">Cost of equity</t>
  </si>
  <si>
    <t xml:space="preserve">Pre-tax cost of debt</t>
  </si>
  <si>
    <t xml:space="preserve">Investment grade (A- / A3); 2026 Masimo financing: €3.0bn notes 3.25–4.0% (floating 2028), CHF 1.65–2.51% private placement; USD marginal cost ~4.5–5.0%</t>
  </si>
  <si>
    <t xml:space="preserve">Tax rate</t>
  </si>
  <si>
    <t xml:space="preserve">Model 2027E+ adjusted effective tax rate (FY26 guidance ~17%)</t>
  </si>
  <si>
    <t xml:space="preserve">After-tax cost of debt</t>
  </si>
  <si>
    <t xml:space="preserve">Target D/V</t>
  </si>
  <si>
    <t xml:space="preserve">Net debt ~$22bn at 26-Jun-26 (post Masimo) vs ~$156bn market cap ($221 × ~705m shares) → ~12–15% D/V</t>
  </si>
  <si>
    <t xml:space="preserve">WACC</t>
  </si>
  <si>
    <t xml:space="preserve">Valuation date (live)</t>
  </si>
  <si>
    <t xml:space="preserve">Periods = (Dec-31-Year − today) / 365.25; cash flows assumed at year-end</t>
  </si>
  <si>
    <t xml:space="preserve">2. UNLEVERED FREE CASH FLOW BUILD (USDm)</t>
  </si>
  <si>
    <t xml:space="preserve">2031E</t>
  </si>
  <si>
    <t xml:space="preserve">2032E</t>
  </si>
  <si>
    <t xml:space="preserve">2033E</t>
  </si>
  <si>
    <t xml:space="preserve">2034E</t>
  </si>
  <si>
    <t xml:space="preserve">2035E</t>
  </si>
  <si>
    <t xml:space="preserve">Terminal</t>
  </si>
  <si>
    <t xml:space="preserve">CAGR 26–30E</t>
  </si>
  <si>
    <t xml:space="preserve">CAGR 26–35E</t>
  </si>
  <si>
    <t xml:space="preserve">Adjusted operating profit (before acquired-intangible amortization) less other operating profit adjustments</t>
  </si>
  <si>
    <t xml:space="preserve">× (1 − tax rate)</t>
  </si>
  <si>
    <t xml:space="preserve">NOPAT</t>
  </si>
  <si>
    <t xml:space="preserve">plus depreciation (acquired-intangible amortization is excluded from EBIT above, as in adjusted EPS)</t>
  </si>
  <si>
    <t xml:space="preserve">− Capex (PP&amp;E) and acquisitions (M&amp;A lever 2027E–30E; Masimo / StatLab in opening invested capital)</t>
  </si>
  <si>
    <t xml:space="preserve">− Δ Working capital (CF statement)</t>
  </si>
  <si>
    <t xml:space="preserve">Unlevered FCF</t>
  </si>
  <si>
    <t xml:space="preserve">Terminal Value (Gordon Growth)</t>
  </si>
  <si>
    <t xml:space="preserve">Fade-period growth (2031E–35E; 6% → 4.5% linear)</t>
  </si>
  <si>
    <t xml:space="preserve">Terminal growth rate</t>
  </si>
  <si>
    <t xml:space="preserve">Discount period (years)</t>
  </si>
  <si>
    <t xml:space="preserve">Discount factor</t>
  </si>
  <si>
    <t xml:space="preserve">PV of UFCF</t>
  </si>
  <si>
    <t xml:space="preserve">Danaher's adjusted operating profit expenses stock-based compensation and excludes ~$1.9bn p.a. of acquired-intangible amortization (largely not tax-deductible, finite-lived): NOPAT is taxed on adjusted operating profit and only depreciation is added back, so the terminal value carries no perpetual amortization add-back. Masimo ($9.8bn, closed Jun-26) and StatLab (assumed ~$2.0bn) consideration is excluded from 2026E UFCF and added to opening invested capital.</t>
  </si>
  <si>
    <t xml:space="preserve">IMPLIED ROIC — invested capital roll-forward (USDm)</t>
  </si>
  <si>
    <t xml:space="preserve">Opening invested capital</t>
  </si>
  <si>
    <t xml:space="preserve">plus Capex and acquisitions</t>
  </si>
  <si>
    <t xml:space="preserve">less depreciation</t>
  </si>
  <si>
    <t xml:space="preserve">plus Δ Working capital investment</t>
  </si>
  <si>
    <t xml:space="preserve">Closing invested capital</t>
  </si>
  <si>
    <t xml:space="preserve">NOPAT (row 20)</t>
  </si>
  <si>
    <t xml:space="preserve">Implied ROIC (NOPAT / avg. invested capital)</t>
  </si>
  <si>
    <t xml:space="preserve">Reinvestment rate (net investment / NOPAT)</t>
  </si>
  <si>
    <t xml:space="preserve">Implied terminal RONIC (g / reinvestment rate)</t>
  </si>
  <si>
    <t xml:space="preserve">Opening IC = Model 2025A book invested capital (equity + net debt) + Masimo consideration (cash $9,843m + replacement awards $45m) + StatLab assumed price, rolled forward with DCF net investment (capex + M&amp;A − depreciation + ΔWC). Terminal incremental ROIC = g / reinvestment rate.</t>
  </si>
  <si>
    <t xml:space="preserve">3. VALUATION SUMMARY</t>
  </si>
  <si>
    <t xml:space="preserve">Sum of PV (explicit + fade)</t>
  </si>
  <si>
    <t xml:space="preserve">PV of Terminal Value</t>
  </si>
  <si>
    <t xml:space="preserve">Enterprise Value</t>
  </si>
  <si>
    <t xml:space="preserve">Less: Net debt + NCI (Model 2026E YE, post Masimo &amp; StatLab)</t>
  </si>
  <si>
    <t xml:space="preserve">DHR-specific: NCI immaterial (~$11m); net debt includes the Masimo financing (euro CP, €/CHF notes) and the assumed StatLab funding.</t>
  </si>
  <si>
    <t xml:space="preserve">Equity Value</t>
  </si>
  <si>
    <t xml:space="preserve">Diluted shares (m, Model 2026E period end)</t>
  </si>
  <si>
    <t xml:space="preserve">Implied share price ($)</t>
  </si>
  <si>
    <t xml:space="preserve">Current share price ($)</t>
  </si>
  <si>
    <t xml:space="preserve">Implied upside / (downside)</t>
  </si>
  <si>
    <t xml:space="preserve">Required discount to DCF value for target IRR</t>
  </si>
  <si>
    <t xml:space="preserve">vs. current</t>
  </si>
  <si>
    <t xml:space="preserve">Target IRR</t>
  </si>
  <si>
    <t xml:space="preserve">Max entry price for target IRR ($)</t>
  </si>
  <si>
    <t xml:space="preserve">Years for discount to close</t>
  </si>
  <si>
    <t xml:space="preserve">4. SENSITIVITY: IMPLIED PRICE ($) — WACC × Terminal Growth</t>
  </si>
  <si>
    <t xml:space="preserve">WACC →</t>
  </si>
  <si>
    <t xml:space="preserve">Terminal growth ↓</t>
  </si>
  <si>
    <t xml:space="preserve">5. REVERSE DCF</t>
  </si>
  <si>
    <t xml:space="preserve">To solve for the market-implied path: Data ▸ What-If Analysis ▸ Goal Seek — set C51 to the current price (C52) by changing C27 (terminal growth) or the fade-period growth inputs (I26:M26).</t>
  </si>
  <si>
    <t xml:space="preserve">6. MAUBOUSSIN EV / NOPAT — TWO-STAGE FRAMEWORK</t>
  </si>
  <si>
    <t xml:space="preserve">EV/NOPAT  =  1/r  +  [g × (1 − r/ROIIC) / (r × (r − g))] × [1 − ((1+g)/(1+r))^N]</t>
  </si>
  <si>
    <t xml:space="preserve">Formula source: Mauboussin &amp; Rappaport, "Expectations Investing" (2021); Counterpoint Global, "What Does a Price-Earnings Multiple Mean?" (2020).</t>
  </si>
  <si>
    <t xml:space="preserve">Input</t>
  </si>
  <si>
    <t xml:space="preserve">Value</t>
  </si>
  <si>
    <t xml:space="preserve">Rationale (Danaher characteristics)</t>
  </si>
  <si>
    <t xml:space="preserve">r  (Cost of capital / WACC)</t>
  </si>
  <si>
    <t xml:space="preserve">Linked from Section 1 WACC build</t>
  </si>
  <si>
    <t xml:space="preserve">g  (NOPAT growth, Stage 1)</t>
  </si>
  <si>
    <t xml:space="preserve">Model NOPAT CAGR 2026–30E: mid-single-digit core growth (bioprocessing HSD), 50–100 bps p.a. adjusted-margin expansion, Masimo synergies, amortization roll-off → ~8% NOPAT growth</t>
  </si>
  <si>
    <t xml:space="preserve">ROIIC  (Return on incremental invested capital)</t>
  </si>
  <si>
    <t xml:space="preserve">Consumables-heavy portfolio (~80% recurring) and DBS earn high returns on organic investment (capex ~4–5% of sales); acquired growth (Cytiva, Aldevron, Abcam, Masimo) earns ~5–7% after tax on purchase price, diluting incremental returns</t>
  </si>
  <si>
    <t xml:space="preserve">N  (Years of value creation / CAP)</t>
  </si>
  <si>
    <t xml:space="preserve">Installed-base razor / razor-blade franchises (bioprocessing, clinical diagnostics, Cepheid), regulatory switching costs, multi-decade DBS compounding record</t>
  </si>
  <si>
    <t xml:space="preserve">Calculation</t>
  </si>
  <si>
    <t xml:space="preserve">Steady-state component:  1 / r</t>
  </si>
  <si>
    <t xml:space="preserve">Value-creation factor: 1 − r / ROIIC</t>
  </si>
  <si>
    <t xml:space="preserve">Growth multiplier: g × (1 − r/ROIIC) / (r × (r − g))</t>
  </si>
  <si>
    <t xml:space="preserve">Time decay: 1 − ((1+g)/(1+r))^N</t>
  </si>
  <si>
    <t xml:space="preserve">PVGO component (growth value)</t>
  </si>
  <si>
    <t xml:space="preserve">Mauboussin EV / NOPAT (steady-state + PVGO)</t>
  </si>
  <si>
    <t xml:space="preserve">VALUATION  —  Applied to 2028E NOPAT</t>
  </si>
  <si>
    <t xml:space="preserve">USDm</t>
  </si>
  <si>
    <t xml:space="preserve">2028E adjusted operating profit less other operating profit adjustments</t>
  </si>
  <si>
    <t xml:space="preserve">Tax rate (from WACC build)</t>
  </si>
  <si>
    <t xml:space="preserve">2028E NOPAT</t>
  </si>
  <si>
    <t xml:space="preserve">× Mauboussin EV/NOPAT multiple</t>
  </si>
  <si>
    <t xml:space="preserve">Implied Enterprise Value (2028E basis)</t>
  </si>
  <si>
    <t xml:space="preserve">Less: YE2027 net debt + NCI (Model)</t>
  </si>
  <si>
    <t xml:space="preserve">Implied Equity Value</t>
  </si>
  <si>
    <t xml:space="preserve">Diluted shares 2028E (m, Model)</t>
  </si>
  <si>
    <t xml:space="preserve">Implied share price 2028 ($)</t>
  </si>
  <si>
    <t xml:space="preserve">MARKET-IMPLIED EV/NOPAT TODAY</t>
  </si>
  <si>
    <t xml:space="preserve">Current market cap (spot × diluted shares)</t>
  </si>
  <si>
    <t xml:space="preserve">Plus: YE2026 net debt + NCI</t>
  </si>
  <si>
    <t xml:space="preserve">Implied Enterprise Value (today)</t>
  </si>
  <si>
    <t xml:space="preserve">DHR market-implied EV/NOPAT (on 2028E NOPAT)</t>
  </si>
  <si>
    <t xml:space="preserve">Multiple gap (Mauboussin − Market)</t>
  </si>
  <si>
    <t xml:space="preserve">Implied re-rating headroom</t>
  </si>
  <si>
    <t xml:space="preserve">Danaher Corporation — Historical Operating Performance (2006–2025)</t>
  </si>
  <si>
    <t xml:space="preserve">All historicals · USDm · Linked to Model. Bars = core sales growth (non-GAAP, as published) vs total sales growth (y/y; hybrid recast basis around the Fortive, Envista and Veralto separations). Adjusted EBITDA = model definition (adjusted operating profit + depreciation). ROIC / RONTA on Adjusted EBIT (after amortization).</t>
  </si>
  <si>
    <t xml:space="preserve">Core sales growth %</t>
  </si>
  <si>
    <t xml:space="preserve">Total sales growth %</t>
  </si>
  <si>
    <t xml:space="preserve">Adjusted EBITDA (model)</t>
  </si>
  <si>
    <t xml:space="preserve">Adj. EBITDA Margin %</t>
  </si>
  <si>
    <t xml:space="preserve">GAAP Op. Margin %</t>
  </si>
  <si>
    <t xml:space="preserve">Adj. EBITDA margin %</t>
  </si>
  <si>
    <t xml:space="preserve">FCF margin %</t>
  </si>
</sst>
</file>

<file path=xl/styles.xml><?xml version="1.0" encoding="utf-8"?>
<styleSheet xmlns="http://schemas.openxmlformats.org/spreadsheetml/2006/main">
  <numFmts count="29">
    <numFmt numFmtId="164" formatCode="General"/>
    <numFmt numFmtId="165" formatCode="#,##0;\(#,##0\);\-"/>
    <numFmt numFmtId="166" formatCode="0%;\(0%\);&quot;n/m&quot;"/>
    <numFmt numFmtId="167" formatCode="0.0%;\(0.0%\);\-"/>
    <numFmt numFmtId="168" formatCode="0.00;\(0.00\);\-"/>
    <numFmt numFmtId="169" formatCode="0.0\x"/>
    <numFmt numFmtId="170" formatCode="\+0.0%;\-0.0%"/>
    <numFmt numFmtId="171" formatCode="General"/>
    <numFmt numFmtId="172" formatCode="\+#,##0;\-#,##0"/>
    <numFmt numFmtId="173" formatCode="0.00\x;\(0.00&quot;x)&quot;;\-"/>
    <numFmt numFmtId="174" formatCode="#,##0.0;\(#,##0.0\);\-"/>
    <numFmt numFmtId="175" formatCode="#,##0.00;\(#,##0.00\);\-"/>
    <numFmt numFmtId="176" formatCode="0\d;\(0&quot;)d&quot;;\-"/>
    <numFmt numFmtId="177" formatCode="#,##0.00"/>
    <numFmt numFmtId="178" formatCode="dd\-mmm\-yy"/>
    <numFmt numFmtId="179" formatCode="0%;\(0%\);\-"/>
    <numFmt numFmtId="180" formatCode="\$#,##0.00;&quot;($&quot;#,##0.00\);\-"/>
    <numFmt numFmtId="181" formatCode="0.00%"/>
    <numFmt numFmtId="182" formatCode="0.00"/>
    <numFmt numFmtId="183" formatCode="d/mmm/yyyy"/>
    <numFmt numFmtId="184" formatCode="0.0%"/>
    <numFmt numFmtId="185" formatCode="0.000"/>
    <numFmt numFmtId="186" formatCode="#,##0.0"/>
    <numFmt numFmtId="187" formatCode="0.0%;\(0.0%\)"/>
    <numFmt numFmtId="188" formatCode="0"/>
    <numFmt numFmtId="189" formatCode="#,##0"/>
    <numFmt numFmtId="190" formatCode="0.00\x"/>
    <numFmt numFmtId="191" formatCode="0.0\x;\(0.0&quot;x)&quot;"/>
    <numFmt numFmtId="192" formatCode="0%"/>
  </numFmts>
  <fonts count="49">
    <font>
      <sz val="11"/>
      <color theme="1"/>
      <name val="Calibri"/>
      <family val="2"/>
      <charset val="1"/>
    </font>
    <font>
      <sz val="10"/>
      <name val="Arial"/>
      <family val="0"/>
    </font>
    <font>
      <sz val="10"/>
      <name val="Arial"/>
      <family val="0"/>
    </font>
    <font>
      <sz val="10"/>
      <name val="Arial"/>
      <family val="0"/>
    </font>
    <font>
      <b val="true"/>
      <sz val="10"/>
      <color rgb="FFC00000"/>
      <name val="Calibri"/>
      <family val="2"/>
      <charset val="1"/>
    </font>
    <font>
      <b val="true"/>
      <sz val="16"/>
      <color rgb="FF1F3864"/>
      <name val="Calibri"/>
      <family val="2"/>
      <charset val="1"/>
    </font>
    <font>
      <b val="true"/>
      <sz val="12"/>
      <color rgb="FF0000FF"/>
      <name val="Calibri"/>
      <family val="2"/>
      <charset val="1"/>
    </font>
    <font>
      <sz val="10"/>
      <color rgb="FF595959"/>
      <name val="Calibri"/>
      <family val="2"/>
      <charset val="1"/>
    </font>
    <font>
      <sz val="10"/>
      <color rgb="FFC00000"/>
      <name val="Calibri"/>
      <family val="2"/>
      <charset val="1"/>
    </font>
    <font>
      <b val="true"/>
      <sz val="12"/>
      <color rgb="FFFFFFFF"/>
      <name val="Calibri"/>
      <family val="2"/>
      <charset val="1"/>
    </font>
    <font>
      <sz val="9"/>
      <color rgb="FF666666"/>
      <name val="Calibri"/>
      <family val="2"/>
      <charset val="1"/>
    </font>
    <font>
      <b val="true"/>
      <sz val="11"/>
      <color rgb="FF000000"/>
      <name val="Calibri"/>
      <family val="2"/>
      <charset val="1"/>
    </font>
    <font>
      <b val="true"/>
      <sz val="12"/>
      <color rgb="FF000000"/>
      <name val="Calibri"/>
      <family val="2"/>
      <charset val="1"/>
    </font>
    <font>
      <sz val="10"/>
      <name val="Calibri"/>
      <family val="2"/>
      <charset val="1"/>
    </font>
    <font>
      <b val="true"/>
      <sz val="11"/>
      <color rgb="FFFFFFFF"/>
      <name val="Calibri"/>
      <family val="2"/>
      <charset val="1"/>
    </font>
    <font>
      <b val="true"/>
      <sz val="12"/>
      <name val="Calibri"/>
      <family val="2"/>
      <charset val="1"/>
    </font>
    <font>
      <b val="true"/>
      <sz val="12"/>
      <color rgb="FF0000FF"/>
      <name val="Calibri"/>
      <family val="0"/>
      <charset val="1"/>
    </font>
    <font>
      <b val="true"/>
      <sz val="12"/>
      <color rgb="FF000000"/>
      <name val="Calibri"/>
      <family val="0"/>
      <charset val="1"/>
    </font>
    <font>
      <sz val="12"/>
      <color rgb="FF404040"/>
      <name val="Calibri"/>
      <family val="2"/>
      <charset val="1"/>
    </font>
    <font>
      <sz val="12"/>
      <color rgb="FFA6A6A6"/>
      <name val="Calibri"/>
      <family val="0"/>
      <charset val="1"/>
    </font>
    <font>
      <sz val="12"/>
      <color rgb="FF000000"/>
      <name val="Calibri"/>
      <family val="0"/>
      <charset val="1"/>
    </font>
    <font>
      <sz val="12"/>
      <name val="Calibri"/>
      <family val="2"/>
      <charset val="1"/>
    </font>
    <font>
      <sz val="12"/>
      <color rgb="FF0000FF"/>
      <name val="Calibri"/>
      <family val="0"/>
      <charset val="1"/>
    </font>
    <font>
      <sz val="12"/>
      <color rgb="FFA6A6A6"/>
      <name val="Calibri"/>
      <family val="2"/>
      <charset val="1"/>
    </font>
    <font>
      <sz val="12"/>
      <color rgb="FF000000"/>
      <name val="Calibri"/>
      <family val="2"/>
      <charset val="1"/>
    </font>
    <font>
      <sz val="12"/>
      <color rgb="FF0000FF"/>
      <name val="Calibri"/>
      <family val="2"/>
      <charset val="1"/>
    </font>
    <font>
      <b val="true"/>
      <sz val="12"/>
      <color rgb="FF666666"/>
      <name val="Calibri"/>
      <family val="2"/>
      <charset val="1"/>
    </font>
    <font>
      <sz val="11"/>
      <color rgb="FF000000"/>
      <name val="Calibri"/>
      <family val="0"/>
      <charset val="1"/>
    </font>
    <font>
      <b val="true"/>
      <sz val="12"/>
      <color rgb="FF595959"/>
      <name val="Calibri"/>
      <family val="2"/>
      <charset val="1"/>
    </font>
    <font>
      <sz val="11"/>
      <color rgb="FF0000FF"/>
      <name val="Calibri"/>
      <family val="0"/>
      <charset val="1"/>
    </font>
    <font>
      <b val="true"/>
      <sz val="11"/>
      <color rgb="FFC00000"/>
      <name val="Calibri"/>
      <family val="2"/>
      <charset val="1"/>
    </font>
    <font>
      <b val="true"/>
      <i val="true"/>
      <sz val="10"/>
      <color rgb="FFC00000"/>
      <name val="Calibri"/>
      <family val="0"/>
      <charset val="1"/>
    </font>
    <font>
      <sz val="10"/>
      <name val="Arial"/>
      <family val="2"/>
    </font>
    <font>
      <b val="true"/>
      <sz val="16"/>
      <color rgb="FF2F3E46"/>
      <name val="Calibri"/>
      <family val="2"/>
      <charset val="1"/>
    </font>
    <font>
      <b val="true"/>
      <sz val="12"/>
      <color rgb="FF008000"/>
      <name val="Calibri"/>
      <family val="2"/>
      <charset val="1"/>
    </font>
    <font>
      <b val="true"/>
      <sz val="12"/>
      <color rgb="FF2F3E46"/>
      <name val="Calibri"/>
      <family val="2"/>
      <charset val="1"/>
    </font>
    <font>
      <b val="true"/>
      <sz val="9"/>
      <color rgb="FFFFFFFF"/>
      <name val="Calibri"/>
      <family val="2"/>
      <charset val="1"/>
    </font>
    <font>
      <sz val="12"/>
      <color rgb="FF595959"/>
      <name val="Calibri"/>
      <family val="2"/>
      <charset val="1"/>
    </font>
    <font>
      <sz val="12"/>
      <color rgb="FF2F3E46"/>
      <name val="Calibri"/>
      <family val="2"/>
      <charset val="1"/>
    </font>
    <font>
      <sz val="12"/>
      <color rgb="FF008000"/>
      <name val="Calibri"/>
      <family val="2"/>
      <charset val="1"/>
    </font>
    <font>
      <b val="true"/>
      <sz val="14"/>
      <color rgb="FFFFFFFF"/>
      <name val="Calibri"/>
      <family val="0"/>
      <charset val="1"/>
    </font>
    <font>
      <b val="true"/>
      <sz val="11"/>
      <color rgb="FFFFFFFF"/>
      <name val="Calibri"/>
      <family val="0"/>
      <charset val="1"/>
    </font>
    <font>
      <b val="true"/>
      <sz val="12"/>
      <color rgb="FFFFFFFF"/>
      <name val="Calibri"/>
      <family val="0"/>
      <charset val="1"/>
    </font>
    <font>
      <sz val="9"/>
      <color rgb="FF595959"/>
      <name val="Calibri"/>
      <family val="0"/>
      <charset val="1"/>
    </font>
    <font>
      <sz val="12"/>
      <color rgb="FF008000"/>
      <name val="Calibri"/>
      <family val="0"/>
      <charset val="1"/>
    </font>
    <font>
      <b val="true"/>
      <sz val="11"/>
      <color rgb="FF000000"/>
      <name val="Calibri"/>
      <family val="0"/>
      <charset val="1"/>
    </font>
    <font>
      <b val="true"/>
      <sz val="14"/>
      <name val="Calibri"/>
      <family val="2"/>
      <charset val="1"/>
    </font>
    <font>
      <b val="true"/>
      <sz val="18"/>
      <color rgb="FF000000"/>
      <name val="Calibri"/>
      <family val="2"/>
    </font>
    <font>
      <sz val="10"/>
      <color rgb="FF000000"/>
      <name val="Calibri"/>
      <family val="2"/>
    </font>
  </fonts>
  <fills count="13">
    <fill>
      <patternFill patternType="none"/>
    </fill>
    <fill>
      <patternFill patternType="gray125"/>
    </fill>
    <fill>
      <patternFill patternType="solid">
        <fgColor rgb="FFFFFDE7"/>
        <bgColor rgb="FFFFF8DC"/>
      </patternFill>
    </fill>
    <fill>
      <patternFill patternType="solid">
        <fgColor rgb="FFFFFF00"/>
        <bgColor rgb="FFFFFF00"/>
      </patternFill>
    </fill>
    <fill>
      <patternFill patternType="solid">
        <fgColor rgb="FF84A98C"/>
        <bgColor rgb="FFA6A6A6"/>
      </patternFill>
    </fill>
    <fill>
      <patternFill patternType="solid">
        <fgColor rgb="FF2F3E46"/>
        <bgColor rgb="FF404040"/>
      </patternFill>
    </fill>
    <fill>
      <patternFill patternType="solid">
        <fgColor rgb="FFCAD2C5"/>
        <bgColor rgb="FFD9D9D9"/>
      </patternFill>
    </fill>
    <fill>
      <patternFill patternType="solid">
        <fgColor rgb="FF52796F"/>
        <bgColor rgb="FF666666"/>
      </patternFill>
    </fill>
    <fill>
      <patternFill patternType="solid">
        <fgColor rgb="FFE9ECEC"/>
        <bgColor rgb="FFE8EDE9"/>
      </patternFill>
    </fill>
    <fill>
      <patternFill patternType="solid">
        <fgColor rgb="FFF5F5F5"/>
        <bgColor rgb="FFF0F2F0"/>
      </patternFill>
    </fill>
    <fill>
      <patternFill patternType="solid">
        <fgColor rgb="FFE8EDE9"/>
        <bgColor rgb="FFE9ECEC"/>
      </patternFill>
    </fill>
    <fill>
      <patternFill patternType="solid">
        <fgColor rgb="FFF0F2F0"/>
        <bgColor rgb="FFF5F5F5"/>
      </patternFill>
    </fill>
    <fill>
      <patternFill patternType="solid">
        <fgColor rgb="FFFFF8DC"/>
        <bgColor rgb="FFFFFDE7"/>
      </patternFill>
    </fill>
  </fills>
  <borders count="11">
    <border diagonalUp="false" diagonalDown="false">
      <left/>
      <right/>
      <top/>
      <bottom/>
      <diagonal/>
    </border>
    <border diagonalUp="false" diagonalDown="false">
      <left style="medium"/>
      <right style="medium"/>
      <top style="medium"/>
      <bottom style="thin"/>
      <diagonal/>
    </border>
    <border diagonalUp="false" diagonalDown="false">
      <left/>
      <right/>
      <top style="thin"/>
      <bottom/>
      <diagonal/>
    </border>
    <border diagonalUp="false" diagonalDown="false">
      <left/>
      <right/>
      <top style="thin">
        <color rgb="FF2F3E46"/>
      </top>
      <bottom/>
      <diagonal/>
    </border>
    <border diagonalUp="false" diagonalDown="false">
      <left style="thin">
        <color rgb="FF2F3E46"/>
      </left>
      <right/>
      <top style="thin">
        <color rgb="FF2F3E46"/>
      </top>
      <bottom/>
      <diagonal/>
    </border>
    <border diagonalUp="false" diagonalDown="false">
      <left/>
      <right style="thin">
        <color rgb="FF2F3E46"/>
      </right>
      <top style="thin">
        <color rgb="FF2F3E46"/>
      </top>
      <bottom/>
      <diagonal/>
    </border>
    <border diagonalUp="false" diagonalDown="false">
      <left style="thin">
        <color rgb="FF2F3E46"/>
      </left>
      <right/>
      <top/>
      <bottom/>
      <diagonal/>
    </border>
    <border diagonalUp="false" diagonalDown="false">
      <left/>
      <right style="thin">
        <color rgb="FF2F3E46"/>
      </right>
      <top/>
      <bottom/>
      <diagonal/>
    </border>
    <border diagonalUp="false" diagonalDown="false">
      <left style="thin">
        <color rgb="FF2F3E46"/>
      </left>
      <right/>
      <top/>
      <bottom style="thin">
        <color rgb="FF2F3E46"/>
      </bottom>
      <diagonal/>
    </border>
    <border diagonalUp="false" diagonalDown="false">
      <left/>
      <right/>
      <top/>
      <bottom style="thin">
        <color rgb="FF2F3E46"/>
      </bottom>
      <diagonal/>
    </border>
    <border diagonalUp="false" diagonalDown="false">
      <left/>
      <right style="thin">
        <color rgb="FF2F3E46"/>
      </right>
      <top/>
      <bottom style="thin">
        <color rgb="FF2F3E4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bottom" textRotation="0" wrapText="false" indent="0" shrinkToFit="false"/>
      <protection locked="true" hidden="false"/>
    </xf>
    <xf numFmtId="164" fontId="9" fillId="5" borderId="0" xfId="0" applyFont="true" applyBorder="false" applyAlignment="true" applyProtection="false">
      <alignment horizontal="left" vertical="bottom" textRotation="0" wrapText="false" indent="0" shrinkToFit="false"/>
      <protection locked="true" hidden="false"/>
    </xf>
    <xf numFmtId="164" fontId="9" fillId="5" borderId="0" xfId="0" applyFont="true" applyBorder="false" applyAlignment="true" applyProtection="false">
      <alignment horizontal="center" vertical="bottom" textRotation="0" wrapText="false" indent="0" shrinkToFit="false"/>
      <protection locked="true" hidden="false"/>
    </xf>
    <xf numFmtId="164" fontId="10" fillId="2" borderId="0" xfId="0" applyFont="true" applyBorder="false" applyAlignment="true" applyProtection="false">
      <alignment horizontal="center"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4" fontId="15" fillId="0" borderId="2" xfId="0" applyFont="true" applyBorder="true" applyAlignment="false" applyProtection="false">
      <alignment horizontal="general" vertical="bottom" textRotation="0" wrapText="false" indent="0" shrinkToFit="false"/>
      <protection locked="true" hidden="false"/>
    </xf>
    <xf numFmtId="165" fontId="12" fillId="0" borderId="2" xfId="0" applyFont="true" applyBorder="true" applyAlignment="true" applyProtection="false">
      <alignment horizontal="right" vertical="bottom" textRotation="0" wrapText="false" indent="0" shrinkToFit="false"/>
      <protection locked="true" hidden="false"/>
    </xf>
    <xf numFmtId="165" fontId="16" fillId="0" borderId="2" xfId="0" applyFont="true" applyBorder="true" applyAlignment="true" applyProtection="false">
      <alignment horizontal="right" vertical="bottom" textRotation="0" wrapText="false" indent="0" shrinkToFit="false"/>
      <protection locked="true" hidden="false"/>
    </xf>
    <xf numFmtId="165" fontId="17" fillId="2" borderId="2" xfId="0" applyFont="true" applyBorder="true" applyAlignment="true" applyProtection="false">
      <alignment horizontal="right" vertical="bottom" textRotation="0" wrapText="false" indent="0" shrinkToFit="false"/>
      <protection locked="true" hidden="false"/>
    </xf>
    <xf numFmtId="166" fontId="15" fillId="6"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true" applyProtection="false">
      <alignment horizontal="right" vertical="bottom" textRotation="0" wrapText="false" indent="0" shrinkToFit="false"/>
      <protection locked="true" hidden="false"/>
    </xf>
    <xf numFmtId="167" fontId="20" fillId="2" borderId="0" xfId="0" applyFont="true" applyBorder="false" applyAlignment="true" applyProtection="false">
      <alignment horizontal="right"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right" vertical="bottom" textRotation="0" wrapText="false" indent="0" shrinkToFit="false"/>
      <protection locked="true" hidden="false"/>
    </xf>
    <xf numFmtId="167" fontId="22" fillId="0" borderId="0" xfId="0" applyFont="true" applyBorder="false" applyAlignment="true" applyProtection="false">
      <alignment horizontal="right" vertical="bottom" textRotation="0" wrapText="false" indent="0" shrinkToFit="false"/>
      <protection locked="true" hidden="false"/>
    </xf>
    <xf numFmtId="167" fontId="24" fillId="2" borderId="0" xfId="0" applyFont="true" applyBorder="false" applyAlignment="true" applyProtection="false">
      <alignment horizontal="right" vertical="bottom" textRotation="0" wrapText="false" indent="0" shrinkToFit="false"/>
      <protection locked="true" hidden="false"/>
    </xf>
    <xf numFmtId="167" fontId="15" fillId="6" borderId="0" xfId="0" applyFont="true" applyBorder="false" applyAlignment="false" applyProtection="false">
      <alignment horizontal="general" vertical="bottom" textRotation="0" wrapText="false" indent="0" shrinkToFit="false"/>
      <protection locked="true" hidden="false"/>
    </xf>
    <xf numFmtId="168" fontId="22" fillId="0" borderId="0" xfId="0" applyFont="true" applyBorder="false" applyAlignment="false" applyProtection="false">
      <alignment horizontal="general" vertical="bottom" textRotation="0" wrapText="false" indent="0" shrinkToFit="false"/>
      <protection locked="true" hidden="false"/>
    </xf>
    <xf numFmtId="167" fontId="24" fillId="0" borderId="0" xfId="0" applyFont="true" applyBorder="false" applyAlignment="true" applyProtection="false">
      <alignment horizontal="right" vertical="bottom" textRotation="0" wrapText="false" indent="0" shrinkToFit="false"/>
      <protection locked="true" hidden="false"/>
    </xf>
    <xf numFmtId="167" fontId="16" fillId="2" borderId="0" xfId="0" applyFont="true" applyBorder="false" applyAlignment="true" applyProtection="false">
      <alignment horizontal="right" vertical="bottom" textRotation="0" wrapText="false" indent="0" shrinkToFit="false"/>
      <protection locked="true" hidden="false"/>
    </xf>
    <xf numFmtId="167" fontId="6" fillId="2" borderId="0" xfId="0" applyFont="true" applyBorder="false" applyAlignment="true" applyProtection="false">
      <alignment horizontal="right"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true" applyProtection="false">
      <alignment horizontal="right" vertical="bottom" textRotation="0" wrapText="false" indent="0" shrinkToFit="false"/>
      <protection locked="true" hidden="false"/>
    </xf>
    <xf numFmtId="165" fontId="22" fillId="0" borderId="0" xfId="0" applyFont="true" applyBorder="false" applyAlignment="true" applyProtection="false">
      <alignment horizontal="right" vertical="bottom" textRotation="0" wrapText="false" indent="0" shrinkToFit="false"/>
      <protection locked="true" hidden="false"/>
    </xf>
    <xf numFmtId="165" fontId="20" fillId="2" borderId="0" xfId="0" applyFont="true" applyBorder="false" applyAlignment="true" applyProtection="false">
      <alignment horizontal="right" vertical="bottom" textRotation="0" wrapText="false" indent="0" shrinkToFit="false"/>
      <protection locked="true" hidden="false"/>
    </xf>
    <xf numFmtId="167" fontId="20" fillId="0" borderId="0" xfId="0" applyFont="true" applyBorder="false" applyAlignment="true" applyProtection="false">
      <alignment horizontal="right" vertical="bottom" textRotation="0" wrapText="false" indent="0" shrinkToFit="false"/>
      <protection locked="true" hidden="false"/>
    </xf>
    <xf numFmtId="165" fontId="16" fillId="2" borderId="0" xfId="0" applyFont="true" applyBorder="false" applyAlignment="true" applyProtection="false">
      <alignment horizontal="right" vertical="bottom" textRotation="0" wrapText="false" indent="0" shrinkToFit="false"/>
      <protection locked="true" hidden="false"/>
    </xf>
    <xf numFmtId="165" fontId="17" fillId="0" borderId="2" xfId="0" applyFont="true" applyBorder="true" applyAlignment="true" applyProtection="false">
      <alignment horizontal="right" vertical="bottom" textRotation="0" wrapText="false" indent="0" shrinkToFit="false"/>
      <protection locked="true" hidden="false"/>
    </xf>
    <xf numFmtId="165" fontId="24" fillId="2" borderId="0" xfId="0" applyFont="true" applyBorder="false" applyAlignment="true" applyProtection="false">
      <alignment horizontal="right" vertical="bottom" textRotation="0" wrapText="false" indent="0" shrinkToFit="false"/>
      <protection locked="true" hidden="false"/>
    </xf>
    <xf numFmtId="169" fontId="25" fillId="0" borderId="0" xfId="0" applyFont="true" applyBorder="false" applyAlignment="false" applyProtection="false">
      <alignment horizontal="general" vertical="bottom" textRotation="0" wrapText="false" indent="0" shrinkToFit="false"/>
      <protection locked="true" hidden="false"/>
    </xf>
    <xf numFmtId="170" fontId="6" fillId="8" borderId="0" xfId="0" applyFont="true" applyBorder="false" applyAlignment="true" applyProtection="false">
      <alignment horizontal="center" vertical="bottom" textRotation="0" wrapText="false" indent="0" shrinkToFit="false"/>
      <protection locked="true" hidden="false"/>
    </xf>
    <xf numFmtId="167" fontId="24" fillId="0" borderId="0" xfId="0" applyFont="true" applyBorder="false" applyAlignment="false" applyProtection="false">
      <alignment horizontal="general"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true" applyProtection="false">
      <alignment horizontal="right" vertical="bottom" textRotation="0" wrapText="false" indent="0" shrinkToFit="false"/>
      <protection locked="true" hidden="false"/>
    </xf>
    <xf numFmtId="164" fontId="22" fillId="0" borderId="0" xfId="0" applyFont="true" applyBorder="false" applyAlignment="true" applyProtection="false">
      <alignment horizontal="right" vertical="bottom" textRotation="0" wrapText="false" indent="0" shrinkToFit="false"/>
      <protection locked="true" hidden="false"/>
    </xf>
    <xf numFmtId="164" fontId="16" fillId="2" borderId="0" xfId="0" applyFont="true" applyBorder="false" applyAlignment="true" applyProtection="false">
      <alignment horizontal="right" vertical="bottom" textRotation="0" wrapText="false" indent="0" shrinkToFit="false"/>
      <protection locked="true" hidden="false"/>
    </xf>
    <xf numFmtId="171" fontId="20" fillId="2" borderId="0" xfId="0" applyFont="true" applyBorder="false" applyAlignment="true" applyProtection="false">
      <alignment horizontal="right" vertical="bottom" textRotation="0" wrapText="false" indent="0" shrinkToFit="false"/>
      <protection locked="true" hidden="false"/>
    </xf>
    <xf numFmtId="172" fontId="6" fillId="8" borderId="0" xfId="0" applyFont="true" applyBorder="false" applyAlignment="true" applyProtection="false">
      <alignment horizontal="center"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xf numFmtId="165" fontId="27" fillId="2" borderId="0" xfId="0" applyFont="true" applyBorder="false" applyAlignment="false" applyProtection="false">
      <alignment horizontal="general" vertical="bottom" textRotation="0" wrapText="false" indent="0" shrinkToFit="false"/>
      <protection locked="true" hidden="false"/>
    </xf>
    <xf numFmtId="165" fontId="12" fillId="2" borderId="2" xfId="0" applyFont="true" applyBorder="true" applyAlignment="true" applyProtection="false">
      <alignment horizontal="right" vertical="bottom" textRotation="0" wrapText="false" indent="0" shrinkToFit="false"/>
      <protection locked="true" hidden="false"/>
    </xf>
    <xf numFmtId="165" fontId="16" fillId="2" borderId="2" xfId="0" applyFont="true" applyBorder="true" applyAlignment="true" applyProtection="false">
      <alignment horizontal="right" vertical="bottom" textRotation="0" wrapText="false" indent="0" shrinkToFit="false"/>
      <protection locked="true" hidden="false"/>
    </xf>
    <xf numFmtId="173" fontId="16" fillId="2" borderId="0" xfId="0" applyFont="true" applyBorder="false" applyAlignment="true" applyProtection="false">
      <alignment horizontal="right" vertical="bottom" textRotation="0" wrapText="false" indent="0" shrinkToFit="false"/>
      <protection locked="true" hidden="false"/>
    </xf>
    <xf numFmtId="164" fontId="14" fillId="5" borderId="2" xfId="0" applyFont="true" applyBorder="true" applyAlignment="false" applyProtection="false">
      <alignment horizontal="general" vertical="bottom" textRotation="0" wrapText="false" indent="0" shrinkToFit="false"/>
      <protection locked="true" hidden="false"/>
    </xf>
    <xf numFmtId="165" fontId="17" fillId="6" borderId="2" xfId="0" applyFont="true" applyBorder="true" applyAlignment="true" applyProtection="false">
      <alignment horizontal="right" vertical="bottom" textRotation="0" wrapText="false" indent="0" shrinkToFit="false"/>
      <protection locked="true" hidden="false"/>
    </xf>
    <xf numFmtId="165" fontId="12" fillId="6" borderId="2" xfId="0" applyFont="true" applyBorder="true" applyAlignment="true" applyProtection="false">
      <alignment horizontal="right"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74" fontId="20" fillId="0" borderId="0" xfId="0" applyFont="true" applyBorder="false" applyAlignment="true" applyProtection="false">
      <alignment horizontal="right" vertical="bottom" textRotation="0" wrapText="false" indent="0" shrinkToFit="false"/>
      <protection locked="true" hidden="false"/>
    </xf>
    <xf numFmtId="174" fontId="27" fillId="2" borderId="0" xfId="0" applyFont="true" applyBorder="false" applyAlignment="false" applyProtection="false">
      <alignment horizontal="general" vertical="bottom" textRotation="0" wrapText="false" indent="0" shrinkToFit="false"/>
      <protection locked="true" hidden="false"/>
    </xf>
    <xf numFmtId="167" fontId="29" fillId="0" borderId="0" xfId="0" applyFont="true" applyBorder="false" applyAlignment="false" applyProtection="false">
      <alignment horizontal="general" vertical="bottom" textRotation="0" wrapText="false" indent="0" shrinkToFit="false"/>
      <protection locked="true" hidden="false"/>
    </xf>
    <xf numFmtId="167" fontId="27" fillId="2" borderId="0" xfId="0" applyFont="true" applyBorder="false" applyAlignment="false" applyProtection="false">
      <alignment horizontal="general" vertical="bottom" textRotation="0" wrapText="false" indent="0" shrinkToFit="false"/>
      <protection locked="true" hidden="false"/>
    </xf>
    <xf numFmtId="165" fontId="24" fillId="0" borderId="0" xfId="0" applyFont="true" applyBorder="false" applyAlignment="true" applyProtection="false">
      <alignment horizontal="right" vertical="bottom" textRotation="0" wrapText="false" indent="0" shrinkToFit="false"/>
      <protection locked="true" hidden="false"/>
    </xf>
    <xf numFmtId="168" fontId="25" fillId="0" borderId="0" xfId="0" applyFont="true" applyBorder="false" applyAlignment="true" applyProtection="false">
      <alignment horizontal="right" vertical="bottom" textRotation="0" wrapText="false" indent="0" shrinkToFit="false"/>
      <protection locked="true" hidden="false"/>
    </xf>
    <xf numFmtId="168" fontId="27" fillId="2" borderId="0" xfId="0" applyFont="true" applyBorder="false" applyAlignment="false" applyProtection="false">
      <alignment horizontal="general" vertical="bottom" textRotation="0" wrapText="false" indent="0" shrinkToFit="false"/>
      <protection locked="true" hidden="false"/>
    </xf>
    <xf numFmtId="165" fontId="16" fillId="6" borderId="2" xfId="0" applyFont="true" applyBorder="true" applyAlignment="true" applyProtection="false">
      <alignment horizontal="right" vertical="bottom" textRotation="0" wrapText="false" indent="0" shrinkToFit="false"/>
      <protection locked="true" hidden="false"/>
    </xf>
    <xf numFmtId="174" fontId="22" fillId="0" borderId="0" xfId="0" applyFont="true" applyBorder="false" applyAlignment="true" applyProtection="false">
      <alignment horizontal="right" vertical="bottom" textRotation="0" wrapText="false" indent="0" shrinkToFit="false"/>
      <protection locked="true" hidden="false"/>
    </xf>
    <xf numFmtId="174" fontId="20" fillId="2" borderId="0" xfId="0" applyFont="true" applyBorder="false" applyAlignment="true" applyProtection="false">
      <alignment horizontal="right" vertical="bottom" textRotation="0" wrapText="false" indent="0" shrinkToFit="false"/>
      <protection locked="true" hidden="false"/>
    </xf>
    <xf numFmtId="168" fontId="17" fillId="6" borderId="2" xfId="0" applyFont="true" applyBorder="true" applyAlignment="true" applyProtection="false">
      <alignment horizontal="right" vertical="bottom" textRotation="0" wrapText="false" indent="0" shrinkToFit="false"/>
      <protection locked="true" hidden="false"/>
    </xf>
    <xf numFmtId="168" fontId="20" fillId="0" borderId="0" xfId="0" applyFont="true" applyBorder="false" applyAlignment="true" applyProtection="false">
      <alignment horizontal="right" vertical="bottom" textRotation="0" wrapText="false" indent="0" shrinkToFit="false"/>
      <protection locked="true" hidden="false"/>
    </xf>
    <xf numFmtId="168" fontId="20" fillId="2" borderId="0" xfId="0" applyFont="true" applyBorder="false" applyAlignment="true" applyProtection="false">
      <alignment horizontal="right" vertical="bottom" textRotation="0" wrapText="false" indent="0" shrinkToFit="false"/>
      <protection locked="true" hidden="false"/>
    </xf>
    <xf numFmtId="168" fontId="22"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73" fontId="20" fillId="0" borderId="0" xfId="0" applyFont="true" applyBorder="false" applyAlignment="true" applyProtection="false">
      <alignment horizontal="right" vertical="bottom" textRotation="0" wrapText="false" indent="0" shrinkToFit="false"/>
      <protection locked="true" hidden="false"/>
    </xf>
    <xf numFmtId="173" fontId="20" fillId="2" borderId="0" xfId="0" applyFont="true" applyBorder="false" applyAlignment="true" applyProtection="false">
      <alignment horizontal="right" vertical="bottom" textRotation="0" wrapText="false" indent="0" shrinkToFit="false"/>
      <protection locked="true" hidden="false"/>
    </xf>
    <xf numFmtId="175" fontId="20" fillId="2" borderId="0" xfId="0" applyFont="true" applyBorder="false" applyAlignment="true" applyProtection="false">
      <alignment horizontal="right" vertical="bottom" textRotation="0" wrapText="false" indent="0" shrinkToFit="false"/>
      <protection locked="true" hidden="false"/>
    </xf>
    <xf numFmtId="175" fontId="16" fillId="2" borderId="0" xfId="0" applyFont="true" applyBorder="false" applyAlignment="true" applyProtection="false">
      <alignment horizontal="right" vertical="bottom" textRotation="0" wrapText="false" indent="0" shrinkToFit="false"/>
      <protection locked="true" hidden="false"/>
    </xf>
    <xf numFmtId="176" fontId="20" fillId="0" borderId="0" xfId="0" applyFont="true" applyBorder="false" applyAlignment="true" applyProtection="false">
      <alignment horizontal="right" vertical="bottom" textRotation="0" wrapText="false" indent="0" shrinkToFit="false"/>
      <protection locked="true" hidden="false"/>
    </xf>
    <xf numFmtId="176" fontId="16" fillId="2" borderId="0" xfId="0" applyFont="true" applyBorder="false" applyAlignment="true" applyProtection="false">
      <alignment horizontal="right" vertical="bottom" textRotation="0" wrapText="false" indent="0" shrinkToFit="false"/>
      <protection locked="true" hidden="false"/>
    </xf>
    <xf numFmtId="164" fontId="18" fillId="8" borderId="0" xfId="0" applyFont="true" applyBorder="false" applyAlignment="false" applyProtection="false">
      <alignment horizontal="general" vertical="bottom" textRotation="0" wrapText="false" indent="0" shrinkToFit="false"/>
      <protection locked="true" hidden="false"/>
    </xf>
    <xf numFmtId="174" fontId="16" fillId="2" borderId="0" xfId="0" applyFont="true" applyBorder="false" applyAlignment="true" applyProtection="false">
      <alignment horizontal="right" vertical="bottom" textRotation="0" wrapText="false" indent="0" shrinkToFit="false"/>
      <protection locked="true" hidden="false"/>
    </xf>
    <xf numFmtId="169" fontId="20" fillId="2" borderId="0" xfId="0" applyFont="true" applyBorder="false" applyAlignment="true" applyProtection="false">
      <alignment horizontal="right" vertical="bottom" textRotation="0" wrapText="false" indent="0" shrinkToFit="false"/>
      <protection locked="true" hidden="false"/>
    </xf>
    <xf numFmtId="167" fontId="17" fillId="6" borderId="2" xfId="0" applyFont="true" applyBorder="true" applyAlignment="true" applyProtection="false">
      <alignment horizontal="right" vertical="bottom" textRotation="0" wrapText="false" indent="0" shrinkToFit="false"/>
      <protection locked="true" hidden="false"/>
    </xf>
    <xf numFmtId="173" fontId="17" fillId="6" borderId="2" xfId="0" applyFont="true" applyBorder="true" applyAlignment="true" applyProtection="false">
      <alignment horizontal="right"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true"/>
      <protection locked="true" hidden="false"/>
    </xf>
    <xf numFmtId="177" fontId="34" fillId="2" borderId="0" xfId="0" applyFont="true" applyBorder="false" applyAlignment="false" applyProtection="false">
      <alignment horizontal="general" vertical="bottom" textRotation="0" wrapText="false" indent="0" shrinkToFit="false"/>
      <protection locked="true" hidden="false"/>
    </xf>
    <xf numFmtId="178" fontId="0" fillId="0" borderId="0" xfId="0" applyFont="true" applyBorder="false" applyAlignment="false" applyProtection="false">
      <alignment horizontal="general" vertical="bottom" textRotation="0" wrapText="false" indent="0" shrinkToFit="false"/>
      <protection locked="true" hidden="false"/>
    </xf>
    <xf numFmtId="164" fontId="35" fillId="6"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36" fillId="5"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center" vertical="center" textRotation="0" wrapText="true" indent="0" shrinkToFit="false"/>
      <protection locked="true" hidden="false"/>
    </xf>
    <xf numFmtId="164" fontId="14" fillId="7" borderId="0" xfId="0" applyFont="true" applyBorder="false" applyAlignment="true" applyProtection="false">
      <alignment horizontal="center" vertical="center" textRotation="0" wrapText="tru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5" fontId="34" fillId="9" borderId="0" xfId="0" applyFont="true" applyBorder="false" applyAlignment="false" applyProtection="false">
      <alignment horizontal="general" vertical="bottom" textRotation="0" wrapText="false" indent="0" shrinkToFit="false"/>
      <protection locked="true" hidden="false"/>
    </xf>
    <xf numFmtId="165" fontId="34" fillId="2" borderId="0" xfId="0" applyFont="true" applyBorder="false" applyAlignment="false" applyProtection="false">
      <alignment horizontal="general" vertical="bottom" textRotation="0" wrapText="false" indent="0" shrinkToFit="false"/>
      <protection locked="true" hidden="false"/>
    </xf>
    <xf numFmtId="179" fontId="15" fillId="1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79" fontId="37" fillId="9" borderId="0" xfId="0" applyFont="true" applyBorder="false" applyAlignment="false" applyProtection="false">
      <alignment horizontal="general" vertical="bottom" textRotation="0" wrapText="false" indent="0" shrinkToFit="false"/>
      <protection locked="true" hidden="false"/>
    </xf>
    <xf numFmtId="179" fontId="37" fillId="2" borderId="0" xfId="0" applyFont="true" applyBorder="false" applyAlignment="false" applyProtection="false">
      <alignment horizontal="general" vertical="bottom" textRotation="0" wrapText="false" indent="0" shrinkToFit="false"/>
      <protection locked="true" hidden="false"/>
    </xf>
    <xf numFmtId="167" fontId="34" fillId="9" borderId="0" xfId="0" applyFont="true" applyBorder="false" applyAlignment="false" applyProtection="false">
      <alignment horizontal="general" vertical="bottom" textRotation="0" wrapText="false" indent="0" shrinkToFit="false"/>
      <protection locked="true" hidden="false"/>
    </xf>
    <xf numFmtId="167" fontId="34" fillId="2" borderId="0" xfId="0" applyFont="true" applyBorder="false" applyAlignment="false" applyProtection="false">
      <alignment horizontal="general" vertical="bottom" textRotation="0" wrapText="false" indent="0" shrinkToFit="false"/>
      <protection locked="true" hidden="false"/>
    </xf>
    <xf numFmtId="167" fontId="37" fillId="9" borderId="0" xfId="0" applyFont="true" applyBorder="false" applyAlignment="false" applyProtection="false">
      <alignment horizontal="general" vertical="bottom" textRotation="0" wrapText="false" indent="0" shrinkToFit="false"/>
      <protection locked="true" hidden="false"/>
    </xf>
    <xf numFmtId="167" fontId="37" fillId="2" borderId="0" xfId="0" applyFont="true" applyBorder="false" applyAlignment="false" applyProtection="false">
      <alignment horizontal="general" vertical="bottom" textRotation="0" wrapText="false" indent="0" shrinkToFit="false"/>
      <protection locked="true" hidden="false"/>
    </xf>
    <xf numFmtId="167" fontId="37" fillId="11" borderId="0" xfId="0" applyFont="true" applyBorder="false" applyAlignment="false" applyProtection="false">
      <alignment horizontal="general" vertical="bottom" textRotation="0" wrapText="false" indent="0" shrinkToFit="false"/>
      <protection locked="true" hidden="false"/>
    </xf>
    <xf numFmtId="174" fontId="34" fillId="9" borderId="0" xfId="0" applyFont="true" applyBorder="false" applyAlignment="false" applyProtection="false">
      <alignment horizontal="general" vertical="bottom" textRotation="0" wrapText="false" indent="0" shrinkToFit="false"/>
      <protection locked="true" hidden="false"/>
    </xf>
    <xf numFmtId="174" fontId="34" fillId="2" borderId="0" xfId="0" applyFont="true" applyBorder="false" applyAlignment="false" applyProtection="false">
      <alignment horizontal="general" vertical="bottom" textRotation="0" wrapText="false" indent="0" shrinkToFit="false"/>
      <protection locked="true" hidden="false"/>
    </xf>
    <xf numFmtId="168" fontId="34" fillId="9" borderId="0" xfId="0" applyFont="true" applyBorder="false" applyAlignment="false" applyProtection="false">
      <alignment horizontal="general" vertical="bottom" textRotation="0" wrapText="false" indent="0" shrinkToFit="false"/>
      <protection locked="true" hidden="false"/>
    </xf>
    <xf numFmtId="168" fontId="34" fillId="2" borderId="0" xfId="0" applyFont="true" applyBorder="false" applyAlignment="false" applyProtection="false">
      <alignment horizontal="general" vertical="bottom" textRotation="0" wrapText="false" indent="0" shrinkToFit="false"/>
      <protection locked="true" hidden="false"/>
    </xf>
    <xf numFmtId="169" fontId="6" fillId="12" borderId="0" xfId="0" applyFont="true" applyBorder="false" applyAlignment="false" applyProtection="false">
      <alignment horizontal="general" vertical="bottom" textRotation="0" wrapText="false" indent="0" shrinkToFit="false"/>
      <protection locked="true" hidden="false"/>
    </xf>
    <xf numFmtId="165" fontId="9" fillId="5" borderId="0" xfId="0" applyFont="true" applyBorder="false" applyAlignment="false" applyProtection="false">
      <alignment horizontal="general" vertical="bottom" textRotation="0" wrapText="false" indent="0" shrinkToFit="false"/>
      <protection locked="true" hidden="false"/>
    </xf>
    <xf numFmtId="179" fontId="37" fillId="0" borderId="0" xfId="0" applyFont="true" applyBorder="false" applyAlignment="false" applyProtection="false">
      <alignment horizontal="general" vertical="bottom" textRotation="0" wrapText="false" indent="0" shrinkToFit="false"/>
      <protection locked="true" hidden="false"/>
    </xf>
    <xf numFmtId="179" fontId="35" fillId="6" borderId="0" xfId="0" applyFont="true" applyBorder="false" applyAlignment="false" applyProtection="false">
      <alignment horizontal="general" vertical="bottom" textRotation="0" wrapText="false" indent="0" shrinkToFit="false"/>
      <protection locked="true" hidden="false"/>
    </xf>
    <xf numFmtId="168" fontId="37" fillId="9" borderId="0" xfId="0" applyFont="true" applyBorder="false" applyAlignment="false" applyProtection="false">
      <alignment horizontal="general" vertical="bottom" textRotation="0" wrapText="false" indent="0" shrinkToFit="false"/>
      <protection locked="true" hidden="false"/>
    </xf>
    <xf numFmtId="168" fontId="37" fillId="2" borderId="0" xfId="0" applyFont="true" applyBorder="false" applyAlignment="false" applyProtection="false">
      <alignment horizontal="general" vertical="bottom" textRotation="0" wrapText="false" indent="0" shrinkToFit="false"/>
      <protection locked="true" hidden="false"/>
    </xf>
    <xf numFmtId="167" fontId="37" fillId="0" borderId="0" xfId="0" applyFont="true" applyBorder="false" applyAlignment="false" applyProtection="false">
      <alignment horizontal="general" vertical="bottom" textRotation="0" wrapText="false" indent="0" shrinkToFit="false"/>
      <protection locked="true" hidden="false"/>
    </xf>
    <xf numFmtId="173" fontId="37" fillId="9" borderId="0" xfId="0" applyFont="true" applyBorder="false" applyAlignment="false" applyProtection="false">
      <alignment horizontal="general" vertical="bottom" textRotation="0" wrapText="false" indent="0" shrinkToFit="false"/>
      <protection locked="true" hidden="false"/>
    </xf>
    <xf numFmtId="173" fontId="37" fillId="2"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5" fontId="39" fillId="2" borderId="0" xfId="0" applyFont="true" applyBorder="false" applyAlignment="false" applyProtection="false">
      <alignment horizontal="general" vertical="bottom" textRotation="0" wrapText="false" indent="0" shrinkToFit="false"/>
      <protection locked="true" hidden="false"/>
    </xf>
    <xf numFmtId="180" fontId="39" fillId="2" borderId="0" xfId="0" applyFont="true" applyBorder="false" applyAlignment="false" applyProtection="false">
      <alignment horizontal="general" vertical="bottom" textRotation="0" wrapText="false" indent="0" shrinkToFit="false"/>
      <protection locked="true" hidden="false"/>
    </xf>
    <xf numFmtId="168" fontId="39" fillId="2" borderId="0" xfId="0" applyFont="true" applyBorder="false" applyAlignment="false" applyProtection="false">
      <alignment horizontal="general" vertical="bottom" textRotation="0" wrapText="false" indent="0" shrinkToFit="false"/>
      <protection locked="true" hidden="false"/>
    </xf>
    <xf numFmtId="165" fontId="37" fillId="0" borderId="0" xfId="0" applyFont="true" applyBorder="false" applyAlignment="false" applyProtection="false">
      <alignment horizontal="general" vertical="bottom" textRotation="0" wrapText="false" indent="0" shrinkToFit="false"/>
      <protection locked="true" hidden="false"/>
    </xf>
    <xf numFmtId="173" fontId="3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40" fillId="5" borderId="0" xfId="0" applyFont="true" applyBorder="false" applyAlignment="false" applyProtection="false">
      <alignment horizontal="general" vertical="bottom" textRotation="0" wrapText="false" indent="0" shrinkToFit="false"/>
      <protection locked="true" hidden="false"/>
    </xf>
    <xf numFmtId="164" fontId="41" fillId="5" borderId="0" xfId="0" applyFont="true" applyBorder="false" applyAlignment="false" applyProtection="false">
      <alignment horizontal="general" vertical="bottom" textRotation="0" wrapText="false" indent="0" shrinkToFit="false"/>
      <protection locked="true" hidden="false"/>
    </xf>
    <xf numFmtId="164" fontId="42" fillId="7" borderId="0" xfId="0" applyFont="true" applyBorder="false" applyAlignment="false" applyProtection="false">
      <alignment horizontal="general" vertical="bottom" textRotation="0" wrapText="false" indent="0" shrinkToFit="false"/>
      <protection locked="true" hidden="false"/>
    </xf>
    <xf numFmtId="164" fontId="41" fillId="7"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81" fontId="22" fillId="2"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82" fontId="22" fillId="2" borderId="0" xfId="0" applyFont="true" applyBorder="false" applyAlignment="false" applyProtection="false">
      <alignment horizontal="general" vertical="bottom" textRotation="0" wrapText="false" indent="0" shrinkToFit="false"/>
      <protection locked="true" hidden="false"/>
    </xf>
    <xf numFmtId="181" fontId="2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81" fontId="17" fillId="6" borderId="3" xfId="0" applyFont="true" applyBorder="true" applyAlignment="false" applyProtection="false">
      <alignment horizontal="general" vertical="bottom" textRotation="0" wrapText="false" indent="0" shrinkToFit="false"/>
      <protection locked="true" hidden="false"/>
    </xf>
    <xf numFmtId="183" fontId="22" fillId="0" borderId="0" xfId="0" applyFont="true" applyBorder="false" applyAlignment="true" applyProtection="false">
      <alignment horizontal="center" vertical="bottom" textRotation="0" wrapText="false" indent="0" shrinkToFit="false"/>
      <protection locked="true" hidden="false"/>
    </xf>
    <xf numFmtId="164" fontId="27" fillId="7" borderId="0" xfId="0" applyFont="true" applyBorder="false" applyAlignment="false" applyProtection="false">
      <alignment horizontal="general" vertical="bottom" textRotation="0" wrapText="false" indent="0" shrinkToFit="false"/>
      <protection locked="true" hidden="false"/>
    </xf>
    <xf numFmtId="164" fontId="42" fillId="5" borderId="0" xfId="0" applyFont="true" applyBorder="false" applyAlignment="true" applyProtection="false">
      <alignment horizontal="center" vertical="bottom" textRotation="0" wrapText="false" indent="0" shrinkToFit="false"/>
      <protection locked="true" hidden="false"/>
    </xf>
    <xf numFmtId="164" fontId="41" fillId="5" borderId="0" xfId="0" applyFont="true" applyBorder="false" applyAlignment="true" applyProtection="false">
      <alignment horizontal="center" vertical="bottom" textRotation="0" wrapText="false" indent="0" shrinkToFit="false"/>
      <protection locked="true" hidden="false"/>
    </xf>
    <xf numFmtId="165" fontId="44"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true" applyProtection="false">
      <alignment horizontal="center" vertical="bottom" textRotation="0" wrapText="false" indent="0" shrinkToFit="false"/>
      <protection locked="true" hidden="false"/>
    </xf>
    <xf numFmtId="182" fontId="20" fillId="0" borderId="0" xfId="0" applyFont="true" applyBorder="false" applyAlignment="false" applyProtection="false">
      <alignment horizontal="general" vertical="bottom" textRotation="0" wrapText="false" indent="0" shrinkToFit="false"/>
      <protection locked="true" hidden="false"/>
    </xf>
    <xf numFmtId="164" fontId="17" fillId="6" borderId="3" xfId="0" applyFont="true" applyBorder="true" applyAlignment="false" applyProtection="false">
      <alignment horizontal="general" vertical="bottom" textRotation="0" wrapText="false" indent="0" shrinkToFit="false"/>
      <protection locked="true" hidden="false"/>
    </xf>
    <xf numFmtId="164" fontId="45" fillId="6" borderId="3" xfId="0" applyFont="true" applyBorder="true" applyAlignment="false" applyProtection="false">
      <alignment horizontal="general" vertical="bottom" textRotation="0" wrapText="false" indent="0" shrinkToFit="false"/>
      <protection locked="true" hidden="false"/>
    </xf>
    <xf numFmtId="165" fontId="17" fillId="6" borderId="3" xfId="0" applyFont="true" applyBorder="true" applyAlignment="false" applyProtection="false">
      <alignment horizontal="general" vertical="bottom" textRotation="0" wrapText="false" indent="0" shrinkToFit="false"/>
      <protection locked="true" hidden="false"/>
    </xf>
    <xf numFmtId="167" fontId="17" fillId="6" borderId="0" xfId="0" applyFont="true" applyBorder="false" applyAlignment="true" applyProtection="false">
      <alignment horizontal="center" vertical="bottom" textRotation="0" wrapText="false" indent="0" shrinkToFit="false"/>
      <protection locked="true" hidden="false"/>
    </xf>
    <xf numFmtId="165" fontId="17" fillId="6" borderId="0" xfId="0" applyFont="true" applyBorder="false" applyAlignment="false" applyProtection="false">
      <alignment horizontal="general" vertical="bottom" textRotation="0" wrapText="false" indent="0" shrinkToFit="false"/>
      <protection locked="true" hidden="false"/>
    </xf>
    <xf numFmtId="184" fontId="22" fillId="2" borderId="0" xfId="0" applyFont="true" applyBorder="false" applyAlignment="false" applyProtection="false">
      <alignment horizontal="general" vertical="bottom" textRotation="0" wrapText="false" indent="0" shrinkToFit="false"/>
      <protection locked="true" hidden="false"/>
    </xf>
    <xf numFmtId="184" fontId="20" fillId="2" borderId="0" xfId="0" applyFont="true" applyBorder="false" applyAlignment="false" applyProtection="false">
      <alignment horizontal="general" vertical="bottom" textRotation="0" wrapText="false" indent="0" shrinkToFit="false"/>
      <protection locked="true" hidden="false"/>
    </xf>
    <xf numFmtId="184" fontId="16" fillId="3" borderId="0" xfId="0" applyFont="true" applyBorder="false" applyAlignment="false" applyProtection="false">
      <alignment horizontal="general" vertical="bottom" textRotation="0" wrapText="false" indent="0" shrinkToFit="false"/>
      <protection locked="true" hidden="false"/>
    </xf>
    <xf numFmtId="185" fontId="20" fillId="0" borderId="0" xfId="0" applyFont="true" applyBorder="false" applyAlignment="false" applyProtection="false">
      <alignment horizontal="general" vertical="bottom" textRotation="0" wrapText="false" indent="0" shrinkToFit="false"/>
      <protection locked="true" hidden="false"/>
    </xf>
    <xf numFmtId="164" fontId="20" fillId="0" borderId="3" xfId="0" applyFont="true" applyBorder="true" applyAlignment="false" applyProtection="false">
      <alignment horizontal="general" vertical="bottom" textRotation="0" wrapText="false" indent="0" shrinkToFit="false"/>
      <protection locked="true" hidden="false"/>
    </xf>
    <xf numFmtId="164" fontId="27" fillId="0" borderId="3" xfId="0" applyFont="true" applyBorder="true" applyAlignment="false" applyProtection="false">
      <alignment horizontal="general" vertical="bottom" textRotation="0" wrapText="false" indent="0" shrinkToFit="false"/>
      <protection locked="true" hidden="false"/>
    </xf>
    <xf numFmtId="165" fontId="20" fillId="0" borderId="3" xfId="0" applyFont="true" applyBorder="true" applyAlignment="false" applyProtection="false">
      <alignment horizontal="general" vertical="bottom" textRotation="0" wrapText="false" indent="0" shrinkToFit="false"/>
      <protection locked="true" hidden="false"/>
    </xf>
    <xf numFmtId="164" fontId="17" fillId="0" borderId="3" xfId="0" applyFont="true" applyBorder="true" applyAlignment="false" applyProtection="false">
      <alignment horizontal="general" vertical="bottom" textRotation="0" wrapText="false" indent="0" shrinkToFit="false"/>
      <protection locked="true" hidden="false"/>
    </xf>
    <xf numFmtId="165" fontId="17" fillId="0" borderId="3" xfId="0" applyFont="true" applyBorder="tru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4" fontId="17" fillId="6" borderId="0" xfId="0" applyFont="true" applyBorder="false" applyAlignment="false" applyProtection="false">
      <alignment horizontal="general" vertical="bottom" textRotation="0" wrapText="false" indent="0" shrinkToFit="false"/>
      <protection locked="true" hidden="false"/>
    </xf>
    <xf numFmtId="167" fontId="17" fillId="6" borderId="0" xfId="0" applyFont="true" applyBorder="false" applyAlignment="false" applyProtection="false">
      <alignment horizontal="general" vertical="bottom" textRotation="0" wrapText="false" indent="0" shrinkToFit="false"/>
      <protection locked="true" hidden="false"/>
    </xf>
    <xf numFmtId="167" fontId="20" fillId="0" borderId="0" xfId="0" applyFont="true" applyBorder="false" applyAlignment="false" applyProtection="false">
      <alignment horizontal="general" vertical="bottom" textRotation="0" wrapText="false" indent="0" shrinkToFit="false"/>
      <protection locked="true" hidden="false"/>
    </xf>
    <xf numFmtId="186" fontId="44" fillId="0" borderId="0" xfId="0" applyFont="true" applyBorder="false" applyAlignment="false" applyProtection="false">
      <alignment horizontal="general" vertical="bottom" textRotation="0" wrapText="false" indent="0" shrinkToFit="false"/>
      <protection locked="true" hidden="false"/>
    </xf>
    <xf numFmtId="177" fontId="42" fillId="5" borderId="0" xfId="0" applyFont="true" applyBorder="false" applyAlignment="false" applyProtection="false">
      <alignment horizontal="general" vertical="bottom" textRotation="0" wrapText="false" indent="0" shrinkToFit="false"/>
      <protection locked="true" hidden="false"/>
    </xf>
    <xf numFmtId="177" fontId="44" fillId="0" borderId="0" xfId="0" applyFont="true" applyBorder="false" applyAlignment="false" applyProtection="false">
      <alignment horizontal="general" vertical="bottom" textRotation="0" wrapText="false" indent="0" shrinkToFit="false"/>
      <protection locked="true" hidden="false"/>
    </xf>
    <xf numFmtId="187" fontId="17" fillId="6"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right"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2" shrinkToFit="false"/>
      <protection locked="true" hidden="false"/>
    </xf>
    <xf numFmtId="177" fontId="17" fillId="6" borderId="0" xfId="0" applyFont="true" applyBorder="false" applyAlignment="false" applyProtection="false">
      <alignment horizontal="general" vertical="bottom" textRotation="0" wrapText="false" indent="0" shrinkToFit="false"/>
      <protection locked="true" hidden="false"/>
    </xf>
    <xf numFmtId="188" fontId="22" fillId="2"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true" applyAlignment="true" applyProtection="false">
      <alignment horizontal="center" vertical="bottom" textRotation="0" wrapText="false" indent="0" shrinkToFit="false"/>
      <protection locked="true" hidden="false"/>
    </xf>
    <xf numFmtId="164" fontId="42" fillId="5" borderId="4" xfId="0" applyFont="true" applyBorder="true" applyAlignment="false" applyProtection="false">
      <alignment horizontal="general" vertical="bottom" textRotation="0" wrapText="false" indent="0" shrinkToFit="false"/>
      <protection locked="true" hidden="false"/>
    </xf>
    <xf numFmtId="164" fontId="41" fillId="5" borderId="3" xfId="0" applyFont="true" applyBorder="true" applyAlignment="false" applyProtection="false">
      <alignment horizontal="general" vertical="bottom" textRotation="0" wrapText="false" indent="0" shrinkToFit="false"/>
      <protection locked="true" hidden="false"/>
    </xf>
    <xf numFmtId="181" fontId="42" fillId="5" borderId="3" xfId="0" applyFont="true" applyBorder="true" applyAlignment="true" applyProtection="false">
      <alignment horizontal="center" vertical="bottom" textRotation="0" wrapText="false" indent="0" shrinkToFit="false"/>
      <protection locked="true" hidden="false"/>
    </xf>
    <xf numFmtId="181" fontId="42" fillId="5" borderId="5" xfId="0" applyFont="true" applyBorder="true" applyAlignment="true" applyProtection="false">
      <alignment horizontal="center" vertical="bottom" textRotation="0" wrapText="false" indent="0" shrinkToFit="false"/>
      <protection locked="true" hidden="false"/>
    </xf>
    <xf numFmtId="181" fontId="17" fillId="0" borderId="6" xfId="0" applyFont="true" applyBorder="true" applyAlignment="true" applyProtection="false">
      <alignment horizontal="right" vertical="bottom" textRotation="0" wrapText="false" indent="0" shrinkToFit="false"/>
      <protection locked="true" hidden="false"/>
    </xf>
    <xf numFmtId="189" fontId="20" fillId="0" borderId="0" xfId="0" applyFont="true" applyBorder="false" applyAlignment="true" applyProtection="false">
      <alignment horizontal="center" vertical="bottom" textRotation="0" wrapText="false" indent="0" shrinkToFit="false"/>
      <protection locked="true" hidden="false"/>
    </xf>
    <xf numFmtId="189" fontId="20" fillId="0" borderId="7" xfId="0" applyFont="true" applyBorder="true" applyAlignment="true" applyProtection="false">
      <alignment horizontal="center" vertical="bottom" textRotation="0" wrapText="false" indent="0" shrinkToFit="false"/>
      <protection locked="true" hidden="false"/>
    </xf>
    <xf numFmtId="189" fontId="17" fillId="3" borderId="0" xfId="0" applyFont="true" applyBorder="false" applyAlignment="true" applyProtection="false">
      <alignment horizontal="center" vertical="bottom" textRotation="0" wrapText="false" indent="0" shrinkToFit="false"/>
      <protection locked="true" hidden="false"/>
    </xf>
    <xf numFmtId="181" fontId="17" fillId="0" borderId="8" xfId="0" applyFont="true" applyBorder="true" applyAlignment="true" applyProtection="false">
      <alignment horizontal="right" vertical="bottom" textRotation="0" wrapText="false" indent="0" shrinkToFit="false"/>
      <protection locked="true" hidden="false"/>
    </xf>
    <xf numFmtId="164" fontId="27" fillId="0" borderId="9" xfId="0" applyFont="true" applyBorder="true" applyAlignment="false" applyProtection="false">
      <alignment horizontal="general" vertical="bottom" textRotation="0" wrapText="false" indent="0" shrinkToFit="false"/>
      <protection locked="true" hidden="false"/>
    </xf>
    <xf numFmtId="189" fontId="20" fillId="0" borderId="9" xfId="0" applyFont="true" applyBorder="true" applyAlignment="true" applyProtection="false">
      <alignment horizontal="center" vertical="bottom" textRotation="0" wrapText="false" indent="0" shrinkToFit="false"/>
      <protection locked="true" hidden="false"/>
    </xf>
    <xf numFmtId="189" fontId="20" fillId="0" borderId="10" xfId="0" applyFont="true" applyBorder="true" applyAlignment="true" applyProtection="false">
      <alignment horizontal="center" vertical="bottom" textRotation="0" wrapText="false" indent="0" shrinkToFit="false"/>
      <protection locked="true" hidden="false"/>
    </xf>
    <xf numFmtId="164" fontId="42" fillId="7" borderId="0" xfId="0" applyFont="true" applyBorder="false" applyAlignment="true" applyProtection="false">
      <alignment horizontal="right" vertical="bottom" textRotation="0" wrapText="false" indent="0" shrinkToFit="false"/>
      <protection locked="true" hidden="false"/>
    </xf>
    <xf numFmtId="181" fontId="44" fillId="0" borderId="0" xfId="0" applyFont="true" applyBorder="false" applyAlignment="true" applyProtection="false">
      <alignment horizontal="center" vertical="bottom" textRotation="0" wrapText="false" indent="0" shrinkToFit="false"/>
      <protection locked="true" hidden="false"/>
    </xf>
    <xf numFmtId="181" fontId="22" fillId="2" borderId="0" xfId="0" applyFont="true" applyBorder="false" applyAlignment="true" applyProtection="false">
      <alignment horizontal="center" vertical="bottom" textRotation="0" wrapText="false" indent="0" shrinkToFit="false"/>
      <protection locked="true" hidden="false"/>
    </xf>
    <xf numFmtId="188" fontId="22" fillId="2" borderId="0" xfId="0" applyFont="true" applyBorder="false" applyAlignment="true" applyProtection="false">
      <alignment horizontal="center" vertical="bottom" textRotation="0" wrapText="false" indent="0" shrinkToFit="false"/>
      <protection locked="true" hidden="false"/>
    </xf>
    <xf numFmtId="190" fontId="20" fillId="0" borderId="0" xfId="0" applyFont="true" applyBorder="false" applyAlignment="true" applyProtection="false">
      <alignment horizontal="center" vertical="bottom" textRotation="0" wrapText="false" indent="0" shrinkToFit="false"/>
      <protection locked="true" hidden="false"/>
    </xf>
    <xf numFmtId="182" fontId="20" fillId="0" borderId="0" xfId="0" applyFont="true" applyBorder="false" applyAlignment="true" applyProtection="false">
      <alignment horizontal="center" vertical="bottom" textRotation="0" wrapText="false" indent="0" shrinkToFit="false"/>
      <protection locked="true" hidden="false"/>
    </xf>
    <xf numFmtId="185" fontId="20" fillId="0" borderId="0" xfId="0" applyFont="true" applyBorder="false" applyAlignment="true" applyProtection="false">
      <alignment horizontal="center" vertical="bottom" textRotation="0" wrapText="false" indent="0" shrinkToFit="false"/>
      <protection locked="true" hidden="false"/>
    </xf>
    <xf numFmtId="164" fontId="42" fillId="5" borderId="0" xfId="0" applyFont="true" applyBorder="false" applyAlignment="false" applyProtection="false">
      <alignment horizontal="general" vertical="bottom" textRotation="0" wrapText="false" indent="0" shrinkToFit="false"/>
      <protection locked="true" hidden="false"/>
    </xf>
    <xf numFmtId="169" fontId="42" fillId="5" borderId="0" xfId="0" applyFont="true" applyBorder="false" applyAlignment="true" applyProtection="false">
      <alignment horizontal="center" vertical="bottom" textRotation="0" wrapText="false" indent="0" shrinkToFit="false"/>
      <protection locked="true" hidden="false"/>
    </xf>
    <xf numFmtId="165" fontId="44" fillId="0" borderId="0" xfId="0" applyFont="true" applyBorder="false" applyAlignment="true" applyProtection="false">
      <alignment horizontal="right" vertical="bottom" textRotation="0" wrapText="false" indent="0" shrinkToFit="false"/>
      <protection locked="true" hidden="false"/>
    </xf>
    <xf numFmtId="184" fontId="44" fillId="0" borderId="0" xfId="0" applyFont="true" applyBorder="false" applyAlignment="true" applyProtection="false">
      <alignment horizontal="right" vertical="bottom" textRotation="0" wrapText="false" indent="0" shrinkToFit="false"/>
      <protection locked="true" hidden="false"/>
    </xf>
    <xf numFmtId="169" fontId="20" fillId="0" borderId="0" xfId="0" applyFont="true" applyBorder="false" applyAlignment="true" applyProtection="false">
      <alignment horizontal="right" vertical="bottom" textRotation="0" wrapText="false" indent="0" shrinkToFit="false"/>
      <protection locked="true" hidden="false"/>
    </xf>
    <xf numFmtId="186" fontId="44" fillId="0" borderId="0" xfId="0" applyFont="true" applyBorder="false" applyAlignment="true" applyProtection="false">
      <alignment horizontal="right" vertical="bottom" textRotation="0" wrapText="false" indent="0" shrinkToFit="false"/>
      <protection locked="true" hidden="false"/>
    </xf>
    <xf numFmtId="177" fontId="42" fillId="5" borderId="0" xfId="0" applyFont="true" applyBorder="false" applyAlignment="true" applyProtection="false">
      <alignment horizontal="right" vertical="bottom" textRotation="0" wrapText="false" indent="0" shrinkToFit="false"/>
      <protection locked="true" hidden="false"/>
    </xf>
    <xf numFmtId="177" fontId="20" fillId="0" borderId="0" xfId="0" applyFont="true" applyBorder="false" applyAlignment="true" applyProtection="false">
      <alignment horizontal="right" vertical="bottom" textRotation="0" wrapText="false" indent="0" shrinkToFit="false"/>
      <protection locked="true" hidden="false"/>
    </xf>
    <xf numFmtId="187" fontId="17" fillId="6" borderId="0" xfId="0" applyFont="true" applyBorder="false" applyAlignment="true" applyProtection="false">
      <alignment horizontal="right" vertical="bottom" textRotation="0" wrapText="false" indent="0" shrinkToFit="false"/>
      <protection locked="true" hidden="false"/>
    </xf>
    <xf numFmtId="169" fontId="42" fillId="5" borderId="0" xfId="0" applyFont="true" applyBorder="false" applyAlignment="true" applyProtection="false">
      <alignment horizontal="right" vertical="bottom" textRotation="0" wrapText="false" indent="0" shrinkToFit="false"/>
      <protection locked="true" hidden="false"/>
    </xf>
    <xf numFmtId="191" fontId="17" fillId="0" borderId="0" xfId="0" applyFont="true" applyBorder="false" applyAlignment="true" applyProtection="false">
      <alignment horizontal="right" vertical="bottom" textRotation="0" wrapText="fals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67" fontId="39" fillId="0" borderId="0" xfId="0" applyFont="true" applyBorder="false" applyAlignment="false" applyProtection="false">
      <alignment horizontal="general" vertical="bottom" textRotation="0" wrapText="false" indent="0" shrinkToFit="false"/>
      <protection locked="true" hidden="false"/>
    </xf>
    <xf numFmtId="165" fontId="3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AD2C5"/>
      <rgbColor rgb="FF878787"/>
      <rgbColor rgb="FF84A98C"/>
      <rgbColor rgb="FF595959"/>
      <rgbColor rgb="FFFFF8DC"/>
      <rgbColor rgb="FFE8ED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ECEC"/>
      <rgbColor rgb="FFF0F2F0"/>
      <rgbColor rgb="FFFFFDE7"/>
      <rgbColor rgb="FFA8C5D6"/>
      <rgbColor rgb="FFFF99CC"/>
      <rgbColor rgb="FFCC99FF"/>
      <rgbColor rgb="FFF5F5F5"/>
      <rgbColor rgb="FF3366FF"/>
      <rgbColor rgb="FF33CCCC"/>
      <rgbColor rgb="FF99CC00"/>
      <rgbColor rgb="FFFFCC00"/>
      <rgbColor rgb="FFFF9900"/>
      <rgbColor rgb="FFC8553D"/>
      <rgbColor rgb="FF666666"/>
      <rgbColor rgb="FFA6A6A6"/>
      <rgbColor rgb="FF1F3864"/>
      <rgbColor rgb="FF52796F"/>
      <rgbColor rgb="FF003300"/>
      <rgbColor rgb="FF404040"/>
      <rgbColor rgb="FF993300"/>
      <rgbColor rgb="FF993366"/>
      <rgbColor rgb="FF1F4E79"/>
      <rgbColor rgb="FF2F3E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CA" sz="1800" spc="-1" strike="noStrike">
                <a:solidFill>
                  <a:srgbClr val="000000"/>
                </a:solidFill>
                <a:latin typeface="Calibri"/>
              </a:defRPr>
            </a:pPr>
            <a:r>
              <a:rPr b="1" lang="en-CA" sz="1800" spc="-1" strike="noStrike">
                <a:solidFill>
                  <a:srgbClr val="000000"/>
                </a:solidFill>
                <a:latin typeface="Calibri"/>
              </a:rPr>
              <a:t>Sales Growth: Core vs. Total, y/y %</a:t>
            </a:r>
          </a:p>
        </c:rich>
      </c:tx>
      <c:overlay val="0"/>
      <c:spPr>
        <a:noFill/>
        <a:ln w="0">
          <a:noFill/>
        </a:ln>
      </c:spPr>
    </c:title>
    <c:autoTitleDeleted val="0"/>
    <c:plotArea>
      <c:barChart>
        <c:barDir val="col"/>
        <c:grouping val="stacked"/>
        <c:varyColors val="0"/>
        <c:ser>
          <c:idx val="0"/>
          <c:order val="0"/>
          <c:tx>
            <c:strRef>
              <c:f>Charts!$B$8</c:f>
              <c:strCache>
                <c:ptCount val="1"/>
                <c:pt idx="0">
                  <c:v>Core sales growth %</c:v>
                </c:pt>
              </c:strCache>
            </c:strRef>
          </c:tx>
          <c:spPr>
            <a:solidFill>
              <a:srgbClr val="2f3e46"/>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Charts!$C$7:$V$7</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Charts!$C$8:$V$8</c:f>
              <c:numCache>
                <c:formatCode>0.0%;\(0.0%\);\-</c:formatCode>
                <c:ptCount val="20"/>
                <c:pt idx="0">
                  <c:v>0</c:v>
                </c:pt>
                <c:pt idx="1">
                  <c:v>0.045</c:v>
                </c:pt>
                <c:pt idx="2">
                  <c:v>0.025</c:v>
                </c:pt>
                <c:pt idx="3">
                  <c:v>-0.12</c:v>
                </c:pt>
                <c:pt idx="4">
                  <c:v>0.115</c:v>
                </c:pt>
                <c:pt idx="5">
                  <c:v>0.07</c:v>
                </c:pt>
                <c:pt idx="6">
                  <c:v>0.025</c:v>
                </c:pt>
                <c:pt idx="7">
                  <c:v>0.025</c:v>
                </c:pt>
                <c:pt idx="8">
                  <c:v>0.035</c:v>
                </c:pt>
                <c:pt idx="9">
                  <c:v>0.03</c:v>
                </c:pt>
                <c:pt idx="10">
                  <c:v>0.03</c:v>
                </c:pt>
                <c:pt idx="11">
                  <c:v>0.035</c:v>
                </c:pt>
                <c:pt idx="12">
                  <c:v>0.06</c:v>
                </c:pt>
                <c:pt idx="13">
                  <c:v>0.06</c:v>
                </c:pt>
                <c:pt idx="14">
                  <c:v>0.065</c:v>
                </c:pt>
                <c:pt idx="15">
                  <c:v>0.23</c:v>
                </c:pt>
                <c:pt idx="16">
                  <c:v>0.095</c:v>
                </c:pt>
                <c:pt idx="17">
                  <c:v>-0.1</c:v>
                </c:pt>
                <c:pt idx="18">
                  <c:v>-0.015</c:v>
                </c:pt>
                <c:pt idx="19">
                  <c:v>0.02</c:v>
                </c:pt>
              </c:numCache>
            </c:numRef>
          </c:val>
        </c:ser>
        <c:ser>
          <c:idx val="1"/>
          <c:order val="1"/>
          <c:tx>
            <c:strRef>
              <c:f>Charts!$B$9</c:f>
              <c:strCache>
                <c:ptCount val="1"/>
                <c:pt idx="0">
                  <c:v>Total sales growth %</c:v>
                </c:pt>
              </c:strCache>
            </c:strRef>
          </c:tx>
          <c:spPr>
            <a:solidFill>
              <a:srgbClr val="84a98c"/>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Charts!$C$7:$V$7</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Charts!$C$9:$V$9</c:f>
              <c:numCache>
                <c:formatCode>0.0%;\(0.0%\);\-</c:formatCode>
                <c:ptCount val="20"/>
                <c:pt idx="0">
                  <c:v>0</c:v>
                </c:pt>
                <c:pt idx="1">
                  <c:v>0.164777469073853</c:v>
                </c:pt>
                <c:pt idx="2">
                  <c:v>0.151606671564226</c:v>
                </c:pt>
                <c:pt idx="3">
                  <c:v>-0.11912581216775</c:v>
                </c:pt>
                <c:pt idx="4">
                  <c:v>0.122048476070416</c:v>
                </c:pt>
                <c:pt idx="5">
                  <c:v>0.282111553784861</c:v>
                </c:pt>
                <c:pt idx="6">
                  <c:v>0.134855970914515</c:v>
                </c:pt>
                <c:pt idx="7">
                  <c:v>0.0469650171956801</c:v>
                </c:pt>
                <c:pt idx="8">
                  <c:v>0.00188304215922175</c:v>
                </c:pt>
                <c:pt idx="9">
                  <c:v>-0.246439386029028</c:v>
                </c:pt>
                <c:pt idx="10">
                  <c:v>0.169651579290134</c:v>
                </c:pt>
                <c:pt idx="11">
                  <c:v>0.0857283324645783</c:v>
                </c:pt>
                <c:pt idx="12">
                  <c:v>-0.0698974887750482</c:v>
                </c:pt>
                <c:pt idx="13">
                  <c:v>0.0505968267002961</c:v>
                </c:pt>
                <c:pt idx="14">
                  <c:v>0.244144692397452</c:v>
                </c:pt>
                <c:pt idx="15">
                  <c:v>0.321710644408544</c:v>
                </c:pt>
                <c:pt idx="16">
                  <c:v>-0.0954062404508879</c:v>
                </c:pt>
                <c:pt idx="17">
                  <c:v>-0.103329204669144</c:v>
                </c:pt>
                <c:pt idx="18">
                  <c:v>-0.000627877773126784</c:v>
                </c:pt>
                <c:pt idx="19">
                  <c:v>0.0290261780104713</c:v>
                </c:pt>
              </c:numCache>
            </c:numRef>
          </c:val>
        </c:ser>
        <c:gapWidth val="150"/>
        <c:overlap val="100"/>
        <c:axId val="47924779"/>
        <c:axId val="50506058"/>
      </c:barChart>
      <c:catAx>
        <c:axId val="4792477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506058"/>
        <c:crosses val="autoZero"/>
        <c:auto val="1"/>
        <c:lblAlgn val="ctr"/>
        <c:lblOffset val="100"/>
        <c:noMultiLvlLbl val="0"/>
      </c:catAx>
      <c:valAx>
        <c:axId val="50506058"/>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92477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CA" sz="1800" spc="-1" strike="noStrike">
                <a:solidFill>
                  <a:srgbClr val="000000"/>
                </a:solidFill>
                <a:latin typeface="Calibri"/>
              </a:defRPr>
            </a:pPr>
            <a:r>
              <a:rPr b="1" lang="en-CA" sz="1800" spc="-1" strike="noStrike">
                <a:solidFill>
                  <a:srgbClr val="000000"/>
                </a:solidFill>
                <a:latin typeface="Calibri"/>
              </a:rPr>
              <a:t>Adjusted EBITDA &amp; Operating Profit (USDm)</a:t>
            </a:r>
          </a:p>
        </c:rich>
      </c:tx>
      <c:overlay val="0"/>
      <c:spPr>
        <a:noFill/>
        <a:ln w="0">
          <a:noFill/>
        </a:ln>
      </c:spPr>
    </c:title>
    <c:autoTitleDeleted val="0"/>
    <c:plotArea>
      <c:barChart>
        <c:barDir val="col"/>
        <c:grouping val="clustered"/>
        <c:varyColors val="0"/>
        <c:ser>
          <c:idx val="0"/>
          <c:order val="0"/>
          <c:tx>
            <c:strRef>
              <c:f>Charts!$B$12</c:f>
              <c:strCache>
                <c:ptCount val="1"/>
                <c:pt idx="0">
                  <c:v>Adjusted EBITDA (model)</c:v>
                </c:pt>
              </c:strCache>
            </c:strRef>
          </c:tx>
          <c:spPr>
            <a:solidFill>
              <a:srgbClr val="a8c5d6"/>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Charts!$C$7:$V$7</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Charts!$C$12:$V$12</c:f>
              <c:numCache>
                <c:formatCode>#,##0;\(#,##0\);\-</c:formatCode>
                <c:ptCount val="20"/>
                <c:pt idx="0">
                  <c:v>1706.7</c:v>
                </c:pt>
                <c:pt idx="1">
                  <c:v>2067.1</c:v>
                </c:pt>
                <c:pt idx="2">
                  <c:v>2314.8</c:v>
                </c:pt>
                <c:pt idx="3">
                  <c:v>2006.8</c:v>
                </c:pt>
                <c:pt idx="4">
                  <c:v>2493.1</c:v>
                </c:pt>
                <c:pt idx="5">
                  <c:v>3368.8</c:v>
                </c:pt>
                <c:pt idx="6">
                  <c:v>4004.9</c:v>
                </c:pt>
                <c:pt idx="7">
                  <c:v>4188.9</c:v>
                </c:pt>
                <c:pt idx="8">
                  <c:v>4336.2</c:v>
                </c:pt>
                <c:pt idx="9">
                  <c:v>3247.5</c:v>
                </c:pt>
                <c:pt idx="10">
                  <c:v>3945</c:v>
                </c:pt>
                <c:pt idx="11">
                  <c:v>4293.7</c:v>
                </c:pt>
                <c:pt idx="12">
                  <c:v>4294.2</c:v>
                </c:pt>
                <c:pt idx="13">
                  <c:v>4551.9</c:v>
                </c:pt>
                <c:pt idx="14">
                  <c:v>6596</c:v>
                </c:pt>
                <c:pt idx="15">
                  <c:v>10294</c:v>
                </c:pt>
                <c:pt idx="16">
                  <c:v>9769</c:v>
                </c:pt>
                <c:pt idx="17">
                  <c:v>7530</c:v>
                </c:pt>
                <c:pt idx="18">
                  <c:v>7561</c:v>
                </c:pt>
                <c:pt idx="19">
                  <c:v>7689</c:v>
                </c:pt>
              </c:numCache>
            </c:numRef>
          </c:val>
        </c:ser>
        <c:ser>
          <c:idx val="1"/>
          <c:order val="1"/>
          <c:tx>
            <c:strRef>
              <c:f>Charts!$B$13</c:f>
              <c:strCache>
                <c:ptCount val="1"/>
                <c:pt idx="0">
                  <c:v>Operating Profit (GAAP)</c:v>
                </c:pt>
              </c:strCache>
            </c:strRef>
          </c:tx>
          <c:spPr>
            <a:solidFill>
              <a:srgbClr val="1f4e79"/>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Charts!$C$7:$V$7</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Charts!$C$13:$V$13</c:f>
              <c:numCache>
                <c:formatCode>#,##0;\(#,##0\);\-</c:formatCode>
                <c:ptCount val="20"/>
                <c:pt idx="0">
                  <c:v>1500.3</c:v>
                </c:pt>
                <c:pt idx="1">
                  <c:v>1740.7</c:v>
                </c:pt>
                <c:pt idx="2">
                  <c:v>1869.5</c:v>
                </c:pt>
                <c:pt idx="3">
                  <c:v>1542.4</c:v>
                </c:pt>
                <c:pt idx="4">
                  <c:v>2049.6</c:v>
                </c:pt>
                <c:pt idx="5">
                  <c:v>2617.2</c:v>
                </c:pt>
                <c:pt idx="6">
                  <c:v>3165.1</c:v>
                </c:pt>
                <c:pt idx="7">
                  <c:v>3274.9</c:v>
                </c:pt>
                <c:pt idx="8">
                  <c:v>3346.6</c:v>
                </c:pt>
                <c:pt idx="9">
                  <c:v>2162.2</c:v>
                </c:pt>
                <c:pt idx="10">
                  <c:v>2750.9</c:v>
                </c:pt>
                <c:pt idx="11">
                  <c:v>2990.4</c:v>
                </c:pt>
                <c:pt idx="12">
                  <c:v>3055.1</c:v>
                </c:pt>
                <c:pt idx="13">
                  <c:v>3269.4</c:v>
                </c:pt>
                <c:pt idx="14">
                  <c:v>4231</c:v>
                </c:pt>
                <c:pt idx="15">
                  <c:v>7465</c:v>
                </c:pt>
                <c:pt idx="16">
                  <c:v>7536</c:v>
                </c:pt>
                <c:pt idx="17">
                  <c:v>5202</c:v>
                </c:pt>
                <c:pt idx="18">
                  <c:v>4863</c:v>
                </c:pt>
                <c:pt idx="19">
                  <c:v>4690</c:v>
                </c:pt>
              </c:numCache>
            </c:numRef>
          </c:val>
        </c:ser>
        <c:gapWidth val="150"/>
        <c:overlap val="0"/>
        <c:axId val="44537579"/>
        <c:axId val="1273886"/>
      </c:barChart>
      <c:lineChart>
        <c:grouping val="standard"/>
        <c:varyColors val="0"/>
        <c:ser>
          <c:idx val="2"/>
          <c:order val="2"/>
          <c:tx>
            <c:strRef>
              <c:f>Charts!$B$14</c:f>
              <c:strCache>
                <c:ptCount val="1"/>
                <c:pt idx="0">
                  <c:v>Adj. EBITDA Margin %</c:v>
                </c:pt>
              </c:strCache>
            </c:strRef>
          </c:tx>
          <c:spPr>
            <a:solidFill>
              <a:srgbClr val="2f3e46"/>
            </a:solidFill>
            <a:ln w="28440">
              <a:solidFill>
                <a:srgbClr val="2f3e46"/>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Charts!$C$7:$V$7</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Charts!$C$14:$V$14</c:f>
              <c:numCache>
                <c:formatCode>0.0%;\(0.0%\);\-</c:formatCode>
                <c:ptCount val="20"/>
                <c:pt idx="0">
                  <c:v>0.18029600363402</c:v>
                </c:pt>
                <c:pt idx="1">
                  <c:v>0.187476759266817</c:v>
                </c:pt>
                <c:pt idx="2">
                  <c:v>0.182303603071471</c:v>
                </c:pt>
                <c:pt idx="3">
                  <c:v>0.179420468667579</c:v>
                </c:pt>
                <c:pt idx="4">
                  <c:v>0.198653386454183</c:v>
                </c:pt>
                <c:pt idx="5">
                  <c:v>0.209365774836083</c:v>
                </c:pt>
                <c:pt idx="6">
                  <c:v>0.219321592079034</c:v>
                </c:pt>
                <c:pt idx="7">
                  <c:v>0.219107647243435</c:v>
                </c:pt>
                <c:pt idx="8">
                  <c:v>0.226386133444711</c:v>
                </c:pt>
                <c:pt idx="9">
                  <c:v>0.22499428420987</c:v>
                </c:pt>
                <c:pt idx="10">
                  <c:v>0.233675306828413</c:v>
                </c:pt>
                <c:pt idx="11">
                  <c:v>0.234248241924309</c:v>
                </c:pt>
                <c:pt idx="12">
                  <c:v>0.251881397190369</c:v>
                </c:pt>
                <c:pt idx="13">
                  <c:v>0.254138495123136</c:v>
                </c:pt>
                <c:pt idx="14">
                  <c:v>0.295997127984204</c:v>
                </c:pt>
                <c:pt idx="15">
                  <c:v>0.349505992598377</c:v>
                </c:pt>
                <c:pt idx="16">
                  <c:v>0.366662913335585</c:v>
                </c:pt>
                <c:pt idx="17">
                  <c:v>0.315194642109669</c:v>
                </c:pt>
                <c:pt idx="18">
                  <c:v>0.31669109947644</c:v>
                </c:pt>
                <c:pt idx="19">
                  <c:v>0.312968088570498</c:v>
                </c:pt>
              </c:numCache>
            </c:numRef>
          </c:val>
          <c:smooth val="1"/>
        </c:ser>
        <c:ser>
          <c:idx val="3"/>
          <c:order val="3"/>
          <c:tx>
            <c:strRef>
              <c:f>Charts!$B$15</c:f>
              <c:strCache>
                <c:ptCount val="1"/>
                <c:pt idx="0">
                  <c:v>GAAP Op. Margin %</c:v>
                </c:pt>
              </c:strCache>
            </c:strRef>
          </c:tx>
          <c:spPr>
            <a:solidFill>
              <a:srgbClr val="c8553d"/>
            </a:solidFill>
            <a:ln w="28440">
              <a:solidFill>
                <a:srgbClr val="c8553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Charts!$C$7:$V$7</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Charts!$C$15:$V$15</c:f>
              <c:numCache>
                <c:formatCode>0.0%;\(0.0%\);\-</c:formatCode>
                <c:ptCount val="20"/>
                <c:pt idx="0">
                  <c:v>0.15849188155629</c:v>
                </c:pt>
                <c:pt idx="1">
                  <c:v>0.157873733663465</c:v>
                </c:pt>
                <c:pt idx="2">
                  <c:v>0.147233707422721</c:v>
                </c:pt>
                <c:pt idx="3">
                  <c:v>0.13790020474032</c:v>
                </c:pt>
                <c:pt idx="4">
                  <c:v>0.163314741035857</c:v>
                </c:pt>
                <c:pt idx="5">
                  <c:v>0.162654982753799</c:v>
                </c:pt>
                <c:pt idx="6">
                  <c:v>0.173331361854067</c:v>
                </c:pt>
                <c:pt idx="7">
                  <c:v>0.171299299089863</c:v>
                </c:pt>
                <c:pt idx="8">
                  <c:v>0.174720684974418</c:v>
                </c:pt>
                <c:pt idx="9">
                  <c:v>0.149802199020348</c:v>
                </c:pt>
                <c:pt idx="10">
                  <c:v>0.162944841965597</c:v>
                </c:pt>
                <c:pt idx="11">
                  <c:v>0.163145059657278</c:v>
                </c:pt>
                <c:pt idx="12">
                  <c:v>0.179200516174443</c:v>
                </c:pt>
                <c:pt idx="13">
                  <c:v>0.182534852689115</c:v>
                </c:pt>
                <c:pt idx="14">
                  <c:v>0.189867169269431</c:v>
                </c:pt>
                <c:pt idx="15">
                  <c:v>0.253454656571487</c:v>
                </c:pt>
                <c:pt idx="16">
                  <c:v>0.282851030289382</c:v>
                </c:pt>
                <c:pt idx="17">
                  <c:v>0.217748011720385</c:v>
                </c:pt>
                <c:pt idx="18">
                  <c:v>0.203685863874346</c:v>
                </c:pt>
                <c:pt idx="19">
                  <c:v>0.190898730055357</c:v>
                </c:pt>
              </c:numCache>
            </c:numRef>
          </c:val>
          <c:smooth val="1"/>
        </c:ser>
        <c:hiLowLines>
          <c:spPr>
            <a:ln w="0">
              <a:noFill/>
            </a:ln>
          </c:spPr>
        </c:hiLowLines>
        <c:marker val="0"/>
        <c:axId val="72389593"/>
        <c:axId val="67414445"/>
      </c:lineChart>
      <c:catAx>
        <c:axId val="4453757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73886"/>
        <c:crosses val="autoZero"/>
        <c:auto val="1"/>
        <c:lblAlgn val="ctr"/>
        <c:lblOffset val="100"/>
        <c:noMultiLvlLbl val="0"/>
      </c:catAx>
      <c:valAx>
        <c:axId val="127388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537579"/>
        <c:crosses val="autoZero"/>
        <c:crossBetween val="between"/>
      </c:valAx>
      <c:catAx>
        <c:axId val="72389593"/>
        <c:scaling>
          <c:orientation val="minMax"/>
        </c:scaling>
        <c:delete val="0"/>
        <c:axPos val="t"/>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414445"/>
        <c:crosses val="autoZero"/>
        <c:auto val="1"/>
        <c:lblAlgn val="ctr"/>
        <c:lblOffset val="100"/>
        <c:noMultiLvlLbl val="0"/>
      </c:catAx>
      <c:valAx>
        <c:axId val="67414445"/>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389593"/>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Returns Profile: ROIC, RONTA, Adjusted EBITDA Margin &amp; FCF Margin</a:t>
            </a:r>
          </a:p>
        </c:rich>
      </c:tx>
      <c:overlay val="0"/>
      <c:spPr>
        <a:noFill/>
        <a:ln w="0">
          <a:noFill/>
        </a:ln>
      </c:spPr>
    </c:title>
    <c:autoTitleDeleted val="0"/>
    <c:plotArea>
      <c:lineChart>
        <c:grouping val="standard"/>
        <c:varyColors val="0"/>
        <c:ser>
          <c:idx val="0"/>
          <c:order val="0"/>
          <c:tx>
            <c:strRef>
              <c:f>Charts!$B$18</c:f>
              <c:strCache>
                <c:ptCount val="1"/>
                <c:pt idx="0">
                  <c:v>ROIC</c:v>
                </c:pt>
              </c:strCache>
            </c:strRef>
          </c:tx>
          <c:spPr>
            <a:solidFill>
              <a:srgbClr val="2f3e46"/>
            </a:solidFill>
            <a:ln w="28440">
              <a:solidFill>
                <a:srgbClr val="2f3e46"/>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Charts!$C$7:$V$7</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Charts!$C$18:$V$18</c:f>
              <c:numCache>
                <c:formatCode>0.0%;\(0.0%\);\-</c:formatCode>
                <c:ptCount val="20"/>
                <c:pt idx="0">
                  <c:v>0.131992384797144</c:v>
                </c:pt>
                <c:pt idx="1">
                  <c:v>0.106082221526632</c:v>
                </c:pt>
                <c:pt idx="2">
                  <c:v>0.12363647683638</c:v>
                </c:pt>
                <c:pt idx="3">
                  <c:v>0.104816312769065</c:v>
                </c:pt>
                <c:pt idx="4">
                  <c:v>0.107936921897036</c:v>
                </c:pt>
                <c:pt idx="5">
                  <c:v>0.0994161920589113</c:v>
                </c:pt>
                <c:pt idx="6">
                  <c:v>0.106255696122601</c:v>
                </c:pt>
                <c:pt idx="7">
                  <c:v>0.109014187235843</c:v>
                </c:pt>
                <c:pt idx="8">
                  <c:v>0.107293688904533</c:v>
                </c:pt>
                <c:pt idx="9">
                  <c:v>0.0544133492340411</c:v>
                </c:pt>
                <c:pt idx="10">
                  <c:v>0.0675626959147852</c:v>
                </c:pt>
                <c:pt idx="11">
                  <c:v>0.0708168851470609</c:v>
                </c:pt>
                <c:pt idx="12">
                  <c:v>0.0672389540280293</c:v>
                </c:pt>
                <c:pt idx="13">
                  <c:v>0.0770847005039367</c:v>
                </c:pt>
                <c:pt idx="14">
                  <c:v>0.0711685336765267</c:v>
                </c:pt>
                <c:pt idx="15">
                  <c:v>0.104807472070099</c:v>
                </c:pt>
                <c:pt idx="16">
                  <c:v>0.105491033609641</c:v>
                </c:pt>
                <c:pt idx="17">
                  <c:v>0.0679830900566684</c:v>
                </c:pt>
                <c:pt idx="18">
                  <c:v>0.0688671315056841</c:v>
                </c:pt>
                <c:pt idx="19">
                  <c:v>0.0671969554472136</c:v>
                </c:pt>
              </c:numCache>
            </c:numRef>
          </c:val>
          <c:smooth val="1"/>
        </c:ser>
        <c:ser>
          <c:idx val="1"/>
          <c:order val="1"/>
          <c:tx>
            <c:strRef>
              <c:f>Charts!$B$19</c:f>
              <c:strCache>
                <c:ptCount val="1"/>
                <c:pt idx="0">
                  <c:v>RONTA</c:v>
                </c:pt>
              </c:strCache>
            </c:strRef>
          </c:tx>
          <c:spPr>
            <a:solidFill>
              <a:srgbClr val="84a98c"/>
            </a:solidFill>
            <a:ln w="28440">
              <a:solidFill>
                <a:srgbClr val="84a98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Charts!$C$7:$V$7</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Charts!$C$19:$V$19</c:f>
              <c:numCache>
                <c:formatCode>0.0%;\(0.0%\);\-</c:formatCode>
                <c:ptCount val="20"/>
                <c:pt idx="0">
                  <c:v>0.545163210358935</c:v>
                </c:pt>
                <c:pt idx="1">
                  <c:v>0.430731846611397</c:v>
                </c:pt>
                <c:pt idx="2">
                  <c:v>0.482921382050344</c:v>
                </c:pt>
                <c:pt idx="3">
                  <c:v>0.305547689190944</c:v>
                </c:pt>
                <c:pt idx="4">
                  <c:v>0.331654155420351</c:v>
                </c:pt>
                <c:pt idx="5">
                  <c:v>0.388633595627053</c:v>
                </c:pt>
                <c:pt idx="6">
                  <c:v>0.346076463562476</c:v>
                </c:pt>
                <c:pt idx="7">
                  <c:v>0.314265612327415</c:v>
                </c:pt>
                <c:pt idx="8">
                  <c:v>0.349915123638912</c:v>
                </c:pt>
                <c:pt idx="9">
                  <c:v>0.297475798396266</c:v>
                </c:pt>
                <c:pt idx="10">
                  <c:v>0.432482009087678</c:v>
                </c:pt>
                <c:pt idx="11">
                  <c:v>0.489541480692881</c:v>
                </c:pt>
                <c:pt idx="12">
                  <c:v>0.457545348316874</c:v>
                </c:pt>
                <c:pt idx="13">
                  <c:v>0.099371425200533</c:v>
                </c:pt>
                <c:pt idx="14">
                  <c:v>0.324032669157311</c:v>
                </c:pt>
                <c:pt idx="15">
                  <c:v>0.6156975549718</c:v>
                </c:pt>
                <c:pt idx="16">
                  <c:v>0.407719648203275</c:v>
                </c:pt>
                <c:pt idx="17">
                  <c:v>0.288575215060218</c:v>
                </c:pt>
                <c:pt idx="18">
                  <c:v>0.358788485438798</c:v>
                </c:pt>
                <c:pt idx="19">
                  <c:v>0.284119228359565</c:v>
                </c:pt>
              </c:numCache>
            </c:numRef>
          </c:val>
          <c:smooth val="1"/>
        </c:ser>
        <c:ser>
          <c:idx val="2"/>
          <c:order val="2"/>
          <c:tx>
            <c:strRef>
              <c:f>Charts!$B$20</c:f>
              <c:strCache>
                <c:ptCount val="1"/>
                <c:pt idx="0">
                  <c:v>Adj. EBITDA margin %</c:v>
                </c:pt>
              </c:strCache>
            </c:strRef>
          </c:tx>
          <c:spPr>
            <a:solidFill>
              <a:srgbClr val="1f4e79"/>
            </a:solidFill>
            <a:ln w="28440">
              <a:solidFill>
                <a:srgbClr val="1f4e79"/>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Charts!$C$7:$V$7</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Charts!$C$20:$V$20</c:f>
              <c:numCache>
                <c:formatCode>0.0%;\(0.0%\);\-</c:formatCode>
                <c:ptCount val="20"/>
                <c:pt idx="0">
                  <c:v>0.18029600363402</c:v>
                </c:pt>
                <c:pt idx="1">
                  <c:v>0.187476759266817</c:v>
                </c:pt>
                <c:pt idx="2">
                  <c:v>0.182303603071471</c:v>
                </c:pt>
                <c:pt idx="3">
                  <c:v>0.179420468667579</c:v>
                </c:pt>
                <c:pt idx="4">
                  <c:v>0.198653386454183</c:v>
                </c:pt>
                <c:pt idx="5">
                  <c:v>0.209365774836083</c:v>
                </c:pt>
                <c:pt idx="6">
                  <c:v>0.219321592079034</c:v>
                </c:pt>
                <c:pt idx="7">
                  <c:v>0.219107647243435</c:v>
                </c:pt>
                <c:pt idx="8">
                  <c:v>0.226386133444711</c:v>
                </c:pt>
                <c:pt idx="9">
                  <c:v>0.22499428420987</c:v>
                </c:pt>
                <c:pt idx="10">
                  <c:v>0.233675306828413</c:v>
                </c:pt>
                <c:pt idx="11">
                  <c:v>0.234248241924309</c:v>
                </c:pt>
                <c:pt idx="12">
                  <c:v>0.251881397190369</c:v>
                </c:pt>
                <c:pt idx="13">
                  <c:v>0.254138495123136</c:v>
                </c:pt>
                <c:pt idx="14">
                  <c:v>0.295997127984204</c:v>
                </c:pt>
                <c:pt idx="15">
                  <c:v>0.349505992598377</c:v>
                </c:pt>
                <c:pt idx="16">
                  <c:v>0.366662913335585</c:v>
                </c:pt>
                <c:pt idx="17">
                  <c:v>0.315194642109669</c:v>
                </c:pt>
                <c:pt idx="18">
                  <c:v>0.31669109947644</c:v>
                </c:pt>
                <c:pt idx="19">
                  <c:v>0.312968088570498</c:v>
                </c:pt>
              </c:numCache>
            </c:numRef>
          </c:val>
          <c:smooth val="1"/>
        </c:ser>
        <c:ser>
          <c:idx val="3"/>
          <c:order val="3"/>
          <c:tx>
            <c:strRef>
              <c:f>Charts!$B$21</c:f>
              <c:strCache>
                <c:ptCount val="1"/>
                <c:pt idx="0">
                  <c:v>FCF margin %</c:v>
                </c:pt>
              </c:strCache>
            </c:strRef>
          </c:tx>
          <c:spPr>
            <a:solidFill>
              <a:srgbClr val="c8553d"/>
            </a:solidFill>
            <a:ln w="28440">
              <a:solidFill>
                <a:srgbClr val="c8553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Charts!$C$7:$V$7</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Charts!$C$21:$V$21</c:f>
              <c:numCache>
                <c:formatCode>0.0%;\(0.0%\);\-</c:formatCode>
                <c:ptCount val="20"/>
                <c:pt idx="0">
                  <c:v>0.149966723360201</c:v>
                </c:pt>
                <c:pt idx="1">
                  <c:v>0.140822971367417</c:v>
                </c:pt>
                <c:pt idx="2">
                  <c:v>0.131230557196298</c:v>
                </c:pt>
                <c:pt idx="3">
                  <c:v>0.144695079973893</c:v>
                </c:pt>
                <c:pt idx="4">
                  <c:v>0.148772908366534</c:v>
                </c:pt>
                <c:pt idx="5">
                  <c:v>0.149000963301327</c:v>
                </c:pt>
                <c:pt idx="6">
                  <c:v>0.166688571991851</c:v>
                </c:pt>
                <c:pt idx="7">
                  <c:v>0.158688147295742</c:v>
                </c:pt>
                <c:pt idx="8">
                  <c:v>0.165025582123838</c:v>
                </c:pt>
                <c:pt idx="9">
                  <c:v>0.221356963218024</c:v>
                </c:pt>
                <c:pt idx="10">
                  <c:v>0.147958821020708</c:v>
                </c:pt>
                <c:pt idx="11">
                  <c:v>0.157711255503363</c:v>
                </c:pt>
                <c:pt idx="12">
                  <c:v>0.197823855471156</c:v>
                </c:pt>
                <c:pt idx="13">
                  <c:v>0.169431246545438</c:v>
                </c:pt>
                <c:pt idx="14">
                  <c:v>0.243493089211991</c:v>
                </c:pt>
                <c:pt idx="15">
                  <c:v>0.240281125861542</c:v>
                </c:pt>
                <c:pt idx="16">
                  <c:v>0.276845700559246</c:v>
                </c:pt>
                <c:pt idx="17">
                  <c:v>0.214273754709083</c:v>
                </c:pt>
                <c:pt idx="18">
                  <c:v>0.222366492146597</c:v>
                </c:pt>
                <c:pt idx="19">
                  <c:v>0.215442852491045</c:v>
                </c:pt>
              </c:numCache>
            </c:numRef>
          </c:val>
          <c:smooth val="1"/>
        </c:ser>
        <c:hiLowLines>
          <c:spPr>
            <a:ln w="0">
              <a:noFill/>
            </a:ln>
          </c:spPr>
        </c:hiLowLines>
        <c:marker val="0"/>
        <c:axId val="51458847"/>
        <c:axId val="74222191"/>
      </c:lineChart>
      <c:catAx>
        <c:axId val="5145884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222191"/>
        <c:crosses val="autoZero"/>
        <c:auto val="1"/>
        <c:lblAlgn val="ctr"/>
        <c:lblOffset val="100"/>
        <c:noMultiLvlLbl val="0"/>
      </c:catAx>
      <c:valAx>
        <c:axId val="7422219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45884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22</xdr:row>
      <xdr:rowOff>160560</xdr:rowOff>
    </xdr:from>
    <xdr:to>
      <xdr:col>12</xdr:col>
      <xdr:colOff>543240</xdr:colOff>
      <xdr:row>37</xdr:row>
      <xdr:rowOff>1800</xdr:rowOff>
    </xdr:to>
    <xdr:graphicFrame>
      <xdr:nvGraphicFramePr>
        <xdr:cNvPr id="0" name="Chart 1"/>
        <xdr:cNvGraphicFramePr/>
      </xdr:nvGraphicFramePr>
      <xdr:xfrm>
        <a:off x="603720" y="4380120"/>
        <a:ext cx="8696880" cy="269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43</xdr:row>
      <xdr:rowOff>160560</xdr:rowOff>
    </xdr:from>
    <xdr:to>
      <xdr:col>12</xdr:col>
      <xdr:colOff>543240</xdr:colOff>
      <xdr:row>58</xdr:row>
      <xdr:rowOff>1440</xdr:rowOff>
    </xdr:to>
    <xdr:graphicFrame>
      <xdr:nvGraphicFramePr>
        <xdr:cNvPr id="1" name="Chart 2"/>
        <xdr:cNvGraphicFramePr/>
      </xdr:nvGraphicFramePr>
      <xdr:xfrm>
        <a:off x="603720" y="8380800"/>
        <a:ext cx="8696880" cy="2698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64</xdr:row>
      <xdr:rowOff>160560</xdr:rowOff>
    </xdr:from>
    <xdr:to>
      <xdr:col>12</xdr:col>
      <xdr:colOff>543240</xdr:colOff>
      <xdr:row>79</xdr:row>
      <xdr:rowOff>1800</xdr:rowOff>
    </xdr:to>
    <xdr:graphicFrame>
      <xdr:nvGraphicFramePr>
        <xdr:cNvPr id="2" name="Chart 3"/>
        <xdr:cNvGraphicFramePr/>
      </xdr:nvGraphicFramePr>
      <xdr:xfrm>
        <a:off x="603720" y="12381120"/>
        <a:ext cx="8696880" cy="26989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R479"/>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2" ySplit="7" topLeftCell="AR8" activePane="bottomRight" state="frozen"/>
      <selection pane="topLeft" activeCell="A1" activeCellId="0" sqref="A1"/>
      <selection pane="topRight" activeCell="AR1" activeCellId="0" sqref="AR1"/>
      <selection pane="bottomLeft" activeCell="A8" activeCellId="0" sqref="A8"/>
      <selection pane="bottomRight" activeCell="CA164" activeCellId="0" sqref="CA164"/>
    </sheetView>
  </sheetViews>
  <sheetFormatPr defaultColWidth="8.5703125" defaultRowHeight="15" zeroHeight="false" outlineLevelRow="1" outlineLevelCol="1"/>
  <cols>
    <col collapsed="false" customWidth="true" hidden="false" outlineLevel="0" max="1" min="1" style="1" width="2.42"/>
    <col collapsed="false" customWidth="true" hidden="false" outlineLevel="0" max="2" min="2" style="1" width="62"/>
    <col collapsed="false" customWidth="true" hidden="false" outlineLevel="0" max="9" min="3" style="1" width="14.14"/>
    <col collapsed="false" customWidth="true" hidden="true" outlineLevel="1" max="13" min="10" style="1" width="9.57"/>
    <col collapsed="false" customWidth="true" hidden="false" outlineLevel="0" max="14" min="14" style="1" width="14.14"/>
    <col collapsed="false" customWidth="true" hidden="true" outlineLevel="1" max="18" min="15" style="1" width="9.57"/>
    <col collapsed="false" customWidth="true" hidden="false" outlineLevel="0" max="19" min="19" style="1" width="14.14"/>
    <col collapsed="false" customWidth="true" hidden="true" outlineLevel="1" max="23" min="20" style="1" width="9.57"/>
    <col collapsed="false" customWidth="true" hidden="false" outlineLevel="0" max="24" min="24" style="1" width="14.14"/>
    <col collapsed="false" customWidth="true" hidden="true" outlineLevel="1" max="28" min="25" style="1" width="9.57"/>
    <col collapsed="false" customWidth="true" hidden="false" outlineLevel="0" max="29" min="29" style="1" width="14.14"/>
    <col collapsed="false" customWidth="true" hidden="true" outlineLevel="1" max="33" min="30" style="1" width="9.57"/>
    <col collapsed="false" customWidth="true" hidden="false" outlineLevel="0" max="34" min="34" style="1" width="14.14"/>
    <col collapsed="false" customWidth="true" hidden="true" outlineLevel="1" max="38" min="35" style="1" width="9.57"/>
    <col collapsed="false" customWidth="true" hidden="false" outlineLevel="0" max="39" min="39" style="1" width="14.14"/>
    <col collapsed="false" customWidth="true" hidden="true" outlineLevel="1" max="43" min="40" style="1" width="9.57"/>
    <col collapsed="false" customWidth="true" hidden="false" outlineLevel="0" max="44" min="44" style="1" width="14.14"/>
    <col collapsed="false" customWidth="true" hidden="true" outlineLevel="1" max="48" min="45" style="1" width="9.57"/>
    <col collapsed="false" customWidth="true" hidden="false" outlineLevel="0" max="49" min="49" style="1" width="14.14"/>
    <col collapsed="false" customWidth="true" hidden="true" outlineLevel="1" max="53" min="50" style="1" width="9.57"/>
    <col collapsed="false" customWidth="true" hidden="false" outlineLevel="0" max="54" min="54" style="1" width="14.14"/>
    <col collapsed="false" customWidth="true" hidden="true" outlineLevel="1" max="58" min="55" style="1" width="9.57"/>
    <col collapsed="false" customWidth="true" hidden="false" outlineLevel="0" max="59" min="59" style="1" width="14.14"/>
    <col collapsed="false" customWidth="true" hidden="true" outlineLevel="1" max="63" min="60" style="1" width="9.57"/>
    <col collapsed="false" customWidth="true" hidden="false" outlineLevel="0" max="64" min="64" style="1" width="14.14"/>
    <col collapsed="false" customWidth="true" hidden="true" outlineLevel="1" max="68" min="65" style="1" width="9.57"/>
    <col collapsed="false" customWidth="true" hidden="false" outlineLevel="0" max="69" min="69" style="1" width="14.14"/>
    <col collapsed="false" customWidth="true" hidden="true" outlineLevel="1" max="73" min="70" style="1" width="9.57"/>
    <col collapsed="false" customWidth="true" hidden="false" outlineLevel="0" max="74" min="74" style="1" width="14.14"/>
    <col collapsed="false" customWidth="true" hidden="true" outlineLevel="1" max="76" min="75" style="1" width="9.57"/>
    <col collapsed="false" customWidth="true" hidden="true" outlineLevel="1" max="78" min="77" style="1" width="11.43"/>
    <col collapsed="false" customWidth="true" hidden="false" outlineLevel="0" max="83" min="79" style="1" width="14.14"/>
    <col collapsed="false" customWidth="true" hidden="false" outlineLevel="0" max="84" min="84" style="1" width="86.86"/>
    <col collapsed="false" customWidth="true" hidden="false" outlineLevel="0" max="85" min="85" style="1" width="2"/>
    <col collapsed="false" customWidth="true" hidden="false" outlineLevel="0" max="86" min="86" style="1" width="14.14"/>
    <col collapsed="false" customWidth="true" hidden="false" outlineLevel="0" max="87" min="87" style="1" width="12.42"/>
    <col collapsed="false" customWidth="true" hidden="false" outlineLevel="0" max="89" min="88" style="1" width="13.42"/>
    <col collapsed="false" customWidth="true" hidden="false" outlineLevel="0" max="90" min="90" style="1" width="2"/>
    <col collapsed="false" customWidth="true" hidden="false" outlineLevel="0" max="91" min="91" style="1" width="6"/>
    <col collapsed="false" customWidth="true" hidden="false" outlineLevel="0" max="92" min="92" style="1" width="46"/>
    <col collapsed="false" customWidth="true" hidden="false" outlineLevel="0" max="95" min="93" style="1" width="11.57"/>
    <col collapsed="false" customWidth="true" hidden="false" outlineLevel="0" max="96" min="96" style="1" width="60"/>
  </cols>
  <sheetData>
    <row r="1" customFormat="false" ht="15" hidden="false" customHeight="true" outlineLevel="0" collapsed="false">
      <c r="CF1" s="2" t="s">
        <v>0</v>
      </c>
    </row>
    <row r="2" customFormat="false" ht="21" hidden="false" customHeight="true" outlineLevel="0" collapsed="false">
      <c r="B2" s="3" t="s">
        <v>1</v>
      </c>
      <c r="CF2" s="4" t="s">
        <v>2</v>
      </c>
    </row>
    <row r="3" customFormat="false" ht="15" hidden="false" customHeight="true" outlineLevel="0" collapsed="false">
      <c r="B3" s="5" t="s">
        <v>3</v>
      </c>
    </row>
    <row r="4" customFormat="false" ht="15" hidden="false" customHeight="true" outlineLevel="0" collapsed="false">
      <c r="B4" s="6" t="s">
        <v>4</v>
      </c>
    </row>
    <row r="5" customFormat="false" ht="15" hidden="false" customHeight="true" outlineLevel="0" collapsed="false">
      <c r="BY5" s="7"/>
      <c r="BZ5" s="7"/>
      <c r="CA5" s="7"/>
      <c r="CB5" s="7"/>
      <c r="CC5" s="7"/>
      <c r="CD5" s="7"/>
      <c r="CE5" s="7"/>
      <c r="CH5" s="8" t="s">
        <v>5</v>
      </c>
      <c r="CI5" s="8" t="s">
        <v>6</v>
      </c>
      <c r="CJ5" s="8" t="s">
        <v>6</v>
      </c>
      <c r="CK5" s="8" t="s">
        <v>6</v>
      </c>
    </row>
    <row r="6" customFormat="false" ht="15" hidden="false" customHeight="true" outlineLevel="0" collapsed="false">
      <c r="B6" s="9" t="s">
        <v>7</v>
      </c>
      <c r="C6" s="10" t="n">
        <v>2006</v>
      </c>
      <c r="D6" s="10" t="n">
        <v>2007</v>
      </c>
      <c r="E6" s="10" t="n">
        <v>2008</v>
      </c>
      <c r="F6" s="10" t="n">
        <v>2009</v>
      </c>
      <c r="G6" s="10" t="n">
        <v>2010</v>
      </c>
      <c r="H6" s="10" t="n">
        <v>2011</v>
      </c>
      <c r="I6" s="10" t="n">
        <v>2012</v>
      </c>
      <c r="J6" s="10" t="s">
        <v>8</v>
      </c>
      <c r="K6" s="10" t="s">
        <v>9</v>
      </c>
      <c r="L6" s="10" t="s">
        <v>10</v>
      </c>
      <c r="M6" s="10" t="s">
        <v>11</v>
      </c>
      <c r="N6" s="10" t="n">
        <v>2013</v>
      </c>
      <c r="O6" s="10" t="s">
        <v>12</v>
      </c>
      <c r="P6" s="10" t="s">
        <v>13</v>
      </c>
      <c r="Q6" s="10" t="s">
        <v>14</v>
      </c>
      <c r="R6" s="10" t="s">
        <v>15</v>
      </c>
      <c r="S6" s="10" t="n">
        <v>2014</v>
      </c>
      <c r="T6" s="10" t="s">
        <v>16</v>
      </c>
      <c r="U6" s="10" t="s">
        <v>17</v>
      </c>
      <c r="V6" s="10" t="s">
        <v>18</v>
      </c>
      <c r="W6" s="10" t="s">
        <v>19</v>
      </c>
      <c r="X6" s="10" t="n">
        <v>2015</v>
      </c>
      <c r="Y6" s="10" t="s">
        <v>20</v>
      </c>
      <c r="Z6" s="10" t="s">
        <v>21</v>
      </c>
      <c r="AA6" s="10" t="s">
        <v>22</v>
      </c>
      <c r="AB6" s="10" t="s">
        <v>23</v>
      </c>
      <c r="AC6" s="10" t="n">
        <v>2016</v>
      </c>
      <c r="AD6" s="10" t="s">
        <v>24</v>
      </c>
      <c r="AE6" s="10" t="s">
        <v>25</v>
      </c>
      <c r="AF6" s="10" t="s">
        <v>26</v>
      </c>
      <c r="AG6" s="10" t="s">
        <v>27</v>
      </c>
      <c r="AH6" s="10" t="n">
        <v>2017</v>
      </c>
      <c r="AI6" s="10" t="s">
        <v>28</v>
      </c>
      <c r="AJ6" s="10" t="s">
        <v>29</v>
      </c>
      <c r="AK6" s="10" t="s">
        <v>30</v>
      </c>
      <c r="AL6" s="10" t="s">
        <v>31</v>
      </c>
      <c r="AM6" s="10" t="n">
        <v>2018</v>
      </c>
      <c r="AN6" s="10" t="s">
        <v>32</v>
      </c>
      <c r="AO6" s="10" t="s">
        <v>33</v>
      </c>
      <c r="AP6" s="10" t="s">
        <v>34</v>
      </c>
      <c r="AQ6" s="10" t="s">
        <v>35</v>
      </c>
      <c r="AR6" s="10" t="n">
        <v>2019</v>
      </c>
      <c r="AS6" s="10" t="s">
        <v>36</v>
      </c>
      <c r="AT6" s="10" t="s">
        <v>37</v>
      </c>
      <c r="AU6" s="10" t="s">
        <v>38</v>
      </c>
      <c r="AV6" s="10" t="s">
        <v>39</v>
      </c>
      <c r="AW6" s="10" t="n">
        <v>2020</v>
      </c>
      <c r="AX6" s="10" t="s">
        <v>40</v>
      </c>
      <c r="AY6" s="10" t="s">
        <v>41</v>
      </c>
      <c r="AZ6" s="10" t="s">
        <v>42</v>
      </c>
      <c r="BA6" s="10" t="s">
        <v>43</v>
      </c>
      <c r="BB6" s="10" t="n">
        <v>2021</v>
      </c>
      <c r="BC6" s="10" t="s">
        <v>44</v>
      </c>
      <c r="BD6" s="10" t="s">
        <v>45</v>
      </c>
      <c r="BE6" s="10" t="s">
        <v>46</v>
      </c>
      <c r="BF6" s="10" t="s">
        <v>47</v>
      </c>
      <c r="BG6" s="10" t="n">
        <v>2022</v>
      </c>
      <c r="BH6" s="10" t="s">
        <v>48</v>
      </c>
      <c r="BI6" s="10" t="s">
        <v>49</v>
      </c>
      <c r="BJ6" s="10" t="s">
        <v>50</v>
      </c>
      <c r="BK6" s="10" t="s">
        <v>51</v>
      </c>
      <c r="BL6" s="10" t="n">
        <v>2023</v>
      </c>
      <c r="BM6" s="10" t="s">
        <v>52</v>
      </c>
      <c r="BN6" s="10" t="s">
        <v>53</v>
      </c>
      <c r="BO6" s="10" t="s">
        <v>54</v>
      </c>
      <c r="BP6" s="10" t="s">
        <v>55</v>
      </c>
      <c r="BQ6" s="10" t="n">
        <v>2024</v>
      </c>
      <c r="BR6" s="10" t="s">
        <v>56</v>
      </c>
      <c r="BS6" s="10" t="s">
        <v>57</v>
      </c>
      <c r="BT6" s="10" t="s">
        <v>58</v>
      </c>
      <c r="BU6" s="10" t="s">
        <v>59</v>
      </c>
      <c r="BV6" s="10" t="n">
        <v>2025</v>
      </c>
      <c r="BW6" s="10" t="s">
        <v>60</v>
      </c>
      <c r="BX6" s="10" t="s">
        <v>61</v>
      </c>
      <c r="BY6" s="10" t="s">
        <v>62</v>
      </c>
      <c r="BZ6" s="10" t="s">
        <v>63</v>
      </c>
      <c r="CA6" s="10" t="s">
        <v>64</v>
      </c>
      <c r="CB6" s="10" t="s">
        <v>65</v>
      </c>
      <c r="CC6" s="10" t="s">
        <v>66</v>
      </c>
      <c r="CD6" s="10" t="s">
        <v>67</v>
      </c>
      <c r="CE6" s="10" t="s">
        <v>68</v>
      </c>
      <c r="CF6" s="10" t="s">
        <v>69</v>
      </c>
      <c r="CH6" s="8" t="s">
        <v>70</v>
      </c>
      <c r="CI6" s="8" t="s">
        <v>70</v>
      </c>
      <c r="CJ6" s="8" t="s">
        <v>71</v>
      </c>
      <c r="CK6" s="8" t="s">
        <v>72</v>
      </c>
    </row>
    <row r="7" customFormat="false" ht="15" hidden="false" customHeight="true" outlineLevel="0" collapsed="false">
      <c r="CH7" s="11" t="s">
        <v>73</v>
      </c>
      <c r="CI7" s="11" t="s">
        <v>74</v>
      </c>
      <c r="CJ7" s="11" t="s">
        <v>75</v>
      </c>
      <c r="CK7" s="11" t="s">
        <v>76</v>
      </c>
    </row>
    <row r="8" customFormat="false" ht="15" hidden="false" customHeight="true" outlineLevel="0" collapsed="false">
      <c r="B8" s="12" t="s">
        <v>77</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t="s">
        <v>78</v>
      </c>
    </row>
    <row r="9" customFormat="false" ht="15" hidden="false" customHeight="true" outlineLevel="0" collapsed="false">
      <c r="CN9" s="13" t="s">
        <v>79</v>
      </c>
      <c r="CO9" s="14" t="s">
        <v>80</v>
      </c>
      <c r="CP9" s="14" t="s">
        <v>2</v>
      </c>
      <c r="CQ9" s="14" t="s">
        <v>81</v>
      </c>
      <c r="CR9" s="15" t="s">
        <v>82</v>
      </c>
    </row>
    <row r="10" customFormat="false" ht="15" hidden="false" customHeight="true" outlineLevel="0" collapsed="false">
      <c r="B10" s="16" t="s">
        <v>83</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7" t="s">
        <v>84</v>
      </c>
    </row>
    <row r="11" customFormat="false" ht="15" hidden="false" customHeight="true" outlineLevel="0" collapsed="false">
      <c r="B11" s="18" t="s">
        <v>85</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20" t="n">
        <v>8570</v>
      </c>
      <c r="BC11" s="19"/>
      <c r="BD11" s="19"/>
      <c r="BE11" s="19"/>
      <c r="BF11" s="20" t="n">
        <v>2223</v>
      </c>
      <c r="BG11" s="20" t="n">
        <v>8758</v>
      </c>
      <c r="BH11" s="20" t="n">
        <v>1864</v>
      </c>
      <c r="BI11" s="20" t="n">
        <v>1885</v>
      </c>
      <c r="BJ11" s="20" t="n">
        <v>1664</v>
      </c>
      <c r="BK11" s="20" t="n">
        <v>1759</v>
      </c>
      <c r="BL11" s="20" t="n">
        <v>7172</v>
      </c>
      <c r="BM11" s="20" t="n">
        <v>1524</v>
      </c>
      <c r="BN11" s="20" t="n">
        <v>1713</v>
      </c>
      <c r="BO11" s="20" t="n">
        <v>1653</v>
      </c>
      <c r="BP11" s="20" t="n">
        <v>1869</v>
      </c>
      <c r="BQ11" s="20" t="n">
        <v>6759</v>
      </c>
      <c r="BR11" s="20" t="n">
        <v>1612</v>
      </c>
      <c r="BS11" s="20" t="n">
        <v>1850</v>
      </c>
      <c r="BT11" s="20" t="n">
        <v>1798</v>
      </c>
      <c r="BU11" s="20" t="n">
        <v>2033</v>
      </c>
      <c r="BV11" s="20" t="n">
        <v>7293</v>
      </c>
      <c r="BW11" s="20" t="n">
        <v>1797</v>
      </c>
      <c r="BX11" s="20" t="n">
        <v>1920</v>
      </c>
      <c r="BY11" s="21" t="n">
        <f aca="false">BT11*(1+BY13+BY16)</f>
        <v>1891.17143666124</v>
      </c>
      <c r="BZ11" s="21" t="n">
        <f aca="false">BU11*(1+BZ13+BZ16)</f>
        <v>2185.10801598014</v>
      </c>
      <c r="CA11" s="21" t="n">
        <f aca="false">SUM(BW11,BX11,BY11,BZ11)</f>
        <v>7793.27945264138</v>
      </c>
      <c r="CB11" s="21" t="n">
        <f aca="false">CA11*(1+CB13)</f>
        <v>8338.80901432627</v>
      </c>
      <c r="CC11" s="21" t="n">
        <f aca="false">CB11*(1+CC13)</f>
        <v>8964.21969040075</v>
      </c>
      <c r="CD11" s="21" t="n">
        <f aca="false">CC11*(1+CD13)</f>
        <v>9636.5361671808</v>
      </c>
      <c r="CE11" s="21" t="n">
        <f aca="false">CD11*(1+CE13)</f>
        <v>10359.2763797194</v>
      </c>
      <c r="CF11" s="7" t="s">
        <v>86</v>
      </c>
      <c r="CH11" s="22" t="n">
        <f aca="false">IFERROR((CE11/BV11)^(1/5)-1,"n/m")</f>
        <v>0.0727157108290732</v>
      </c>
      <c r="CI11" s="22" t="str">
        <f aca="false">IFERROR((BV11/AW11)^(1/5)-1,"n/m")</f>
        <v>n/m</v>
      </c>
      <c r="CJ11" s="22" t="str">
        <f aca="false">IFERROR((BV11/X11)^(1/10)-1,"n/m")</f>
        <v>n/m</v>
      </c>
      <c r="CK11" s="22" t="str">
        <f aca="false">IFERROR((BV11/C11)^(1/19)-1,"n/m")</f>
        <v>n/m</v>
      </c>
      <c r="CN11" s="17" t="s">
        <v>87</v>
      </c>
      <c r="CO11" s="23" t="s">
        <v>88</v>
      </c>
      <c r="CP11" s="23" t="s">
        <v>89</v>
      </c>
      <c r="CQ11" s="23" t="s">
        <v>90</v>
      </c>
      <c r="CR11" s="15" t="s">
        <v>91</v>
      </c>
    </row>
    <row r="12" customFormat="false" ht="15" hidden="false" customHeight="true" outlineLevel="0" collapsed="false">
      <c r="B12" s="24" t="s">
        <v>92</v>
      </c>
      <c r="D12" s="25" t="str">
        <f aca="false">IF(AND(ISNUMBER(D11),ISNUMBER(C11)),IFERROR(D11/C11-1,""),"")</f>
        <v/>
      </c>
      <c r="E12" s="25" t="str">
        <f aca="false">IF(AND(ISNUMBER(E11),ISNUMBER(D11)),IFERROR(E11/D11-1,""),"")</f>
        <v/>
      </c>
      <c r="F12" s="25" t="str">
        <f aca="false">IF(AND(ISNUMBER(F11),ISNUMBER(E11)),IFERROR(F11/E11-1,""),"")</f>
        <v/>
      </c>
      <c r="G12" s="25" t="str">
        <f aca="false">IF(AND(ISNUMBER(G11),ISNUMBER(F11)),IFERROR(G11/F11-1,""),"")</f>
        <v/>
      </c>
      <c r="H12" s="25" t="str">
        <f aca="false">IF(AND(ISNUMBER(H11),ISNUMBER(G11)),IFERROR(H11/G11-1,""),"")</f>
        <v/>
      </c>
      <c r="I12" s="25" t="str">
        <f aca="false">IF(AND(ISNUMBER(I11),ISNUMBER(H11)),IFERROR(I11/H11-1,""),"")</f>
        <v/>
      </c>
      <c r="N12" s="25" t="str">
        <f aca="false">IF(AND(ISNUMBER(N11),ISNUMBER(I11)),IFERROR(N11/I11-1,""),"")</f>
        <v/>
      </c>
      <c r="O12" s="25" t="str">
        <f aca="false">IF(AND(ISNUMBER(O11),ISNUMBER(J11)),IFERROR(O11/J11-1,""),"")</f>
        <v/>
      </c>
      <c r="P12" s="25" t="str">
        <f aca="false">IF(AND(ISNUMBER(P11),ISNUMBER(K11)),IFERROR(P11/K11-1,""),"")</f>
        <v/>
      </c>
      <c r="Q12" s="25" t="str">
        <f aca="false">IF(AND(ISNUMBER(Q11),ISNUMBER(L11)),IFERROR(Q11/L11-1,""),"")</f>
        <v/>
      </c>
      <c r="R12" s="25" t="str">
        <f aca="false">IF(AND(ISNUMBER(R11),ISNUMBER(M11)),IFERROR(R11/M11-1,""),"")</f>
        <v/>
      </c>
      <c r="S12" s="25" t="str">
        <f aca="false">IF(AND(ISNUMBER(S11),ISNUMBER(N11)),IFERROR(S11/N11-1,""),"")</f>
        <v/>
      </c>
      <c r="T12" s="25" t="str">
        <f aca="false">IF(AND(ISNUMBER(T11),ISNUMBER(O11)),IFERROR(T11/O11-1,""),"")</f>
        <v/>
      </c>
      <c r="U12" s="25" t="str">
        <f aca="false">IF(AND(ISNUMBER(U11),ISNUMBER(P11)),IFERROR(U11/P11-1,""),"")</f>
        <v/>
      </c>
      <c r="V12" s="25" t="str">
        <f aca="false">IF(AND(ISNUMBER(V11),ISNUMBER(Q11)),IFERROR(V11/Q11-1,""),"")</f>
        <v/>
      </c>
      <c r="W12" s="25" t="str">
        <f aca="false">IF(AND(ISNUMBER(W11),ISNUMBER(R11)),IFERROR(W11/R11-1,""),"")</f>
        <v/>
      </c>
      <c r="X12" s="25" t="str">
        <f aca="false">IF(AND(ISNUMBER(X11),ISNUMBER(S11)),IFERROR(X11/S11-1,""),"")</f>
        <v/>
      </c>
      <c r="Y12" s="25" t="str">
        <f aca="false">IF(AND(ISNUMBER(Y11),ISNUMBER(T11)),IFERROR(Y11/T11-1,""),"")</f>
        <v/>
      </c>
      <c r="Z12" s="25" t="str">
        <f aca="false">IF(AND(ISNUMBER(Z11),ISNUMBER(U11)),IFERROR(Z11/U11-1,""),"")</f>
        <v/>
      </c>
      <c r="AA12" s="25" t="str">
        <f aca="false">IF(AND(ISNUMBER(AA11),ISNUMBER(V11)),IFERROR(AA11/V11-1,""),"")</f>
        <v/>
      </c>
      <c r="AB12" s="25" t="str">
        <f aca="false">IF(AND(ISNUMBER(AB11),ISNUMBER(W11)),IFERROR(AB11/W11-1,""),"")</f>
        <v/>
      </c>
      <c r="AC12" s="25" t="str">
        <f aca="false">IF(AND(ISNUMBER(AC11),ISNUMBER(X11)),IFERROR(AC11/X11-1,""),"")</f>
        <v/>
      </c>
      <c r="AD12" s="25" t="str">
        <f aca="false">IF(AND(ISNUMBER(AD11),ISNUMBER(Y11)),IFERROR(AD11/Y11-1,""),"")</f>
        <v/>
      </c>
      <c r="AE12" s="25" t="str">
        <f aca="false">IF(AND(ISNUMBER(AE11),ISNUMBER(Z11)),IFERROR(AE11/Z11-1,""),"")</f>
        <v/>
      </c>
      <c r="AF12" s="25" t="str">
        <f aca="false">IF(AND(ISNUMBER(AF11),ISNUMBER(AA11)),IFERROR(AF11/AA11-1,""),"")</f>
        <v/>
      </c>
      <c r="AG12" s="25" t="str">
        <f aca="false">IF(AND(ISNUMBER(AG11),ISNUMBER(AB11)),IFERROR(AG11/AB11-1,""),"")</f>
        <v/>
      </c>
      <c r="AH12" s="25" t="str">
        <f aca="false">IF(AND(ISNUMBER(AH11),ISNUMBER(AC11)),IFERROR(AH11/AC11-1,""),"")</f>
        <v/>
      </c>
      <c r="AI12" s="25" t="str">
        <f aca="false">IF(AND(ISNUMBER(AI11),ISNUMBER(AD11)),IFERROR(AI11/AD11-1,""),"")</f>
        <v/>
      </c>
      <c r="AJ12" s="25" t="str">
        <f aca="false">IF(AND(ISNUMBER(AJ11),ISNUMBER(AE11)),IFERROR(AJ11/AE11-1,""),"")</f>
        <v/>
      </c>
      <c r="AK12" s="25" t="str">
        <f aca="false">IF(AND(ISNUMBER(AK11),ISNUMBER(AF11)),IFERROR(AK11/AF11-1,""),"")</f>
        <v/>
      </c>
      <c r="AL12" s="25" t="str">
        <f aca="false">IF(AND(ISNUMBER(AL11),ISNUMBER(AG11)),IFERROR(AL11/AG11-1,""),"")</f>
        <v/>
      </c>
      <c r="AM12" s="25" t="str">
        <f aca="false">IF(AND(ISNUMBER(AM11),ISNUMBER(AH11)),IFERROR(AM11/AH11-1,""),"")</f>
        <v/>
      </c>
      <c r="AN12" s="25" t="str">
        <f aca="false">IF(AND(ISNUMBER(AN11),ISNUMBER(AI11)),IFERROR(AN11/AI11-1,""),"")</f>
        <v/>
      </c>
      <c r="AO12" s="25" t="str">
        <f aca="false">IF(AND(ISNUMBER(AO11),ISNUMBER(AJ11)),IFERROR(AO11/AJ11-1,""),"")</f>
        <v/>
      </c>
      <c r="AP12" s="25" t="str">
        <f aca="false">IF(AND(ISNUMBER(AP11),ISNUMBER(AK11)),IFERROR(AP11/AK11-1,""),"")</f>
        <v/>
      </c>
      <c r="AQ12" s="25" t="str">
        <f aca="false">IF(AND(ISNUMBER(AQ11),ISNUMBER(AL11)),IFERROR(AQ11/AL11-1,""),"")</f>
        <v/>
      </c>
      <c r="AR12" s="25" t="str">
        <f aca="false">IF(AND(ISNUMBER(AR11),ISNUMBER(AM11)),IFERROR(AR11/AM11-1,""),"")</f>
        <v/>
      </c>
      <c r="AS12" s="25" t="str">
        <f aca="false">IF(AND(ISNUMBER(AS11),ISNUMBER(AN11)),IFERROR(AS11/AN11-1,""),"")</f>
        <v/>
      </c>
      <c r="AT12" s="25" t="str">
        <f aca="false">IF(AND(ISNUMBER(AT11),ISNUMBER(AO11)),IFERROR(AT11/AO11-1,""),"")</f>
        <v/>
      </c>
      <c r="AU12" s="25" t="str">
        <f aca="false">IF(AND(ISNUMBER(AU11),ISNUMBER(AP11)),IFERROR(AU11/AP11-1,""),"")</f>
        <v/>
      </c>
      <c r="AV12" s="25" t="str">
        <f aca="false">IF(AND(ISNUMBER(AV11),ISNUMBER(AQ11)),IFERROR(AV11/AQ11-1,""),"")</f>
        <v/>
      </c>
      <c r="AW12" s="25" t="str">
        <f aca="false">IF(AND(ISNUMBER(AW11),ISNUMBER(AR11)),IFERROR(AW11/AR11-1,""),"")</f>
        <v/>
      </c>
      <c r="AX12" s="25" t="str">
        <f aca="false">IF(AND(ISNUMBER(AX11),ISNUMBER(AS11)),IFERROR(AX11/AS11-1,""),"")</f>
        <v/>
      </c>
      <c r="AY12" s="25" t="str">
        <f aca="false">IF(AND(ISNUMBER(AY11),ISNUMBER(AT11)),IFERROR(AY11/AT11-1,""),"")</f>
        <v/>
      </c>
      <c r="AZ12" s="25" t="str">
        <f aca="false">IF(AND(ISNUMBER(AZ11),ISNUMBER(AU11)),IFERROR(AZ11/AU11-1,""),"")</f>
        <v/>
      </c>
      <c r="BA12" s="25" t="str">
        <f aca="false">IF(AND(ISNUMBER(BA11),ISNUMBER(AV11)),IFERROR(BA11/AV11-1,""),"")</f>
        <v/>
      </c>
      <c r="BB12" s="25" t="str">
        <f aca="false">IF(AND(ISNUMBER(BB11),ISNUMBER(AW11)),IFERROR(BB11/AW11-1,""),"")</f>
        <v/>
      </c>
      <c r="BC12" s="25" t="str">
        <f aca="false">IF(AND(ISNUMBER(BC11),ISNUMBER(AX11)),IFERROR(BC11/AX11-1,""),"")</f>
        <v/>
      </c>
      <c r="BD12" s="25" t="str">
        <f aca="false">IF(AND(ISNUMBER(BD11),ISNUMBER(AY11)),IFERROR(BD11/AY11-1,""),"")</f>
        <v/>
      </c>
      <c r="BE12" s="25" t="str">
        <f aca="false">IF(AND(ISNUMBER(BE11),ISNUMBER(AZ11)),IFERROR(BE11/AZ11-1,""),"")</f>
        <v/>
      </c>
      <c r="BF12" s="25" t="str">
        <f aca="false">IF(AND(ISNUMBER(BF11),ISNUMBER(BA11)),IFERROR(BF11/BA11-1,""),"")</f>
        <v/>
      </c>
      <c r="BG12" s="25" t="n">
        <f aca="false">IF(AND(ISNUMBER(BG11),ISNUMBER(BB11)),IFERROR(BG11/BB11-1,""),"")</f>
        <v>0.0219369894982497</v>
      </c>
      <c r="BH12" s="25" t="str">
        <f aca="false">IF(AND(ISNUMBER(BH11),ISNUMBER(BC11)),IFERROR(BH11/BC11-1,""),"")</f>
        <v/>
      </c>
      <c r="BI12" s="25" t="str">
        <f aca="false">IF(AND(ISNUMBER(BI11),ISNUMBER(BD11)),IFERROR(BI11/BD11-1,""),"")</f>
        <v/>
      </c>
      <c r="BJ12" s="25" t="str">
        <f aca="false">IF(AND(ISNUMBER(BJ11),ISNUMBER(BE11)),IFERROR(BJ11/BE11-1,""),"")</f>
        <v/>
      </c>
      <c r="BK12" s="25" t="n">
        <f aca="false">IF(AND(ISNUMBER(BK11),ISNUMBER(BF11)),IFERROR(BK11/BF11-1,""),"")</f>
        <v>-0.208726945569051</v>
      </c>
      <c r="BL12" s="25" t="n">
        <f aca="false">IF(AND(ISNUMBER(BL11),ISNUMBER(BG11)),IFERROR(BL11/BG11-1,""),"")</f>
        <v>-0.181091573418589</v>
      </c>
      <c r="BM12" s="25" t="n">
        <f aca="false">IF(AND(ISNUMBER(BM11),ISNUMBER(BH11)),IFERROR(BM11/BH11-1,""),"")</f>
        <v>-0.182403433476395</v>
      </c>
      <c r="BN12" s="25" t="n">
        <f aca="false">IF(AND(ISNUMBER(BN11),ISNUMBER(BI11)),IFERROR(BN11/BI11-1,""),"")</f>
        <v>-0.0912466843501326</v>
      </c>
      <c r="BO12" s="25" t="n">
        <f aca="false">IF(AND(ISNUMBER(BO11),ISNUMBER(BJ11)),IFERROR(BO11/BJ11-1,""),"")</f>
        <v>-0.00661057692307687</v>
      </c>
      <c r="BP12" s="25" t="n">
        <f aca="false">IF(AND(ISNUMBER(BP11),ISNUMBER(BK11)),IFERROR(BP11/BK11-1,""),"")</f>
        <v>0.0625355315520182</v>
      </c>
      <c r="BQ12" s="25" t="n">
        <f aca="false">IF(AND(ISNUMBER(BQ11),ISNUMBER(BL11)),IFERROR(BQ11/BL11-1,""),"")</f>
        <v>-0.057585052983826</v>
      </c>
      <c r="BR12" s="25" t="n">
        <f aca="false">IF(AND(ISNUMBER(BR11),ISNUMBER(BM11)),IFERROR(BR11/BM11-1,""),"")</f>
        <v>0.0577427821522309</v>
      </c>
      <c r="BS12" s="25" t="n">
        <f aca="false">IF(AND(ISNUMBER(BS11),ISNUMBER(BN11)),IFERROR(BS11/BN11-1,""),"")</f>
        <v>0.0799766491535319</v>
      </c>
      <c r="BT12" s="25" t="n">
        <f aca="false">IF(AND(ISNUMBER(BT11),ISNUMBER(BO11)),IFERROR(BT11/BO11-1,""),"")</f>
        <v>0.0877192982456141</v>
      </c>
      <c r="BU12" s="25" t="n">
        <f aca="false">IF(AND(ISNUMBER(BU11),ISNUMBER(BP11)),IFERROR(BU11/BP11-1,""),"")</f>
        <v>0.0877474585339755</v>
      </c>
      <c r="BV12" s="25" t="n">
        <f aca="false">IF(AND(ISNUMBER(BV11),ISNUMBER(BQ11)),IFERROR(BV11/BQ11-1,""),"")</f>
        <v>0.0790057700843321</v>
      </c>
      <c r="BW12" s="25" t="n">
        <f aca="false">IF(AND(ISNUMBER(BW11),ISNUMBER(BR11)),IFERROR(BW11/BR11-1,""),"")</f>
        <v>0.114764267990074</v>
      </c>
      <c r="BX12" s="25" t="n">
        <f aca="false">IF(AND(ISNUMBER(BX11),ISNUMBER(BS11)),IFERROR(BX11/BS11-1,""),"")</f>
        <v>0.0378378378378379</v>
      </c>
      <c r="BY12" s="26" t="n">
        <f aca="false">IF(AND(ISNUMBER(BY11),ISNUMBER(BT11)),IFERROR(BY11/BT11-1,""),"")</f>
        <v>0.0518194864634241</v>
      </c>
      <c r="BZ12" s="26" t="n">
        <f aca="false">IF(AND(ISNUMBER(BZ11),ISNUMBER(BU11)),IFERROR(BZ11/BU11-1,""),"")</f>
        <v>0.0748194864634242</v>
      </c>
      <c r="CA12" s="26" t="n">
        <f aca="false">IF(AND(ISNUMBER(CA11),ISNUMBER(BV11)),IFERROR(CA11/BV11-1,""),"")</f>
        <v>0.0685972100152719</v>
      </c>
      <c r="CB12" s="26" t="n">
        <f aca="false">IF(AND(ISNUMBER(CB11),ISNUMBER(CA11)),IFERROR(CB11/CA11-1,""),"")</f>
        <v>0.0700000000000001</v>
      </c>
      <c r="CC12" s="26" t="n">
        <f aca="false">IF(AND(ISNUMBER(CC11),ISNUMBER(CB11)),IFERROR(CC11/CB11-1,""),"")</f>
        <v>0.075</v>
      </c>
      <c r="CD12" s="26" t="n">
        <f aca="false">IF(AND(ISNUMBER(CD11),ISNUMBER(CC11)),IFERROR(CD11/CC11-1,""),"")</f>
        <v>0.075</v>
      </c>
      <c r="CE12" s="26" t="n">
        <f aca="false">IF(AND(ISNUMBER(CE11),ISNUMBER(CD11)),IFERROR(CE11/CD11-1,""),"")</f>
        <v>0.075</v>
      </c>
      <c r="CF12" s="7"/>
      <c r="CN12" s="27" t="s">
        <v>93</v>
      </c>
      <c r="CO12" s="28" t="n">
        <v>0.04</v>
      </c>
      <c r="CP12" s="28" t="n">
        <v>0.035</v>
      </c>
      <c r="CQ12" s="28" t="n">
        <v>0.03</v>
      </c>
      <c r="CR12" s="15" t="s">
        <v>94</v>
      </c>
    </row>
    <row r="13" customFormat="false" ht="15" hidden="false" customHeight="true" outlineLevel="0" collapsed="false">
      <c r="B13" s="24" t="s">
        <v>95</v>
      </c>
      <c r="D13" s="29"/>
      <c r="E13" s="29"/>
      <c r="F13" s="29"/>
      <c r="G13" s="29"/>
      <c r="H13" s="29"/>
      <c r="I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30" t="n">
        <v>0.04</v>
      </c>
      <c r="BG13" s="30" t="n">
        <v>0.06</v>
      </c>
      <c r="BH13" s="30" t="n">
        <v>-0.13</v>
      </c>
      <c r="BI13" s="30" t="n">
        <v>-0.165</v>
      </c>
      <c r="BJ13" s="30" t="n">
        <v>-0.21</v>
      </c>
      <c r="BK13" s="30" t="n">
        <v>-0.225</v>
      </c>
      <c r="BL13" s="30" t="n">
        <v>-0.18</v>
      </c>
      <c r="BM13" s="30" t="n">
        <v>-0.17</v>
      </c>
      <c r="BN13" s="30" t="n">
        <v>-0.07</v>
      </c>
      <c r="BO13" s="30" t="n">
        <v>0</v>
      </c>
      <c r="BP13" s="30" t="n">
        <v>0.08</v>
      </c>
      <c r="BQ13" s="30" t="n">
        <v>-0.045</v>
      </c>
      <c r="BR13" s="30" t="n">
        <v>0.07</v>
      </c>
      <c r="BS13" s="30" t="n">
        <v>0.06</v>
      </c>
      <c r="BT13" s="30" t="n">
        <v>0.065</v>
      </c>
      <c r="BU13" s="30" t="n">
        <v>0.06</v>
      </c>
      <c r="BV13" s="30" t="n">
        <v>0.065</v>
      </c>
      <c r="BW13" s="30" t="n">
        <v>0.07</v>
      </c>
      <c r="BX13" s="30" t="n">
        <v>0.025</v>
      </c>
      <c r="BY13" s="26" t="n">
        <f aca="false">BY14+$BY$128</f>
        <v>0.0618194864634241</v>
      </c>
      <c r="BZ13" s="26" t="n">
        <f aca="false">BZ14+$BY$128</f>
        <v>0.0818194864634241</v>
      </c>
      <c r="CA13" s="31"/>
      <c r="CB13" s="26" t="n">
        <f aca="false">CHOOSE(MATCH($CF$2,{"Bull","Base","Bear"},0),$CO$33,$CP$33,$CQ$33)</f>
        <v>0.07</v>
      </c>
      <c r="CC13" s="26" t="n">
        <f aca="false">CHOOSE(MATCH($CF$2,{"Bull","Base","Bear"},0),$CO$34,$CP$34,$CQ$34)</f>
        <v>0.075</v>
      </c>
      <c r="CD13" s="26" t="n">
        <f aca="false">CHOOSE(MATCH($CF$2,{"Bull","Base","Bear"},0),$CO$35,$CP$35,$CQ$35)</f>
        <v>0.075</v>
      </c>
      <c r="CE13" s="26" t="n">
        <f aca="false">CHOOSE(MATCH($CF$2,{"Bull","Base","Bear"},0),$CO$36,$CP$36,$CQ$36)</f>
        <v>0.075</v>
      </c>
      <c r="CF13" s="7" t="s">
        <v>96</v>
      </c>
      <c r="CH13" s="32" t="n">
        <f aca="false">IFERROR(AVERAGE(CA13,CB13,CC13,CD13,CE13),"n/m")</f>
        <v>0.07375</v>
      </c>
      <c r="CI13" s="32" t="n">
        <f aca="false">IFERROR(AVERAGE(BB13,BG13,BL13,BQ13,BV13),"n/m")</f>
        <v>-0.025</v>
      </c>
      <c r="CJ13" s="32" t="n">
        <f aca="false">IFERROR(AVERAGE(AC13,AH13,AM13,AR13,AW13,BB13,BG13,BL13,BQ13,BV13),"n/m")</f>
        <v>-0.025</v>
      </c>
      <c r="CK13" s="32" t="n">
        <f aca="false">IFERROR(AVERAGE(C13,D13,E13,F13,G13,H13,I13,N13,S13,X13,AC13,AH13,AM13,AR13,AW13,BB13,BG13,BL13,BQ13,BV13),"n/m")</f>
        <v>-0.025</v>
      </c>
      <c r="CN13" s="27" t="s">
        <v>97</v>
      </c>
      <c r="CO13" s="33" t="n">
        <v>8.6</v>
      </c>
      <c r="CP13" s="33" t="n">
        <v>8.525</v>
      </c>
      <c r="CQ13" s="33" t="n">
        <v>8.45</v>
      </c>
      <c r="CR13" s="15" t="s">
        <v>98</v>
      </c>
    </row>
    <row r="14" customFormat="false" ht="15" hidden="false" customHeight="true" outlineLevel="0" collapsed="false">
      <c r="B14" s="27" t="s">
        <v>99</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5" t="n">
        <v>0.05</v>
      </c>
      <c r="BZ14" s="35" t="n">
        <v>0.07</v>
      </c>
      <c r="CA14" s="31"/>
      <c r="CB14" s="36"/>
      <c r="CC14" s="36"/>
      <c r="CD14" s="36"/>
      <c r="CE14" s="36"/>
      <c r="CF14" s="37" t="s">
        <v>100</v>
      </c>
      <c r="CN14" s="27" t="s">
        <v>101</v>
      </c>
      <c r="CO14" s="38" t="n">
        <v>1000</v>
      </c>
      <c r="CP14" s="38" t="n">
        <v>500</v>
      </c>
      <c r="CQ14" s="38" t="n">
        <v>0</v>
      </c>
      <c r="CR14" s="15" t="s">
        <v>102</v>
      </c>
    </row>
    <row r="15" customFormat="false" ht="15" hidden="false" customHeight="true" outlineLevel="0" collapsed="false">
      <c r="B15" s="24" t="s">
        <v>103</v>
      </c>
      <c r="D15" s="29"/>
      <c r="E15" s="29"/>
      <c r="F15" s="29"/>
      <c r="G15" s="29"/>
      <c r="H15" s="29"/>
      <c r="I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30" t="n">
        <v>0</v>
      </c>
      <c r="BG15" s="30" t="n">
        <v>0.005</v>
      </c>
      <c r="BH15" s="30" t="n">
        <v>0</v>
      </c>
      <c r="BI15" s="30" t="n">
        <v>0</v>
      </c>
      <c r="BJ15" s="30" t="n">
        <v>0.005</v>
      </c>
      <c r="BK15" s="30" t="n">
        <v>0</v>
      </c>
      <c r="BL15" s="30" t="n">
        <v>0</v>
      </c>
      <c r="BM15" s="30" t="n">
        <v>0</v>
      </c>
      <c r="BN15" s="30" t="n">
        <v>0</v>
      </c>
      <c r="BO15" s="30" t="n">
        <v>0</v>
      </c>
      <c r="BP15" s="30" t="n">
        <v>0</v>
      </c>
      <c r="BQ15" s="30" t="n">
        <v>0</v>
      </c>
      <c r="BR15" s="30" t="n">
        <v>0</v>
      </c>
      <c r="BS15" s="30" t="n">
        <v>0</v>
      </c>
      <c r="BT15" s="30" t="n">
        <v>0</v>
      </c>
      <c r="BU15" s="30" t="n">
        <v>0</v>
      </c>
      <c r="BV15" s="30" t="n">
        <v>0</v>
      </c>
      <c r="BW15" s="30" t="n">
        <v>0</v>
      </c>
      <c r="BX15" s="30" t="n">
        <v>0</v>
      </c>
      <c r="BY15" s="31"/>
      <c r="BZ15" s="31"/>
      <c r="CA15" s="31"/>
      <c r="CB15" s="31"/>
      <c r="CC15" s="31"/>
      <c r="CD15" s="31"/>
      <c r="CE15" s="31"/>
      <c r="CF15" s="7"/>
    </row>
    <row r="16" customFormat="false" ht="15" hidden="false" customHeight="true" outlineLevel="0" collapsed="false">
      <c r="B16" s="24" t="s">
        <v>104</v>
      </c>
      <c r="D16" s="29"/>
      <c r="E16" s="29"/>
      <c r="F16" s="29"/>
      <c r="G16" s="29"/>
      <c r="H16" s="29"/>
      <c r="I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30" t="n">
        <v>-0.05</v>
      </c>
      <c r="BG16" s="30" t="n">
        <v>-0.045</v>
      </c>
      <c r="BH16" s="30" t="n">
        <v>-0.03</v>
      </c>
      <c r="BI16" s="30" t="n">
        <v>-0.005</v>
      </c>
      <c r="BJ16" s="30" t="n">
        <v>0.015</v>
      </c>
      <c r="BK16" s="30" t="n">
        <v>0.015</v>
      </c>
      <c r="BL16" s="30" t="n">
        <v>0</v>
      </c>
      <c r="BM16" s="30" t="n">
        <v>-0.01</v>
      </c>
      <c r="BN16" s="30" t="n">
        <v>-0.02</v>
      </c>
      <c r="BO16" s="30" t="n">
        <v>-0.005</v>
      </c>
      <c r="BP16" s="30" t="n">
        <v>-0.015</v>
      </c>
      <c r="BQ16" s="30" t="n">
        <v>-0.015</v>
      </c>
      <c r="BR16" s="30" t="n">
        <v>-0.01</v>
      </c>
      <c r="BS16" s="30" t="n">
        <v>0.02</v>
      </c>
      <c r="BT16" s="30" t="n">
        <v>0.025</v>
      </c>
      <c r="BU16" s="30" t="n">
        <v>0.03</v>
      </c>
      <c r="BV16" s="30" t="n">
        <v>0.015</v>
      </c>
      <c r="BW16" s="30" t="n">
        <v>0.045</v>
      </c>
      <c r="BX16" s="30" t="n">
        <v>0.015</v>
      </c>
      <c r="BY16" s="35" t="n">
        <v>-0.01</v>
      </c>
      <c r="BZ16" s="35" t="n">
        <v>-0.007</v>
      </c>
      <c r="CA16" s="31"/>
      <c r="CB16" s="35" t="n">
        <v>0</v>
      </c>
      <c r="CC16" s="35" t="n">
        <v>0</v>
      </c>
      <c r="CD16" s="35" t="n">
        <v>0</v>
      </c>
      <c r="CE16" s="35" t="n">
        <v>0</v>
      </c>
      <c r="CF16" s="7" t="s">
        <v>105</v>
      </c>
      <c r="CN16" s="17" t="s">
        <v>106</v>
      </c>
      <c r="CO16" s="23"/>
      <c r="CP16" s="23"/>
      <c r="CQ16" s="23"/>
    </row>
    <row r="17" customFormat="false" ht="15" hidden="false" customHeight="true" outlineLevel="0" collapsed="false">
      <c r="B17" s="27" t="s">
        <v>107</v>
      </c>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40" t="n">
        <v>3074</v>
      </c>
      <c r="BC17" s="39"/>
      <c r="BD17" s="39"/>
      <c r="BE17" s="39"/>
      <c r="BF17" s="40" t="n">
        <v>693</v>
      </c>
      <c r="BG17" s="40" t="n">
        <v>3008</v>
      </c>
      <c r="BH17" s="40" t="n">
        <v>596</v>
      </c>
      <c r="BI17" s="40" t="n">
        <v>480</v>
      </c>
      <c r="BJ17" s="40" t="n">
        <v>417</v>
      </c>
      <c r="BK17" s="40" t="n">
        <v>416</v>
      </c>
      <c r="BL17" s="40" t="n">
        <v>1909</v>
      </c>
      <c r="BM17" s="40" t="n">
        <v>325</v>
      </c>
      <c r="BN17" s="40" t="n">
        <v>462</v>
      </c>
      <c r="BO17" s="40" t="n">
        <v>390</v>
      </c>
      <c r="BP17" s="40" t="n">
        <v>508</v>
      </c>
      <c r="BQ17" s="40" t="n">
        <v>1685</v>
      </c>
      <c r="BR17" s="40" t="n">
        <v>441</v>
      </c>
      <c r="BS17" s="40" t="n">
        <v>531</v>
      </c>
      <c r="BT17" s="40" t="n">
        <v>352</v>
      </c>
      <c r="BU17" s="40" t="n">
        <v>540</v>
      </c>
      <c r="BV17" s="40" t="n">
        <v>1864</v>
      </c>
      <c r="BW17" s="40" t="n">
        <v>534</v>
      </c>
      <c r="BX17" s="40" t="n">
        <v>556</v>
      </c>
      <c r="BY17" s="41" t="n">
        <f aca="false">BY22-BY19-BY21</f>
        <v>460.100258781157</v>
      </c>
      <c r="BZ17" s="41" t="n">
        <f aca="false">BZ22-BZ19-BZ21</f>
        <v>656.674196490318</v>
      </c>
      <c r="CA17" s="41" t="n">
        <f aca="false">SUM(BW17,BX17,BY17,BZ17)</f>
        <v>2206.77445527148</v>
      </c>
      <c r="CB17" s="41" t="n">
        <f aca="false">CB22-CB19-CB21</f>
        <v>2454.47938015346</v>
      </c>
      <c r="CC17" s="41" t="n">
        <f aca="false">CC22-CC19-CC21</f>
        <v>2746.33769565488</v>
      </c>
      <c r="CD17" s="41" t="n">
        <f aca="false">CD22-CD19-CD21</f>
        <v>3063.44696720281</v>
      </c>
      <c r="CE17" s="41" t="n">
        <f aca="false">CE22-CE19-CE21</f>
        <v>3512.8719077427</v>
      </c>
      <c r="CF17" s="37"/>
      <c r="CN17" s="27" t="s">
        <v>108</v>
      </c>
      <c r="CP17" s="38" t="n">
        <v>310</v>
      </c>
      <c r="CR17" s="15" t="s">
        <v>109</v>
      </c>
    </row>
    <row r="18" customFormat="false" ht="15" hidden="false" customHeight="true" outlineLevel="0" collapsed="false">
      <c r="B18" s="27" t="s">
        <v>110</v>
      </c>
      <c r="C18" s="42" t="str">
        <f aca="false">IF(AND(ISNUMBER(C17),ISNUMBER(C11)),IFERROR(C17/C11,""),"")</f>
        <v/>
      </c>
      <c r="D18" s="42" t="str">
        <f aca="false">IF(AND(ISNUMBER(D17),ISNUMBER(D11)),IFERROR(D17/D11,""),"")</f>
        <v/>
      </c>
      <c r="E18" s="42" t="str">
        <f aca="false">IF(AND(ISNUMBER(E17),ISNUMBER(E11)),IFERROR(E17/E11,""),"")</f>
        <v/>
      </c>
      <c r="F18" s="42" t="str">
        <f aca="false">IF(AND(ISNUMBER(F17),ISNUMBER(F11)),IFERROR(F17/F11,""),"")</f>
        <v/>
      </c>
      <c r="G18" s="42" t="str">
        <f aca="false">IF(AND(ISNUMBER(G17),ISNUMBER(G11)),IFERROR(G17/G11,""),"")</f>
        <v/>
      </c>
      <c r="H18" s="42" t="str">
        <f aca="false">IF(AND(ISNUMBER(H17),ISNUMBER(H11)),IFERROR(H17/H11,""),"")</f>
        <v/>
      </c>
      <c r="I18" s="42" t="str">
        <f aca="false">IF(AND(ISNUMBER(I17),ISNUMBER(I11)),IFERROR(I17/I11,""),"")</f>
        <v/>
      </c>
      <c r="J18" s="42" t="str">
        <f aca="false">IF(AND(ISNUMBER(J17),ISNUMBER(J11)),IFERROR(J17/J11,""),"")</f>
        <v/>
      </c>
      <c r="K18" s="42" t="str">
        <f aca="false">IF(AND(ISNUMBER(K17),ISNUMBER(K11)),IFERROR(K17/K11,""),"")</f>
        <v/>
      </c>
      <c r="L18" s="42" t="str">
        <f aca="false">IF(AND(ISNUMBER(L17),ISNUMBER(L11)),IFERROR(L17/L11,""),"")</f>
        <v/>
      </c>
      <c r="M18" s="42" t="str">
        <f aca="false">IF(AND(ISNUMBER(M17),ISNUMBER(M11)),IFERROR(M17/M11,""),"")</f>
        <v/>
      </c>
      <c r="N18" s="42" t="str">
        <f aca="false">IF(AND(ISNUMBER(N17),ISNUMBER(N11)),IFERROR(N17/N11,""),"")</f>
        <v/>
      </c>
      <c r="O18" s="42" t="str">
        <f aca="false">IF(AND(ISNUMBER(O17),ISNUMBER(O11)),IFERROR(O17/O11,""),"")</f>
        <v/>
      </c>
      <c r="P18" s="42" t="str">
        <f aca="false">IF(AND(ISNUMBER(P17),ISNUMBER(P11)),IFERROR(P17/P11,""),"")</f>
        <v/>
      </c>
      <c r="Q18" s="42" t="str">
        <f aca="false">IF(AND(ISNUMBER(Q17),ISNUMBER(Q11)),IFERROR(Q17/Q11,""),"")</f>
        <v/>
      </c>
      <c r="R18" s="42" t="str">
        <f aca="false">IF(AND(ISNUMBER(R17),ISNUMBER(R11)),IFERROR(R17/R11,""),"")</f>
        <v/>
      </c>
      <c r="S18" s="42" t="str">
        <f aca="false">IF(AND(ISNUMBER(S17),ISNUMBER(S11)),IFERROR(S17/S11,""),"")</f>
        <v/>
      </c>
      <c r="T18" s="42" t="str">
        <f aca="false">IF(AND(ISNUMBER(T17),ISNUMBER(T11)),IFERROR(T17/T11,""),"")</f>
        <v/>
      </c>
      <c r="U18" s="42" t="str">
        <f aca="false">IF(AND(ISNUMBER(U17),ISNUMBER(U11)),IFERROR(U17/U11,""),"")</f>
        <v/>
      </c>
      <c r="V18" s="42" t="str">
        <f aca="false">IF(AND(ISNUMBER(V17),ISNUMBER(V11)),IFERROR(V17/V11,""),"")</f>
        <v/>
      </c>
      <c r="W18" s="42" t="str">
        <f aca="false">IF(AND(ISNUMBER(W17),ISNUMBER(W11)),IFERROR(W17/W11,""),"")</f>
        <v/>
      </c>
      <c r="X18" s="42" t="str">
        <f aca="false">IF(AND(ISNUMBER(X17),ISNUMBER(X11)),IFERROR(X17/X11,""),"")</f>
        <v/>
      </c>
      <c r="Y18" s="42" t="str">
        <f aca="false">IF(AND(ISNUMBER(Y17),ISNUMBER(Y11)),IFERROR(Y17/Y11,""),"")</f>
        <v/>
      </c>
      <c r="Z18" s="42" t="str">
        <f aca="false">IF(AND(ISNUMBER(Z17),ISNUMBER(Z11)),IFERROR(Z17/Z11,""),"")</f>
        <v/>
      </c>
      <c r="AA18" s="42" t="str">
        <f aca="false">IF(AND(ISNUMBER(AA17),ISNUMBER(AA11)),IFERROR(AA17/AA11,""),"")</f>
        <v/>
      </c>
      <c r="AB18" s="42" t="str">
        <f aca="false">IF(AND(ISNUMBER(AB17),ISNUMBER(AB11)),IFERROR(AB17/AB11,""),"")</f>
        <v/>
      </c>
      <c r="AC18" s="42" t="str">
        <f aca="false">IF(AND(ISNUMBER(AC17),ISNUMBER(AC11)),IFERROR(AC17/AC11,""),"")</f>
        <v/>
      </c>
      <c r="AD18" s="42" t="str">
        <f aca="false">IF(AND(ISNUMBER(AD17),ISNUMBER(AD11)),IFERROR(AD17/AD11,""),"")</f>
        <v/>
      </c>
      <c r="AE18" s="42" t="str">
        <f aca="false">IF(AND(ISNUMBER(AE17),ISNUMBER(AE11)),IFERROR(AE17/AE11,""),"")</f>
        <v/>
      </c>
      <c r="AF18" s="42" t="str">
        <f aca="false">IF(AND(ISNUMBER(AF17),ISNUMBER(AF11)),IFERROR(AF17/AF11,""),"")</f>
        <v/>
      </c>
      <c r="AG18" s="42" t="str">
        <f aca="false">IF(AND(ISNUMBER(AG17),ISNUMBER(AG11)),IFERROR(AG17/AG11,""),"")</f>
        <v/>
      </c>
      <c r="AH18" s="42" t="str">
        <f aca="false">IF(AND(ISNUMBER(AH17),ISNUMBER(AH11)),IFERROR(AH17/AH11,""),"")</f>
        <v/>
      </c>
      <c r="AI18" s="42" t="str">
        <f aca="false">IF(AND(ISNUMBER(AI17),ISNUMBER(AI11)),IFERROR(AI17/AI11,""),"")</f>
        <v/>
      </c>
      <c r="AJ18" s="42" t="str">
        <f aca="false">IF(AND(ISNUMBER(AJ17),ISNUMBER(AJ11)),IFERROR(AJ17/AJ11,""),"")</f>
        <v/>
      </c>
      <c r="AK18" s="42" t="str">
        <f aca="false">IF(AND(ISNUMBER(AK17),ISNUMBER(AK11)),IFERROR(AK17/AK11,""),"")</f>
        <v/>
      </c>
      <c r="AL18" s="42" t="str">
        <f aca="false">IF(AND(ISNUMBER(AL17),ISNUMBER(AL11)),IFERROR(AL17/AL11,""),"")</f>
        <v/>
      </c>
      <c r="AM18" s="42" t="str">
        <f aca="false">IF(AND(ISNUMBER(AM17),ISNUMBER(AM11)),IFERROR(AM17/AM11,""),"")</f>
        <v/>
      </c>
      <c r="AN18" s="42" t="str">
        <f aca="false">IF(AND(ISNUMBER(AN17),ISNUMBER(AN11)),IFERROR(AN17/AN11,""),"")</f>
        <v/>
      </c>
      <c r="AO18" s="42" t="str">
        <f aca="false">IF(AND(ISNUMBER(AO17),ISNUMBER(AO11)),IFERROR(AO17/AO11,""),"")</f>
        <v/>
      </c>
      <c r="AP18" s="42" t="str">
        <f aca="false">IF(AND(ISNUMBER(AP17),ISNUMBER(AP11)),IFERROR(AP17/AP11,""),"")</f>
        <v/>
      </c>
      <c r="AQ18" s="42" t="str">
        <f aca="false">IF(AND(ISNUMBER(AQ17),ISNUMBER(AQ11)),IFERROR(AQ17/AQ11,""),"")</f>
        <v/>
      </c>
      <c r="AR18" s="42" t="str">
        <f aca="false">IF(AND(ISNUMBER(AR17),ISNUMBER(AR11)),IFERROR(AR17/AR11,""),"")</f>
        <v/>
      </c>
      <c r="AS18" s="42" t="str">
        <f aca="false">IF(AND(ISNUMBER(AS17),ISNUMBER(AS11)),IFERROR(AS17/AS11,""),"")</f>
        <v/>
      </c>
      <c r="AT18" s="42" t="str">
        <f aca="false">IF(AND(ISNUMBER(AT17),ISNUMBER(AT11)),IFERROR(AT17/AT11,""),"")</f>
        <v/>
      </c>
      <c r="AU18" s="42" t="str">
        <f aca="false">IF(AND(ISNUMBER(AU17),ISNUMBER(AU11)),IFERROR(AU17/AU11,""),"")</f>
        <v/>
      </c>
      <c r="AV18" s="42" t="str">
        <f aca="false">IF(AND(ISNUMBER(AV17),ISNUMBER(AV11)),IFERROR(AV17/AV11,""),"")</f>
        <v/>
      </c>
      <c r="AW18" s="42" t="str">
        <f aca="false">IF(AND(ISNUMBER(AW17),ISNUMBER(AW11)),IFERROR(AW17/AW11,""),"")</f>
        <v/>
      </c>
      <c r="AX18" s="42" t="str">
        <f aca="false">IF(AND(ISNUMBER(AX17),ISNUMBER(AX11)),IFERROR(AX17/AX11,""),"")</f>
        <v/>
      </c>
      <c r="AY18" s="42" t="str">
        <f aca="false">IF(AND(ISNUMBER(AY17),ISNUMBER(AY11)),IFERROR(AY17/AY11,""),"")</f>
        <v/>
      </c>
      <c r="AZ18" s="42" t="str">
        <f aca="false">IF(AND(ISNUMBER(AZ17),ISNUMBER(AZ11)),IFERROR(AZ17/AZ11,""),"")</f>
        <v/>
      </c>
      <c r="BA18" s="42" t="str">
        <f aca="false">IF(AND(ISNUMBER(BA17),ISNUMBER(BA11)),IFERROR(BA17/BA11,""),"")</f>
        <v/>
      </c>
      <c r="BB18" s="42" t="n">
        <f aca="false">IF(AND(ISNUMBER(BB17),ISNUMBER(BB11)),IFERROR(BB17/BB11,""),"")</f>
        <v>0.358693115519253</v>
      </c>
      <c r="BC18" s="42" t="str">
        <f aca="false">IF(AND(ISNUMBER(BC17),ISNUMBER(BC11)),IFERROR(BC17/BC11,""),"")</f>
        <v/>
      </c>
      <c r="BD18" s="42" t="str">
        <f aca="false">IF(AND(ISNUMBER(BD17),ISNUMBER(BD11)),IFERROR(BD17/BD11,""),"")</f>
        <v/>
      </c>
      <c r="BE18" s="42" t="str">
        <f aca="false">IF(AND(ISNUMBER(BE17),ISNUMBER(BE11)),IFERROR(BE17/BE11,""),"")</f>
        <v/>
      </c>
      <c r="BF18" s="42" t="n">
        <f aca="false">IF(AND(ISNUMBER(BF17),ISNUMBER(BF11)),IFERROR(BF17/BF11,""),"")</f>
        <v>0.311740890688259</v>
      </c>
      <c r="BG18" s="42" t="n">
        <f aca="false">IF(AND(ISNUMBER(BG17),ISNUMBER(BG11)),IFERROR(BG17/BG11,""),"")</f>
        <v>0.343457410367664</v>
      </c>
      <c r="BH18" s="42" t="n">
        <f aca="false">IF(AND(ISNUMBER(BH17),ISNUMBER(BH11)),IFERROR(BH17/BH11,""),"")</f>
        <v>0.319742489270386</v>
      </c>
      <c r="BI18" s="42" t="n">
        <f aca="false">IF(AND(ISNUMBER(BI17),ISNUMBER(BI11)),IFERROR(BI17/BI11,""),"")</f>
        <v>0.254641909814324</v>
      </c>
      <c r="BJ18" s="42" t="n">
        <f aca="false">IF(AND(ISNUMBER(BJ17),ISNUMBER(BJ11)),IFERROR(BJ17/BJ11,""),"")</f>
        <v>0.250600961538462</v>
      </c>
      <c r="BK18" s="42" t="n">
        <f aca="false">IF(AND(ISNUMBER(BK17),ISNUMBER(BK11)),IFERROR(BK17/BK11,""),"")</f>
        <v>0.236498010233087</v>
      </c>
      <c r="BL18" s="42" t="n">
        <f aca="false">IF(AND(ISNUMBER(BL17),ISNUMBER(BL11)),IFERROR(BL17/BL11,""),"")</f>
        <v>0.266174010039041</v>
      </c>
      <c r="BM18" s="42" t="n">
        <f aca="false">IF(AND(ISNUMBER(BM17),ISNUMBER(BM11)),IFERROR(BM17/BM11,""),"")</f>
        <v>0.213254593175853</v>
      </c>
      <c r="BN18" s="42" t="n">
        <f aca="false">IF(AND(ISNUMBER(BN17),ISNUMBER(BN11)),IFERROR(BN17/BN11,""),"")</f>
        <v>0.269702276707531</v>
      </c>
      <c r="BO18" s="42" t="n">
        <f aca="false">IF(AND(ISNUMBER(BO17),ISNUMBER(BO11)),IFERROR(BO17/BO11,""),"")</f>
        <v>0.235934664246824</v>
      </c>
      <c r="BP18" s="42" t="n">
        <f aca="false">IF(AND(ISNUMBER(BP17),ISNUMBER(BP11)),IFERROR(BP17/BP11,""),"")</f>
        <v>0.271803103263777</v>
      </c>
      <c r="BQ18" s="42" t="n">
        <f aca="false">IF(AND(ISNUMBER(BQ17),ISNUMBER(BQ11)),IFERROR(BQ17/BQ11,""),"")</f>
        <v>0.249297233318538</v>
      </c>
      <c r="BR18" s="42" t="n">
        <f aca="false">IF(AND(ISNUMBER(BR17),ISNUMBER(BR11)),IFERROR(BR17/BR11,""),"")</f>
        <v>0.273573200992556</v>
      </c>
      <c r="BS18" s="42" t="n">
        <f aca="false">IF(AND(ISNUMBER(BS17),ISNUMBER(BS11)),IFERROR(BS17/BS11,""),"")</f>
        <v>0.287027027027027</v>
      </c>
      <c r="BT18" s="42" t="n">
        <f aca="false">IF(AND(ISNUMBER(BT17),ISNUMBER(BT11)),IFERROR(BT17/BT11,""),"")</f>
        <v>0.195773081201335</v>
      </c>
      <c r="BU18" s="42" t="n">
        <f aca="false">IF(AND(ISNUMBER(BU17),ISNUMBER(BU11)),IFERROR(BU17/BU11,""),"")</f>
        <v>0.265617314313822</v>
      </c>
      <c r="BV18" s="42" t="n">
        <f aca="false">IF(AND(ISNUMBER(BV17),ISNUMBER(BV11)),IFERROR(BV17/BV11,""),"")</f>
        <v>0.255587549705197</v>
      </c>
      <c r="BW18" s="42" t="n">
        <f aca="false">IF(AND(ISNUMBER(BW17),ISNUMBER(BW11)),IFERROR(BW17/BW11,""),"")</f>
        <v>0.297161936560935</v>
      </c>
      <c r="BX18" s="42" t="n">
        <f aca="false">IF(AND(ISNUMBER(BX17),ISNUMBER(BX11)),IFERROR(BX17/BX11,""),"")</f>
        <v>0.289583333333333</v>
      </c>
      <c r="BY18" s="26" t="n">
        <f aca="false">IF(AND(ISNUMBER(BY17),ISNUMBER(BY11)),IFERROR(BY17/BY11,""),"")</f>
        <v>0.243288498261924</v>
      </c>
      <c r="BZ18" s="26" t="n">
        <f aca="false">IF(AND(ISNUMBER(BZ17),ISNUMBER(BZ11)),IFERROR(BZ17/BZ11,""),"")</f>
        <v>0.300522533297176</v>
      </c>
      <c r="CA18" s="26" t="n">
        <f aca="false">IF(AND(ISNUMBER(CA17),ISNUMBER(CA11)),IFERROR(CA17/CA11,""),"")</f>
        <v>0.283163778314601</v>
      </c>
      <c r="CB18" s="26" t="n">
        <f aca="false">IF(AND(ISNUMBER(CB17),ISNUMBER(CB11)),IFERROR(CB17/CB11,""),"")</f>
        <v>0.29434411747968</v>
      </c>
      <c r="CC18" s="26" t="n">
        <f aca="false">IF(AND(ISNUMBER(CC17),ISNUMBER(CC11)),IFERROR(CC17/CC11,""),"")</f>
        <v>0.30636662091133</v>
      </c>
      <c r="CD18" s="26" t="n">
        <f aca="false">IF(AND(ISNUMBER(CD17),ISNUMBER(CD11)),IFERROR(CD17/CD11,""),"")</f>
        <v>0.317899182243098</v>
      </c>
      <c r="CE18" s="26" t="n">
        <f aca="false">IF(AND(ISNUMBER(CE17),ISNUMBER(CE11)),IFERROR(CE17/CE11,""),"")</f>
        <v>0.339103985546707</v>
      </c>
      <c r="CF18" s="7"/>
      <c r="CN18" s="27" t="s">
        <v>111</v>
      </c>
      <c r="CP18" s="28" t="n">
        <v>0.17</v>
      </c>
      <c r="CR18" s="15" t="s">
        <v>112</v>
      </c>
    </row>
    <row r="19" customFormat="false" ht="15" hidden="false" customHeight="true" outlineLevel="0" collapsed="false">
      <c r="B19" s="27" t="s">
        <v>113</v>
      </c>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40" t="n">
        <v>812</v>
      </c>
      <c r="BH19" s="40" t="n">
        <v>217</v>
      </c>
      <c r="BI19" s="40" t="n">
        <v>218</v>
      </c>
      <c r="BJ19" s="40" t="n">
        <v>214</v>
      </c>
      <c r="BK19" s="40" t="n">
        <v>215</v>
      </c>
      <c r="BL19" s="40" t="n">
        <v>864</v>
      </c>
      <c r="BM19" s="40" t="n">
        <v>218</v>
      </c>
      <c r="BN19" s="40" t="n">
        <v>214</v>
      </c>
      <c r="BO19" s="40" t="n">
        <v>218</v>
      </c>
      <c r="BP19" s="40" t="n">
        <v>213</v>
      </c>
      <c r="BQ19" s="40" t="n">
        <v>863</v>
      </c>
      <c r="BR19" s="40" t="n">
        <v>213</v>
      </c>
      <c r="BS19" s="40" t="n">
        <v>228</v>
      </c>
      <c r="BT19" s="40" t="n">
        <v>231</v>
      </c>
      <c r="BU19" s="40" t="n">
        <v>230</v>
      </c>
      <c r="BV19" s="40" t="n">
        <v>902</v>
      </c>
      <c r="BW19" s="40" t="n">
        <v>234</v>
      </c>
      <c r="BX19" s="40" t="n">
        <v>231</v>
      </c>
      <c r="BY19" s="41" t="n">
        <f aca="false">BY172*BY20</f>
        <v>230.61979810593</v>
      </c>
      <c r="BZ19" s="41" t="n">
        <f aca="false">BZ172*BZ20</f>
        <v>229.756877132684</v>
      </c>
      <c r="CA19" s="41" t="n">
        <f aca="false">SUM(BW19,BX19,BY19,BZ19)</f>
        <v>925.376675238613</v>
      </c>
      <c r="CB19" s="41" t="n">
        <f aca="false">CB172*CB20</f>
        <v>839.350180505415</v>
      </c>
      <c r="CC19" s="41" t="n">
        <f aca="false">CC172*CC20</f>
        <v>839.350180505415</v>
      </c>
      <c r="CD19" s="41" t="n">
        <f aca="false">CD172*CD20</f>
        <v>839.350180505415</v>
      </c>
      <c r="CE19" s="41" t="n">
        <f aca="false">CE172*CE20</f>
        <v>734.431407942238</v>
      </c>
      <c r="CF19" s="37" t="s">
        <v>114</v>
      </c>
      <c r="CN19" s="27" t="s">
        <v>115</v>
      </c>
      <c r="CP19" s="38" t="n">
        <v>1150</v>
      </c>
      <c r="CR19" s="15" t="s">
        <v>116</v>
      </c>
    </row>
    <row r="20" customFormat="false" ht="15" hidden="false" customHeight="true" outlineLevel="0" collapsed="false">
      <c r="B20" s="27" t="s">
        <v>117</v>
      </c>
      <c r="C20" s="42" t="str">
        <f aca="false">IF(ISNUMBER(C19),IFERROR(C19/(C19+C37+C55),""),"")</f>
        <v/>
      </c>
      <c r="D20" s="42" t="str">
        <f aca="false">IF(ISNUMBER(D19),IFERROR(D19/(D19+D37+D55),""),"")</f>
        <v/>
      </c>
      <c r="E20" s="42" t="str">
        <f aca="false">IF(ISNUMBER(E19),IFERROR(E19/(E19+E37+E55),""),"")</f>
        <v/>
      </c>
      <c r="F20" s="42" t="str">
        <f aca="false">IF(ISNUMBER(F19),IFERROR(F19/(F19+F37+F55),""),"")</f>
        <v/>
      </c>
      <c r="G20" s="42" t="str">
        <f aca="false">IF(ISNUMBER(G19),IFERROR(G19/(G19+G37+G55),""),"")</f>
        <v/>
      </c>
      <c r="H20" s="42" t="str">
        <f aca="false">IF(ISNUMBER(H19),IFERROR(H19/(H19+H37+H55),""),"")</f>
        <v/>
      </c>
      <c r="I20" s="42" t="str">
        <f aca="false">IF(ISNUMBER(I19),IFERROR(I19/(I19+I37+I55),""),"")</f>
        <v/>
      </c>
      <c r="J20" s="42" t="str">
        <f aca="false">IF(ISNUMBER(J19),IFERROR(J19/(J19+J37+J55),""),"")</f>
        <v/>
      </c>
      <c r="K20" s="42" t="str">
        <f aca="false">IF(ISNUMBER(K19),IFERROR(K19/(K19+K37+K55),""),"")</f>
        <v/>
      </c>
      <c r="L20" s="42" t="str">
        <f aca="false">IF(ISNUMBER(L19),IFERROR(L19/(L19+L37+L55),""),"")</f>
        <v/>
      </c>
      <c r="M20" s="42" t="str">
        <f aca="false">IF(ISNUMBER(M19),IFERROR(M19/(M19+M37+M55),""),"")</f>
        <v/>
      </c>
      <c r="N20" s="42" t="str">
        <f aca="false">IF(ISNUMBER(N19),IFERROR(N19/(N19+N37+N55),""),"")</f>
        <v/>
      </c>
      <c r="O20" s="42" t="str">
        <f aca="false">IF(ISNUMBER(O19),IFERROR(O19/(O19+O37+O55),""),"")</f>
        <v/>
      </c>
      <c r="P20" s="42" t="str">
        <f aca="false">IF(ISNUMBER(P19),IFERROR(P19/(P19+P37+P55),""),"")</f>
        <v/>
      </c>
      <c r="Q20" s="42" t="str">
        <f aca="false">IF(ISNUMBER(Q19),IFERROR(Q19/(Q19+Q37+Q55),""),"")</f>
        <v/>
      </c>
      <c r="R20" s="42" t="str">
        <f aca="false">IF(ISNUMBER(R19),IFERROR(R19/(R19+R37+R55),""),"")</f>
        <v/>
      </c>
      <c r="S20" s="42" t="str">
        <f aca="false">IF(ISNUMBER(S19),IFERROR(S19/(S19+S37+S55),""),"")</f>
        <v/>
      </c>
      <c r="T20" s="42" t="str">
        <f aca="false">IF(ISNUMBER(T19),IFERROR(T19/(T19+T37+T55),""),"")</f>
        <v/>
      </c>
      <c r="U20" s="42" t="str">
        <f aca="false">IF(ISNUMBER(U19),IFERROR(U19/(U19+U37+U55),""),"")</f>
        <v/>
      </c>
      <c r="V20" s="42" t="str">
        <f aca="false">IF(ISNUMBER(V19),IFERROR(V19/(V19+V37+V55),""),"")</f>
        <v/>
      </c>
      <c r="W20" s="42" t="str">
        <f aca="false">IF(ISNUMBER(W19),IFERROR(W19/(W19+W37+W55),""),"")</f>
        <v/>
      </c>
      <c r="X20" s="42" t="str">
        <f aca="false">IF(ISNUMBER(X19),IFERROR(X19/(X19+X37+X55),""),"")</f>
        <v/>
      </c>
      <c r="Y20" s="42" t="str">
        <f aca="false">IF(ISNUMBER(Y19),IFERROR(Y19/(Y19+Y37+Y55),""),"")</f>
        <v/>
      </c>
      <c r="Z20" s="42" t="str">
        <f aca="false">IF(ISNUMBER(Z19),IFERROR(Z19/(Z19+Z37+Z55),""),"")</f>
        <v/>
      </c>
      <c r="AA20" s="42" t="str">
        <f aca="false">IF(ISNUMBER(AA19),IFERROR(AA19/(AA19+AA37+AA55),""),"")</f>
        <v/>
      </c>
      <c r="AB20" s="42" t="str">
        <f aca="false">IF(ISNUMBER(AB19),IFERROR(AB19/(AB19+AB37+AB55),""),"")</f>
        <v/>
      </c>
      <c r="AC20" s="42" t="str">
        <f aca="false">IF(ISNUMBER(AC19),IFERROR(AC19/(AC19+AC37+AC55),""),"")</f>
        <v/>
      </c>
      <c r="AD20" s="42" t="str">
        <f aca="false">IF(ISNUMBER(AD19),IFERROR(AD19/(AD19+AD37+AD55),""),"")</f>
        <v/>
      </c>
      <c r="AE20" s="42" t="str">
        <f aca="false">IF(ISNUMBER(AE19),IFERROR(AE19/(AE19+AE37+AE55),""),"")</f>
        <v/>
      </c>
      <c r="AF20" s="42" t="str">
        <f aca="false">IF(ISNUMBER(AF19),IFERROR(AF19/(AF19+AF37+AF55),""),"")</f>
        <v/>
      </c>
      <c r="AG20" s="42" t="str">
        <f aca="false">IF(ISNUMBER(AG19),IFERROR(AG19/(AG19+AG37+AG55),""),"")</f>
        <v/>
      </c>
      <c r="AH20" s="42" t="str">
        <f aca="false">IF(ISNUMBER(AH19),IFERROR(AH19/(AH19+AH37+AH55),""),"")</f>
        <v/>
      </c>
      <c r="AI20" s="42" t="str">
        <f aca="false">IF(ISNUMBER(AI19),IFERROR(AI19/(AI19+AI37+AI55),""),"")</f>
        <v/>
      </c>
      <c r="AJ20" s="42" t="str">
        <f aca="false">IF(ISNUMBER(AJ19),IFERROR(AJ19/(AJ19+AJ37+AJ55),""),"")</f>
        <v/>
      </c>
      <c r="AK20" s="42" t="str">
        <f aca="false">IF(ISNUMBER(AK19),IFERROR(AK19/(AK19+AK37+AK55),""),"")</f>
        <v/>
      </c>
      <c r="AL20" s="42" t="str">
        <f aca="false">IF(ISNUMBER(AL19),IFERROR(AL19/(AL19+AL37+AL55),""),"")</f>
        <v/>
      </c>
      <c r="AM20" s="42" t="str">
        <f aca="false">IF(ISNUMBER(AM19),IFERROR(AM19/(AM19+AM37+AM55),""),"")</f>
        <v/>
      </c>
      <c r="AN20" s="42" t="str">
        <f aca="false">IF(ISNUMBER(AN19),IFERROR(AN19/(AN19+AN37+AN55),""),"")</f>
        <v/>
      </c>
      <c r="AO20" s="42" t="str">
        <f aca="false">IF(ISNUMBER(AO19),IFERROR(AO19/(AO19+AO37+AO55),""),"")</f>
        <v/>
      </c>
      <c r="AP20" s="42" t="str">
        <f aca="false">IF(ISNUMBER(AP19),IFERROR(AP19/(AP19+AP37+AP55),""),"")</f>
        <v/>
      </c>
      <c r="AQ20" s="42" t="str">
        <f aca="false">IF(ISNUMBER(AQ19),IFERROR(AQ19/(AQ19+AQ37+AQ55),""),"")</f>
        <v/>
      </c>
      <c r="AR20" s="42" t="str">
        <f aca="false">IF(ISNUMBER(AR19),IFERROR(AR19/(AR19+AR37+AR55),""),"")</f>
        <v/>
      </c>
      <c r="AS20" s="42" t="str">
        <f aca="false">IF(ISNUMBER(AS19),IFERROR(AS19/(AS19+AS37+AS55),""),"")</f>
        <v/>
      </c>
      <c r="AT20" s="42" t="str">
        <f aca="false">IF(ISNUMBER(AT19),IFERROR(AT19/(AT19+AT37+AT55),""),"")</f>
        <v/>
      </c>
      <c r="AU20" s="42" t="str">
        <f aca="false">IF(ISNUMBER(AU19),IFERROR(AU19/(AU19+AU37+AU55),""),"")</f>
        <v/>
      </c>
      <c r="AV20" s="42" t="str">
        <f aca="false">IF(ISNUMBER(AV19),IFERROR(AV19/(AV19+AV37+AV55),""),"")</f>
        <v/>
      </c>
      <c r="AW20" s="42" t="str">
        <f aca="false">IF(ISNUMBER(AW19),IFERROR(AW19/(AW19+AW37+AW55),""),"")</f>
        <v/>
      </c>
      <c r="AX20" s="42" t="str">
        <f aca="false">IF(ISNUMBER(AX19),IFERROR(AX19/(AX19+AX37+AX55),""),"")</f>
        <v/>
      </c>
      <c r="AY20" s="42" t="str">
        <f aca="false">IF(ISNUMBER(AY19),IFERROR(AY19/(AY19+AY37+AY55),""),"")</f>
        <v/>
      </c>
      <c r="AZ20" s="42" t="str">
        <f aca="false">IF(ISNUMBER(AZ19),IFERROR(AZ19/(AZ19+AZ37+AZ55),""),"")</f>
        <v/>
      </c>
      <c r="BA20" s="42" t="str">
        <f aca="false">IF(ISNUMBER(BA19),IFERROR(BA19/(BA19+BA37+BA55),""),"")</f>
        <v/>
      </c>
      <c r="BB20" s="42" t="str">
        <f aca="false">IF(ISNUMBER(BB19),IFERROR(BB19/(BB19+BB37+BB55),""),"")</f>
        <v/>
      </c>
      <c r="BC20" s="42" t="str">
        <f aca="false">IF(ISNUMBER(BC19),IFERROR(BC19/(BC19+BC37+BC55),""),"")</f>
        <v/>
      </c>
      <c r="BD20" s="42" t="str">
        <f aca="false">IF(ISNUMBER(BD19),IFERROR(BD19/(BD19+BD37+BD55),""),"")</f>
        <v/>
      </c>
      <c r="BE20" s="42" t="str">
        <f aca="false">IF(ISNUMBER(BE19),IFERROR(BE19/(BE19+BE37+BE55),""),"")</f>
        <v/>
      </c>
      <c r="BF20" s="42" t="str">
        <f aca="false">IF(ISNUMBER(BF19),IFERROR(BF19/(BF19+BF37+BF55),""),"")</f>
        <v/>
      </c>
      <c r="BG20" s="42" t="n">
        <f aca="false">IF(ISNUMBER(BG19),IFERROR(BG19/(BG19+BG37+BG55),""),"")</f>
        <v>0.566248256624826</v>
      </c>
      <c r="BH20" s="42" t="n">
        <f aca="false">IF(ISNUMBER(BH19),IFERROR(BH19/(BH19+BH37+BH55),""),"")</f>
        <v>0.583333333333333</v>
      </c>
      <c r="BI20" s="42" t="n">
        <f aca="false">IF(ISNUMBER(BI19),IFERROR(BI19/(BI19+BI37+BI55),""),"")</f>
        <v>0.586021505376344</v>
      </c>
      <c r="BJ20" s="42" t="n">
        <f aca="false">IF(ISNUMBER(BJ19),IFERROR(BJ19/(BJ19+BJ37+BJ55),""),"")</f>
        <v>0.583106267029973</v>
      </c>
      <c r="BK20" s="42" t="n">
        <f aca="false">IF(ISNUMBER(BK19),IFERROR(BK19/(BK19+BK37+BK55),""),"")</f>
        <v>0.565789473684211</v>
      </c>
      <c r="BL20" s="42" t="n">
        <f aca="false">IF(ISNUMBER(BL19),IFERROR(BL19/(BL19+BL37+BL55),""),"")</f>
        <v>0.579476861167002</v>
      </c>
      <c r="BM20" s="42" t="n">
        <f aca="false">IF(ISNUMBER(BM19),IFERROR(BM19/(BM19+BM37+BM55),""),"")</f>
        <v>0.535626535626536</v>
      </c>
      <c r="BN20" s="42" t="n">
        <f aca="false">IF(ISNUMBER(BN19),IFERROR(BN19/(BN19+BN37+BN55),""),"")</f>
        <v>0.532338308457712</v>
      </c>
      <c r="BO20" s="42" t="n">
        <f aca="false">IF(ISNUMBER(BO19),IFERROR(BO19/(BO19+BO37+BO55),""),"")</f>
        <v>0.526570048309179</v>
      </c>
      <c r="BP20" s="42" t="n">
        <f aca="false">IF(ISNUMBER(BP19),IFERROR(BP19/(BP19+BP37+BP55),""),"")</f>
        <v>0.522058823529412</v>
      </c>
      <c r="BQ20" s="42" t="n">
        <f aca="false">IF(ISNUMBER(BQ19),IFERROR(BQ19/(BQ19+BQ37+BQ55),""),"")</f>
        <v>0.529123237277744</v>
      </c>
      <c r="BR20" s="42" t="n">
        <f aca="false">IF(ISNUMBER(BR19),IFERROR(BR19/(BR19+BR37+BR55),""),"")</f>
        <v>0.519512195121951</v>
      </c>
      <c r="BS20" s="42" t="n">
        <f aca="false">IF(ISNUMBER(BS19),IFERROR(BS19/(BS19+BS37+BS55),""),"")</f>
        <v>0.535211267605634</v>
      </c>
      <c r="BT20" s="42" t="n">
        <f aca="false">IF(ISNUMBER(BT19),IFERROR(BT19/(BT19+BT37+BT55),""),"")</f>
        <v>0.533487297921478</v>
      </c>
      <c r="BU20" s="42" t="n">
        <f aca="false">IF(ISNUMBER(BU19),IFERROR(BU19/(BU19+BU37+BU55),""),"")</f>
        <v>0.537383177570094</v>
      </c>
      <c r="BV20" s="42" t="n">
        <f aca="false">IF(ISNUMBER(BV19),IFERROR(BV19/(BV19+BV37+BV55),""),"")</f>
        <v>0.531526222746022</v>
      </c>
      <c r="BW20" s="42" t="n">
        <f aca="false">IF(ISNUMBER(BW19),IFERROR(BW19/(BW19+BW37+BW55),""),"")</f>
        <v>0.539170506912442</v>
      </c>
      <c r="BX20" s="42" t="n">
        <f aca="false">IF(ISNUMBER(BX19),IFERROR(BX19/(BX19+BX37+BX55),""),"")</f>
        <v>0.510610079575597</v>
      </c>
      <c r="BY20" s="26" t="n">
        <f aca="false">IFERROR((BW19+BX19)/((BW19+BX19)+(BW37+BX37)+(BW55+BX55)),"")</f>
        <v>0.524593862815885</v>
      </c>
      <c r="BZ20" s="26" t="n">
        <f aca="false">IFERROR((BW19+BX19)/((BW19+BX19)+(BW37+BX37)+(BW55+BX55)),"")</f>
        <v>0.524593862815885</v>
      </c>
      <c r="CA20" s="26" t="n">
        <f aca="false">$BY$20</f>
        <v>0.524593862815885</v>
      </c>
      <c r="CB20" s="26" t="n">
        <f aca="false">$BY$20</f>
        <v>0.524593862815885</v>
      </c>
      <c r="CC20" s="26" t="n">
        <f aca="false">$BY$20</f>
        <v>0.524593862815885</v>
      </c>
      <c r="CD20" s="26" t="n">
        <f aca="false">$BY$20</f>
        <v>0.524593862815885</v>
      </c>
      <c r="CE20" s="26" t="n">
        <f aca="false">$BY$20</f>
        <v>0.524593862815885</v>
      </c>
      <c r="CF20" s="7"/>
      <c r="CN20" s="27" t="s">
        <v>118</v>
      </c>
      <c r="CP20" s="28" t="n">
        <v>0.265</v>
      </c>
      <c r="CR20" s="15" t="s">
        <v>119</v>
      </c>
    </row>
    <row r="21" customFormat="false" ht="15" hidden="false" customHeight="true" outlineLevel="0" collapsed="false">
      <c r="B21" s="27" t="s">
        <v>120</v>
      </c>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40" t="n">
        <v>0</v>
      </c>
      <c r="BN21" s="40" t="n">
        <v>0</v>
      </c>
      <c r="BO21" s="40" t="n">
        <v>0</v>
      </c>
      <c r="BP21" s="40" t="n">
        <v>0</v>
      </c>
      <c r="BQ21" s="40" t="n">
        <v>0</v>
      </c>
      <c r="BR21" s="40" t="n">
        <v>15</v>
      </c>
      <c r="BS21" s="40" t="n">
        <v>0</v>
      </c>
      <c r="BT21" s="40" t="n">
        <v>86</v>
      </c>
      <c r="BU21" s="40" t="n">
        <v>0</v>
      </c>
      <c r="BV21" s="40" t="n">
        <v>101</v>
      </c>
      <c r="BW21" s="40" t="n">
        <v>0</v>
      </c>
      <c r="BX21" s="40" t="n">
        <v>0</v>
      </c>
      <c r="BY21" s="43" t="n">
        <v>0</v>
      </c>
      <c r="BZ21" s="43" t="n">
        <v>0</v>
      </c>
      <c r="CA21" s="41" t="n">
        <f aca="false">SUM(BW21,BX21,BY21,BZ21)</f>
        <v>0</v>
      </c>
      <c r="CB21" s="43" t="n">
        <v>0</v>
      </c>
      <c r="CC21" s="43" t="n">
        <v>0</v>
      </c>
      <c r="CD21" s="43" t="n">
        <v>0</v>
      </c>
      <c r="CE21" s="43" t="n">
        <v>0</v>
      </c>
      <c r="CF21" s="37" t="s">
        <v>121</v>
      </c>
      <c r="CN21" s="27" t="s">
        <v>122</v>
      </c>
      <c r="CP21" s="38" t="n">
        <v>500</v>
      </c>
      <c r="CR21" s="15" t="s">
        <v>123</v>
      </c>
    </row>
    <row r="22" customFormat="false" ht="15" hidden="false" customHeight="true" outlineLevel="0" collapsed="false">
      <c r="B22" s="18" t="s">
        <v>124</v>
      </c>
      <c r="C22" s="44" t="str">
        <f aca="false">IF(AND(ISNUMBER(C17),ISNUMBER(C19)),C17+C19+N(C21),"")</f>
        <v/>
      </c>
      <c r="D22" s="44" t="str">
        <f aca="false">IF(AND(ISNUMBER(D17),ISNUMBER(D19)),D17+D19+N(D21),"")</f>
        <v/>
      </c>
      <c r="E22" s="44" t="str">
        <f aca="false">IF(AND(ISNUMBER(E17),ISNUMBER(E19)),E17+E19+N(E21),"")</f>
        <v/>
      </c>
      <c r="F22" s="44" t="str">
        <f aca="false">IF(AND(ISNUMBER(F17),ISNUMBER(F19)),F17+F19+N(F21),"")</f>
        <v/>
      </c>
      <c r="G22" s="44" t="str">
        <f aca="false">IF(AND(ISNUMBER(G17),ISNUMBER(G19)),G17+G19+N(G21),"")</f>
        <v/>
      </c>
      <c r="H22" s="44" t="str">
        <f aca="false">IF(AND(ISNUMBER(H17),ISNUMBER(H19)),H17+H19+N(H21),"")</f>
        <v/>
      </c>
      <c r="I22" s="44" t="str">
        <f aca="false">IF(AND(ISNUMBER(I17),ISNUMBER(I19)),I17+I19+N(I21),"")</f>
        <v/>
      </c>
      <c r="J22" s="44" t="str">
        <f aca="false">IF(AND(ISNUMBER(J17),ISNUMBER(J19)),J17+J19+N(J21),"")</f>
        <v/>
      </c>
      <c r="K22" s="44" t="str">
        <f aca="false">IF(AND(ISNUMBER(K17),ISNUMBER(K19)),K17+K19+N(K21),"")</f>
        <v/>
      </c>
      <c r="L22" s="44" t="str">
        <f aca="false">IF(AND(ISNUMBER(L17),ISNUMBER(L19)),L17+L19+N(L21),"")</f>
        <v/>
      </c>
      <c r="M22" s="44" t="str">
        <f aca="false">IF(AND(ISNUMBER(M17),ISNUMBER(M19)),M17+M19+N(M21),"")</f>
        <v/>
      </c>
      <c r="N22" s="44" t="str">
        <f aca="false">IF(AND(ISNUMBER(N17),ISNUMBER(N19)),N17+N19+N(N21),"")</f>
        <v/>
      </c>
      <c r="O22" s="44" t="str">
        <f aca="false">IF(AND(ISNUMBER(O17),ISNUMBER(O19)),O17+O19+N(O21),"")</f>
        <v/>
      </c>
      <c r="P22" s="44" t="str">
        <f aca="false">IF(AND(ISNUMBER(P17),ISNUMBER(P19)),P17+P19+N(P21),"")</f>
        <v/>
      </c>
      <c r="Q22" s="44" t="str">
        <f aca="false">IF(AND(ISNUMBER(Q17),ISNUMBER(Q19)),Q17+Q19+N(Q21),"")</f>
        <v/>
      </c>
      <c r="R22" s="44" t="str">
        <f aca="false">IF(AND(ISNUMBER(R17),ISNUMBER(R19)),R17+R19+N(R21),"")</f>
        <v/>
      </c>
      <c r="S22" s="44" t="str">
        <f aca="false">IF(AND(ISNUMBER(S17),ISNUMBER(S19)),S17+S19+N(S21),"")</f>
        <v/>
      </c>
      <c r="T22" s="44" t="str">
        <f aca="false">IF(AND(ISNUMBER(T17),ISNUMBER(T19)),T17+T19+N(T21),"")</f>
        <v/>
      </c>
      <c r="U22" s="44" t="str">
        <f aca="false">IF(AND(ISNUMBER(U17),ISNUMBER(U19)),U17+U19+N(U21),"")</f>
        <v/>
      </c>
      <c r="V22" s="44" t="str">
        <f aca="false">IF(AND(ISNUMBER(V17),ISNUMBER(V19)),V17+V19+N(V21),"")</f>
        <v/>
      </c>
      <c r="W22" s="44" t="str">
        <f aca="false">IF(AND(ISNUMBER(W17),ISNUMBER(W19)),W17+W19+N(W21),"")</f>
        <v/>
      </c>
      <c r="X22" s="44" t="str">
        <f aca="false">IF(AND(ISNUMBER(X17),ISNUMBER(X19)),X17+X19+N(X21),"")</f>
        <v/>
      </c>
      <c r="Y22" s="44" t="str">
        <f aca="false">IF(AND(ISNUMBER(Y17),ISNUMBER(Y19)),Y17+Y19+N(Y21),"")</f>
        <v/>
      </c>
      <c r="Z22" s="44" t="str">
        <f aca="false">IF(AND(ISNUMBER(Z17),ISNUMBER(Z19)),Z17+Z19+N(Z21),"")</f>
        <v/>
      </c>
      <c r="AA22" s="44" t="str">
        <f aca="false">IF(AND(ISNUMBER(AA17),ISNUMBER(AA19)),AA17+AA19+N(AA21),"")</f>
        <v/>
      </c>
      <c r="AB22" s="44" t="str">
        <f aca="false">IF(AND(ISNUMBER(AB17),ISNUMBER(AB19)),AB17+AB19+N(AB21),"")</f>
        <v/>
      </c>
      <c r="AC22" s="44" t="str">
        <f aca="false">IF(AND(ISNUMBER(AC17),ISNUMBER(AC19)),AC17+AC19+N(AC21),"")</f>
        <v/>
      </c>
      <c r="AD22" s="44" t="str">
        <f aca="false">IF(AND(ISNUMBER(AD17),ISNUMBER(AD19)),AD17+AD19+N(AD21),"")</f>
        <v/>
      </c>
      <c r="AE22" s="44" t="str">
        <f aca="false">IF(AND(ISNUMBER(AE17),ISNUMBER(AE19)),AE17+AE19+N(AE21),"")</f>
        <v/>
      </c>
      <c r="AF22" s="44" t="str">
        <f aca="false">IF(AND(ISNUMBER(AF17),ISNUMBER(AF19)),AF17+AF19+N(AF21),"")</f>
        <v/>
      </c>
      <c r="AG22" s="44" t="str">
        <f aca="false">IF(AND(ISNUMBER(AG17),ISNUMBER(AG19)),AG17+AG19+N(AG21),"")</f>
        <v/>
      </c>
      <c r="AH22" s="44" t="str">
        <f aca="false">IF(AND(ISNUMBER(AH17),ISNUMBER(AH19)),AH17+AH19+N(AH21),"")</f>
        <v/>
      </c>
      <c r="AI22" s="44" t="str">
        <f aca="false">IF(AND(ISNUMBER(AI17),ISNUMBER(AI19)),AI17+AI19+N(AI21),"")</f>
        <v/>
      </c>
      <c r="AJ22" s="44" t="str">
        <f aca="false">IF(AND(ISNUMBER(AJ17),ISNUMBER(AJ19)),AJ17+AJ19+N(AJ21),"")</f>
        <v/>
      </c>
      <c r="AK22" s="44" t="str">
        <f aca="false">IF(AND(ISNUMBER(AK17),ISNUMBER(AK19)),AK17+AK19+N(AK21),"")</f>
        <v/>
      </c>
      <c r="AL22" s="44" t="str">
        <f aca="false">IF(AND(ISNUMBER(AL17),ISNUMBER(AL19)),AL17+AL19+N(AL21),"")</f>
        <v/>
      </c>
      <c r="AM22" s="44" t="str">
        <f aca="false">IF(AND(ISNUMBER(AM17),ISNUMBER(AM19)),AM17+AM19+N(AM21),"")</f>
        <v/>
      </c>
      <c r="AN22" s="44" t="str">
        <f aca="false">IF(AND(ISNUMBER(AN17),ISNUMBER(AN19)),AN17+AN19+N(AN21),"")</f>
        <v/>
      </c>
      <c r="AO22" s="44" t="str">
        <f aca="false">IF(AND(ISNUMBER(AO17),ISNUMBER(AO19)),AO17+AO19+N(AO21),"")</f>
        <v/>
      </c>
      <c r="AP22" s="44" t="str">
        <f aca="false">IF(AND(ISNUMBER(AP17),ISNUMBER(AP19)),AP17+AP19+N(AP21),"")</f>
        <v/>
      </c>
      <c r="AQ22" s="44" t="str">
        <f aca="false">IF(AND(ISNUMBER(AQ17),ISNUMBER(AQ19)),AQ17+AQ19+N(AQ21),"")</f>
        <v/>
      </c>
      <c r="AR22" s="44" t="str">
        <f aca="false">IF(AND(ISNUMBER(AR17),ISNUMBER(AR19)),AR17+AR19+N(AR21),"")</f>
        <v/>
      </c>
      <c r="AS22" s="44" t="str">
        <f aca="false">IF(AND(ISNUMBER(AS17),ISNUMBER(AS19)),AS17+AS19+N(AS21),"")</f>
        <v/>
      </c>
      <c r="AT22" s="44" t="str">
        <f aca="false">IF(AND(ISNUMBER(AT17),ISNUMBER(AT19)),AT17+AT19+N(AT21),"")</f>
        <v/>
      </c>
      <c r="AU22" s="44" t="str">
        <f aca="false">IF(AND(ISNUMBER(AU17),ISNUMBER(AU19)),AU17+AU19+N(AU21),"")</f>
        <v/>
      </c>
      <c r="AV22" s="44" t="str">
        <f aca="false">IF(AND(ISNUMBER(AV17),ISNUMBER(AV19)),AV17+AV19+N(AV21),"")</f>
        <v/>
      </c>
      <c r="AW22" s="44" t="str">
        <f aca="false">IF(AND(ISNUMBER(AW17),ISNUMBER(AW19)),AW17+AW19+N(AW21),"")</f>
        <v/>
      </c>
      <c r="AX22" s="44" t="str">
        <f aca="false">IF(AND(ISNUMBER(AX17),ISNUMBER(AX19)),AX17+AX19+N(AX21),"")</f>
        <v/>
      </c>
      <c r="AY22" s="44" t="str">
        <f aca="false">IF(AND(ISNUMBER(AY17),ISNUMBER(AY19)),AY17+AY19+N(AY21),"")</f>
        <v/>
      </c>
      <c r="AZ22" s="44" t="str">
        <f aca="false">IF(AND(ISNUMBER(AZ17),ISNUMBER(AZ19)),AZ17+AZ19+N(AZ21),"")</f>
        <v/>
      </c>
      <c r="BA22" s="44" t="str">
        <f aca="false">IF(AND(ISNUMBER(BA17),ISNUMBER(BA19)),BA17+BA19+N(BA21),"")</f>
        <v/>
      </c>
      <c r="BB22" s="44" t="str">
        <f aca="false">IF(AND(ISNUMBER(BB17),ISNUMBER(BB19)),BB17+BB19+N(BB21),"")</f>
        <v/>
      </c>
      <c r="BC22" s="44" t="str">
        <f aca="false">IF(AND(ISNUMBER(BC17),ISNUMBER(BC19)),BC17+BC19+N(BC21),"")</f>
        <v/>
      </c>
      <c r="BD22" s="44" t="str">
        <f aca="false">IF(AND(ISNUMBER(BD17),ISNUMBER(BD19)),BD17+BD19+N(BD21),"")</f>
        <v/>
      </c>
      <c r="BE22" s="44" t="str">
        <f aca="false">IF(AND(ISNUMBER(BE17),ISNUMBER(BE19)),BE17+BE19+N(BE21),"")</f>
        <v/>
      </c>
      <c r="BF22" s="44" t="str">
        <f aca="false">IF(AND(ISNUMBER(BF17),ISNUMBER(BF19)),BF17+BF19+N(BF21),"")</f>
        <v/>
      </c>
      <c r="BG22" s="44" t="n">
        <f aca="false">IF(AND(ISNUMBER(BG17),ISNUMBER(BG19)),BG17+BG19+N(BG21),"")</f>
        <v>3820</v>
      </c>
      <c r="BH22" s="44" t="n">
        <f aca="false">IF(AND(ISNUMBER(BH17),ISNUMBER(BH19)),BH17+BH19+N(BH21),"")</f>
        <v>813</v>
      </c>
      <c r="BI22" s="44" t="n">
        <f aca="false">IF(AND(ISNUMBER(BI17),ISNUMBER(BI19)),BI17+BI19+N(BI21),"")</f>
        <v>698</v>
      </c>
      <c r="BJ22" s="44" t="n">
        <f aca="false">IF(AND(ISNUMBER(BJ17),ISNUMBER(BJ19)),BJ17+BJ19+N(BJ21),"")</f>
        <v>631</v>
      </c>
      <c r="BK22" s="44" t="n">
        <f aca="false">IF(AND(ISNUMBER(BK17),ISNUMBER(BK19)),BK17+BK19+N(BK21),"")</f>
        <v>631</v>
      </c>
      <c r="BL22" s="44" t="n">
        <f aca="false">IF(AND(ISNUMBER(BL17),ISNUMBER(BL19)),BL17+BL19+N(BL21),"")</f>
        <v>2773</v>
      </c>
      <c r="BM22" s="44" t="n">
        <f aca="false">IF(AND(ISNUMBER(BM17),ISNUMBER(BM19)),BM17+BM19+N(BM21),"")</f>
        <v>543</v>
      </c>
      <c r="BN22" s="44" t="n">
        <f aca="false">IF(AND(ISNUMBER(BN17),ISNUMBER(BN19)),BN17+BN19+N(BN21),"")</f>
        <v>676</v>
      </c>
      <c r="BO22" s="44" t="n">
        <f aca="false">IF(AND(ISNUMBER(BO17),ISNUMBER(BO19)),BO17+BO19+N(BO21),"")</f>
        <v>608</v>
      </c>
      <c r="BP22" s="44" t="n">
        <f aca="false">IF(AND(ISNUMBER(BP17),ISNUMBER(BP19)),BP17+BP19+N(BP21),"")</f>
        <v>721</v>
      </c>
      <c r="BQ22" s="44" t="n">
        <f aca="false">IF(AND(ISNUMBER(BQ17),ISNUMBER(BQ19)),BQ17+BQ19+N(BQ21),"")</f>
        <v>2548</v>
      </c>
      <c r="BR22" s="44" t="n">
        <f aca="false">IF(AND(ISNUMBER(BR17),ISNUMBER(BR19)),BR17+BR19+N(BR21),"")</f>
        <v>669</v>
      </c>
      <c r="BS22" s="44" t="n">
        <f aca="false">IF(AND(ISNUMBER(BS17),ISNUMBER(BS19)),BS17+BS19+N(BS21),"")</f>
        <v>759</v>
      </c>
      <c r="BT22" s="44" t="n">
        <f aca="false">IF(AND(ISNUMBER(BT17),ISNUMBER(BT19)),BT17+BT19+N(BT21),"")</f>
        <v>669</v>
      </c>
      <c r="BU22" s="44" t="n">
        <f aca="false">IF(AND(ISNUMBER(BU17),ISNUMBER(BU19)),BU17+BU19+N(BU21),"")</f>
        <v>770</v>
      </c>
      <c r="BV22" s="44" t="n">
        <f aca="false">IF(AND(ISNUMBER(BV17),ISNUMBER(BV19)),BV17+BV19+N(BV21),"")</f>
        <v>2867</v>
      </c>
      <c r="BW22" s="44" t="n">
        <f aca="false">IF(AND(ISNUMBER(BW17),ISNUMBER(BW19)),BW17+BW19+N(BW21),"")</f>
        <v>768</v>
      </c>
      <c r="BX22" s="44" t="n">
        <f aca="false">IF(AND(ISNUMBER(BX17),ISNUMBER(BX19)),BX17+BX19+N(BX21),"")</f>
        <v>787</v>
      </c>
      <c r="BY22" s="21" t="n">
        <f aca="false">BY11*BY23</f>
        <v>690.720056887087</v>
      </c>
      <c r="BZ22" s="21" t="n">
        <f aca="false">BZ11*BZ23</f>
        <v>886.431073623002</v>
      </c>
      <c r="CA22" s="21" t="n">
        <f aca="false">SUM(BW22,BX22,BY22,BZ22)</f>
        <v>3132.15113051009</v>
      </c>
      <c r="CB22" s="21" t="n">
        <f aca="false">CB11*CB23</f>
        <v>3293.82956065888</v>
      </c>
      <c r="CC22" s="21" t="n">
        <f aca="false">CC11*CC23</f>
        <v>3585.6878761603</v>
      </c>
      <c r="CD22" s="21" t="n">
        <f aca="false">CD11*CD23</f>
        <v>3902.79714770822</v>
      </c>
      <c r="CE22" s="21" t="n">
        <f aca="false">CE11*CE23</f>
        <v>4247.30331568494</v>
      </c>
      <c r="CF22" s="7" t="s">
        <v>125</v>
      </c>
      <c r="CH22" s="22" t="n">
        <f aca="false">IFERROR((CE22/BV22)^(1/5)-1,"n/m")</f>
        <v>0.081775438748366</v>
      </c>
      <c r="CI22" s="22" t="str">
        <f aca="false">IFERROR((BV22/AW22)^(1/5)-1,"n/m")</f>
        <v>n/m</v>
      </c>
      <c r="CJ22" s="22" t="str">
        <f aca="false">IFERROR((BV22/X22)^(1/10)-1,"n/m")</f>
        <v>n/m</v>
      </c>
      <c r="CK22" s="22" t="str">
        <f aca="false">IFERROR((BV22/C22)^(1/19)-1,"n/m")</f>
        <v>n/m</v>
      </c>
      <c r="CN22" s="27" t="s">
        <v>126</v>
      </c>
      <c r="CP22" s="38" t="n">
        <v>1900</v>
      </c>
      <c r="CR22" s="15" t="s">
        <v>127</v>
      </c>
    </row>
    <row r="23" customFormat="false" ht="15" hidden="false" customHeight="true" outlineLevel="0" collapsed="false">
      <c r="B23" s="27" t="s">
        <v>128</v>
      </c>
      <c r="C23" s="42" t="str">
        <f aca="false">IF(AND(ISNUMBER(C22),ISNUMBER(C11)),IFERROR(C22/C11,""),"")</f>
        <v/>
      </c>
      <c r="D23" s="42" t="str">
        <f aca="false">IF(AND(ISNUMBER(D22),ISNUMBER(D11)),IFERROR(D22/D11,""),"")</f>
        <v/>
      </c>
      <c r="E23" s="42" t="str">
        <f aca="false">IF(AND(ISNUMBER(E22),ISNUMBER(E11)),IFERROR(E22/E11,""),"")</f>
        <v/>
      </c>
      <c r="F23" s="42" t="str">
        <f aca="false">IF(AND(ISNUMBER(F22),ISNUMBER(F11)),IFERROR(F22/F11,""),"")</f>
        <v/>
      </c>
      <c r="G23" s="42" t="str">
        <f aca="false">IF(AND(ISNUMBER(G22),ISNUMBER(G11)),IFERROR(G22/G11,""),"")</f>
        <v/>
      </c>
      <c r="H23" s="42" t="str">
        <f aca="false">IF(AND(ISNUMBER(H22),ISNUMBER(H11)),IFERROR(H22/H11,""),"")</f>
        <v/>
      </c>
      <c r="I23" s="42" t="str">
        <f aca="false">IF(AND(ISNUMBER(I22),ISNUMBER(I11)),IFERROR(I22/I11,""),"")</f>
        <v/>
      </c>
      <c r="J23" s="42" t="str">
        <f aca="false">IF(AND(ISNUMBER(J22),ISNUMBER(J11)),IFERROR(J22/J11,""),"")</f>
        <v/>
      </c>
      <c r="K23" s="42" t="str">
        <f aca="false">IF(AND(ISNUMBER(K22),ISNUMBER(K11)),IFERROR(K22/K11,""),"")</f>
        <v/>
      </c>
      <c r="L23" s="42" t="str">
        <f aca="false">IF(AND(ISNUMBER(L22),ISNUMBER(L11)),IFERROR(L22/L11,""),"")</f>
        <v/>
      </c>
      <c r="M23" s="42" t="str">
        <f aca="false">IF(AND(ISNUMBER(M22),ISNUMBER(M11)),IFERROR(M22/M11,""),"")</f>
        <v/>
      </c>
      <c r="N23" s="42" t="str">
        <f aca="false">IF(AND(ISNUMBER(N22),ISNUMBER(N11)),IFERROR(N22/N11,""),"")</f>
        <v/>
      </c>
      <c r="O23" s="42" t="str">
        <f aca="false">IF(AND(ISNUMBER(O22),ISNUMBER(O11)),IFERROR(O22/O11,""),"")</f>
        <v/>
      </c>
      <c r="P23" s="42" t="str">
        <f aca="false">IF(AND(ISNUMBER(P22),ISNUMBER(P11)),IFERROR(P22/P11,""),"")</f>
        <v/>
      </c>
      <c r="Q23" s="42" t="str">
        <f aca="false">IF(AND(ISNUMBER(Q22),ISNUMBER(Q11)),IFERROR(Q22/Q11,""),"")</f>
        <v/>
      </c>
      <c r="R23" s="42" t="str">
        <f aca="false">IF(AND(ISNUMBER(R22),ISNUMBER(R11)),IFERROR(R22/R11,""),"")</f>
        <v/>
      </c>
      <c r="S23" s="42" t="str">
        <f aca="false">IF(AND(ISNUMBER(S22),ISNUMBER(S11)),IFERROR(S22/S11,""),"")</f>
        <v/>
      </c>
      <c r="T23" s="42" t="str">
        <f aca="false">IF(AND(ISNUMBER(T22),ISNUMBER(T11)),IFERROR(T22/T11,""),"")</f>
        <v/>
      </c>
      <c r="U23" s="42" t="str">
        <f aca="false">IF(AND(ISNUMBER(U22),ISNUMBER(U11)),IFERROR(U22/U11,""),"")</f>
        <v/>
      </c>
      <c r="V23" s="42" t="str">
        <f aca="false">IF(AND(ISNUMBER(V22),ISNUMBER(V11)),IFERROR(V22/V11,""),"")</f>
        <v/>
      </c>
      <c r="W23" s="42" t="str">
        <f aca="false">IF(AND(ISNUMBER(W22),ISNUMBER(W11)),IFERROR(W22/W11,""),"")</f>
        <v/>
      </c>
      <c r="X23" s="42" t="str">
        <f aca="false">IF(AND(ISNUMBER(X22),ISNUMBER(X11)),IFERROR(X22/X11,""),"")</f>
        <v/>
      </c>
      <c r="Y23" s="42" t="str">
        <f aca="false">IF(AND(ISNUMBER(Y22),ISNUMBER(Y11)),IFERROR(Y22/Y11,""),"")</f>
        <v/>
      </c>
      <c r="Z23" s="42" t="str">
        <f aca="false">IF(AND(ISNUMBER(Z22),ISNUMBER(Z11)),IFERROR(Z22/Z11,""),"")</f>
        <v/>
      </c>
      <c r="AA23" s="42" t="str">
        <f aca="false">IF(AND(ISNUMBER(AA22),ISNUMBER(AA11)),IFERROR(AA22/AA11,""),"")</f>
        <v/>
      </c>
      <c r="AB23" s="42" t="str">
        <f aca="false">IF(AND(ISNUMBER(AB22),ISNUMBER(AB11)),IFERROR(AB22/AB11,""),"")</f>
        <v/>
      </c>
      <c r="AC23" s="42" t="str">
        <f aca="false">IF(AND(ISNUMBER(AC22),ISNUMBER(AC11)),IFERROR(AC22/AC11,""),"")</f>
        <v/>
      </c>
      <c r="AD23" s="42" t="str">
        <f aca="false">IF(AND(ISNUMBER(AD22),ISNUMBER(AD11)),IFERROR(AD22/AD11,""),"")</f>
        <v/>
      </c>
      <c r="AE23" s="42" t="str">
        <f aca="false">IF(AND(ISNUMBER(AE22),ISNUMBER(AE11)),IFERROR(AE22/AE11,""),"")</f>
        <v/>
      </c>
      <c r="AF23" s="42" t="str">
        <f aca="false">IF(AND(ISNUMBER(AF22),ISNUMBER(AF11)),IFERROR(AF22/AF11,""),"")</f>
        <v/>
      </c>
      <c r="AG23" s="42" t="str">
        <f aca="false">IF(AND(ISNUMBER(AG22),ISNUMBER(AG11)),IFERROR(AG22/AG11,""),"")</f>
        <v/>
      </c>
      <c r="AH23" s="42" t="str">
        <f aca="false">IF(AND(ISNUMBER(AH22),ISNUMBER(AH11)),IFERROR(AH22/AH11,""),"")</f>
        <v/>
      </c>
      <c r="AI23" s="42" t="str">
        <f aca="false">IF(AND(ISNUMBER(AI22),ISNUMBER(AI11)),IFERROR(AI22/AI11,""),"")</f>
        <v/>
      </c>
      <c r="AJ23" s="42" t="str">
        <f aca="false">IF(AND(ISNUMBER(AJ22),ISNUMBER(AJ11)),IFERROR(AJ22/AJ11,""),"")</f>
        <v/>
      </c>
      <c r="AK23" s="42" t="str">
        <f aca="false">IF(AND(ISNUMBER(AK22),ISNUMBER(AK11)),IFERROR(AK22/AK11,""),"")</f>
        <v/>
      </c>
      <c r="AL23" s="42" t="str">
        <f aca="false">IF(AND(ISNUMBER(AL22),ISNUMBER(AL11)),IFERROR(AL22/AL11,""),"")</f>
        <v/>
      </c>
      <c r="AM23" s="42" t="str">
        <f aca="false">IF(AND(ISNUMBER(AM22),ISNUMBER(AM11)),IFERROR(AM22/AM11,""),"")</f>
        <v/>
      </c>
      <c r="AN23" s="42" t="str">
        <f aca="false">IF(AND(ISNUMBER(AN22),ISNUMBER(AN11)),IFERROR(AN22/AN11,""),"")</f>
        <v/>
      </c>
      <c r="AO23" s="42" t="str">
        <f aca="false">IF(AND(ISNUMBER(AO22),ISNUMBER(AO11)),IFERROR(AO22/AO11,""),"")</f>
        <v/>
      </c>
      <c r="AP23" s="42" t="str">
        <f aca="false">IF(AND(ISNUMBER(AP22),ISNUMBER(AP11)),IFERROR(AP22/AP11,""),"")</f>
        <v/>
      </c>
      <c r="AQ23" s="42" t="str">
        <f aca="false">IF(AND(ISNUMBER(AQ22),ISNUMBER(AQ11)),IFERROR(AQ22/AQ11,""),"")</f>
        <v/>
      </c>
      <c r="AR23" s="42" t="str">
        <f aca="false">IF(AND(ISNUMBER(AR22),ISNUMBER(AR11)),IFERROR(AR22/AR11,""),"")</f>
        <v/>
      </c>
      <c r="AS23" s="42" t="str">
        <f aca="false">IF(AND(ISNUMBER(AS22),ISNUMBER(AS11)),IFERROR(AS22/AS11,""),"")</f>
        <v/>
      </c>
      <c r="AT23" s="42" t="str">
        <f aca="false">IF(AND(ISNUMBER(AT22),ISNUMBER(AT11)),IFERROR(AT22/AT11,""),"")</f>
        <v/>
      </c>
      <c r="AU23" s="42" t="str">
        <f aca="false">IF(AND(ISNUMBER(AU22),ISNUMBER(AU11)),IFERROR(AU22/AU11,""),"")</f>
        <v/>
      </c>
      <c r="AV23" s="42" t="str">
        <f aca="false">IF(AND(ISNUMBER(AV22),ISNUMBER(AV11)),IFERROR(AV22/AV11,""),"")</f>
        <v/>
      </c>
      <c r="AW23" s="42" t="str">
        <f aca="false">IF(AND(ISNUMBER(AW22),ISNUMBER(AW11)),IFERROR(AW22/AW11,""),"")</f>
        <v/>
      </c>
      <c r="AX23" s="42" t="str">
        <f aca="false">IF(AND(ISNUMBER(AX22),ISNUMBER(AX11)),IFERROR(AX22/AX11,""),"")</f>
        <v/>
      </c>
      <c r="AY23" s="42" t="str">
        <f aca="false">IF(AND(ISNUMBER(AY22),ISNUMBER(AY11)),IFERROR(AY22/AY11,""),"")</f>
        <v/>
      </c>
      <c r="AZ23" s="42" t="str">
        <f aca="false">IF(AND(ISNUMBER(AZ22),ISNUMBER(AZ11)),IFERROR(AZ22/AZ11,""),"")</f>
        <v/>
      </c>
      <c r="BA23" s="42" t="str">
        <f aca="false">IF(AND(ISNUMBER(BA22),ISNUMBER(BA11)),IFERROR(BA22/BA11,""),"")</f>
        <v/>
      </c>
      <c r="BB23" s="42" t="str">
        <f aca="false">IF(AND(ISNUMBER(BB22),ISNUMBER(BB11)),IFERROR(BB22/BB11,""),"")</f>
        <v/>
      </c>
      <c r="BC23" s="42" t="str">
        <f aca="false">IF(AND(ISNUMBER(BC22),ISNUMBER(BC11)),IFERROR(BC22/BC11,""),"")</f>
        <v/>
      </c>
      <c r="BD23" s="42" t="str">
        <f aca="false">IF(AND(ISNUMBER(BD22),ISNUMBER(BD11)),IFERROR(BD22/BD11,""),"")</f>
        <v/>
      </c>
      <c r="BE23" s="42" t="str">
        <f aca="false">IF(AND(ISNUMBER(BE22),ISNUMBER(BE11)),IFERROR(BE22/BE11,""),"")</f>
        <v/>
      </c>
      <c r="BF23" s="42" t="str">
        <f aca="false">IF(AND(ISNUMBER(BF22),ISNUMBER(BF11)),IFERROR(BF22/BF11,""),"")</f>
        <v/>
      </c>
      <c r="BG23" s="42" t="n">
        <f aca="false">IF(AND(ISNUMBER(BG22),ISNUMBER(BG11)),IFERROR(BG22/BG11,""),"")</f>
        <v>0.436172642155743</v>
      </c>
      <c r="BH23" s="42" t="n">
        <f aca="false">IF(AND(ISNUMBER(BH22),ISNUMBER(BH11)),IFERROR(BH22/BH11,""),"")</f>
        <v>0.436158798283262</v>
      </c>
      <c r="BI23" s="42" t="n">
        <f aca="false">IF(AND(ISNUMBER(BI22),ISNUMBER(BI11)),IFERROR(BI22/BI11,""),"")</f>
        <v>0.370291777188329</v>
      </c>
      <c r="BJ23" s="42" t="n">
        <f aca="false">IF(AND(ISNUMBER(BJ22),ISNUMBER(BJ11)),IFERROR(BJ22/BJ11,""),"")</f>
        <v>0.379206730769231</v>
      </c>
      <c r="BK23" s="42" t="n">
        <f aca="false">IF(AND(ISNUMBER(BK22),ISNUMBER(BK11)),IFERROR(BK22/BK11,""),"")</f>
        <v>0.358726549175668</v>
      </c>
      <c r="BL23" s="42" t="n">
        <f aca="false">IF(AND(ISNUMBER(BL22),ISNUMBER(BL11)),IFERROR(BL22/BL11,""),"")</f>
        <v>0.386642498605689</v>
      </c>
      <c r="BM23" s="42" t="n">
        <f aca="false">IF(AND(ISNUMBER(BM22),ISNUMBER(BM11)),IFERROR(BM22/BM11,""),"")</f>
        <v>0.356299212598425</v>
      </c>
      <c r="BN23" s="42" t="n">
        <f aca="false">IF(AND(ISNUMBER(BN22),ISNUMBER(BN11)),IFERROR(BN22/BN11,""),"")</f>
        <v>0.394629305312318</v>
      </c>
      <c r="BO23" s="42" t="n">
        <f aca="false">IF(AND(ISNUMBER(BO22),ISNUMBER(BO11)),IFERROR(BO22/BO11,""),"")</f>
        <v>0.367816091954023</v>
      </c>
      <c r="BP23" s="42" t="n">
        <f aca="false">IF(AND(ISNUMBER(BP22),ISNUMBER(BP11)),IFERROR(BP22/BP11,""),"")</f>
        <v>0.385767790262172</v>
      </c>
      <c r="BQ23" s="42" t="n">
        <f aca="false">IF(AND(ISNUMBER(BQ22),ISNUMBER(BQ11)),IFERROR(BQ22/BQ11,""),"")</f>
        <v>0.376978843024116</v>
      </c>
      <c r="BR23" s="42" t="n">
        <f aca="false">IF(AND(ISNUMBER(BR22),ISNUMBER(BR11)),IFERROR(BR22/BR11,""),"")</f>
        <v>0.415012406947891</v>
      </c>
      <c r="BS23" s="42" t="n">
        <f aca="false">IF(AND(ISNUMBER(BS22),ISNUMBER(BS11)),IFERROR(BS22/BS11,""),"")</f>
        <v>0.41027027027027</v>
      </c>
      <c r="BT23" s="42" t="n">
        <f aca="false">IF(AND(ISNUMBER(BT22),ISNUMBER(BT11)),IFERROR(BT22/BT11,""),"")</f>
        <v>0.372080088987764</v>
      </c>
      <c r="BU23" s="42" t="n">
        <f aca="false">IF(AND(ISNUMBER(BU22),ISNUMBER(BU11)),IFERROR(BU22/BU11,""),"")</f>
        <v>0.378750614854894</v>
      </c>
      <c r="BV23" s="42" t="n">
        <f aca="false">IF(AND(ISNUMBER(BV22),ISNUMBER(BV11)),IFERROR(BV22/BV11,""),"")</f>
        <v>0.393116687234334</v>
      </c>
      <c r="BW23" s="42" t="n">
        <f aca="false">IF(AND(ISNUMBER(BW22),ISNUMBER(BW11)),IFERROR(BW22/BW11,""),"")</f>
        <v>0.427378964941569</v>
      </c>
      <c r="BX23" s="42" t="n">
        <f aca="false">IF(AND(ISNUMBER(BX22),ISNUMBER(BX11)),IFERROR(BX22/BX11,""),"")</f>
        <v>0.409895833333333</v>
      </c>
      <c r="BY23" s="26" t="n">
        <f aca="false">BY24+BY134</f>
        <v>0.365233972709802</v>
      </c>
      <c r="BZ23" s="26" t="n">
        <f aca="false">BZ24+BZ134</f>
        <v>0.405669224194113</v>
      </c>
      <c r="CA23" s="26" t="n">
        <f aca="false">IF(AND(ISNUMBER(CA22),ISNUMBER(CA11)),IFERROR(CA22/CA11,""),"")</f>
        <v>0.401904121306533</v>
      </c>
      <c r="CB23" s="26" t="n">
        <f aca="false">CHOOSE(MATCH($CF$2,{"Bull","Base","Bear"},0),$CO$48,$CP$48,$CQ$48)</f>
        <v>0.395</v>
      </c>
      <c r="CC23" s="26" t="n">
        <f aca="false">CHOOSE(MATCH($CF$2,{"Bull","Base","Bear"},0),$CO$49,$CP$49,$CQ$49)</f>
        <v>0.4</v>
      </c>
      <c r="CD23" s="26" t="n">
        <f aca="false">CHOOSE(MATCH($CF$2,{"Bull","Base","Bear"},0),$CO$50,$CP$50,$CQ$50)</f>
        <v>0.405</v>
      </c>
      <c r="CE23" s="26" t="n">
        <f aca="false">CHOOSE(MATCH($CF$2,{"Bull","Base","Bear"},0),$CO$51,$CP$51,$CQ$51)</f>
        <v>0.41</v>
      </c>
      <c r="CF23" s="7" t="s">
        <v>129</v>
      </c>
      <c r="CH23" s="32" t="n">
        <f aca="false">IFERROR(AVERAGE(CA23,CB23,CC23,CD23,CE23),"n/m")</f>
        <v>0.402380824261307</v>
      </c>
      <c r="CI23" s="32" t="n">
        <f aca="false">IFERROR(AVERAGE(BB23,BG23,BL23,BQ23,BV23),"n/m")</f>
        <v>0.398227667754971</v>
      </c>
      <c r="CJ23" s="32" t="n">
        <f aca="false">IFERROR(AVERAGE(AC23,AH23,AM23,AR23,AW23,BB23,BG23,BL23,BQ23,BV23),"n/m")</f>
        <v>0.398227667754971</v>
      </c>
      <c r="CK23" s="32" t="n">
        <f aca="false">IFERROR(AVERAGE(C23,D23,E23,F23,G23,H23,I23,N23,S23,X23,AC23,AH23,AM23,AR23,AW23,BB23,BG23,BL23,BQ23,BV23),"n/m")</f>
        <v>0.398227667754971</v>
      </c>
    </row>
    <row r="24" customFormat="false" ht="15" hidden="false" customHeight="true" outlineLevel="0" collapsed="false">
      <c r="B24" s="27" t="s">
        <v>130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26" t="n">
        <f aca="false">BT23+((BW22+BX22)/(BW11+BX11)-(BR22+BS22)/(BR11+BS11))</f>
        <v>0.377949882978464</v>
      </c>
      <c r="BZ24" s="26" t="n">
        <f aca="false">BU23+((BW22+BX22)/(BW11+BX11)-(BR22+BS22)/(BR11+BS11))</f>
        <v>0.384620408845594</v>
      </c>
      <c r="CA24" s="31"/>
      <c r="CB24" s="31"/>
      <c r="CC24" s="31"/>
      <c r="CD24" s="31"/>
      <c r="CE24" s="31"/>
      <c r="CF24" s="7" t="s">
        <v>131</v>
      </c>
    </row>
    <row r="25" customFormat="false" ht="15" hidden="false" customHeight="true" outlineLevel="0" collapsed="false">
      <c r="B25" s="27" t="s">
        <v>132</v>
      </c>
      <c r="C25" s="34"/>
      <c r="D25" s="42" t="str">
        <f aca="false">IFERROR((D22-C22)/(D11-C11),"")</f>
        <v/>
      </c>
      <c r="E25" s="42" t="str">
        <f aca="false">IFERROR((E22-D22)/(E11-D11),"")</f>
        <v/>
      </c>
      <c r="F25" s="42" t="str">
        <f aca="false">IFERROR((F22-E22)/(F11-E11),"")</f>
        <v/>
      </c>
      <c r="G25" s="42" t="str">
        <f aca="false">IFERROR((G22-F22)/(G11-F11),"")</f>
        <v/>
      </c>
      <c r="H25" s="42" t="str">
        <f aca="false">IFERROR((H22-G22)/(H11-G11),"")</f>
        <v/>
      </c>
      <c r="I25" s="42" t="str">
        <f aca="false">IFERROR((I22-H22)/(I11-H11),"")</f>
        <v/>
      </c>
      <c r="J25" s="34"/>
      <c r="K25" s="34"/>
      <c r="L25" s="34"/>
      <c r="M25" s="34"/>
      <c r="N25" s="42" t="str">
        <f aca="false">IFERROR((N22-I22)/(N11-I11),"")</f>
        <v/>
      </c>
      <c r="O25" s="42" t="str">
        <f aca="false">IFERROR((O22-J22)/(O11-J11),"")</f>
        <v/>
      </c>
      <c r="P25" s="42" t="str">
        <f aca="false">IFERROR((P22-K22)/(P11-K11),"")</f>
        <v/>
      </c>
      <c r="Q25" s="42" t="str">
        <f aca="false">IFERROR((Q22-L22)/(Q11-L11),"")</f>
        <v/>
      </c>
      <c r="R25" s="42" t="str">
        <f aca="false">IFERROR((R22-M22)/(R11-M11),"")</f>
        <v/>
      </c>
      <c r="S25" s="42" t="str">
        <f aca="false">IFERROR((S22-N22)/(S11-N11),"")</f>
        <v/>
      </c>
      <c r="T25" s="42" t="str">
        <f aca="false">IFERROR((T22-O22)/(T11-O11),"")</f>
        <v/>
      </c>
      <c r="U25" s="42" t="str">
        <f aca="false">IFERROR((U22-P22)/(U11-P11),"")</f>
        <v/>
      </c>
      <c r="V25" s="42" t="str">
        <f aca="false">IFERROR((V22-Q22)/(V11-Q11),"")</f>
        <v/>
      </c>
      <c r="W25" s="42" t="str">
        <f aca="false">IFERROR((W22-R22)/(W11-R11),"")</f>
        <v/>
      </c>
      <c r="X25" s="42" t="str">
        <f aca="false">IFERROR((X22-S22)/(X11-S11),"")</f>
        <v/>
      </c>
      <c r="Y25" s="42" t="str">
        <f aca="false">IFERROR((Y22-T22)/(Y11-T11),"")</f>
        <v/>
      </c>
      <c r="Z25" s="42" t="str">
        <f aca="false">IFERROR((Z22-U22)/(Z11-U11),"")</f>
        <v/>
      </c>
      <c r="AA25" s="42" t="str">
        <f aca="false">IFERROR((AA22-V22)/(AA11-V11),"")</f>
        <v/>
      </c>
      <c r="AB25" s="42" t="str">
        <f aca="false">IFERROR((AB22-W22)/(AB11-W11),"")</f>
        <v/>
      </c>
      <c r="AC25" s="42" t="str">
        <f aca="false">IFERROR((AC22-X22)/(AC11-X11),"")</f>
        <v/>
      </c>
      <c r="AD25" s="42" t="str">
        <f aca="false">IFERROR((AD22-Y22)/(AD11-Y11),"")</f>
        <v/>
      </c>
      <c r="AE25" s="42" t="str">
        <f aca="false">IFERROR((AE22-Z22)/(AE11-Z11),"")</f>
        <v/>
      </c>
      <c r="AF25" s="42" t="str">
        <f aca="false">IFERROR((AF22-AA22)/(AF11-AA11),"")</f>
        <v/>
      </c>
      <c r="AG25" s="42" t="str">
        <f aca="false">IFERROR((AG22-AB22)/(AG11-AB11),"")</f>
        <v/>
      </c>
      <c r="AH25" s="42" t="str">
        <f aca="false">IFERROR((AH22-AC22)/(AH11-AC11),"")</f>
        <v/>
      </c>
      <c r="AI25" s="42" t="str">
        <f aca="false">IFERROR((AI22-AD22)/(AI11-AD11),"")</f>
        <v/>
      </c>
      <c r="AJ25" s="42" t="str">
        <f aca="false">IFERROR((AJ22-AE22)/(AJ11-AE11),"")</f>
        <v/>
      </c>
      <c r="AK25" s="42" t="str">
        <f aca="false">IFERROR((AK22-AF22)/(AK11-AF11),"")</f>
        <v/>
      </c>
      <c r="AL25" s="42" t="str">
        <f aca="false">IFERROR((AL22-AG22)/(AL11-AG11),"")</f>
        <v/>
      </c>
      <c r="AM25" s="42" t="str">
        <f aca="false">IFERROR((AM22-AH22)/(AM11-AH11),"")</f>
        <v/>
      </c>
      <c r="AN25" s="42" t="str">
        <f aca="false">IFERROR((AN22-AI22)/(AN11-AI11),"")</f>
        <v/>
      </c>
      <c r="AO25" s="42" t="str">
        <f aca="false">IFERROR((AO22-AJ22)/(AO11-AJ11),"")</f>
        <v/>
      </c>
      <c r="AP25" s="42" t="str">
        <f aca="false">IFERROR((AP22-AK22)/(AP11-AK11),"")</f>
        <v/>
      </c>
      <c r="AQ25" s="42" t="str">
        <f aca="false">IFERROR((AQ22-AL22)/(AQ11-AL11),"")</f>
        <v/>
      </c>
      <c r="AR25" s="42" t="str">
        <f aca="false">IFERROR((AR22-AM22)/(AR11-AM11),"")</f>
        <v/>
      </c>
      <c r="AS25" s="42" t="str">
        <f aca="false">IFERROR((AS22-AN22)/(AS11-AN11),"")</f>
        <v/>
      </c>
      <c r="AT25" s="42" t="str">
        <f aca="false">IFERROR((AT22-AO22)/(AT11-AO11),"")</f>
        <v/>
      </c>
      <c r="AU25" s="42" t="str">
        <f aca="false">IFERROR((AU22-AP22)/(AU11-AP11),"")</f>
        <v/>
      </c>
      <c r="AV25" s="42" t="str">
        <f aca="false">IFERROR((AV22-AQ22)/(AV11-AQ11),"")</f>
        <v/>
      </c>
      <c r="AW25" s="42" t="str">
        <f aca="false">IFERROR((AW22-AR22)/(AW11-AR11),"")</f>
        <v/>
      </c>
      <c r="AX25" s="42" t="str">
        <f aca="false">IFERROR((AX22-AS22)/(AX11-AS11),"")</f>
        <v/>
      </c>
      <c r="AY25" s="42" t="str">
        <f aca="false">IFERROR((AY22-AT22)/(AY11-AT11),"")</f>
        <v/>
      </c>
      <c r="AZ25" s="42" t="str">
        <f aca="false">IFERROR((AZ22-AU22)/(AZ11-AU11),"")</f>
        <v/>
      </c>
      <c r="BA25" s="42" t="str">
        <f aca="false">IFERROR((BA22-AV22)/(BA11-AV11),"")</f>
        <v/>
      </c>
      <c r="BB25" s="42" t="str">
        <f aca="false">IFERROR((BB22-AW22)/(BB11-AW11),"")</f>
        <v/>
      </c>
      <c r="BC25" s="42" t="str">
        <f aca="false">IFERROR((BC22-AX22)/(BC11-AX11),"")</f>
        <v/>
      </c>
      <c r="BD25" s="42" t="str">
        <f aca="false">IFERROR((BD22-AY22)/(BD11-AY11),"")</f>
        <v/>
      </c>
      <c r="BE25" s="42" t="str">
        <f aca="false">IFERROR((BE22-AZ22)/(BE11-AZ11),"")</f>
        <v/>
      </c>
      <c r="BF25" s="42" t="str">
        <f aca="false">IFERROR((BF22-BA22)/(BF11-BA11),"")</f>
        <v/>
      </c>
      <c r="BG25" s="42" t="str">
        <f aca="false">IFERROR((BG22-BB22)/(BG11-BB11),"")</f>
        <v/>
      </c>
      <c r="BH25" s="42" t="str">
        <f aca="false">IFERROR((BH22-BC22)/(BH11-BC11),"")</f>
        <v/>
      </c>
      <c r="BI25" s="42" t="str">
        <f aca="false">IFERROR((BI22-BD22)/(BI11-BD11),"")</f>
        <v/>
      </c>
      <c r="BJ25" s="42" t="str">
        <f aca="false">IFERROR((BJ22-BE22)/(BJ11-BE11),"")</f>
        <v/>
      </c>
      <c r="BK25" s="42" t="str">
        <f aca="false">IFERROR((BK22-BF22)/(BK11-BF11),"")</f>
        <v/>
      </c>
      <c r="BL25" s="42" t="n">
        <f aca="false">IFERROR((BL22-BG22)/(BL11-BG11),"")</f>
        <v>0.66015132408575</v>
      </c>
      <c r="BM25" s="42" t="n">
        <f aca="false">IFERROR((BM22-BH22)/(BM11-BH11),"")</f>
        <v>0.794117647058824</v>
      </c>
      <c r="BN25" s="42" t="n">
        <f aca="false">IFERROR((BN22-BI22)/(BN11-BI11),"")</f>
        <v>0.127906976744186</v>
      </c>
      <c r="BO25" s="42" t="n">
        <f aca="false">IFERROR((BO22-BJ22)/(BO11-BJ11),"")</f>
        <v>2.09090909090909</v>
      </c>
      <c r="BP25" s="42" t="n">
        <f aca="false">IFERROR((BP22-BK22)/(BP11-BK11),"")</f>
        <v>0.818181818181818</v>
      </c>
      <c r="BQ25" s="42" t="n">
        <f aca="false">IFERROR((BQ22-BL22)/(BQ11-BL11),"")</f>
        <v>0.544794188861986</v>
      </c>
      <c r="BR25" s="42" t="n">
        <f aca="false">IFERROR((BR22-BM22)/(BR11-BM11),"")</f>
        <v>1.43181818181818</v>
      </c>
      <c r="BS25" s="42" t="n">
        <f aca="false">IFERROR((BS22-BN22)/(BS11-BN11),"")</f>
        <v>0.605839416058394</v>
      </c>
      <c r="BT25" s="42" t="n">
        <f aca="false">IFERROR((BT22-BO22)/(BT11-BO11),"")</f>
        <v>0.420689655172414</v>
      </c>
      <c r="BU25" s="42" t="n">
        <f aca="false">IFERROR((BU22-BP22)/(BU11-BP11),"")</f>
        <v>0.298780487804878</v>
      </c>
      <c r="BV25" s="42" t="n">
        <f aca="false">IFERROR((BV22-BQ22)/(BV11-BQ11),"")</f>
        <v>0.597378277153558</v>
      </c>
      <c r="BW25" s="42" t="n">
        <f aca="false">IFERROR((BW22-BR22)/(BW11-BR11),"")</f>
        <v>0.535135135135135</v>
      </c>
      <c r="BX25" s="42" t="n">
        <f aca="false">IFERROR((BX22-BS22)/(BX11-BS11),"")</f>
        <v>0.4</v>
      </c>
      <c r="BY25" s="26" t="n">
        <f aca="false">IFERROR((BY22-BT22)/(BY11-BT11),"")</f>
        <v>0.233119265575555</v>
      </c>
      <c r="BZ25" s="26" t="n">
        <f aca="false">IFERROR((BZ22-BU22)/(BZ11-BU11),"")</f>
        <v>0.765449952606066</v>
      </c>
      <c r="CA25" s="26" t="n">
        <f aca="false">IFERROR((CA22-BV22)/(CA11-BV11),"")</f>
        <v>0.530006037845732</v>
      </c>
      <c r="CB25" s="26" t="n">
        <f aca="false">IFERROR((CB22-CA22)/(CB11-CA11),"")</f>
        <v>0.296369695620963</v>
      </c>
      <c r="CC25" s="26" t="n">
        <f aca="false">IFERROR((CC22-CB22)/(CC11-CB11),"")</f>
        <v>0.466666666666667</v>
      </c>
      <c r="CD25" s="26" t="n">
        <f aca="false">IFERROR((CD22-CC22)/(CD11-CC11),"")</f>
        <v>0.471666666666667</v>
      </c>
      <c r="CE25" s="26" t="n">
        <f aca="false">IFERROR((CE22-CD22)/(CE11-CD11),"")</f>
        <v>0.476666666666666</v>
      </c>
      <c r="CF25" s="7"/>
    </row>
    <row r="26" customFormat="false" ht="15" hidden="false" customHeight="true" outlineLevel="0" collapsed="false">
      <c r="B26" s="27" t="s">
        <v>133</v>
      </c>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40" t="n">
        <v>190</v>
      </c>
      <c r="BH26" s="40" t="n">
        <v>40</v>
      </c>
      <c r="BI26" s="40" t="n">
        <v>39</v>
      </c>
      <c r="BJ26" s="40" t="n">
        <v>40</v>
      </c>
      <c r="BK26" s="40" t="n">
        <v>43</v>
      </c>
      <c r="BL26" s="40" t="n">
        <v>162</v>
      </c>
      <c r="BM26" s="40" t="n">
        <v>42</v>
      </c>
      <c r="BN26" s="40" t="n">
        <v>35</v>
      </c>
      <c r="BO26" s="40" t="n">
        <v>36</v>
      </c>
      <c r="BP26" s="40" t="n">
        <v>38</v>
      </c>
      <c r="BQ26" s="40" t="n">
        <v>151</v>
      </c>
      <c r="BR26" s="40" t="n">
        <v>34</v>
      </c>
      <c r="BS26" s="40" t="n">
        <v>38</v>
      </c>
      <c r="BT26" s="40" t="n">
        <v>38</v>
      </c>
      <c r="BU26" s="40" t="n">
        <v>39</v>
      </c>
      <c r="BV26" s="40" t="n">
        <v>149</v>
      </c>
      <c r="BW26" s="40" t="n">
        <v>40</v>
      </c>
      <c r="BX26" s="40" t="n">
        <v>40</v>
      </c>
      <c r="BY26" s="45"/>
      <c r="BZ26" s="45"/>
      <c r="CA26" s="45"/>
      <c r="CB26" s="45"/>
      <c r="CC26" s="45"/>
      <c r="CD26" s="45"/>
      <c r="CE26" s="45"/>
      <c r="CF26" s="37"/>
    </row>
    <row r="27" customFormat="false" ht="15" hidden="false" customHeight="true" outlineLevel="0" collapsed="false"/>
    <row r="28" customFormat="false" ht="15" hidden="false" customHeight="true" outlineLevel="0" collapsed="false">
      <c r="B28" s="16" t="s">
        <v>134</v>
      </c>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7" t="s">
        <v>135</v>
      </c>
    </row>
    <row r="29" customFormat="false" ht="15" hidden="false" customHeight="true" outlineLevel="0" collapsed="false">
      <c r="B29" s="18" t="s">
        <v>136</v>
      </c>
      <c r="C29" s="19"/>
      <c r="D29" s="19"/>
      <c r="E29" s="19"/>
      <c r="F29" s="19"/>
      <c r="G29" s="19"/>
      <c r="H29" s="19"/>
      <c r="I29" s="19"/>
      <c r="J29" s="19"/>
      <c r="K29" s="19"/>
      <c r="L29" s="19"/>
      <c r="M29" s="19"/>
      <c r="N29" s="19"/>
      <c r="O29" s="19"/>
      <c r="P29" s="19"/>
      <c r="Q29" s="19"/>
      <c r="R29" s="19"/>
      <c r="S29" s="19"/>
      <c r="T29" s="19"/>
      <c r="U29" s="19"/>
      <c r="V29" s="20" t="n">
        <v>804.5</v>
      </c>
      <c r="W29" s="20" t="n">
        <v>1374.1</v>
      </c>
      <c r="X29" s="20" t="n">
        <v>3314.6</v>
      </c>
      <c r="Y29" s="20" t="n">
        <v>1258.1</v>
      </c>
      <c r="Z29" s="20" t="n">
        <v>1328.3</v>
      </c>
      <c r="AA29" s="20" t="n">
        <v>1325.4</v>
      </c>
      <c r="AB29" s="20" t="n">
        <v>1454.1</v>
      </c>
      <c r="AC29" s="20" t="n">
        <v>5365.9</v>
      </c>
      <c r="AD29" s="20" t="n">
        <v>1308.1</v>
      </c>
      <c r="AE29" s="20" t="n">
        <v>1384.3</v>
      </c>
      <c r="AF29" s="20" t="n">
        <v>1392.6</v>
      </c>
      <c r="AG29" s="20" t="n">
        <v>1625.1</v>
      </c>
      <c r="AH29" s="20" t="n">
        <v>5710.1</v>
      </c>
      <c r="AI29" s="20" t="n">
        <v>1476</v>
      </c>
      <c r="AJ29" s="20" t="n">
        <v>1605.2</v>
      </c>
      <c r="AK29" s="20" t="n">
        <v>1596.7</v>
      </c>
      <c r="AL29" s="20" t="n">
        <v>1793.5</v>
      </c>
      <c r="AM29" s="20" t="n">
        <v>6471.4</v>
      </c>
      <c r="AN29" s="20" t="n">
        <v>1626.9</v>
      </c>
      <c r="AO29" s="20" t="n">
        <v>1712.6</v>
      </c>
      <c r="AP29" s="20" t="n">
        <v>1695.6</v>
      </c>
      <c r="AQ29" s="20" t="n">
        <v>1916</v>
      </c>
      <c r="AR29" s="20" t="n">
        <v>6951.1</v>
      </c>
      <c r="AS29" s="20" t="n">
        <v>1650.4</v>
      </c>
      <c r="AT29" s="20" t="n">
        <v>2642.4</v>
      </c>
      <c r="AU29" s="20" t="n">
        <v>2922.5</v>
      </c>
      <c r="AV29" s="20" t="n">
        <v>3361</v>
      </c>
      <c r="AW29" s="20" t="n">
        <v>10576</v>
      </c>
      <c r="AX29" s="20" t="n">
        <v>3546</v>
      </c>
      <c r="AY29" s="20" t="n">
        <v>3734</v>
      </c>
      <c r="AZ29" s="20" t="n">
        <v>3632</v>
      </c>
      <c r="BA29" s="20" t="n">
        <v>4046</v>
      </c>
      <c r="BB29" s="20" t="n">
        <v>6388</v>
      </c>
      <c r="BC29" s="20" t="n">
        <v>3882</v>
      </c>
      <c r="BD29" s="20" t="n">
        <v>3967</v>
      </c>
      <c r="BE29" s="20" t="n">
        <v>3776</v>
      </c>
      <c r="BF29" s="20" t="n">
        <v>1946</v>
      </c>
      <c r="BG29" s="20" t="n">
        <v>7036</v>
      </c>
      <c r="BH29" s="20" t="n">
        <v>1709</v>
      </c>
      <c r="BI29" s="20" t="n">
        <v>1796</v>
      </c>
      <c r="BJ29" s="20" t="n">
        <v>1706</v>
      </c>
      <c r="BK29" s="20" t="n">
        <v>1930</v>
      </c>
      <c r="BL29" s="20" t="n">
        <v>7141</v>
      </c>
      <c r="BM29" s="20" t="n">
        <v>1745</v>
      </c>
      <c r="BN29" s="20" t="n">
        <v>1770</v>
      </c>
      <c r="BO29" s="20" t="n">
        <v>1782</v>
      </c>
      <c r="BP29" s="20" t="n">
        <v>2032</v>
      </c>
      <c r="BQ29" s="20" t="n">
        <v>7329</v>
      </c>
      <c r="BR29" s="20" t="n">
        <v>1680</v>
      </c>
      <c r="BS29" s="20" t="n">
        <v>1777</v>
      </c>
      <c r="BT29" s="20" t="n">
        <v>1792</v>
      </c>
      <c r="BU29" s="20" t="n">
        <v>2085</v>
      </c>
      <c r="BV29" s="20" t="n">
        <v>7334</v>
      </c>
      <c r="BW29" s="20" t="n">
        <v>1737</v>
      </c>
      <c r="BX29" s="20" t="n">
        <v>1879</v>
      </c>
      <c r="BY29" s="21" t="n">
        <f aca="false">BT29*(1+BY31+BY34)</f>
        <v>1857.98051974246</v>
      </c>
      <c r="BZ29" s="21" t="n">
        <f aca="false">BU29*(1+BZ31+BZ34)</f>
        <v>2178.44862927624</v>
      </c>
      <c r="CA29" s="21" t="n">
        <f aca="false">SUM(BW29,BX29,BY29,BZ29)</f>
        <v>7652.4291490187</v>
      </c>
      <c r="CB29" s="21" t="n">
        <f aca="false">CA29*(1+CB31)</f>
        <v>7958.52631497944</v>
      </c>
      <c r="CC29" s="21" t="n">
        <f aca="false">CB29*(1+CC31)</f>
        <v>8316.65999915352</v>
      </c>
      <c r="CD29" s="21" t="n">
        <f aca="false">CC29*(1+CD31)</f>
        <v>8690.90969911543</v>
      </c>
      <c r="CE29" s="21" t="n">
        <f aca="false">CD29*(1+CE31)</f>
        <v>9082.00063557562</v>
      </c>
      <c r="CF29" s="7" t="s">
        <v>86</v>
      </c>
      <c r="CH29" s="22" t="n">
        <f aca="false">IFERROR((CE29/BV29)^(1/5)-1,"n/m")</f>
        <v>0.0436818343068426</v>
      </c>
      <c r="CI29" s="22" t="n">
        <f aca="false">IFERROR((BV29/AW29)^(1/5)-1,"n/m")</f>
        <v>-0.0705973794236146</v>
      </c>
      <c r="CJ29" s="22" t="n">
        <f aca="false">IFERROR((BV29/X29)^(1/10)-1,"n/m")</f>
        <v>0.0826572237572378</v>
      </c>
      <c r="CK29" s="22" t="str">
        <f aca="false">IFERROR((BV29/C29)^(1/19)-1,"n/m")</f>
        <v>n/m</v>
      </c>
    </row>
    <row r="30" customFormat="false" ht="15" hidden="false" customHeight="true" outlineLevel="0" collapsed="false">
      <c r="B30" s="24" t="s">
        <v>92</v>
      </c>
      <c r="D30" s="25" t="str">
        <f aca="false">IF(AND(ISNUMBER(D29),ISNUMBER(C29)),IFERROR(D29/C29-1,""),"")</f>
        <v/>
      </c>
      <c r="E30" s="25" t="str">
        <f aca="false">IF(AND(ISNUMBER(E29),ISNUMBER(D29)),IFERROR(E29/D29-1,""),"")</f>
        <v/>
      </c>
      <c r="F30" s="25" t="str">
        <f aca="false">IF(AND(ISNUMBER(F29),ISNUMBER(E29)),IFERROR(F29/E29-1,""),"")</f>
        <v/>
      </c>
      <c r="G30" s="25" t="str">
        <f aca="false">IF(AND(ISNUMBER(G29),ISNUMBER(F29)),IFERROR(G29/F29-1,""),"")</f>
        <v/>
      </c>
      <c r="H30" s="25" t="str">
        <f aca="false">IF(AND(ISNUMBER(H29),ISNUMBER(G29)),IFERROR(H29/G29-1,""),"")</f>
        <v/>
      </c>
      <c r="I30" s="25" t="str">
        <f aca="false">IF(AND(ISNUMBER(I29),ISNUMBER(H29)),IFERROR(I29/H29-1,""),"")</f>
        <v/>
      </c>
      <c r="N30" s="25" t="str">
        <f aca="false">IF(AND(ISNUMBER(N29),ISNUMBER(I29)),IFERROR(N29/I29-1,""),"")</f>
        <v/>
      </c>
      <c r="O30" s="25" t="str">
        <f aca="false">IF(AND(ISNUMBER(O29),ISNUMBER(J29)),IFERROR(O29/J29-1,""),"")</f>
        <v/>
      </c>
      <c r="P30" s="25" t="str">
        <f aca="false">IF(AND(ISNUMBER(P29),ISNUMBER(K29)),IFERROR(P29/K29-1,""),"")</f>
        <v/>
      </c>
      <c r="Q30" s="25" t="str">
        <f aca="false">IF(AND(ISNUMBER(Q29),ISNUMBER(L29)),IFERROR(Q29/L29-1,""),"")</f>
        <v/>
      </c>
      <c r="R30" s="25" t="str">
        <f aca="false">IF(AND(ISNUMBER(R29),ISNUMBER(M29)),IFERROR(R29/M29-1,""),"")</f>
        <v/>
      </c>
      <c r="S30" s="25" t="str">
        <f aca="false">IF(AND(ISNUMBER(S29),ISNUMBER(N29)),IFERROR(S29/N29-1,""),"")</f>
        <v/>
      </c>
      <c r="T30" s="25" t="str">
        <f aca="false">IF(AND(ISNUMBER(T29),ISNUMBER(O29)),IFERROR(T29/O29-1,""),"")</f>
        <v/>
      </c>
      <c r="U30" s="25" t="str">
        <f aca="false">IF(AND(ISNUMBER(U29),ISNUMBER(P29)),IFERROR(U29/P29-1,""),"")</f>
        <v/>
      </c>
      <c r="V30" s="25" t="str">
        <f aca="false">IF(AND(ISNUMBER(V29),ISNUMBER(Q29)),IFERROR(V29/Q29-1,""),"")</f>
        <v/>
      </c>
      <c r="W30" s="25" t="str">
        <f aca="false">IF(AND(ISNUMBER(W29),ISNUMBER(R29)),IFERROR(W29/R29-1,""),"")</f>
        <v/>
      </c>
      <c r="X30" s="25" t="str">
        <f aca="false">IF(AND(ISNUMBER(X29),ISNUMBER(S29)),IFERROR(X29/S29-1,""),"")</f>
        <v/>
      </c>
      <c r="Y30" s="25" t="str">
        <f aca="false">IF(AND(ISNUMBER(Y29),ISNUMBER(T29)),IFERROR(Y29/T29-1,""),"")</f>
        <v/>
      </c>
      <c r="Z30" s="25" t="str">
        <f aca="false">IF(AND(ISNUMBER(Z29),ISNUMBER(U29)),IFERROR(Z29/U29-1,""),"")</f>
        <v/>
      </c>
      <c r="AA30" s="25" t="n">
        <f aca="false">IF(AND(ISNUMBER(AA29),ISNUMBER(V29)),IFERROR(AA29/V29-1,""),"")</f>
        <v>0.647482908638906</v>
      </c>
      <c r="AB30" s="25" t="n">
        <f aca="false">IF(AND(ISNUMBER(AB29),ISNUMBER(W29)),IFERROR(AB29/W29-1,""),"")</f>
        <v>0.0582199257695946</v>
      </c>
      <c r="AC30" s="25" t="n">
        <f aca="false">IF(AND(ISNUMBER(AC29),ISNUMBER(X29)),IFERROR(AC29/X29-1,""),"")</f>
        <v>0.618868038375671</v>
      </c>
      <c r="AD30" s="25" t="n">
        <f aca="false">IF(AND(ISNUMBER(AD29),ISNUMBER(Y29)),IFERROR(AD29/Y29-1,""),"")</f>
        <v>0.0397424688021619</v>
      </c>
      <c r="AE30" s="25" t="n">
        <f aca="false">IF(AND(ISNUMBER(AE29),ISNUMBER(Z29)),IFERROR(AE29/Z29-1,""),"")</f>
        <v>0.0421591507942483</v>
      </c>
      <c r="AF30" s="25" t="n">
        <f aca="false">IF(AND(ISNUMBER(AF29),ISNUMBER(AA29)),IFERROR(AF29/AA29-1,""),"")</f>
        <v>0.0507016749660478</v>
      </c>
      <c r="AG30" s="25" t="n">
        <f aca="false">IF(AND(ISNUMBER(AG29),ISNUMBER(AB29)),IFERROR(AG29/AB29-1,""),"")</f>
        <v>0.11759851454508</v>
      </c>
      <c r="AH30" s="25" t="n">
        <f aca="false">IF(AND(ISNUMBER(AH29),ISNUMBER(AC29)),IFERROR(AH29/AC29-1,""),"")</f>
        <v>0.064145809649826</v>
      </c>
      <c r="AI30" s="25" t="n">
        <f aca="false">IF(AND(ISNUMBER(AI29),ISNUMBER(AD29)),IFERROR(AI29/AD29-1,""),"")</f>
        <v>0.128354101368397</v>
      </c>
      <c r="AJ30" s="25" t="n">
        <f aca="false">IF(AND(ISNUMBER(AJ29),ISNUMBER(AE29)),IFERROR(AJ29/AE29-1,""),"")</f>
        <v>0.159575236581666</v>
      </c>
      <c r="AK30" s="25" t="n">
        <f aca="false">IF(AND(ISNUMBER(AK29),ISNUMBER(AF29)),IFERROR(AK29/AF29-1,""),"")</f>
        <v>0.14656039063622</v>
      </c>
      <c r="AL30" s="25" t="n">
        <f aca="false">IF(AND(ISNUMBER(AL29),ISNUMBER(AG29)),IFERROR(AL29/AG29-1,""),"")</f>
        <v>0.103624392345087</v>
      </c>
      <c r="AM30" s="25" t="n">
        <f aca="false">IF(AND(ISNUMBER(AM29),ISNUMBER(AH29)),IFERROR(AM29/AH29-1,""),"")</f>
        <v>0.133325160680198</v>
      </c>
      <c r="AN30" s="25" t="n">
        <f aca="false">IF(AND(ISNUMBER(AN29),ISNUMBER(AI29)),IFERROR(AN29/AI29-1,""),"")</f>
        <v>0.102235772357724</v>
      </c>
      <c r="AO30" s="25" t="n">
        <f aca="false">IF(AND(ISNUMBER(AO29),ISNUMBER(AJ29)),IFERROR(AO29/AJ29-1,""),"")</f>
        <v>0.0669075504610017</v>
      </c>
      <c r="AP30" s="25" t="n">
        <f aca="false">IF(AND(ISNUMBER(AP29),ISNUMBER(AK29)),IFERROR(AP29/AK29-1,""),"")</f>
        <v>0.061940251769274</v>
      </c>
      <c r="AQ30" s="25" t="n">
        <f aca="false">IF(AND(ISNUMBER(AQ29),ISNUMBER(AL29)),IFERROR(AQ29/AL29-1,""),"")</f>
        <v>0.0683022023975468</v>
      </c>
      <c r="AR30" s="25" t="n">
        <f aca="false">IF(AND(ISNUMBER(AR29),ISNUMBER(AM29)),IFERROR(AR29/AM29-1,""),"")</f>
        <v>0.0741261550823624</v>
      </c>
      <c r="AS30" s="25" t="n">
        <f aca="false">IF(AND(ISNUMBER(AS29),ISNUMBER(AN29)),IFERROR(AS29/AN29-1,""),"")</f>
        <v>0.0144446493330874</v>
      </c>
      <c r="AT30" s="25" t="n">
        <f aca="false">IF(AND(ISNUMBER(AT29),ISNUMBER(AO29)),IFERROR(AT29/AO29-1,""),"")</f>
        <v>0.542917201915217</v>
      </c>
      <c r="AU30" s="25" t="n">
        <f aca="false">IF(AND(ISNUMBER(AU29),ISNUMBER(AP29)),IFERROR(AU29/AP29-1,""),"")</f>
        <v>0.723578674215617</v>
      </c>
      <c r="AV30" s="25" t="n">
        <f aca="false">IF(AND(ISNUMBER(AV29),ISNUMBER(AQ29)),IFERROR(AV29/AQ29-1,""),"")</f>
        <v>0.754175365344468</v>
      </c>
      <c r="AW30" s="25" t="n">
        <f aca="false">IF(AND(ISNUMBER(AW29),ISNUMBER(AR29)),IFERROR(AW29/AR29-1,""),"")</f>
        <v>0.521485808001611</v>
      </c>
      <c r="AX30" s="25" t="n">
        <f aca="false">IF(AND(ISNUMBER(AX29),ISNUMBER(AS29)),IFERROR(AX29/AS29-1,""),"")</f>
        <v>1.14857004362579</v>
      </c>
      <c r="AY30" s="25" t="n">
        <f aca="false">IF(AND(ISNUMBER(AY29),ISNUMBER(AT29)),IFERROR(AY29/AT29-1,""),"")</f>
        <v>0.413109294580684</v>
      </c>
      <c r="AZ30" s="25" t="n">
        <f aca="false">IF(AND(ISNUMBER(AZ29),ISNUMBER(AU29)),IFERROR(AZ29/AU29-1,""),"")</f>
        <v>0.242771599657827</v>
      </c>
      <c r="BA30" s="25" t="n">
        <f aca="false">IF(AND(ISNUMBER(BA29),ISNUMBER(AV29)),IFERROR(BA29/AV29-1,""),"")</f>
        <v>0.203808390360012</v>
      </c>
      <c r="BB30" s="25" t="n">
        <f aca="false">IF(AND(ISNUMBER(BB29),ISNUMBER(AW29)),IFERROR(BB29/AW29-1,""),"")</f>
        <v>-0.395990922844176</v>
      </c>
      <c r="BC30" s="25" t="n">
        <f aca="false">IF(AND(ISNUMBER(BC29),ISNUMBER(AX29)),IFERROR(BC29/AX29-1,""),"")</f>
        <v>0.0947546531302876</v>
      </c>
      <c r="BD30" s="25" t="n">
        <f aca="false">IF(AND(ISNUMBER(BD29),ISNUMBER(AY29)),IFERROR(BD29/AY29-1,""),"")</f>
        <v>0.0623995715050885</v>
      </c>
      <c r="BE30" s="25" t="n">
        <f aca="false">IF(AND(ISNUMBER(BE29),ISNUMBER(AZ29)),IFERROR(BE29/AZ29-1,""),"")</f>
        <v>0.0396475770925111</v>
      </c>
      <c r="BF30" s="25" t="n">
        <f aca="false">IF(AND(ISNUMBER(BF29),ISNUMBER(BA29)),IFERROR(BF29/BA29-1,""),"")</f>
        <v>-0.519031141868512</v>
      </c>
      <c r="BG30" s="25" t="n">
        <f aca="false">IF(AND(ISNUMBER(BG29),ISNUMBER(BB29)),IFERROR(BG29/BB29-1,""),"")</f>
        <v>0.101440200375704</v>
      </c>
      <c r="BH30" s="25" t="n">
        <f aca="false">IF(AND(ISNUMBER(BH29),ISNUMBER(BC29)),IFERROR(BH29/BC29-1,""),"")</f>
        <v>-0.559763008758372</v>
      </c>
      <c r="BI30" s="25" t="n">
        <f aca="false">IF(AND(ISNUMBER(BI29),ISNUMBER(BD29)),IFERROR(BI29/BD29-1,""),"")</f>
        <v>-0.547264935719688</v>
      </c>
      <c r="BJ30" s="25" t="n">
        <f aca="false">IF(AND(ISNUMBER(BJ29),ISNUMBER(BE29)),IFERROR(BJ29/BE29-1,""),"")</f>
        <v>-0.548199152542373</v>
      </c>
      <c r="BK30" s="25" t="n">
        <f aca="false">IF(AND(ISNUMBER(BK29),ISNUMBER(BF29)),IFERROR(BK29/BF29-1,""),"")</f>
        <v>-0.00822199383350464</v>
      </c>
      <c r="BL30" s="25" t="n">
        <f aca="false">IF(AND(ISNUMBER(BL29),ISNUMBER(BG29)),IFERROR(BL29/BG29-1,""),"")</f>
        <v>0.0149232518476408</v>
      </c>
      <c r="BM30" s="25" t="n">
        <f aca="false">IF(AND(ISNUMBER(BM29),ISNUMBER(BH29)),IFERROR(BM29/BH29-1,""),"")</f>
        <v>0.0210649502633118</v>
      </c>
      <c r="BN30" s="25" t="n">
        <f aca="false">IF(AND(ISNUMBER(BN29),ISNUMBER(BI29)),IFERROR(BN29/BI29-1,""),"")</f>
        <v>-0.0144766146993318</v>
      </c>
      <c r="BO30" s="25" t="n">
        <f aca="false">IF(AND(ISNUMBER(BO29),ISNUMBER(BJ29)),IFERROR(BO29/BJ29-1,""),"")</f>
        <v>0.0445486518171161</v>
      </c>
      <c r="BP30" s="25" t="n">
        <f aca="false">IF(AND(ISNUMBER(BP29),ISNUMBER(BK29)),IFERROR(BP29/BK29-1,""),"")</f>
        <v>0.0528497409326425</v>
      </c>
      <c r="BQ30" s="25" t="n">
        <f aca="false">IF(AND(ISNUMBER(BQ29),ISNUMBER(BL29)),IFERROR(BQ29/BL29-1,""),"")</f>
        <v>0.0263268449796947</v>
      </c>
      <c r="BR30" s="25" t="n">
        <f aca="false">IF(AND(ISNUMBER(BR29),ISNUMBER(BM29)),IFERROR(BR29/BM29-1,""),"")</f>
        <v>-0.0372492836676218</v>
      </c>
      <c r="BS30" s="25" t="n">
        <f aca="false">IF(AND(ISNUMBER(BS29),ISNUMBER(BN29)),IFERROR(BS29/BN29-1,""),"")</f>
        <v>0.00395480225988698</v>
      </c>
      <c r="BT30" s="25" t="n">
        <f aca="false">IF(AND(ISNUMBER(BT29),ISNUMBER(BO29)),IFERROR(BT29/BO29-1,""),"")</f>
        <v>0.00561167227833903</v>
      </c>
      <c r="BU30" s="25" t="n">
        <f aca="false">IF(AND(ISNUMBER(BU29),ISNUMBER(BP29)),IFERROR(BU29/BP29-1,""),"")</f>
        <v>0.0260826771653544</v>
      </c>
      <c r="BV30" s="25" t="n">
        <f aca="false">IF(AND(ISNUMBER(BV29),ISNUMBER(BQ29)),IFERROR(BV29/BQ29-1,""),"")</f>
        <v>0.000682221312593878</v>
      </c>
      <c r="BW30" s="25" t="n">
        <f aca="false">IF(AND(ISNUMBER(BW29),ISNUMBER(BR29)),IFERROR(BW29/BR29-1,""),"")</f>
        <v>0.0339285714285715</v>
      </c>
      <c r="BX30" s="25" t="n">
        <f aca="false">IF(AND(ISNUMBER(BX29),ISNUMBER(BS29)),IFERROR(BX29/BS29-1,""),"")</f>
        <v>0.0574001125492403</v>
      </c>
      <c r="BY30" s="26" t="n">
        <f aca="false">IF(AND(ISNUMBER(BY29),ISNUMBER(BT29)),IFERROR(BY29/BT29-1,""),"")</f>
        <v>0.0368194864634241</v>
      </c>
      <c r="BZ30" s="26" t="n">
        <f aca="false">IF(AND(ISNUMBER(BZ29),ISNUMBER(BU29)),IFERROR(BZ29/BU29-1,""),"")</f>
        <v>0.0448194864634242</v>
      </c>
      <c r="CA30" s="26" t="n">
        <f aca="false">IF(AND(ISNUMBER(CA29),ISNUMBER(BV29)),IFERROR(CA29/BV29-1,""),"")</f>
        <v>0.0434182095744062</v>
      </c>
      <c r="CB30" s="26" t="n">
        <f aca="false">IF(AND(ISNUMBER(CB29),ISNUMBER(CA29)),IFERROR(CB29/CA29-1,""),"")</f>
        <v>0.04</v>
      </c>
      <c r="CC30" s="26" t="n">
        <f aca="false">IF(AND(ISNUMBER(CC29),ISNUMBER(CB29)),IFERROR(CC29/CB29-1,""),"")</f>
        <v>0.0449999999999999</v>
      </c>
      <c r="CD30" s="26" t="n">
        <f aca="false">IF(AND(ISNUMBER(CD29),ISNUMBER(CC29)),IFERROR(CD29/CC29-1,""),"")</f>
        <v>0.0449999999999999</v>
      </c>
      <c r="CE30" s="26" t="n">
        <f aca="false">IF(AND(ISNUMBER(CE29),ISNUMBER(CD29)),IFERROR(CE29/CD29-1,""),"")</f>
        <v>0.0449999999999999</v>
      </c>
      <c r="CF30" s="7"/>
      <c r="CN30" s="27" t="s">
        <v>137</v>
      </c>
      <c r="CO30" s="46" t="n">
        <v>2.25</v>
      </c>
      <c r="CP30" s="46" t="n">
        <v>2</v>
      </c>
      <c r="CQ30" s="46" t="n">
        <v>1.75</v>
      </c>
      <c r="CR30" s="15" t="s">
        <v>138</v>
      </c>
    </row>
    <row r="31" customFormat="false" ht="15" hidden="false" customHeight="true" outlineLevel="0" collapsed="false">
      <c r="B31" s="24" t="s">
        <v>95</v>
      </c>
      <c r="D31" s="29"/>
      <c r="E31" s="29"/>
      <c r="F31" s="29"/>
      <c r="G31" s="29"/>
      <c r="H31" s="29"/>
      <c r="I31" s="29"/>
      <c r="N31" s="29"/>
      <c r="O31" s="29"/>
      <c r="P31" s="29"/>
      <c r="Q31" s="29"/>
      <c r="R31" s="29"/>
      <c r="S31" s="29"/>
      <c r="T31" s="29"/>
      <c r="U31" s="29"/>
      <c r="V31" s="29"/>
      <c r="W31" s="29"/>
      <c r="X31" s="29"/>
      <c r="Y31" s="29"/>
      <c r="Z31" s="29"/>
      <c r="AA31" s="30" t="n">
        <v>0.03</v>
      </c>
      <c r="AB31" s="29"/>
      <c r="AC31" s="30" t="n">
        <v>0.035</v>
      </c>
      <c r="AD31" s="30" t="n">
        <v>0.03</v>
      </c>
      <c r="AE31" s="30" t="n">
        <v>0.035</v>
      </c>
      <c r="AF31" s="30" t="n">
        <v>0.03</v>
      </c>
      <c r="AG31" s="29"/>
      <c r="AH31" s="30" t="n">
        <v>0.04</v>
      </c>
      <c r="AI31" s="30" t="n">
        <v>0.055</v>
      </c>
      <c r="AJ31" s="30" t="n">
        <v>0.075</v>
      </c>
      <c r="AK31" s="30" t="n">
        <v>0.095</v>
      </c>
      <c r="AL31" s="29"/>
      <c r="AM31" s="30" t="n">
        <v>0.075</v>
      </c>
      <c r="AN31" s="30" t="n">
        <v>0.07</v>
      </c>
      <c r="AO31" s="30" t="n">
        <v>0.075</v>
      </c>
      <c r="AP31" s="30" t="n">
        <v>0.065</v>
      </c>
      <c r="AQ31" s="29"/>
      <c r="AR31" s="30" t="n">
        <v>0.07</v>
      </c>
      <c r="AS31" s="30" t="n">
        <v>0.025</v>
      </c>
      <c r="AT31" s="30" t="n">
        <v>0</v>
      </c>
      <c r="AU31" s="30" t="n">
        <v>0.085</v>
      </c>
      <c r="AV31" s="29"/>
      <c r="AW31" s="30" t="n">
        <v>0.055</v>
      </c>
      <c r="AX31" s="30" t="n">
        <v>0.205</v>
      </c>
      <c r="AY31" s="30" t="n">
        <v>0.35</v>
      </c>
      <c r="AZ31" s="30" t="n">
        <v>0.2</v>
      </c>
      <c r="BA31" s="29"/>
      <c r="BB31" s="30" t="n">
        <v>0.23</v>
      </c>
      <c r="BC31" s="30" t="n">
        <v>0.075</v>
      </c>
      <c r="BD31" s="30" t="n">
        <v>0.07</v>
      </c>
      <c r="BE31" s="30" t="n">
        <v>0.08</v>
      </c>
      <c r="BF31" s="30" t="n">
        <v>0.13</v>
      </c>
      <c r="BG31" s="30" t="n">
        <v>0.095</v>
      </c>
      <c r="BH31" s="30" t="n">
        <v>0.05</v>
      </c>
      <c r="BI31" s="30" t="n">
        <v>0.055</v>
      </c>
      <c r="BJ31" s="30" t="n">
        <v>-0.025</v>
      </c>
      <c r="BK31" s="30" t="n">
        <v>-0.04</v>
      </c>
      <c r="BL31" s="30" t="n">
        <v>0.01</v>
      </c>
      <c r="BM31" s="30" t="n">
        <v>-0.03</v>
      </c>
      <c r="BN31" s="30" t="n">
        <v>-0.055</v>
      </c>
      <c r="BO31" s="30" t="n">
        <v>-0.02</v>
      </c>
      <c r="BP31" s="30" t="n">
        <v>0.01</v>
      </c>
      <c r="BQ31" s="30" t="n">
        <v>-0.02</v>
      </c>
      <c r="BR31" s="30" t="n">
        <v>-0.04</v>
      </c>
      <c r="BS31" s="30" t="n">
        <v>-0.025</v>
      </c>
      <c r="BT31" s="30" t="n">
        <v>-0.01</v>
      </c>
      <c r="BU31" s="30" t="n">
        <v>0.005</v>
      </c>
      <c r="BV31" s="30" t="n">
        <v>-0.015</v>
      </c>
      <c r="BW31" s="30" t="n">
        <v>0.005</v>
      </c>
      <c r="BX31" s="30" t="n">
        <v>0.055</v>
      </c>
      <c r="BY31" s="26" t="n">
        <f aca="false">BY32+$BY$128</f>
        <v>0.0468194864634241</v>
      </c>
      <c r="BZ31" s="26" t="n">
        <f aca="false">BZ32+$BY$128</f>
        <v>0.0518194864634241</v>
      </c>
      <c r="CA31" s="31"/>
      <c r="CB31" s="26" t="n">
        <f aca="false">CHOOSE(MATCH($CF$2,{"Bull","Base","Bear"},0),$CO$38,$CP$38,$CQ$38)</f>
        <v>0.04</v>
      </c>
      <c r="CC31" s="26" t="n">
        <f aca="false">CHOOSE(MATCH($CF$2,{"Bull","Base","Bear"},0),$CO$39,$CP$39,$CQ$39)</f>
        <v>0.045</v>
      </c>
      <c r="CD31" s="26" t="n">
        <f aca="false">CHOOSE(MATCH($CF$2,{"Bull","Base","Bear"},0),$CO$40,$CP$40,$CQ$40)</f>
        <v>0.045</v>
      </c>
      <c r="CE31" s="26" t="n">
        <f aca="false">CHOOSE(MATCH($CF$2,{"Bull","Base","Bear"},0),$CO$41,$CP$41,$CQ$41)</f>
        <v>0.045</v>
      </c>
      <c r="CF31" s="7" t="s">
        <v>96</v>
      </c>
      <c r="CH31" s="32" t="n">
        <f aca="false">IFERROR(AVERAGE(CA31,CB31,CC31,CD31,CE31),"n/m")</f>
        <v>0.04375</v>
      </c>
      <c r="CI31" s="32" t="n">
        <f aca="false">IFERROR(AVERAGE(BB31,BG31,BL31,BQ31,BV31),"n/m")</f>
        <v>0.06</v>
      </c>
      <c r="CJ31" s="32" t="n">
        <f aca="false">IFERROR(AVERAGE(AC31,AH31,AM31,AR31,AW31,BB31,BG31,BL31,BQ31,BV31),"n/m")</f>
        <v>0.0575</v>
      </c>
      <c r="CK31" s="32" t="n">
        <f aca="false">IFERROR(AVERAGE(C31,D31,E31,F31,G31,H31,I31,N31,S31,X31,AC31,AH31,AM31,AR31,AW31,BB31,BG31,BL31,BQ31,BV31),"n/m")</f>
        <v>0.0575</v>
      </c>
    </row>
    <row r="32" customFormat="false" ht="15" hidden="false" customHeight="true" outlineLevel="0" collapsed="false">
      <c r="B32" s="27" t="s">
        <v>99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5" t="n">
        <v>0.035</v>
      </c>
      <c r="BZ32" s="35" t="n">
        <v>0.04</v>
      </c>
      <c r="CA32" s="31"/>
      <c r="CB32" s="36"/>
      <c r="CC32" s="36"/>
      <c r="CD32" s="36"/>
      <c r="CE32" s="36"/>
      <c r="CF32" s="37" t="s">
        <v>139</v>
      </c>
      <c r="CN32" s="17" t="s">
        <v>140</v>
      </c>
      <c r="CO32" s="47" t="n">
        <v>0.02</v>
      </c>
      <c r="CP32" s="23" t="s">
        <v>141</v>
      </c>
      <c r="CQ32" s="47" t="n">
        <v>-0.025</v>
      </c>
      <c r="CR32" s="15" t="s">
        <v>142</v>
      </c>
    </row>
    <row r="33" customFormat="false" ht="15" hidden="false" customHeight="true" outlineLevel="0" collapsed="false">
      <c r="B33" s="24" t="s">
        <v>103</v>
      </c>
      <c r="D33" s="29"/>
      <c r="E33" s="29"/>
      <c r="F33" s="29"/>
      <c r="G33" s="29"/>
      <c r="H33" s="29"/>
      <c r="I33" s="29"/>
      <c r="N33" s="29"/>
      <c r="O33" s="29"/>
      <c r="P33" s="29"/>
      <c r="Q33" s="29"/>
      <c r="R33" s="29"/>
      <c r="S33" s="29"/>
      <c r="T33" s="29"/>
      <c r="U33" s="29"/>
      <c r="V33" s="29"/>
      <c r="W33" s="29"/>
      <c r="X33" s="29"/>
      <c r="Y33" s="29"/>
      <c r="Z33" s="29"/>
      <c r="AA33" s="30" t="n">
        <v>0.61</v>
      </c>
      <c r="AB33" s="29"/>
      <c r="AC33" s="30" t="n">
        <v>0.59</v>
      </c>
      <c r="AD33" s="30" t="n">
        <v>0.025</v>
      </c>
      <c r="AE33" s="30" t="n">
        <v>0.025</v>
      </c>
      <c r="AF33" s="30" t="n">
        <v>0.01</v>
      </c>
      <c r="AG33" s="29"/>
      <c r="AH33" s="30" t="n">
        <v>0.02</v>
      </c>
      <c r="AI33" s="30" t="n">
        <v>0.015</v>
      </c>
      <c r="AJ33" s="30" t="n">
        <v>0.06</v>
      </c>
      <c r="AK33" s="30" t="n">
        <v>0.065</v>
      </c>
      <c r="AL33" s="29"/>
      <c r="AM33" s="30" t="n">
        <v>0.05</v>
      </c>
      <c r="AN33" s="30" t="n">
        <v>0.07</v>
      </c>
      <c r="AO33" s="30" t="n">
        <v>0.02</v>
      </c>
      <c r="AP33" s="30" t="n">
        <v>0.01</v>
      </c>
      <c r="AQ33" s="29"/>
      <c r="AR33" s="30" t="n">
        <v>0.025</v>
      </c>
      <c r="AS33" s="30" t="n">
        <v>0</v>
      </c>
      <c r="AT33" s="30" t="n">
        <v>0.555</v>
      </c>
      <c r="AU33" s="30" t="n">
        <v>0.63</v>
      </c>
      <c r="AV33" s="29"/>
      <c r="AW33" s="30" t="n">
        <v>0.465</v>
      </c>
      <c r="AX33" s="30" t="n">
        <v>0.905</v>
      </c>
      <c r="AY33" s="30" t="n">
        <v>0.02</v>
      </c>
      <c r="AZ33" s="30" t="n">
        <v>0.025</v>
      </c>
      <c r="BA33" s="29"/>
      <c r="BB33" s="30" t="n">
        <v>0.165</v>
      </c>
      <c r="BC33" s="30" t="n">
        <v>0.04</v>
      </c>
      <c r="BD33" s="30" t="n">
        <v>0.04</v>
      </c>
      <c r="BE33" s="30" t="n">
        <v>0.025</v>
      </c>
      <c r="BF33" s="30" t="n">
        <v>0</v>
      </c>
      <c r="BG33" s="30" t="n">
        <v>0.055</v>
      </c>
      <c r="BH33" s="30" t="n">
        <v>0.01</v>
      </c>
      <c r="BI33" s="30" t="n">
        <v>-0.01</v>
      </c>
      <c r="BJ33" s="30" t="n">
        <v>0.01</v>
      </c>
      <c r="BK33" s="30" t="n">
        <v>0.025</v>
      </c>
      <c r="BL33" s="30" t="n">
        <v>0.015</v>
      </c>
      <c r="BM33" s="30" t="n">
        <v>0.06</v>
      </c>
      <c r="BN33" s="30" t="n">
        <v>0.06</v>
      </c>
      <c r="BO33" s="30" t="n">
        <v>0.07</v>
      </c>
      <c r="BP33" s="30" t="n">
        <v>0.05</v>
      </c>
      <c r="BQ33" s="30" t="n">
        <v>0.06</v>
      </c>
      <c r="BR33" s="30" t="n">
        <v>0.02</v>
      </c>
      <c r="BS33" s="30" t="n">
        <v>0.015</v>
      </c>
      <c r="BT33" s="30" t="n">
        <v>0</v>
      </c>
      <c r="BU33" s="30" t="n">
        <v>0</v>
      </c>
      <c r="BV33" s="30" t="n">
        <v>0.005</v>
      </c>
      <c r="BW33" s="30" t="n">
        <v>0</v>
      </c>
      <c r="BX33" s="30" t="n">
        <v>0</v>
      </c>
      <c r="BY33" s="31"/>
      <c r="BZ33" s="31"/>
      <c r="CA33" s="31"/>
      <c r="CB33" s="31"/>
      <c r="CC33" s="31"/>
      <c r="CD33" s="31"/>
      <c r="CE33" s="31"/>
      <c r="CF33" s="7"/>
      <c r="CN33" s="27" t="s">
        <v>143</v>
      </c>
      <c r="CO33" s="48" t="n">
        <f aca="false">CP33+$CO$32</f>
        <v>0.09</v>
      </c>
      <c r="CP33" s="49" t="n">
        <v>0.07</v>
      </c>
      <c r="CQ33" s="48" t="n">
        <f aca="false">CP33+$CQ$32</f>
        <v>0.045</v>
      </c>
    </row>
    <row r="34" customFormat="false" ht="15" hidden="false" customHeight="true" outlineLevel="0" collapsed="false">
      <c r="B34" s="24" t="s">
        <v>104</v>
      </c>
      <c r="D34" s="29"/>
      <c r="E34" s="29"/>
      <c r="F34" s="29"/>
      <c r="G34" s="29"/>
      <c r="H34" s="29"/>
      <c r="I34" s="29"/>
      <c r="N34" s="29"/>
      <c r="O34" s="29"/>
      <c r="P34" s="29"/>
      <c r="Q34" s="29"/>
      <c r="R34" s="29"/>
      <c r="S34" s="29"/>
      <c r="T34" s="29"/>
      <c r="U34" s="29"/>
      <c r="V34" s="29"/>
      <c r="W34" s="29"/>
      <c r="X34" s="29"/>
      <c r="Y34" s="29"/>
      <c r="Z34" s="29"/>
      <c r="AA34" s="30" t="n">
        <v>0.005</v>
      </c>
      <c r="AB34" s="29"/>
      <c r="AC34" s="30" t="n">
        <v>-0.005</v>
      </c>
      <c r="AD34" s="30" t="n">
        <v>-0.015</v>
      </c>
      <c r="AE34" s="30" t="n">
        <v>-0.02</v>
      </c>
      <c r="AF34" s="30" t="n">
        <v>0.01</v>
      </c>
      <c r="AG34" s="29"/>
      <c r="AH34" s="30" t="n">
        <v>0.005</v>
      </c>
      <c r="AI34" s="30" t="n">
        <v>0.06</v>
      </c>
      <c r="AJ34" s="30" t="n">
        <v>0.025</v>
      </c>
      <c r="AK34" s="30" t="n">
        <v>-0.015</v>
      </c>
      <c r="AL34" s="29"/>
      <c r="AM34" s="30" t="n">
        <v>0.01</v>
      </c>
      <c r="AN34" s="30" t="n">
        <v>-0.04</v>
      </c>
      <c r="AO34" s="30" t="n">
        <v>-0.03</v>
      </c>
      <c r="AP34" s="30" t="n">
        <v>-0.015</v>
      </c>
      <c r="AQ34" s="29"/>
      <c r="AR34" s="30" t="n">
        <v>-0.02</v>
      </c>
      <c r="AS34" s="30" t="n">
        <v>-0.01</v>
      </c>
      <c r="AT34" s="30" t="n">
        <v>-0.01</v>
      </c>
      <c r="AU34" s="30" t="n">
        <v>0.01</v>
      </c>
      <c r="AV34" s="29"/>
      <c r="AW34" s="30" t="n">
        <v>0</v>
      </c>
      <c r="AX34" s="30" t="n">
        <v>0.04</v>
      </c>
      <c r="AY34" s="30" t="n">
        <v>0.045</v>
      </c>
      <c r="AZ34" s="30" t="n">
        <v>0.02</v>
      </c>
      <c r="BA34" s="29"/>
      <c r="BB34" s="30" t="n">
        <v>0.02</v>
      </c>
      <c r="BC34" s="30" t="n">
        <v>-0.02</v>
      </c>
      <c r="BD34" s="30" t="n">
        <v>-0.05</v>
      </c>
      <c r="BE34" s="30" t="n">
        <v>-0.065</v>
      </c>
      <c r="BF34" s="30" t="n">
        <v>-0.05</v>
      </c>
      <c r="BG34" s="30" t="n">
        <v>-0.05</v>
      </c>
      <c r="BH34" s="30" t="n">
        <v>-0.035</v>
      </c>
      <c r="BI34" s="30" t="n">
        <v>0.01</v>
      </c>
      <c r="BJ34" s="30" t="n">
        <v>0.005</v>
      </c>
      <c r="BK34" s="30" t="n">
        <v>0.005</v>
      </c>
      <c r="BL34" s="30" t="n">
        <v>-0.01</v>
      </c>
      <c r="BM34" s="30" t="n">
        <v>-0.01</v>
      </c>
      <c r="BN34" s="30" t="n">
        <v>-0.02</v>
      </c>
      <c r="BO34" s="30" t="n">
        <v>-0.005</v>
      </c>
      <c r="BP34" s="30" t="n">
        <v>-0.005</v>
      </c>
      <c r="BQ34" s="30" t="n">
        <v>-0.015</v>
      </c>
      <c r="BR34" s="30" t="n">
        <v>-0.015</v>
      </c>
      <c r="BS34" s="30" t="n">
        <v>0.015</v>
      </c>
      <c r="BT34" s="30" t="n">
        <v>0.015</v>
      </c>
      <c r="BU34" s="30" t="n">
        <v>0.02</v>
      </c>
      <c r="BV34" s="30" t="n">
        <v>0.01</v>
      </c>
      <c r="BW34" s="30" t="n">
        <v>0.03</v>
      </c>
      <c r="BX34" s="30" t="n">
        <v>0</v>
      </c>
      <c r="BY34" s="35" t="n">
        <v>-0.01</v>
      </c>
      <c r="BZ34" s="35" t="n">
        <v>-0.007</v>
      </c>
      <c r="CA34" s="31"/>
      <c r="CB34" s="35" t="n">
        <v>0</v>
      </c>
      <c r="CC34" s="35" t="n">
        <v>0</v>
      </c>
      <c r="CD34" s="35" t="n">
        <v>0</v>
      </c>
      <c r="CE34" s="35" t="n">
        <v>0</v>
      </c>
      <c r="CF34" s="7" t="s">
        <v>105</v>
      </c>
      <c r="CN34" s="27" t="s">
        <v>144</v>
      </c>
      <c r="CO34" s="48" t="n">
        <f aca="false">CP34+$CO$32</f>
        <v>0.095</v>
      </c>
      <c r="CP34" s="49" t="n">
        <v>0.075</v>
      </c>
      <c r="CQ34" s="48" t="n">
        <f aca="false">CP34+$CQ$32</f>
        <v>0.05</v>
      </c>
    </row>
    <row r="35" customFormat="false" ht="15" hidden="false" customHeight="true" outlineLevel="0" collapsed="false">
      <c r="B35" s="27" t="s">
        <v>145</v>
      </c>
      <c r="C35" s="39"/>
      <c r="D35" s="39"/>
      <c r="E35" s="39"/>
      <c r="F35" s="39"/>
      <c r="G35" s="39"/>
      <c r="H35" s="39"/>
      <c r="I35" s="39"/>
      <c r="J35" s="39"/>
      <c r="K35" s="39"/>
      <c r="L35" s="39"/>
      <c r="M35" s="39"/>
      <c r="N35" s="39"/>
      <c r="O35" s="39"/>
      <c r="P35" s="39"/>
      <c r="Q35" s="39"/>
      <c r="R35" s="39"/>
      <c r="S35" s="39"/>
      <c r="T35" s="39"/>
      <c r="U35" s="39"/>
      <c r="V35" s="40" t="n">
        <v>51.5</v>
      </c>
      <c r="W35" s="40" t="n">
        <v>132.6</v>
      </c>
      <c r="X35" s="40" t="n">
        <v>329.2</v>
      </c>
      <c r="Y35" s="40" t="n">
        <v>177.2</v>
      </c>
      <c r="Z35" s="40" t="n">
        <v>192.2</v>
      </c>
      <c r="AA35" s="40" t="n">
        <v>204.7</v>
      </c>
      <c r="AB35" s="40" t="n">
        <v>244.8</v>
      </c>
      <c r="AC35" s="40" t="n">
        <v>818.9</v>
      </c>
      <c r="AD35" s="40" t="n">
        <v>211.6</v>
      </c>
      <c r="AE35" s="40" t="n">
        <v>221.6</v>
      </c>
      <c r="AF35" s="40" t="n">
        <v>246.8</v>
      </c>
      <c r="AG35" s="40" t="n">
        <v>324.3</v>
      </c>
      <c r="AH35" s="40" t="n">
        <v>1004.3</v>
      </c>
      <c r="AI35" s="40" t="n">
        <v>271.3</v>
      </c>
      <c r="AJ35" s="40" t="n">
        <v>291.5</v>
      </c>
      <c r="AK35" s="40" t="n">
        <v>312.8</v>
      </c>
      <c r="AL35" s="40" t="n">
        <v>353.7</v>
      </c>
      <c r="AM35" s="40" t="n">
        <v>1229.3</v>
      </c>
      <c r="AN35" s="40" t="n">
        <v>309</v>
      </c>
      <c r="AO35" s="40" t="n">
        <v>344</v>
      </c>
      <c r="AP35" s="40" t="n">
        <v>342.5</v>
      </c>
      <c r="AQ35" s="40" t="n">
        <v>405.9</v>
      </c>
      <c r="AR35" s="40" t="n">
        <v>1401.4</v>
      </c>
      <c r="AS35" s="40" t="n">
        <v>325.6</v>
      </c>
      <c r="AT35" s="40" t="n">
        <v>412.4</v>
      </c>
      <c r="AU35" s="40" t="n">
        <v>504.9</v>
      </c>
      <c r="AV35" s="40" t="n">
        <v>811</v>
      </c>
      <c r="AW35" s="40" t="n">
        <v>2054</v>
      </c>
      <c r="AX35" s="40" t="n">
        <v>1151</v>
      </c>
      <c r="AY35" s="40" t="n">
        <v>1144</v>
      </c>
      <c r="AZ35" s="40" t="n">
        <v>975</v>
      </c>
      <c r="BA35" s="40" t="n">
        <v>1097</v>
      </c>
      <c r="BB35" s="40" t="n">
        <v>1293</v>
      </c>
      <c r="BC35" s="40" t="n">
        <v>1118</v>
      </c>
      <c r="BD35" s="40" t="n">
        <v>1174</v>
      </c>
      <c r="BE35" s="40" t="n">
        <v>1045</v>
      </c>
      <c r="BF35" s="40" t="n">
        <v>392</v>
      </c>
      <c r="BG35" s="40" t="n">
        <v>1414</v>
      </c>
      <c r="BH35" s="40" t="n">
        <v>321</v>
      </c>
      <c r="BI35" s="40" t="n">
        <v>340</v>
      </c>
      <c r="BJ35" s="40" t="n">
        <v>313</v>
      </c>
      <c r="BK35" s="40" t="n">
        <v>235</v>
      </c>
      <c r="BL35" s="40" t="n">
        <v>1209</v>
      </c>
      <c r="BM35" s="40" t="n">
        <v>235</v>
      </c>
      <c r="BN35" s="40" t="n">
        <v>233</v>
      </c>
      <c r="BO35" s="40" t="n">
        <v>35</v>
      </c>
      <c r="BP35" s="40" t="n">
        <v>376</v>
      </c>
      <c r="BQ35" s="40" t="n">
        <v>879</v>
      </c>
      <c r="BR35" s="40" t="n">
        <v>201</v>
      </c>
      <c r="BS35" s="40" t="n">
        <v>-239</v>
      </c>
      <c r="BT35" s="40" t="n">
        <v>222</v>
      </c>
      <c r="BU35" s="40" t="n">
        <v>336</v>
      </c>
      <c r="BV35" s="40" t="n">
        <v>520</v>
      </c>
      <c r="BW35" s="40" t="n">
        <v>225</v>
      </c>
      <c r="BX35" s="40" t="n">
        <v>244</v>
      </c>
      <c r="BY35" s="41" t="n">
        <f aca="false">BY40-BY37-BY39</f>
        <v>240.157965673929</v>
      </c>
      <c r="BZ35" s="41" t="n">
        <f aca="false">BZ40-BZ37-BZ39</f>
        <v>447.986947966253</v>
      </c>
      <c r="CA35" s="41" t="n">
        <f aca="false">SUM(BW35,BX35,BY35,BZ35)</f>
        <v>1157.14491364018</v>
      </c>
      <c r="CB35" s="41" t="n">
        <f aca="false">CB40-CB37-CB39</f>
        <v>1243.73701292814</v>
      </c>
      <c r="CC35" s="41" t="n">
        <f aca="false">CC40-CC37-CC39</f>
        <v>1365.90039186307</v>
      </c>
      <c r="CD35" s="41" t="n">
        <f aca="false">CD40-CD37-CD39</f>
        <v>1495.43237134989</v>
      </c>
      <c r="CE35" s="41" t="n">
        <f aca="false">CE40-CE37-CE39</f>
        <v>1701.11517058869</v>
      </c>
      <c r="CF35" s="37"/>
      <c r="CN35" s="27" t="s">
        <v>146</v>
      </c>
      <c r="CO35" s="48" t="n">
        <f aca="false">CP35+$CO$32</f>
        <v>0.095</v>
      </c>
      <c r="CP35" s="49" t="n">
        <v>0.075</v>
      </c>
      <c r="CQ35" s="48" t="n">
        <f aca="false">CP35+$CQ$32</f>
        <v>0.05</v>
      </c>
    </row>
    <row r="36" customFormat="false" ht="15" hidden="false" customHeight="true" outlineLevel="0" collapsed="false">
      <c r="B36" s="27" t="s">
        <v>110</v>
      </c>
      <c r="C36" s="42" t="str">
        <f aca="false">IF(AND(ISNUMBER(C35),ISNUMBER(C29)),IFERROR(C35/C29,""),"")</f>
        <v/>
      </c>
      <c r="D36" s="42" t="str">
        <f aca="false">IF(AND(ISNUMBER(D35),ISNUMBER(D29)),IFERROR(D35/D29,""),"")</f>
        <v/>
      </c>
      <c r="E36" s="42" t="str">
        <f aca="false">IF(AND(ISNUMBER(E35),ISNUMBER(E29)),IFERROR(E35/E29,""),"")</f>
        <v/>
      </c>
      <c r="F36" s="42" t="str">
        <f aca="false">IF(AND(ISNUMBER(F35),ISNUMBER(F29)),IFERROR(F35/F29,""),"")</f>
        <v/>
      </c>
      <c r="G36" s="42" t="str">
        <f aca="false">IF(AND(ISNUMBER(G35),ISNUMBER(G29)),IFERROR(G35/G29,""),"")</f>
        <v/>
      </c>
      <c r="H36" s="42" t="str">
        <f aca="false">IF(AND(ISNUMBER(H35),ISNUMBER(H29)),IFERROR(H35/H29,""),"")</f>
        <v/>
      </c>
      <c r="I36" s="42" t="str">
        <f aca="false">IF(AND(ISNUMBER(I35),ISNUMBER(I29)),IFERROR(I35/I29,""),"")</f>
        <v/>
      </c>
      <c r="J36" s="42" t="str">
        <f aca="false">IF(AND(ISNUMBER(J35),ISNUMBER(J29)),IFERROR(J35/J29,""),"")</f>
        <v/>
      </c>
      <c r="K36" s="42" t="str">
        <f aca="false">IF(AND(ISNUMBER(K35),ISNUMBER(K29)),IFERROR(K35/K29,""),"")</f>
        <v/>
      </c>
      <c r="L36" s="42" t="str">
        <f aca="false">IF(AND(ISNUMBER(L35),ISNUMBER(L29)),IFERROR(L35/L29,""),"")</f>
        <v/>
      </c>
      <c r="M36" s="42" t="str">
        <f aca="false">IF(AND(ISNUMBER(M35),ISNUMBER(M29)),IFERROR(M35/M29,""),"")</f>
        <v/>
      </c>
      <c r="N36" s="42" t="str">
        <f aca="false">IF(AND(ISNUMBER(N35),ISNUMBER(N29)),IFERROR(N35/N29,""),"")</f>
        <v/>
      </c>
      <c r="O36" s="42" t="str">
        <f aca="false">IF(AND(ISNUMBER(O35),ISNUMBER(O29)),IFERROR(O35/O29,""),"")</f>
        <v/>
      </c>
      <c r="P36" s="42" t="str">
        <f aca="false">IF(AND(ISNUMBER(P35),ISNUMBER(P29)),IFERROR(P35/P29,""),"")</f>
        <v/>
      </c>
      <c r="Q36" s="42" t="str">
        <f aca="false">IF(AND(ISNUMBER(Q35),ISNUMBER(Q29)),IFERROR(Q35/Q29,""),"")</f>
        <v/>
      </c>
      <c r="R36" s="42" t="str">
        <f aca="false">IF(AND(ISNUMBER(R35),ISNUMBER(R29)),IFERROR(R35/R29,""),"")</f>
        <v/>
      </c>
      <c r="S36" s="42" t="str">
        <f aca="false">IF(AND(ISNUMBER(S35),ISNUMBER(S29)),IFERROR(S35/S29,""),"")</f>
        <v/>
      </c>
      <c r="T36" s="42" t="str">
        <f aca="false">IF(AND(ISNUMBER(T35),ISNUMBER(T29)),IFERROR(T35/T29,""),"")</f>
        <v/>
      </c>
      <c r="U36" s="42" t="str">
        <f aca="false">IF(AND(ISNUMBER(U35),ISNUMBER(U29)),IFERROR(U35/U29,""),"")</f>
        <v/>
      </c>
      <c r="V36" s="42" t="n">
        <f aca="false">IF(AND(ISNUMBER(V35),ISNUMBER(V29)),IFERROR(V35/V29,""),"")</f>
        <v>0.0640149160969546</v>
      </c>
      <c r="W36" s="42" t="n">
        <f aca="false">IF(AND(ISNUMBER(W35),ISNUMBER(W29)),IFERROR(W35/W29,""),"")</f>
        <v>0.0964995269631031</v>
      </c>
      <c r="X36" s="42" t="n">
        <f aca="false">IF(AND(ISNUMBER(X35),ISNUMBER(X29)),IFERROR(X35/X29,""),"")</f>
        <v>0.0993181681047487</v>
      </c>
      <c r="Y36" s="42" t="n">
        <f aca="false">IF(AND(ISNUMBER(Y35),ISNUMBER(Y29)),IFERROR(Y35/Y29,""),"")</f>
        <v>0.140847309434862</v>
      </c>
      <c r="Z36" s="42" t="n">
        <f aca="false">IF(AND(ISNUMBER(Z35),ISNUMBER(Z29)),IFERROR(Z35/Z29,""),"")</f>
        <v>0.144696228261688</v>
      </c>
      <c r="AA36" s="42" t="n">
        <f aca="false">IF(AND(ISNUMBER(AA35),ISNUMBER(AA29)),IFERROR(AA35/AA29,""),"")</f>
        <v>0.154443941451637</v>
      </c>
      <c r="AB36" s="42" t="n">
        <f aca="false">IF(AND(ISNUMBER(AB35),ISNUMBER(AB29)),IFERROR(AB35/AB29,""),"")</f>
        <v>0.168351557664535</v>
      </c>
      <c r="AC36" s="42" t="n">
        <f aca="false">IF(AND(ISNUMBER(AC35),ISNUMBER(AC29)),IFERROR(AC35/AC29,""),"")</f>
        <v>0.152611863806631</v>
      </c>
      <c r="AD36" s="42" t="n">
        <f aca="false">IF(AND(ISNUMBER(AD35),ISNUMBER(AD29)),IFERROR(AD35/AD29,""),"")</f>
        <v>0.161761333231404</v>
      </c>
      <c r="AE36" s="42" t="n">
        <f aca="false">IF(AND(ISNUMBER(AE35),ISNUMBER(AE29)),IFERROR(AE35/AE29,""),"")</f>
        <v>0.160080907317778</v>
      </c>
      <c r="AF36" s="42" t="n">
        <f aca="false">IF(AND(ISNUMBER(AF35),ISNUMBER(AF29)),IFERROR(AF35/AF29,""),"")</f>
        <v>0.177222461582651</v>
      </c>
      <c r="AG36" s="42" t="n">
        <f aca="false">IF(AND(ISNUMBER(AG35),ISNUMBER(AG29)),IFERROR(AG35/AG29,""),"")</f>
        <v>0.199556950341517</v>
      </c>
      <c r="AH36" s="42" t="n">
        <f aca="false">IF(AND(ISNUMBER(AH35),ISNUMBER(AH29)),IFERROR(AH35/AH29,""),"")</f>
        <v>0.175881333076479</v>
      </c>
      <c r="AI36" s="42" t="n">
        <f aca="false">IF(AND(ISNUMBER(AI35),ISNUMBER(AI29)),IFERROR(AI35/AI29,""),"")</f>
        <v>0.183807588075881</v>
      </c>
      <c r="AJ36" s="42" t="n">
        <f aca="false">IF(AND(ISNUMBER(AJ35),ISNUMBER(AJ29)),IFERROR(AJ35/AJ29,""),"")</f>
        <v>0.181597308746574</v>
      </c>
      <c r="AK36" s="42" t="n">
        <f aca="false">IF(AND(ISNUMBER(AK35),ISNUMBER(AK29)),IFERROR(AK35/AK29,""),"")</f>
        <v>0.195904052107472</v>
      </c>
      <c r="AL36" s="42" t="n">
        <f aca="false">IF(AND(ISNUMBER(AL35),ISNUMBER(AL29)),IFERROR(AL35/AL29,""),"")</f>
        <v>0.197212155004182</v>
      </c>
      <c r="AM36" s="42" t="n">
        <f aca="false">IF(AND(ISNUMBER(AM35),ISNUMBER(AM29)),IFERROR(AM35/AM29,""),"")</f>
        <v>0.189958896065766</v>
      </c>
      <c r="AN36" s="42" t="n">
        <f aca="false">IF(AND(ISNUMBER(AN35),ISNUMBER(AN29)),IFERROR(AN35/AN29,""),"")</f>
        <v>0.189931772081873</v>
      </c>
      <c r="AO36" s="42" t="n">
        <f aca="false">IF(AND(ISNUMBER(AO35),ISNUMBER(AO29)),IFERROR(AO35/AO29,""),"")</f>
        <v>0.200864183113395</v>
      </c>
      <c r="AP36" s="42" t="n">
        <f aca="false">IF(AND(ISNUMBER(AP35),ISNUMBER(AP29)),IFERROR(AP35/AP29,""),"")</f>
        <v>0.201993394668554</v>
      </c>
      <c r="AQ36" s="42" t="n">
        <f aca="false">IF(AND(ISNUMBER(AQ35),ISNUMBER(AQ29)),IFERROR(AQ35/AQ29,""),"")</f>
        <v>0.211847599164927</v>
      </c>
      <c r="AR36" s="42" t="n">
        <f aca="false">IF(AND(ISNUMBER(AR35),ISNUMBER(AR29)),IFERROR(AR35/AR29,""),"")</f>
        <v>0.201608378530017</v>
      </c>
      <c r="AS36" s="42" t="n">
        <f aca="false">IF(AND(ISNUMBER(AS35),ISNUMBER(AS29)),IFERROR(AS35/AS29,""),"")</f>
        <v>0.197285506543868</v>
      </c>
      <c r="AT36" s="42" t="n">
        <f aca="false">IF(AND(ISNUMBER(AT35),ISNUMBER(AT29)),IFERROR(AT35/AT29,""),"")</f>
        <v>0.156070239176506</v>
      </c>
      <c r="AU36" s="42" t="n">
        <f aca="false">IF(AND(ISNUMBER(AU35),ISNUMBER(AU29)),IFERROR(AU35/AU29,""),"")</f>
        <v>0.172763045337896</v>
      </c>
      <c r="AV36" s="42" t="n">
        <f aca="false">IF(AND(ISNUMBER(AV35),ISNUMBER(AV29)),IFERROR(AV35/AV29,""),"")</f>
        <v>0.241297232966379</v>
      </c>
      <c r="AW36" s="42" t="n">
        <f aca="false">IF(AND(ISNUMBER(AW35),ISNUMBER(AW29)),IFERROR(AW35/AW29,""),"")</f>
        <v>0.194213313161876</v>
      </c>
      <c r="AX36" s="42" t="n">
        <f aca="false">IF(AND(ISNUMBER(AX35),ISNUMBER(AX29)),IFERROR(AX35/AX29,""),"")</f>
        <v>0.324591088550479</v>
      </c>
      <c r="AY36" s="42" t="n">
        <f aca="false">IF(AND(ISNUMBER(AY35),ISNUMBER(AY29)),IFERROR(AY35/AY29,""),"")</f>
        <v>0.306373861810391</v>
      </c>
      <c r="AZ36" s="42" t="n">
        <f aca="false">IF(AND(ISNUMBER(AZ35),ISNUMBER(AZ29)),IFERROR(AZ35/AZ29,""),"")</f>
        <v>0.268447136563877</v>
      </c>
      <c r="BA36" s="42" t="n">
        <f aca="false">IF(AND(ISNUMBER(BA35),ISNUMBER(BA29)),IFERROR(BA35/BA29,""),"")</f>
        <v>0.271131982204647</v>
      </c>
      <c r="BB36" s="42" t="n">
        <f aca="false">IF(AND(ISNUMBER(BB35),ISNUMBER(BB29)),IFERROR(BB35/BB29,""),"")</f>
        <v>0.202410770194114</v>
      </c>
      <c r="BC36" s="42" t="n">
        <f aca="false">IF(AND(ISNUMBER(BC35),ISNUMBER(BC29)),IFERROR(BC35/BC29,""),"")</f>
        <v>0.287995878413189</v>
      </c>
      <c r="BD36" s="42" t="n">
        <f aca="false">IF(AND(ISNUMBER(BD35),ISNUMBER(BD29)),IFERROR(BD35/BD29,""),"")</f>
        <v>0.295941517519536</v>
      </c>
      <c r="BE36" s="42" t="n">
        <f aca="false">IF(AND(ISNUMBER(BE35),ISNUMBER(BE29)),IFERROR(BE35/BE29,""),"")</f>
        <v>0.276747881355932</v>
      </c>
      <c r="BF36" s="42" t="n">
        <f aca="false">IF(AND(ISNUMBER(BF35),ISNUMBER(BF29)),IFERROR(BF35/BF29,""),"")</f>
        <v>0.201438848920863</v>
      </c>
      <c r="BG36" s="42" t="n">
        <f aca="false">IF(AND(ISNUMBER(BG35),ISNUMBER(BG29)),IFERROR(BG35/BG29,""),"")</f>
        <v>0.200966458214895</v>
      </c>
      <c r="BH36" s="42" t="n">
        <f aca="false">IF(AND(ISNUMBER(BH35),ISNUMBER(BH29)),IFERROR(BH35/BH29,""),"")</f>
        <v>0.187829139847864</v>
      </c>
      <c r="BI36" s="42" t="n">
        <f aca="false">IF(AND(ISNUMBER(BI35),ISNUMBER(BI29)),IFERROR(BI35/BI29,""),"")</f>
        <v>0.189309576837416</v>
      </c>
      <c r="BJ36" s="42" t="n">
        <f aca="false">IF(AND(ISNUMBER(BJ35),ISNUMBER(BJ29)),IFERROR(BJ35/BJ29,""),"")</f>
        <v>0.183470105509965</v>
      </c>
      <c r="BK36" s="42" t="n">
        <f aca="false">IF(AND(ISNUMBER(BK35),ISNUMBER(BK29)),IFERROR(BK35/BK29,""),"")</f>
        <v>0.121761658031088</v>
      </c>
      <c r="BL36" s="42" t="n">
        <f aca="false">IF(AND(ISNUMBER(BL35),ISNUMBER(BL29)),IFERROR(BL35/BL29,""),"")</f>
        <v>0.169304019044952</v>
      </c>
      <c r="BM36" s="42" t="n">
        <f aca="false">IF(AND(ISNUMBER(BM35),ISNUMBER(BM29)),IFERROR(BM35/BM29,""),"")</f>
        <v>0.134670487106017</v>
      </c>
      <c r="BN36" s="42" t="n">
        <f aca="false">IF(AND(ISNUMBER(BN35),ISNUMBER(BN29)),IFERROR(BN35/BN29,""),"")</f>
        <v>0.131638418079096</v>
      </c>
      <c r="BO36" s="42" t="n">
        <f aca="false">IF(AND(ISNUMBER(BO35),ISNUMBER(BO29)),IFERROR(BO35/BO29,""),"")</f>
        <v>0.0196408529741863</v>
      </c>
      <c r="BP36" s="42" t="n">
        <f aca="false">IF(AND(ISNUMBER(BP35),ISNUMBER(BP29)),IFERROR(BP35/BP29,""),"")</f>
        <v>0.18503937007874</v>
      </c>
      <c r="BQ36" s="42" t="n">
        <f aca="false">IF(AND(ISNUMBER(BQ35),ISNUMBER(BQ29)),IFERROR(BQ35/BQ29,""),"")</f>
        <v>0.119934506753991</v>
      </c>
      <c r="BR36" s="42" t="n">
        <f aca="false">IF(AND(ISNUMBER(BR35),ISNUMBER(BR29)),IFERROR(BR35/BR29,""),"")</f>
        <v>0.119642857142857</v>
      </c>
      <c r="BS36" s="42" t="n">
        <f aca="false">IF(AND(ISNUMBER(BS35),ISNUMBER(BS29)),IFERROR(BS35/BS29,""),"")</f>
        <v>-0.134496342149691</v>
      </c>
      <c r="BT36" s="42" t="n">
        <f aca="false">IF(AND(ISNUMBER(BT35),ISNUMBER(BT29)),IFERROR(BT35/BT29,""),"")</f>
        <v>0.123883928571429</v>
      </c>
      <c r="BU36" s="42" t="n">
        <f aca="false">IF(AND(ISNUMBER(BU35),ISNUMBER(BU29)),IFERROR(BU35/BU29,""),"")</f>
        <v>0.161151079136691</v>
      </c>
      <c r="BV36" s="42" t="n">
        <f aca="false">IF(AND(ISNUMBER(BV35),ISNUMBER(BV29)),IFERROR(BV35/BV29,""),"")</f>
        <v>0.0709026452140714</v>
      </c>
      <c r="BW36" s="42" t="n">
        <f aca="false">IF(AND(ISNUMBER(BW35),ISNUMBER(BW29)),IFERROR(BW35/BW29,""),"")</f>
        <v>0.129533678756477</v>
      </c>
      <c r="BX36" s="42" t="n">
        <f aca="false">IF(AND(ISNUMBER(BX35),ISNUMBER(BX29)),IFERROR(BX35/BX29,""),"")</f>
        <v>0.129856306546035</v>
      </c>
      <c r="BY36" s="26" t="n">
        <f aca="false">IF(AND(ISNUMBER(BY35),ISNUMBER(BY29)),IFERROR(BY35/BY29,""),"")</f>
        <v>0.129257526180747</v>
      </c>
      <c r="BZ36" s="26" t="n">
        <f aca="false">IF(AND(ISNUMBER(BZ35),ISNUMBER(BZ29)),IFERROR(BZ35/BZ29,""),"")</f>
        <v>0.205644944730733</v>
      </c>
      <c r="CA36" s="26" t="n">
        <f aca="false">IF(AND(ISNUMBER(CA35),ISNUMBER(CA29)),IFERROR(CA35/CA29,""),"")</f>
        <v>0.15121275755798</v>
      </c>
      <c r="CB36" s="26" t="n">
        <f aca="false">IF(AND(ISNUMBER(CB35),ISNUMBER(CB29)),IFERROR(CB35/CB29,""),"")</f>
        <v>0.156277301061026</v>
      </c>
      <c r="CC36" s="26" t="n">
        <f aca="false">IF(AND(ISNUMBER(CC35),ISNUMBER(CC29)),IFERROR(CC35/CC29,""),"")</f>
        <v>0.164236651733039</v>
      </c>
      <c r="CD36" s="26" t="n">
        <f aca="false">IF(AND(ISNUMBER(CD35),ISNUMBER(CD29)),IFERROR(CD35/CD29,""),"")</f>
        <v>0.172068566251712</v>
      </c>
      <c r="CE36" s="26" t="n">
        <f aca="false">IF(AND(ISNUMBER(CE35),ISNUMBER(CE29)),IFERROR(CE35/CE29,""),"")</f>
        <v>0.187306215761003</v>
      </c>
      <c r="CF36" s="7"/>
      <c r="CN36" s="27" t="s">
        <v>147</v>
      </c>
      <c r="CO36" s="48" t="n">
        <f aca="false">CP36+$CO$32</f>
        <v>0.095</v>
      </c>
      <c r="CP36" s="49" t="n">
        <v>0.075</v>
      </c>
      <c r="CQ36" s="48" t="n">
        <f aca="false">CP36+$CQ$32</f>
        <v>0.05</v>
      </c>
    </row>
    <row r="37" customFormat="false" ht="15" hidden="false" customHeight="true" outlineLevel="0" collapsed="false">
      <c r="B37" s="27" t="s">
        <v>113</v>
      </c>
      <c r="C37" s="39"/>
      <c r="D37" s="39"/>
      <c r="E37" s="39"/>
      <c r="F37" s="39"/>
      <c r="G37" s="39"/>
      <c r="H37" s="39"/>
      <c r="I37" s="39"/>
      <c r="J37" s="39"/>
      <c r="K37" s="39"/>
      <c r="L37" s="39"/>
      <c r="M37" s="39"/>
      <c r="N37" s="39"/>
      <c r="O37" s="39"/>
      <c r="P37" s="39"/>
      <c r="Q37" s="39"/>
      <c r="R37" s="39"/>
      <c r="S37" s="39"/>
      <c r="T37" s="39"/>
      <c r="U37" s="39"/>
      <c r="V37" s="39"/>
      <c r="W37" s="39"/>
      <c r="X37" s="39"/>
      <c r="Y37" s="39"/>
      <c r="Z37" s="39"/>
      <c r="AA37" s="40" t="n">
        <v>76.1</v>
      </c>
      <c r="AB37" s="40" t="n">
        <v>76.1</v>
      </c>
      <c r="AC37" s="40" t="n">
        <v>299.4</v>
      </c>
      <c r="AD37" s="40" t="n">
        <v>76.6</v>
      </c>
      <c r="AE37" s="40" t="n">
        <v>76.4</v>
      </c>
      <c r="AF37" s="40" t="n">
        <v>76.9</v>
      </c>
      <c r="AG37" s="40" t="n">
        <v>79</v>
      </c>
      <c r="AH37" s="40" t="n">
        <v>308.9</v>
      </c>
      <c r="AI37" s="40" t="n">
        <v>80.7</v>
      </c>
      <c r="AJ37" s="40" t="n">
        <v>90.5</v>
      </c>
      <c r="AK37" s="40" t="n">
        <v>84.2</v>
      </c>
      <c r="AL37" s="40" t="n">
        <v>88.4</v>
      </c>
      <c r="AM37" s="40" t="n">
        <v>343.8</v>
      </c>
      <c r="AN37" s="40" t="n">
        <v>89.6</v>
      </c>
      <c r="AO37" s="40" t="n">
        <v>89.1</v>
      </c>
      <c r="AP37" s="40" t="n">
        <v>89</v>
      </c>
      <c r="AQ37" s="40" t="n">
        <v>88.9</v>
      </c>
      <c r="AR37" s="40" t="n">
        <v>356.6</v>
      </c>
      <c r="AS37" s="40" t="n">
        <v>89.6</v>
      </c>
      <c r="AT37" s="40" t="n">
        <v>247.9</v>
      </c>
      <c r="AU37" s="40" t="n">
        <v>263.7</v>
      </c>
      <c r="AV37" s="40" t="n">
        <v>268.8</v>
      </c>
      <c r="AW37" s="40" t="n">
        <v>870</v>
      </c>
      <c r="AX37" s="40" t="n">
        <v>277</v>
      </c>
      <c r="AY37" s="40" t="n">
        <v>280</v>
      </c>
      <c r="AZ37" s="40" t="n">
        <v>298</v>
      </c>
      <c r="BA37" s="40" t="n">
        <v>328</v>
      </c>
      <c r="BB37" s="40" t="n">
        <v>1183</v>
      </c>
      <c r="BC37" s="40" t="n">
        <v>321</v>
      </c>
      <c r="BD37" s="40" t="n">
        <v>310</v>
      </c>
      <c r="BE37" s="40" t="n">
        <v>300</v>
      </c>
      <c r="BF37" s="39"/>
      <c r="BG37" s="40" t="n">
        <v>419</v>
      </c>
      <c r="BH37" s="40" t="n">
        <v>105</v>
      </c>
      <c r="BI37" s="40" t="n">
        <v>104</v>
      </c>
      <c r="BJ37" s="40" t="n">
        <v>104</v>
      </c>
      <c r="BK37" s="40" t="n">
        <v>116</v>
      </c>
      <c r="BL37" s="40" t="n">
        <v>429</v>
      </c>
      <c r="BM37" s="40" t="n">
        <v>141</v>
      </c>
      <c r="BN37" s="40" t="n">
        <v>140</v>
      </c>
      <c r="BO37" s="40" t="n">
        <v>147</v>
      </c>
      <c r="BP37" s="40" t="n">
        <v>148</v>
      </c>
      <c r="BQ37" s="40" t="n">
        <v>576</v>
      </c>
      <c r="BR37" s="40" t="n">
        <v>149</v>
      </c>
      <c r="BS37" s="40" t="n">
        <v>150</v>
      </c>
      <c r="BT37" s="40" t="n">
        <v>154</v>
      </c>
      <c r="BU37" s="40" t="n">
        <v>151</v>
      </c>
      <c r="BV37" s="40" t="n">
        <v>604</v>
      </c>
      <c r="BW37" s="40" t="n">
        <v>152</v>
      </c>
      <c r="BX37" s="40" t="n">
        <v>151</v>
      </c>
      <c r="BY37" s="41" t="n">
        <f aca="false">BY172*BY38</f>
        <v>150.274836185154</v>
      </c>
      <c r="BZ37" s="41" t="n">
        <f aca="false">BZ172*BZ38</f>
        <v>149.712545744523</v>
      </c>
      <c r="CA37" s="41" t="n">
        <f aca="false">SUM(BW37,BX37,BY37,BZ37)</f>
        <v>602.987381929677</v>
      </c>
      <c r="CB37" s="41" t="n">
        <f aca="false">CB172*CB38</f>
        <v>546.931407942238</v>
      </c>
      <c r="CC37" s="41" t="n">
        <f aca="false">CC172*CC38</f>
        <v>546.931407942238</v>
      </c>
      <c r="CD37" s="41" t="n">
        <f aca="false">CD172*CD38</f>
        <v>546.931407942238</v>
      </c>
      <c r="CE37" s="41" t="n">
        <f aca="false">CE172*CE38</f>
        <v>478.564981949459</v>
      </c>
      <c r="CF37" s="37" t="s">
        <v>114</v>
      </c>
      <c r="CN37" s="17" t="s">
        <v>148</v>
      </c>
      <c r="CO37" s="47" t="n">
        <v>0.015</v>
      </c>
      <c r="CP37" s="23" t="s">
        <v>141</v>
      </c>
      <c r="CQ37" s="47" t="n">
        <v>-0.02</v>
      </c>
      <c r="CR37" s="15" t="s">
        <v>149</v>
      </c>
    </row>
    <row r="38" customFormat="false" ht="15" hidden="false" customHeight="true" outlineLevel="0" collapsed="false">
      <c r="B38" s="27" t="s">
        <v>117</v>
      </c>
      <c r="C38" s="42" t="str">
        <f aca="false">IF(ISNUMBER(C37),IFERROR(C37/(C19+C37+C55),""),"")</f>
        <v/>
      </c>
      <c r="D38" s="42" t="str">
        <f aca="false">IF(ISNUMBER(D37),IFERROR(D37/(D19+D37+D55),""),"")</f>
        <v/>
      </c>
      <c r="E38" s="42" t="str">
        <f aca="false">IF(ISNUMBER(E37),IFERROR(E37/(E19+E37+E55),""),"")</f>
        <v/>
      </c>
      <c r="F38" s="42" t="str">
        <f aca="false">IF(ISNUMBER(F37),IFERROR(F37/(F19+F37+F55),""),"")</f>
        <v/>
      </c>
      <c r="G38" s="42" t="str">
        <f aca="false">IF(ISNUMBER(G37),IFERROR(G37/(G19+G37+G55),""),"")</f>
        <v/>
      </c>
      <c r="H38" s="42" t="str">
        <f aca="false">IF(ISNUMBER(H37),IFERROR(H37/(H19+H37+H55),""),"")</f>
        <v/>
      </c>
      <c r="I38" s="42" t="str">
        <f aca="false">IF(ISNUMBER(I37),IFERROR(I37/(I19+I37+I55),""),"")</f>
        <v/>
      </c>
      <c r="J38" s="42" t="str">
        <f aca="false">IF(ISNUMBER(J37),IFERROR(J37/(J19+J37+J55),""),"")</f>
        <v/>
      </c>
      <c r="K38" s="42" t="str">
        <f aca="false">IF(ISNUMBER(K37),IFERROR(K37/(K19+K37+K55),""),"")</f>
        <v/>
      </c>
      <c r="L38" s="42" t="str">
        <f aca="false">IF(ISNUMBER(L37),IFERROR(L37/(L19+L37+L55),""),"")</f>
        <v/>
      </c>
      <c r="M38" s="42" t="str">
        <f aca="false">IF(ISNUMBER(M37),IFERROR(M37/(M19+M37+M55),""),"")</f>
        <v/>
      </c>
      <c r="N38" s="42" t="str">
        <f aca="false">IF(ISNUMBER(N37),IFERROR(N37/(N19+N37+N55),""),"")</f>
        <v/>
      </c>
      <c r="O38" s="42" t="str">
        <f aca="false">IF(ISNUMBER(O37),IFERROR(O37/(O19+O37+O55),""),"")</f>
        <v/>
      </c>
      <c r="P38" s="42" t="str">
        <f aca="false">IF(ISNUMBER(P37),IFERROR(P37/(P19+P37+P55),""),"")</f>
        <v/>
      </c>
      <c r="Q38" s="42" t="str">
        <f aca="false">IF(ISNUMBER(Q37),IFERROR(Q37/(Q19+Q37+Q55),""),"")</f>
        <v/>
      </c>
      <c r="R38" s="42" t="str">
        <f aca="false">IF(ISNUMBER(R37),IFERROR(R37/(R19+R37+R55),""),"")</f>
        <v/>
      </c>
      <c r="S38" s="42" t="str">
        <f aca="false">IF(ISNUMBER(S37),IFERROR(S37/(S19+S37+S55),""),"")</f>
        <v/>
      </c>
      <c r="T38" s="42" t="str">
        <f aca="false">IF(ISNUMBER(T37),IFERROR(T37/(T19+T37+T55),""),"")</f>
        <v/>
      </c>
      <c r="U38" s="42" t="str">
        <f aca="false">IF(ISNUMBER(U37),IFERROR(U37/(U19+U37+U55),""),"")</f>
        <v/>
      </c>
      <c r="V38" s="42" t="str">
        <f aca="false">IF(ISNUMBER(V37),IFERROR(V37/(V19+V37+V55),""),"")</f>
        <v/>
      </c>
      <c r="W38" s="42" t="str">
        <f aca="false">IF(ISNUMBER(W37),IFERROR(W37/(W19+W37+W55),""),"")</f>
        <v/>
      </c>
      <c r="X38" s="42" t="str">
        <f aca="false">IF(ISNUMBER(X37),IFERROR(X37/(X19+X37+X55),""),"")</f>
        <v/>
      </c>
      <c r="Y38" s="42" t="str">
        <f aca="false">IF(ISNUMBER(Y37),IFERROR(Y37/(Y19+Y37+Y55),""),"")</f>
        <v/>
      </c>
      <c r="Z38" s="42" t="str">
        <f aca="false">IF(ISNUMBER(Z37),IFERROR(Z37/(Z19+Z37+Z55),""),"")</f>
        <v/>
      </c>
      <c r="AA38" s="42" t="n">
        <f aca="false">IF(ISNUMBER(AA37),IFERROR(AA37/(AA19+AA37+AA55),""),"")</f>
        <v>0.691818181818182</v>
      </c>
      <c r="AB38" s="42" t="n">
        <f aca="false">IF(ISNUMBER(AB37),IFERROR(AB37/(AB19+AB37+AB55),""),"")</f>
        <v>0.61519805982215</v>
      </c>
      <c r="AC38" s="42" t="n">
        <f aca="false">IF(ISNUMBER(AC37),IFERROR(AC37/(AC19+AC37+AC55),""),"")</f>
        <v>0.667112299465241</v>
      </c>
      <c r="AD38" s="42" t="n">
        <f aca="false">IF(ISNUMBER(AD37),IFERROR(AD37/(AD19+AD37+AD55),""),"")</f>
        <v>0.577241899020347</v>
      </c>
      <c r="AE38" s="42" t="n">
        <f aca="false">IF(ISNUMBER(AE37),IFERROR(AE37/(AE19+AE37+AE55),""),"")</f>
        <v>0.604908946951702</v>
      </c>
      <c r="AF38" s="42" t="n">
        <f aca="false">IF(ISNUMBER(AF37),IFERROR(AF37/(AF19+AF37+AF55),""),"")</f>
        <v>0.586575133485889</v>
      </c>
      <c r="AG38" s="42" t="n">
        <f aca="false">IF(ISNUMBER(AG37),IFERROR(AG37/(AG19+AG37+AG55),""),"")</f>
        <v>0.597579425113465</v>
      </c>
      <c r="AH38" s="42" t="n">
        <f aca="false">IF(ISNUMBER(AH37),IFERROR(AH37/(AH19+AH37+AH55),""),"")</f>
        <v>0.591422554087689</v>
      </c>
      <c r="AI38" s="42" t="n">
        <f aca="false">IF(ISNUMBER(AI37),IFERROR(AI37/(AI19+AI37+AI55),""),"")</f>
        <v>0.603139013452915</v>
      </c>
      <c r="AJ38" s="42" t="n">
        <f aca="false">IF(ISNUMBER(AJ37),IFERROR(AJ37/(AJ19+AJ37+AJ55),""),"")</f>
        <v>0.632424877707897</v>
      </c>
      <c r="AK38" s="42" t="n">
        <f aca="false">IF(ISNUMBER(AK37),IFERROR(AK37/(AK19+AK37+AK55),""),"")</f>
        <v>0.617754952311079</v>
      </c>
      <c r="AL38" s="42" t="n">
        <f aca="false">IF(ISNUMBER(AL37),IFERROR(AL37/(AL19+AL37+AL55),""),"")</f>
        <v>0.62962962962963</v>
      </c>
      <c r="AM38" s="42" t="n">
        <f aca="false">IF(ISNUMBER(AM37),IFERROR(AM37/(AM19+AM37+AM55),""),"")</f>
        <v>0.621026011560694</v>
      </c>
      <c r="AN38" s="42" t="n">
        <f aca="false">IF(ISNUMBER(AN37),IFERROR(AN37/(AN19+AN37+AN55),""),"")</f>
        <v>0.632768361581921</v>
      </c>
      <c r="AO38" s="42" t="n">
        <f aca="false">IF(ISNUMBER(AO37),IFERROR(AO37/(AO19+AO37+AO55),""),"")</f>
        <v>0.63236337828247</v>
      </c>
      <c r="AP38" s="42" t="n">
        <f aca="false">IF(ISNUMBER(AP37),IFERROR(AP37/(AP19+AP37+AP55),""),"")</f>
        <v>0.634354953670706</v>
      </c>
      <c r="AQ38" s="42" t="n">
        <f aca="false">IF(ISNUMBER(AQ37),IFERROR(AQ37/(AQ19+AQ37+AQ55),""),"")</f>
        <v>0.633642195295795</v>
      </c>
      <c r="AR38" s="42" t="n">
        <f aca="false">IF(ISNUMBER(AR37),IFERROR(AR37/(AR19+AR37+AR55),""),"")</f>
        <v>0.633280056828272</v>
      </c>
      <c r="AS38" s="42" t="n">
        <f aca="false">IF(ISNUMBER(AS37),IFERROR(AS37/(AS19+AS37+AS55),""),"")</f>
        <v>0.635460992907801</v>
      </c>
      <c r="AT38" s="42" t="n">
        <f aca="false">IF(ISNUMBER(AT37),IFERROR(AT37/(AT19+AT37+AT55),""),"")</f>
        <v>0.828542780748663</v>
      </c>
      <c r="AU38" s="42" t="n">
        <f aca="false">IF(ISNUMBER(AU37),IFERROR(AU37/(AU19+AU37+AU55),""),"")</f>
        <v>0.837142857142857</v>
      </c>
      <c r="AV38" s="42" t="n">
        <f aca="false">IF(ISNUMBER(AV37),IFERROR(AV37/(AV19+AV37+AV55),""),"")</f>
        <v>0.840525328330206</v>
      </c>
      <c r="AW38" s="42" t="n">
        <f aca="false">IF(ISNUMBER(AW37),IFERROR(AW37/(AW19+AW37+AW55),""),"")</f>
        <v>0.809302325581395</v>
      </c>
      <c r="AX38" s="42" t="n">
        <f aca="false">IF(ISNUMBER(AX37),IFERROR(AX37/(AX19+AX37+AX55),""),"")</f>
        <v>0.844512195121951</v>
      </c>
      <c r="AY38" s="42" t="n">
        <f aca="false">IF(ISNUMBER(AY37),IFERROR(AY37/(AY19+AY37+AY55),""),"")</f>
        <v>0.845921450151057</v>
      </c>
      <c r="AZ38" s="42" t="n">
        <f aca="false">IF(ISNUMBER(AZ37),IFERROR(AZ37/(AZ19+AZ37+AZ55),""),"")</f>
        <v>0.851428571428571</v>
      </c>
      <c r="BA38" s="42" t="n">
        <f aca="false">IF(ISNUMBER(BA37),IFERROR(BA37/(BA19+BA37+BA55),""),"")</f>
        <v>0.865435356200528</v>
      </c>
      <c r="BB38" s="42" t="n">
        <f aca="false">IF(ISNUMBER(BB37),IFERROR(BB37/(BB19+BB37+BB55),""),"")</f>
        <v>0.852305475504323</v>
      </c>
      <c r="BC38" s="42" t="n">
        <f aca="false">IF(ISNUMBER(BC37),IFERROR(BC37/(BC19+BC37+BC55),""),"")</f>
        <v>0.862903225806452</v>
      </c>
      <c r="BD38" s="42" t="n">
        <f aca="false">IF(ISNUMBER(BD37),IFERROR(BD37/(BD19+BD37+BD55),""),"")</f>
        <v>0.861111111111111</v>
      </c>
      <c r="BE38" s="42" t="n">
        <f aca="false">IF(ISNUMBER(BE37),IFERROR(BE37/(BE19+BE37+BE55),""),"")</f>
        <v>0.857142857142857</v>
      </c>
      <c r="BF38" s="42" t="str">
        <f aca="false">IF(ISNUMBER(BF37),IFERROR(BF37/(BF19+BF37+BF55),""),"")</f>
        <v/>
      </c>
      <c r="BG38" s="42" t="n">
        <f aca="false">IF(ISNUMBER(BG37),IFERROR(BG37/(BG19+BG37+BG55),""),"")</f>
        <v>0.292189679218968</v>
      </c>
      <c r="BH38" s="42" t="n">
        <f aca="false">IF(ISNUMBER(BH37),IFERROR(BH37/(BH19+BH37+BH55),""),"")</f>
        <v>0.282258064516129</v>
      </c>
      <c r="BI38" s="42" t="n">
        <f aca="false">IF(ISNUMBER(BI37),IFERROR(BI37/(BI19+BI37+BI55),""),"")</f>
        <v>0.279569892473118</v>
      </c>
      <c r="BJ38" s="42" t="n">
        <f aca="false">IF(ISNUMBER(BJ37),IFERROR(BJ37/(BJ19+BJ37+BJ55),""),"")</f>
        <v>0.283378746594005</v>
      </c>
      <c r="BK38" s="42" t="n">
        <f aca="false">IF(ISNUMBER(BK37),IFERROR(BK37/(BK19+BK37+BK55),""),"")</f>
        <v>0.305263157894737</v>
      </c>
      <c r="BL38" s="42" t="n">
        <f aca="false">IF(ISNUMBER(BL37),IFERROR(BL37/(BL19+BL37+BL55),""),"")</f>
        <v>0.287726358148893</v>
      </c>
      <c r="BM38" s="42" t="n">
        <f aca="false">IF(ISNUMBER(BM37),IFERROR(BM37/(BM19+BM37+BM55),""),"")</f>
        <v>0.346437346437346</v>
      </c>
      <c r="BN38" s="42" t="n">
        <f aca="false">IF(ISNUMBER(BN37),IFERROR(BN37/(BN19+BN37+BN55),""),"")</f>
        <v>0.348258706467662</v>
      </c>
      <c r="BO38" s="42" t="n">
        <f aca="false">IF(ISNUMBER(BO37),IFERROR(BO37/(BO19+BO37+BO55),""),"")</f>
        <v>0.355072463768116</v>
      </c>
      <c r="BP38" s="42" t="n">
        <f aca="false">IF(ISNUMBER(BP37),IFERROR(BP37/(BP19+BP37+BP55),""),"")</f>
        <v>0.362745098039216</v>
      </c>
      <c r="BQ38" s="42" t="n">
        <f aca="false">IF(ISNUMBER(BQ37),IFERROR(BQ37/(BQ19+BQ37+BQ55),""),"")</f>
        <v>0.353157572041692</v>
      </c>
      <c r="BR38" s="42" t="n">
        <f aca="false">IF(ISNUMBER(BR37),IFERROR(BR37/(BR19+BR37+BR55),""),"")</f>
        <v>0.363414634146341</v>
      </c>
      <c r="BS38" s="42" t="n">
        <f aca="false">IF(ISNUMBER(BS37),IFERROR(BS37/(BS19+BS37+BS55),""),"")</f>
        <v>0.352112676056338</v>
      </c>
      <c r="BT38" s="42" t="n">
        <f aca="false">IF(ISNUMBER(BT37),IFERROR(BT37/(BT19+BT37+BT55),""),"")</f>
        <v>0.355658198614319</v>
      </c>
      <c r="BU38" s="42" t="n">
        <f aca="false">IF(ISNUMBER(BU37),IFERROR(BU37/(BU19+BU37+BU55),""),"")</f>
        <v>0.352803738317757</v>
      </c>
      <c r="BV38" s="42" t="n">
        <f aca="false">IF(ISNUMBER(BV37),IFERROR(BV37/(BV19+BV37+BV55),""),"")</f>
        <v>0.35592221567472</v>
      </c>
      <c r="BW38" s="42" t="n">
        <f aca="false">IF(ISNUMBER(BW37),IFERROR(BW37/(BW19+BW37+BW55),""),"")</f>
        <v>0.350230414746544</v>
      </c>
      <c r="BX38" s="42" t="n">
        <f aca="false">IF(ISNUMBER(BX37),IFERROR(BX37/(BX19+BX37+BX55),""),"")</f>
        <v>0.333775419982317</v>
      </c>
      <c r="BY38" s="26" t="n">
        <f aca="false">IFERROR((BW37+BX37)/((BW19+BX19)+(BW37+BX37)+(BW55+BX55)),"")</f>
        <v>0.341832129963899</v>
      </c>
      <c r="BZ38" s="26" t="n">
        <f aca="false">IFERROR((BW37+BX37)/((BW19+BX19)+(BW37+BX37)+(BW55+BX55)),"")</f>
        <v>0.341832129963899</v>
      </c>
      <c r="CA38" s="26" t="n">
        <f aca="false">$BY$38</f>
        <v>0.341832129963899</v>
      </c>
      <c r="CB38" s="26" t="n">
        <f aca="false">$BY$38</f>
        <v>0.341832129963899</v>
      </c>
      <c r="CC38" s="26" t="n">
        <f aca="false">$BY$38</f>
        <v>0.341832129963899</v>
      </c>
      <c r="CD38" s="26" t="n">
        <f aca="false">$BY$38</f>
        <v>0.341832129963899</v>
      </c>
      <c r="CE38" s="26" t="n">
        <f aca="false">$BY$38</f>
        <v>0.341832129963899</v>
      </c>
      <c r="CF38" s="7"/>
      <c r="CN38" s="27" t="s">
        <v>143</v>
      </c>
      <c r="CO38" s="48" t="n">
        <f aca="false">CP38+$CO$37</f>
        <v>0.055</v>
      </c>
      <c r="CP38" s="49" t="n">
        <v>0.04</v>
      </c>
      <c r="CQ38" s="48" t="n">
        <f aca="false">CP38+$CQ$37</f>
        <v>0.02</v>
      </c>
    </row>
    <row r="39" customFormat="false" ht="15" hidden="false" customHeight="true" outlineLevel="0" collapsed="false">
      <c r="B39" s="27" t="s">
        <v>120</v>
      </c>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40" t="n">
        <v>25</v>
      </c>
      <c r="BN39" s="40" t="n">
        <v>0</v>
      </c>
      <c r="BO39" s="40" t="n">
        <v>222</v>
      </c>
      <c r="BP39" s="40" t="n">
        <v>0</v>
      </c>
      <c r="BQ39" s="40" t="n">
        <v>247</v>
      </c>
      <c r="BR39" s="40" t="n">
        <v>0</v>
      </c>
      <c r="BS39" s="40" t="n">
        <v>432</v>
      </c>
      <c r="BT39" s="40" t="n">
        <v>0</v>
      </c>
      <c r="BU39" s="40" t="n">
        <v>14</v>
      </c>
      <c r="BV39" s="40" t="n">
        <v>446</v>
      </c>
      <c r="BW39" s="40" t="n">
        <v>0</v>
      </c>
      <c r="BX39" s="40" t="n">
        <v>0</v>
      </c>
      <c r="BY39" s="43" t="n">
        <v>0</v>
      </c>
      <c r="BZ39" s="43" t="n">
        <v>0</v>
      </c>
      <c r="CA39" s="41" t="n">
        <f aca="false">SUM(BW39,BX39,BY39,BZ39)</f>
        <v>0</v>
      </c>
      <c r="CB39" s="43" t="n">
        <v>0</v>
      </c>
      <c r="CC39" s="43" t="n">
        <v>0</v>
      </c>
      <c r="CD39" s="43" t="n">
        <v>0</v>
      </c>
      <c r="CE39" s="43" t="n">
        <v>0</v>
      </c>
      <c r="CF39" s="37" t="s">
        <v>121</v>
      </c>
      <c r="CN39" s="27" t="s">
        <v>144</v>
      </c>
      <c r="CO39" s="48" t="n">
        <f aca="false">CP39+$CO$37</f>
        <v>0.06</v>
      </c>
      <c r="CP39" s="49" t="n">
        <v>0.045</v>
      </c>
      <c r="CQ39" s="48" t="n">
        <f aca="false">CP39+$CQ$37</f>
        <v>0.025</v>
      </c>
    </row>
    <row r="40" customFormat="false" ht="15" hidden="false" customHeight="true" outlineLevel="0" collapsed="false">
      <c r="B40" s="18" t="s">
        <v>150</v>
      </c>
      <c r="C40" s="44" t="str">
        <f aca="false">IF(AND(ISNUMBER(C35),ISNUMBER(C37)),C35+C37+N(C39),"")</f>
        <v/>
      </c>
      <c r="D40" s="44" t="str">
        <f aca="false">IF(AND(ISNUMBER(D35),ISNUMBER(D37)),D35+D37+N(D39),"")</f>
        <v/>
      </c>
      <c r="E40" s="44" t="str">
        <f aca="false">IF(AND(ISNUMBER(E35),ISNUMBER(E37)),E35+E37+N(E39),"")</f>
        <v/>
      </c>
      <c r="F40" s="44" t="str">
        <f aca="false">IF(AND(ISNUMBER(F35),ISNUMBER(F37)),F35+F37+N(F39),"")</f>
        <v/>
      </c>
      <c r="G40" s="44" t="str">
        <f aca="false">IF(AND(ISNUMBER(G35),ISNUMBER(G37)),G35+G37+N(G39),"")</f>
        <v/>
      </c>
      <c r="H40" s="44" t="str">
        <f aca="false">IF(AND(ISNUMBER(H35),ISNUMBER(H37)),H35+H37+N(H39),"")</f>
        <v/>
      </c>
      <c r="I40" s="44" t="str">
        <f aca="false">IF(AND(ISNUMBER(I35),ISNUMBER(I37)),I35+I37+N(I39),"")</f>
        <v/>
      </c>
      <c r="J40" s="44" t="str">
        <f aca="false">IF(AND(ISNUMBER(J35),ISNUMBER(J37)),J35+J37+N(J39),"")</f>
        <v/>
      </c>
      <c r="K40" s="44" t="str">
        <f aca="false">IF(AND(ISNUMBER(K35),ISNUMBER(K37)),K35+K37+N(K39),"")</f>
        <v/>
      </c>
      <c r="L40" s="44" t="str">
        <f aca="false">IF(AND(ISNUMBER(L35),ISNUMBER(L37)),L35+L37+N(L39),"")</f>
        <v/>
      </c>
      <c r="M40" s="44" t="str">
        <f aca="false">IF(AND(ISNUMBER(M35),ISNUMBER(M37)),M35+M37+N(M39),"")</f>
        <v/>
      </c>
      <c r="N40" s="44" t="str">
        <f aca="false">IF(AND(ISNUMBER(N35),ISNUMBER(N37)),N35+N37+N(N39),"")</f>
        <v/>
      </c>
      <c r="O40" s="44" t="str">
        <f aca="false">IF(AND(ISNUMBER(O35),ISNUMBER(O37)),O35+O37+N(O39),"")</f>
        <v/>
      </c>
      <c r="P40" s="44" t="str">
        <f aca="false">IF(AND(ISNUMBER(P35),ISNUMBER(P37)),P35+P37+N(P39),"")</f>
        <v/>
      </c>
      <c r="Q40" s="44" t="str">
        <f aca="false">IF(AND(ISNUMBER(Q35),ISNUMBER(Q37)),Q35+Q37+N(Q39),"")</f>
        <v/>
      </c>
      <c r="R40" s="44" t="str">
        <f aca="false">IF(AND(ISNUMBER(R35),ISNUMBER(R37)),R35+R37+N(R39),"")</f>
        <v/>
      </c>
      <c r="S40" s="44" t="str">
        <f aca="false">IF(AND(ISNUMBER(S35),ISNUMBER(S37)),S35+S37+N(S39),"")</f>
        <v/>
      </c>
      <c r="T40" s="44" t="str">
        <f aca="false">IF(AND(ISNUMBER(T35),ISNUMBER(T37)),T35+T37+N(T39),"")</f>
        <v/>
      </c>
      <c r="U40" s="44" t="str">
        <f aca="false">IF(AND(ISNUMBER(U35),ISNUMBER(U37)),U35+U37+N(U39),"")</f>
        <v/>
      </c>
      <c r="V40" s="44" t="str">
        <f aca="false">IF(AND(ISNUMBER(V35),ISNUMBER(V37)),V35+V37+N(V39),"")</f>
        <v/>
      </c>
      <c r="W40" s="44" t="str">
        <f aca="false">IF(AND(ISNUMBER(W35),ISNUMBER(W37)),W35+W37+N(W39),"")</f>
        <v/>
      </c>
      <c r="X40" s="44" t="str">
        <f aca="false">IF(AND(ISNUMBER(X35),ISNUMBER(X37)),X35+X37+N(X39),"")</f>
        <v/>
      </c>
      <c r="Y40" s="44" t="str">
        <f aca="false">IF(AND(ISNUMBER(Y35),ISNUMBER(Y37)),Y35+Y37+N(Y39),"")</f>
        <v/>
      </c>
      <c r="Z40" s="44" t="str">
        <f aca="false">IF(AND(ISNUMBER(Z35),ISNUMBER(Z37)),Z35+Z37+N(Z39),"")</f>
        <v/>
      </c>
      <c r="AA40" s="44" t="n">
        <f aca="false">IF(AND(ISNUMBER(AA35),ISNUMBER(AA37)),AA35+AA37+N(AA39),"")</f>
        <v>280.8</v>
      </c>
      <c r="AB40" s="44" t="n">
        <f aca="false">IF(AND(ISNUMBER(AB35),ISNUMBER(AB37)),AB35+AB37+N(AB39),"")</f>
        <v>320.9</v>
      </c>
      <c r="AC40" s="44" t="n">
        <f aca="false">IF(AND(ISNUMBER(AC35),ISNUMBER(AC37)),AC35+AC37+N(AC39),"")</f>
        <v>1118.3</v>
      </c>
      <c r="AD40" s="44" t="n">
        <f aca="false">IF(AND(ISNUMBER(AD35),ISNUMBER(AD37)),AD35+AD37+N(AD39),"")</f>
        <v>288.2</v>
      </c>
      <c r="AE40" s="44" t="n">
        <f aca="false">IF(AND(ISNUMBER(AE35),ISNUMBER(AE37)),AE35+AE37+N(AE39),"")</f>
        <v>298</v>
      </c>
      <c r="AF40" s="44" t="n">
        <f aca="false">IF(AND(ISNUMBER(AF35),ISNUMBER(AF37)),AF35+AF37+N(AF39),"")</f>
        <v>323.7</v>
      </c>
      <c r="AG40" s="44" t="n">
        <f aca="false">IF(AND(ISNUMBER(AG35),ISNUMBER(AG37)),AG35+AG37+N(AG39),"")</f>
        <v>403.3</v>
      </c>
      <c r="AH40" s="44" t="n">
        <f aca="false">IF(AND(ISNUMBER(AH35),ISNUMBER(AH37)),AH35+AH37+N(AH39),"")</f>
        <v>1313.2</v>
      </c>
      <c r="AI40" s="44" t="n">
        <f aca="false">IF(AND(ISNUMBER(AI35),ISNUMBER(AI37)),AI35+AI37+N(AI39),"")</f>
        <v>352</v>
      </c>
      <c r="AJ40" s="44" t="n">
        <f aca="false">IF(AND(ISNUMBER(AJ35),ISNUMBER(AJ37)),AJ35+AJ37+N(AJ39),"")</f>
        <v>382</v>
      </c>
      <c r="AK40" s="44" t="n">
        <f aca="false">IF(AND(ISNUMBER(AK35),ISNUMBER(AK37)),AK35+AK37+N(AK39),"")</f>
        <v>397</v>
      </c>
      <c r="AL40" s="44" t="n">
        <f aca="false">IF(AND(ISNUMBER(AL35),ISNUMBER(AL37)),AL35+AL37+N(AL39),"")</f>
        <v>442.1</v>
      </c>
      <c r="AM40" s="44" t="n">
        <f aca="false">IF(AND(ISNUMBER(AM35),ISNUMBER(AM37)),AM35+AM37+N(AM39),"")</f>
        <v>1573.1</v>
      </c>
      <c r="AN40" s="44" t="n">
        <f aca="false">IF(AND(ISNUMBER(AN35),ISNUMBER(AN37)),AN35+AN37+N(AN39),"")</f>
        <v>398.6</v>
      </c>
      <c r="AO40" s="44" t="n">
        <f aca="false">IF(AND(ISNUMBER(AO35),ISNUMBER(AO37)),AO35+AO37+N(AO39),"")</f>
        <v>433.1</v>
      </c>
      <c r="AP40" s="44" t="n">
        <f aca="false">IF(AND(ISNUMBER(AP35),ISNUMBER(AP37)),AP35+AP37+N(AP39),"")</f>
        <v>431.5</v>
      </c>
      <c r="AQ40" s="44" t="n">
        <f aca="false">IF(AND(ISNUMBER(AQ35),ISNUMBER(AQ37)),AQ35+AQ37+N(AQ39),"")</f>
        <v>494.8</v>
      </c>
      <c r="AR40" s="44" t="n">
        <f aca="false">IF(AND(ISNUMBER(AR35),ISNUMBER(AR37)),AR35+AR37+N(AR39),"")</f>
        <v>1758</v>
      </c>
      <c r="AS40" s="44" t="n">
        <f aca="false">IF(AND(ISNUMBER(AS35),ISNUMBER(AS37)),AS35+AS37+N(AS39),"")</f>
        <v>415.2</v>
      </c>
      <c r="AT40" s="44" t="n">
        <f aca="false">IF(AND(ISNUMBER(AT35),ISNUMBER(AT37)),AT35+AT37+N(AT39),"")</f>
        <v>660.3</v>
      </c>
      <c r="AU40" s="44" t="n">
        <f aca="false">IF(AND(ISNUMBER(AU35),ISNUMBER(AU37)),AU35+AU37+N(AU39),"")</f>
        <v>768.6</v>
      </c>
      <c r="AV40" s="44" t="n">
        <f aca="false">IF(AND(ISNUMBER(AV35),ISNUMBER(AV37)),AV35+AV37+N(AV39),"")</f>
        <v>1079.8</v>
      </c>
      <c r="AW40" s="44" t="n">
        <f aca="false">IF(AND(ISNUMBER(AW35),ISNUMBER(AW37)),AW35+AW37+N(AW39),"")</f>
        <v>2924</v>
      </c>
      <c r="AX40" s="44" t="n">
        <f aca="false">IF(AND(ISNUMBER(AX35),ISNUMBER(AX37)),AX35+AX37+N(AX39),"")</f>
        <v>1428</v>
      </c>
      <c r="AY40" s="44" t="n">
        <f aca="false">IF(AND(ISNUMBER(AY35),ISNUMBER(AY37)),AY35+AY37+N(AY39),"")</f>
        <v>1424</v>
      </c>
      <c r="AZ40" s="44" t="n">
        <f aca="false">IF(AND(ISNUMBER(AZ35),ISNUMBER(AZ37)),AZ35+AZ37+N(AZ39),"")</f>
        <v>1273</v>
      </c>
      <c r="BA40" s="44" t="n">
        <f aca="false">IF(AND(ISNUMBER(BA35),ISNUMBER(BA37)),BA35+BA37+N(BA39),"")</f>
        <v>1425</v>
      </c>
      <c r="BB40" s="44" t="n">
        <f aca="false">IF(AND(ISNUMBER(BB35),ISNUMBER(BB37)),BB35+BB37+N(BB39),"")</f>
        <v>2476</v>
      </c>
      <c r="BC40" s="44" t="n">
        <f aca="false">IF(AND(ISNUMBER(BC35),ISNUMBER(BC37)),BC35+BC37+N(BC39),"")</f>
        <v>1439</v>
      </c>
      <c r="BD40" s="44" t="n">
        <f aca="false">IF(AND(ISNUMBER(BD35),ISNUMBER(BD37)),BD35+BD37+N(BD39),"")</f>
        <v>1484</v>
      </c>
      <c r="BE40" s="44" t="n">
        <f aca="false">IF(AND(ISNUMBER(BE35),ISNUMBER(BE37)),BE35+BE37+N(BE39),"")</f>
        <v>1345</v>
      </c>
      <c r="BF40" s="44" t="str">
        <f aca="false">IF(AND(ISNUMBER(BF35),ISNUMBER(BF37)),BF35+BF37+N(BF39),"")</f>
        <v/>
      </c>
      <c r="BG40" s="44" t="n">
        <f aca="false">IF(AND(ISNUMBER(BG35),ISNUMBER(BG37)),BG35+BG37+N(BG39),"")</f>
        <v>1833</v>
      </c>
      <c r="BH40" s="44" t="n">
        <f aca="false">IF(AND(ISNUMBER(BH35),ISNUMBER(BH37)),BH35+BH37+N(BH39),"")</f>
        <v>426</v>
      </c>
      <c r="BI40" s="44" t="n">
        <f aca="false">IF(AND(ISNUMBER(BI35),ISNUMBER(BI37)),BI35+BI37+N(BI39),"")</f>
        <v>444</v>
      </c>
      <c r="BJ40" s="44" t="n">
        <f aca="false">IF(AND(ISNUMBER(BJ35),ISNUMBER(BJ37)),BJ35+BJ37+N(BJ39),"")</f>
        <v>417</v>
      </c>
      <c r="BK40" s="44" t="n">
        <f aca="false">IF(AND(ISNUMBER(BK35),ISNUMBER(BK37)),BK35+BK37+N(BK39),"")</f>
        <v>351</v>
      </c>
      <c r="BL40" s="44" t="n">
        <f aca="false">IF(AND(ISNUMBER(BL35),ISNUMBER(BL37)),BL35+BL37+N(BL39),"")</f>
        <v>1638</v>
      </c>
      <c r="BM40" s="44" t="n">
        <f aca="false">IF(AND(ISNUMBER(BM35),ISNUMBER(BM37)),BM35+BM37+N(BM39),"")</f>
        <v>401</v>
      </c>
      <c r="BN40" s="44" t="n">
        <f aca="false">IF(AND(ISNUMBER(BN35),ISNUMBER(BN37)),BN35+BN37+N(BN39),"")</f>
        <v>373</v>
      </c>
      <c r="BO40" s="44" t="n">
        <f aca="false">IF(AND(ISNUMBER(BO35),ISNUMBER(BO37)),BO35+BO37+N(BO39),"")</f>
        <v>404</v>
      </c>
      <c r="BP40" s="44" t="n">
        <f aca="false">IF(AND(ISNUMBER(BP35),ISNUMBER(BP37)),BP35+BP37+N(BP39),"")</f>
        <v>524</v>
      </c>
      <c r="BQ40" s="44" t="n">
        <f aca="false">IF(AND(ISNUMBER(BQ35),ISNUMBER(BQ37)),BQ35+BQ37+N(BQ39),"")</f>
        <v>1702</v>
      </c>
      <c r="BR40" s="44" t="n">
        <f aca="false">IF(AND(ISNUMBER(BR35),ISNUMBER(BR37)),BR35+BR37+N(BR39),"")</f>
        <v>350</v>
      </c>
      <c r="BS40" s="44" t="n">
        <f aca="false">IF(AND(ISNUMBER(BS35),ISNUMBER(BS37)),BS35+BS37+N(BS39),"")</f>
        <v>343</v>
      </c>
      <c r="BT40" s="44" t="n">
        <f aca="false">IF(AND(ISNUMBER(BT35),ISNUMBER(BT37)),BT35+BT37+N(BT39),"")</f>
        <v>376</v>
      </c>
      <c r="BU40" s="44" t="n">
        <f aca="false">IF(AND(ISNUMBER(BU35),ISNUMBER(BU37)),BU35+BU37+N(BU39),"")</f>
        <v>501</v>
      </c>
      <c r="BV40" s="44" t="n">
        <f aca="false">IF(AND(ISNUMBER(BV35),ISNUMBER(BV37)),BV35+BV37+N(BV39),"")</f>
        <v>1570</v>
      </c>
      <c r="BW40" s="44" t="n">
        <f aca="false">IF(AND(ISNUMBER(BW35),ISNUMBER(BW37)),BW35+BW37+N(BW39),"")</f>
        <v>377</v>
      </c>
      <c r="BX40" s="44" t="n">
        <f aca="false">IF(AND(ISNUMBER(BX35),ISNUMBER(BX37)),BX35+BX37+N(BX39),"")</f>
        <v>395</v>
      </c>
      <c r="BY40" s="21" t="n">
        <f aca="false">BY29*BY41</f>
        <v>390.432801859083</v>
      </c>
      <c r="BZ40" s="21" t="n">
        <f aca="false">BZ29*BZ41</f>
        <v>597.699493710776</v>
      </c>
      <c r="CA40" s="21" t="n">
        <f aca="false">SUM(BW40,BX40,BY40,BZ40)</f>
        <v>1760.13229556986</v>
      </c>
      <c r="CB40" s="21" t="n">
        <f aca="false">CB29*CB41</f>
        <v>1790.66842087037</v>
      </c>
      <c r="CC40" s="21" t="n">
        <f aca="false">CC29*CC41</f>
        <v>1912.83179980531</v>
      </c>
      <c r="CD40" s="21" t="n">
        <f aca="false">CD29*CD41</f>
        <v>2042.36377929213</v>
      </c>
      <c r="CE40" s="21" t="n">
        <f aca="false">CE29*CE41</f>
        <v>2179.68015253815</v>
      </c>
      <c r="CF40" s="7" t="s">
        <v>125</v>
      </c>
      <c r="CH40" s="22" t="n">
        <f aca="false">IFERROR((CE40/BV40)^(1/5)-1,"n/m")</f>
        <v>0.0678214079468487</v>
      </c>
      <c r="CI40" s="22" t="n">
        <f aca="false">IFERROR((BV40/AW40)^(1/5)-1,"n/m")</f>
        <v>-0.116951703989658</v>
      </c>
      <c r="CJ40" s="22" t="str">
        <f aca="false">IFERROR((BV40/X40)^(1/10)-1,"n/m")</f>
        <v>n/m</v>
      </c>
      <c r="CK40" s="22" t="str">
        <f aca="false">IFERROR((BV40/C40)^(1/19)-1,"n/m")</f>
        <v>n/m</v>
      </c>
      <c r="CN40" s="27" t="s">
        <v>146</v>
      </c>
      <c r="CO40" s="48" t="n">
        <f aca="false">CP40+$CO$37</f>
        <v>0.06</v>
      </c>
      <c r="CP40" s="49" t="n">
        <v>0.045</v>
      </c>
      <c r="CQ40" s="48" t="n">
        <f aca="false">CP40+$CQ$37</f>
        <v>0.025</v>
      </c>
    </row>
    <row r="41" customFormat="false" ht="15" hidden="false" customHeight="true" outlineLevel="0" collapsed="false">
      <c r="B41" s="27" t="s">
        <v>128</v>
      </c>
      <c r="C41" s="42" t="str">
        <f aca="false">IF(AND(ISNUMBER(C40),ISNUMBER(C29)),IFERROR(C40/C29,""),"")</f>
        <v/>
      </c>
      <c r="D41" s="42" t="str">
        <f aca="false">IF(AND(ISNUMBER(D40),ISNUMBER(D29)),IFERROR(D40/D29,""),"")</f>
        <v/>
      </c>
      <c r="E41" s="42" t="str">
        <f aca="false">IF(AND(ISNUMBER(E40),ISNUMBER(E29)),IFERROR(E40/E29,""),"")</f>
        <v/>
      </c>
      <c r="F41" s="42" t="str">
        <f aca="false">IF(AND(ISNUMBER(F40),ISNUMBER(F29)),IFERROR(F40/F29,""),"")</f>
        <v/>
      </c>
      <c r="G41" s="42" t="str">
        <f aca="false">IF(AND(ISNUMBER(G40),ISNUMBER(G29)),IFERROR(G40/G29,""),"")</f>
        <v/>
      </c>
      <c r="H41" s="42" t="str">
        <f aca="false">IF(AND(ISNUMBER(H40),ISNUMBER(H29)),IFERROR(H40/H29,""),"")</f>
        <v/>
      </c>
      <c r="I41" s="42" t="str">
        <f aca="false">IF(AND(ISNUMBER(I40),ISNUMBER(I29)),IFERROR(I40/I29,""),"")</f>
        <v/>
      </c>
      <c r="J41" s="42" t="str">
        <f aca="false">IF(AND(ISNUMBER(J40),ISNUMBER(J29)),IFERROR(J40/J29,""),"")</f>
        <v/>
      </c>
      <c r="K41" s="42" t="str">
        <f aca="false">IF(AND(ISNUMBER(K40),ISNUMBER(K29)),IFERROR(K40/K29,""),"")</f>
        <v/>
      </c>
      <c r="L41" s="42" t="str">
        <f aca="false">IF(AND(ISNUMBER(L40),ISNUMBER(L29)),IFERROR(L40/L29,""),"")</f>
        <v/>
      </c>
      <c r="M41" s="42" t="str">
        <f aca="false">IF(AND(ISNUMBER(M40),ISNUMBER(M29)),IFERROR(M40/M29,""),"")</f>
        <v/>
      </c>
      <c r="N41" s="42" t="str">
        <f aca="false">IF(AND(ISNUMBER(N40),ISNUMBER(N29)),IFERROR(N40/N29,""),"")</f>
        <v/>
      </c>
      <c r="O41" s="42" t="str">
        <f aca="false">IF(AND(ISNUMBER(O40),ISNUMBER(O29)),IFERROR(O40/O29,""),"")</f>
        <v/>
      </c>
      <c r="P41" s="42" t="str">
        <f aca="false">IF(AND(ISNUMBER(P40),ISNUMBER(P29)),IFERROR(P40/P29,""),"")</f>
        <v/>
      </c>
      <c r="Q41" s="42" t="str">
        <f aca="false">IF(AND(ISNUMBER(Q40),ISNUMBER(Q29)),IFERROR(Q40/Q29,""),"")</f>
        <v/>
      </c>
      <c r="R41" s="42" t="str">
        <f aca="false">IF(AND(ISNUMBER(R40),ISNUMBER(R29)),IFERROR(R40/R29,""),"")</f>
        <v/>
      </c>
      <c r="S41" s="42" t="str">
        <f aca="false">IF(AND(ISNUMBER(S40),ISNUMBER(S29)),IFERROR(S40/S29,""),"")</f>
        <v/>
      </c>
      <c r="T41" s="42" t="str">
        <f aca="false">IF(AND(ISNUMBER(T40),ISNUMBER(T29)),IFERROR(T40/T29,""),"")</f>
        <v/>
      </c>
      <c r="U41" s="42" t="str">
        <f aca="false">IF(AND(ISNUMBER(U40),ISNUMBER(U29)),IFERROR(U40/U29,""),"")</f>
        <v/>
      </c>
      <c r="V41" s="42" t="str">
        <f aca="false">IF(AND(ISNUMBER(V40),ISNUMBER(V29)),IFERROR(V40/V29,""),"")</f>
        <v/>
      </c>
      <c r="W41" s="42" t="str">
        <f aca="false">IF(AND(ISNUMBER(W40),ISNUMBER(W29)),IFERROR(W40/W29,""),"")</f>
        <v/>
      </c>
      <c r="X41" s="42" t="str">
        <f aca="false">IF(AND(ISNUMBER(X40),ISNUMBER(X29)),IFERROR(X40/X29,""),"")</f>
        <v/>
      </c>
      <c r="Y41" s="42" t="str">
        <f aca="false">IF(AND(ISNUMBER(Y40),ISNUMBER(Y29)),IFERROR(Y40/Y29,""),"")</f>
        <v/>
      </c>
      <c r="Z41" s="42" t="str">
        <f aca="false">IF(AND(ISNUMBER(Z40),ISNUMBER(Z29)),IFERROR(Z40/Z29,""),"")</f>
        <v/>
      </c>
      <c r="AA41" s="42" t="n">
        <f aca="false">IF(AND(ISNUMBER(AA40),ISNUMBER(AA29)),IFERROR(AA40/AA29,""),"")</f>
        <v>0.211860570393843</v>
      </c>
      <c r="AB41" s="42" t="n">
        <f aca="false">IF(AND(ISNUMBER(AB40),ISNUMBER(AB29)),IFERROR(AB40/AB29,""),"")</f>
        <v>0.220686335190152</v>
      </c>
      <c r="AC41" s="42" t="n">
        <f aca="false">IF(AND(ISNUMBER(AC40),ISNUMBER(AC29)),IFERROR(AC40/AC29,""),"")</f>
        <v>0.208408654652528</v>
      </c>
      <c r="AD41" s="42" t="n">
        <f aca="false">IF(AND(ISNUMBER(AD40),ISNUMBER(AD29)),IFERROR(AD40/AD29,""),"")</f>
        <v>0.220319547435211</v>
      </c>
      <c r="AE41" s="42" t="n">
        <f aca="false">IF(AND(ISNUMBER(AE40),ISNUMBER(AE29)),IFERROR(AE40/AE29,""),"")</f>
        <v>0.215271256230586</v>
      </c>
      <c r="AF41" s="42" t="n">
        <f aca="false">IF(AND(ISNUMBER(AF40),ISNUMBER(AF29)),IFERROR(AF40/AF29,""),"")</f>
        <v>0.232442912537699</v>
      </c>
      <c r="AG41" s="42" t="n">
        <f aca="false">IF(AND(ISNUMBER(AG40),ISNUMBER(AG29)),IFERROR(AG40/AG29,""),"")</f>
        <v>0.24816934342502</v>
      </c>
      <c r="AH41" s="42" t="n">
        <f aca="false">IF(AND(ISNUMBER(AH40),ISNUMBER(AH29)),IFERROR(AH40/AH29,""),"")</f>
        <v>0.22997845922138</v>
      </c>
      <c r="AI41" s="42" t="n">
        <f aca="false">IF(AND(ISNUMBER(AI40),ISNUMBER(AI29)),IFERROR(AI40/AI29,""),"")</f>
        <v>0.238482384823848</v>
      </c>
      <c r="AJ41" s="42" t="n">
        <f aca="false">IF(AND(ISNUMBER(AJ40),ISNUMBER(AJ29)),IFERROR(AJ40/AJ29,""),"")</f>
        <v>0.237976576127585</v>
      </c>
      <c r="AK41" s="42" t="n">
        <f aca="false">IF(AND(ISNUMBER(AK40),ISNUMBER(AK29)),IFERROR(AK40/AK29,""),"")</f>
        <v>0.248637815494457</v>
      </c>
      <c r="AL41" s="42" t="n">
        <f aca="false">IF(AND(ISNUMBER(AL40),ISNUMBER(AL29)),IFERROR(AL40/AL29,""),"")</f>
        <v>0.246501254530248</v>
      </c>
      <c r="AM41" s="42" t="n">
        <f aca="false">IF(AND(ISNUMBER(AM40),ISNUMBER(AM29)),IFERROR(AM40/AM29,""),"")</f>
        <v>0.243084958432488</v>
      </c>
      <c r="AN41" s="42" t="n">
        <f aca="false">IF(AND(ISNUMBER(AN40),ISNUMBER(AN29)),IFERROR(AN40/AN29,""),"")</f>
        <v>0.245005839326326</v>
      </c>
      <c r="AO41" s="42" t="n">
        <f aca="false">IF(AND(ISNUMBER(AO40),ISNUMBER(AO29)),IFERROR(AO40/AO29,""),"")</f>
        <v>0.2528903421698</v>
      </c>
      <c r="AP41" s="42" t="n">
        <f aca="false">IF(AND(ISNUMBER(AP40),ISNUMBER(AP29)),IFERROR(AP40/AP29,""),"")</f>
        <v>0.254482189195565</v>
      </c>
      <c r="AQ41" s="42" t="n">
        <f aca="false">IF(AND(ISNUMBER(AQ40),ISNUMBER(AQ29)),IFERROR(AQ40/AQ29,""),"")</f>
        <v>0.258246346555324</v>
      </c>
      <c r="AR41" s="42" t="n">
        <f aca="false">IF(AND(ISNUMBER(AR40),ISNUMBER(AR29)),IFERROR(AR40/AR29,""),"")</f>
        <v>0.252909611428407</v>
      </c>
      <c r="AS41" s="42" t="n">
        <f aca="false">IF(AND(ISNUMBER(AS40),ISNUMBER(AS29)),IFERROR(AS40/AS29,""),"")</f>
        <v>0.251575375666505</v>
      </c>
      <c r="AT41" s="42" t="n">
        <f aca="false">IF(AND(ISNUMBER(AT40),ISNUMBER(AT29)),IFERROR(AT40/AT29,""),"")</f>
        <v>0.24988646684832</v>
      </c>
      <c r="AU41" s="42" t="n">
        <f aca="false">IF(AND(ISNUMBER(AU40),ISNUMBER(AU29)),IFERROR(AU40/AU29,""),"")</f>
        <v>0.262994011976048</v>
      </c>
      <c r="AV41" s="42" t="n">
        <f aca="false">IF(AND(ISNUMBER(AV40),ISNUMBER(AV29)),IFERROR(AV40/AV29,""),"")</f>
        <v>0.321273430526629</v>
      </c>
      <c r="AW41" s="42" t="n">
        <f aca="false">IF(AND(ISNUMBER(AW40),ISNUMBER(AW29)),IFERROR(AW40/AW29,""),"")</f>
        <v>0.276475037821483</v>
      </c>
      <c r="AX41" s="42" t="n">
        <f aca="false">IF(AND(ISNUMBER(AX40),ISNUMBER(AX29)),IFERROR(AX40/AX29,""),"")</f>
        <v>0.402707275803723</v>
      </c>
      <c r="AY41" s="42" t="n">
        <f aca="false">IF(AND(ISNUMBER(AY40),ISNUMBER(AY29)),IFERROR(AY40/AY29,""),"")</f>
        <v>0.381360471344403</v>
      </c>
      <c r="AZ41" s="42" t="n">
        <f aca="false">IF(AND(ISNUMBER(AZ40),ISNUMBER(AZ29)),IFERROR(AZ40/AZ29,""),"")</f>
        <v>0.350495594713656</v>
      </c>
      <c r="BA41" s="42" t="n">
        <f aca="false">IF(AND(ISNUMBER(BA40),ISNUMBER(BA29)),IFERROR(BA40/BA29,""),"")</f>
        <v>0.352199703410776</v>
      </c>
      <c r="BB41" s="42" t="n">
        <f aca="false">IF(AND(ISNUMBER(BB40),ISNUMBER(BB29)),IFERROR(BB40/BB29,""),"")</f>
        <v>0.387601753287414</v>
      </c>
      <c r="BC41" s="42" t="n">
        <f aca="false">IF(AND(ISNUMBER(BC40),ISNUMBER(BC29)),IFERROR(BC40/BC29,""),"")</f>
        <v>0.370685213807316</v>
      </c>
      <c r="BD41" s="42" t="n">
        <f aca="false">IF(AND(ISNUMBER(BD40),ISNUMBER(BD29)),IFERROR(BD40/BD29,""),"")</f>
        <v>0.374086211242753</v>
      </c>
      <c r="BE41" s="42" t="n">
        <f aca="false">IF(AND(ISNUMBER(BE40),ISNUMBER(BE29)),IFERROR(BE40/BE29,""),"")</f>
        <v>0.356197033898305</v>
      </c>
      <c r="BF41" s="42" t="str">
        <f aca="false">IF(AND(ISNUMBER(BF40),ISNUMBER(BF29)),IFERROR(BF40/BF29,""),"")</f>
        <v/>
      </c>
      <c r="BG41" s="42" t="n">
        <f aca="false">IF(AND(ISNUMBER(BG40),ISNUMBER(BG29)),IFERROR(BG40/BG29,""),"")</f>
        <v>0.260517339397385</v>
      </c>
      <c r="BH41" s="42" t="n">
        <f aca="false">IF(AND(ISNUMBER(BH40),ISNUMBER(BH29)),IFERROR(BH40/BH29,""),"")</f>
        <v>0.249268578115857</v>
      </c>
      <c r="BI41" s="42" t="n">
        <f aca="false">IF(AND(ISNUMBER(BI40),ISNUMBER(BI29)),IFERROR(BI40/BI29,""),"")</f>
        <v>0.247216035634744</v>
      </c>
      <c r="BJ41" s="42" t="n">
        <f aca="false">IF(AND(ISNUMBER(BJ40),ISNUMBER(BJ29)),IFERROR(BJ40/BJ29,""),"")</f>
        <v>0.244431418522861</v>
      </c>
      <c r="BK41" s="42" t="n">
        <f aca="false">IF(AND(ISNUMBER(BK40),ISNUMBER(BK29)),IFERROR(BK40/BK29,""),"")</f>
        <v>0.181865284974093</v>
      </c>
      <c r="BL41" s="42" t="n">
        <f aca="false">IF(AND(ISNUMBER(BL40),ISNUMBER(BL29)),IFERROR(BL40/BL29,""),"")</f>
        <v>0.229379638706064</v>
      </c>
      <c r="BM41" s="42" t="n">
        <f aca="false">IF(AND(ISNUMBER(BM40),ISNUMBER(BM29)),IFERROR(BM40/BM29,""),"")</f>
        <v>0.229799426934097</v>
      </c>
      <c r="BN41" s="42" t="n">
        <f aca="false">IF(AND(ISNUMBER(BN40),ISNUMBER(BN29)),IFERROR(BN40/BN29,""),"")</f>
        <v>0.210734463276836</v>
      </c>
      <c r="BO41" s="42" t="n">
        <f aca="false">IF(AND(ISNUMBER(BO40),ISNUMBER(BO29)),IFERROR(BO40/BO29,""),"")</f>
        <v>0.226711560044893</v>
      </c>
      <c r="BP41" s="42" t="n">
        <f aca="false">IF(AND(ISNUMBER(BP40),ISNUMBER(BP29)),IFERROR(BP40/BP29,""),"")</f>
        <v>0.257874015748032</v>
      </c>
      <c r="BQ41" s="42" t="n">
        <f aca="false">IF(AND(ISNUMBER(BQ40),ISNUMBER(BQ29)),IFERROR(BQ40/BQ29,""),"")</f>
        <v>0.232228134806931</v>
      </c>
      <c r="BR41" s="42" t="n">
        <f aca="false">IF(AND(ISNUMBER(BR40),ISNUMBER(BR29)),IFERROR(BR40/BR29,""),"")</f>
        <v>0.208333333333333</v>
      </c>
      <c r="BS41" s="42" t="n">
        <f aca="false">IF(AND(ISNUMBER(BS40),ISNUMBER(BS29)),IFERROR(BS40/BS29,""),"")</f>
        <v>0.193021947101857</v>
      </c>
      <c r="BT41" s="42" t="n">
        <f aca="false">IF(AND(ISNUMBER(BT40),ISNUMBER(BT29)),IFERROR(BT40/BT29,""),"")</f>
        <v>0.209821428571429</v>
      </c>
      <c r="BU41" s="42" t="n">
        <f aca="false">IF(AND(ISNUMBER(BU40),ISNUMBER(BU29)),IFERROR(BU40/BU29,""),"")</f>
        <v>0.240287769784173</v>
      </c>
      <c r="BV41" s="42" t="n">
        <f aca="false">IF(AND(ISNUMBER(BV40),ISNUMBER(BV29)),IFERROR(BV40/BV29,""),"")</f>
        <v>0.214071448050177</v>
      </c>
      <c r="BW41" s="42" t="n">
        <f aca="false">IF(AND(ISNUMBER(BW40),ISNUMBER(BW29)),IFERROR(BW40/BW29,""),"")</f>
        <v>0.217040875071963</v>
      </c>
      <c r="BX41" s="42" t="n">
        <f aca="false">IF(AND(ISNUMBER(BX40),ISNUMBER(BX29)),IFERROR(BX40/BX29,""),"")</f>
        <v>0.210218201170836</v>
      </c>
      <c r="BY41" s="26" t="n">
        <f aca="false">BY42+BY134</f>
        <v>0.210138264481483</v>
      </c>
      <c r="BZ41" s="26" t="n">
        <f aca="false">BZ42+BZ134</f>
        <v>0.274369331311408</v>
      </c>
      <c r="CA41" s="26" t="n">
        <f aca="false">IF(AND(ISNUMBER(CA40),ISNUMBER(CA29)),IFERROR(CA40/CA29,""),"")</f>
        <v>0.230009616723543</v>
      </c>
      <c r="CB41" s="26" t="n">
        <f aca="false">CHOOSE(MATCH($CF$2,{"Bull","Base","Bear"},0),$CO$53,$CP$53,$CQ$53)</f>
        <v>0.225</v>
      </c>
      <c r="CC41" s="26" t="n">
        <f aca="false">CHOOSE(MATCH($CF$2,{"Bull","Base","Bear"},0),$CO$54,$CP$54,$CQ$54)</f>
        <v>0.23</v>
      </c>
      <c r="CD41" s="26" t="n">
        <f aca="false">CHOOSE(MATCH($CF$2,{"Bull","Base","Bear"},0),$CO$55,$CP$55,$CQ$55)</f>
        <v>0.235</v>
      </c>
      <c r="CE41" s="26" t="n">
        <f aca="false">CHOOSE(MATCH($CF$2,{"Bull","Base","Bear"},0),$CO$56,$CP$56,$CQ$56)</f>
        <v>0.24</v>
      </c>
      <c r="CF41" s="7" t="s">
        <v>129</v>
      </c>
      <c r="CH41" s="32" t="n">
        <f aca="false">IFERROR(AVERAGE(CA41,CB41,CC41,CD41,CE41),"n/m")</f>
        <v>0.232001923344709</v>
      </c>
      <c r="CI41" s="32" t="n">
        <f aca="false">IFERROR(AVERAGE(BB41,BG41,BL41,BQ41,BV41),"n/m")</f>
        <v>0.264759662849594</v>
      </c>
      <c r="CJ41" s="32" t="n">
        <f aca="false">IFERROR(AVERAGE(AC41,AH41,AM41,AR41,AW41,BB41,BG41,BL41,BQ41,BV41),"n/m")</f>
        <v>0.253465503580426</v>
      </c>
      <c r="CK41" s="32" t="n">
        <f aca="false">IFERROR(AVERAGE(C41,D41,E41,F41,G41,H41,I41,N41,S41,X41,AC41,AH41,AM41,AR41,AW41,BB41,BG41,BL41,BQ41,BV41),"n/m")</f>
        <v>0.253465503580426</v>
      </c>
      <c r="CN41" s="27" t="s">
        <v>147</v>
      </c>
      <c r="CO41" s="48" t="n">
        <f aca="false">CP41+$CO$37</f>
        <v>0.06</v>
      </c>
      <c r="CP41" s="49" t="n">
        <v>0.045</v>
      </c>
      <c r="CQ41" s="48" t="n">
        <f aca="false">CP41+$CQ$37</f>
        <v>0.025</v>
      </c>
    </row>
    <row r="42" customFormat="false" ht="15" hidden="false" customHeight="true" outlineLevel="0" collapsed="false">
      <c r="B42" s="27" t="s">
        <v>130</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26" t="n">
        <f aca="false">BT41+((BW40+BX40)/(BW29+BX29)-(BR40+BS40)/(BR29+BS29))</f>
        <v>0.222854174750145</v>
      </c>
      <c r="BZ42" s="26" t="n">
        <f aca="false">BU41+((BW40+BX40)/(BW29+BX29)-(BR40+BS40)/(BR29+BS29))</f>
        <v>0.253320515962889</v>
      </c>
      <c r="CA42" s="31"/>
      <c r="CB42" s="31"/>
      <c r="CC42" s="31"/>
      <c r="CD42" s="31"/>
      <c r="CE42" s="31"/>
      <c r="CF42" s="7" t="s">
        <v>131</v>
      </c>
      <c r="CN42" s="17" t="s">
        <v>151</v>
      </c>
      <c r="CO42" s="47" t="n">
        <v>0.015</v>
      </c>
      <c r="CP42" s="23" t="s">
        <v>141</v>
      </c>
      <c r="CQ42" s="47" t="n">
        <v>-0.02</v>
      </c>
      <c r="CR42" s="15" t="s">
        <v>152</v>
      </c>
    </row>
    <row r="43" customFormat="false" ht="15" hidden="false" customHeight="true" outlineLevel="0" collapsed="false">
      <c r="B43" s="27" t="s">
        <v>132</v>
      </c>
      <c r="C43" s="34"/>
      <c r="D43" s="42" t="str">
        <f aca="false">IFERROR((D40-C40)/(D29-C29),"")</f>
        <v/>
      </c>
      <c r="E43" s="42" t="str">
        <f aca="false">IFERROR((E40-D40)/(E29-D29),"")</f>
        <v/>
      </c>
      <c r="F43" s="42" t="str">
        <f aca="false">IFERROR((F40-E40)/(F29-E29),"")</f>
        <v/>
      </c>
      <c r="G43" s="42" t="str">
        <f aca="false">IFERROR((G40-F40)/(G29-F29),"")</f>
        <v/>
      </c>
      <c r="H43" s="42" t="str">
        <f aca="false">IFERROR((H40-G40)/(H29-G29),"")</f>
        <v/>
      </c>
      <c r="I43" s="42" t="str">
        <f aca="false">IFERROR((I40-H40)/(I29-H29),"")</f>
        <v/>
      </c>
      <c r="J43" s="34"/>
      <c r="K43" s="34"/>
      <c r="L43" s="34"/>
      <c r="M43" s="34"/>
      <c r="N43" s="42" t="str">
        <f aca="false">IFERROR((N40-I40)/(N29-I29),"")</f>
        <v/>
      </c>
      <c r="O43" s="42" t="str">
        <f aca="false">IFERROR((O40-J40)/(O29-J29),"")</f>
        <v/>
      </c>
      <c r="P43" s="42" t="str">
        <f aca="false">IFERROR((P40-K40)/(P29-K29),"")</f>
        <v/>
      </c>
      <c r="Q43" s="42" t="str">
        <f aca="false">IFERROR((Q40-L40)/(Q29-L29),"")</f>
        <v/>
      </c>
      <c r="R43" s="42" t="str">
        <f aca="false">IFERROR((R40-M40)/(R29-M29),"")</f>
        <v/>
      </c>
      <c r="S43" s="42" t="str">
        <f aca="false">IFERROR((S40-N40)/(S29-N29),"")</f>
        <v/>
      </c>
      <c r="T43" s="42" t="str">
        <f aca="false">IFERROR((T40-O40)/(T29-O29),"")</f>
        <v/>
      </c>
      <c r="U43" s="42" t="str">
        <f aca="false">IFERROR((U40-P40)/(U29-P29),"")</f>
        <v/>
      </c>
      <c r="V43" s="42" t="str">
        <f aca="false">IFERROR((V40-Q40)/(V29-Q29),"")</f>
        <v/>
      </c>
      <c r="W43" s="42" t="str">
        <f aca="false">IFERROR((W40-R40)/(W29-R29),"")</f>
        <v/>
      </c>
      <c r="X43" s="42" t="str">
        <f aca="false">IFERROR((X40-S40)/(X29-S29),"")</f>
        <v/>
      </c>
      <c r="Y43" s="42" t="str">
        <f aca="false">IFERROR((Y40-T40)/(Y29-T29),"")</f>
        <v/>
      </c>
      <c r="Z43" s="42" t="str">
        <f aca="false">IFERROR((Z40-U40)/(Z29-U29),"")</f>
        <v/>
      </c>
      <c r="AA43" s="42" t="str">
        <f aca="false">IFERROR((AA40-V40)/(AA29-V29),"")</f>
        <v/>
      </c>
      <c r="AB43" s="42" t="str">
        <f aca="false">IFERROR((AB40-W40)/(AB29-W29),"")</f>
        <v/>
      </c>
      <c r="AC43" s="42" t="str">
        <f aca="false">IFERROR((AC40-X40)/(AC29-X29),"")</f>
        <v/>
      </c>
      <c r="AD43" s="42" t="str">
        <f aca="false">IFERROR((AD40-Y40)/(AD29-Y29),"")</f>
        <v/>
      </c>
      <c r="AE43" s="42" t="str">
        <f aca="false">IFERROR((AE40-Z40)/(AE29-Z29),"")</f>
        <v/>
      </c>
      <c r="AF43" s="42" t="n">
        <f aca="false">IFERROR((AF40-AA40)/(AF29-AA29),"")</f>
        <v>0.63839285714286</v>
      </c>
      <c r="AG43" s="42" t="n">
        <f aca="false">IFERROR((AG40-AB40)/(AG29-AB29),"")</f>
        <v>0.48187134502924</v>
      </c>
      <c r="AH43" s="42" t="n">
        <f aca="false">IFERROR((AH40-AC40)/(AH29-AC29),"")</f>
        <v>0.566240557815222</v>
      </c>
      <c r="AI43" s="42" t="n">
        <f aca="false">IFERROR((AI40-AD40)/(AI29-AD29),"")</f>
        <v>0.379988088147707</v>
      </c>
      <c r="AJ43" s="42" t="n">
        <f aca="false">IFERROR((AJ40-AE40)/(AJ29-AE29),"")</f>
        <v>0.38026256224536</v>
      </c>
      <c r="AK43" s="42" t="n">
        <f aca="false">IFERROR((AK40-AF40)/(AK29-AF29),"")</f>
        <v>0.359137677609015</v>
      </c>
      <c r="AL43" s="42" t="n">
        <f aca="false">IFERROR((AL40-AG40)/(AL29-AG29),"")</f>
        <v>0.230403800475059</v>
      </c>
      <c r="AM43" s="42" t="n">
        <f aca="false">IFERROR((AM40-AH40)/(AM29-AH29),"")</f>
        <v>0.341389728096677</v>
      </c>
      <c r="AN43" s="42" t="n">
        <f aca="false">IFERROR((AN40-AI40)/(AN29-AI29),"")</f>
        <v>0.308813783962889</v>
      </c>
      <c r="AO43" s="42" t="n">
        <f aca="false">IFERROR((AO40-AJ40)/(AO29-AJ29),"")</f>
        <v>0.475791433891993</v>
      </c>
      <c r="AP43" s="42" t="n">
        <f aca="false">IFERROR((AP40-AK40)/(AP29-AK29),"")</f>
        <v>0.348837209302326</v>
      </c>
      <c r="AQ43" s="42" t="n">
        <f aca="false">IFERROR((AQ40-AL40)/(AQ29-AL29),"")</f>
        <v>0.430204081632653</v>
      </c>
      <c r="AR43" s="42" t="n">
        <f aca="false">IFERROR((AR40-AM40)/(AR29-AM29),"")</f>
        <v>0.385449239107775</v>
      </c>
      <c r="AS43" s="42" t="n">
        <f aca="false">IFERROR((AS40-AN40)/(AS29-AN29),"")</f>
        <v>0.706382978723405</v>
      </c>
      <c r="AT43" s="42" t="n">
        <f aca="false">IFERROR((AT40-AO40)/(AT29-AO29),"")</f>
        <v>0.244353624435362</v>
      </c>
      <c r="AU43" s="42" t="n">
        <f aca="false">IFERROR((AU40-AP40)/(AU29-AP29),"")</f>
        <v>0.2747575189502</v>
      </c>
      <c r="AV43" s="42" t="n">
        <f aca="false">IFERROR((AV40-AQ40)/(AV29-AQ29),"")</f>
        <v>0.404844290657439</v>
      </c>
      <c r="AW43" s="42" t="n">
        <f aca="false">IFERROR((AW40-AR40)/(AW29-AR29),"")</f>
        <v>0.321664045904715</v>
      </c>
      <c r="AX43" s="42" t="n">
        <f aca="false">IFERROR((AX40-AS40)/(AX29-AS29),"")</f>
        <v>0.534289934585356</v>
      </c>
      <c r="AY43" s="42" t="n">
        <f aca="false">IFERROR((AY40-AT40)/(AY29-AT29),"")</f>
        <v>0.699615243679003</v>
      </c>
      <c r="AZ43" s="42" t="n">
        <f aca="false">IFERROR((AZ40-AU40)/(AZ29-AU29),"")</f>
        <v>0.71092318534179</v>
      </c>
      <c r="BA43" s="42" t="n">
        <f aca="false">IFERROR((BA40-AV40)/(BA29-AV29),"")</f>
        <v>0.503941605839416</v>
      </c>
      <c r="BB43" s="42" t="n">
        <f aca="false">IFERROR((BB40-AW40)/(BB29-AW29),"")</f>
        <v>0.106972301814709</v>
      </c>
      <c r="BC43" s="42" t="n">
        <f aca="false">IFERROR((BC40-AX40)/(BC29-AX29),"")</f>
        <v>0.0327380952380952</v>
      </c>
      <c r="BD43" s="42" t="n">
        <f aca="false">IFERROR((BD40-AY40)/(BD29-AY29),"")</f>
        <v>0.257510729613734</v>
      </c>
      <c r="BE43" s="42" t="n">
        <f aca="false">IFERROR((BE40-AZ40)/(BE29-AZ29),"")</f>
        <v>0.5</v>
      </c>
      <c r="BF43" s="42" t="str">
        <f aca="false">IFERROR((BF40-BA40)/(BF29-BA29),"")</f>
        <v/>
      </c>
      <c r="BG43" s="42" t="n">
        <f aca="false">IFERROR((BG40-BB40)/(BG29-BB29),"")</f>
        <v>-0.992283950617284</v>
      </c>
      <c r="BH43" s="42" t="n">
        <f aca="false">IFERROR((BH40-BC40)/(BH29-BC29),"")</f>
        <v>0.46617579383341</v>
      </c>
      <c r="BI43" s="42" t="n">
        <f aca="false">IFERROR((BI40-BD40)/(BI29-BD29),"")</f>
        <v>0.479041916167665</v>
      </c>
      <c r="BJ43" s="42" t="n">
        <f aca="false">IFERROR((BJ40-BE40)/(BJ29-BE29),"")</f>
        <v>0.448309178743961</v>
      </c>
      <c r="BK43" s="42" t="str">
        <f aca="false">IFERROR((BK40-BF40)/(BK29-BF29),"")</f>
        <v/>
      </c>
      <c r="BL43" s="42" t="n">
        <f aca="false">IFERROR((BL40-BG40)/(BL29-BG29),"")</f>
        <v>-1.85714285714286</v>
      </c>
      <c r="BM43" s="42" t="n">
        <f aca="false">IFERROR((BM40-BH40)/(BM29-BH29),"")</f>
        <v>-0.694444444444444</v>
      </c>
      <c r="BN43" s="42" t="n">
        <f aca="false">IFERROR((BN40-BI40)/(BN29-BI29),"")</f>
        <v>2.73076923076923</v>
      </c>
      <c r="BO43" s="42" t="n">
        <f aca="false">IFERROR((BO40-BJ40)/(BO29-BJ29),"")</f>
        <v>-0.171052631578947</v>
      </c>
      <c r="BP43" s="42" t="n">
        <f aca="false">IFERROR((BP40-BK40)/(BP29-BK29),"")</f>
        <v>1.69607843137255</v>
      </c>
      <c r="BQ43" s="42" t="n">
        <f aca="false">IFERROR((BQ40-BL40)/(BQ29-BL29),"")</f>
        <v>0.340425531914894</v>
      </c>
      <c r="BR43" s="42" t="n">
        <f aca="false">IFERROR((BR40-BM40)/(BR29-BM29),"")</f>
        <v>0.784615384615385</v>
      </c>
      <c r="BS43" s="42" t="n">
        <f aca="false">IFERROR((BS40-BN40)/(BS29-BN29),"")</f>
        <v>-4.28571428571429</v>
      </c>
      <c r="BT43" s="42" t="n">
        <f aca="false">IFERROR((BT40-BO40)/(BT29-BO29),"")</f>
        <v>-2.8</v>
      </c>
      <c r="BU43" s="42" t="n">
        <f aca="false">IFERROR((BU40-BP40)/(BU29-BP29),"")</f>
        <v>-0.433962264150943</v>
      </c>
      <c r="BV43" s="42" t="n">
        <f aca="false">IFERROR((BV40-BQ40)/(BV29-BQ29),"")</f>
        <v>-26.4</v>
      </c>
      <c r="BW43" s="42" t="n">
        <f aca="false">IFERROR((BW40-BR40)/(BW29-BR29),"")</f>
        <v>0.473684210526316</v>
      </c>
      <c r="BX43" s="42" t="n">
        <f aca="false">IFERROR((BX40-BS40)/(BX29-BS29),"")</f>
        <v>0.509803921568627</v>
      </c>
      <c r="BY43" s="26" t="n">
        <f aca="false">IFERROR((BY40-BT40)/(BY29-BT29),"")</f>
        <v>0.218743379340135</v>
      </c>
      <c r="BZ43" s="26" t="n">
        <f aca="false">IFERROR((BZ40-BU40)/(BZ29-BU29),"")</f>
        <v>1.03478771662799</v>
      </c>
      <c r="CA43" s="26" t="n">
        <f aca="false">IFERROR((CA40-BV40)/(CA29-BV29),"")</f>
        <v>0.597094506441357</v>
      </c>
      <c r="CB43" s="26" t="n">
        <f aca="false">IFERROR((CB40-CA40)/(CB29-CA29),"")</f>
        <v>0.0997595819114232</v>
      </c>
      <c r="CC43" s="26" t="n">
        <f aca="false">IFERROR((CC40-CB40)/(CC29-CB29),"")</f>
        <v>0.341111111111112</v>
      </c>
      <c r="CD43" s="26" t="n">
        <f aca="false">IFERROR((CD40-CC40)/(CD29-CC29),"")</f>
        <v>0.346111111111111</v>
      </c>
      <c r="CE43" s="26" t="n">
        <f aca="false">IFERROR((CE40-CD40)/(CE29-CD29),"")</f>
        <v>0.351111111111112</v>
      </c>
      <c r="CF43" s="7"/>
      <c r="CN43" s="27" t="s">
        <v>143</v>
      </c>
      <c r="CO43" s="48" t="n">
        <f aca="false">CP43+$CO$42</f>
        <v>0.055</v>
      </c>
      <c r="CP43" s="49" t="n">
        <v>0.04</v>
      </c>
      <c r="CQ43" s="48" t="n">
        <f aca="false">CP43+$CQ$42</f>
        <v>0.02</v>
      </c>
    </row>
    <row r="44" customFormat="false" ht="15" hidden="false" customHeight="true" outlineLevel="0" collapsed="false">
      <c r="B44" s="27" t="s">
        <v>133</v>
      </c>
      <c r="C44" s="39"/>
      <c r="D44" s="39"/>
      <c r="E44" s="39"/>
      <c r="F44" s="39"/>
      <c r="G44" s="39"/>
      <c r="H44" s="39"/>
      <c r="I44" s="39"/>
      <c r="J44" s="39"/>
      <c r="K44" s="39"/>
      <c r="L44" s="39"/>
      <c r="M44" s="39"/>
      <c r="N44" s="39"/>
      <c r="O44" s="39"/>
      <c r="P44" s="39"/>
      <c r="Q44" s="39"/>
      <c r="R44" s="39"/>
      <c r="S44" s="39"/>
      <c r="T44" s="39"/>
      <c r="U44" s="39"/>
      <c r="V44" s="39"/>
      <c r="W44" s="39"/>
      <c r="X44" s="39"/>
      <c r="Y44" s="39"/>
      <c r="Z44" s="39"/>
      <c r="AA44" s="40" t="n">
        <v>30.3</v>
      </c>
      <c r="AB44" s="40" t="n">
        <v>34.3</v>
      </c>
      <c r="AC44" s="40" t="n">
        <v>126.8</v>
      </c>
      <c r="AD44" s="40" t="n">
        <v>30.1</v>
      </c>
      <c r="AE44" s="40" t="n">
        <v>29</v>
      </c>
      <c r="AF44" s="40" t="n">
        <v>29.5</v>
      </c>
      <c r="AG44" s="40" t="n">
        <v>30.4</v>
      </c>
      <c r="AH44" s="40" t="n">
        <v>119</v>
      </c>
      <c r="AI44" s="40" t="n">
        <v>30.6</v>
      </c>
      <c r="AJ44" s="40" t="n">
        <v>31.6</v>
      </c>
      <c r="AK44" s="40" t="n">
        <v>32.6</v>
      </c>
      <c r="AL44" s="40" t="n">
        <v>32.6</v>
      </c>
      <c r="AM44" s="40" t="n">
        <v>127.4</v>
      </c>
      <c r="AN44" s="40" t="n">
        <v>32.3</v>
      </c>
      <c r="AO44" s="40" t="n">
        <v>32.8</v>
      </c>
      <c r="AP44" s="40" t="n">
        <v>31.7</v>
      </c>
      <c r="AQ44" s="40" t="n">
        <v>33.7</v>
      </c>
      <c r="AR44" s="40" t="n">
        <v>130.5</v>
      </c>
      <c r="AS44" s="40" t="n">
        <v>33.2</v>
      </c>
      <c r="AT44" s="40" t="n">
        <v>48.2</v>
      </c>
      <c r="AU44" s="40" t="n">
        <v>51</v>
      </c>
      <c r="AV44" s="40" t="n">
        <v>50.6</v>
      </c>
      <c r="AW44" s="40" t="n">
        <v>183</v>
      </c>
      <c r="AX44" s="40" t="n">
        <v>52</v>
      </c>
      <c r="AY44" s="40" t="n">
        <v>64</v>
      </c>
      <c r="AZ44" s="40" t="n">
        <v>71</v>
      </c>
      <c r="BA44" s="40" t="n">
        <v>71</v>
      </c>
      <c r="BB44" s="40" t="n">
        <v>258</v>
      </c>
      <c r="BC44" s="40" t="n">
        <v>72</v>
      </c>
      <c r="BD44" s="40" t="n">
        <v>70</v>
      </c>
      <c r="BE44" s="40" t="n">
        <v>69</v>
      </c>
      <c r="BF44" s="39"/>
      <c r="BG44" s="40" t="n">
        <v>112</v>
      </c>
      <c r="BH44" s="40" t="n">
        <v>29</v>
      </c>
      <c r="BI44" s="40" t="n">
        <v>32</v>
      </c>
      <c r="BJ44" s="40" t="n">
        <v>31</v>
      </c>
      <c r="BK44" s="40" t="n">
        <v>37</v>
      </c>
      <c r="BL44" s="40" t="n">
        <v>129</v>
      </c>
      <c r="BM44" s="40" t="n">
        <v>38</v>
      </c>
      <c r="BN44" s="40" t="n">
        <v>41</v>
      </c>
      <c r="BO44" s="40" t="n">
        <v>44</v>
      </c>
      <c r="BP44" s="40" t="n">
        <v>44</v>
      </c>
      <c r="BQ44" s="40" t="n">
        <v>167</v>
      </c>
      <c r="BR44" s="40" t="n">
        <v>45</v>
      </c>
      <c r="BS44" s="40" t="n">
        <v>45</v>
      </c>
      <c r="BT44" s="40" t="n">
        <v>47</v>
      </c>
      <c r="BU44" s="40" t="n">
        <v>48</v>
      </c>
      <c r="BV44" s="40" t="n">
        <v>185</v>
      </c>
      <c r="BW44" s="40" t="n">
        <v>48</v>
      </c>
      <c r="BX44" s="40" t="n">
        <v>48</v>
      </c>
      <c r="BY44" s="45"/>
      <c r="BZ44" s="45"/>
      <c r="CA44" s="45"/>
      <c r="CB44" s="45"/>
      <c r="CC44" s="45"/>
      <c r="CD44" s="45"/>
      <c r="CE44" s="45"/>
      <c r="CF44" s="37"/>
      <c r="CN44" s="27" t="s">
        <v>144</v>
      </c>
      <c r="CO44" s="48" t="n">
        <f aca="false">CP44+$CO$42</f>
        <v>0.06</v>
      </c>
      <c r="CP44" s="49" t="n">
        <v>0.045</v>
      </c>
      <c r="CQ44" s="48" t="n">
        <f aca="false">CP44+$CQ$42</f>
        <v>0.025</v>
      </c>
    </row>
    <row r="45" customFormat="false" ht="15" hidden="false" customHeight="true" outlineLevel="0" collapsed="false">
      <c r="CN45" s="27" t="s">
        <v>146</v>
      </c>
      <c r="CO45" s="48" t="n">
        <f aca="false">CP45+$CO$42</f>
        <v>0.065</v>
      </c>
      <c r="CP45" s="49" t="n">
        <v>0.05</v>
      </c>
      <c r="CQ45" s="48" t="n">
        <f aca="false">CP45+$CQ$42</f>
        <v>0.03</v>
      </c>
    </row>
    <row r="46" customFormat="false" ht="15" hidden="false" customHeight="true" outlineLevel="0" collapsed="false">
      <c r="B46" s="16" t="s">
        <v>153</v>
      </c>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7" t="s">
        <v>154</v>
      </c>
      <c r="CN46" s="27" t="s">
        <v>147</v>
      </c>
      <c r="CO46" s="48" t="n">
        <f aca="false">CP46+$CO$42</f>
        <v>0.065</v>
      </c>
      <c r="CP46" s="49" t="n">
        <v>0.05</v>
      </c>
      <c r="CQ46" s="48" t="n">
        <f aca="false">CP46+$CQ$42</f>
        <v>0.03</v>
      </c>
    </row>
    <row r="47" customFormat="false" ht="15" hidden="false" customHeight="true" outlineLevel="0" collapsed="false">
      <c r="B47" s="18" t="s">
        <v>155</v>
      </c>
      <c r="C47" s="19"/>
      <c r="D47" s="19"/>
      <c r="E47" s="19"/>
      <c r="F47" s="19"/>
      <c r="G47" s="19"/>
      <c r="H47" s="19"/>
      <c r="I47" s="19"/>
      <c r="J47" s="19"/>
      <c r="K47" s="19"/>
      <c r="L47" s="19"/>
      <c r="M47" s="19"/>
      <c r="N47" s="19"/>
      <c r="O47" s="19"/>
      <c r="P47" s="19"/>
      <c r="Q47" s="19"/>
      <c r="R47" s="19"/>
      <c r="S47" s="19"/>
      <c r="T47" s="19"/>
      <c r="U47" s="19"/>
      <c r="V47" s="20" t="n">
        <v>1175.8</v>
      </c>
      <c r="W47" s="20" t="n">
        <v>1287.5</v>
      </c>
      <c r="X47" s="20" t="n">
        <v>4832.5</v>
      </c>
      <c r="Y47" s="20" t="n">
        <v>1136.2</v>
      </c>
      <c r="Z47" s="20" t="n">
        <v>1257.6</v>
      </c>
      <c r="AA47" s="20" t="n">
        <v>1212.7</v>
      </c>
      <c r="AB47" s="20" t="n">
        <v>1431.8</v>
      </c>
      <c r="AC47" s="20" t="n">
        <v>5038.3</v>
      </c>
      <c r="AD47" s="20" t="n">
        <v>1327.3</v>
      </c>
      <c r="AE47" s="20" t="n">
        <v>1440</v>
      </c>
      <c r="AF47" s="20" t="n">
        <v>1448.7</v>
      </c>
      <c r="AG47" s="20" t="n">
        <v>1623.9</v>
      </c>
      <c r="AH47" s="20" t="n">
        <v>5839.9</v>
      </c>
      <c r="AI47" s="20" t="n">
        <v>1519.7</v>
      </c>
      <c r="AJ47" s="20" t="n">
        <v>1550.9</v>
      </c>
      <c r="AK47" s="20" t="n">
        <v>1502.5</v>
      </c>
      <c r="AL47" s="20" t="n">
        <v>1684.5</v>
      </c>
      <c r="AM47" s="20" t="n">
        <v>6257.6</v>
      </c>
      <c r="AN47" s="20" t="n">
        <v>1536.8</v>
      </c>
      <c r="AO47" s="20" t="n">
        <v>1618.3</v>
      </c>
      <c r="AP47" s="20" t="n">
        <v>1601.9</v>
      </c>
      <c r="AQ47" s="20" t="n">
        <v>1804.5</v>
      </c>
      <c r="AR47" s="20" t="n">
        <v>6561.5</v>
      </c>
      <c r="AS47" s="20" t="n">
        <v>1627</v>
      </c>
      <c r="AT47" s="20" t="n">
        <v>1660.2</v>
      </c>
      <c r="AU47" s="20" t="n">
        <v>1889.1</v>
      </c>
      <c r="AV47" s="20" t="n">
        <v>2227</v>
      </c>
      <c r="AW47" s="20" t="n">
        <v>7403</v>
      </c>
      <c r="AX47" s="20" t="n">
        <v>2178</v>
      </c>
      <c r="AY47" s="20" t="n">
        <v>2336</v>
      </c>
      <c r="AZ47" s="20" t="n">
        <v>2449</v>
      </c>
      <c r="BA47" s="20" t="n">
        <v>2881</v>
      </c>
      <c r="BB47" s="20" t="n">
        <v>9844</v>
      </c>
      <c r="BC47" s="20" t="n">
        <v>2644</v>
      </c>
      <c r="BD47" s="20" t="n">
        <v>2561</v>
      </c>
      <c r="BE47" s="20" t="n">
        <v>2679</v>
      </c>
      <c r="BF47" s="20" t="n">
        <v>2965</v>
      </c>
      <c r="BG47" s="20" t="n">
        <v>10849</v>
      </c>
      <c r="BH47" s="20" t="n">
        <v>2376</v>
      </c>
      <c r="BI47" s="20" t="n">
        <v>2231</v>
      </c>
      <c r="BJ47" s="20" t="n">
        <v>2254</v>
      </c>
      <c r="BK47" s="20" t="n">
        <v>2716</v>
      </c>
      <c r="BL47" s="20" t="n">
        <v>9577</v>
      </c>
      <c r="BM47" s="20" t="n">
        <v>2527</v>
      </c>
      <c r="BN47" s="20" t="n">
        <v>2260</v>
      </c>
      <c r="BO47" s="20" t="n">
        <v>2363</v>
      </c>
      <c r="BP47" s="20" t="n">
        <v>2637</v>
      </c>
      <c r="BQ47" s="20" t="n">
        <v>9787</v>
      </c>
      <c r="BR47" s="20" t="n">
        <v>2449</v>
      </c>
      <c r="BS47" s="20" t="n">
        <v>2309</v>
      </c>
      <c r="BT47" s="20" t="n">
        <v>2463</v>
      </c>
      <c r="BU47" s="20" t="n">
        <v>2720</v>
      </c>
      <c r="BV47" s="20" t="n">
        <v>9941</v>
      </c>
      <c r="BW47" s="20" t="n">
        <v>2417</v>
      </c>
      <c r="BX47" s="20" t="n">
        <v>2374</v>
      </c>
      <c r="BY47" s="21" t="n">
        <f aca="false">BT47*(1+BY49+BY52)</f>
        <v>2467.48139515941</v>
      </c>
      <c r="BZ47" s="21" t="n">
        <f aca="false">BU47*(1+BZ49+BZ52)</f>
        <v>2855.50900318051</v>
      </c>
      <c r="CA47" s="21" t="n">
        <f aca="false">SUM(BW47,BX47,BY47,BZ47)</f>
        <v>10113.9903983399</v>
      </c>
      <c r="CB47" s="21" t="n">
        <f aca="false">CA47*(1+CB49)</f>
        <v>10518.5500142735</v>
      </c>
      <c r="CC47" s="21" t="n">
        <f aca="false">CB47*(1+CC49)</f>
        <v>10991.8847649158</v>
      </c>
      <c r="CD47" s="21" t="n">
        <f aca="false">CC47*(1+CD49)</f>
        <v>11541.4790031616</v>
      </c>
      <c r="CE47" s="21" t="n">
        <f aca="false">CD47*(1+CE49)</f>
        <v>12118.5529533197</v>
      </c>
      <c r="CF47" s="7" t="s">
        <v>156</v>
      </c>
      <c r="CH47" s="22" t="n">
        <f aca="false">IFERROR((CE47/BV47)^(1/5)-1,"n/m")</f>
        <v>0.0404090906451982</v>
      </c>
      <c r="CI47" s="22" t="n">
        <f aca="false">IFERROR((BV47/AW47)^(1/5)-1,"n/m")</f>
        <v>0.0607290546940562</v>
      </c>
      <c r="CJ47" s="22" t="n">
        <f aca="false">IFERROR((BV47/X47)^(1/10)-1,"n/m")</f>
        <v>0.0747954546307199</v>
      </c>
      <c r="CK47" s="22" t="str">
        <f aca="false">IFERROR((BV47/C47)^(1/19)-1,"n/m")</f>
        <v>n/m</v>
      </c>
      <c r="CN47" s="17" t="s">
        <v>157</v>
      </c>
      <c r="CO47" s="47" t="n">
        <v>0.01</v>
      </c>
      <c r="CP47" s="23" t="s">
        <v>141</v>
      </c>
      <c r="CQ47" s="47" t="n">
        <v>-0.015</v>
      </c>
      <c r="CR47" s="15" t="s">
        <v>158</v>
      </c>
    </row>
    <row r="48" customFormat="false" ht="15" hidden="false" customHeight="true" outlineLevel="0" collapsed="false">
      <c r="B48" s="24" t="s">
        <v>92</v>
      </c>
      <c r="D48" s="25" t="str">
        <f aca="false">IF(AND(ISNUMBER(D47),ISNUMBER(C47)),IFERROR(D47/C47-1,""),"")</f>
        <v/>
      </c>
      <c r="E48" s="25" t="str">
        <f aca="false">IF(AND(ISNUMBER(E47),ISNUMBER(D47)),IFERROR(E47/D47-1,""),"")</f>
        <v/>
      </c>
      <c r="F48" s="25" t="str">
        <f aca="false">IF(AND(ISNUMBER(F47),ISNUMBER(E47)),IFERROR(F47/E47-1,""),"")</f>
        <v/>
      </c>
      <c r="G48" s="25" t="str">
        <f aca="false">IF(AND(ISNUMBER(G47),ISNUMBER(F47)),IFERROR(G47/F47-1,""),"")</f>
        <v/>
      </c>
      <c r="H48" s="25" t="str">
        <f aca="false">IF(AND(ISNUMBER(H47),ISNUMBER(G47)),IFERROR(H47/G47-1,""),"")</f>
        <v/>
      </c>
      <c r="I48" s="25" t="str">
        <f aca="false">IF(AND(ISNUMBER(I47),ISNUMBER(H47)),IFERROR(I47/H47-1,""),"")</f>
        <v/>
      </c>
      <c r="N48" s="25" t="str">
        <f aca="false">IF(AND(ISNUMBER(N47),ISNUMBER(I47)),IFERROR(N47/I47-1,""),"")</f>
        <v/>
      </c>
      <c r="O48" s="25" t="str">
        <f aca="false">IF(AND(ISNUMBER(O47),ISNUMBER(J47)),IFERROR(O47/J47-1,""),"")</f>
        <v/>
      </c>
      <c r="P48" s="25" t="str">
        <f aca="false">IF(AND(ISNUMBER(P47),ISNUMBER(K47)),IFERROR(P47/K47-1,""),"")</f>
        <v/>
      </c>
      <c r="Q48" s="25" t="str">
        <f aca="false">IF(AND(ISNUMBER(Q47),ISNUMBER(L47)),IFERROR(Q47/L47-1,""),"")</f>
        <v/>
      </c>
      <c r="R48" s="25" t="str">
        <f aca="false">IF(AND(ISNUMBER(R47),ISNUMBER(M47)),IFERROR(R47/M47-1,""),"")</f>
        <v/>
      </c>
      <c r="S48" s="25" t="str">
        <f aca="false">IF(AND(ISNUMBER(S47),ISNUMBER(N47)),IFERROR(S47/N47-1,""),"")</f>
        <v/>
      </c>
      <c r="T48" s="25" t="str">
        <f aca="false">IF(AND(ISNUMBER(T47),ISNUMBER(O47)),IFERROR(T47/O47-1,""),"")</f>
        <v/>
      </c>
      <c r="U48" s="25" t="str">
        <f aca="false">IF(AND(ISNUMBER(U47),ISNUMBER(P47)),IFERROR(U47/P47-1,""),"")</f>
        <v/>
      </c>
      <c r="V48" s="25" t="str">
        <f aca="false">IF(AND(ISNUMBER(V47),ISNUMBER(Q47)),IFERROR(V47/Q47-1,""),"")</f>
        <v/>
      </c>
      <c r="W48" s="25" t="str">
        <f aca="false">IF(AND(ISNUMBER(W47),ISNUMBER(R47)),IFERROR(W47/R47-1,""),"")</f>
        <v/>
      </c>
      <c r="X48" s="25" t="str">
        <f aca="false">IF(AND(ISNUMBER(X47),ISNUMBER(S47)),IFERROR(X47/S47-1,""),"")</f>
        <v/>
      </c>
      <c r="Y48" s="25" t="str">
        <f aca="false">IF(AND(ISNUMBER(Y47),ISNUMBER(T47)),IFERROR(Y47/T47-1,""),"")</f>
        <v/>
      </c>
      <c r="Z48" s="25" t="str">
        <f aca="false">IF(AND(ISNUMBER(Z47),ISNUMBER(U47)),IFERROR(Z47/U47-1,""),"")</f>
        <v/>
      </c>
      <c r="AA48" s="25" t="n">
        <f aca="false">IF(AND(ISNUMBER(AA47),ISNUMBER(V47)),IFERROR(AA47/V47-1,""),"")</f>
        <v>0.0313828882463005</v>
      </c>
      <c r="AB48" s="25" t="n">
        <f aca="false">IF(AND(ISNUMBER(AB47),ISNUMBER(W47)),IFERROR(AB47/W47-1,""),"")</f>
        <v>0.112077669902913</v>
      </c>
      <c r="AC48" s="25" t="n">
        <f aca="false">IF(AND(ISNUMBER(AC47),ISNUMBER(X47)),IFERROR(AC47/X47-1,""),"")</f>
        <v>0.0425866528711847</v>
      </c>
      <c r="AD48" s="25" t="n">
        <f aca="false">IF(AND(ISNUMBER(AD47),ISNUMBER(Y47)),IFERROR(AD47/Y47-1,""),"")</f>
        <v>0.168192219679634</v>
      </c>
      <c r="AE48" s="25" t="n">
        <f aca="false">IF(AND(ISNUMBER(AE47),ISNUMBER(Z47)),IFERROR(AE47/Z47-1,""),"")</f>
        <v>0.145038167938931</v>
      </c>
      <c r="AF48" s="25" t="n">
        <f aca="false">IF(AND(ISNUMBER(AF47),ISNUMBER(AA47)),IFERROR(AF47/AA47-1,""),"")</f>
        <v>0.194607075121629</v>
      </c>
      <c r="AG48" s="25" t="n">
        <f aca="false">IF(AND(ISNUMBER(AG47),ISNUMBER(AB47)),IFERROR(AG47/AB47-1,""),"")</f>
        <v>0.134166783070261</v>
      </c>
      <c r="AH48" s="25" t="n">
        <f aca="false">IF(AND(ISNUMBER(AH47),ISNUMBER(AC47)),IFERROR(AH47/AC47-1,""),"")</f>
        <v>0.159101284163309</v>
      </c>
      <c r="AI48" s="25" t="n">
        <f aca="false">IF(AND(ISNUMBER(AI47),ISNUMBER(AD47)),IFERROR(AI47/AD47-1,""),"")</f>
        <v>0.144955925563173</v>
      </c>
      <c r="AJ48" s="25" t="n">
        <f aca="false">IF(AND(ISNUMBER(AJ47),ISNUMBER(AE47)),IFERROR(AJ47/AE47-1,""),"")</f>
        <v>0.0770138888888889</v>
      </c>
      <c r="AK48" s="25" t="n">
        <f aca="false">IF(AND(ISNUMBER(AK47),ISNUMBER(AF47)),IFERROR(AK47/AF47-1,""),"")</f>
        <v>0.0371367432870851</v>
      </c>
      <c r="AL48" s="25" t="n">
        <f aca="false">IF(AND(ISNUMBER(AL47),ISNUMBER(AG47)),IFERROR(AL47/AG47-1,""),"")</f>
        <v>0.0373175688158138</v>
      </c>
      <c r="AM48" s="25" t="n">
        <f aca="false">IF(AND(ISNUMBER(AM47),ISNUMBER(AH47)),IFERROR(AM47/AH47-1,""),"")</f>
        <v>0.0715251973492699</v>
      </c>
      <c r="AN48" s="25" t="n">
        <f aca="false">IF(AND(ISNUMBER(AN47),ISNUMBER(AI47)),IFERROR(AN47/AI47-1,""),"")</f>
        <v>0.011252220833059</v>
      </c>
      <c r="AO48" s="25" t="n">
        <f aca="false">IF(AND(ISNUMBER(AO47),ISNUMBER(AJ47)),IFERROR(AO47/AJ47-1,""),"")</f>
        <v>0.0434586369204977</v>
      </c>
      <c r="AP48" s="25" t="n">
        <f aca="false">IF(AND(ISNUMBER(AP47),ISNUMBER(AK47)),IFERROR(AP47/AK47-1,""),"")</f>
        <v>0.0661564059900166</v>
      </c>
      <c r="AQ48" s="25" t="n">
        <f aca="false">IF(AND(ISNUMBER(AQ47),ISNUMBER(AL47)),IFERROR(AQ47/AL47-1,""),"")</f>
        <v>0.0712377560106856</v>
      </c>
      <c r="AR48" s="25" t="n">
        <f aca="false">IF(AND(ISNUMBER(AR47),ISNUMBER(AM47)),IFERROR(AR47/AM47-1,""),"")</f>
        <v>0.0485649450268473</v>
      </c>
      <c r="AS48" s="25" t="n">
        <f aca="false">IF(AND(ISNUMBER(AS47),ISNUMBER(AN47)),IFERROR(AS47/AN47-1,""),"")</f>
        <v>0.0586933888599688</v>
      </c>
      <c r="AT48" s="25" t="n">
        <f aca="false">IF(AND(ISNUMBER(AT47),ISNUMBER(AO47)),IFERROR(AT47/AO47-1,""),"")</f>
        <v>0.0258913674843972</v>
      </c>
      <c r="AU48" s="25" t="n">
        <f aca="false">IF(AND(ISNUMBER(AU47),ISNUMBER(AP47)),IFERROR(AU47/AP47-1,""),"")</f>
        <v>0.17928709657282</v>
      </c>
      <c r="AV48" s="25" t="n">
        <f aca="false">IF(AND(ISNUMBER(AV47),ISNUMBER(AQ47)),IFERROR(AV47/AQ47-1,""),"")</f>
        <v>0.234136880022167</v>
      </c>
      <c r="AW48" s="25" t="n">
        <f aca="false">IF(AND(ISNUMBER(AW47),ISNUMBER(AR47)),IFERROR(AW47/AR47-1,""),"")</f>
        <v>0.128248113998324</v>
      </c>
      <c r="AX48" s="25" t="n">
        <f aca="false">IF(AND(ISNUMBER(AX47),ISNUMBER(AS47)),IFERROR(AX47/AS47-1,""),"")</f>
        <v>0.338660110633067</v>
      </c>
      <c r="AY48" s="25" t="n">
        <f aca="false">IF(AND(ISNUMBER(AY47),ISNUMBER(AT47)),IFERROR(AY47/AT47-1,""),"")</f>
        <v>0.407059390434887</v>
      </c>
      <c r="AZ48" s="25" t="n">
        <f aca="false">IF(AND(ISNUMBER(AZ47),ISNUMBER(AU47)),IFERROR(AZ47/AU47-1,""),"")</f>
        <v>0.296384521729924</v>
      </c>
      <c r="BA48" s="25" t="n">
        <f aca="false">IF(AND(ISNUMBER(BA47),ISNUMBER(AV47)),IFERROR(BA47/AV47-1,""),"")</f>
        <v>0.293668612483161</v>
      </c>
      <c r="BB48" s="25" t="n">
        <f aca="false">IF(AND(ISNUMBER(BB47),ISNUMBER(AW47)),IFERROR(BB47/AW47-1,""),"")</f>
        <v>0.329731190058085</v>
      </c>
      <c r="BC48" s="25" t="n">
        <f aca="false">IF(AND(ISNUMBER(BC47),ISNUMBER(AX47)),IFERROR(BC47/AX47-1,""),"")</f>
        <v>0.213957759412305</v>
      </c>
      <c r="BD48" s="25" t="n">
        <f aca="false">IF(AND(ISNUMBER(BD47),ISNUMBER(AY47)),IFERROR(BD47/AY47-1,""),"")</f>
        <v>0.0963184931506849</v>
      </c>
      <c r="BE48" s="25" t="n">
        <f aca="false">IF(AND(ISNUMBER(BE47),ISNUMBER(AZ47)),IFERROR(BE47/AZ47-1,""),"")</f>
        <v>0.0939158840342997</v>
      </c>
      <c r="BF48" s="25" t="n">
        <f aca="false">IF(AND(ISNUMBER(BF47),ISNUMBER(BA47)),IFERROR(BF47/BA47-1,""),"")</f>
        <v>0.0291565428670602</v>
      </c>
      <c r="BG48" s="25" t="n">
        <f aca="false">IF(AND(ISNUMBER(BG47),ISNUMBER(BB47)),IFERROR(BG47/BB47-1,""),"")</f>
        <v>0.102092645266152</v>
      </c>
      <c r="BH48" s="25" t="n">
        <f aca="false">IF(AND(ISNUMBER(BH47),ISNUMBER(BC47)),IFERROR(BH47/BC47-1,""),"")</f>
        <v>-0.101361573373676</v>
      </c>
      <c r="BI48" s="25" t="n">
        <f aca="false">IF(AND(ISNUMBER(BI47),ISNUMBER(BD47)),IFERROR(BI47/BD47-1,""),"")</f>
        <v>-0.128855915657946</v>
      </c>
      <c r="BJ48" s="25" t="n">
        <f aca="false">IF(AND(ISNUMBER(BJ47),ISNUMBER(BE47)),IFERROR(BJ47/BE47-1,""),"")</f>
        <v>-0.158641284061217</v>
      </c>
      <c r="BK48" s="25" t="n">
        <f aca="false">IF(AND(ISNUMBER(BK47),ISNUMBER(BF47)),IFERROR(BK47/BF47-1,""),"")</f>
        <v>-0.0839797639123103</v>
      </c>
      <c r="BL48" s="25" t="n">
        <f aca="false">IF(AND(ISNUMBER(BL47),ISNUMBER(BG47)),IFERROR(BL47/BG47-1,""),"")</f>
        <v>-0.117245829108674</v>
      </c>
      <c r="BM48" s="25" t="n">
        <f aca="false">IF(AND(ISNUMBER(BM47),ISNUMBER(BH47)),IFERROR(BM47/BH47-1,""),"")</f>
        <v>0.0635521885521886</v>
      </c>
      <c r="BN48" s="25" t="n">
        <f aca="false">IF(AND(ISNUMBER(BN47),ISNUMBER(BI47)),IFERROR(BN47/BI47-1,""),"")</f>
        <v>0.0129986553115196</v>
      </c>
      <c r="BO48" s="25" t="n">
        <f aca="false">IF(AND(ISNUMBER(BO47),ISNUMBER(BJ47)),IFERROR(BO47/BJ47-1,""),"")</f>
        <v>0.0483584738243124</v>
      </c>
      <c r="BP48" s="25" t="n">
        <f aca="false">IF(AND(ISNUMBER(BP47),ISNUMBER(BK47)),IFERROR(BP47/BK47-1,""),"")</f>
        <v>-0.0290868924889544</v>
      </c>
      <c r="BQ48" s="25" t="n">
        <f aca="false">IF(AND(ISNUMBER(BQ47),ISNUMBER(BL47)),IFERROR(BQ47/BL47-1,""),"")</f>
        <v>0.0219275347185965</v>
      </c>
      <c r="BR48" s="25" t="n">
        <f aca="false">IF(AND(ISNUMBER(BR47),ISNUMBER(BM47)),IFERROR(BR47/BM47-1,""),"")</f>
        <v>-0.0308666402849228</v>
      </c>
      <c r="BS48" s="25" t="n">
        <f aca="false">IF(AND(ISNUMBER(BS47),ISNUMBER(BN47)),IFERROR(BS47/BN47-1,""),"")</f>
        <v>0.0216814159292036</v>
      </c>
      <c r="BT48" s="25" t="n">
        <f aca="false">IF(AND(ISNUMBER(BT47),ISNUMBER(BO47)),IFERROR(BT47/BO47-1,""),"")</f>
        <v>0.0423190859077445</v>
      </c>
      <c r="BU48" s="25" t="n">
        <f aca="false">IF(AND(ISNUMBER(BU47),ISNUMBER(BP47)),IFERROR(BU47/BP47-1,""),"")</f>
        <v>0.031475161167994</v>
      </c>
      <c r="BV48" s="25" t="n">
        <f aca="false">IF(AND(ISNUMBER(BV47),ISNUMBER(BQ47)),IFERROR(BV47/BQ47-1,""),"")</f>
        <v>0.0157351588842343</v>
      </c>
      <c r="BW48" s="25" t="n">
        <f aca="false">IF(AND(ISNUMBER(BW47),ISNUMBER(BR47)),IFERROR(BW47/BR47-1,""),"")</f>
        <v>-0.0130665577786852</v>
      </c>
      <c r="BX48" s="25" t="n">
        <f aca="false">IF(AND(ISNUMBER(BX47),ISNUMBER(BS47)),IFERROR(BX47/BS47-1,""),"")</f>
        <v>0.0281507145950628</v>
      </c>
      <c r="BY48" s="26" t="n">
        <f aca="false">IF(AND(ISNUMBER(BY47),ISNUMBER(BT47)),IFERROR(BY47/BT47-1,""),"")</f>
        <v>0.001819486463424</v>
      </c>
      <c r="BZ48" s="26" t="n">
        <f aca="false">IF(AND(ISNUMBER(BZ47),ISNUMBER(BU47)),IFERROR(BZ47/BU47-1,""),"")</f>
        <v>0.0498194864634243</v>
      </c>
      <c r="CA48" s="26" t="n">
        <f aca="false">IF(AND(ISNUMBER(CA47),ISNUMBER(BV47)),IFERROR(CA47/BV47-1,""),"")</f>
        <v>0.0174017099225356</v>
      </c>
      <c r="CB48" s="26" t="n">
        <f aca="false">IF(AND(ISNUMBER(CB47),ISNUMBER(CA47)),IFERROR(CB47/CA47-1,""),"")</f>
        <v>0.04</v>
      </c>
      <c r="CC48" s="26" t="n">
        <f aca="false">IF(AND(ISNUMBER(CC47),ISNUMBER(CB47)),IFERROR(CC47/CB47-1,""),"")</f>
        <v>0.0449999999999999</v>
      </c>
      <c r="CD48" s="26" t="n">
        <f aca="false">IF(AND(ISNUMBER(CD47),ISNUMBER(CC47)),IFERROR(CD47/CC47-1,""),"")</f>
        <v>0.05</v>
      </c>
      <c r="CE48" s="26" t="n">
        <f aca="false">IF(AND(ISNUMBER(CE47),ISNUMBER(CD47)),IFERROR(CE47/CD47-1,""),"")</f>
        <v>0.05</v>
      </c>
      <c r="CF48" s="7"/>
      <c r="CN48" s="27" t="s">
        <v>143</v>
      </c>
      <c r="CO48" s="48" t="n">
        <f aca="false">CP48+$CO$47</f>
        <v>0.405</v>
      </c>
      <c r="CP48" s="49" t="n">
        <v>0.395</v>
      </c>
      <c r="CQ48" s="48" t="n">
        <f aca="false">CP48+$CQ$47</f>
        <v>0.38</v>
      </c>
    </row>
    <row r="49" customFormat="false" ht="15" hidden="false" customHeight="true" outlineLevel="0" collapsed="false">
      <c r="B49" s="24" t="s">
        <v>95</v>
      </c>
      <c r="D49" s="29"/>
      <c r="E49" s="29"/>
      <c r="F49" s="29"/>
      <c r="G49" s="29"/>
      <c r="H49" s="29"/>
      <c r="I49" s="29"/>
      <c r="N49" s="29"/>
      <c r="O49" s="29"/>
      <c r="P49" s="29"/>
      <c r="Q49" s="29"/>
      <c r="R49" s="29"/>
      <c r="S49" s="29"/>
      <c r="T49" s="29"/>
      <c r="U49" s="29"/>
      <c r="V49" s="29"/>
      <c r="W49" s="29"/>
      <c r="X49" s="29"/>
      <c r="Y49" s="29"/>
      <c r="Z49" s="29"/>
      <c r="AA49" s="30" t="n">
        <v>0.03</v>
      </c>
      <c r="AB49" s="29"/>
      <c r="AC49" s="30" t="n">
        <v>0.025</v>
      </c>
      <c r="AD49" s="30" t="n">
        <v>0.025</v>
      </c>
      <c r="AE49" s="30" t="n">
        <v>0.025</v>
      </c>
      <c r="AF49" s="30" t="n">
        <v>0.04</v>
      </c>
      <c r="AG49" s="29"/>
      <c r="AH49" s="30" t="n">
        <v>0.04</v>
      </c>
      <c r="AI49" s="30" t="n">
        <v>0.095</v>
      </c>
      <c r="AJ49" s="30" t="n">
        <v>0.05</v>
      </c>
      <c r="AK49" s="30" t="n">
        <v>0.055</v>
      </c>
      <c r="AL49" s="29"/>
      <c r="AM49" s="30" t="n">
        <v>0.065</v>
      </c>
      <c r="AN49" s="30" t="n">
        <v>0.05</v>
      </c>
      <c r="AO49" s="30" t="n">
        <v>0.075</v>
      </c>
      <c r="AP49" s="30" t="n">
        <v>0.08</v>
      </c>
      <c r="AQ49" s="29"/>
      <c r="AR49" s="30" t="n">
        <v>0.07</v>
      </c>
      <c r="AS49" s="30" t="n">
        <v>0.08</v>
      </c>
      <c r="AT49" s="30" t="n">
        <v>0.05</v>
      </c>
      <c r="AU49" s="30" t="n">
        <v>0.175</v>
      </c>
      <c r="AV49" s="29"/>
      <c r="AW49" s="30" t="n">
        <v>0.135</v>
      </c>
      <c r="AX49" s="30" t="n">
        <v>0.31</v>
      </c>
      <c r="AY49" s="30" t="n">
        <v>0.37</v>
      </c>
      <c r="AZ49" s="30" t="n">
        <v>0.285</v>
      </c>
      <c r="BA49" s="29"/>
      <c r="BB49" s="30" t="n">
        <v>0.31</v>
      </c>
      <c r="BC49" s="30" t="n">
        <v>0.225</v>
      </c>
      <c r="BD49" s="30" t="n">
        <v>0.125</v>
      </c>
      <c r="BE49" s="30" t="n">
        <v>0.135</v>
      </c>
      <c r="BF49" s="30" t="n">
        <v>0.075</v>
      </c>
      <c r="BG49" s="30" t="n">
        <v>0.135</v>
      </c>
      <c r="BH49" s="30" t="n">
        <v>-0.075</v>
      </c>
      <c r="BI49" s="30" t="n">
        <v>-0.115</v>
      </c>
      <c r="BJ49" s="30" t="n">
        <v>-0.155</v>
      </c>
      <c r="BK49" s="30" t="n">
        <v>-0.085</v>
      </c>
      <c r="BL49" s="30" t="n">
        <v>-0.105</v>
      </c>
      <c r="BM49" s="30" t="n">
        <v>0.075</v>
      </c>
      <c r="BN49" s="30" t="n">
        <v>0.03</v>
      </c>
      <c r="BO49" s="30" t="n">
        <v>0.05</v>
      </c>
      <c r="BP49" s="30" t="n">
        <v>-0.02</v>
      </c>
      <c r="BQ49" s="30" t="n">
        <v>0.03</v>
      </c>
      <c r="BR49" s="30" t="n">
        <v>-0.015</v>
      </c>
      <c r="BS49" s="30" t="n">
        <v>0.02</v>
      </c>
      <c r="BT49" s="30" t="n">
        <v>0.035</v>
      </c>
      <c r="BU49" s="30" t="n">
        <v>0.02</v>
      </c>
      <c r="BV49" s="30" t="n">
        <v>0.015</v>
      </c>
      <c r="BW49" s="30" t="n">
        <v>-0.04</v>
      </c>
      <c r="BX49" s="30" t="n">
        <v>0.02</v>
      </c>
      <c r="BY49" s="26" t="n">
        <f aca="false">BY50+$BY$128</f>
        <v>0.0118194864634241</v>
      </c>
      <c r="BZ49" s="26" t="n">
        <f aca="false">BZ50+$BY$128</f>
        <v>0.0568194864634241</v>
      </c>
      <c r="CA49" s="31"/>
      <c r="CB49" s="26" t="n">
        <f aca="false">CHOOSE(MATCH($CF$2,{"Bull","Base","Bear"},0),$CO$43,$CP$43,$CQ$43)</f>
        <v>0.04</v>
      </c>
      <c r="CC49" s="26" t="n">
        <f aca="false">CHOOSE(MATCH($CF$2,{"Bull","Base","Bear"},0),$CO$44,$CP$44,$CQ$44)</f>
        <v>0.045</v>
      </c>
      <c r="CD49" s="26" t="n">
        <f aca="false">CHOOSE(MATCH($CF$2,{"Bull","Base","Bear"},0),$CO$45,$CP$45,$CQ$45)</f>
        <v>0.05</v>
      </c>
      <c r="CE49" s="26" t="n">
        <f aca="false">CHOOSE(MATCH($CF$2,{"Bull","Base","Bear"},0),$CO$46,$CP$46,$CQ$46)</f>
        <v>0.05</v>
      </c>
      <c r="CF49" s="7" t="s">
        <v>96</v>
      </c>
      <c r="CH49" s="32" t="n">
        <f aca="false">IFERROR(AVERAGE(CA49,CB49,CC49,CD49,CE49),"n/m")</f>
        <v>0.04625</v>
      </c>
      <c r="CI49" s="32" t="n">
        <f aca="false">IFERROR(AVERAGE(BB49,BG49,BL49,BQ49,BV49),"n/m")</f>
        <v>0.077</v>
      </c>
      <c r="CJ49" s="32" t="n">
        <f aca="false">IFERROR(AVERAGE(AC49,AH49,AM49,AR49,AW49,BB49,BG49,BL49,BQ49,BV49),"n/m")</f>
        <v>0.072</v>
      </c>
      <c r="CK49" s="32" t="n">
        <f aca="false">IFERROR(AVERAGE(C49,D49,E49,F49,G49,H49,I49,N49,S49,X49,AC49,AH49,AM49,AR49,AW49,BB49,BG49,BL49,BQ49,BV49),"n/m")</f>
        <v>0.072</v>
      </c>
      <c r="CN49" s="27" t="s">
        <v>144</v>
      </c>
      <c r="CO49" s="48" t="n">
        <f aca="false">CP49+$CO$47</f>
        <v>0.41</v>
      </c>
      <c r="CP49" s="49" t="n">
        <v>0.4</v>
      </c>
      <c r="CQ49" s="48" t="n">
        <f aca="false">CP49+$CQ$47</f>
        <v>0.385</v>
      </c>
    </row>
    <row r="50" customFormat="false" ht="15" hidden="false" customHeight="true" outlineLevel="0" collapsed="false">
      <c r="B50" s="27" t="s">
        <v>99</v>
      </c>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5" t="n">
        <v>0</v>
      </c>
      <c r="BZ50" s="35" t="n">
        <v>0.045</v>
      </c>
      <c r="CA50" s="31"/>
      <c r="CB50" s="36"/>
      <c r="CC50" s="36"/>
      <c r="CD50" s="36"/>
      <c r="CE50" s="36"/>
      <c r="CF50" s="37" t="s">
        <v>159</v>
      </c>
      <c r="CN50" s="27" t="s">
        <v>146</v>
      </c>
      <c r="CO50" s="48" t="n">
        <f aca="false">CP50+$CO$47</f>
        <v>0.415</v>
      </c>
      <c r="CP50" s="49" t="n">
        <v>0.405</v>
      </c>
      <c r="CQ50" s="48" t="n">
        <f aca="false">CP50+$CQ$47</f>
        <v>0.39</v>
      </c>
    </row>
    <row r="51" customFormat="false" ht="15" hidden="false" customHeight="true" outlineLevel="0" collapsed="false">
      <c r="B51" s="24" t="s">
        <v>103</v>
      </c>
      <c r="D51" s="29"/>
      <c r="E51" s="29"/>
      <c r="F51" s="29"/>
      <c r="G51" s="29"/>
      <c r="H51" s="29"/>
      <c r="I51" s="29"/>
      <c r="N51" s="29"/>
      <c r="O51" s="29"/>
      <c r="P51" s="29"/>
      <c r="Q51" s="29"/>
      <c r="R51" s="29"/>
      <c r="S51" s="29"/>
      <c r="T51" s="29"/>
      <c r="U51" s="29"/>
      <c r="V51" s="29"/>
      <c r="W51" s="29"/>
      <c r="X51" s="29"/>
      <c r="Y51" s="29"/>
      <c r="Z51" s="29"/>
      <c r="AA51" s="30" t="n">
        <v>0</v>
      </c>
      <c r="AB51" s="29"/>
      <c r="AC51" s="30" t="n">
        <v>0.03</v>
      </c>
      <c r="AD51" s="30" t="n">
        <v>0.155</v>
      </c>
      <c r="AE51" s="30" t="n">
        <v>0.135</v>
      </c>
      <c r="AF51" s="30" t="n">
        <v>0.15</v>
      </c>
      <c r="AG51" s="29"/>
      <c r="AH51" s="30" t="n">
        <v>0.12</v>
      </c>
      <c r="AI51" s="30" t="n">
        <v>0</v>
      </c>
      <c r="AJ51" s="30" t="n">
        <v>0</v>
      </c>
      <c r="AK51" s="30" t="n">
        <v>0</v>
      </c>
      <c r="AL51" s="29"/>
      <c r="AM51" s="30" t="n">
        <v>0</v>
      </c>
      <c r="AN51" s="30" t="n">
        <v>0</v>
      </c>
      <c r="AO51" s="30" t="n">
        <v>0</v>
      </c>
      <c r="AP51" s="30" t="n">
        <v>0</v>
      </c>
      <c r="AQ51" s="29"/>
      <c r="AR51" s="30" t="n">
        <v>0</v>
      </c>
      <c r="AS51" s="30" t="n">
        <v>0</v>
      </c>
      <c r="AT51" s="30" t="n">
        <v>0</v>
      </c>
      <c r="AU51" s="30" t="n">
        <v>0</v>
      </c>
      <c r="AV51" s="29"/>
      <c r="AW51" s="30" t="n">
        <v>0</v>
      </c>
      <c r="AX51" s="30" t="n">
        <v>0</v>
      </c>
      <c r="AY51" s="30" t="n">
        <v>0</v>
      </c>
      <c r="AZ51" s="30" t="n">
        <v>0</v>
      </c>
      <c r="BA51" s="29"/>
      <c r="BB51" s="30" t="n">
        <v>0.005</v>
      </c>
      <c r="BC51" s="30" t="n">
        <v>0.01</v>
      </c>
      <c r="BD51" s="30" t="n">
        <v>0.01</v>
      </c>
      <c r="BE51" s="30" t="n">
        <v>0.005</v>
      </c>
      <c r="BF51" s="30" t="n">
        <v>0</v>
      </c>
      <c r="BG51" s="30" t="n">
        <v>0.005</v>
      </c>
      <c r="BH51" s="30" t="n">
        <v>0</v>
      </c>
      <c r="BI51" s="30" t="n">
        <v>0</v>
      </c>
      <c r="BJ51" s="30" t="n">
        <v>0</v>
      </c>
      <c r="BK51" s="30" t="n">
        <v>0</v>
      </c>
      <c r="BL51" s="30" t="n">
        <v>0</v>
      </c>
      <c r="BM51" s="30" t="n">
        <v>0</v>
      </c>
      <c r="BN51" s="30" t="n">
        <v>0</v>
      </c>
      <c r="BO51" s="30" t="n">
        <v>0</v>
      </c>
      <c r="BP51" s="30" t="n">
        <v>0</v>
      </c>
      <c r="BQ51" s="30" t="n">
        <v>0</v>
      </c>
      <c r="BR51" s="30" t="n">
        <v>-0.005</v>
      </c>
      <c r="BS51" s="30" t="n">
        <v>0.005</v>
      </c>
      <c r="BT51" s="30" t="n">
        <v>-0.005</v>
      </c>
      <c r="BU51" s="30" t="n">
        <v>-0.01</v>
      </c>
      <c r="BV51" s="30" t="n">
        <v>0.005</v>
      </c>
      <c r="BW51" s="30" t="n">
        <v>0</v>
      </c>
      <c r="BX51" s="30" t="n">
        <v>0.04</v>
      </c>
      <c r="BY51" s="31"/>
      <c r="BZ51" s="31"/>
      <c r="CA51" s="31"/>
      <c r="CB51" s="31"/>
      <c r="CC51" s="31"/>
      <c r="CD51" s="31"/>
      <c r="CE51" s="31"/>
      <c r="CF51" s="7"/>
      <c r="CN51" s="27" t="s">
        <v>147</v>
      </c>
      <c r="CO51" s="48" t="n">
        <f aca="false">CP51+$CO$47</f>
        <v>0.42</v>
      </c>
      <c r="CP51" s="49" t="n">
        <v>0.41</v>
      </c>
      <c r="CQ51" s="48" t="n">
        <f aca="false">CP51+$CQ$47</f>
        <v>0.395</v>
      </c>
    </row>
    <row r="52" customFormat="false" ht="15" hidden="false" customHeight="true" outlineLevel="0" collapsed="false">
      <c r="B52" s="24" t="s">
        <v>104</v>
      </c>
      <c r="D52" s="29"/>
      <c r="E52" s="29"/>
      <c r="F52" s="29"/>
      <c r="G52" s="29"/>
      <c r="H52" s="29"/>
      <c r="I52" s="29"/>
      <c r="N52" s="29"/>
      <c r="O52" s="29"/>
      <c r="P52" s="29"/>
      <c r="Q52" s="29"/>
      <c r="R52" s="29"/>
      <c r="S52" s="29"/>
      <c r="T52" s="29"/>
      <c r="U52" s="29"/>
      <c r="V52" s="29"/>
      <c r="W52" s="29"/>
      <c r="X52" s="29"/>
      <c r="Y52" s="29"/>
      <c r="Z52" s="29"/>
      <c r="AA52" s="30" t="n">
        <v>0</v>
      </c>
      <c r="AB52" s="29"/>
      <c r="AC52" s="30" t="n">
        <v>-0.01</v>
      </c>
      <c r="AD52" s="30" t="n">
        <v>-0.01</v>
      </c>
      <c r="AE52" s="30" t="n">
        <v>-0.015</v>
      </c>
      <c r="AF52" s="30" t="n">
        <v>0.005</v>
      </c>
      <c r="AG52" s="29"/>
      <c r="AH52" s="30" t="n">
        <v>0</v>
      </c>
      <c r="AI52" s="30" t="n">
        <v>0.05</v>
      </c>
      <c r="AJ52" s="30" t="n">
        <v>0.025</v>
      </c>
      <c r="AK52" s="30" t="n">
        <v>-0.02</v>
      </c>
      <c r="AL52" s="29"/>
      <c r="AM52" s="30" t="n">
        <v>0.005</v>
      </c>
      <c r="AN52" s="30" t="n">
        <v>-0.04</v>
      </c>
      <c r="AO52" s="30" t="n">
        <v>-0.03</v>
      </c>
      <c r="AP52" s="30" t="n">
        <v>-0.015</v>
      </c>
      <c r="AQ52" s="29"/>
      <c r="AR52" s="30" t="n">
        <v>-0.02</v>
      </c>
      <c r="AS52" s="30" t="n">
        <v>-0.02</v>
      </c>
      <c r="AT52" s="30" t="n">
        <v>-0.025</v>
      </c>
      <c r="AU52" s="30" t="n">
        <v>0.005</v>
      </c>
      <c r="AV52" s="29"/>
      <c r="AW52" s="30" t="n">
        <v>-0.005</v>
      </c>
      <c r="AX52" s="30" t="n">
        <v>0.03</v>
      </c>
      <c r="AY52" s="30" t="n">
        <v>0.035</v>
      </c>
      <c r="AZ52" s="30" t="n">
        <v>0.01</v>
      </c>
      <c r="BA52" s="29"/>
      <c r="BB52" s="30" t="n">
        <v>0.015</v>
      </c>
      <c r="BC52" s="30" t="n">
        <v>-0.02</v>
      </c>
      <c r="BD52" s="30" t="n">
        <v>-0.04</v>
      </c>
      <c r="BE52" s="30" t="n">
        <v>-0.045</v>
      </c>
      <c r="BF52" s="30" t="n">
        <v>-0.045</v>
      </c>
      <c r="BG52" s="30" t="n">
        <v>-0.04</v>
      </c>
      <c r="BH52" s="30" t="n">
        <v>-0.025</v>
      </c>
      <c r="BI52" s="30" t="n">
        <v>-0.015</v>
      </c>
      <c r="BJ52" s="30" t="n">
        <v>-0.005</v>
      </c>
      <c r="BK52" s="30" t="n">
        <v>0</v>
      </c>
      <c r="BL52" s="30" t="n">
        <v>-0.01</v>
      </c>
      <c r="BM52" s="30" t="n">
        <v>-0.01</v>
      </c>
      <c r="BN52" s="30" t="n">
        <v>-0.015</v>
      </c>
      <c r="BO52" s="30" t="n">
        <v>0</v>
      </c>
      <c r="BP52" s="30" t="n">
        <v>-0.01</v>
      </c>
      <c r="BQ52" s="30" t="n">
        <v>-0.01</v>
      </c>
      <c r="BR52" s="30" t="n">
        <v>-0.01</v>
      </c>
      <c r="BS52" s="30" t="n">
        <v>-0.005</v>
      </c>
      <c r="BT52" s="30" t="n">
        <v>0.01</v>
      </c>
      <c r="BU52" s="30" t="n">
        <v>0.02</v>
      </c>
      <c r="BV52" s="30" t="n">
        <v>-0.005</v>
      </c>
      <c r="BW52" s="30" t="n">
        <v>0.025</v>
      </c>
      <c r="BX52" s="30" t="n">
        <v>0.01</v>
      </c>
      <c r="BY52" s="35" t="n">
        <v>-0.01</v>
      </c>
      <c r="BZ52" s="35" t="n">
        <v>-0.007</v>
      </c>
      <c r="CA52" s="31"/>
      <c r="CB52" s="35" t="n">
        <v>0</v>
      </c>
      <c r="CC52" s="35" t="n">
        <v>0</v>
      </c>
      <c r="CD52" s="35" t="n">
        <v>0</v>
      </c>
      <c r="CE52" s="35" t="n">
        <v>0</v>
      </c>
      <c r="CF52" s="7" t="s">
        <v>105</v>
      </c>
      <c r="CN52" s="17" t="s">
        <v>160</v>
      </c>
      <c r="CO52" s="47" t="n">
        <v>0.01</v>
      </c>
      <c r="CP52" s="23" t="s">
        <v>141</v>
      </c>
      <c r="CQ52" s="47" t="n">
        <v>-0.015</v>
      </c>
      <c r="CR52" s="15" t="s">
        <v>161</v>
      </c>
    </row>
    <row r="53" customFormat="false" ht="15" hidden="false" customHeight="true" outlineLevel="0" collapsed="false">
      <c r="B53" s="27" t="s">
        <v>162</v>
      </c>
      <c r="C53" s="39"/>
      <c r="D53" s="39"/>
      <c r="E53" s="39"/>
      <c r="F53" s="39"/>
      <c r="G53" s="39"/>
      <c r="H53" s="39"/>
      <c r="I53" s="39"/>
      <c r="J53" s="39"/>
      <c r="K53" s="39"/>
      <c r="L53" s="39"/>
      <c r="M53" s="39"/>
      <c r="N53" s="39"/>
      <c r="O53" s="39"/>
      <c r="P53" s="39"/>
      <c r="Q53" s="39"/>
      <c r="R53" s="39"/>
      <c r="S53" s="39"/>
      <c r="T53" s="39"/>
      <c r="U53" s="39"/>
      <c r="V53" s="40" t="n">
        <v>159.2</v>
      </c>
      <c r="W53" s="40" t="n">
        <v>235.9</v>
      </c>
      <c r="X53" s="40" t="n">
        <v>746.2</v>
      </c>
      <c r="Y53" s="40" t="n">
        <v>180.2</v>
      </c>
      <c r="Z53" s="40" t="n">
        <v>232.2</v>
      </c>
      <c r="AA53" s="40" t="n">
        <v>193.9</v>
      </c>
      <c r="AB53" s="40" t="n">
        <v>180.1</v>
      </c>
      <c r="AC53" s="40" t="n">
        <v>786.4</v>
      </c>
      <c r="AD53" s="40" t="n">
        <v>154.6</v>
      </c>
      <c r="AE53" s="40" t="n">
        <v>157.6</v>
      </c>
      <c r="AF53" s="40" t="n">
        <v>242.7</v>
      </c>
      <c r="AG53" s="40" t="n">
        <v>316.7</v>
      </c>
      <c r="AH53" s="40" t="n">
        <v>871.6</v>
      </c>
      <c r="AI53" s="40" t="n">
        <v>248</v>
      </c>
      <c r="AJ53" s="40" t="n">
        <v>274.3</v>
      </c>
      <c r="AK53" s="40" t="n">
        <v>235.1</v>
      </c>
      <c r="AL53" s="40" t="n">
        <v>316.4</v>
      </c>
      <c r="AM53" s="40" t="n">
        <v>1073.8</v>
      </c>
      <c r="AN53" s="40" t="n">
        <v>233.1</v>
      </c>
      <c r="AO53" s="40" t="n">
        <v>282.9</v>
      </c>
      <c r="AP53" s="40" t="n">
        <v>266</v>
      </c>
      <c r="AQ53" s="40" t="n">
        <v>352.1</v>
      </c>
      <c r="AR53" s="40" t="n">
        <v>1134.1</v>
      </c>
      <c r="AS53" s="40" t="n">
        <v>251.2</v>
      </c>
      <c r="AT53" s="40" t="n">
        <v>293.2</v>
      </c>
      <c r="AU53" s="40" t="n">
        <v>408</v>
      </c>
      <c r="AV53" s="40" t="n">
        <v>586</v>
      </c>
      <c r="AW53" s="40" t="n">
        <v>1538</v>
      </c>
      <c r="AX53" s="40" t="n">
        <v>626</v>
      </c>
      <c r="AY53" s="40" t="n">
        <v>649</v>
      </c>
      <c r="AZ53" s="40" t="n">
        <v>145</v>
      </c>
      <c r="BA53" s="40" t="n">
        <v>893</v>
      </c>
      <c r="BB53" s="40" t="n">
        <v>2313</v>
      </c>
      <c r="BC53" s="40" t="n">
        <v>886</v>
      </c>
      <c r="BD53" s="40" t="n">
        <v>800</v>
      </c>
      <c r="BE53" s="40" t="n">
        <v>761</v>
      </c>
      <c r="BF53" s="40" t="n">
        <v>989</v>
      </c>
      <c r="BG53" s="40" t="n">
        <v>3436</v>
      </c>
      <c r="BH53" s="40" t="n">
        <v>677</v>
      </c>
      <c r="BI53" s="40" t="n">
        <v>424</v>
      </c>
      <c r="BJ53" s="40" t="n">
        <v>539</v>
      </c>
      <c r="BK53" s="40" t="n">
        <v>766</v>
      </c>
      <c r="BL53" s="40" t="n">
        <v>2406</v>
      </c>
      <c r="BM53" s="40" t="n">
        <v>830</v>
      </c>
      <c r="BN53" s="40" t="n">
        <v>556</v>
      </c>
      <c r="BO53" s="40" t="n">
        <v>615</v>
      </c>
      <c r="BP53" s="40" t="n">
        <v>624</v>
      </c>
      <c r="BQ53" s="40" t="n">
        <v>2625</v>
      </c>
      <c r="BR53" s="40" t="n">
        <v>718</v>
      </c>
      <c r="BS53" s="40" t="n">
        <v>554</v>
      </c>
      <c r="BT53" s="40" t="n">
        <v>665</v>
      </c>
      <c r="BU53" s="40" t="n">
        <v>713</v>
      </c>
      <c r="BV53" s="40" t="n">
        <v>2650</v>
      </c>
      <c r="BW53" s="40" t="n">
        <v>674</v>
      </c>
      <c r="BX53" s="40" t="n">
        <v>514.4</v>
      </c>
      <c r="BY53" s="41" t="n">
        <f aca="false">BY58-BY55-BY57</f>
        <v>611.576423298178</v>
      </c>
      <c r="BZ53" s="41" t="n">
        <f aca="false">BZ58-BZ55-BZ57</f>
        <v>756.969282454654</v>
      </c>
      <c r="CA53" s="41" t="n">
        <f aca="false">SUM(BW53,BX53,BY53,BZ53)</f>
        <v>2556.94570575283</v>
      </c>
      <c r="CB53" s="41" t="n">
        <f aca="false">CB58-CB55-CB57</f>
        <v>2836.66109258698</v>
      </c>
      <c r="CC53" s="41" t="n">
        <f aca="false">CC58-CC55-CC57</f>
        <v>3028.88759409782</v>
      </c>
      <c r="CD53" s="41" t="n">
        <f aca="false">CD58-CD55-CD57</f>
        <v>3248.72528939614</v>
      </c>
      <c r="CE53" s="41" t="n">
        <f aca="false">CE58-CE55-CE57</f>
        <v>3509.15504065421</v>
      </c>
      <c r="CF53" s="37"/>
      <c r="CN53" s="27" t="s">
        <v>143</v>
      </c>
      <c r="CO53" s="48" t="n">
        <f aca="false">CP53+$CO$52</f>
        <v>0.235</v>
      </c>
      <c r="CP53" s="49" t="n">
        <v>0.225</v>
      </c>
      <c r="CQ53" s="48" t="n">
        <f aca="false">CP53+$CQ$52</f>
        <v>0.21</v>
      </c>
    </row>
    <row r="54" customFormat="false" ht="15" hidden="false" customHeight="true" outlineLevel="0" collapsed="false">
      <c r="B54" s="27" t="s">
        <v>110</v>
      </c>
      <c r="C54" s="42" t="str">
        <f aca="false">IF(AND(ISNUMBER(C53),ISNUMBER(C47)),IFERROR(C53/C47,""),"")</f>
        <v/>
      </c>
      <c r="D54" s="42" t="str">
        <f aca="false">IF(AND(ISNUMBER(D53),ISNUMBER(D47)),IFERROR(D53/D47,""),"")</f>
        <v/>
      </c>
      <c r="E54" s="42" t="str">
        <f aca="false">IF(AND(ISNUMBER(E53),ISNUMBER(E47)),IFERROR(E53/E47,""),"")</f>
        <v/>
      </c>
      <c r="F54" s="42" t="str">
        <f aca="false">IF(AND(ISNUMBER(F53),ISNUMBER(F47)),IFERROR(F53/F47,""),"")</f>
        <v/>
      </c>
      <c r="G54" s="42" t="str">
        <f aca="false">IF(AND(ISNUMBER(G53),ISNUMBER(G47)),IFERROR(G53/G47,""),"")</f>
        <v/>
      </c>
      <c r="H54" s="42" t="str">
        <f aca="false">IF(AND(ISNUMBER(H53),ISNUMBER(H47)),IFERROR(H53/H47,""),"")</f>
        <v/>
      </c>
      <c r="I54" s="42" t="str">
        <f aca="false">IF(AND(ISNUMBER(I53),ISNUMBER(I47)),IFERROR(I53/I47,""),"")</f>
        <v/>
      </c>
      <c r="J54" s="42" t="str">
        <f aca="false">IF(AND(ISNUMBER(J53),ISNUMBER(J47)),IFERROR(J53/J47,""),"")</f>
        <v/>
      </c>
      <c r="K54" s="42" t="str">
        <f aca="false">IF(AND(ISNUMBER(K53),ISNUMBER(K47)),IFERROR(K53/K47,""),"")</f>
        <v/>
      </c>
      <c r="L54" s="42" t="str">
        <f aca="false">IF(AND(ISNUMBER(L53),ISNUMBER(L47)),IFERROR(L53/L47,""),"")</f>
        <v/>
      </c>
      <c r="M54" s="42" t="str">
        <f aca="false">IF(AND(ISNUMBER(M53),ISNUMBER(M47)),IFERROR(M53/M47,""),"")</f>
        <v/>
      </c>
      <c r="N54" s="42" t="str">
        <f aca="false">IF(AND(ISNUMBER(N53),ISNUMBER(N47)),IFERROR(N53/N47,""),"")</f>
        <v/>
      </c>
      <c r="O54" s="42" t="str">
        <f aca="false">IF(AND(ISNUMBER(O53),ISNUMBER(O47)),IFERROR(O53/O47,""),"")</f>
        <v/>
      </c>
      <c r="P54" s="42" t="str">
        <f aca="false">IF(AND(ISNUMBER(P53),ISNUMBER(P47)),IFERROR(P53/P47,""),"")</f>
        <v/>
      </c>
      <c r="Q54" s="42" t="str">
        <f aca="false">IF(AND(ISNUMBER(Q53),ISNUMBER(Q47)),IFERROR(Q53/Q47,""),"")</f>
        <v/>
      </c>
      <c r="R54" s="42" t="str">
        <f aca="false">IF(AND(ISNUMBER(R53),ISNUMBER(R47)),IFERROR(R53/R47,""),"")</f>
        <v/>
      </c>
      <c r="S54" s="42" t="str">
        <f aca="false">IF(AND(ISNUMBER(S53),ISNUMBER(S47)),IFERROR(S53/S47,""),"")</f>
        <v/>
      </c>
      <c r="T54" s="42" t="str">
        <f aca="false">IF(AND(ISNUMBER(T53),ISNUMBER(T47)),IFERROR(T53/T47,""),"")</f>
        <v/>
      </c>
      <c r="U54" s="42" t="str">
        <f aca="false">IF(AND(ISNUMBER(U53),ISNUMBER(U47)),IFERROR(U53/U47,""),"")</f>
        <v/>
      </c>
      <c r="V54" s="42" t="n">
        <f aca="false">IF(AND(ISNUMBER(V53),ISNUMBER(V47)),IFERROR(V53/V47,""),"")</f>
        <v>0.135397176390543</v>
      </c>
      <c r="W54" s="42" t="n">
        <f aca="false">IF(AND(ISNUMBER(W53),ISNUMBER(W47)),IFERROR(W53/W47,""),"")</f>
        <v>0.183223300970874</v>
      </c>
      <c r="X54" s="42" t="n">
        <f aca="false">IF(AND(ISNUMBER(X53),ISNUMBER(X47)),IFERROR(X53/X47,""),"")</f>
        <v>0.154412829798241</v>
      </c>
      <c r="Y54" s="42" t="n">
        <f aca="false">IF(AND(ISNUMBER(Y53),ISNUMBER(Y47)),IFERROR(Y53/Y47,""),"")</f>
        <v>0.158598838232705</v>
      </c>
      <c r="Z54" s="42" t="n">
        <f aca="false">IF(AND(ISNUMBER(Z53),ISNUMBER(Z47)),IFERROR(Z53/Z47,""),"")</f>
        <v>0.184637404580153</v>
      </c>
      <c r="AA54" s="42" t="n">
        <f aca="false">IF(AND(ISNUMBER(AA53),ISNUMBER(AA47)),IFERROR(AA53/AA47,""),"")</f>
        <v>0.159891151974932</v>
      </c>
      <c r="AB54" s="42" t="n">
        <f aca="false">IF(AND(ISNUMBER(AB53),ISNUMBER(AB47)),IFERROR(AB53/AB47,""),"")</f>
        <v>0.125785724263165</v>
      </c>
      <c r="AC54" s="42" t="n">
        <f aca="false">IF(AND(ISNUMBER(AC53),ISNUMBER(AC47)),IFERROR(AC53/AC47,""),"")</f>
        <v>0.156084393545442</v>
      </c>
      <c r="AD54" s="42" t="n">
        <f aca="false">IF(AND(ISNUMBER(AD53),ISNUMBER(AD47)),IFERROR(AD53/AD47,""),"")</f>
        <v>0.116477058690575</v>
      </c>
      <c r="AE54" s="42" t="n">
        <f aca="false">IF(AND(ISNUMBER(AE53),ISNUMBER(AE47)),IFERROR(AE53/AE47,""),"")</f>
        <v>0.109444444444444</v>
      </c>
      <c r="AF54" s="42" t="n">
        <f aca="false">IF(AND(ISNUMBER(AF53),ISNUMBER(AF47)),IFERROR(AF53/AF47,""),"")</f>
        <v>0.167529509215158</v>
      </c>
      <c r="AG54" s="42" t="n">
        <f aca="false">IF(AND(ISNUMBER(AG53),ISNUMBER(AG47)),IFERROR(AG53/AG47,""),"")</f>
        <v>0.195024324157891</v>
      </c>
      <c r="AH54" s="42" t="n">
        <f aca="false">IF(AND(ISNUMBER(AH53),ISNUMBER(AH47)),IFERROR(AH53/AH47,""),"")</f>
        <v>0.14924913097827</v>
      </c>
      <c r="AI54" s="42" t="n">
        <f aca="false">IF(AND(ISNUMBER(AI53),ISNUMBER(AI47)),IFERROR(AI53/AI47,""),"")</f>
        <v>0.163190103309864</v>
      </c>
      <c r="AJ54" s="42" t="n">
        <f aca="false">IF(AND(ISNUMBER(AJ53),ISNUMBER(AJ47)),IFERROR(AJ53/AJ47,""),"")</f>
        <v>0.176865046102263</v>
      </c>
      <c r="AK54" s="42" t="n">
        <f aca="false">IF(AND(ISNUMBER(AK53),ISNUMBER(AK47)),IFERROR(AK53/AK47,""),"")</f>
        <v>0.156472545757072</v>
      </c>
      <c r="AL54" s="42" t="n">
        <f aca="false">IF(AND(ISNUMBER(AL53),ISNUMBER(AL47)),IFERROR(AL53/AL47,""),"")</f>
        <v>0.187830216681508</v>
      </c>
      <c r="AM54" s="42" t="n">
        <f aca="false">IF(AND(ISNUMBER(AM53),ISNUMBER(AM47)),IFERROR(AM53/AM47,""),"")</f>
        <v>0.171599335208387</v>
      </c>
      <c r="AN54" s="42" t="n">
        <f aca="false">IF(AND(ISNUMBER(AN53),ISNUMBER(AN47)),IFERROR(AN53/AN47,""),"")</f>
        <v>0.151678813118168</v>
      </c>
      <c r="AO54" s="42" t="n">
        <f aca="false">IF(AND(ISNUMBER(AO53),ISNUMBER(AO47)),IFERROR(AO53/AO47,""),"")</f>
        <v>0.174813075449546</v>
      </c>
      <c r="AP54" s="42" t="n">
        <f aca="false">IF(AND(ISNUMBER(AP53),ISNUMBER(AP47)),IFERROR(AP53/AP47,""),"")</f>
        <v>0.166052812285411</v>
      </c>
      <c r="AQ54" s="42" t="n">
        <f aca="false">IF(AND(ISNUMBER(AQ53),ISNUMBER(AQ47)),IFERROR(AQ53/AQ47,""),"")</f>
        <v>0.195123302853976</v>
      </c>
      <c r="AR54" s="42" t="n">
        <f aca="false">IF(AND(ISNUMBER(AR53),ISNUMBER(AR47)),IFERROR(AR53/AR47,""),"")</f>
        <v>0.172841575859179</v>
      </c>
      <c r="AS54" s="42" t="n">
        <f aca="false">IF(AND(ISNUMBER(AS53),ISNUMBER(AS47)),IFERROR(AS53/AS47,""),"")</f>
        <v>0.15439459127228</v>
      </c>
      <c r="AT54" s="42" t="n">
        <f aca="false">IF(AND(ISNUMBER(AT53),ISNUMBER(AT47)),IFERROR(AT53/AT47,""),"")</f>
        <v>0.176605228285749</v>
      </c>
      <c r="AU54" s="42" t="n">
        <f aca="false">IF(AND(ISNUMBER(AU53),ISNUMBER(AU47)),IFERROR(AU53/AU47,""),"")</f>
        <v>0.215975861521359</v>
      </c>
      <c r="AV54" s="42" t="n">
        <f aca="false">IF(AND(ISNUMBER(AV53),ISNUMBER(AV47)),IFERROR(AV53/AV47,""),"")</f>
        <v>0.263134261338123</v>
      </c>
      <c r="AW54" s="42" t="n">
        <f aca="false">IF(AND(ISNUMBER(AW53),ISNUMBER(AW47)),IFERROR(AW53/AW47,""),"")</f>
        <v>0.207753613399973</v>
      </c>
      <c r="AX54" s="42" t="n">
        <f aca="false">IF(AND(ISNUMBER(AX53),ISNUMBER(AX47)),IFERROR(AX53/AX47,""),"")</f>
        <v>0.287419651056015</v>
      </c>
      <c r="AY54" s="42" t="n">
        <f aca="false">IF(AND(ISNUMBER(AY53),ISNUMBER(AY47)),IFERROR(AY53/AY47,""),"")</f>
        <v>0.277825342465753</v>
      </c>
      <c r="AZ54" s="42" t="n">
        <f aca="false">IF(AND(ISNUMBER(AZ53),ISNUMBER(AZ47)),IFERROR(AZ53/AZ47,""),"")</f>
        <v>0.0592078399346672</v>
      </c>
      <c r="BA54" s="42" t="n">
        <f aca="false">IF(AND(ISNUMBER(BA53),ISNUMBER(BA47)),IFERROR(BA53/BA47,""),"")</f>
        <v>0.309961818812912</v>
      </c>
      <c r="BB54" s="42" t="n">
        <f aca="false">IF(AND(ISNUMBER(BB53),ISNUMBER(BB47)),IFERROR(BB53/BB47,""),"")</f>
        <v>0.234965461194636</v>
      </c>
      <c r="BC54" s="42" t="n">
        <f aca="false">IF(AND(ISNUMBER(BC53),ISNUMBER(BC47)),IFERROR(BC53/BC47,""),"")</f>
        <v>0.335098335854766</v>
      </c>
      <c r="BD54" s="42" t="n">
        <f aca="false">IF(AND(ISNUMBER(BD53),ISNUMBER(BD47)),IFERROR(BD53/BD47,""),"")</f>
        <v>0.312377977352597</v>
      </c>
      <c r="BE54" s="42" t="n">
        <f aca="false">IF(AND(ISNUMBER(BE53),ISNUMBER(BE47)),IFERROR(BE53/BE47,""),"")</f>
        <v>0.284061216871967</v>
      </c>
      <c r="BF54" s="42" t="n">
        <f aca="false">IF(AND(ISNUMBER(BF53),ISNUMBER(BF47)),IFERROR(BF53/BF47,""),"")</f>
        <v>0.333558178752108</v>
      </c>
      <c r="BG54" s="42" t="n">
        <f aca="false">IF(AND(ISNUMBER(BG53),ISNUMBER(BG47)),IFERROR(BG53/BG47,""),"")</f>
        <v>0.316711217623744</v>
      </c>
      <c r="BH54" s="42" t="n">
        <f aca="false">IF(AND(ISNUMBER(BH53),ISNUMBER(BH47)),IFERROR(BH53/BH47,""),"")</f>
        <v>0.28493265993266</v>
      </c>
      <c r="BI54" s="42" t="n">
        <f aca="false">IF(AND(ISNUMBER(BI53),ISNUMBER(BI47)),IFERROR(BI53/BI47,""),"")</f>
        <v>0.190049305244285</v>
      </c>
      <c r="BJ54" s="42" t="n">
        <f aca="false">IF(AND(ISNUMBER(BJ53),ISNUMBER(BJ47)),IFERROR(BJ53/BJ47,""),"")</f>
        <v>0.239130434782609</v>
      </c>
      <c r="BK54" s="42" t="n">
        <f aca="false">IF(AND(ISNUMBER(BK53),ISNUMBER(BK47)),IFERROR(BK53/BK47,""),"")</f>
        <v>0.282032400589102</v>
      </c>
      <c r="BL54" s="42" t="n">
        <f aca="false">IF(AND(ISNUMBER(BL53),ISNUMBER(BL47)),IFERROR(BL53/BL47,""),"")</f>
        <v>0.251226897775922</v>
      </c>
      <c r="BM54" s="42" t="n">
        <f aca="false">IF(AND(ISNUMBER(BM53),ISNUMBER(BM47)),IFERROR(BM53/BM47,""),"")</f>
        <v>0.328452710724179</v>
      </c>
      <c r="BN54" s="42" t="n">
        <f aca="false">IF(AND(ISNUMBER(BN53),ISNUMBER(BN47)),IFERROR(BN53/BN47,""),"")</f>
        <v>0.246017699115044</v>
      </c>
      <c r="BO54" s="42" t="n">
        <f aca="false">IF(AND(ISNUMBER(BO53),ISNUMBER(BO47)),IFERROR(BO53/BO47,""),"")</f>
        <v>0.260262378332628</v>
      </c>
      <c r="BP54" s="42" t="n">
        <f aca="false">IF(AND(ISNUMBER(BP53),ISNUMBER(BP47)),IFERROR(BP53/BP47,""),"")</f>
        <v>0.236632536973834</v>
      </c>
      <c r="BQ54" s="42" t="n">
        <f aca="false">IF(AND(ISNUMBER(BQ53),ISNUMBER(BQ47)),IFERROR(BQ53/BQ47,""),"")</f>
        <v>0.268212935526719</v>
      </c>
      <c r="BR54" s="42" t="n">
        <f aca="false">IF(AND(ISNUMBER(BR53),ISNUMBER(BR47)),IFERROR(BR53/BR47,""),"")</f>
        <v>0.293180890159249</v>
      </c>
      <c r="BS54" s="42" t="n">
        <f aca="false">IF(AND(ISNUMBER(BS53),ISNUMBER(BS47)),IFERROR(BS53/BS47,""),"")</f>
        <v>0.239930705933304</v>
      </c>
      <c r="BT54" s="42" t="n">
        <f aca="false">IF(AND(ISNUMBER(BT53),ISNUMBER(BT47)),IFERROR(BT53/BT47,""),"")</f>
        <v>0.269995939910678</v>
      </c>
      <c r="BU54" s="42" t="n">
        <f aca="false">IF(AND(ISNUMBER(BU53),ISNUMBER(BU47)),IFERROR(BU53/BU47,""),"")</f>
        <v>0.262132352941177</v>
      </c>
      <c r="BV54" s="42" t="n">
        <f aca="false">IF(AND(ISNUMBER(BV53),ISNUMBER(BV47)),IFERROR(BV53/BV47,""),"")</f>
        <v>0.266572779398451</v>
      </c>
      <c r="BW54" s="42" t="n">
        <f aca="false">IF(AND(ISNUMBER(BW53),ISNUMBER(BW47)),IFERROR(BW53/BW47,""),"")</f>
        <v>0.278858088539512</v>
      </c>
      <c r="BX54" s="42" t="n">
        <f aca="false">IF(AND(ISNUMBER(BX53),ISNUMBER(BX47)),IFERROR(BX53/BX47,""),"")</f>
        <v>0.216680707666386</v>
      </c>
      <c r="BY54" s="26" t="n">
        <f aca="false">IF(AND(ISNUMBER(BY53),ISNUMBER(BY47)),IFERROR(BY53/BY47,""),"")</f>
        <v>0.247854522631027</v>
      </c>
      <c r="BZ54" s="26" t="n">
        <f aca="false">IF(AND(ISNUMBER(BZ53),ISNUMBER(BZ47)),IFERROR(BZ53/BZ47,""),"")</f>
        <v>0.265090840761325</v>
      </c>
      <c r="CA54" s="26" t="n">
        <f aca="false">IF(AND(ISNUMBER(CA53),ISNUMBER(CA47)),IFERROR(CA53/CA47,""),"")</f>
        <v>0.2528127479904</v>
      </c>
      <c r="CB54" s="26" t="n">
        <f aca="false">IF(AND(ISNUMBER(CB53),ISNUMBER(CB47)),IFERROR(CB53/CB47,""),"")</f>
        <v>0.269681761149366</v>
      </c>
      <c r="CC54" s="26" t="n">
        <f aca="false">IF(AND(ISNUMBER(CC53),ISNUMBER(CC47)),IFERROR(CC53/CC47,""),"")</f>
        <v>0.275556709233843</v>
      </c>
      <c r="CD54" s="26" t="n">
        <f aca="false">IF(AND(ISNUMBER(CD53),ISNUMBER(CD47)),IFERROR(CD53/CD47,""),"")</f>
        <v>0.281482580222708</v>
      </c>
      <c r="CE54" s="26" t="n">
        <f aca="false">IF(AND(ISNUMBER(CE53),ISNUMBER(CE47)),IFERROR(CE53/CE47,""),"")</f>
        <v>0.289568816852257</v>
      </c>
      <c r="CF54" s="7"/>
      <c r="CN54" s="27" t="s">
        <v>144</v>
      </c>
      <c r="CO54" s="48" t="n">
        <f aca="false">CP54+$CO$52</f>
        <v>0.24</v>
      </c>
      <c r="CP54" s="49" t="n">
        <v>0.23</v>
      </c>
      <c r="CQ54" s="48" t="n">
        <f aca="false">CP54+$CQ$52</f>
        <v>0.215</v>
      </c>
    </row>
    <row r="55" customFormat="false" ht="15" hidden="false" customHeight="true" outlineLevel="0" collapsed="false">
      <c r="B55" s="27" t="s">
        <v>113</v>
      </c>
      <c r="C55" s="39"/>
      <c r="D55" s="39"/>
      <c r="E55" s="39"/>
      <c r="F55" s="39"/>
      <c r="G55" s="39"/>
      <c r="H55" s="39"/>
      <c r="I55" s="39"/>
      <c r="J55" s="39"/>
      <c r="K55" s="39"/>
      <c r="L55" s="39"/>
      <c r="M55" s="39"/>
      <c r="N55" s="39"/>
      <c r="O55" s="39"/>
      <c r="P55" s="39"/>
      <c r="Q55" s="39"/>
      <c r="R55" s="39"/>
      <c r="S55" s="39"/>
      <c r="T55" s="39"/>
      <c r="U55" s="39"/>
      <c r="V55" s="39"/>
      <c r="W55" s="39"/>
      <c r="X55" s="39"/>
      <c r="Y55" s="39"/>
      <c r="Z55" s="39"/>
      <c r="AA55" s="40" t="n">
        <v>33.9</v>
      </c>
      <c r="AB55" s="40" t="n">
        <v>47.6</v>
      </c>
      <c r="AC55" s="40" t="n">
        <v>149.4</v>
      </c>
      <c r="AD55" s="40" t="n">
        <v>56.1</v>
      </c>
      <c r="AE55" s="40" t="n">
        <v>49.9</v>
      </c>
      <c r="AF55" s="40" t="n">
        <v>54.2</v>
      </c>
      <c r="AG55" s="40" t="n">
        <v>53.2</v>
      </c>
      <c r="AH55" s="40" t="n">
        <v>213.4</v>
      </c>
      <c r="AI55" s="40" t="n">
        <v>53.1</v>
      </c>
      <c r="AJ55" s="40" t="n">
        <v>52.6</v>
      </c>
      <c r="AK55" s="40" t="n">
        <v>52.1</v>
      </c>
      <c r="AL55" s="40" t="n">
        <v>52</v>
      </c>
      <c r="AM55" s="40" t="n">
        <v>209.8</v>
      </c>
      <c r="AN55" s="40" t="n">
        <v>52</v>
      </c>
      <c r="AO55" s="40" t="n">
        <v>51.8</v>
      </c>
      <c r="AP55" s="40" t="n">
        <v>51.3</v>
      </c>
      <c r="AQ55" s="40" t="n">
        <v>51.4</v>
      </c>
      <c r="AR55" s="40" t="n">
        <v>206.5</v>
      </c>
      <c r="AS55" s="40" t="n">
        <v>51.4</v>
      </c>
      <c r="AT55" s="40" t="n">
        <v>51.3</v>
      </c>
      <c r="AU55" s="40" t="n">
        <v>51.3</v>
      </c>
      <c r="AV55" s="40" t="n">
        <v>51</v>
      </c>
      <c r="AW55" s="40" t="n">
        <v>205</v>
      </c>
      <c r="AX55" s="40" t="n">
        <v>51</v>
      </c>
      <c r="AY55" s="40" t="n">
        <v>51</v>
      </c>
      <c r="AZ55" s="40" t="n">
        <v>52</v>
      </c>
      <c r="BA55" s="40" t="n">
        <v>51</v>
      </c>
      <c r="BB55" s="40" t="n">
        <v>205</v>
      </c>
      <c r="BC55" s="40" t="n">
        <v>51</v>
      </c>
      <c r="BD55" s="40" t="n">
        <v>50</v>
      </c>
      <c r="BE55" s="40" t="n">
        <v>50</v>
      </c>
      <c r="BF55" s="40" t="n">
        <v>52</v>
      </c>
      <c r="BG55" s="40" t="n">
        <v>203</v>
      </c>
      <c r="BH55" s="40" t="n">
        <v>50</v>
      </c>
      <c r="BI55" s="40" t="n">
        <v>50</v>
      </c>
      <c r="BJ55" s="40" t="n">
        <v>49</v>
      </c>
      <c r="BK55" s="40" t="n">
        <v>49</v>
      </c>
      <c r="BL55" s="40" t="n">
        <v>198</v>
      </c>
      <c r="BM55" s="40" t="n">
        <v>48</v>
      </c>
      <c r="BN55" s="40" t="n">
        <v>48</v>
      </c>
      <c r="BO55" s="40" t="n">
        <v>49</v>
      </c>
      <c r="BP55" s="40" t="n">
        <v>47</v>
      </c>
      <c r="BQ55" s="40" t="n">
        <v>192</v>
      </c>
      <c r="BR55" s="40" t="n">
        <v>48</v>
      </c>
      <c r="BS55" s="40" t="n">
        <v>48</v>
      </c>
      <c r="BT55" s="40" t="n">
        <v>48</v>
      </c>
      <c r="BU55" s="40" t="n">
        <v>47</v>
      </c>
      <c r="BV55" s="40" t="n">
        <v>191</v>
      </c>
      <c r="BW55" s="40" t="n">
        <v>48</v>
      </c>
      <c r="BX55" s="40" t="n">
        <v>70.4</v>
      </c>
      <c r="BY55" s="41" t="n">
        <f aca="false">BY172*BY56</f>
        <v>58.7212561198754</v>
      </c>
      <c r="BZ55" s="41" t="n">
        <f aca="false">BZ172*BZ56</f>
        <v>58.5015360269027</v>
      </c>
      <c r="CA55" s="41" t="n">
        <f aca="false">SUM(BW55,BX55,BY55,BZ55)</f>
        <v>235.622792146778</v>
      </c>
      <c r="CB55" s="41" t="n">
        <f aca="false">CB172*CB56</f>
        <v>213.718411552347</v>
      </c>
      <c r="CC55" s="41" t="n">
        <f aca="false">CC172*CC56</f>
        <v>213.718411552347</v>
      </c>
      <c r="CD55" s="41" t="n">
        <f aca="false">CD172*CD56</f>
        <v>213.718411552347</v>
      </c>
      <c r="CE55" s="41" t="n">
        <f aca="false">CE172*CE56</f>
        <v>187.003610108303</v>
      </c>
      <c r="CF55" s="37" t="s">
        <v>114</v>
      </c>
      <c r="CN55" s="27" t="s">
        <v>146</v>
      </c>
      <c r="CO55" s="48" t="n">
        <f aca="false">CP55+$CO$52</f>
        <v>0.245</v>
      </c>
      <c r="CP55" s="49" t="n">
        <v>0.235</v>
      </c>
      <c r="CQ55" s="48" t="n">
        <f aca="false">CP55+$CQ$52</f>
        <v>0.22</v>
      </c>
    </row>
    <row r="56" customFormat="false" ht="15" hidden="false" customHeight="true" outlineLevel="0" collapsed="false">
      <c r="B56" s="27" t="s">
        <v>117</v>
      </c>
      <c r="C56" s="42" t="str">
        <f aca="false">IF(ISNUMBER(C55),IFERROR(C55/(C19+C37+C55),""),"")</f>
        <v/>
      </c>
      <c r="D56" s="42" t="str">
        <f aca="false">IF(ISNUMBER(D55),IFERROR(D55/(D19+D37+D55),""),"")</f>
        <v/>
      </c>
      <c r="E56" s="42" t="str">
        <f aca="false">IF(ISNUMBER(E55),IFERROR(E55/(E19+E37+E55),""),"")</f>
        <v/>
      </c>
      <c r="F56" s="42" t="str">
        <f aca="false">IF(ISNUMBER(F55),IFERROR(F55/(F19+F37+F55),""),"")</f>
        <v/>
      </c>
      <c r="G56" s="42" t="str">
        <f aca="false">IF(ISNUMBER(G55),IFERROR(G55/(G19+G37+G55),""),"")</f>
        <v/>
      </c>
      <c r="H56" s="42" t="str">
        <f aca="false">IF(ISNUMBER(H55),IFERROR(H55/(H19+H37+H55),""),"")</f>
        <v/>
      </c>
      <c r="I56" s="42" t="str">
        <f aca="false">IF(ISNUMBER(I55),IFERROR(I55/(I19+I37+I55),""),"")</f>
        <v/>
      </c>
      <c r="J56" s="42" t="str">
        <f aca="false">IF(ISNUMBER(J55),IFERROR(J55/(J19+J37+J55),""),"")</f>
        <v/>
      </c>
      <c r="K56" s="42" t="str">
        <f aca="false">IF(ISNUMBER(K55),IFERROR(K55/(K19+K37+K55),""),"")</f>
        <v/>
      </c>
      <c r="L56" s="42" t="str">
        <f aca="false">IF(ISNUMBER(L55),IFERROR(L55/(L19+L37+L55),""),"")</f>
        <v/>
      </c>
      <c r="M56" s="42" t="str">
        <f aca="false">IF(ISNUMBER(M55),IFERROR(M55/(M19+M37+M55),""),"")</f>
        <v/>
      </c>
      <c r="N56" s="42" t="str">
        <f aca="false">IF(ISNUMBER(N55),IFERROR(N55/(N19+N37+N55),""),"")</f>
        <v/>
      </c>
      <c r="O56" s="42" t="str">
        <f aca="false">IF(ISNUMBER(O55),IFERROR(O55/(O19+O37+O55),""),"")</f>
        <v/>
      </c>
      <c r="P56" s="42" t="str">
        <f aca="false">IF(ISNUMBER(P55),IFERROR(P55/(P19+P37+P55),""),"")</f>
        <v/>
      </c>
      <c r="Q56" s="42" t="str">
        <f aca="false">IF(ISNUMBER(Q55),IFERROR(Q55/(Q19+Q37+Q55),""),"")</f>
        <v/>
      </c>
      <c r="R56" s="42" t="str">
        <f aca="false">IF(ISNUMBER(R55),IFERROR(R55/(R19+R37+R55),""),"")</f>
        <v/>
      </c>
      <c r="S56" s="42" t="str">
        <f aca="false">IF(ISNUMBER(S55),IFERROR(S55/(S19+S37+S55),""),"")</f>
        <v/>
      </c>
      <c r="T56" s="42" t="str">
        <f aca="false">IF(ISNUMBER(T55),IFERROR(T55/(T19+T37+T55),""),"")</f>
        <v/>
      </c>
      <c r="U56" s="42" t="str">
        <f aca="false">IF(ISNUMBER(U55),IFERROR(U55/(U19+U37+U55),""),"")</f>
        <v/>
      </c>
      <c r="V56" s="42" t="str">
        <f aca="false">IF(ISNUMBER(V55),IFERROR(V55/(V19+V37+V55),""),"")</f>
        <v/>
      </c>
      <c r="W56" s="42" t="str">
        <f aca="false">IF(ISNUMBER(W55),IFERROR(W55/(W19+W37+W55),""),"")</f>
        <v/>
      </c>
      <c r="X56" s="42" t="str">
        <f aca="false">IF(ISNUMBER(X55),IFERROR(X55/(X19+X37+X55),""),"")</f>
        <v/>
      </c>
      <c r="Y56" s="42" t="str">
        <f aca="false">IF(ISNUMBER(Y55),IFERROR(Y55/(Y19+Y37+Y55),""),"")</f>
        <v/>
      </c>
      <c r="Z56" s="42" t="str">
        <f aca="false">IF(ISNUMBER(Z55),IFERROR(Z55/(Z19+Z37+Z55),""),"")</f>
        <v/>
      </c>
      <c r="AA56" s="42" t="n">
        <f aca="false">IF(ISNUMBER(AA55),IFERROR(AA55/(AA19+AA37+AA55),""),"")</f>
        <v>0.308181818181818</v>
      </c>
      <c r="AB56" s="42" t="n">
        <f aca="false">IF(ISNUMBER(AB55),IFERROR(AB55/(AB19+AB37+AB55),""),"")</f>
        <v>0.38480194017785</v>
      </c>
      <c r="AC56" s="42" t="n">
        <f aca="false">IF(ISNUMBER(AC55),IFERROR(AC55/(AC19+AC37+AC55),""),"")</f>
        <v>0.332887700534759</v>
      </c>
      <c r="AD56" s="42" t="n">
        <f aca="false">IF(ISNUMBER(AD55),IFERROR(AD55/(AD19+AD37+AD55),""),"")</f>
        <v>0.422758100979653</v>
      </c>
      <c r="AE56" s="42" t="n">
        <f aca="false">IF(ISNUMBER(AE55),IFERROR(AE55/(AE19+AE37+AE55),""),"")</f>
        <v>0.395091053048298</v>
      </c>
      <c r="AF56" s="42" t="n">
        <f aca="false">IF(ISNUMBER(AF55),IFERROR(AF55/(AF19+AF37+AF55),""),"")</f>
        <v>0.413424866514111</v>
      </c>
      <c r="AG56" s="42" t="n">
        <f aca="false">IF(ISNUMBER(AG55),IFERROR(AG55/(AG19+AG37+AG55),""),"")</f>
        <v>0.402420574886536</v>
      </c>
      <c r="AH56" s="42" t="n">
        <f aca="false">IF(ISNUMBER(AH55),IFERROR(AH55/(AH19+AH37+AH55),""),"")</f>
        <v>0.408577445912311</v>
      </c>
      <c r="AI56" s="42" t="n">
        <f aca="false">IF(ISNUMBER(AI55),IFERROR(AI55/(AI19+AI37+AI55),""),"")</f>
        <v>0.396860986547085</v>
      </c>
      <c r="AJ56" s="42" t="n">
        <f aca="false">IF(ISNUMBER(AJ55),IFERROR(AJ55/(AJ19+AJ37+AJ55),""),"")</f>
        <v>0.367575122292103</v>
      </c>
      <c r="AK56" s="42" t="n">
        <f aca="false">IF(ISNUMBER(AK55),IFERROR(AK55/(AK19+AK37+AK55),""),"")</f>
        <v>0.382245047688922</v>
      </c>
      <c r="AL56" s="42" t="n">
        <f aca="false">IF(ISNUMBER(AL55),IFERROR(AL55/(AL19+AL37+AL55),""),"")</f>
        <v>0.37037037037037</v>
      </c>
      <c r="AM56" s="42" t="n">
        <f aca="false">IF(ISNUMBER(AM55),IFERROR(AM55/(AM19+AM37+AM55),""),"")</f>
        <v>0.378973988439306</v>
      </c>
      <c r="AN56" s="42" t="n">
        <f aca="false">IF(ISNUMBER(AN55),IFERROR(AN55/(AN19+AN37+AN55),""),"")</f>
        <v>0.367231638418079</v>
      </c>
      <c r="AO56" s="42" t="n">
        <f aca="false">IF(ISNUMBER(AO55),IFERROR(AO55/(AO19+AO37+AO55),""),"")</f>
        <v>0.36763662171753</v>
      </c>
      <c r="AP56" s="42" t="n">
        <f aca="false">IF(ISNUMBER(AP55),IFERROR(AP55/(AP19+AP37+AP55),""),"")</f>
        <v>0.365645046329294</v>
      </c>
      <c r="AQ56" s="42" t="n">
        <f aca="false">IF(ISNUMBER(AQ55),IFERROR(AQ55/(AQ19+AQ37+AQ55),""),"")</f>
        <v>0.366357804704205</v>
      </c>
      <c r="AR56" s="42" t="n">
        <f aca="false">IF(ISNUMBER(AR55),IFERROR(AR55/(AR19+AR37+AR55),""),"")</f>
        <v>0.366719943171728</v>
      </c>
      <c r="AS56" s="42" t="n">
        <f aca="false">IF(ISNUMBER(AS55),IFERROR(AS55/(AS19+AS37+AS55),""),"")</f>
        <v>0.364539007092199</v>
      </c>
      <c r="AT56" s="42" t="n">
        <f aca="false">IF(ISNUMBER(AT55),IFERROR(AT55/(AT19+AT37+AT55),""),"")</f>
        <v>0.171457219251337</v>
      </c>
      <c r="AU56" s="42" t="n">
        <f aca="false">IF(ISNUMBER(AU55),IFERROR(AU55/(AU19+AU37+AU55),""),"")</f>
        <v>0.162857142857143</v>
      </c>
      <c r="AV56" s="42" t="n">
        <f aca="false">IF(ISNUMBER(AV55),IFERROR(AV55/(AV19+AV37+AV55),""),"")</f>
        <v>0.159474671669794</v>
      </c>
      <c r="AW56" s="42" t="n">
        <f aca="false">IF(ISNUMBER(AW55),IFERROR(AW55/(AW19+AW37+AW55),""),"")</f>
        <v>0.190697674418605</v>
      </c>
      <c r="AX56" s="42" t="n">
        <f aca="false">IF(ISNUMBER(AX55),IFERROR(AX55/(AX19+AX37+AX55),""),"")</f>
        <v>0.155487804878049</v>
      </c>
      <c r="AY56" s="42" t="n">
        <f aca="false">IF(ISNUMBER(AY55),IFERROR(AY55/(AY19+AY37+AY55),""),"")</f>
        <v>0.154078549848943</v>
      </c>
      <c r="AZ56" s="42" t="n">
        <f aca="false">IF(ISNUMBER(AZ55),IFERROR(AZ55/(AZ19+AZ37+AZ55),""),"")</f>
        <v>0.148571428571429</v>
      </c>
      <c r="BA56" s="42" t="n">
        <f aca="false">IF(ISNUMBER(BA55),IFERROR(BA55/(BA19+BA37+BA55),""),"")</f>
        <v>0.134564643799472</v>
      </c>
      <c r="BB56" s="42" t="n">
        <f aca="false">IF(ISNUMBER(BB55),IFERROR(BB55/(BB19+BB37+BB55),""),"")</f>
        <v>0.147694524495677</v>
      </c>
      <c r="BC56" s="42" t="n">
        <f aca="false">IF(ISNUMBER(BC55),IFERROR(BC55/(BC19+BC37+BC55),""),"")</f>
        <v>0.137096774193548</v>
      </c>
      <c r="BD56" s="42" t="n">
        <f aca="false">IF(ISNUMBER(BD55),IFERROR(BD55/(BD19+BD37+BD55),""),"")</f>
        <v>0.138888888888889</v>
      </c>
      <c r="BE56" s="42" t="n">
        <f aca="false">IF(ISNUMBER(BE55),IFERROR(BE55/(BE19+BE37+BE55),""),"")</f>
        <v>0.142857142857143</v>
      </c>
      <c r="BF56" s="42" t="n">
        <f aca="false">IF(ISNUMBER(BF55),IFERROR(BF55/(BF19+BF37+BF55),""),"")</f>
        <v>1</v>
      </c>
      <c r="BG56" s="42" t="n">
        <f aca="false">IF(ISNUMBER(BG55),IFERROR(BG55/(BG19+BG37+BG55),""),"")</f>
        <v>0.141562064156206</v>
      </c>
      <c r="BH56" s="42" t="n">
        <f aca="false">IF(ISNUMBER(BH55),IFERROR(BH55/(BH19+BH37+BH55),""),"")</f>
        <v>0.134408602150538</v>
      </c>
      <c r="BI56" s="42" t="n">
        <f aca="false">IF(ISNUMBER(BI55),IFERROR(BI55/(BI19+BI37+BI55),""),"")</f>
        <v>0.134408602150538</v>
      </c>
      <c r="BJ56" s="42" t="n">
        <f aca="false">IF(ISNUMBER(BJ55),IFERROR(BJ55/(BJ19+BJ37+BJ55),""),"")</f>
        <v>0.133514986376022</v>
      </c>
      <c r="BK56" s="42" t="n">
        <f aca="false">IF(ISNUMBER(BK55),IFERROR(BK55/(BK19+BK37+BK55),""),"")</f>
        <v>0.128947368421053</v>
      </c>
      <c r="BL56" s="42" t="n">
        <f aca="false">IF(ISNUMBER(BL55),IFERROR(BL55/(BL19+BL37+BL55),""),"")</f>
        <v>0.132796780684105</v>
      </c>
      <c r="BM56" s="42" t="n">
        <f aca="false">IF(ISNUMBER(BM55),IFERROR(BM55/(BM19+BM37+BM55),""),"")</f>
        <v>0.117936117936118</v>
      </c>
      <c r="BN56" s="42" t="n">
        <f aca="false">IF(ISNUMBER(BN55),IFERROR(BN55/(BN19+BN37+BN55),""),"")</f>
        <v>0.119402985074627</v>
      </c>
      <c r="BO56" s="42" t="n">
        <f aca="false">IF(ISNUMBER(BO55),IFERROR(BO55/(BO19+BO37+BO55),""),"")</f>
        <v>0.118357487922705</v>
      </c>
      <c r="BP56" s="42" t="n">
        <f aca="false">IF(ISNUMBER(BP55),IFERROR(BP55/(BP19+BP37+BP55),""),"")</f>
        <v>0.115196078431373</v>
      </c>
      <c r="BQ56" s="42" t="n">
        <f aca="false">IF(ISNUMBER(BQ55),IFERROR(BQ55/(BQ19+BQ37+BQ55),""),"")</f>
        <v>0.117719190680564</v>
      </c>
      <c r="BR56" s="42" t="n">
        <f aca="false">IF(ISNUMBER(BR55),IFERROR(BR55/(BR19+BR37+BR55),""),"")</f>
        <v>0.117073170731707</v>
      </c>
      <c r="BS56" s="42" t="n">
        <f aca="false">IF(ISNUMBER(BS55),IFERROR(BS55/(BS19+BS37+BS55),""),"")</f>
        <v>0.112676056338028</v>
      </c>
      <c r="BT56" s="42" t="n">
        <f aca="false">IF(ISNUMBER(BT55),IFERROR(BT55/(BT19+BT37+BT55),""),"")</f>
        <v>0.110854503464203</v>
      </c>
      <c r="BU56" s="42" t="n">
        <f aca="false">IF(ISNUMBER(BU55),IFERROR(BU55/(BU19+BU37+BU55),""),"")</f>
        <v>0.10981308411215</v>
      </c>
      <c r="BV56" s="42" t="n">
        <f aca="false">IF(ISNUMBER(BV55),IFERROR(BV55/(BV19+BV37+BV55),""),"")</f>
        <v>0.112551561579258</v>
      </c>
      <c r="BW56" s="42" t="n">
        <f aca="false">IF(ISNUMBER(BW55),IFERROR(BW55/(BW19+BW37+BW55),""),"")</f>
        <v>0.110599078341014</v>
      </c>
      <c r="BX56" s="42" t="n">
        <f aca="false">IF(ISNUMBER(BX55),IFERROR(BX55/(BX19+BX37+BX55),""),"")</f>
        <v>0.155614500442087</v>
      </c>
      <c r="BY56" s="26" t="n">
        <f aca="false">IFERROR((BW55+BX55)/((BW19+BX19)+(BW37+BX37)+(BW55+BX55)),"")</f>
        <v>0.133574007220217</v>
      </c>
      <c r="BZ56" s="26" t="n">
        <f aca="false">IFERROR((BW55+BX55)/((BW19+BX19)+(BW37+BX37)+(BW55+BX55)),"")</f>
        <v>0.133574007220217</v>
      </c>
      <c r="CA56" s="26" t="n">
        <f aca="false">$BY$56</f>
        <v>0.133574007220217</v>
      </c>
      <c r="CB56" s="26" t="n">
        <f aca="false">$BY$56</f>
        <v>0.133574007220217</v>
      </c>
      <c r="CC56" s="26" t="n">
        <f aca="false">$BY$56</f>
        <v>0.133574007220217</v>
      </c>
      <c r="CD56" s="26" t="n">
        <f aca="false">$BY$56</f>
        <v>0.133574007220217</v>
      </c>
      <c r="CE56" s="26" t="n">
        <f aca="false">$BY$56</f>
        <v>0.133574007220217</v>
      </c>
      <c r="CF56" s="7"/>
      <c r="CN56" s="27" t="s">
        <v>147</v>
      </c>
      <c r="CO56" s="48" t="n">
        <f aca="false">CP56+$CO$52</f>
        <v>0.25</v>
      </c>
      <c r="CP56" s="49" t="n">
        <v>0.24</v>
      </c>
      <c r="CQ56" s="48" t="n">
        <f aca="false">CP56+$CQ$52</f>
        <v>0.225</v>
      </c>
    </row>
    <row r="57" customFormat="false" ht="15" hidden="false" customHeight="true" outlineLevel="0" collapsed="false">
      <c r="B57" s="27" t="s">
        <v>120</v>
      </c>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40" t="n">
        <v>0</v>
      </c>
      <c r="BN57" s="40" t="n">
        <v>0</v>
      </c>
      <c r="BO57" s="40" t="n">
        <v>0</v>
      </c>
      <c r="BP57" s="40" t="n">
        <v>99</v>
      </c>
      <c r="BQ57" s="40" t="n">
        <v>99</v>
      </c>
      <c r="BR57" s="40" t="n">
        <v>0</v>
      </c>
      <c r="BS57" s="40" t="n">
        <v>0</v>
      </c>
      <c r="BT57" s="40" t="n">
        <v>15</v>
      </c>
      <c r="BU57" s="40" t="n">
        <v>-10</v>
      </c>
      <c r="BV57" s="40" t="n">
        <v>5</v>
      </c>
      <c r="BW57" s="40" t="n">
        <v>17</v>
      </c>
      <c r="BX57" s="40" t="n">
        <v>0</v>
      </c>
      <c r="BY57" s="43" t="n">
        <v>0</v>
      </c>
      <c r="BZ57" s="43" t="n">
        <v>0</v>
      </c>
      <c r="CA57" s="41" t="n">
        <f aca="false">SUM(BW57,BX57,BY57,BZ57)</f>
        <v>17</v>
      </c>
      <c r="CB57" s="43" t="n">
        <v>0</v>
      </c>
      <c r="CC57" s="43" t="n">
        <v>0</v>
      </c>
      <c r="CD57" s="43" t="n">
        <v>0</v>
      </c>
      <c r="CE57" s="43" t="n">
        <v>0</v>
      </c>
      <c r="CF57" s="37" t="s">
        <v>121</v>
      </c>
      <c r="CN57" s="17" t="s">
        <v>163</v>
      </c>
      <c r="CO57" s="47" t="n">
        <v>0.01</v>
      </c>
      <c r="CP57" s="23" t="s">
        <v>141</v>
      </c>
      <c r="CQ57" s="47" t="n">
        <v>-0.015</v>
      </c>
      <c r="CR57" s="15" t="s">
        <v>164</v>
      </c>
    </row>
    <row r="58" customFormat="false" ht="15" hidden="false" customHeight="true" outlineLevel="0" collapsed="false">
      <c r="B58" s="18" t="s">
        <v>165</v>
      </c>
      <c r="C58" s="44" t="str">
        <f aca="false">IF(AND(ISNUMBER(C53),ISNUMBER(C55)),C53+C55+N(C57),"")</f>
        <v/>
      </c>
      <c r="D58" s="44" t="str">
        <f aca="false">IF(AND(ISNUMBER(D53),ISNUMBER(D55)),D53+D55+N(D57),"")</f>
        <v/>
      </c>
      <c r="E58" s="44" t="str">
        <f aca="false">IF(AND(ISNUMBER(E53),ISNUMBER(E55)),E53+E55+N(E57),"")</f>
        <v/>
      </c>
      <c r="F58" s="44" t="str">
        <f aca="false">IF(AND(ISNUMBER(F53),ISNUMBER(F55)),F53+F55+N(F57),"")</f>
        <v/>
      </c>
      <c r="G58" s="44" t="str">
        <f aca="false">IF(AND(ISNUMBER(G53),ISNUMBER(G55)),G53+G55+N(G57),"")</f>
        <v/>
      </c>
      <c r="H58" s="44" t="str">
        <f aca="false">IF(AND(ISNUMBER(H53),ISNUMBER(H55)),H53+H55+N(H57),"")</f>
        <v/>
      </c>
      <c r="I58" s="44" t="str">
        <f aca="false">IF(AND(ISNUMBER(I53),ISNUMBER(I55)),I53+I55+N(I57),"")</f>
        <v/>
      </c>
      <c r="J58" s="44" t="str">
        <f aca="false">IF(AND(ISNUMBER(J53),ISNUMBER(J55)),J53+J55+N(J57),"")</f>
        <v/>
      </c>
      <c r="K58" s="44" t="str">
        <f aca="false">IF(AND(ISNUMBER(K53),ISNUMBER(K55)),K53+K55+N(K57),"")</f>
        <v/>
      </c>
      <c r="L58" s="44" t="str">
        <f aca="false">IF(AND(ISNUMBER(L53),ISNUMBER(L55)),L53+L55+N(L57),"")</f>
        <v/>
      </c>
      <c r="M58" s="44" t="str">
        <f aca="false">IF(AND(ISNUMBER(M53),ISNUMBER(M55)),M53+M55+N(M57),"")</f>
        <v/>
      </c>
      <c r="N58" s="44" t="str">
        <f aca="false">IF(AND(ISNUMBER(N53),ISNUMBER(N55)),N53+N55+N(N57),"")</f>
        <v/>
      </c>
      <c r="O58" s="44" t="str">
        <f aca="false">IF(AND(ISNUMBER(O53),ISNUMBER(O55)),O53+O55+N(O57),"")</f>
        <v/>
      </c>
      <c r="P58" s="44" t="str">
        <f aca="false">IF(AND(ISNUMBER(P53),ISNUMBER(P55)),P53+P55+N(P57),"")</f>
        <v/>
      </c>
      <c r="Q58" s="44" t="str">
        <f aca="false">IF(AND(ISNUMBER(Q53),ISNUMBER(Q55)),Q53+Q55+N(Q57),"")</f>
        <v/>
      </c>
      <c r="R58" s="44" t="str">
        <f aca="false">IF(AND(ISNUMBER(R53),ISNUMBER(R55)),R53+R55+N(R57),"")</f>
        <v/>
      </c>
      <c r="S58" s="44" t="str">
        <f aca="false">IF(AND(ISNUMBER(S53),ISNUMBER(S55)),S53+S55+N(S57),"")</f>
        <v/>
      </c>
      <c r="T58" s="44" t="str">
        <f aca="false">IF(AND(ISNUMBER(T53),ISNUMBER(T55)),T53+T55+N(T57),"")</f>
        <v/>
      </c>
      <c r="U58" s="44" t="str">
        <f aca="false">IF(AND(ISNUMBER(U53),ISNUMBER(U55)),U53+U55+N(U57),"")</f>
        <v/>
      </c>
      <c r="V58" s="44" t="str">
        <f aca="false">IF(AND(ISNUMBER(V53),ISNUMBER(V55)),V53+V55+N(V57),"")</f>
        <v/>
      </c>
      <c r="W58" s="44" t="str">
        <f aca="false">IF(AND(ISNUMBER(W53),ISNUMBER(W55)),W53+W55+N(W57),"")</f>
        <v/>
      </c>
      <c r="X58" s="44" t="str">
        <f aca="false">IF(AND(ISNUMBER(X53),ISNUMBER(X55)),X53+X55+N(X57),"")</f>
        <v/>
      </c>
      <c r="Y58" s="44" t="str">
        <f aca="false">IF(AND(ISNUMBER(Y53),ISNUMBER(Y55)),Y53+Y55+N(Y57),"")</f>
        <v/>
      </c>
      <c r="Z58" s="44" t="str">
        <f aca="false">IF(AND(ISNUMBER(Z53),ISNUMBER(Z55)),Z53+Z55+N(Z57),"")</f>
        <v/>
      </c>
      <c r="AA58" s="44" t="n">
        <f aca="false">IF(AND(ISNUMBER(AA53),ISNUMBER(AA55)),AA53+AA55+N(AA57),"")</f>
        <v>227.8</v>
      </c>
      <c r="AB58" s="44" t="n">
        <f aca="false">IF(AND(ISNUMBER(AB53),ISNUMBER(AB55)),AB53+AB55+N(AB57),"")</f>
        <v>227.7</v>
      </c>
      <c r="AC58" s="44" t="n">
        <f aca="false">IF(AND(ISNUMBER(AC53),ISNUMBER(AC55)),AC53+AC55+N(AC57),"")</f>
        <v>935.8</v>
      </c>
      <c r="AD58" s="44" t="n">
        <f aca="false">IF(AND(ISNUMBER(AD53),ISNUMBER(AD55)),AD53+AD55+N(AD57),"")</f>
        <v>210.7</v>
      </c>
      <c r="AE58" s="44" t="n">
        <f aca="false">IF(AND(ISNUMBER(AE53),ISNUMBER(AE55)),AE53+AE55+N(AE57),"")</f>
        <v>207.5</v>
      </c>
      <c r="AF58" s="44" t="n">
        <f aca="false">IF(AND(ISNUMBER(AF53),ISNUMBER(AF55)),AF53+AF55+N(AF57),"")</f>
        <v>296.9</v>
      </c>
      <c r="AG58" s="44" t="n">
        <f aca="false">IF(AND(ISNUMBER(AG53),ISNUMBER(AG55)),AG53+AG55+N(AG57),"")</f>
        <v>369.9</v>
      </c>
      <c r="AH58" s="44" t="n">
        <f aca="false">IF(AND(ISNUMBER(AH53),ISNUMBER(AH55)),AH53+AH55+N(AH57),"")</f>
        <v>1085</v>
      </c>
      <c r="AI58" s="44" t="n">
        <f aca="false">IF(AND(ISNUMBER(AI53),ISNUMBER(AI55)),AI53+AI55+N(AI57),"")</f>
        <v>301.1</v>
      </c>
      <c r="AJ58" s="44" t="n">
        <f aca="false">IF(AND(ISNUMBER(AJ53),ISNUMBER(AJ55)),AJ53+AJ55+N(AJ57),"")</f>
        <v>326.9</v>
      </c>
      <c r="AK58" s="44" t="n">
        <f aca="false">IF(AND(ISNUMBER(AK53),ISNUMBER(AK55)),AK53+AK55+N(AK57),"")</f>
        <v>287.2</v>
      </c>
      <c r="AL58" s="44" t="n">
        <f aca="false">IF(AND(ISNUMBER(AL53),ISNUMBER(AL55)),AL53+AL55+N(AL57),"")</f>
        <v>368.4</v>
      </c>
      <c r="AM58" s="44" t="n">
        <f aca="false">IF(AND(ISNUMBER(AM53),ISNUMBER(AM55)),AM53+AM55+N(AM57),"")</f>
        <v>1283.6</v>
      </c>
      <c r="AN58" s="44" t="n">
        <f aca="false">IF(AND(ISNUMBER(AN53),ISNUMBER(AN55)),AN53+AN55+N(AN57),"")</f>
        <v>285.1</v>
      </c>
      <c r="AO58" s="44" t="n">
        <f aca="false">IF(AND(ISNUMBER(AO53),ISNUMBER(AO55)),AO53+AO55+N(AO57),"")</f>
        <v>334.7</v>
      </c>
      <c r="AP58" s="44" t="n">
        <f aca="false">IF(AND(ISNUMBER(AP53),ISNUMBER(AP55)),AP53+AP55+N(AP57),"")</f>
        <v>317.3</v>
      </c>
      <c r="AQ58" s="44" t="n">
        <f aca="false">IF(AND(ISNUMBER(AQ53),ISNUMBER(AQ55)),AQ53+AQ55+N(AQ57),"")</f>
        <v>403.5</v>
      </c>
      <c r="AR58" s="44" t="n">
        <f aca="false">IF(AND(ISNUMBER(AR53),ISNUMBER(AR55)),AR53+AR55+N(AR57),"")</f>
        <v>1340.6</v>
      </c>
      <c r="AS58" s="44" t="n">
        <f aca="false">IF(AND(ISNUMBER(AS53),ISNUMBER(AS55)),AS53+AS55+N(AS57),"")</f>
        <v>302.6</v>
      </c>
      <c r="AT58" s="44" t="n">
        <f aca="false">IF(AND(ISNUMBER(AT53),ISNUMBER(AT55)),AT53+AT55+N(AT57),"")</f>
        <v>344.5</v>
      </c>
      <c r="AU58" s="44" t="n">
        <f aca="false">IF(AND(ISNUMBER(AU53),ISNUMBER(AU55)),AU53+AU55+N(AU57),"")</f>
        <v>459.3</v>
      </c>
      <c r="AV58" s="44" t="n">
        <f aca="false">IF(AND(ISNUMBER(AV53),ISNUMBER(AV55)),AV53+AV55+N(AV57),"")</f>
        <v>637</v>
      </c>
      <c r="AW58" s="44" t="n">
        <f aca="false">IF(AND(ISNUMBER(AW53),ISNUMBER(AW55)),AW53+AW55+N(AW57),"")</f>
        <v>1743</v>
      </c>
      <c r="AX58" s="44" t="n">
        <f aca="false">IF(AND(ISNUMBER(AX53),ISNUMBER(AX55)),AX53+AX55+N(AX57),"")</f>
        <v>677</v>
      </c>
      <c r="AY58" s="44" t="n">
        <f aca="false">IF(AND(ISNUMBER(AY53),ISNUMBER(AY55)),AY53+AY55+N(AY57),"")</f>
        <v>700</v>
      </c>
      <c r="AZ58" s="44" t="n">
        <f aca="false">IF(AND(ISNUMBER(AZ53),ISNUMBER(AZ55)),AZ53+AZ55+N(AZ57),"")</f>
        <v>197</v>
      </c>
      <c r="BA58" s="44" t="n">
        <f aca="false">IF(AND(ISNUMBER(BA53),ISNUMBER(BA55)),BA53+BA55+N(BA57),"")</f>
        <v>944</v>
      </c>
      <c r="BB58" s="44" t="n">
        <f aca="false">IF(AND(ISNUMBER(BB53),ISNUMBER(BB55)),BB53+BB55+N(BB57),"")</f>
        <v>2518</v>
      </c>
      <c r="BC58" s="44" t="n">
        <f aca="false">IF(AND(ISNUMBER(BC53),ISNUMBER(BC55)),BC53+BC55+N(BC57),"")</f>
        <v>937</v>
      </c>
      <c r="BD58" s="44" t="n">
        <f aca="false">IF(AND(ISNUMBER(BD53),ISNUMBER(BD55)),BD53+BD55+N(BD57),"")</f>
        <v>850</v>
      </c>
      <c r="BE58" s="44" t="n">
        <f aca="false">IF(AND(ISNUMBER(BE53),ISNUMBER(BE55)),BE53+BE55+N(BE57),"")</f>
        <v>811</v>
      </c>
      <c r="BF58" s="44" t="n">
        <f aca="false">IF(AND(ISNUMBER(BF53),ISNUMBER(BF55)),BF53+BF55+N(BF57),"")</f>
        <v>1041</v>
      </c>
      <c r="BG58" s="44" t="n">
        <f aca="false">IF(AND(ISNUMBER(BG53),ISNUMBER(BG55)),BG53+BG55+N(BG57),"")</f>
        <v>3639</v>
      </c>
      <c r="BH58" s="44" t="n">
        <f aca="false">IF(AND(ISNUMBER(BH53),ISNUMBER(BH55)),BH53+BH55+N(BH57),"")</f>
        <v>727</v>
      </c>
      <c r="BI58" s="44" t="n">
        <f aca="false">IF(AND(ISNUMBER(BI53),ISNUMBER(BI55)),BI53+BI55+N(BI57),"")</f>
        <v>474</v>
      </c>
      <c r="BJ58" s="44" t="n">
        <f aca="false">IF(AND(ISNUMBER(BJ53),ISNUMBER(BJ55)),BJ53+BJ55+N(BJ57),"")</f>
        <v>588</v>
      </c>
      <c r="BK58" s="44" t="n">
        <f aca="false">IF(AND(ISNUMBER(BK53),ISNUMBER(BK55)),BK53+BK55+N(BK57),"")</f>
        <v>815</v>
      </c>
      <c r="BL58" s="44" t="n">
        <f aca="false">IF(AND(ISNUMBER(BL53),ISNUMBER(BL55)),BL53+BL55+N(BL57),"")</f>
        <v>2604</v>
      </c>
      <c r="BM58" s="44" t="n">
        <f aca="false">IF(AND(ISNUMBER(BM53),ISNUMBER(BM55)),BM53+BM55+N(BM57),"")</f>
        <v>878</v>
      </c>
      <c r="BN58" s="44" t="n">
        <f aca="false">IF(AND(ISNUMBER(BN53),ISNUMBER(BN55)),BN53+BN55+N(BN57),"")</f>
        <v>604</v>
      </c>
      <c r="BO58" s="44" t="n">
        <f aca="false">IF(AND(ISNUMBER(BO53),ISNUMBER(BO55)),BO53+BO55+N(BO57),"")</f>
        <v>664</v>
      </c>
      <c r="BP58" s="44" t="n">
        <f aca="false">IF(AND(ISNUMBER(BP53),ISNUMBER(BP55)),BP53+BP55+N(BP57),"")</f>
        <v>770</v>
      </c>
      <c r="BQ58" s="44" t="n">
        <f aca="false">IF(AND(ISNUMBER(BQ53),ISNUMBER(BQ55)),BQ53+BQ55+N(BQ57),"")</f>
        <v>2916</v>
      </c>
      <c r="BR58" s="44" t="n">
        <f aca="false">IF(AND(ISNUMBER(BR53),ISNUMBER(BR55)),BR53+BR55+N(BR57),"")</f>
        <v>766</v>
      </c>
      <c r="BS58" s="44" t="n">
        <f aca="false">IF(AND(ISNUMBER(BS53),ISNUMBER(BS55)),BS53+BS55+N(BS57),"")</f>
        <v>602</v>
      </c>
      <c r="BT58" s="44" t="n">
        <f aca="false">IF(AND(ISNUMBER(BT53),ISNUMBER(BT55)),BT53+BT55+N(BT57),"")</f>
        <v>728</v>
      </c>
      <c r="BU58" s="44" t="n">
        <f aca="false">IF(AND(ISNUMBER(BU53),ISNUMBER(BU55)),BU53+BU55+N(BU57),"")</f>
        <v>750</v>
      </c>
      <c r="BV58" s="44" t="n">
        <f aca="false">IF(AND(ISNUMBER(BV53),ISNUMBER(BV55)),BV53+BV55+N(BV57),"")</f>
        <v>2846</v>
      </c>
      <c r="BW58" s="44" t="n">
        <f aca="false">IF(AND(ISNUMBER(BW53),ISNUMBER(BW55)),BW53+BW55+N(BW57),"")</f>
        <v>739</v>
      </c>
      <c r="BX58" s="44" t="n">
        <f aca="false">IF(AND(ISNUMBER(BX53),ISNUMBER(BX55)),BX53+BX55+N(BX57),"")</f>
        <v>584.8</v>
      </c>
      <c r="BY58" s="21" t="n">
        <f aca="false">BY47*BY59</f>
        <v>670.297679418053</v>
      </c>
      <c r="BZ58" s="21" t="n">
        <f aca="false">BZ47*BZ59</f>
        <v>815.470818481557</v>
      </c>
      <c r="CA58" s="21" t="n">
        <f aca="false">SUM(BW58,BX58,BY58,BZ58)</f>
        <v>2809.56849789961</v>
      </c>
      <c r="CB58" s="21" t="n">
        <f aca="false">CB47*CB59</f>
        <v>3050.37950413932</v>
      </c>
      <c r="CC58" s="21" t="n">
        <f aca="false">CC47*CC59</f>
        <v>3242.60600565017</v>
      </c>
      <c r="CD58" s="21" t="n">
        <f aca="false">CD47*CD59</f>
        <v>3462.44370094849</v>
      </c>
      <c r="CE58" s="21" t="n">
        <f aca="false">CE47*CE59</f>
        <v>3696.15865076251</v>
      </c>
      <c r="CF58" s="7" t="s">
        <v>125</v>
      </c>
      <c r="CH58" s="22" t="n">
        <f aca="false">IFERROR((CE58/BV58)^(1/5)-1,"n/m")</f>
        <v>0.0536664254515278</v>
      </c>
      <c r="CI58" s="22" t="n">
        <f aca="false">IFERROR((BV58/AW58)^(1/5)-1,"n/m")</f>
        <v>0.103030450229421</v>
      </c>
      <c r="CJ58" s="22" t="str">
        <f aca="false">IFERROR((BV58/X58)^(1/10)-1,"n/m")</f>
        <v>n/m</v>
      </c>
      <c r="CK58" s="22" t="str">
        <f aca="false">IFERROR((BV58/C58)^(1/19)-1,"n/m")</f>
        <v>n/m</v>
      </c>
      <c r="CN58" s="27" t="s">
        <v>143</v>
      </c>
      <c r="CO58" s="48" t="n">
        <f aca="false">CP58+$CO$57</f>
        <v>0.3</v>
      </c>
      <c r="CP58" s="49" t="n">
        <v>0.29</v>
      </c>
      <c r="CQ58" s="48" t="n">
        <f aca="false">CP58+$CQ$57</f>
        <v>0.275</v>
      </c>
    </row>
    <row r="59" customFormat="false" ht="15" hidden="false" customHeight="true" outlineLevel="0" collapsed="false">
      <c r="B59" s="27" t="s">
        <v>128</v>
      </c>
      <c r="C59" s="42" t="str">
        <f aca="false">IF(AND(ISNUMBER(C58),ISNUMBER(C47)),IFERROR(C58/C47,""),"")</f>
        <v/>
      </c>
      <c r="D59" s="42" t="str">
        <f aca="false">IF(AND(ISNUMBER(D58),ISNUMBER(D47)),IFERROR(D58/D47,""),"")</f>
        <v/>
      </c>
      <c r="E59" s="42" t="str">
        <f aca="false">IF(AND(ISNUMBER(E58),ISNUMBER(E47)),IFERROR(E58/E47,""),"")</f>
        <v/>
      </c>
      <c r="F59" s="42" t="str">
        <f aca="false">IF(AND(ISNUMBER(F58),ISNUMBER(F47)),IFERROR(F58/F47,""),"")</f>
        <v/>
      </c>
      <c r="G59" s="42" t="str">
        <f aca="false">IF(AND(ISNUMBER(G58),ISNUMBER(G47)),IFERROR(G58/G47,""),"")</f>
        <v/>
      </c>
      <c r="H59" s="42" t="str">
        <f aca="false">IF(AND(ISNUMBER(H58),ISNUMBER(H47)),IFERROR(H58/H47,""),"")</f>
        <v/>
      </c>
      <c r="I59" s="42" t="str">
        <f aca="false">IF(AND(ISNUMBER(I58),ISNUMBER(I47)),IFERROR(I58/I47,""),"")</f>
        <v/>
      </c>
      <c r="J59" s="42" t="str">
        <f aca="false">IF(AND(ISNUMBER(J58),ISNUMBER(J47)),IFERROR(J58/J47,""),"")</f>
        <v/>
      </c>
      <c r="K59" s="42" t="str">
        <f aca="false">IF(AND(ISNUMBER(K58),ISNUMBER(K47)),IFERROR(K58/K47,""),"")</f>
        <v/>
      </c>
      <c r="L59" s="42" t="str">
        <f aca="false">IF(AND(ISNUMBER(L58),ISNUMBER(L47)),IFERROR(L58/L47,""),"")</f>
        <v/>
      </c>
      <c r="M59" s="42" t="str">
        <f aca="false">IF(AND(ISNUMBER(M58),ISNUMBER(M47)),IFERROR(M58/M47,""),"")</f>
        <v/>
      </c>
      <c r="N59" s="42" t="str">
        <f aca="false">IF(AND(ISNUMBER(N58),ISNUMBER(N47)),IFERROR(N58/N47,""),"")</f>
        <v/>
      </c>
      <c r="O59" s="42" t="str">
        <f aca="false">IF(AND(ISNUMBER(O58),ISNUMBER(O47)),IFERROR(O58/O47,""),"")</f>
        <v/>
      </c>
      <c r="P59" s="42" t="str">
        <f aca="false">IF(AND(ISNUMBER(P58),ISNUMBER(P47)),IFERROR(P58/P47,""),"")</f>
        <v/>
      </c>
      <c r="Q59" s="42" t="str">
        <f aca="false">IF(AND(ISNUMBER(Q58),ISNUMBER(Q47)),IFERROR(Q58/Q47,""),"")</f>
        <v/>
      </c>
      <c r="R59" s="42" t="str">
        <f aca="false">IF(AND(ISNUMBER(R58),ISNUMBER(R47)),IFERROR(R58/R47,""),"")</f>
        <v/>
      </c>
      <c r="S59" s="42" t="str">
        <f aca="false">IF(AND(ISNUMBER(S58),ISNUMBER(S47)),IFERROR(S58/S47,""),"")</f>
        <v/>
      </c>
      <c r="T59" s="42" t="str">
        <f aca="false">IF(AND(ISNUMBER(T58),ISNUMBER(T47)),IFERROR(T58/T47,""),"")</f>
        <v/>
      </c>
      <c r="U59" s="42" t="str">
        <f aca="false">IF(AND(ISNUMBER(U58),ISNUMBER(U47)),IFERROR(U58/U47,""),"")</f>
        <v/>
      </c>
      <c r="V59" s="42" t="str">
        <f aca="false">IF(AND(ISNUMBER(V58),ISNUMBER(V47)),IFERROR(V58/V47,""),"")</f>
        <v/>
      </c>
      <c r="W59" s="42" t="str">
        <f aca="false">IF(AND(ISNUMBER(W58),ISNUMBER(W47)),IFERROR(W58/W47,""),"")</f>
        <v/>
      </c>
      <c r="X59" s="42" t="str">
        <f aca="false">IF(AND(ISNUMBER(X58),ISNUMBER(X47)),IFERROR(X58/X47,""),"")</f>
        <v/>
      </c>
      <c r="Y59" s="42" t="str">
        <f aca="false">IF(AND(ISNUMBER(Y58),ISNUMBER(Y47)),IFERROR(Y58/Y47,""),"")</f>
        <v/>
      </c>
      <c r="Z59" s="42" t="str">
        <f aca="false">IF(AND(ISNUMBER(Z58),ISNUMBER(Z47)),IFERROR(Z58/Z47,""),"")</f>
        <v/>
      </c>
      <c r="AA59" s="42" t="n">
        <f aca="false">IF(AND(ISNUMBER(AA58),ISNUMBER(AA47)),IFERROR(AA58/AA47,""),"")</f>
        <v>0.187845303867403</v>
      </c>
      <c r="AB59" s="42" t="n">
        <f aca="false">IF(AND(ISNUMBER(AB58),ISNUMBER(AB47)),IFERROR(AB58/AB47,""),"")</f>
        <v>0.159030590864646</v>
      </c>
      <c r="AC59" s="42" t="n">
        <f aca="false">IF(AND(ISNUMBER(AC58),ISNUMBER(AC47)),IFERROR(AC58/AC47,""),"")</f>
        <v>0.185737252644741</v>
      </c>
      <c r="AD59" s="42" t="n">
        <f aca="false">IF(AND(ISNUMBER(AD58),ISNUMBER(AD47)),IFERROR(AD58/AD47,""),"")</f>
        <v>0.158743313493558</v>
      </c>
      <c r="AE59" s="42" t="n">
        <f aca="false">IF(AND(ISNUMBER(AE58),ISNUMBER(AE47)),IFERROR(AE58/AE47,""),"")</f>
        <v>0.144097222222222</v>
      </c>
      <c r="AF59" s="42" t="n">
        <f aca="false">IF(AND(ISNUMBER(AF58),ISNUMBER(AF47)),IFERROR(AF58/AF47,""),"")</f>
        <v>0.204942362117761</v>
      </c>
      <c r="AG59" s="42" t="n">
        <f aca="false">IF(AND(ISNUMBER(AG58),ISNUMBER(AG47)),IFERROR(AG58/AG47,""),"")</f>
        <v>0.22778496212821</v>
      </c>
      <c r="AH59" s="42" t="n">
        <f aca="false">IF(AND(ISNUMBER(AH58),ISNUMBER(AH47)),IFERROR(AH58/AH47,""),"")</f>
        <v>0.185790852583092</v>
      </c>
      <c r="AI59" s="42" t="n">
        <f aca="false">IF(AND(ISNUMBER(AI58),ISNUMBER(AI47)),IFERROR(AI58/AI47,""),"")</f>
        <v>0.198131210107258</v>
      </c>
      <c r="AJ59" s="42" t="n">
        <f aca="false">IF(AND(ISNUMBER(AJ58),ISNUMBER(AJ47)),IFERROR(AJ58/AJ47,""),"")</f>
        <v>0.210780836933394</v>
      </c>
      <c r="AK59" s="42" t="n">
        <f aca="false">IF(AND(ISNUMBER(AK58),ISNUMBER(AK47)),IFERROR(AK58/AK47,""),"")</f>
        <v>0.191148086522463</v>
      </c>
      <c r="AL59" s="42" t="n">
        <f aca="false">IF(AND(ISNUMBER(AL58),ISNUMBER(AL47)),IFERROR(AL58/AL47,""),"")</f>
        <v>0.218699910952805</v>
      </c>
      <c r="AM59" s="42" t="n">
        <f aca="false">IF(AND(ISNUMBER(AM58),ISNUMBER(AM47)),IFERROR(AM58/AM47,""),"")</f>
        <v>0.205126566095628</v>
      </c>
      <c r="AN59" s="42" t="n">
        <f aca="false">IF(AND(ISNUMBER(AN58),ISNUMBER(AN47)),IFERROR(AN58/AN47,""),"")</f>
        <v>0.185515356585112</v>
      </c>
      <c r="AO59" s="42" t="n">
        <f aca="false">IF(AND(ISNUMBER(AO58),ISNUMBER(AO47)),IFERROR(AO58/AO47,""),"")</f>
        <v>0.20682197367608</v>
      </c>
      <c r="AP59" s="42" t="n">
        <f aca="false">IF(AND(ISNUMBER(AP58),ISNUMBER(AP47)),IFERROR(AP58/AP47,""),"")</f>
        <v>0.198077283226169</v>
      </c>
      <c r="AQ59" s="42" t="n">
        <f aca="false">IF(AND(ISNUMBER(AQ58),ISNUMBER(AQ47)),IFERROR(AQ58/AQ47,""),"")</f>
        <v>0.223607647547797</v>
      </c>
      <c r="AR59" s="42" t="n">
        <f aca="false">IF(AND(ISNUMBER(AR58),ISNUMBER(AR47)),IFERROR(AR58/AR47,""),"")</f>
        <v>0.204313038177246</v>
      </c>
      <c r="AS59" s="42" t="n">
        <f aca="false">IF(AND(ISNUMBER(AS58),ISNUMBER(AS47)),IFERROR(AS58/AS47,""),"")</f>
        <v>0.185986478180701</v>
      </c>
      <c r="AT59" s="42" t="n">
        <f aca="false">IF(AND(ISNUMBER(AT58),ISNUMBER(AT47)),IFERROR(AT58/AT47,""),"")</f>
        <v>0.207505119865077</v>
      </c>
      <c r="AU59" s="42" t="n">
        <f aca="false">IF(AND(ISNUMBER(AU58),ISNUMBER(AU47)),IFERROR(AU58/AU47,""),"")</f>
        <v>0.24313164999206</v>
      </c>
      <c r="AV59" s="42" t="n">
        <f aca="false">IF(AND(ISNUMBER(AV58),ISNUMBER(AV47)),IFERROR(AV58/AV47,""),"")</f>
        <v>0.286035024696902</v>
      </c>
      <c r="AW59" s="42" t="n">
        <f aca="false">IF(AND(ISNUMBER(AW58),ISNUMBER(AW47)),IFERROR(AW58/AW47,""),"")</f>
        <v>0.235445089828448</v>
      </c>
      <c r="AX59" s="42" t="n">
        <f aca="false">IF(AND(ISNUMBER(AX58),ISNUMBER(AX47)),IFERROR(AX58/AX47,""),"")</f>
        <v>0.310835629017447</v>
      </c>
      <c r="AY59" s="42" t="n">
        <f aca="false">IF(AND(ISNUMBER(AY58),ISNUMBER(AY47)),IFERROR(AY58/AY47,""),"")</f>
        <v>0.299657534246575</v>
      </c>
      <c r="AZ59" s="42" t="n">
        <f aca="false">IF(AND(ISNUMBER(AZ58),ISNUMBER(AZ47)),IFERROR(AZ58/AZ47,""),"")</f>
        <v>0.0804409963250306</v>
      </c>
      <c r="BA59" s="42" t="n">
        <f aca="false">IF(AND(ISNUMBER(BA58),ISNUMBER(BA47)),IFERROR(BA58/BA47,""),"")</f>
        <v>0.327664005553627</v>
      </c>
      <c r="BB59" s="42" t="n">
        <f aca="false">IF(AND(ISNUMBER(BB58),ISNUMBER(BB47)),IFERROR(BB58/BB47,""),"")</f>
        <v>0.255790329134498</v>
      </c>
      <c r="BC59" s="42" t="n">
        <f aca="false">IF(AND(ISNUMBER(BC58),ISNUMBER(BC47)),IFERROR(BC58/BC47,""),"")</f>
        <v>0.354387291981846</v>
      </c>
      <c r="BD59" s="42" t="n">
        <f aca="false">IF(AND(ISNUMBER(BD58),ISNUMBER(BD47)),IFERROR(BD58/BD47,""),"")</f>
        <v>0.331901600937134</v>
      </c>
      <c r="BE59" s="42" t="n">
        <f aca="false">IF(AND(ISNUMBER(BE58),ISNUMBER(BE47)),IFERROR(BE58/BE47,""),"")</f>
        <v>0.302724897349757</v>
      </c>
      <c r="BF59" s="42" t="n">
        <f aca="false">IF(AND(ISNUMBER(BF58),ISNUMBER(BF47)),IFERROR(BF58/BF47,""),"")</f>
        <v>0.351096121416526</v>
      </c>
      <c r="BG59" s="42" t="n">
        <f aca="false">IF(AND(ISNUMBER(BG58),ISNUMBER(BG47)),IFERROR(BG58/BG47,""),"")</f>
        <v>0.335422619596276</v>
      </c>
      <c r="BH59" s="42" t="n">
        <f aca="false">IF(AND(ISNUMBER(BH58),ISNUMBER(BH47)),IFERROR(BH58/BH47,""),"")</f>
        <v>0.305976430976431</v>
      </c>
      <c r="BI59" s="42" t="n">
        <f aca="false">IF(AND(ISNUMBER(BI58),ISNUMBER(BI47)),IFERROR(BI58/BI47,""),"")</f>
        <v>0.212460779919319</v>
      </c>
      <c r="BJ59" s="42" t="n">
        <f aca="false">IF(AND(ISNUMBER(BJ58),ISNUMBER(BJ47)),IFERROR(BJ58/BJ47,""),"")</f>
        <v>0.260869565217391</v>
      </c>
      <c r="BK59" s="42" t="n">
        <f aca="false">IF(AND(ISNUMBER(BK58),ISNUMBER(BK47)),IFERROR(BK58/BK47,""),"")</f>
        <v>0.300073637702504</v>
      </c>
      <c r="BL59" s="42" t="n">
        <f aca="false">IF(AND(ISNUMBER(BL58),ISNUMBER(BL47)),IFERROR(BL58/BL47,""),"")</f>
        <v>0.271901430510598</v>
      </c>
      <c r="BM59" s="42" t="n">
        <f aca="false">IF(AND(ISNUMBER(BM58),ISNUMBER(BM47)),IFERROR(BM58/BM47,""),"")</f>
        <v>0.347447566284131</v>
      </c>
      <c r="BN59" s="42" t="n">
        <f aca="false">IF(AND(ISNUMBER(BN58),ISNUMBER(BN47)),IFERROR(BN58/BN47,""),"")</f>
        <v>0.267256637168142</v>
      </c>
      <c r="BO59" s="42" t="n">
        <f aca="false">IF(AND(ISNUMBER(BO58),ISNUMBER(BO47)),IFERROR(BO58/BO47,""),"")</f>
        <v>0.280998730427423</v>
      </c>
      <c r="BP59" s="42" t="n">
        <f aca="false">IF(AND(ISNUMBER(BP58),ISNUMBER(BP47)),IFERROR(BP58/BP47,""),"")</f>
        <v>0.291998483124763</v>
      </c>
      <c r="BQ59" s="42" t="n">
        <f aca="false">IF(AND(ISNUMBER(BQ58),ISNUMBER(BQ47)),IFERROR(BQ58/BQ47,""),"")</f>
        <v>0.297946255236538</v>
      </c>
      <c r="BR59" s="42" t="n">
        <f aca="false">IF(AND(ISNUMBER(BR58),ISNUMBER(BR47)),IFERROR(BR58/BR47,""),"")</f>
        <v>0.312780726827276</v>
      </c>
      <c r="BS59" s="42" t="n">
        <f aca="false">IF(AND(ISNUMBER(BS58),ISNUMBER(BS47)),IFERROR(BS58/BS47,""),"")</f>
        <v>0.260718925941966</v>
      </c>
      <c r="BT59" s="42" t="n">
        <f aca="false">IF(AND(ISNUMBER(BT58),ISNUMBER(BT47)),IFERROR(BT58/BT47,""),"")</f>
        <v>0.295574502639058</v>
      </c>
      <c r="BU59" s="42" t="n">
        <f aca="false">IF(AND(ISNUMBER(BU58),ISNUMBER(BU47)),IFERROR(BU58/BU47,""),"")</f>
        <v>0.275735294117647</v>
      </c>
      <c r="BV59" s="42" t="n">
        <f aca="false">IF(AND(ISNUMBER(BV58),ISNUMBER(BV47)),IFERROR(BV58/BV47,""),"")</f>
        <v>0.28628910572377</v>
      </c>
      <c r="BW59" s="42" t="n">
        <f aca="false">IF(AND(ISNUMBER(BW58),ISNUMBER(BW47)),IFERROR(BW58/BW47,""),"")</f>
        <v>0.305750930906082</v>
      </c>
      <c r="BX59" s="42" t="n">
        <f aca="false">IF(AND(ISNUMBER(BX58),ISNUMBER(BX47)),IFERROR(BX58/BX47,""),"")</f>
        <v>0.246335299073294</v>
      </c>
      <c r="BY59" s="26" t="n">
        <f aca="false">BY60+BY134</f>
        <v>0.271652576887919</v>
      </c>
      <c r="BZ59" s="26" t="n">
        <f aca="false">BZ60+BZ134</f>
        <v>0.28557809398369</v>
      </c>
      <c r="CA59" s="26" t="n">
        <f aca="false">IF(AND(ISNUMBER(CA58),ISNUMBER(CA47)),IFERROR(CA58/CA47,""),"")</f>
        <v>0.277790307014802</v>
      </c>
      <c r="CB59" s="26" t="n">
        <f aca="false">CHOOSE(MATCH($CF$2,{"Bull","Base","Bear"},0),$CO$58,$CP$58,$CQ$58)</f>
        <v>0.29</v>
      </c>
      <c r="CC59" s="26" t="n">
        <f aca="false">CHOOSE(MATCH($CF$2,{"Bull","Base","Bear"},0),$CO$59,$CP$59,$CQ$59)</f>
        <v>0.295</v>
      </c>
      <c r="CD59" s="26" t="n">
        <f aca="false">CHOOSE(MATCH($CF$2,{"Bull","Base","Bear"},0),$CO$60,$CP$60,$CQ$60)</f>
        <v>0.3</v>
      </c>
      <c r="CE59" s="26" t="n">
        <f aca="false">CHOOSE(MATCH($CF$2,{"Bull","Base","Bear"},0),$CO$61,$CP$61,$CQ$61)</f>
        <v>0.305</v>
      </c>
      <c r="CF59" s="7" t="s">
        <v>129</v>
      </c>
      <c r="CH59" s="32" t="n">
        <f aca="false">IFERROR(AVERAGE(CA59,CB59,CC59,CD59,CE59),"n/m")</f>
        <v>0.29355806140296</v>
      </c>
      <c r="CI59" s="32" t="n">
        <f aca="false">IFERROR(AVERAGE(BB59,BG59,BL59,BQ59,BV59),"n/m")</f>
        <v>0.289469948040336</v>
      </c>
      <c r="CJ59" s="32" t="n">
        <f aca="false">IFERROR(AVERAGE(AC59,AH59,AM59,AR59,AW59,BB59,BG59,BL59,BQ59,BV59),"n/m")</f>
        <v>0.246376253953084</v>
      </c>
      <c r="CK59" s="32" t="n">
        <f aca="false">IFERROR(AVERAGE(C59,D59,E59,F59,G59,H59,I59,N59,S59,X59,AC59,AH59,AM59,AR59,AW59,BB59,BG59,BL59,BQ59,BV59),"n/m")</f>
        <v>0.246376253953084</v>
      </c>
      <c r="CN59" s="27" t="s">
        <v>144</v>
      </c>
      <c r="CO59" s="48" t="n">
        <f aca="false">CP59+$CO$57</f>
        <v>0.305</v>
      </c>
      <c r="CP59" s="49" t="n">
        <v>0.295</v>
      </c>
      <c r="CQ59" s="48" t="n">
        <f aca="false">CP59+$CQ$57</f>
        <v>0.28</v>
      </c>
    </row>
    <row r="60" customFormat="false" ht="15" hidden="false" customHeight="true" outlineLevel="0" collapsed="false">
      <c r="B60" s="27" t="s">
        <v>130</v>
      </c>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26" t="n">
        <f aca="false">BT59+((BW58+BX58)/(BW47+BX47)-(BR58+BS58)/(BR47+BS47))</f>
        <v>0.284368487156582</v>
      </c>
      <c r="BZ60" s="26" t="n">
        <f aca="false">BU59+((BW58+BX58)/(BW47+BX47)-(BR58+BS58)/(BR47+BS47))</f>
        <v>0.264529278635171</v>
      </c>
      <c r="CA60" s="31"/>
      <c r="CB60" s="31"/>
      <c r="CC60" s="31"/>
      <c r="CD60" s="31"/>
      <c r="CE60" s="31"/>
      <c r="CF60" s="7" t="s">
        <v>131</v>
      </c>
      <c r="CN60" s="27" t="s">
        <v>146</v>
      </c>
      <c r="CO60" s="48" t="n">
        <f aca="false">CP60+$CO$57</f>
        <v>0.31</v>
      </c>
      <c r="CP60" s="49" t="n">
        <v>0.3</v>
      </c>
      <c r="CQ60" s="48" t="n">
        <f aca="false">CP60+$CQ$57</f>
        <v>0.285</v>
      </c>
    </row>
    <row r="61" customFormat="false" ht="15" hidden="false" customHeight="true" outlineLevel="0" collapsed="false">
      <c r="B61" s="27" t="s">
        <v>132</v>
      </c>
      <c r="C61" s="34"/>
      <c r="D61" s="42" t="str">
        <f aca="false">IFERROR((D58-C58)/(D47-C47),"")</f>
        <v/>
      </c>
      <c r="E61" s="42" t="str">
        <f aca="false">IFERROR((E58-D58)/(E47-D47),"")</f>
        <v/>
      </c>
      <c r="F61" s="42" t="str">
        <f aca="false">IFERROR((F58-E58)/(F47-E47),"")</f>
        <v/>
      </c>
      <c r="G61" s="42" t="str">
        <f aca="false">IFERROR((G58-F58)/(G47-F47),"")</f>
        <v/>
      </c>
      <c r="H61" s="42" t="str">
        <f aca="false">IFERROR((H58-G58)/(H47-G47),"")</f>
        <v/>
      </c>
      <c r="I61" s="42" t="str">
        <f aca="false">IFERROR((I58-H58)/(I47-H47),"")</f>
        <v/>
      </c>
      <c r="J61" s="34"/>
      <c r="K61" s="34"/>
      <c r="L61" s="34"/>
      <c r="M61" s="34"/>
      <c r="N61" s="42" t="str">
        <f aca="false">IFERROR((N58-I58)/(N47-I47),"")</f>
        <v/>
      </c>
      <c r="O61" s="42" t="str">
        <f aca="false">IFERROR((O58-J58)/(O47-J47),"")</f>
        <v/>
      </c>
      <c r="P61" s="42" t="str">
        <f aca="false">IFERROR((P58-K58)/(P47-K47),"")</f>
        <v/>
      </c>
      <c r="Q61" s="42" t="str">
        <f aca="false">IFERROR((Q58-L58)/(Q47-L47),"")</f>
        <v/>
      </c>
      <c r="R61" s="42" t="str">
        <f aca="false">IFERROR((R58-M58)/(R47-M47),"")</f>
        <v/>
      </c>
      <c r="S61" s="42" t="str">
        <f aca="false">IFERROR((S58-N58)/(S47-N47),"")</f>
        <v/>
      </c>
      <c r="T61" s="42" t="str">
        <f aca="false">IFERROR((T58-O58)/(T47-O47),"")</f>
        <v/>
      </c>
      <c r="U61" s="42" t="str">
        <f aca="false">IFERROR((U58-P58)/(U47-P47),"")</f>
        <v/>
      </c>
      <c r="V61" s="42" t="str">
        <f aca="false">IFERROR((V58-Q58)/(V47-Q47),"")</f>
        <v/>
      </c>
      <c r="W61" s="42" t="str">
        <f aca="false">IFERROR((W58-R58)/(W47-R47),"")</f>
        <v/>
      </c>
      <c r="X61" s="42" t="str">
        <f aca="false">IFERROR((X58-S58)/(X47-S47),"")</f>
        <v/>
      </c>
      <c r="Y61" s="42" t="str">
        <f aca="false">IFERROR((Y58-T58)/(Y47-T47),"")</f>
        <v/>
      </c>
      <c r="Z61" s="42" t="str">
        <f aca="false">IFERROR((Z58-U58)/(Z47-U47),"")</f>
        <v/>
      </c>
      <c r="AA61" s="42" t="str">
        <f aca="false">IFERROR((AA58-V58)/(AA47-V47),"")</f>
        <v/>
      </c>
      <c r="AB61" s="42" t="str">
        <f aca="false">IFERROR((AB58-W58)/(AB47-W47),"")</f>
        <v/>
      </c>
      <c r="AC61" s="42" t="str">
        <f aca="false">IFERROR((AC58-X58)/(AC47-X47),"")</f>
        <v/>
      </c>
      <c r="AD61" s="42" t="str">
        <f aca="false">IFERROR((AD58-Y58)/(AD47-Y47),"")</f>
        <v/>
      </c>
      <c r="AE61" s="42" t="str">
        <f aca="false">IFERROR((AE58-Z58)/(AE47-Z47),"")</f>
        <v/>
      </c>
      <c r="AF61" s="42" t="n">
        <f aca="false">IFERROR((AF58-AA58)/(AF47-AA47),"")</f>
        <v>0.292796610169491</v>
      </c>
      <c r="AG61" s="42" t="n">
        <f aca="false">IFERROR((AG58-AB58)/(AG47-AB47),"")</f>
        <v>0.740239458615304</v>
      </c>
      <c r="AH61" s="42" t="n">
        <f aca="false">IFERROR((AH58-AC58)/(AH47-AC47),"")</f>
        <v>0.186127744510978</v>
      </c>
      <c r="AI61" s="42" t="n">
        <f aca="false">IFERROR((AI58-AD58)/(AI47-AD47),"")</f>
        <v>0.46985446985447</v>
      </c>
      <c r="AJ61" s="42" t="n">
        <f aca="false">IFERROR((AJ58-AE58)/(AJ47-AE47),"")</f>
        <v>1.07664562669071</v>
      </c>
      <c r="AK61" s="42" t="n">
        <f aca="false">IFERROR((AK58-AF58)/(AK47-AF47),"")</f>
        <v>-0.180297397769517</v>
      </c>
      <c r="AL61" s="42" t="n">
        <f aca="false">IFERROR((AL58-AG58)/(AL47-AG47),"")</f>
        <v>-0.0247524752475248</v>
      </c>
      <c r="AM61" s="42" t="n">
        <f aca="false">IFERROR((AM58-AH58)/(AM47-AH47),"")</f>
        <v>0.475460857074454</v>
      </c>
      <c r="AN61" s="42" t="n">
        <f aca="false">IFERROR((AN58-AI58)/(AN47-AI47),"")</f>
        <v>-0.935672514619888</v>
      </c>
      <c r="AO61" s="42" t="n">
        <f aca="false">IFERROR((AO58-AJ58)/(AO47-AJ47),"")</f>
        <v>0.115727002967359</v>
      </c>
      <c r="AP61" s="42" t="n">
        <f aca="false">IFERROR((AP58-AK58)/(AP47-AK47),"")</f>
        <v>0.302816901408451</v>
      </c>
      <c r="AQ61" s="42" t="n">
        <f aca="false">IFERROR((AQ58-AL58)/(AQ47-AL47),"")</f>
        <v>0.2925</v>
      </c>
      <c r="AR61" s="42" t="n">
        <f aca="false">IFERROR((AR58-AM58)/(AR47-AM47),"")</f>
        <v>0.18756169792695</v>
      </c>
      <c r="AS61" s="42" t="n">
        <f aca="false">IFERROR((AS58-AN58)/(AS47-AN47),"")</f>
        <v>0.194013303769401</v>
      </c>
      <c r="AT61" s="42" t="n">
        <f aca="false">IFERROR((AT58-AO58)/(AT47-AO47),"")</f>
        <v>0.233890214797136</v>
      </c>
      <c r="AU61" s="42" t="n">
        <f aca="false">IFERROR((AU58-AP58)/(AU47-AP47),"")</f>
        <v>0.494428969359332</v>
      </c>
      <c r="AV61" s="42" t="n">
        <f aca="false">IFERROR((AV58-AQ58)/(AV47-AQ47),"")</f>
        <v>0.552662721893491</v>
      </c>
      <c r="AW61" s="42" t="n">
        <f aca="false">IFERROR((AW58-AR58)/(AW47-AR47),"")</f>
        <v>0.478193701723114</v>
      </c>
      <c r="AX61" s="42" t="n">
        <f aca="false">IFERROR((AX58-AS58)/(AX47-AS47),"")</f>
        <v>0.679491833030853</v>
      </c>
      <c r="AY61" s="42" t="n">
        <f aca="false">IFERROR((AY58-AT58)/(AY47-AT47),"")</f>
        <v>0.526043208049719</v>
      </c>
      <c r="AZ61" s="42" t="n">
        <f aca="false">IFERROR((AZ58-AU58)/(AZ47-AU47),"")</f>
        <v>-0.468476513663154</v>
      </c>
      <c r="BA61" s="42" t="n">
        <f aca="false">IFERROR((BA58-AV58)/(BA47-AV47),"")</f>
        <v>0.469418960244648</v>
      </c>
      <c r="BB61" s="42" t="n">
        <f aca="false">IFERROR((BB58-AW58)/(BB47-AW47),"")</f>
        <v>0.317492830807046</v>
      </c>
      <c r="BC61" s="42" t="n">
        <f aca="false">IFERROR((BC58-AX58)/(BC47-AX47),"")</f>
        <v>0.55793991416309</v>
      </c>
      <c r="BD61" s="42" t="n">
        <f aca="false">IFERROR((BD58-AY58)/(BD47-AY47),"")</f>
        <v>0.666666666666667</v>
      </c>
      <c r="BE61" s="42" t="n">
        <f aca="false">IFERROR((BE58-AZ58)/(BE47-AZ47),"")</f>
        <v>2.6695652173913</v>
      </c>
      <c r="BF61" s="42" t="n">
        <f aca="false">IFERROR((BF58-BA58)/(BF47-BA47),"")</f>
        <v>1.1547619047619</v>
      </c>
      <c r="BG61" s="42" t="n">
        <f aca="false">IFERROR((BG58-BB58)/(BG47-BB47),"")</f>
        <v>1.11542288557214</v>
      </c>
      <c r="BH61" s="42" t="n">
        <f aca="false">IFERROR((BH58-BC58)/(BH47-BC47),"")</f>
        <v>0.783582089552239</v>
      </c>
      <c r="BI61" s="42" t="n">
        <f aca="false">IFERROR((BI58-BD58)/(BI47-BD47),"")</f>
        <v>1.13939393939394</v>
      </c>
      <c r="BJ61" s="42" t="n">
        <f aca="false">IFERROR((BJ58-BE58)/(BJ47-BE47),"")</f>
        <v>0.524705882352941</v>
      </c>
      <c r="BK61" s="42" t="n">
        <f aca="false">IFERROR((BK58-BF58)/(BK47-BF47),"")</f>
        <v>0.907630522088353</v>
      </c>
      <c r="BL61" s="42" t="n">
        <f aca="false">IFERROR((BL58-BG58)/(BL47-BG47),"")</f>
        <v>0.813679245283019</v>
      </c>
      <c r="BM61" s="42" t="n">
        <f aca="false">IFERROR((BM58-BH58)/(BM47-BH47),"")</f>
        <v>1</v>
      </c>
      <c r="BN61" s="42" t="n">
        <f aca="false">IFERROR((BN58-BI58)/(BN47-BI47),"")</f>
        <v>4.48275862068966</v>
      </c>
      <c r="BO61" s="42" t="n">
        <f aca="false">IFERROR((BO58-BJ58)/(BO47-BJ47),"")</f>
        <v>0.697247706422018</v>
      </c>
      <c r="BP61" s="42" t="n">
        <f aca="false">IFERROR((BP58-BK58)/(BP47-BK47),"")</f>
        <v>0.569620253164557</v>
      </c>
      <c r="BQ61" s="42" t="n">
        <f aca="false">IFERROR((BQ58-BL58)/(BQ47-BL47),"")</f>
        <v>1.48571428571429</v>
      </c>
      <c r="BR61" s="42" t="n">
        <f aca="false">IFERROR((BR58-BM58)/(BR47-BM47),"")</f>
        <v>1.43589743589744</v>
      </c>
      <c r="BS61" s="42" t="n">
        <f aca="false">IFERROR((BS58-BN58)/(BS47-BN47),"")</f>
        <v>-0.0408163265306122</v>
      </c>
      <c r="BT61" s="42" t="n">
        <f aca="false">IFERROR((BT58-BO58)/(BT47-BO47),"")</f>
        <v>0.64</v>
      </c>
      <c r="BU61" s="42" t="n">
        <f aca="false">IFERROR((BU58-BP58)/(BU47-BP47),"")</f>
        <v>-0.240963855421687</v>
      </c>
      <c r="BV61" s="42" t="n">
        <f aca="false">IFERROR((BV58-BQ58)/(BV47-BQ47),"")</f>
        <v>-0.454545454545455</v>
      </c>
      <c r="BW61" s="42" t="n">
        <f aca="false">IFERROR((BW58-BR58)/(BW47-BR47),"")</f>
        <v>0.84375</v>
      </c>
      <c r="BX61" s="42" t="n">
        <f aca="false">IFERROR((BX58-BS58)/(BX47-BS47),"")</f>
        <v>-0.264615384615385</v>
      </c>
      <c r="BY61" s="26" t="n">
        <f aca="false">IFERROR((BY58-BT58)/(BY47-BT47),"")</f>
        <v>-12.8759724437024</v>
      </c>
      <c r="BZ61" s="26" t="n">
        <f aca="false">IFERROR((BZ58-BU58)/(BZ47-BU47),"")</f>
        <v>0.483147369878754</v>
      </c>
      <c r="CA61" s="26" t="n">
        <f aca="false">IFERROR((CA58-BV58)/(CA47-BV47),"")</f>
        <v>-0.210598405749675</v>
      </c>
      <c r="CB61" s="26" t="n">
        <f aca="false">IFERROR((CB58-CA58)/(CB47-CA47),"")</f>
        <v>0.595242324629944</v>
      </c>
      <c r="CC61" s="26" t="n">
        <f aca="false">IFERROR((CC58-CB58)/(CC47-CB47),"")</f>
        <v>0.406111111111111</v>
      </c>
      <c r="CD61" s="26" t="n">
        <f aca="false">IFERROR((CD58-CC58)/(CD47-CC47),"")</f>
        <v>0.4</v>
      </c>
      <c r="CE61" s="26" t="n">
        <f aca="false">IFERROR((CE58-CD58)/(CE47-CD47),"")</f>
        <v>0.405</v>
      </c>
      <c r="CF61" s="7"/>
      <c r="CN61" s="27" t="s">
        <v>147</v>
      </c>
      <c r="CO61" s="48" t="n">
        <f aca="false">CP61+$CO$57</f>
        <v>0.315</v>
      </c>
      <c r="CP61" s="49" t="n">
        <v>0.305</v>
      </c>
      <c r="CQ61" s="48" t="n">
        <f aca="false">CP61+$CQ$57</f>
        <v>0.29</v>
      </c>
    </row>
    <row r="62" customFormat="false" ht="15" hidden="false" customHeight="true" outlineLevel="0" collapsed="false">
      <c r="B62" s="27" t="s">
        <v>133</v>
      </c>
      <c r="C62" s="39"/>
      <c r="D62" s="39"/>
      <c r="E62" s="39"/>
      <c r="F62" s="39"/>
      <c r="G62" s="39"/>
      <c r="H62" s="39"/>
      <c r="I62" s="39"/>
      <c r="J62" s="39"/>
      <c r="K62" s="39"/>
      <c r="L62" s="39"/>
      <c r="M62" s="39"/>
      <c r="N62" s="39"/>
      <c r="O62" s="39"/>
      <c r="P62" s="39"/>
      <c r="Q62" s="39"/>
      <c r="R62" s="39"/>
      <c r="S62" s="39"/>
      <c r="T62" s="39"/>
      <c r="U62" s="39"/>
      <c r="V62" s="39"/>
      <c r="W62" s="39"/>
      <c r="X62" s="39"/>
      <c r="Y62" s="39"/>
      <c r="Z62" s="39"/>
      <c r="AA62" s="40" t="n">
        <v>82.3</v>
      </c>
      <c r="AB62" s="40" t="n">
        <v>92.7</v>
      </c>
      <c r="AC62" s="40" t="n">
        <v>332.1</v>
      </c>
      <c r="AD62" s="40" t="n">
        <v>87.6</v>
      </c>
      <c r="AE62" s="40" t="n">
        <v>91.6</v>
      </c>
      <c r="AF62" s="40" t="n">
        <v>92.6</v>
      </c>
      <c r="AG62" s="40" t="n">
        <v>96.3</v>
      </c>
      <c r="AH62" s="40" t="n">
        <v>368.1</v>
      </c>
      <c r="AI62" s="40" t="n">
        <v>94.3</v>
      </c>
      <c r="AJ62" s="40" t="n">
        <v>98</v>
      </c>
      <c r="AK62" s="40" t="n">
        <v>92.2</v>
      </c>
      <c r="AL62" s="40" t="n">
        <v>94.7</v>
      </c>
      <c r="AM62" s="40" t="n">
        <v>379.2</v>
      </c>
      <c r="AN62" s="40" t="n">
        <v>91.6</v>
      </c>
      <c r="AO62" s="40" t="n">
        <v>94.2</v>
      </c>
      <c r="AP62" s="40" t="n">
        <v>94.3</v>
      </c>
      <c r="AQ62" s="40" t="n">
        <v>95.9</v>
      </c>
      <c r="AR62" s="40" t="n">
        <v>376</v>
      </c>
      <c r="AS62" s="40" t="n">
        <v>94.1</v>
      </c>
      <c r="AT62" s="40" t="n">
        <v>100.8</v>
      </c>
      <c r="AU62" s="40" t="n">
        <v>95.7</v>
      </c>
      <c r="AV62" s="40" t="n">
        <v>106.4</v>
      </c>
      <c r="AW62" s="40" t="n">
        <v>397</v>
      </c>
      <c r="AX62" s="40" t="n">
        <v>93</v>
      </c>
      <c r="AY62" s="40" t="n">
        <v>102</v>
      </c>
      <c r="AZ62" s="40" t="n">
        <v>105</v>
      </c>
      <c r="BA62" s="40" t="n">
        <v>109</v>
      </c>
      <c r="BB62" s="40" t="n">
        <v>409</v>
      </c>
      <c r="BC62" s="40" t="n">
        <v>94</v>
      </c>
      <c r="BD62" s="40" t="n">
        <v>98</v>
      </c>
      <c r="BE62" s="40" t="n">
        <v>98</v>
      </c>
      <c r="BF62" s="40" t="n">
        <v>97</v>
      </c>
      <c r="BG62" s="40" t="n">
        <v>387</v>
      </c>
      <c r="BH62" s="40" t="n">
        <v>93</v>
      </c>
      <c r="BI62" s="40" t="n">
        <v>96</v>
      </c>
      <c r="BJ62" s="40" t="n">
        <v>93</v>
      </c>
      <c r="BK62" s="40" t="n">
        <v>97</v>
      </c>
      <c r="BL62" s="40" t="n">
        <v>379</v>
      </c>
      <c r="BM62" s="40" t="n">
        <v>97</v>
      </c>
      <c r="BN62" s="40" t="n">
        <v>100</v>
      </c>
      <c r="BO62" s="40" t="n">
        <v>95</v>
      </c>
      <c r="BP62" s="40" t="n">
        <v>102</v>
      </c>
      <c r="BQ62" s="40" t="n">
        <v>394</v>
      </c>
      <c r="BR62" s="40" t="n">
        <v>100</v>
      </c>
      <c r="BS62" s="40" t="n">
        <v>100</v>
      </c>
      <c r="BT62" s="40" t="n">
        <v>101</v>
      </c>
      <c r="BU62" s="40" t="n">
        <v>106</v>
      </c>
      <c r="BV62" s="40" t="n">
        <v>407</v>
      </c>
      <c r="BW62" s="40" t="n">
        <v>102</v>
      </c>
      <c r="BX62" s="40" t="n">
        <v>107</v>
      </c>
      <c r="BY62" s="45"/>
      <c r="BZ62" s="45"/>
      <c r="CA62" s="45"/>
      <c r="CB62" s="45"/>
      <c r="CC62" s="45"/>
      <c r="CD62" s="45"/>
      <c r="CE62" s="45"/>
      <c r="CF62" s="37"/>
      <c r="CN62" s="17" t="s">
        <v>166</v>
      </c>
      <c r="CO62" s="47" t="n">
        <v>0.02</v>
      </c>
      <c r="CP62" s="23" t="s">
        <v>141</v>
      </c>
      <c r="CQ62" s="47" t="n">
        <v>-0.03</v>
      </c>
      <c r="CR62" s="15" t="s">
        <v>167</v>
      </c>
    </row>
    <row r="63" customFormat="false" ht="15" hidden="false" customHeight="true" outlineLevel="0" collapsed="false">
      <c r="CN63" s="27" t="s">
        <v>143</v>
      </c>
      <c r="CO63" s="48" t="n">
        <f aca="false">CP63+$CO$62</f>
        <v>0.1</v>
      </c>
      <c r="CP63" s="49" t="n">
        <v>0.08</v>
      </c>
      <c r="CQ63" s="48" t="n">
        <f aca="false">CP63+$CQ$62</f>
        <v>0.05</v>
      </c>
    </row>
    <row r="64" customFormat="false" ht="15" hidden="false" customHeight="true" outlineLevel="0" collapsed="false">
      <c r="B64" s="16" t="s">
        <v>168</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7" t="s">
        <v>169</v>
      </c>
      <c r="CN64" s="27" t="s">
        <v>144</v>
      </c>
      <c r="CO64" s="48" t="n">
        <f aca="false">CP64+$CO$62</f>
        <v>0.1</v>
      </c>
      <c r="CP64" s="49" t="n">
        <v>0.08</v>
      </c>
      <c r="CQ64" s="48" t="n">
        <f aca="false">CP64+$CQ$62</f>
        <v>0.05</v>
      </c>
    </row>
    <row r="65" customFormat="false" ht="15" hidden="false" customHeight="true" outlineLevel="0" collapsed="false">
      <c r="B65" s="50" t="s">
        <v>170</v>
      </c>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40" t="n">
        <v>339.6</v>
      </c>
      <c r="BN65" s="40" t="n">
        <v>343.9</v>
      </c>
      <c r="BO65" s="40" t="n">
        <v>343.3</v>
      </c>
      <c r="BP65" s="40" t="n">
        <v>368.4</v>
      </c>
      <c r="BQ65" s="40" t="n">
        <v>1395.2</v>
      </c>
      <c r="BR65" s="40" t="n">
        <v>372</v>
      </c>
      <c r="BS65" s="40" t="n">
        <v>370.9</v>
      </c>
      <c r="BT65" s="40" t="n">
        <v>371.5</v>
      </c>
      <c r="BU65" s="40" t="n">
        <v>412.5</v>
      </c>
      <c r="BV65" s="40" t="n">
        <v>1526.9</v>
      </c>
      <c r="BW65" s="40" t="n">
        <v>403.6</v>
      </c>
      <c r="BX65" s="39"/>
      <c r="BY65" s="7"/>
      <c r="BZ65" s="7"/>
      <c r="CA65" s="7"/>
      <c r="CB65" s="7"/>
      <c r="CC65" s="7"/>
      <c r="CD65" s="7"/>
      <c r="CE65" s="7"/>
      <c r="CF65" s="7" t="s">
        <v>171</v>
      </c>
      <c r="CN65" s="27" t="s">
        <v>146</v>
      </c>
      <c r="CO65" s="48" t="n">
        <f aca="false">CP65+$CO$62</f>
        <v>0.095</v>
      </c>
      <c r="CP65" s="49" t="n">
        <v>0.075</v>
      </c>
      <c r="CQ65" s="48" t="n">
        <f aca="false">CP65+$CQ$62</f>
        <v>0.045</v>
      </c>
    </row>
    <row r="66" customFormat="false" ht="15" hidden="false" customHeight="true" outlineLevel="0" collapsed="false">
      <c r="B66" s="24" t="s">
        <v>172</v>
      </c>
      <c r="D66" s="25" t="str">
        <f aca="false">IF(AND(ISNUMBER(D65),ISNUMBER(C65)),IFERROR(D65/C65-1,""),"")</f>
        <v/>
      </c>
      <c r="E66" s="25" t="str">
        <f aca="false">IF(AND(ISNUMBER(E65),ISNUMBER(D65)),IFERROR(E65/D65-1,""),"")</f>
        <v/>
      </c>
      <c r="F66" s="25" t="str">
        <f aca="false">IF(AND(ISNUMBER(F65),ISNUMBER(E65)),IFERROR(F65/E65-1,""),"")</f>
        <v/>
      </c>
      <c r="G66" s="25" t="str">
        <f aca="false">IF(AND(ISNUMBER(G65),ISNUMBER(F65)),IFERROR(G65/F65-1,""),"")</f>
        <v/>
      </c>
      <c r="H66" s="25" t="str">
        <f aca="false">IF(AND(ISNUMBER(H65),ISNUMBER(G65)),IFERROR(H65/G65-1,""),"")</f>
        <v/>
      </c>
      <c r="I66" s="25" t="str">
        <f aca="false">IF(AND(ISNUMBER(I65),ISNUMBER(H65)),IFERROR(I65/H65-1,""),"")</f>
        <v/>
      </c>
      <c r="N66" s="25" t="str">
        <f aca="false">IF(AND(ISNUMBER(N65),ISNUMBER(I65)),IFERROR(N65/I65-1,""),"")</f>
        <v/>
      </c>
      <c r="O66" s="25" t="str">
        <f aca="false">IF(AND(ISNUMBER(O65),ISNUMBER(J65)),IFERROR(O65/J65-1,""),"")</f>
        <v/>
      </c>
      <c r="P66" s="25" t="str">
        <f aca="false">IF(AND(ISNUMBER(P65),ISNUMBER(K65)),IFERROR(P65/K65-1,""),"")</f>
        <v/>
      </c>
      <c r="Q66" s="25" t="str">
        <f aca="false">IF(AND(ISNUMBER(Q65),ISNUMBER(L65)),IFERROR(Q65/L65-1,""),"")</f>
        <v/>
      </c>
      <c r="R66" s="25" t="str">
        <f aca="false">IF(AND(ISNUMBER(R65),ISNUMBER(M65)),IFERROR(R65/M65-1,""),"")</f>
        <v/>
      </c>
      <c r="S66" s="25" t="str">
        <f aca="false">IF(AND(ISNUMBER(S65),ISNUMBER(N65)),IFERROR(S65/N65-1,""),"")</f>
        <v/>
      </c>
      <c r="T66" s="25" t="str">
        <f aca="false">IF(AND(ISNUMBER(T65),ISNUMBER(O65)),IFERROR(T65/O65-1,""),"")</f>
        <v/>
      </c>
      <c r="U66" s="25" t="str">
        <f aca="false">IF(AND(ISNUMBER(U65),ISNUMBER(P65)),IFERROR(U65/P65-1,""),"")</f>
        <v/>
      </c>
      <c r="V66" s="25" t="str">
        <f aca="false">IF(AND(ISNUMBER(V65),ISNUMBER(Q65)),IFERROR(V65/Q65-1,""),"")</f>
        <v/>
      </c>
      <c r="W66" s="25" t="str">
        <f aca="false">IF(AND(ISNUMBER(W65),ISNUMBER(R65)),IFERROR(W65/R65-1,""),"")</f>
        <v/>
      </c>
      <c r="X66" s="25" t="str">
        <f aca="false">IF(AND(ISNUMBER(X65),ISNUMBER(S65)),IFERROR(X65/S65-1,""),"")</f>
        <v/>
      </c>
      <c r="Y66" s="25" t="str">
        <f aca="false">IF(AND(ISNUMBER(Y65),ISNUMBER(T65)),IFERROR(Y65/T65-1,""),"")</f>
        <v/>
      </c>
      <c r="Z66" s="25" t="str">
        <f aca="false">IF(AND(ISNUMBER(Z65),ISNUMBER(U65)),IFERROR(Z65/U65-1,""),"")</f>
        <v/>
      </c>
      <c r="AA66" s="25" t="str">
        <f aca="false">IF(AND(ISNUMBER(AA65),ISNUMBER(V65)),IFERROR(AA65/V65-1,""),"")</f>
        <v/>
      </c>
      <c r="AB66" s="25" t="str">
        <f aca="false">IF(AND(ISNUMBER(AB65),ISNUMBER(W65)),IFERROR(AB65/W65-1,""),"")</f>
        <v/>
      </c>
      <c r="AC66" s="25" t="str">
        <f aca="false">IF(AND(ISNUMBER(AC65),ISNUMBER(X65)),IFERROR(AC65/X65-1,""),"")</f>
        <v/>
      </c>
      <c r="AD66" s="25" t="str">
        <f aca="false">IF(AND(ISNUMBER(AD65),ISNUMBER(Y65)),IFERROR(AD65/Y65-1,""),"")</f>
        <v/>
      </c>
      <c r="AE66" s="25" t="str">
        <f aca="false">IF(AND(ISNUMBER(AE65),ISNUMBER(Z65)),IFERROR(AE65/Z65-1,""),"")</f>
        <v/>
      </c>
      <c r="AF66" s="25" t="str">
        <f aca="false">IF(AND(ISNUMBER(AF65),ISNUMBER(AA65)),IFERROR(AF65/AA65-1,""),"")</f>
        <v/>
      </c>
      <c r="AG66" s="25" t="str">
        <f aca="false">IF(AND(ISNUMBER(AG65),ISNUMBER(AB65)),IFERROR(AG65/AB65-1,""),"")</f>
        <v/>
      </c>
      <c r="AH66" s="25" t="str">
        <f aca="false">IF(AND(ISNUMBER(AH65),ISNUMBER(AC65)),IFERROR(AH65/AC65-1,""),"")</f>
        <v/>
      </c>
      <c r="AI66" s="25" t="str">
        <f aca="false">IF(AND(ISNUMBER(AI65),ISNUMBER(AD65)),IFERROR(AI65/AD65-1,""),"")</f>
        <v/>
      </c>
      <c r="AJ66" s="25" t="str">
        <f aca="false">IF(AND(ISNUMBER(AJ65),ISNUMBER(AE65)),IFERROR(AJ65/AE65-1,""),"")</f>
        <v/>
      </c>
      <c r="AK66" s="25" t="str">
        <f aca="false">IF(AND(ISNUMBER(AK65),ISNUMBER(AF65)),IFERROR(AK65/AF65-1,""),"")</f>
        <v/>
      </c>
      <c r="AL66" s="25" t="str">
        <f aca="false">IF(AND(ISNUMBER(AL65),ISNUMBER(AG65)),IFERROR(AL65/AG65-1,""),"")</f>
        <v/>
      </c>
      <c r="AM66" s="25" t="str">
        <f aca="false">IF(AND(ISNUMBER(AM65),ISNUMBER(AH65)),IFERROR(AM65/AH65-1,""),"")</f>
        <v/>
      </c>
      <c r="AN66" s="25" t="str">
        <f aca="false">IF(AND(ISNUMBER(AN65),ISNUMBER(AI65)),IFERROR(AN65/AI65-1,""),"")</f>
        <v/>
      </c>
      <c r="AO66" s="25" t="str">
        <f aca="false">IF(AND(ISNUMBER(AO65),ISNUMBER(AJ65)),IFERROR(AO65/AJ65-1,""),"")</f>
        <v/>
      </c>
      <c r="AP66" s="25" t="str">
        <f aca="false">IF(AND(ISNUMBER(AP65),ISNUMBER(AK65)),IFERROR(AP65/AK65-1,""),"")</f>
        <v/>
      </c>
      <c r="AQ66" s="25" t="str">
        <f aca="false">IF(AND(ISNUMBER(AQ65),ISNUMBER(AL65)),IFERROR(AQ65/AL65-1,""),"")</f>
        <v/>
      </c>
      <c r="AR66" s="25" t="str">
        <f aca="false">IF(AND(ISNUMBER(AR65),ISNUMBER(AM65)),IFERROR(AR65/AM65-1,""),"")</f>
        <v/>
      </c>
      <c r="AS66" s="25" t="str">
        <f aca="false">IF(AND(ISNUMBER(AS65),ISNUMBER(AN65)),IFERROR(AS65/AN65-1,""),"")</f>
        <v/>
      </c>
      <c r="AT66" s="25" t="str">
        <f aca="false">IF(AND(ISNUMBER(AT65),ISNUMBER(AO65)),IFERROR(AT65/AO65-1,""),"")</f>
        <v/>
      </c>
      <c r="AU66" s="25" t="str">
        <f aca="false">IF(AND(ISNUMBER(AU65),ISNUMBER(AP65)),IFERROR(AU65/AP65-1,""),"")</f>
        <v/>
      </c>
      <c r="AV66" s="25" t="str">
        <f aca="false">IF(AND(ISNUMBER(AV65),ISNUMBER(AQ65)),IFERROR(AV65/AQ65-1,""),"")</f>
        <v/>
      </c>
      <c r="AW66" s="25" t="str">
        <f aca="false">IF(AND(ISNUMBER(AW65),ISNUMBER(AR65)),IFERROR(AW65/AR65-1,""),"")</f>
        <v/>
      </c>
      <c r="AX66" s="25" t="str">
        <f aca="false">IF(AND(ISNUMBER(AX65),ISNUMBER(AS65)),IFERROR(AX65/AS65-1,""),"")</f>
        <v/>
      </c>
      <c r="AY66" s="25" t="str">
        <f aca="false">IF(AND(ISNUMBER(AY65),ISNUMBER(AT65)),IFERROR(AY65/AT65-1,""),"")</f>
        <v/>
      </c>
      <c r="AZ66" s="25" t="str">
        <f aca="false">IF(AND(ISNUMBER(AZ65),ISNUMBER(AU65)),IFERROR(AZ65/AU65-1,""),"")</f>
        <v/>
      </c>
      <c r="BA66" s="25" t="str">
        <f aca="false">IF(AND(ISNUMBER(BA65),ISNUMBER(AV65)),IFERROR(BA65/AV65-1,""),"")</f>
        <v/>
      </c>
      <c r="BB66" s="25" t="str">
        <f aca="false">IF(AND(ISNUMBER(BB65),ISNUMBER(AW65)),IFERROR(BB65/AW65-1,""),"")</f>
        <v/>
      </c>
      <c r="BC66" s="25" t="str">
        <f aca="false">IF(AND(ISNUMBER(BC65),ISNUMBER(AX65)),IFERROR(BC65/AX65-1,""),"")</f>
        <v/>
      </c>
      <c r="BD66" s="25" t="str">
        <f aca="false">IF(AND(ISNUMBER(BD65),ISNUMBER(AY65)),IFERROR(BD65/AY65-1,""),"")</f>
        <v/>
      </c>
      <c r="BE66" s="25" t="str">
        <f aca="false">IF(AND(ISNUMBER(BE65),ISNUMBER(AZ65)),IFERROR(BE65/AZ65-1,""),"")</f>
        <v/>
      </c>
      <c r="BF66" s="25" t="str">
        <f aca="false">IF(AND(ISNUMBER(BF65),ISNUMBER(BA65)),IFERROR(BF65/BA65-1,""),"")</f>
        <v/>
      </c>
      <c r="BG66" s="25" t="str">
        <f aca="false">IF(AND(ISNUMBER(BG65),ISNUMBER(BB65)),IFERROR(BG65/BB65-1,""),"")</f>
        <v/>
      </c>
      <c r="BH66" s="25" t="str">
        <f aca="false">IF(AND(ISNUMBER(BH65),ISNUMBER(BC65)),IFERROR(BH65/BC65-1,""),"")</f>
        <v/>
      </c>
      <c r="BI66" s="25" t="str">
        <f aca="false">IF(AND(ISNUMBER(BI65),ISNUMBER(BD65)),IFERROR(BI65/BD65-1,""),"")</f>
        <v/>
      </c>
      <c r="BJ66" s="25" t="str">
        <f aca="false">IF(AND(ISNUMBER(BJ65),ISNUMBER(BE65)),IFERROR(BJ65/BE65-1,""),"")</f>
        <v/>
      </c>
      <c r="BK66" s="25" t="str">
        <f aca="false">IF(AND(ISNUMBER(BK65),ISNUMBER(BF65)),IFERROR(BK65/BF65-1,""),"")</f>
        <v/>
      </c>
      <c r="BL66" s="25" t="str">
        <f aca="false">IF(AND(ISNUMBER(BL65),ISNUMBER(BG65)),IFERROR(BL65/BG65-1,""),"")</f>
        <v/>
      </c>
      <c r="BM66" s="25" t="str">
        <f aca="false">IF(AND(ISNUMBER(BM65),ISNUMBER(BH65)),IFERROR(BM65/BH65-1,""),"")</f>
        <v/>
      </c>
      <c r="BN66" s="25" t="str">
        <f aca="false">IF(AND(ISNUMBER(BN65),ISNUMBER(BI65)),IFERROR(BN65/BI65-1,""),"")</f>
        <v/>
      </c>
      <c r="BO66" s="25" t="str">
        <f aca="false">IF(AND(ISNUMBER(BO65),ISNUMBER(BJ65)),IFERROR(BO65/BJ65-1,""),"")</f>
        <v/>
      </c>
      <c r="BP66" s="25" t="str">
        <f aca="false">IF(AND(ISNUMBER(BP65),ISNUMBER(BK65)),IFERROR(BP65/BK65-1,""),"")</f>
        <v/>
      </c>
      <c r="BQ66" s="25" t="str">
        <f aca="false">IF(AND(ISNUMBER(BQ65),ISNUMBER(BL65)),IFERROR(BQ65/BL65-1,""),"")</f>
        <v/>
      </c>
      <c r="BR66" s="25" t="n">
        <f aca="false">IF(AND(ISNUMBER(BR65),ISNUMBER(BM65)),IFERROR(BR65/BM65-1,""),"")</f>
        <v>0.0954063604240283</v>
      </c>
      <c r="BS66" s="25" t="n">
        <f aca="false">IF(AND(ISNUMBER(BS65),ISNUMBER(BN65)),IFERROR(BS65/BN65-1,""),"")</f>
        <v>0.0785111951148589</v>
      </c>
      <c r="BT66" s="25" t="n">
        <f aca="false">IF(AND(ISNUMBER(BT65),ISNUMBER(BO65)),IFERROR(BT65/BO65-1,""),"")</f>
        <v>0.0821438974657733</v>
      </c>
      <c r="BU66" s="25" t="n">
        <f aca="false">IF(AND(ISNUMBER(BU65),ISNUMBER(BP65)),IFERROR(BU65/BP65-1,""),"")</f>
        <v>0.11970684039088</v>
      </c>
      <c r="BV66" s="25" t="n">
        <f aca="false">IF(AND(ISNUMBER(BV65),ISNUMBER(BQ65)),IFERROR(BV65/BQ65-1,""),"")</f>
        <v>0.0943950688073394</v>
      </c>
      <c r="BW66" s="25" t="n">
        <f aca="false">IF(AND(ISNUMBER(BW65),ISNUMBER(BR65)),IFERROR(BW65/BR65-1,""),"")</f>
        <v>0.0849462365591398</v>
      </c>
      <c r="BX66" s="25" t="str">
        <f aca="false">IF(AND(ISNUMBER(BX65),ISNUMBER(BS65)),IFERROR(BX65/BS65-1,""),"")</f>
        <v/>
      </c>
      <c r="BY66" s="31"/>
      <c r="BZ66" s="31"/>
      <c r="CA66" s="31"/>
      <c r="CB66" s="31"/>
      <c r="CC66" s="31"/>
      <c r="CD66" s="31"/>
      <c r="CE66" s="31"/>
      <c r="CF66" s="7"/>
      <c r="CN66" s="27" t="s">
        <v>147</v>
      </c>
      <c r="CO66" s="48" t="n">
        <f aca="false">CP66+$CO$62</f>
        <v>0.095</v>
      </c>
      <c r="CP66" s="49" t="n">
        <v>0.075</v>
      </c>
      <c r="CQ66" s="48" t="n">
        <f aca="false">CP66+$CQ$62</f>
        <v>0.045</v>
      </c>
    </row>
    <row r="67" customFormat="false" ht="15" hidden="false" customHeight="true" outlineLevel="0" collapsed="false">
      <c r="B67" s="50" t="s">
        <v>173</v>
      </c>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40" t="n">
        <v>53.1</v>
      </c>
      <c r="BN67" s="40" t="n">
        <v>41.9</v>
      </c>
      <c r="BO67" s="40" t="n">
        <v>38.2</v>
      </c>
      <c r="BP67" s="40" t="n">
        <v>-70.2</v>
      </c>
      <c r="BQ67" s="40" t="n">
        <v>63</v>
      </c>
      <c r="BR67" s="40" t="n">
        <v>78</v>
      </c>
      <c r="BS67" s="40" t="n">
        <v>64.5</v>
      </c>
      <c r="BT67" s="40" t="n">
        <v>83.6</v>
      </c>
      <c r="BU67" s="40" t="n">
        <v>83.9</v>
      </c>
      <c r="BV67" s="40" t="n">
        <v>310</v>
      </c>
      <c r="BW67" s="40" t="n">
        <v>77.4</v>
      </c>
      <c r="BX67" s="39"/>
      <c r="BY67" s="7"/>
      <c r="BZ67" s="7"/>
      <c r="CA67" s="7"/>
      <c r="CB67" s="7"/>
      <c r="CC67" s="7"/>
      <c r="CD67" s="7"/>
      <c r="CE67" s="7"/>
      <c r="CF67" s="7"/>
      <c r="CN67" s="17" t="s">
        <v>174</v>
      </c>
      <c r="CO67" s="47" t="n">
        <v>0.02</v>
      </c>
      <c r="CP67" s="23" t="s">
        <v>141</v>
      </c>
      <c r="CQ67" s="47" t="n">
        <v>-0.03</v>
      </c>
      <c r="CR67" s="15" t="s">
        <v>175</v>
      </c>
    </row>
    <row r="68" customFormat="false" ht="15" hidden="false" customHeight="true" outlineLevel="0" collapsed="false">
      <c r="B68" s="27" t="s">
        <v>176</v>
      </c>
      <c r="C68" s="42" t="str">
        <f aca="false">IF(AND(ISNUMBER(C67),ISNUMBER(C65)),IFERROR(C67/C65,""),"")</f>
        <v/>
      </c>
      <c r="D68" s="42" t="str">
        <f aca="false">IF(AND(ISNUMBER(D67),ISNUMBER(D65)),IFERROR(D67/D65,""),"")</f>
        <v/>
      </c>
      <c r="E68" s="42" t="str">
        <f aca="false">IF(AND(ISNUMBER(E67),ISNUMBER(E65)),IFERROR(E67/E65,""),"")</f>
        <v/>
      </c>
      <c r="F68" s="42" t="str">
        <f aca="false">IF(AND(ISNUMBER(F67),ISNUMBER(F65)),IFERROR(F67/F65,""),"")</f>
        <v/>
      </c>
      <c r="G68" s="42" t="str">
        <f aca="false">IF(AND(ISNUMBER(G67),ISNUMBER(G65)),IFERROR(G67/G65,""),"")</f>
        <v/>
      </c>
      <c r="H68" s="42" t="str">
        <f aca="false">IF(AND(ISNUMBER(H67),ISNUMBER(H65)),IFERROR(H67/H65,""),"")</f>
        <v/>
      </c>
      <c r="I68" s="42" t="str">
        <f aca="false">IF(AND(ISNUMBER(I67),ISNUMBER(I65)),IFERROR(I67/I65,""),"")</f>
        <v/>
      </c>
      <c r="J68" s="42" t="str">
        <f aca="false">IF(AND(ISNUMBER(J67),ISNUMBER(J65)),IFERROR(J67/J65,""),"")</f>
        <v/>
      </c>
      <c r="K68" s="42" t="str">
        <f aca="false">IF(AND(ISNUMBER(K67),ISNUMBER(K65)),IFERROR(K67/K65,""),"")</f>
        <v/>
      </c>
      <c r="L68" s="42" t="str">
        <f aca="false">IF(AND(ISNUMBER(L67),ISNUMBER(L65)),IFERROR(L67/L65,""),"")</f>
        <v/>
      </c>
      <c r="M68" s="42" t="str">
        <f aca="false">IF(AND(ISNUMBER(M67),ISNUMBER(M65)),IFERROR(M67/M65,""),"")</f>
        <v/>
      </c>
      <c r="N68" s="42" t="str">
        <f aca="false">IF(AND(ISNUMBER(N67),ISNUMBER(N65)),IFERROR(N67/N65,""),"")</f>
        <v/>
      </c>
      <c r="O68" s="42" t="str">
        <f aca="false">IF(AND(ISNUMBER(O67),ISNUMBER(O65)),IFERROR(O67/O65,""),"")</f>
        <v/>
      </c>
      <c r="P68" s="42" t="str">
        <f aca="false">IF(AND(ISNUMBER(P67),ISNUMBER(P65)),IFERROR(P67/P65,""),"")</f>
        <v/>
      </c>
      <c r="Q68" s="42" t="str">
        <f aca="false">IF(AND(ISNUMBER(Q67),ISNUMBER(Q65)),IFERROR(Q67/Q65,""),"")</f>
        <v/>
      </c>
      <c r="R68" s="42" t="str">
        <f aca="false">IF(AND(ISNUMBER(R67),ISNUMBER(R65)),IFERROR(R67/R65,""),"")</f>
        <v/>
      </c>
      <c r="S68" s="42" t="str">
        <f aca="false">IF(AND(ISNUMBER(S67),ISNUMBER(S65)),IFERROR(S67/S65,""),"")</f>
        <v/>
      </c>
      <c r="T68" s="42" t="str">
        <f aca="false">IF(AND(ISNUMBER(T67),ISNUMBER(T65)),IFERROR(T67/T65,""),"")</f>
        <v/>
      </c>
      <c r="U68" s="42" t="str">
        <f aca="false">IF(AND(ISNUMBER(U67),ISNUMBER(U65)),IFERROR(U67/U65,""),"")</f>
        <v/>
      </c>
      <c r="V68" s="42" t="str">
        <f aca="false">IF(AND(ISNUMBER(V67),ISNUMBER(V65)),IFERROR(V67/V65,""),"")</f>
        <v/>
      </c>
      <c r="W68" s="42" t="str">
        <f aca="false">IF(AND(ISNUMBER(W67),ISNUMBER(W65)),IFERROR(W67/W65,""),"")</f>
        <v/>
      </c>
      <c r="X68" s="42" t="str">
        <f aca="false">IF(AND(ISNUMBER(X67),ISNUMBER(X65)),IFERROR(X67/X65,""),"")</f>
        <v/>
      </c>
      <c r="Y68" s="42" t="str">
        <f aca="false">IF(AND(ISNUMBER(Y67),ISNUMBER(Y65)),IFERROR(Y67/Y65,""),"")</f>
        <v/>
      </c>
      <c r="Z68" s="42" t="str">
        <f aca="false">IF(AND(ISNUMBER(Z67),ISNUMBER(Z65)),IFERROR(Z67/Z65,""),"")</f>
        <v/>
      </c>
      <c r="AA68" s="42" t="str">
        <f aca="false">IF(AND(ISNUMBER(AA67),ISNUMBER(AA65)),IFERROR(AA67/AA65,""),"")</f>
        <v/>
      </c>
      <c r="AB68" s="42" t="str">
        <f aca="false">IF(AND(ISNUMBER(AB67),ISNUMBER(AB65)),IFERROR(AB67/AB65,""),"")</f>
        <v/>
      </c>
      <c r="AC68" s="42" t="str">
        <f aca="false">IF(AND(ISNUMBER(AC67),ISNUMBER(AC65)),IFERROR(AC67/AC65,""),"")</f>
        <v/>
      </c>
      <c r="AD68" s="42" t="str">
        <f aca="false">IF(AND(ISNUMBER(AD67),ISNUMBER(AD65)),IFERROR(AD67/AD65,""),"")</f>
        <v/>
      </c>
      <c r="AE68" s="42" t="str">
        <f aca="false">IF(AND(ISNUMBER(AE67),ISNUMBER(AE65)),IFERROR(AE67/AE65,""),"")</f>
        <v/>
      </c>
      <c r="AF68" s="42" t="str">
        <f aca="false">IF(AND(ISNUMBER(AF67),ISNUMBER(AF65)),IFERROR(AF67/AF65,""),"")</f>
        <v/>
      </c>
      <c r="AG68" s="42" t="str">
        <f aca="false">IF(AND(ISNUMBER(AG67),ISNUMBER(AG65)),IFERROR(AG67/AG65,""),"")</f>
        <v/>
      </c>
      <c r="AH68" s="42" t="str">
        <f aca="false">IF(AND(ISNUMBER(AH67),ISNUMBER(AH65)),IFERROR(AH67/AH65,""),"")</f>
        <v/>
      </c>
      <c r="AI68" s="42" t="str">
        <f aca="false">IF(AND(ISNUMBER(AI67),ISNUMBER(AI65)),IFERROR(AI67/AI65,""),"")</f>
        <v/>
      </c>
      <c r="AJ68" s="42" t="str">
        <f aca="false">IF(AND(ISNUMBER(AJ67),ISNUMBER(AJ65)),IFERROR(AJ67/AJ65,""),"")</f>
        <v/>
      </c>
      <c r="AK68" s="42" t="str">
        <f aca="false">IF(AND(ISNUMBER(AK67),ISNUMBER(AK65)),IFERROR(AK67/AK65,""),"")</f>
        <v/>
      </c>
      <c r="AL68" s="42" t="str">
        <f aca="false">IF(AND(ISNUMBER(AL67),ISNUMBER(AL65)),IFERROR(AL67/AL65,""),"")</f>
        <v/>
      </c>
      <c r="AM68" s="42" t="str">
        <f aca="false">IF(AND(ISNUMBER(AM67),ISNUMBER(AM65)),IFERROR(AM67/AM65,""),"")</f>
        <v/>
      </c>
      <c r="AN68" s="42" t="str">
        <f aca="false">IF(AND(ISNUMBER(AN67),ISNUMBER(AN65)),IFERROR(AN67/AN65,""),"")</f>
        <v/>
      </c>
      <c r="AO68" s="42" t="str">
        <f aca="false">IF(AND(ISNUMBER(AO67),ISNUMBER(AO65)),IFERROR(AO67/AO65,""),"")</f>
        <v/>
      </c>
      <c r="AP68" s="42" t="str">
        <f aca="false">IF(AND(ISNUMBER(AP67),ISNUMBER(AP65)),IFERROR(AP67/AP65,""),"")</f>
        <v/>
      </c>
      <c r="AQ68" s="42" t="str">
        <f aca="false">IF(AND(ISNUMBER(AQ67),ISNUMBER(AQ65)),IFERROR(AQ67/AQ65,""),"")</f>
        <v/>
      </c>
      <c r="AR68" s="42" t="str">
        <f aca="false">IF(AND(ISNUMBER(AR67),ISNUMBER(AR65)),IFERROR(AR67/AR65,""),"")</f>
        <v/>
      </c>
      <c r="AS68" s="42" t="str">
        <f aca="false">IF(AND(ISNUMBER(AS67),ISNUMBER(AS65)),IFERROR(AS67/AS65,""),"")</f>
        <v/>
      </c>
      <c r="AT68" s="42" t="str">
        <f aca="false">IF(AND(ISNUMBER(AT67),ISNUMBER(AT65)),IFERROR(AT67/AT65,""),"")</f>
        <v/>
      </c>
      <c r="AU68" s="42" t="str">
        <f aca="false">IF(AND(ISNUMBER(AU67),ISNUMBER(AU65)),IFERROR(AU67/AU65,""),"")</f>
        <v/>
      </c>
      <c r="AV68" s="42" t="str">
        <f aca="false">IF(AND(ISNUMBER(AV67),ISNUMBER(AV65)),IFERROR(AV67/AV65,""),"")</f>
        <v/>
      </c>
      <c r="AW68" s="42" t="str">
        <f aca="false">IF(AND(ISNUMBER(AW67),ISNUMBER(AW65)),IFERROR(AW67/AW65,""),"")</f>
        <v/>
      </c>
      <c r="AX68" s="42" t="str">
        <f aca="false">IF(AND(ISNUMBER(AX67),ISNUMBER(AX65)),IFERROR(AX67/AX65,""),"")</f>
        <v/>
      </c>
      <c r="AY68" s="42" t="str">
        <f aca="false">IF(AND(ISNUMBER(AY67),ISNUMBER(AY65)),IFERROR(AY67/AY65,""),"")</f>
        <v/>
      </c>
      <c r="AZ68" s="42" t="str">
        <f aca="false">IF(AND(ISNUMBER(AZ67),ISNUMBER(AZ65)),IFERROR(AZ67/AZ65,""),"")</f>
        <v/>
      </c>
      <c r="BA68" s="42" t="str">
        <f aca="false">IF(AND(ISNUMBER(BA67),ISNUMBER(BA65)),IFERROR(BA67/BA65,""),"")</f>
        <v/>
      </c>
      <c r="BB68" s="42" t="str">
        <f aca="false">IF(AND(ISNUMBER(BB67),ISNUMBER(BB65)),IFERROR(BB67/BB65,""),"")</f>
        <v/>
      </c>
      <c r="BC68" s="42" t="str">
        <f aca="false">IF(AND(ISNUMBER(BC67),ISNUMBER(BC65)),IFERROR(BC67/BC65,""),"")</f>
        <v/>
      </c>
      <c r="BD68" s="42" t="str">
        <f aca="false">IF(AND(ISNUMBER(BD67),ISNUMBER(BD65)),IFERROR(BD67/BD65,""),"")</f>
        <v/>
      </c>
      <c r="BE68" s="42" t="str">
        <f aca="false">IF(AND(ISNUMBER(BE67),ISNUMBER(BE65)),IFERROR(BE67/BE65,""),"")</f>
        <v/>
      </c>
      <c r="BF68" s="42" t="str">
        <f aca="false">IF(AND(ISNUMBER(BF67),ISNUMBER(BF65)),IFERROR(BF67/BF65,""),"")</f>
        <v/>
      </c>
      <c r="BG68" s="42" t="str">
        <f aca="false">IF(AND(ISNUMBER(BG67),ISNUMBER(BG65)),IFERROR(BG67/BG65,""),"")</f>
        <v/>
      </c>
      <c r="BH68" s="42" t="str">
        <f aca="false">IF(AND(ISNUMBER(BH67),ISNUMBER(BH65)),IFERROR(BH67/BH65,""),"")</f>
        <v/>
      </c>
      <c r="BI68" s="42" t="str">
        <f aca="false">IF(AND(ISNUMBER(BI67),ISNUMBER(BI65)),IFERROR(BI67/BI65,""),"")</f>
        <v/>
      </c>
      <c r="BJ68" s="42" t="str">
        <f aca="false">IF(AND(ISNUMBER(BJ67),ISNUMBER(BJ65)),IFERROR(BJ67/BJ65,""),"")</f>
        <v/>
      </c>
      <c r="BK68" s="42" t="str">
        <f aca="false">IF(AND(ISNUMBER(BK67),ISNUMBER(BK65)),IFERROR(BK67/BK65,""),"")</f>
        <v/>
      </c>
      <c r="BL68" s="42" t="str">
        <f aca="false">IF(AND(ISNUMBER(BL67),ISNUMBER(BL65)),IFERROR(BL67/BL65,""),"")</f>
        <v/>
      </c>
      <c r="BM68" s="42" t="n">
        <f aca="false">IF(AND(ISNUMBER(BM67),ISNUMBER(BM65)),IFERROR(BM67/BM65,""),"")</f>
        <v>0.156360424028269</v>
      </c>
      <c r="BN68" s="42" t="n">
        <f aca="false">IF(AND(ISNUMBER(BN67),ISNUMBER(BN65)),IFERROR(BN67/BN65,""),"")</f>
        <v>0.121837743530096</v>
      </c>
      <c r="BO68" s="42" t="n">
        <f aca="false">IF(AND(ISNUMBER(BO67),ISNUMBER(BO65)),IFERROR(BO67/BO65,""),"")</f>
        <v>0.111272939120303</v>
      </c>
      <c r="BP68" s="42" t="n">
        <f aca="false">IF(AND(ISNUMBER(BP67),ISNUMBER(BP65)),IFERROR(BP67/BP65,""),"")</f>
        <v>-0.190553745928339</v>
      </c>
      <c r="BQ68" s="42" t="n">
        <f aca="false">IF(AND(ISNUMBER(BQ67),ISNUMBER(BQ65)),IFERROR(BQ67/BQ65,""),"")</f>
        <v>0.0451548165137615</v>
      </c>
      <c r="BR68" s="42" t="n">
        <f aca="false">IF(AND(ISNUMBER(BR67),ISNUMBER(BR65)),IFERROR(BR67/BR65,""),"")</f>
        <v>0.209677419354839</v>
      </c>
      <c r="BS68" s="42" t="n">
        <f aca="false">IF(AND(ISNUMBER(BS67),ISNUMBER(BS65)),IFERROR(BS67/BS65,""),"")</f>
        <v>0.173901321110812</v>
      </c>
      <c r="BT68" s="42" t="n">
        <f aca="false">IF(AND(ISNUMBER(BT67),ISNUMBER(BT65)),IFERROR(BT67/BT65,""),"")</f>
        <v>0.225033647375505</v>
      </c>
      <c r="BU68" s="42" t="n">
        <f aca="false">IF(AND(ISNUMBER(BU67),ISNUMBER(BU65)),IFERROR(BU67/BU65,""),"")</f>
        <v>0.203393939393939</v>
      </c>
      <c r="BV68" s="42" t="n">
        <f aca="false">IF(AND(ISNUMBER(BV67),ISNUMBER(BV65)),IFERROR(BV67/BV65,""),"")</f>
        <v>0.203025738424258</v>
      </c>
      <c r="BW68" s="42" t="n">
        <f aca="false">IF(AND(ISNUMBER(BW67),ISNUMBER(BW65)),IFERROR(BW67/BW65,""),"")</f>
        <v>0.191774033696729</v>
      </c>
      <c r="BX68" s="42" t="str">
        <f aca="false">IF(AND(ISNUMBER(BX67),ISNUMBER(BX65)),IFERROR(BX67/BX65,""),"")</f>
        <v/>
      </c>
      <c r="BY68" s="31"/>
      <c r="BZ68" s="31"/>
      <c r="CA68" s="31"/>
      <c r="CB68" s="31"/>
      <c r="CC68" s="31"/>
      <c r="CD68" s="31"/>
      <c r="CE68" s="31"/>
      <c r="CF68" s="7"/>
      <c r="CN68" s="27" t="s">
        <v>143</v>
      </c>
      <c r="CO68" s="48" t="n">
        <f aca="false">CP68+$CO$67</f>
        <v>0.1</v>
      </c>
      <c r="CP68" s="49" t="n">
        <v>0.08</v>
      </c>
      <c r="CQ68" s="48" t="n">
        <f aca="false">CP68+$CQ$67</f>
        <v>0.05</v>
      </c>
    </row>
    <row r="69" customFormat="false" ht="15" hidden="false" customHeight="true" outlineLevel="0" collapsed="false">
      <c r="B69" s="27" t="s">
        <v>177</v>
      </c>
      <c r="C69" s="51" t="str">
        <f aca="false">IF(ISNUMBER(C65),C65,"")</f>
        <v/>
      </c>
      <c r="D69" s="51" t="str">
        <f aca="false">IF(ISNUMBER(D65),D65,"")</f>
        <v/>
      </c>
      <c r="E69" s="51" t="str">
        <f aca="false">IF(ISNUMBER(E65),E65,"")</f>
        <v/>
      </c>
      <c r="F69" s="51" t="str">
        <f aca="false">IF(ISNUMBER(F65),F65,"")</f>
        <v/>
      </c>
      <c r="G69" s="51" t="str">
        <f aca="false">IF(ISNUMBER(G65),G65,"")</f>
        <v/>
      </c>
      <c r="H69" s="51" t="str">
        <f aca="false">IF(ISNUMBER(H65),H65,"")</f>
        <v/>
      </c>
      <c r="I69" s="51" t="str">
        <f aca="false">IF(ISNUMBER(I65),I65,"")</f>
        <v/>
      </c>
      <c r="J69" s="51" t="str">
        <f aca="false">IF(ISNUMBER(J65),J65,"")</f>
        <v/>
      </c>
      <c r="K69" s="51" t="str">
        <f aca="false">IF(ISNUMBER(K65),K65,"")</f>
        <v/>
      </c>
      <c r="L69" s="51" t="str">
        <f aca="false">IF(ISNUMBER(L65),L65,"")</f>
        <v/>
      </c>
      <c r="M69" s="51" t="str">
        <f aca="false">IF(ISNUMBER(M65),M65,"")</f>
        <v/>
      </c>
      <c r="N69" s="51" t="str">
        <f aca="false">IF(ISNUMBER(N65),N65,"")</f>
        <v/>
      </c>
      <c r="O69" s="51" t="str">
        <f aca="false">IF(ISNUMBER(O65),O65,"")</f>
        <v/>
      </c>
      <c r="P69" s="51" t="str">
        <f aca="false">IF(ISNUMBER(P65),P65,"")</f>
        <v/>
      </c>
      <c r="Q69" s="51" t="str">
        <f aca="false">IF(ISNUMBER(Q65),Q65,"")</f>
        <v/>
      </c>
      <c r="R69" s="51" t="str">
        <f aca="false">IF(ISNUMBER(R65),R65,"")</f>
        <v/>
      </c>
      <c r="S69" s="51" t="str">
        <f aca="false">IF(ISNUMBER(S65),S65,"")</f>
        <v/>
      </c>
      <c r="T69" s="51" t="str">
        <f aca="false">IF(ISNUMBER(T65),T65,"")</f>
        <v/>
      </c>
      <c r="U69" s="51" t="str">
        <f aca="false">IF(ISNUMBER(U65),U65,"")</f>
        <v/>
      </c>
      <c r="V69" s="51" t="str">
        <f aca="false">IF(ISNUMBER(V65),V65,"")</f>
        <v/>
      </c>
      <c r="W69" s="51" t="str">
        <f aca="false">IF(ISNUMBER(W65),W65,"")</f>
        <v/>
      </c>
      <c r="X69" s="51" t="str">
        <f aca="false">IF(ISNUMBER(X65),X65,"")</f>
        <v/>
      </c>
      <c r="Y69" s="51" t="str">
        <f aca="false">IF(ISNUMBER(Y65),Y65,"")</f>
        <v/>
      </c>
      <c r="Z69" s="51" t="str">
        <f aca="false">IF(ISNUMBER(Z65),Z65,"")</f>
        <v/>
      </c>
      <c r="AA69" s="51" t="str">
        <f aca="false">IF(ISNUMBER(AA65),AA65,"")</f>
        <v/>
      </c>
      <c r="AB69" s="51" t="str">
        <f aca="false">IF(ISNUMBER(AB65),AB65,"")</f>
        <v/>
      </c>
      <c r="AC69" s="51" t="str">
        <f aca="false">IF(ISNUMBER(AC65),AC65,"")</f>
        <v/>
      </c>
      <c r="AD69" s="51" t="str">
        <f aca="false">IF(ISNUMBER(AD65),AD65,"")</f>
        <v/>
      </c>
      <c r="AE69" s="51" t="str">
        <f aca="false">IF(ISNUMBER(AE65),AE65,"")</f>
        <v/>
      </c>
      <c r="AF69" s="51" t="str">
        <f aca="false">IF(ISNUMBER(AF65),AF65,"")</f>
        <v/>
      </c>
      <c r="AG69" s="51" t="str">
        <f aca="false">IF(ISNUMBER(AG65),AG65,"")</f>
        <v/>
      </c>
      <c r="AH69" s="51" t="str">
        <f aca="false">IF(ISNUMBER(AH65),AH65,"")</f>
        <v/>
      </c>
      <c r="AI69" s="51" t="str">
        <f aca="false">IF(ISNUMBER(AI65),AI65,"")</f>
        <v/>
      </c>
      <c r="AJ69" s="51" t="str">
        <f aca="false">IF(ISNUMBER(AJ65),AJ65,"")</f>
        <v/>
      </c>
      <c r="AK69" s="51" t="str">
        <f aca="false">IF(ISNUMBER(AK65),AK65,"")</f>
        <v/>
      </c>
      <c r="AL69" s="51" t="str">
        <f aca="false">IF(ISNUMBER(AL65),AL65,"")</f>
        <v/>
      </c>
      <c r="AM69" s="51" t="str">
        <f aca="false">IF(ISNUMBER(AM65),AM65,"")</f>
        <v/>
      </c>
      <c r="AN69" s="51" t="str">
        <f aca="false">IF(ISNUMBER(AN65),AN65,"")</f>
        <v/>
      </c>
      <c r="AO69" s="51" t="str">
        <f aca="false">IF(ISNUMBER(AO65),AO65,"")</f>
        <v/>
      </c>
      <c r="AP69" s="51" t="str">
        <f aca="false">IF(ISNUMBER(AP65),AP65,"")</f>
        <v/>
      </c>
      <c r="AQ69" s="51" t="str">
        <f aca="false">IF(ISNUMBER(AQ65),AQ65,"")</f>
        <v/>
      </c>
      <c r="AR69" s="51" t="str">
        <f aca="false">IF(ISNUMBER(AR65),AR65,"")</f>
        <v/>
      </c>
      <c r="AS69" s="51" t="str">
        <f aca="false">IF(ISNUMBER(AS65),AS65,"")</f>
        <v/>
      </c>
      <c r="AT69" s="51" t="str">
        <f aca="false">IF(ISNUMBER(AT65),AT65,"")</f>
        <v/>
      </c>
      <c r="AU69" s="51" t="str">
        <f aca="false">IF(ISNUMBER(AU65),AU65,"")</f>
        <v/>
      </c>
      <c r="AV69" s="51" t="str">
        <f aca="false">IF(ISNUMBER(AV65),AV65,"")</f>
        <v/>
      </c>
      <c r="AW69" s="51" t="str">
        <f aca="false">IF(ISNUMBER(AW65),AW65,"")</f>
        <v/>
      </c>
      <c r="AX69" s="51" t="str">
        <f aca="false">IF(ISNUMBER(AX65),AX65,"")</f>
        <v/>
      </c>
      <c r="AY69" s="51" t="str">
        <f aca="false">IF(ISNUMBER(AY65),AY65,"")</f>
        <v/>
      </c>
      <c r="AZ69" s="51" t="str">
        <f aca="false">IF(ISNUMBER(AZ65),AZ65,"")</f>
        <v/>
      </c>
      <c r="BA69" s="51" t="str">
        <f aca="false">IF(ISNUMBER(BA65),BA65,"")</f>
        <v/>
      </c>
      <c r="BB69" s="51" t="str">
        <f aca="false">IF(ISNUMBER(BB65),BB65,"")</f>
        <v/>
      </c>
      <c r="BC69" s="51" t="str">
        <f aca="false">IF(ISNUMBER(BC65),BC65,"")</f>
        <v/>
      </c>
      <c r="BD69" s="51" t="str">
        <f aca="false">IF(ISNUMBER(BD65),BD65,"")</f>
        <v/>
      </c>
      <c r="BE69" s="51" t="str">
        <f aca="false">IF(ISNUMBER(BE65),BE65,"")</f>
        <v/>
      </c>
      <c r="BF69" s="51" t="str">
        <f aca="false">IF(ISNUMBER(BF65),BF65,"")</f>
        <v/>
      </c>
      <c r="BG69" s="51" t="str">
        <f aca="false">IF(ISNUMBER(BG65),BG65,"")</f>
        <v/>
      </c>
      <c r="BH69" s="51" t="str">
        <f aca="false">IF(ISNUMBER(BH65),BH65,"")</f>
        <v/>
      </c>
      <c r="BI69" s="51" t="str">
        <f aca="false">IF(ISNUMBER(BI65),BI65,"")</f>
        <v/>
      </c>
      <c r="BJ69" s="51" t="str">
        <f aca="false">IF(ISNUMBER(BJ65),BJ65,"")</f>
        <v/>
      </c>
      <c r="BK69" s="51" t="str">
        <f aca="false">IF(ISNUMBER(BK65),BK65,"")</f>
        <v/>
      </c>
      <c r="BL69" s="51" t="str">
        <f aca="false">IF(ISNUMBER(BL65),BL65,"")</f>
        <v/>
      </c>
      <c r="BM69" s="51" t="n">
        <f aca="false">IF(ISNUMBER(BM65),BM65,"")</f>
        <v>339.6</v>
      </c>
      <c r="BN69" s="51" t="n">
        <f aca="false">IF(ISNUMBER(BN65),BN65,"")</f>
        <v>343.9</v>
      </c>
      <c r="BO69" s="51" t="n">
        <f aca="false">IF(ISNUMBER(BO65),BO65,"")</f>
        <v>343.3</v>
      </c>
      <c r="BP69" s="51" t="n">
        <f aca="false">IF(ISNUMBER(BP65),BP65,"")</f>
        <v>368.4</v>
      </c>
      <c r="BQ69" s="51" t="n">
        <f aca="false">IF(ISNUMBER(BQ65),BQ65,"")</f>
        <v>1395.2</v>
      </c>
      <c r="BR69" s="51" t="n">
        <f aca="false">IF(ISNUMBER(BR65),BR65,"")</f>
        <v>372</v>
      </c>
      <c r="BS69" s="51" t="n">
        <f aca="false">IF(ISNUMBER(BS65),BS65,"")</f>
        <v>370.9</v>
      </c>
      <c r="BT69" s="51" t="n">
        <f aca="false">IF(ISNUMBER(BT65),BT65,"")</f>
        <v>371.5</v>
      </c>
      <c r="BU69" s="51" t="n">
        <f aca="false">IF(ISNUMBER(BU65),BU65,"")</f>
        <v>412.5</v>
      </c>
      <c r="BV69" s="51" t="n">
        <f aca="false">IF(ISNUMBER(BV65),BV65,"")</f>
        <v>1526.9</v>
      </c>
      <c r="BW69" s="51" t="n">
        <f aca="false">IF(ISNUMBER(BW65),BW65,"")</f>
        <v>403.6</v>
      </c>
      <c r="BX69" s="51" t="n">
        <f aca="false">BS65*(1+BW66)</f>
        <v>402.406559139785</v>
      </c>
      <c r="BY69" s="41" t="n">
        <f aca="false">BT65*(1+BY70)</f>
        <v>401.22</v>
      </c>
      <c r="BZ69" s="41" t="n">
        <f aca="false">BU65*(1+BZ70)</f>
        <v>445.5</v>
      </c>
      <c r="CA69" s="41" t="n">
        <f aca="false">SUM(BW69,BX69,BY69,BZ69)</f>
        <v>1652.72655913979</v>
      </c>
      <c r="CB69" s="41" t="n">
        <f aca="false">CA69*(1+CB70)+CB71-CA71</f>
        <v>1794.94468387097</v>
      </c>
      <c r="CC69" s="41" t="n">
        <f aca="false">CB69*(1+CC70)+CC71-CB71</f>
        <v>1953.54025858065</v>
      </c>
      <c r="CD69" s="41" t="n">
        <f aca="false">CC69*(1+CD70)+CD71-CC71</f>
        <v>2115.05577797419</v>
      </c>
      <c r="CE69" s="41" t="n">
        <f aca="false">CD69*(1+CE70)+CE71-CD71</f>
        <v>2283.68496132226</v>
      </c>
      <c r="CF69" s="37" t="s">
        <v>178</v>
      </c>
      <c r="CN69" s="27" t="s">
        <v>144</v>
      </c>
      <c r="CO69" s="48" t="n">
        <f aca="false">CP69+$CO$67</f>
        <v>0.1</v>
      </c>
      <c r="CP69" s="49" t="n">
        <v>0.08</v>
      </c>
      <c r="CQ69" s="48" t="n">
        <f aca="false">CP69+$CQ$67</f>
        <v>0.05</v>
      </c>
    </row>
    <row r="70" customFormat="false" ht="15" hidden="false" customHeight="true" outlineLevel="0" collapsed="false">
      <c r="B70" s="24" t="s">
        <v>179</v>
      </c>
      <c r="D70" s="25" t="str">
        <f aca="false">IF(AND(ISNUMBER(D69),ISNUMBER(C69)),IFERROR(D69/C69-1,""),"")</f>
        <v/>
      </c>
      <c r="E70" s="25" t="str">
        <f aca="false">IF(AND(ISNUMBER(E69),ISNUMBER(D69)),IFERROR(E69/D69-1,""),"")</f>
        <v/>
      </c>
      <c r="F70" s="25" t="str">
        <f aca="false">IF(AND(ISNUMBER(F69),ISNUMBER(E69)),IFERROR(F69/E69-1,""),"")</f>
        <v/>
      </c>
      <c r="G70" s="25" t="str">
        <f aca="false">IF(AND(ISNUMBER(G69),ISNUMBER(F69)),IFERROR(G69/F69-1,""),"")</f>
        <v/>
      </c>
      <c r="H70" s="25" t="str">
        <f aca="false">IF(AND(ISNUMBER(H69),ISNUMBER(G69)),IFERROR(H69/G69-1,""),"")</f>
        <v/>
      </c>
      <c r="I70" s="25" t="str">
        <f aca="false">IF(AND(ISNUMBER(I69),ISNUMBER(H69)),IFERROR(I69/H69-1,""),"")</f>
        <v/>
      </c>
      <c r="N70" s="25" t="str">
        <f aca="false">IF(AND(ISNUMBER(N69),ISNUMBER(I69)),IFERROR(N69/I69-1,""),"")</f>
        <v/>
      </c>
      <c r="O70" s="25" t="str">
        <f aca="false">IF(AND(ISNUMBER(O69),ISNUMBER(J69)),IFERROR(O69/J69-1,""),"")</f>
        <v/>
      </c>
      <c r="P70" s="25" t="str">
        <f aca="false">IF(AND(ISNUMBER(P69),ISNUMBER(K69)),IFERROR(P69/K69-1,""),"")</f>
        <v/>
      </c>
      <c r="Q70" s="25" t="str">
        <f aca="false">IF(AND(ISNUMBER(Q69),ISNUMBER(L69)),IFERROR(Q69/L69-1,""),"")</f>
        <v/>
      </c>
      <c r="R70" s="25" t="str">
        <f aca="false">IF(AND(ISNUMBER(R69),ISNUMBER(M69)),IFERROR(R69/M69-1,""),"")</f>
        <v/>
      </c>
      <c r="S70" s="25" t="str">
        <f aca="false">IF(AND(ISNUMBER(S69),ISNUMBER(N69)),IFERROR(S69/N69-1,""),"")</f>
        <v/>
      </c>
      <c r="T70" s="25" t="str">
        <f aca="false">IF(AND(ISNUMBER(T69),ISNUMBER(O69)),IFERROR(T69/O69-1,""),"")</f>
        <v/>
      </c>
      <c r="U70" s="25" t="str">
        <f aca="false">IF(AND(ISNUMBER(U69),ISNUMBER(P69)),IFERROR(U69/P69-1,""),"")</f>
        <v/>
      </c>
      <c r="V70" s="25" t="str">
        <f aca="false">IF(AND(ISNUMBER(V69),ISNUMBER(Q69)),IFERROR(V69/Q69-1,""),"")</f>
        <v/>
      </c>
      <c r="W70" s="25" t="str">
        <f aca="false">IF(AND(ISNUMBER(W69),ISNUMBER(R69)),IFERROR(W69/R69-1,""),"")</f>
        <v/>
      </c>
      <c r="X70" s="25" t="str">
        <f aca="false">IF(AND(ISNUMBER(X69),ISNUMBER(S69)),IFERROR(X69/S69-1,""),"")</f>
        <v/>
      </c>
      <c r="Y70" s="25" t="str">
        <f aca="false">IF(AND(ISNUMBER(Y69),ISNUMBER(T69)),IFERROR(Y69/T69-1,""),"")</f>
        <v/>
      </c>
      <c r="Z70" s="25" t="str">
        <f aca="false">IF(AND(ISNUMBER(Z69),ISNUMBER(U69)),IFERROR(Z69/U69-1,""),"")</f>
        <v/>
      </c>
      <c r="AA70" s="25" t="str">
        <f aca="false">IF(AND(ISNUMBER(AA69),ISNUMBER(V69)),IFERROR(AA69/V69-1,""),"")</f>
        <v/>
      </c>
      <c r="AB70" s="25" t="str">
        <f aca="false">IF(AND(ISNUMBER(AB69),ISNUMBER(W69)),IFERROR(AB69/W69-1,""),"")</f>
        <v/>
      </c>
      <c r="AC70" s="25" t="str">
        <f aca="false">IF(AND(ISNUMBER(AC69),ISNUMBER(X69)),IFERROR(AC69/X69-1,""),"")</f>
        <v/>
      </c>
      <c r="AD70" s="25" t="str">
        <f aca="false">IF(AND(ISNUMBER(AD69),ISNUMBER(Y69)),IFERROR(AD69/Y69-1,""),"")</f>
        <v/>
      </c>
      <c r="AE70" s="25" t="str">
        <f aca="false">IF(AND(ISNUMBER(AE69),ISNUMBER(Z69)),IFERROR(AE69/Z69-1,""),"")</f>
        <v/>
      </c>
      <c r="AF70" s="25" t="str">
        <f aca="false">IF(AND(ISNUMBER(AF69),ISNUMBER(AA69)),IFERROR(AF69/AA69-1,""),"")</f>
        <v/>
      </c>
      <c r="AG70" s="25" t="str">
        <f aca="false">IF(AND(ISNUMBER(AG69),ISNUMBER(AB69)),IFERROR(AG69/AB69-1,""),"")</f>
        <v/>
      </c>
      <c r="AH70" s="25" t="str">
        <f aca="false">IF(AND(ISNUMBER(AH69),ISNUMBER(AC69)),IFERROR(AH69/AC69-1,""),"")</f>
        <v/>
      </c>
      <c r="AI70" s="25" t="str">
        <f aca="false">IF(AND(ISNUMBER(AI69),ISNUMBER(AD69)),IFERROR(AI69/AD69-1,""),"")</f>
        <v/>
      </c>
      <c r="AJ70" s="25" t="str">
        <f aca="false">IF(AND(ISNUMBER(AJ69),ISNUMBER(AE69)),IFERROR(AJ69/AE69-1,""),"")</f>
        <v/>
      </c>
      <c r="AK70" s="25" t="str">
        <f aca="false">IF(AND(ISNUMBER(AK69),ISNUMBER(AF69)),IFERROR(AK69/AF69-1,""),"")</f>
        <v/>
      </c>
      <c r="AL70" s="25" t="str">
        <f aca="false">IF(AND(ISNUMBER(AL69),ISNUMBER(AG69)),IFERROR(AL69/AG69-1,""),"")</f>
        <v/>
      </c>
      <c r="AM70" s="25" t="str">
        <f aca="false">IF(AND(ISNUMBER(AM69),ISNUMBER(AH69)),IFERROR(AM69/AH69-1,""),"")</f>
        <v/>
      </c>
      <c r="AN70" s="25" t="str">
        <f aca="false">IF(AND(ISNUMBER(AN69),ISNUMBER(AI69)),IFERROR(AN69/AI69-1,""),"")</f>
        <v/>
      </c>
      <c r="AO70" s="25" t="str">
        <f aca="false">IF(AND(ISNUMBER(AO69),ISNUMBER(AJ69)),IFERROR(AO69/AJ69-1,""),"")</f>
        <v/>
      </c>
      <c r="AP70" s="25" t="str">
        <f aca="false">IF(AND(ISNUMBER(AP69),ISNUMBER(AK69)),IFERROR(AP69/AK69-1,""),"")</f>
        <v/>
      </c>
      <c r="AQ70" s="25" t="str">
        <f aca="false">IF(AND(ISNUMBER(AQ69),ISNUMBER(AL69)),IFERROR(AQ69/AL69-1,""),"")</f>
        <v/>
      </c>
      <c r="AR70" s="25" t="str">
        <f aca="false">IF(AND(ISNUMBER(AR69),ISNUMBER(AM69)),IFERROR(AR69/AM69-1,""),"")</f>
        <v/>
      </c>
      <c r="AS70" s="25" t="str">
        <f aca="false">IF(AND(ISNUMBER(AS69),ISNUMBER(AN69)),IFERROR(AS69/AN69-1,""),"")</f>
        <v/>
      </c>
      <c r="AT70" s="25" t="str">
        <f aca="false">IF(AND(ISNUMBER(AT69),ISNUMBER(AO69)),IFERROR(AT69/AO69-1,""),"")</f>
        <v/>
      </c>
      <c r="AU70" s="25" t="str">
        <f aca="false">IF(AND(ISNUMBER(AU69),ISNUMBER(AP69)),IFERROR(AU69/AP69-1,""),"")</f>
        <v/>
      </c>
      <c r="AV70" s="25" t="str">
        <f aca="false">IF(AND(ISNUMBER(AV69),ISNUMBER(AQ69)),IFERROR(AV69/AQ69-1,""),"")</f>
        <v/>
      </c>
      <c r="AW70" s="25" t="str">
        <f aca="false">IF(AND(ISNUMBER(AW69),ISNUMBER(AR69)),IFERROR(AW69/AR69-1,""),"")</f>
        <v/>
      </c>
      <c r="AX70" s="25" t="str">
        <f aca="false">IF(AND(ISNUMBER(AX69),ISNUMBER(AS69)),IFERROR(AX69/AS69-1,""),"")</f>
        <v/>
      </c>
      <c r="AY70" s="25" t="str">
        <f aca="false">IF(AND(ISNUMBER(AY69),ISNUMBER(AT69)),IFERROR(AY69/AT69-1,""),"")</f>
        <v/>
      </c>
      <c r="AZ70" s="25" t="str">
        <f aca="false">IF(AND(ISNUMBER(AZ69),ISNUMBER(AU69)),IFERROR(AZ69/AU69-1,""),"")</f>
        <v/>
      </c>
      <c r="BA70" s="25" t="str">
        <f aca="false">IF(AND(ISNUMBER(BA69),ISNUMBER(AV69)),IFERROR(BA69/AV69-1,""),"")</f>
        <v/>
      </c>
      <c r="BB70" s="25" t="str">
        <f aca="false">IF(AND(ISNUMBER(BB69),ISNUMBER(AW69)),IFERROR(BB69/AW69-1,""),"")</f>
        <v/>
      </c>
      <c r="BC70" s="25" t="str">
        <f aca="false">IF(AND(ISNUMBER(BC69),ISNUMBER(AX69)),IFERROR(BC69/AX69-1,""),"")</f>
        <v/>
      </c>
      <c r="BD70" s="25" t="str">
        <f aca="false">IF(AND(ISNUMBER(BD69),ISNUMBER(AY69)),IFERROR(BD69/AY69-1,""),"")</f>
        <v/>
      </c>
      <c r="BE70" s="25" t="str">
        <f aca="false">IF(AND(ISNUMBER(BE69),ISNUMBER(AZ69)),IFERROR(BE69/AZ69-1,""),"")</f>
        <v/>
      </c>
      <c r="BF70" s="25" t="str">
        <f aca="false">IF(AND(ISNUMBER(BF69),ISNUMBER(BA69)),IFERROR(BF69/BA69-1,""),"")</f>
        <v/>
      </c>
      <c r="BG70" s="25" t="str">
        <f aca="false">IF(AND(ISNUMBER(BG69),ISNUMBER(BB69)),IFERROR(BG69/BB69-1,""),"")</f>
        <v/>
      </c>
      <c r="BH70" s="25" t="str">
        <f aca="false">IF(AND(ISNUMBER(BH69),ISNUMBER(BC69)),IFERROR(BH69/BC69-1,""),"")</f>
        <v/>
      </c>
      <c r="BI70" s="25" t="str">
        <f aca="false">IF(AND(ISNUMBER(BI69),ISNUMBER(BD69)),IFERROR(BI69/BD69-1,""),"")</f>
        <v/>
      </c>
      <c r="BJ70" s="25" t="str">
        <f aca="false">IF(AND(ISNUMBER(BJ69),ISNUMBER(BE69)),IFERROR(BJ69/BE69-1,""),"")</f>
        <v/>
      </c>
      <c r="BK70" s="25" t="str">
        <f aca="false">IF(AND(ISNUMBER(BK69),ISNUMBER(BF69)),IFERROR(BK69/BF69-1,""),"")</f>
        <v/>
      </c>
      <c r="BL70" s="25" t="str">
        <f aca="false">IF(AND(ISNUMBER(BL69),ISNUMBER(BG69)),IFERROR(BL69/BG69-1,""),"")</f>
        <v/>
      </c>
      <c r="BM70" s="25" t="str">
        <f aca="false">IF(AND(ISNUMBER(BM69),ISNUMBER(BH69)),IFERROR(BM69/BH69-1,""),"")</f>
        <v/>
      </c>
      <c r="BN70" s="25" t="str">
        <f aca="false">IF(AND(ISNUMBER(BN69),ISNUMBER(BI69)),IFERROR(BN69/BI69-1,""),"")</f>
        <v/>
      </c>
      <c r="BO70" s="25" t="str">
        <f aca="false">IF(AND(ISNUMBER(BO69),ISNUMBER(BJ69)),IFERROR(BO69/BJ69-1,""),"")</f>
        <v/>
      </c>
      <c r="BP70" s="25" t="str">
        <f aca="false">IF(AND(ISNUMBER(BP69),ISNUMBER(BK69)),IFERROR(BP69/BK69-1,""),"")</f>
        <v/>
      </c>
      <c r="BQ70" s="25" t="str">
        <f aca="false">IF(AND(ISNUMBER(BQ69),ISNUMBER(BL69)),IFERROR(BQ69/BL69-1,""),"")</f>
        <v/>
      </c>
      <c r="BR70" s="25" t="n">
        <f aca="false">IF(AND(ISNUMBER(BR69),ISNUMBER(BM69)),IFERROR(BR69/BM69-1,""),"")</f>
        <v>0.0954063604240283</v>
      </c>
      <c r="BS70" s="25" t="n">
        <f aca="false">IF(AND(ISNUMBER(BS69),ISNUMBER(BN69)),IFERROR(BS69/BN69-1,""),"")</f>
        <v>0.0785111951148589</v>
      </c>
      <c r="BT70" s="25" t="n">
        <f aca="false">IF(AND(ISNUMBER(BT69),ISNUMBER(BO69)),IFERROR(BT69/BO69-1,""),"")</f>
        <v>0.0821438974657733</v>
      </c>
      <c r="BU70" s="25" t="n">
        <f aca="false">IF(AND(ISNUMBER(BU69),ISNUMBER(BP69)),IFERROR(BU69/BP69-1,""),"")</f>
        <v>0.11970684039088</v>
      </c>
      <c r="BV70" s="25" t="n">
        <f aca="false">IF(AND(ISNUMBER(BV69),ISNUMBER(BQ69)),IFERROR(BV69/BQ69-1,""),"")</f>
        <v>0.0943950688073394</v>
      </c>
      <c r="BW70" s="25" t="n">
        <f aca="false">IF(AND(ISNUMBER(BW69),ISNUMBER(BR69)),IFERROR(BW69/BR69-1,""),"")</f>
        <v>0.0849462365591398</v>
      </c>
      <c r="BX70" s="25" t="n">
        <f aca="false">IF(AND(ISNUMBER(BX69),ISNUMBER(BS69)),IFERROR(BX69/BS69-1,""),"")</f>
        <v>0.0849462365591398</v>
      </c>
      <c r="BY70" s="35" t="n">
        <v>0.08</v>
      </c>
      <c r="BZ70" s="35" t="n">
        <v>0.08</v>
      </c>
      <c r="CA70" s="26" t="n">
        <f aca="false">IF(AND(ISNUMBER(CA69),ISNUMBER(BV69)),IFERROR(CA69/BV69-1,""),"")</f>
        <v>0.0824065486539949</v>
      </c>
      <c r="CB70" s="26" t="n">
        <f aca="false">CHOOSE(MATCH($CF$2,{"Bull","Base","Bear"},0),$CO$63,$CP$63,$CQ$63)</f>
        <v>0.08</v>
      </c>
      <c r="CC70" s="26" t="n">
        <f aca="false">CHOOSE(MATCH($CF$2,{"Bull","Base","Bear"},0),$CO$64,$CP$64,$CQ$64)</f>
        <v>0.08</v>
      </c>
      <c r="CD70" s="26" t="n">
        <f aca="false">CHOOSE(MATCH($CF$2,{"Bull","Base","Bear"},0),$CO$65,$CP$65,$CQ$65)</f>
        <v>0.075</v>
      </c>
      <c r="CE70" s="26" t="n">
        <f aca="false">CHOOSE(MATCH($CF$2,{"Bull","Base","Bear"},0),$CO$66,$CP$66,$CQ$66)</f>
        <v>0.075</v>
      </c>
      <c r="CF70" s="7" t="s">
        <v>180</v>
      </c>
      <c r="CN70" s="27" t="s">
        <v>146</v>
      </c>
      <c r="CO70" s="48" t="n">
        <f aca="false">CP70+$CO$67</f>
        <v>0.1</v>
      </c>
      <c r="CP70" s="49" t="n">
        <v>0.08</v>
      </c>
      <c r="CQ70" s="48" t="n">
        <f aca="false">CP70+$CQ$67</f>
        <v>0.05</v>
      </c>
    </row>
    <row r="71" customFormat="false" ht="15" hidden="false" customHeight="true" outlineLevel="0" collapsed="false">
      <c r="B71" s="27" t="s">
        <v>181</v>
      </c>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45"/>
      <c r="BZ71" s="45"/>
      <c r="CA71" s="43" t="n">
        <v>0</v>
      </c>
      <c r="CB71" s="43" t="n">
        <v>10</v>
      </c>
      <c r="CC71" s="43" t="n">
        <v>25</v>
      </c>
      <c r="CD71" s="43" t="n">
        <v>40</v>
      </c>
      <c r="CE71" s="43" t="n">
        <v>50</v>
      </c>
      <c r="CF71" s="37"/>
      <c r="CN71" s="27" t="s">
        <v>147</v>
      </c>
      <c r="CO71" s="48" t="n">
        <f aca="false">CP71+$CO$67</f>
        <v>0.1</v>
      </c>
      <c r="CP71" s="49" t="n">
        <v>0.08</v>
      </c>
      <c r="CQ71" s="48" t="n">
        <f aca="false">CP71+$CQ$67</f>
        <v>0.05</v>
      </c>
    </row>
    <row r="72" customFormat="false" ht="15" hidden="false" customHeight="true" outlineLevel="0" collapsed="false">
      <c r="B72" s="27" t="s">
        <v>182</v>
      </c>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52" t="n">
        <v>16</v>
      </c>
      <c r="BY72" s="53" t="n">
        <v>91</v>
      </c>
      <c r="BZ72" s="53" t="n">
        <v>98</v>
      </c>
      <c r="CA72" s="54" t="n">
        <f aca="false">SUM(BW72,BX72,BY72,BZ72)</f>
        <v>205</v>
      </c>
      <c r="CB72" s="53" t="n">
        <v>365</v>
      </c>
      <c r="CC72" s="53" t="n">
        <v>365</v>
      </c>
      <c r="CD72" s="53" t="n">
        <v>365</v>
      </c>
      <c r="CE72" s="53" t="n">
        <v>365</v>
      </c>
      <c r="CF72" s="37"/>
      <c r="CN72" s="17" t="s">
        <v>183</v>
      </c>
      <c r="CO72" s="55" t="n">
        <v>1500</v>
      </c>
      <c r="CP72" s="23" t="s">
        <v>141</v>
      </c>
      <c r="CQ72" s="55" t="n">
        <v>-1000</v>
      </c>
      <c r="CR72" s="15" t="s">
        <v>184</v>
      </c>
    </row>
    <row r="73" customFormat="false" ht="15" hidden="false" customHeight="true" outlineLevel="0" collapsed="false">
      <c r="B73" s="18" t="s">
        <v>185</v>
      </c>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20" t="n">
        <v>92</v>
      </c>
      <c r="BY73" s="21" t="n">
        <f aca="false">BY69</f>
        <v>401.22</v>
      </c>
      <c r="BZ73" s="21" t="n">
        <f aca="false">BZ69</f>
        <v>445.5</v>
      </c>
      <c r="CA73" s="21" t="n">
        <f aca="false">SUM(BW73,BX73,BY73,BZ73)</f>
        <v>938.72</v>
      </c>
      <c r="CB73" s="21" t="n">
        <f aca="false">CB69</f>
        <v>1794.94468387097</v>
      </c>
      <c r="CC73" s="21" t="n">
        <f aca="false">CC69</f>
        <v>1953.54025858065</v>
      </c>
      <c r="CD73" s="21" t="n">
        <f aca="false">CD69</f>
        <v>2115.05577797419</v>
      </c>
      <c r="CE73" s="21" t="n">
        <f aca="false">CE69</f>
        <v>2283.68496132226</v>
      </c>
      <c r="CF73" s="7" t="s">
        <v>186</v>
      </c>
      <c r="CN73" s="27" t="s">
        <v>143</v>
      </c>
      <c r="CO73" s="56" t="n">
        <f aca="false">MAX(0,CP73+$CO$72)</f>
        <v>2500</v>
      </c>
      <c r="CP73" s="57" t="n">
        <v>1000</v>
      </c>
      <c r="CQ73" s="56" t="n">
        <f aca="false">MAX(0,CP73+$CQ$72)</f>
        <v>0</v>
      </c>
    </row>
    <row r="74" customFormat="false" ht="15" hidden="false" customHeight="true" outlineLevel="0" collapsed="false">
      <c r="B74" s="27" t="s">
        <v>187</v>
      </c>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5" t="n">
        <v>0.23</v>
      </c>
      <c r="BZ74" s="35" t="n">
        <v>0.25</v>
      </c>
      <c r="CA74" s="26" t="n">
        <f aca="false">IF(AND(ISNUMBER(CA76),ISNUMBER(CA73)),IFERROR(CA76/CA73,""),"")</f>
        <v>0.243795380944265</v>
      </c>
      <c r="CB74" s="35" t="n">
        <v>0.26</v>
      </c>
      <c r="CC74" s="35" t="n">
        <v>0.265</v>
      </c>
      <c r="CD74" s="35" t="n">
        <v>0.27</v>
      </c>
      <c r="CE74" s="35" t="n">
        <v>0.275</v>
      </c>
      <c r="CF74" s="37" t="s">
        <v>188</v>
      </c>
      <c r="CN74" s="27" t="s">
        <v>144</v>
      </c>
      <c r="CO74" s="56" t="n">
        <f aca="false">MAX(0,CP74+$CO$72)</f>
        <v>3500</v>
      </c>
      <c r="CP74" s="57" t="n">
        <v>2000</v>
      </c>
      <c r="CQ74" s="56" t="n">
        <f aca="false">MAX(0,CP74+$CQ$72)</f>
        <v>1000</v>
      </c>
    </row>
    <row r="75" customFormat="false" ht="15" hidden="false" customHeight="true" outlineLevel="0" collapsed="false">
      <c r="B75" s="27" t="s">
        <v>189</v>
      </c>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43" t="n">
        <v>0</v>
      </c>
      <c r="BZ75" s="43" t="n">
        <v>5</v>
      </c>
      <c r="CA75" s="45"/>
      <c r="CB75" s="43" t="n">
        <v>30</v>
      </c>
      <c r="CC75" s="43" t="n">
        <v>60</v>
      </c>
      <c r="CD75" s="43" t="n">
        <v>90</v>
      </c>
      <c r="CE75" s="43" t="n">
        <v>115</v>
      </c>
      <c r="CF75" s="37"/>
      <c r="CN75" s="27" t="s">
        <v>146</v>
      </c>
      <c r="CO75" s="56" t="n">
        <f aca="false">MAX(0,CP75+$CO$72)</f>
        <v>4000</v>
      </c>
      <c r="CP75" s="57" t="n">
        <v>2500</v>
      </c>
      <c r="CQ75" s="56" t="n">
        <f aca="false">MAX(0,CP75+$CQ$72)</f>
        <v>1500</v>
      </c>
    </row>
    <row r="76" customFormat="false" ht="15" hidden="false" customHeight="true" outlineLevel="0" collapsed="false">
      <c r="B76" s="18" t="s">
        <v>190</v>
      </c>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20" t="n">
        <v>20.2</v>
      </c>
      <c r="BY76" s="21" t="n">
        <f aca="false">BY73*BY74+BY75</f>
        <v>92.2806</v>
      </c>
      <c r="BZ76" s="21" t="n">
        <f aca="false">BZ73*BZ74+BZ75</f>
        <v>116.375</v>
      </c>
      <c r="CA76" s="21" t="n">
        <f aca="false">SUM(BW76,BX76,BY76,BZ76)</f>
        <v>228.8556</v>
      </c>
      <c r="CB76" s="21" t="n">
        <f aca="false">CB73*CB74+CB75</f>
        <v>496.685617806452</v>
      </c>
      <c r="CC76" s="21" t="n">
        <f aca="false">CC73*CC74+CC75</f>
        <v>577.688168523871</v>
      </c>
      <c r="CD76" s="21" t="n">
        <f aca="false">CD73*CD74+CD75</f>
        <v>661.065060053032</v>
      </c>
      <c r="CE76" s="21" t="n">
        <f aca="false">CE73*CE74+CE75</f>
        <v>743.013364363621</v>
      </c>
      <c r="CF76" s="7" t="s">
        <v>191</v>
      </c>
      <c r="CN76" s="27" t="s">
        <v>147</v>
      </c>
      <c r="CO76" s="56" t="n">
        <f aca="false">MAX(0,CP76+$CO$72)</f>
        <v>4000</v>
      </c>
      <c r="CP76" s="57" t="n">
        <v>2500</v>
      </c>
      <c r="CQ76" s="56" t="n">
        <f aca="false">MAX(0,CP76+$CQ$72)</f>
        <v>1500</v>
      </c>
    </row>
    <row r="77" customFormat="false" ht="15" hidden="false" customHeight="true" outlineLevel="0" collapsed="false">
      <c r="B77" s="27" t="s">
        <v>192</v>
      </c>
      <c r="C77" s="42" t="str">
        <f aca="false">IF(AND(ISNUMBER(C76),ISNUMBER(C73)),IFERROR(C76/C73,""),"")</f>
        <v/>
      </c>
      <c r="D77" s="42" t="str">
        <f aca="false">IF(AND(ISNUMBER(D76),ISNUMBER(D73)),IFERROR(D76/D73,""),"")</f>
        <v/>
      </c>
      <c r="E77" s="42" t="str">
        <f aca="false">IF(AND(ISNUMBER(E76),ISNUMBER(E73)),IFERROR(E76/E73,""),"")</f>
        <v/>
      </c>
      <c r="F77" s="42" t="str">
        <f aca="false">IF(AND(ISNUMBER(F76),ISNUMBER(F73)),IFERROR(F76/F73,""),"")</f>
        <v/>
      </c>
      <c r="G77" s="42" t="str">
        <f aca="false">IF(AND(ISNUMBER(G76),ISNUMBER(G73)),IFERROR(G76/G73,""),"")</f>
        <v/>
      </c>
      <c r="H77" s="42" t="str">
        <f aca="false">IF(AND(ISNUMBER(H76),ISNUMBER(H73)),IFERROR(H76/H73,""),"")</f>
        <v/>
      </c>
      <c r="I77" s="42" t="str">
        <f aca="false">IF(AND(ISNUMBER(I76),ISNUMBER(I73)),IFERROR(I76/I73,""),"")</f>
        <v/>
      </c>
      <c r="J77" s="42" t="str">
        <f aca="false">IF(AND(ISNUMBER(J76),ISNUMBER(J73)),IFERROR(J76/J73,""),"")</f>
        <v/>
      </c>
      <c r="K77" s="42" t="str">
        <f aca="false">IF(AND(ISNUMBER(K76),ISNUMBER(K73)),IFERROR(K76/K73,""),"")</f>
        <v/>
      </c>
      <c r="L77" s="42" t="str">
        <f aca="false">IF(AND(ISNUMBER(L76),ISNUMBER(L73)),IFERROR(L76/L73,""),"")</f>
        <v/>
      </c>
      <c r="M77" s="42" t="str">
        <f aca="false">IF(AND(ISNUMBER(M76),ISNUMBER(M73)),IFERROR(M76/M73,""),"")</f>
        <v/>
      </c>
      <c r="N77" s="42" t="str">
        <f aca="false">IF(AND(ISNUMBER(N76),ISNUMBER(N73)),IFERROR(N76/N73,""),"")</f>
        <v/>
      </c>
      <c r="O77" s="42" t="str">
        <f aca="false">IF(AND(ISNUMBER(O76),ISNUMBER(O73)),IFERROR(O76/O73,""),"")</f>
        <v/>
      </c>
      <c r="P77" s="42" t="str">
        <f aca="false">IF(AND(ISNUMBER(P76),ISNUMBER(P73)),IFERROR(P76/P73,""),"")</f>
        <v/>
      </c>
      <c r="Q77" s="42" t="str">
        <f aca="false">IF(AND(ISNUMBER(Q76),ISNUMBER(Q73)),IFERROR(Q76/Q73,""),"")</f>
        <v/>
      </c>
      <c r="R77" s="42" t="str">
        <f aca="false">IF(AND(ISNUMBER(R76),ISNUMBER(R73)),IFERROR(R76/R73,""),"")</f>
        <v/>
      </c>
      <c r="S77" s="42" t="str">
        <f aca="false">IF(AND(ISNUMBER(S76),ISNUMBER(S73)),IFERROR(S76/S73,""),"")</f>
        <v/>
      </c>
      <c r="T77" s="42" t="str">
        <f aca="false">IF(AND(ISNUMBER(T76),ISNUMBER(T73)),IFERROR(T76/T73,""),"")</f>
        <v/>
      </c>
      <c r="U77" s="42" t="str">
        <f aca="false">IF(AND(ISNUMBER(U76),ISNUMBER(U73)),IFERROR(U76/U73,""),"")</f>
        <v/>
      </c>
      <c r="V77" s="42" t="str">
        <f aca="false">IF(AND(ISNUMBER(V76),ISNUMBER(V73)),IFERROR(V76/V73,""),"")</f>
        <v/>
      </c>
      <c r="W77" s="42" t="str">
        <f aca="false">IF(AND(ISNUMBER(W76),ISNUMBER(W73)),IFERROR(W76/W73,""),"")</f>
        <v/>
      </c>
      <c r="X77" s="42" t="str">
        <f aca="false">IF(AND(ISNUMBER(X76),ISNUMBER(X73)),IFERROR(X76/X73,""),"")</f>
        <v/>
      </c>
      <c r="Y77" s="42" t="str">
        <f aca="false">IF(AND(ISNUMBER(Y76),ISNUMBER(Y73)),IFERROR(Y76/Y73,""),"")</f>
        <v/>
      </c>
      <c r="Z77" s="42" t="str">
        <f aca="false">IF(AND(ISNUMBER(Z76),ISNUMBER(Z73)),IFERROR(Z76/Z73,""),"")</f>
        <v/>
      </c>
      <c r="AA77" s="42" t="str">
        <f aca="false">IF(AND(ISNUMBER(AA76),ISNUMBER(AA73)),IFERROR(AA76/AA73,""),"")</f>
        <v/>
      </c>
      <c r="AB77" s="42" t="str">
        <f aca="false">IF(AND(ISNUMBER(AB76),ISNUMBER(AB73)),IFERROR(AB76/AB73,""),"")</f>
        <v/>
      </c>
      <c r="AC77" s="42" t="str">
        <f aca="false">IF(AND(ISNUMBER(AC76),ISNUMBER(AC73)),IFERROR(AC76/AC73,""),"")</f>
        <v/>
      </c>
      <c r="AD77" s="42" t="str">
        <f aca="false">IF(AND(ISNUMBER(AD76),ISNUMBER(AD73)),IFERROR(AD76/AD73,""),"")</f>
        <v/>
      </c>
      <c r="AE77" s="42" t="str">
        <f aca="false">IF(AND(ISNUMBER(AE76),ISNUMBER(AE73)),IFERROR(AE76/AE73,""),"")</f>
        <v/>
      </c>
      <c r="AF77" s="42" t="str">
        <f aca="false">IF(AND(ISNUMBER(AF76),ISNUMBER(AF73)),IFERROR(AF76/AF73,""),"")</f>
        <v/>
      </c>
      <c r="AG77" s="42" t="str">
        <f aca="false">IF(AND(ISNUMBER(AG76),ISNUMBER(AG73)),IFERROR(AG76/AG73,""),"")</f>
        <v/>
      </c>
      <c r="AH77" s="42" t="str">
        <f aca="false">IF(AND(ISNUMBER(AH76),ISNUMBER(AH73)),IFERROR(AH76/AH73,""),"")</f>
        <v/>
      </c>
      <c r="AI77" s="42" t="str">
        <f aca="false">IF(AND(ISNUMBER(AI76),ISNUMBER(AI73)),IFERROR(AI76/AI73,""),"")</f>
        <v/>
      </c>
      <c r="AJ77" s="42" t="str">
        <f aca="false">IF(AND(ISNUMBER(AJ76),ISNUMBER(AJ73)),IFERROR(AJ76/AJ73,""),"")</f>
        <v/>
      </c>
      <c r="AK77" s="42" t="str">
        <f aca="false">IF(AND(ISNUMBER(AK76),ISNUMBER(AK73)),IFERROR(AK76/AK73,""),"")</f>
        <v/>
      </c>
      <c r="AL77" s="42" t="str">
        <f aca="false">IF(AND(ISNUMBER(AL76),ISNUMBER(AL73)),IFERROR(AL76/AL73,""),"")</f>
        <v/>
      </c>
      <c r="AM77" s="42" t="str">
        <f aca="false">IF(AND(ISNUMBER(AM76),ISNUMBER(AM73)),IFERROR(AM76/AM73,""),"")</f>
        <v/>
      </c>
      <c r="AN77" s="42" t="str">
        <f aca="false">IF(AND(ISNUMBER(AN76),ISNUMBER(AN73)),IFERROR(AN76/AN73,""),"")</f>
        <v/>
      </c>
      <c r="AO77" s="42" t="str">
        <f aca="false">IF(AND(ISNUMBER(AO76),ISNUMBER(AO73)),IFERROR(AO76/AO73,""),"")</f>
        <v/>
      </c>
      <c r="AP77" s="42" t="str">
        <f aca="false">IF(AND(ISNUMBER(AP76),ISNUMBER(AP73)),IFERROR(AP76/AP73,""),"")</f>
        <v/>
      </c>
      <c r="AQ77" s="42" t="str">
        <f aca="false">IF(AND(ISNUMBER(AQ76),ISNUMBER(AQ73)),IFERROR(AQ76/AQ73,""),"")</f>
        <v/>
      </c>
      <c r="AR77" s="42" t="str">
        <f aca="false">IF(AND(ISNUMBER(AR76),ISNUMBER(AR73)),IFERROR(AR76/AR73,""),"")</f>
        <v/>
      </c>
      <c r="AS77" s="42" t="str">
        <f aca="false">IF(AND(ISNUMBER(AS76),ISNUMBER(AS73)),IFERROR(AS76/AS73,""),"")</f>
        <v/>
      </c>
      <c r="AT77" s="42" t="str">
        <f aca="false">IF(AND(ISNUMBER(AT76),ISNUMBER(AT73)),IFERROR(AT76/AT73,""),"")</f>
        <v/>
      </c>
      <c r="AU77" s="42" t="str">
        <f aca="false">IF(AND(ISNUMBER(AU76),ISNUMBER(AU73)),IFERROR(AU76/AU73,""),"")</f>
        <v/>
      </c>
      <c r="AV77" s="42" t="str">
        <f aca="false">IF(AND(ISNUMBER(AV76),ISNUMBER(AV73)),IFERROR(AV76/AV73,""),"")</f>
        <v/>
      </c>
      <c r="AW77" s="42" t="str">
        <f aca="false">IF(AND(ISNUMBER(AW76),ISNUMBER(AW73)),IFERROR(AW76/AW73,""),"")</f>
        <v/>
      </c>
      <c r="AX77" s="42" t="str">
        <f aca="false">IF(AND(ISNUMBER(AX76),ISNUMBER(AX73)),IFERROR(AX76/AX73,""),"")</f>
        <v/>
      </c>
      <c r="AY77" s="42" t="str">
        <f aca="false">IF(AND(ISNUMBER(AY76),ISNUMBER(AY73)),IFERROR(AY76/AY73,""),"")</f>
        <v/>
      </c>
      <c r="AZ77" s="42" t="str">
        <f aca="false">IF(AND(ISNUMBER(AZ76),ISNUMBER(AZ73)),IFERROR(AZ76/AZ73,""),"")</f>
        <v/>
      </c>
      <c r="BA77" s="42" t="str">
        <f aca="false">IF(AND(ISNUMBER(BA76),ISNUMBER(BA73)),IFERROR(BA76/BA73,""),"")</f>
        <v/>
      </c>
      <c r="BB77" s="42" t="str">
        <f aca="false">IF(AND(ISNUMBER(BB76),ISNUMBER(BB73)),IFERROR(BB76/BB73,""),"")</f>
        <v/>
      </c>
      <c r="BC77" s="42" t="str">
        <f aca="false">IF(AND(ISNUMBER(BC76),ISNUMBER(BC73)),IFERROR(BC76/BC73,""),"")</f>
        <v/>
      </c>
      <c r="BD77" s="42" t="str">
        <f aca="false">IF(AND(ISNUMBER(BD76),ISNUMBER(BD73)),IFERROR(BD76/BD73,""),"")</f>
        <v/>
      </c>
      <c r="BE77" s="42" t="str">
        <f aca="false">IF(AND(ISNUMBER(BE76),ISNUMBER(BE73)),IFERROR(BE76/BE73,""),"")</f>
        <v/>
      </c>
      <c r="BF77" s="42" t="str">
        <f aca="false">IF(AND(ISNUMBER(BF76),ISNUMBER(BF73)),IFERROR(BF76/BF73,""),"")</f>
        <v/>
      </c>
      <c r="BG77" s="42" t="str">
        <f aca="false">IF(AND(ISNUMBER(BG76),ISNUMBER(BG73)),IFERROR(BG76/BG73,""),"")</f>
        <v/>
      </c>
      <c r="BH77" s="42" t="str">
        <f aca="false">IF(AND(ISNUMBER(BH76),ISNUMBER(BH73)),IFERROR(BH76/BH73,""),"")</f>
        <v/>
      </c>
      <c r="BI77" s="42" t="str">
        <f aca="false">IF(AND(ISNUMBER(BI76),ISNUMBER(BI73)),IFERROR(BI76/BI73,""),"")</f>
        <v/>
      </c>
      <c r="BJ77" s="42" t="str">
        <f aca="false">IF(AND(ISNUMBER(BJ76),ISNUMBER(BJ73)),IFERROR(BJ76/BJ73,""),"")</f>
        <v/>
      </c>
      <c r="BK77" s="42" t="str">
        <f aca="false">IF(AND(ISNUMBER(BK76),ISNUMBER(BK73)),IFERROR(BK76/BK73,""),"")</f>
        <v/>
      </c>
      <c r="BL77" s="42" t="str">
        <f aca="false">IF(AND(ISNUMBER(BL76),ISNUMBER(BL73)),IFERROR(BL76/BL73,""),"")</f>
        <v/>
      </c>
      <c r="BM77" s="42" t="str">
        <f aca="false">IF(AND(ISNUMBER(BM76),ISNUMBER(BM73)),IFERROR(BM76/BM73,""),"")</f>
        <v/>
      </c>
      <c r="BN77" s="42" t="str">
        <f aca="false">IF(AND(ISNUMBER(BN76),ISNUMBER(BN73)),IFERROR(BN76/BN73,""),"")</f>
        <v/>
      </c>
      <c r="BO77" s="42" t="str">
        <f aca="false">IF(AND(ISNUMBER(BO76),ISNUMBER(BO73)),IFERROR(BO76/BO73,""),"")</f>
        <v/>
      </c>
      <c r="BP77" s="42" t="str">
        <f aca="false">IF(AND(ISNUMBER(BP76),ISNUMBER(BP73)),IFERROR(BP76/BP73,""),"")</f>
        <v/>
      </c>
      <c r="BQ77" s="42" t="str">
        <f aca="false">IF(AND(ISNUMBER(BQ76),ISNUMBER(BQ73)),IFERROR(BQ76/BQ73,""),"")</f>
        <v/>
      </c>
      <c r="BR77" s="42" t="str">
        <f aca="false">IF(AND(ISNUMBER(BR76),ISNUMBER(BR73)),IFERROR(BR76/BR73,""),"")</f>
        <v/>
      </c>
      <c r="BS77" s="42" t="str">
        <f aca="false">IF(AND(ISNUMBER(BS76),ISNUMBER(BS73)),IFERROR(BS76/BS73,""),"")</f>
        <v/>
      </c>
      <c r="BT77" s="42" t="str">
        <f aca="false">IF(AND(ISNUMBER(BT76),ISNUMBER(BT73)),IFERROR(BT76/BT73,""),"")</f>
        <v/>
      </c>
      <c r="BU77" s="42" t="str">
        <f aca="false">IF(AND(ISNUMBER(BU76),ISNUMBER(BU73)),IFERROR(BU76/BU73,""),"")</f>
        <v/>
      </c>
      <c r="BV77" s="42" t="str">
        <f aca="false">IF(AND(ISNUMBER(BV76),ISNUMBER(BV73)),IFERROR(BV76/BV73,""),"")</f>
        <v/>
      </c>
      <c r="BW77" s="42" t="str">
        <f aca="false">IF(AND(ISNUMBER(BW76),ISNUMBER(BW73)),IFERROR(BW76/BW73,""),"")</f>
        <v/>
      </c>
      <c r="BX77" s="42" t="n">
        <f aca="false">IF(AND(ISNUMBER(BX76),ISNUMBER(BX73)),IFERROR(BX76/BX73,""),"")</f>
        <v>0.219565217391304</v>
      </c>
      <c r="BY77" s="26" t="n">
        <f aca="false">IF(AND(ISNUMBER(BY76),ISNUMBER(BY73)),IFERROR(BY76/BY73,""),"")</f>
        <v>0.23</v>
      </c>
      <c r="BZ77" s="26" t="n">
        <f aca="false">IF(AND(ISNUMBER(BZ76),ISNUMBER(BZ73)),IFERROR(BZ76/BZ73,""),"")</f>
        <v>0.261223344556678</v>
      </c>
      <c r="CA77" s="26" t="n">
        <f aca="false">IF(AND(ISNUMBER(CA76),ISNUMBER(CA73)),IFERROR(CA76/CA73,""),"")</f>
        <v>0.243795380944265</v>
      </c>
      <c r="CB77" s="26" t="n">
        <f aca="false">IF(AND(ISNUMBER(CB76),ISNUMBER(CB73)),IFERROR(CB76/CB73,""),"")</f>
        <v>0.276713606981638</v>
      </c>
      <c r="CC77" s="26" t="n">
        <f aca="false">IF(AND(ISNUMBER(CC76),ISNUMBER(CC73)),IFERROR(CC76/CC73,""),"")</f>
        <v>0.295713469935651</v>
      </c>
      <c r="CD77" s="26" t="n">
        <f aca="false">IF(AND(ISNUMBER(CD76),ISNUMBER(CD73)),IFERROR(CD76/CD73,""),"")</f>
        <v>0.312552069282164</v>
      </c>
      <c r="CE77" s="26" t="n">
        <f aca="false">IF(AND(ISNUMBER(CE76),ISNUMBER(CE73)),IFERROR(CE76/CE73,""),"")</f>
        <v>0.32535720861139</v>
      </c>
      <c r="CF77" s="7"/>
    </row>
    <row r="78" customFormat="false" ht="15" hidden="false" customHeight="true" outlineLevel="0" collapsed="false">
      <c r="B78" s="27" t="s">
        <v>193</v>
      </c>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t="n">
        <v>10.6</v>
      </c>
      <c r="BY78" s="41" t="n">
        <f aca="false">$BX$402/$BX$407*BY72/365</f>
        <v>60.3841095890411</v>
      </c>
      <c r="BZ78" s="41" t="n">
        <f aca="false">$BX$402/$BX$407*BZ72/365</f>
        <v>65.0290410958904</v>
      </c>
      <c r="CA78" s="41" t="n">
        <f aca="false">SUM(BW78,BX78,BY78,BZ78)</f>
        <v>136.013150684932</v>
      </c>
      <c r="CB78" s="41" t="n">
        <f aca="false">$BX$402/$BX$407</f>
        <v>242.2</v>
      </c>
      <c r="CC78" s="41" t="n">
        <f aca="false">$BX$402/$BX$407</f>
        <v>242.2</v>
      </c>
      <c r="CD78" s="41" t="n">
        <f aca="false">$BX$402/$BX$407</f>
        <v>242.2</v>
      </c>
      <c r="CE78" s="41" t="n">
        <f aca="false">$BX$402/$BX$407</f>
        <v>242.2</v>
      </c>
      <c r="CF78" s="37" t="s">
        <v>194</v>
      </c>
    </row>
    <row r="79" customFormat="false" ht="15" hidden="false" customHeight="true" outlineLevel="0" collapsed="false">
      <c r="B79" s="27" t="s">
        <v>195</v>
      </c>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9"/>
      <c r="BT79" s="39"/>
      <c r="BU79" s="39"/>
      <c r="BV79" s="39"/>
      <c r="BW79" s="39"/>
      <c r="BX79" s="40" t="n">
        <v>108</v>
      </c>
      <c r="BY79" s="43" t="n">
        <v>30</v>
      </c>
      <c r="BZ79" s="43" t="n">
        <v>0</v>
      </c>
      <c r="CA79" s="41" t="n">
        <f aca="false">SUM(BW79,BX79,BY79,BZ79)</f>
        <v>138</v>
      </c>
      <c r="CB79" s="43" t="n">
        <v>0</v>
      </c>
      <c r="CC79" s="43" t="n">
        <v>0</v>
      </c>
      <c r="CD79" s="43" t="n">
        <v>0</v>
      </c>
      <c r="CE79" s="43" t="n">
        <v>0</v>
      </c>
      <c r="CF79" s="37" t="s">
        <v>196</v>
      </c>
    </row>
    <row r="80" customFormat="false" ht="15" hidden="false" customHeight="true" outlineLevel="0" collapsed="false">
      <c r="B80" s="50" t="s">
        <v>197</v>
      </c>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58" t="n">
        <f aca="false">BY76+BY73*BY81</f>
        <v>100.305</v>
      </c>
      <c r="BZ80" s="58" t="n">
        <f aca="false">BZ76+BZ73*BZ81</f>
        <v>125.285</v>
      </c>
      <c r="CA80" s="58" t="n">
        <f aca="false">CA76+CA73*CA81</f>
        <v>247.63</v>
      </c>
      <c r="CB80" s="58" t="n">
        <f aca="false">CB76+CB73*CB81</f>
        <v>532.584511483871</v>
      </c>
      <c r="CC80" s="58" t="n">
        <f aca="false">CC76+CC73*CC81</f>
        <v>616.758973695484</v>
      </c>
      <c r="CD80" s="58" t="n">
        <f aca="false">CD76+CD73*CD81</f>
        <v>703.366175612516</v>
      </c>
      <c r="CE80" s="58" t="n">
        <f aca="false">CE76+CE73*CE81</f>
        <v>788.687063590066</v>
      </c>
      <c r="CF80" s="7"/>
    </row>
    <row r="81" customFormat="false" ht="15" hidden="false" customHeight="true" outlineLevel="0" collapsed="false">
      <c r="B81" s="27" t="s">
        <v>198</v>
      </c>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5" t="n">
        <v>0.02</v>
      </c>
      <c r="BZ81" s="35" t="n">
        <v>0.02</v>
      </c>
      <c r="CA81" s="35" t="n">
        <v>0.02</v>
      </c>
      <c r="CB81" s="35" t="n">
        <v>0.02</v>
      </c>
      <c r="CC81" s="35" t="n">
        <v>0.02</v>
      </c>
      <c r="CD81" s="35" t="n">
        <v>0.02</v>
      </c>
      <c r="CE81" s="35" t="n">
        <v>0.02</v>
      </c>
      <c r="CF81" s="37"/>
    </row>
    <row r="82" customFormat="false" ht="15" hidden="false" customHeight="true" outlineLevel="0" collapsed="false"/>
    <row r="83" customFormat="false" ht="15" hidden="false" customHeight="true" outlineLevel="0" collapsed="false">
      <c r="B83" s="16" t="s">
        <v>199</v>
      </c>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7" t="s">
        <v>200</v>
      </c>
    </row>
    <row r="84" customFormat="false" ht="15" hidden="false" customHeight="true" outlineLevel="0" collapsed="false">
      <c r="B84" s="27" t="s">
        <v>201</v>
      </c>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1"/>
      <c r="BZ84" s="31"/>
      <c r="CA84" s="53" t="n">
        <v>1</v>
      </c>
      <c r="CB84" s="53" t="n">
        <v>1</v>
      </c>
      <c r="CC84" s="53" t="n">
        <v>1</v>
      </c>
      <c r="CD84" s="53" t="n">
        <v>1</v>
      </c>
      <c r="CE84" s="53" t="n">
        <v>1</v>
      </c>
      <c r="CF84" s="37" t="s">
        <v>202</v>
      </c>
    </row>
    <row r="85" customFormat="false" ht="15" hidden="false" customHeight="true" outlineLevel="0" collapsed="false">
      <c r="B85" s="27" t="s">
        <v>203</v>
      </c>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45"/>
      <c r="BZ85" s="45"/>
      <c r="CA85" s="43" t="n">
        <v>270</v>
      </c>
      <c r="CB85" s="41" t="n">
        <f aca="false">CA85*(1+CB86)</f>
        <v>291.6</v>
      </c>
      <c r="CC85" s="41" t="n">
        <f aca="false">CB85*(1+CC86)</f>
        <v>314.928</v>
      </c>
      <c r="CD85" s="41" t="n">
        <f aca="false">CC85*(1+CD86)</f>
        <v>340.12224</v>
      </c>
      <c r="CE85" s="41" t="n">
        <f aca="false">CD85*(1+CE86)</f>
        <v>367.3320192</v>
      </c>
      <c r="CF85" s="37" t="s">
        <v>204</v>
      </c>
    </row>
    <row r="86" customFormat="false" ht="15" hidden="false" customHeight="true" outlineLevel="0" collapsed="false">
      <c r="B86" s="24" t="s">
        <v>205</v>
      </c>
      <c r="D86" s="29"/>
      <c r="E86" s="29"/>
      <c r="F86" s="29"/>
      <c r="G86" s="29"/>
      <c r="H86" s="29"/>
      <c r="I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31"/>
      <c r="BZ86" s="31"/>
      <c r="CA86" s="31"/>
      <c r="CB86" s="26" t="n">
        <f aca="false">CHOOSE(MATCH($CF$2,{"Bull","Base","Bear"},0),$CO$68,$CP$68,$CQ$68)</f>
        <v>0.08</v>
      </c>
      <c r="CC86" s="26" t="n">
        <f aca="false">CHOOSE(MATCH($CF$2,{"Bull","Base","Bear"},0),$CO$69,$CP$69,$CQ$69)</f>
        <v>0.08</v>
      </c>
      <c r="CD86" s="26" t="n">
        <f aca="false">CHOOSE(MATCH($CF$2,{"Bull","Base","Bear"},0),$CO$70,$CP$70,$CQ$70)</f>
        <v>0.08</v>
      </c>
      <c r="CE86" s="26" t="n">
        <f aca="false">CHOOSE(MATCH($CF$2,{"Bull","Base","Bear"},0),$CO$71,$CP$71,$CQ$71)</f>
        <v>0.08</v>
      </c>
      <c r="CF86" s="7" t="s">
        <v>206</v>
      </c>
    </row>
    <row r="87" customFormat="false" ht="15" hidden="false" customHeight="true" outlineLevel="0" collapsed="false">
      <c r="B87" s="18" t="s">
        <v>207</v>
      </c>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59"/>
      <c r="BZ87" s="59"/>
      <c r="CA87" s="60" t="n">
        <v>0</v>
      </c>
      <c r="CB87" s="21" t="n">
        <f aca="false">CB85*$CA$84</f>
        <v>291.6</v>
      </c>
      <c r="CC87" s="21" t="n">
        <f aca="false">CC85*$CA$84</f>
        <v>314.928</v>
      </c>
      <c r="CD87" s="21" t="n">
        <f aca="false">CD85*$CA$84</f>
        <v>340.12224</v>
      </c>
      <c r="CE87" s="21" t="n">
        <f aca="false">CE85*$CA$84</f>
        <v>367.3320192</v>
      </c>
      <c r="CF87" s="7"/>
    </row>
    <row r="88" customFormat="false" ht="15" hidden="false" customHeight="true" outlineLevel="0" collapsed="false">
      <c r="B88" s="27" t="s">
        <v>208</v>
      </c>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1"/>
      <c r="BZ88" s="31"/>
      <c r="CA88" s="35" t="n">
        <v>0</v>
      </c>
      <c r="CB88" s="35" t="n">
        <v>0.3</v>
      </c>
      <c r="CC88" s="35" t="n">
        <v>0.3</v>
      </c>
      <c r="CD88" s="35" t="n">
        <v>0.3</v>
      </c>
      <c r="CE88" s="35" t="n">
        <v>0.3</v>
      </c>
      <c r="CF88" s="37" t="s">
        <v>209</v>
      </c>
    </row>
    <row r="89" customFormat="false" ht="15" hidden="false" customHeight="true" outlineLevel="0" collapsed="false">
      <c r="B89" s="18" t="s">
        <v>210</v>
      </c>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59"/>
      <c r="BZ89" s="59"/>
      <c r="CA89" s="60" t="n">
        <v>0</v>
      </c>
      <c r="CB89" s="21" t="n">
        <f aca="false">CB87*CB88</f>
        <v>87.48</v>
      </c>
      <c r="CC89" s="21" t="n">
        <f aca="false">CC87*CC88</f>
        <v>94.4784</v>
      </c>
      <c r="CD89" s="21" t="n">
        <f aca="false">CD87*CD88</f>
        <v>102.036672</v>
      </c>
      <c r="CE89" s="21" t="n">
        <f aca="false">CE87*CE88</f>
        <v>110.19960576</v>
      </c>
      <c r="CF89" s="7"/>
    </row>
    <row r="90" customFormat="false" ht="15" hidden="false" customHeight="true" outlineLevel="0" collapsed="false">
      <c r="B90" s="27" t="s">
        <v>211</v>
      </c>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39"/>
      <c r="BY90" s="45"/>
      <c r="BZ90" s="45"/>
      <c r="CA90" s="43" t="n">
        <v>0</v>
      </c>
      <c r="CB90" s="41" t="n">
        <f aca="false">IFERROR($CA$91*CB93/CB94,0)*$CA$84</f>
        <v>54</v>
      </c>
      <c r="CC90" s="41" t="n">
        <f aca="false">IFERROR($CA$91*CC93/CC94,0)*$CA$84</f>
        <v>54</v>
      </c>
      <c r="CD90" s="41" t="n">
        <f aca="false">IFERROR($CA$91*CD93/CD94,0)*$CA$84</f>
        <v>54</v>
      </c>
      <c r="CE90" s="41" t="n">
        <f aca="false">IFERROR($CA$91*CE93/CE94,0)*$CA$84</f>
        <v>54</v>
      </c>
      <c r="CF90" s="37"/>
    </row>
    <row r="91" customFormat="false" ht="15" hidden="false" customHeight="true" outlineLevel="0" collapsed="false">
      <c r="B91" s="27" t="s">
        <v>212</v>
      </c>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1"/>
      <c r="BZ91" s="31"/>
      <c r="CA91" s="41" t="n">
        <f aca="false">CA85*CA92*CA84</f>
        <v>2025</v>
      </c>
      <c r="CB91" s="36"/>
      <c r="CC91" s="36"/>
      <c r="CD91" s="36"/>
      <c r="CE91" s="36"/>
      <c r="CF91" s="37" t="s">
        <v>213</v>
      </c>
    </row>
    <row r="92" customFormat="false" ht="15" hidden="false" customHeight="true" outlineLevel="0" collapsed="false">
      <c r="B92" s="27" t="s">
        <v>214</v>
      </c>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1"/>
      <c r="BZ92" s="31"/>
      <c r="CA92" s="61" t="n">
        <v>7.5</v>
      </c>
      <c r="CB92" s="36"/>
      <c r="CC92" s="36"/>
      <c r="CD92" s="36"/>
      <c r="CE92" s="36"/>
      <c r="CF92" s="37" t="s">
        <v>215</v>
      </c>
    </row>
    <row r="93" customFormat="false" ht="15" hidden="false" customHeight="true" outlineLevel="0" collapsed="false">
      <c r="B93" s="27" t="s">
        <v>216</v>
      </c>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1"/>
      <c r="BZ93" s="31"/>
      <c r="CA93" s="35" t="n">
        <v>0.4</v>
      </c>
      <c r="CB93" s="35" t="n">
        <v>0.4</v>
      </c>
      <c r="CC93" s="35" t="n">
        <v>0.4</v>
      </c>
      <c r="CD93" s="35" t="n">
        <v>0.4</v>
      </c>
      <c r="CE93" s="35" t="n">
        <v>0.4</v>
      </c>
      <c r="CF93" s="37"/>
    </row>
    <row r="94" customFormat="false" ht="15" hidden="false" customHeight="true" outlineLevel="0" collapsed="false">
      <c r="B94" s="27" t="s">
        <v>217</v>
      </c>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1"/>
      <c r="BZ94" s="31"/>
      <c r="CA94" s="53" t="n">
        <v>15</v>
      </c>
      <c r="CB94" s="53" t="n">
        <v>15</v>
      </c>
      <c r="CC94" s="53" t="n">
        <v>15</v>
      </c>
      <c r="CD94" s="53" t="n">
        <v>15</v>
      </c>
      <c r="CE94" s="53" t="n">
        <v>15</v>
      </c>
      <c r="CF94" s="37"/>
    </row>
    <row r="95" customFormat="false" ht="15" hidden="false" customHeight="true" outlineLevel="0" collapsed="false"/>
    <row r="96" customFormat="false" ht="15" hidden="false" customHeight="true" outlineLevel="0" collapsed="false">
      <c r="B96" s="16" t="s">
        <v>218</v>
      </c>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7" t="s">
        <v>219</v>
      </c>
    </row>
    <row r="97" customFormat="false" ht="15" hidden="false" customHeight="true" outlineLevel="0" collapsed="false">
      <c r="B97" s="27" t="s">
        <v>220</v>
      </c>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c r="BV97" s="39"/>
      <c r="BW97" s="39"/>
      <c r="BX97" s="39"/>
      <c r="BY97" s="45"/>
      <c r="BZ97" s="45"/>
      <c r="CA97" s="43" t="n">
        <v>0</v>
      </c>
      <c r="CB97" s="41" t="n">
        <f aca="false">MAX(0,CHOOSE(MATCH($CF$2,{"Bull","Base","Bear"},0),$CO$73,$CP$73,$CQ$73))</f>
        <v>1000</v>
      </c>
      <c r="CC97" s="41" t="n">
        <f aca="false">MAX(0,CHOOSE(MATCH($CF$2,{"Bull","Base","Bear"},0),$CO$74,$CP$74,$CQ$74))</f>
        <v>2000</v>
      </c>
      <c r="CD97" s="41" t="n">
        <f aca="false">MAX(0,CHOOSE(MATCH($CF$2,{"Bull","Base","Bear"},0),$CO$75,$CP$75,$CQ$75))</f>
        <v>2500</v>
      </c>
      <c r="CE97" s="41" t="n">
        <f aca="false">MAX(0,CHOOSE(MATCH($CF$2,{"Bull","Base","Bear"},0),$CO$76,$CP$76,$CQ$76))</f>
        <v>2500</v>
      </c>
      <c r="CF97" s="37" t="s">
        <v>221</v>
      </c>
    </row>
    <row r="98" customFormat="false" ht="15" hidden="false" customHeight="true" outlineLevel="0" collapsed="false">
      <c r="B98" s="27" t="s">
        <v>214</v>
      </c>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1"/>
      <c r="BZ98" s="31"/>
      <c r="CA98" s="61" t="n">
        <v>0</v>
      </c>
      <c r="CB98" s="61" t="n">
        <v>6</v>
      </c>
      <c r="CC98" s="61" t="n">
        <v>6</v>
      </c>
      <c r="CD98" s="61" t="n">
        <v>6</v>
      </c>
      <c r="CE98" s="61" t="n">
        <v>6</v>
      </c>
      <c r="CF98" s="37" t="s">
        <v>222</v>
      </c>
    </row>
    <row r="99" customFormat="false" ht="15" hidden="false" customHeight="true" outlineLevel="0" collapsed="false">
      <c r="B99" s="27" t="s">
        <v>223</v>
      </c>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45"/>
      <c r="BZ99" s="45"/>
      <c r="CA99" s="43" t="n">
        <v>0</v>
      </c>
      <c r="CB99" s="41" t="n">
        <f aca="false">IFERROR(CB97/CB98,0)</f>
        <v>166.666666666667</v>
      </c>
      <c r="CC99" s="41" t="n">
        <f aca="false">IFERROR(CC97/CC98,0)</f>
        <v>333.333333333333</v>
      </c>
      <c r="CD99" s="41" t="n">
        <f aca="false">IFERROR(CD97/CD98,0)</f>
        <v>416.666666666667</v>
      </c>
      <c r="CE99" s="41" t="n">
        <f aca="false">IFERROR(CE97/CE98,0)</f>
        <v>416.666666666667</v>
      </c>
      <c r="CF99" s="37"/>
    </row>
    <row r="100" customFormat="false" ht="15" hidden="false" customHeight="true" outlineLevel="0" collapsed="false">
      <c r="B100" s="27" t="s">
        <v>224</v>
      </c>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1"/>
      <c r="BZ100" s="31"/>
      <c r="CA100" s="35" t="n">
        <v>0</v>
      </c>
      <c r="CB100" s="35" t="n">
        <v>0.06</v>
      </c>
      <c r="CC100" s="35" t="n">
        <v>0.06</v>
      </c>
      <c r="CD100" s="35" t="n">
        <v>0.06</v>
      </c>
      <c r="CE100" s="35" t="n">
        <v>0.06</v>
      </c>
      <c r="CF100" s="37"/>
    </row>
    <row r="101" customFormat="false" ht="15" hidden="false" customHeight="true" outlineLevel="0" collapsed="false">
      <c r="B101" s="27" t="s">
        <v>225</v>
      </c>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45"/>
      <c r="BZ101" s="45"/>
      <c r="CA101" s="43" t="n">
        <v>0</v>
      </c>
      <c r="CB101" s="41" t="n">
        <f aca="false">CA101*(1+CB100)+CB99</f>
        <v>166.666666666667</v>
      </c>
      <c r="CC101" s="41" t="n">
        <f aca="false">CB101*(1+CC100)+CC99</f>
        <v>510</v>
      </c>
      <c r="CD101" s="41" t="n">
        <f aca="false">CC101*(1+CD100)+CD99</f>
        <v>957.266666666667</v>
      </c>
      <c r="CE101" s="41" t="n">
        <f aca="false">CD101*(1+CE100)+CE99</f>
        <v>1431.36933333333</v>
      </c>
      <c r="CF101" s="37"/>
    </row>
    <row r="102" customFormat="false" ht="15" hidden="false" customHeight="true" outlineLevel="0" collapsed="false">
      <c r="B102" s="18" t="s">
        <v>226</v>
      </c>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59"/>
      <c r="BZ102" s="59"/>
      <c r="CA102" s="60" t="n">
        <v>0</v>
      </c>
      <c r="CB102" s="21" t="n">
        <f aca="false">CA101*(1+CB100)+0.5*CB99</f>
        <v>83.3333333333333</v>
      </c>
      <c r="CC102" s="21" t="n">
        <f aca="false">CB101*(1+CC100)+0.5*CC99</f>
        <v>343.333333333333</v>
      </c>
      <c r="CD102" s="21" t="n">
        <f aca="false">CC101*(1+CD100)+0.5*CD99</f>
        <v>748.933333333333</v>
      </c>
      <c r="CE102" s="21" t="n">
        <f aca="false">CD101*(1+CE100)+0.5*CE99</f>
        <v>1223.036</v>
      </c>
      <c r="CF102" s="7" t="s">
        <v>227</v>
      </c>
    </row>
    <row r="103" customFormat="false" ht="15" hidden="false" customHeight="true" outlineLevel="0" collapsed="false">
      <c r="B103" s="27" t="s">
        <v>228</v>
      </c>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1"/>
      <c r="BZ103" s="31"/>
      <c r="CA103" s="35" t="n">
        <v>0</v>
      </c>
      <c r="CB103" s="35" t="n">
        <v>0.25</v>
      </c>
      <c r="CC103" s="35" t="n">
        <v>0.25</v>
      </c>
      <c r="CD103" s="35" t="n">
        <v>0.25</v>
      </c>
      <c r="CE103" s="35" t="n">
        <v>0.25</v>
      </c>
      <c r="CF103" s="37"/>
    </row>
    <row r="104" customFormat="false" ht="15" hidden="false" customHeight="true" outlineLevel="0" collapsed="false">
      <c r="B104" s="27" t="s">
        <v>229</v>
      </c>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45"/>
      <c r="BZ104" s="45"/>
      <c r="CA104" s="43" t="n">
        <v>0</v>
      </c>
      <c r="CB104" s="41" t="n">
        <f aca="false">CB102*CB103</f>
        <v>20.8333333333333</v>
      </c>
      <c r="CC104" s="41" t="n">
        <f aca="false">CC102*CC103</f>
        <v>85.8333333333333</v>
      </c>
      <c r="CD104" s="41" t="n">
        <f aca="false">CD102*CD103</f>
        <v>187.233333333333</v>
      </c>
      <c r="CE104" s="41" t="n">
        <f aca="false">CE102*CE103</f>
        <v>305.759</v>
      </c>
      <c r="CF104" s="37"/>
    </row>
    <row r="105" customFormat="false" ht="15" hidden="false" customHeight="true" outlineLevel="0" collapsed="false">
      <c r="B105" s="27" t="s">
        <v>230</v>
      </c>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1"/>
      <c r="BZ105" s="31"/>
      <c r="CA105" s="35" t="n">
        <v>0</v>
      </c>
      <c r="CB105" s="35" t="n">
        <v>0.05</v>
      </c>
      <c r="CC105" s="35" t="n">
        <v>0.05</v>
      </c>
      <c r="CD105" s="35" t="n">
        <v>0.05</v>
      </c>
      <c r="CE105" s="35" t="n">
        <v>0.05</v>
      </c>
      <c r="CF105" s="37"/>
    </row>
    <row r="106" customFormat="false" ht="15" hidden="false" customHeight="true" outlineLevel="0" collapsed="false">
      <c r="B106" s="27" t="s">
        <v>231</v>
      </c>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1"/>
      <c r="BZ106" s="31"/>
      <c r="CA106" s="35" t="n">
        <v>0</v>
      </c>
      <c r="CB106" s="35" t="n">
        <v>0.4</v>
      </c>
      <c r="CC106" s="35" t="n">
        <v>0.4</v>
      </c>
      <c r="CD106" s="35" t="n">
        <v>0.4</v>
      </c>
      <c r="CE106" s="35" t="n">
        <v>0.4</v>
      </c>
      <c r="CF106" s="37" t="s">
        <v>232</v>
      </c>
    </row>
    <row r="107" customFormat="false" ht="15" hidden="false" customHeight="true" outlineLevel="0" collapsed="false">
      <c r="B107" s="27" t="s">
        <v>217</v>
      </c>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1"/>
      <c r="BZ107" s="31"/>
      <c r="CA107" s="53" t="n">
        <v>0</v>
      </c>
      <c r="CB107" s="53" t="n">
        <v>15</v>
      </c>
      <c r="CC107" s="53" t="n">
        <v>15</v>
      </c>
      <c r="CD107" s="53" t="n">
        <v>15</v>
      </c>
      <c r="CE107" s="53" t="n">
        <v>15</v>
      </c>
      <c r="CF107" s="37"/>
    </row>
    <row r="108" customFormat="false" ht="15" hidden="false" customHeight="true" outlineLevel="0" collapsed="false">
      <c r="B108" s="27" t="s">
        <v>233</v>
      </c>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c r="BV108" s="39"/>
      <c r="BW108" s="39"/>
      <c r="BX108" s="39"/>
      <c r="BY108" s="45"/>
      <c r="BZ108" s="45"/>
      <c r="CA108" s="43" t="n">
        <v>0</v>
      </c>
      <c r="CB108" s="41" t="n">
        <f aca="false">CA108+CB97*CB106</f>
        <v>400</v>
      </c>
      <c r="CC108" s="41" t="n">
        <f aca="false">CB108+CC97*CC106</f>
        <v>1200</v>
      </c>
      <c r="CD108" s="41" t="n">
        <f aca="false">CC108+CD97*CD106</f>
        <v>2200</v>
      </c>
      <c r="CE108" s="41" t="n">
        <f aca="false">CD108+CE97*CE106</f>
        <v>3200</v>
      </c>
      <c r="CF108" s="37"/>
    </row>
    <row r="109" customFormat="false" ht="15" hidden="false" customHeight="true" outlineLevel="0" collapsed="false">
      <c r="B109" s="27" t="s">
        <v>234</v>
      </c>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c r="BV109" s="39"/>
      <c r="BW109" s="39"/>
      <c r="BX109" s="39"/>
      <c r="BY109" s="45"/>
      <c r="BZ109" s="45"/>
      <c r="CA109" s="43" t="n">
        <v>0</v>
      </c>
      <c r="CB109" s="41" t="n">
        <f aca="false">IFERROR((CA108+0.5*CB97*CB106)/CB107,0)</f>
        <v>13.3333333333333</v>
      </c>
      <c r="CC109" s="41" t="n">
        <f aca="false">IFERROR((CB108+0.5*CC97*CC106)/CC107,0)</f>
        <v>53.3333333333333</v>
      </c>
      <c r="CD109" s="41" t="n">
        <f aca="false">IFERROR((CC108+0.5*CD97*CD106)/CD107,0)</f>
        <v>113.333333333333</v>
      </c>
      <c r="CE109" s="41" t="n">
        <f aca="false">IFERROR((CD108+0.5*CE97*CE106)/CE107,0)</f>
        <v>180</v>
      </c>
      <c r="CF109" s="37" t="s">
        <v>235</v>
      </c>
    </row>
    <row r="110" customFormat="false" ht="15" hidden="false" customHeight="true" outlineLevel="0" collapsed="false"/>
    <row r="111" customFormat="false" ht="15" hidden="false" customHeight="true" outlineLevel="0" collapsed="false">
      <c r="B111" s="16" t="s">
        <v>236</v>
      </c>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7" t="s">
        <v>237</v>
      </c>
    </row>
    <row r="112" customFormat="false" ht="15" hidden="false" customHeight="true" outlineLevel="0" collapsed="false">
      <c r="B112" s="27" t="s">
        <v>238</v>
      </c>
      <c r="C112" s="40" t="n">
        <v>-48.8</v>
      </c>
      <c r="D112" s="40" t="n">
        <v>-70.1</v>
      </c>
      <c r="E112" s="40" t="n">
        <v>-88</v>
      </c>
      <c r="F112" s="40" t="n">
        <v>-89.6</v>
      </c>
      <c r="G112" s="40" t="n">
        <v>-96.4</v>
      </c>
      <c r="H112" s="40" t="n">
        <v>-116.9</v>
      </c>
      <c r="I112" s="40" t="n">
        <v>-98.3</v>
      </c>
      <c r="J112" s="40" t="n">
        <v>-24.6</v>
      </c>
      <c r="K112" s="40" t="n">
        <v>-37.3</v>
      </c>
      <c r="L112" s="40" t="n">
        <v>-34.9</v>
      </c>
      <c r="M112" s="40" t="n">
        <v>-31.9</v>
      </c>
      <c r="N112" s="40" t="n">
        <v>-128.7</v>
      </c>
      <c r="O112" s="40" t="n">
        <v>-36.3</v>
      </c>
      <c r="P112" s="40" t="n">
        <v>-30.4</v>
      </c>
      <c r="Q112" s="40" t="n">
        <v>-38.3</v>
      </c>
      <c r="R112" s="40" t="n">
        <v>-38.4</v>
      </c>
      <c r="S112" s="40" t="n">
        <v>-143.4</v>
      </c>
      <c r="T112" s="40" t="n">
        <v>-37.9</v>
      </c>
      <c r="U112" s="40" t="n">
        <v>-35.2</v>
      </c>
      <c r="V112" s="40" t="n">
        <v>-43.1</v>
      </c>
      <c r="W112" s="40" t="n">
        <v>-38.1</v>
      </c>
      <c r="X112" s="40" t="n">
        <v>-150.2</v>
      </c>
      <c r="Y112" s="40" t="n">
        <v>-37.8</v>
      </c>
      <c r="Z112" s="40" t="n">
        <v>-41.8</v>
      </c>
      <c r="AA112" s="40" t="n">
        <v>-24.2</v>
      </c>
      <c r="AB112" s="40" t="n">
        <v>-40</v>
      </c>
      <c r="AC112" s="40" t="n">
        <v>-143.8</v>
      </c>
      <c r="AD112" s="40" t="n">
        <v>-46.6</v>
      </c>
      <c r="AE112" s="40" t="n">
        <v>-47.5</v>
      </c>
      <c r="AF112" s="40" t="n">
        <v>-55.3</v>
      </c>
      <c r="AG112" s="40" t="n">
        <v>-51.4</v>
      </c>
      <c r="AH112" s="40" t="n">
        <v>-200.8</v>
      </c>
      <c r="AI112" s="40" t="n">
        <v>-54.4</v>
      </c>
      <c r="AJ112" s="40" t="n">
        <v>-54.1</v>
      </c>
      <c r="AK112" s="40" t="n">
        <v>-57.6</v>
      </c>
      <c r="AL112" s="40" t="n">
        <v>-62.2</v>
      </c>
      <c r="AM112" s="40" t="n">
        <v>-236</v>
      </c>
      <c r="AN112" s="40" t="n">
        <v>-67</v>
      </c>
      <c r="AO112" s="40" t="n">
        <v>-75.4</v>
      </c>
      <c r="AP112" s="40" t="n">
        <v>-88.7</v>
      </c>
      <c r="AQ112" s="40" t="n">
        <v>-86.6</v>
      </c>
      <c r="AR112" s="40" t="n">
        <v>-317.7</v>
      </c>
      <c r="AS112" s="40" t="n">
        <v>-119.2</v>
      </c>
      <c r="AT112" s="40" t="n">
        <v>-83</v>
      </c>
      <c r="AU112" s="40" t="n">
        <v>-70.4</v>
      </c>
      <c r="AV112" s="40" t="n">
        <v>-68</v>
      </c>
      <c r="AW112" s="40" t="n">
        <v>-340</v>
      </c>
      <c r="AX112" s="40" t="n">
        <v>-65</v>
      </c>
      <c r="AY112" s="40" t="n">
        <v>-68</v>
      </c>
      <c r="AZ112" s="40" t="n">
        <v>-67</v>
      </c>
      <c r="BA112" s="40" t="n">
        <v>-69</v>
      </c>
      <c r="BB112" s="40" t="n">
        <v>-269</v>
      </c>
      <c r="BC112" s="40" t="n">
        <v>-68</v>
      </c>
      <c r="BD112" s="40" t="n">
        <v>-76</v>
      </c>
      <c r="BE112" s="40" t="n">
        <v>-77</v>
      </c>
      <c r="BF112" s="40" t="n">
        <v>-77</v>
      </c>
      <c r="BG112" s="40" t="n">
        <v>-322</v>
      </c>
      <c r="BH112" s="40" t="n">
        <v>-77</v>
      </c>
      <c r="BI112" s="40" t="n">
        <v>-81</v>
      </c>
      <c r="BJ112" s="40" t="n">
        <v>-84</v>
      </c>
      <c r="BK112" s="40" t="n">
        <v>-80</v>
      </c>
      <c r="BL112" s="40" t="n">
        <v>-322</v>
      </c>
      <c r="BM112" s="40" t="n">
        <v>-78</v>
      </c>
      <c r="BN112" s="40" t="n">
        <v>-83</v>
      </c>
      <c r="BO112" s="40" t="n">
        <v>-82</v>
      </c>
      <c r="BP112" s="40" t="n">
        <v>-83</v>
      </c>
      <c r="BQ112" s="40" t="n">
        <v>-326</v>
      </c>
      <c r="BR112" s="40" t="n">
        <v>-86</v>
      </c>
      <c r="BS112" s="40" t="n">
        <v>-86</v>
      </c>
      <c r="BT112" s="40" t="n">
        <v>-85</v>
      </c>
      <c r="BU112" s="40" t="n">
        <v>-87</v>
      </c>
      <c r="BV112" s="40" t="n">
        <v>-344</v>
      </c>
      <c r="BW112" s="40" t="n">
        <v>-89</v>
      </c>
      <c r="BX112" s="40" t="n">
        <v>-89</v>
      </c>
      <c r="BY112" s="43" t="n">
        <v>-90</v>
      </c>
      <c r="BZ112" s="43" t="n">
        <v>-90</v>
      </c>
      <c r="CA112" s="41" t="n">
        <f aca="false">SUM(BW112,BX112,BY112,BZ112)</f>
        <v>-358</v>
      </c>
      <c r="CB112" s="41" t="n">
        <f aca="false">CB178*CB113</f>
        <v>-376.814923690186</v>
      </c>
      <c r="CC112" s="41" t="n">
        <f aca="false">CC178*CC113</f>
        <v>-401.499358602993</v>
      </c>
      <c r="CD112" s="41" t="n">
        <f aca="false">CD178*CD113</f>
        <v>-429.94947086995</v>
      </c>
      <c r="CE112" s="41" t="n">
        <f aca="false">CE178*CE113</f>
        <v>-460.64047833878</v>
      </c>
      <c r="CF112" s="37" t="s">
        <v>239</v>
      </c>
    </row>
    <row r="113" customFormat="false" ht="15" hidden="false" customHeight="true" outlineLevel="0" collapsed="false">
      <c r="B113" s="27" t="s">
        <v>240</v>
      </c>
      <c r="C113" s="42" t="n">
        <f aca="false">IF(AND(ISNUMBER(C112),ISNUMBER(C178)),IFERROR(C112/C178,""),"")</f>
        <v>-0.00515523816566485</v>
      </c>
      <c r="D113" s="42" t="n">
        <f aca="false">IF(AND(ISNUMBER(D112),ISNUMBER(D178)),IFERROR(D112/D178,""),"")</f>
        <v>-0.00635775764336698</v>
      </c>
      <c r="E113" s="42" t="n">
        <f aca="false">IF(AND(ISNUMBER(E112),ISNUMBER(E178)),IFERROR(E112/E178,""),"")</f>
        <v>-0.00693049812955306</v>
      </c>
      <c r="F113" s="42" t="n">
        <f aca="false">IF(AND(ISNUMBER(F112),ISNUMBER(F178)),IFERROR(F112/F178,""),"")</f>
        <v>-0.00801080027537126</v>
      </c>
      <c r="G113" s="42" t="n">
        <f aca="false">IF(AND(ISNUMBER(G112),ISNUMBER(G178)),IFERROR(G112/G178,""),"")</f>
        <v>-0.00768127490039841</v>
      </c>
      <c r="H113" s="42" t="n">
        <f aca="false">IF(AND(ISNUMBER(H112),ISNUMBER(H178)),IFERROR(H112/H178,""),"")</f>
        <v>-0.00726515645878003</v>
      </c>
      <c r="I113" s="42" t="n">
        <f aca="false">IF(AND(ISNUMBER(I112),ISNUMBER(I178)),IFERROR(I112/I178,""),"")</f>
        <v>-0.00538323366410374</v>
      </c>
      <c r="J113" s="42" t="n">
        <f aca="false">IF(AND(ISNUMBER(J112),ISNUMBER(J178)),IFERROR(J112/J178,""),"")</f>
        <v>-0.00553468175579904</v>
      </c>
      <c r="K113" s="42" t="n">
        <f aca="false">IF(AND(ISNUMBER(K112),ISNUMBER(K178)),IFERROR(K112/K178,""),"")</f>
        <v>-0.00787335092348285</v>
      </c>
      <c r="L113" s="42" t="n">
        <f aca="false">IF(AND(ISNUMBER(L112),ISNUMBER(L178)),IFERROR(L112/L178,""),"")</f>
        <v>-0.00747467392002741</v>
      </c>
      <c r="M113" s="42" t="n">
        <f aca="false">IF(AND(ISNUMBER(M112),ISNUMBER(M178)),IFERROR(M112/M178,""),"")</f>
        <v>-0.00605692369035639</v>
      </c>
      <c r="N113" s="42" t="n">
        <f aca="false">IF(AND(ISNUMBER(N112),ISNUMBER(N178)),IFERROR(N112/N178,""),"")</f>
        <v>-0.00673187571921749</v>
      </c>
      <c r="O113" s="42" t="n">
        <f aca="false">IF(AND(ISNUMBER(O112),ISNUMBER(O178)),IFERROR(O112/O178,""),"")</f>
        <v>-0.00778518883908465</v>
      </c>
      <c r="P113" s="42" t="n">
        <f aca="false">IF(AND(ISNUMBER(P112),ISNUMBER(P178)),IFERROR(P112/P178,""),"")</f>
        <v>-0.00612458699331131</v>
      </c>
      <c r="Q113" s="42" t="n">
        <f aca="false">IF(AND(ISNUMBER(Q112),ISNUMBER(Q178)),IFERROR(Q112/Q178,""),"")</f>
        <v>-0.00813664464319857</v>
      </c>
      <c r="R113" s="42" t="n">
        <f aca="false">IF(AND(ISNUMBER(R112),ISNUMBER(R178)),IFERROR(R112/R178,""),"")</f>
        <v>-0.0073504077179281</v>
      </c>
      <c r="S113" s="42" t="n">
        <f aca="false">IF(AND(ISNUMBER(S112),ISNUMBER(S178)),IFERROR(S112/S178,""),"")</f>
        <v>-0.00748668685392085</v>
      </c>
      <c r="T113" s="42" t="n">
        <f aca="false">IF(AND(ISNUMBER(T112),ISNUMBER(T178)),IFERROR(T112/T178,""),"")</f>
        <v>-0.0080729333077726</v>
      </c>
      <c r="U113" s="42" t="n">
        <f aca="false">IF(AND(ISNUMBER(U112),ISNUMBER(U178)),IFERROR(U112/U178,""),"")</f>
        <v>-0.0070964880448369</v>
      </c>
      <c r="V113" s="42" t="n">
        <f aca="false">IF(AND(ISNUMBER(V112),ISNUMBER(V178)),IFERROR(V112/V178,""),"")</f>
        <v>-0.0122715107340129</v>
      </c>
      <c r="W113" s="42" t="n">
        <f aca="false">IF(AND(ISNUMBER(W112),ISNUMBER(W178)),IFERROR(W112/W178,""),"")</f>
        <v>-0.00881332408049965</v>
      </c>
      <c r="X113" s="42" t="n">
        <f aca="false">IF(AND(ISNUMBER(X112),ISNUMBER(X178)),IFERROR(X112/X178,""),"")</f>
        <v>-0.0104062021519084</v>
      </c>
      <c r="Y113" s="42" t="n">
        <f aca="false">IF(AND(ISNUMBER(Y112),ISNUMBER(Y178)),IFERROR(Y112/Y178,""),"")</f>
        <v>-0.0096327820391937</v>
      </c>
      <c r="Z113" s="42" t="n">
        <f aca="false">IF(AND(ISNUMBER(Z112),ISNUMBER(Z178)),IFERROR(Z112/Z178,""),"")</f>
        <v>-0.00985407482496051</v>
      </c>
      <c r="AA113" s="42" t="n">
        <f aca="false">IF(AND(ISNUMBER(AA112),ISNUMBER(AA178)),IFERROR(AA112/AA178,""),"")</f>
        <v>-0.00585658623944241</v>
      </c>
      <c r="AB113" s="42" t="n">
        <f aca="false">IF(AND(ISNUMBER(AB112),ISNUMBER(AB178)),IFERROR(AB112/AB178,""),"")</f>
        <v>-0.00872543245424601</v>
      </c>
      <c r="AC113" s="42" t="n">
        <f aca="false">IF(AND(ISNUMBER(AC112),ISNUMBER(AC178)),IFERROR(AC112/AC178,""),"")</f>
        <v>-0.0085177462919964</v>
      </c>
      <c r="AD113" s="42" t="n">
        <f aca="false">IF(AND(ISNUMBER(AD112),ISNUMBER(AD178)),IFERROR(AD112/AD178,""),"")</f>
        <v>-0.0110802006800295</v>
      </c>
      <c r="AE113" s="42" t="n">
        <f aca="false">IF(AND(ISNUMBER(AE112),ISNUMBER(AE178)),IFERROR(AE112/AE178,""),"")</f>
        <v>-0.0105319172523891</v>
      </c>
      <c r="AF113" s="42" t="n">
        <f aca="false">IF(AND(ISNUMBER(AF112),ISNUMBER(AF178)),IFERROR(AF112/AF178,""),"")</f>
        <v>-0.0122123581113908</v>
      </c>
      <c r="AG113" s="42" t="n">
        <f aca="false">IF(AND(ISNUMBER(AG112),ISNUMBER(AG178)),IFERROR(AG112/AG178,""),"")</f>
        <v>-0.010106769962837</v>
      </c>
      <c r="AH113" s="42" t="n">
        <f aca="false">IF(AND(ISNUMBER(AH112),ISNUMBER(AH178)),IFERROR(AH112/AH178,""),"")</f>
        <v>-0.0109548983343972</v>
      </c>
      <c r="AI113" s="42" t="n">
        <f aca="false">IF(AND(ISNUMBER(AI112),ISNUMBER(AI178)),IFERROR(AI112/AI178,""),"")</f>
        <v>-0.0115858073859522</v>
      </c>
      <c r="AJ113" s="42" t="n">
        <f aca="false">IF(AND(ISNUMBER(AJ112),ISNUMBER(AJ178)),IFERROR(AJ112/AJ178,""),"")</f>
        <v>-0.0108612728367798</v>
      </c>
      <c r="AK113" s="42" t="n">
        <f aca="false">IF(AND(ISNUMBER(AK112),ISNUMBER(AK178)),IFERROR(AK112/AK178,""),"")</f>
        <v>-0.011868702478828</v>
      </c>
      <c r="AL113" s="42" t="n">
        <f aca="false">IF(AND(ISNUMBER(AL112),ISNUMBER(AL178)),IFERROR(AL112/AL178,""),"")</f>
        <v>-0.0135085242697361</v>
      </c>
      <c r="AM113" s="42" t="n">
        <f aca="false">IF(AND(ISNUMBER(AM112),ISNUMBER(AM178)),IFERROR(AM112/AM178,""),"")</f>
        <v>-0.0138428600756665</v>
      </c>
      <c r="AN113" s="42" t="n">
        <f aca="false">IF(AND(ISNUMBER(AN112),ISNUMBER(AN178)),IFERROR(AN112/AN178,""),"")</f>
        <v>-0.0158760248329463</v>
      </c>
      <c r="AO113" s="42" t="n">
        <f aca="false">IF(AND(ISNUMBER(AO112),ISNUMBER(AO178)),IFERROR(AO112/AO178,""),"")</f>
        <v>-0.0169647879401508</v>
      </c>
      <c r="AP113" s="42" t="n">
        <f aca="false">IF(AND(ISNUMBER(AP112),ISNUMBER(AP178)),IFERROR(AP112/AP178,""),"")</f>
        <v>-0.0202603928734582</v>
      </c>
      <c r="AQ113" s="42" t="n">
        <f aca="false">IF(AND(ISNUMBER(AQ112),ISNUMBER(AQ178)),IFERROR(AQ112/AQ178,""),"")</f>
        <v>-0.0177881850299893</v>
      </c>
      <c r="AR113" s="42" t="n">
        <f aca="false">IF(AND(ISNUMBER(AR112),ISNUMBER(AR178)),IFERROR(AR112/AR178,""),"")</f>
        <v>-0.0177376040555856</v>
      </c>
      <c r="AS113" s="42" t="n">
        <f aca="false">IF(AND(ISNUMBER(AS112),ISNUMBER(AS178)),IFERROR(AS112/AS178,""),"")</f>
        <v>-0.0274458336211462</v>
      </c>
      <c r="AT113" s="42" t="n">
        <f aca="false">IF(AND(ISNUMBER(AT112),ISNUMBER(AT178)),IFERROR(AT112/AT178,""),"")</f>
        <v>-0.0156680635783592</v>
      </c>
      <c r="AU113" s="42" t="n">
        <f aca="false">IF(AND(ISNUMBER(AU112),ISNUMBER(AU178)),IFERROR(AU112/AU178,""),"")</f>
        <v>-0.0119662768561327</v>
      </c>
      <c r="AV113" s="42" t="n">
        <f aca="false">IF(AND(ISNUMBER(AV112),ISNUMBER(AV178)),IFERROR(AV112/AV178,""),"")</f>
        <v>-0.0100591715976331</v>
      </c>
      <c r="AW113" s="42" t="n">
        <f aca="false">IF(AND(ISNUMBER(AW112),ISNUMBER(AW178)),IFERROR(AW112/AW178,""),"")</f>
        <v>-0.0152575839167115</v>
      </c>
      <c r="AX113" s="42" t="n">
        <f aca="false">IF(AND(ISNUMBER(AX112),ISNUMBER(AX178)),IFERROR(AX112/AX178,""),"")</f>
        <v>-0.0094779819189268</v>
      </c>
      <c r="AY113" s="42" t="n">
        <f aca="false">IF(AND(ISNUMBER(AY112),ISNUMBER(AY178)),IFERROR(AY112/AY178,""),"")</f>
        <v>-0.00942089221390967</v>
      </c>
      <c r="AZ113" s="42" t="n">
        <f aca="false">IF(AND(ISNUMBER(AZ112),ISNUMBER(AZ178)),IFERROR(AZ112/AZ178,""),"")</f>
        <v>-0.00926822520403929</v>
      </c>
      <c r="BA113" s="42" t="n">
        <f aca="false">IF(AND(ISNUMBER(BA112),ISNUMBER(BA178)),IFERROR(BA112/BA178,""),"")</f>
        <v>-0.00846833578792342</v>
      </c>
      <c r="BB113" s="42" t="n">
        <f aca="false">IF(AND(ISNUMBER(BB112),ISNUMBER(BB178)),IFERROR(BB112/BB178,""),"")</f>
        <v>-0.00913319526024514</v>
      </c>
      <c r="BC113" s="42" t="n">
        <f aca="false">IF(AND(ISNUMBER(BC112),ISNUMBER(BC178)),IFERROR(BC112/BC178,""),"")</f>
        <v>-0.00884495317377732</v>
      </c>
      <c r="BD113" s="42" t="n">
        <f aca="false">IF(AND(ISNUMBER(BD112),ISNUMBER(BD178)),IFERROR(BD112/BD178,""),"")</f>
        <v>-0.00980518642755773</v>
      </c>
      <c r="BE113" s="42" t="n">
        <f aca="false">IF(AND(ISNUMBER(BE112),ISNUMBER(BE178)),IFERROR(BE112/BE178,""),"")</f>
        <v>-0.0100482839618948</v>
      </c>
      <c r="BF113" s="42" t="n">
        <f aca="false">IF(AND(ISNUMBER(BF112),ISNUMBER(BF178)),IFERROR(BF112/BF178,""),"")</f>
        <v>-0.0107933837959069</v>
      </c>
      <c r="BG113" s="42" t="n">
        <f aca="false">IF(AND(ISNUMBER(BG112),ISNUMBER(BG178)),IFERROR(BG112/BG178,""),"")</f>
        <v>-0.0120857260818977</v>
      </c>
      <c r="BH113" s="42" t="n">
        <f aca="false">IF(AND(ISNUMBER(BH112),ISNUMBER(BH178)),IFERROR(BH112/BH178,""),"")</f>
        <v>-0.0129433518238359</v>
      </c>
      <c r="BI113" s="42" t="n">
        <f aca="false">IF(AND(ISNUMBER(BI112),ISNUMBER(BI178)),IFERROR(BI112/BI178,""),"")</f>
        <v>-0.0137009472259811</v>
      </c>
      <c r="BJ113" s="42" t="n">
        <f aca="false">IF(AND(ISNUMBER(BJ112),ISNUMBER(BJ178)),IFERROR(BJ112/BJ178,""),"")</f>
        <v>-0.0149359886201991</v>
      </c>
      <c r="BK113" s="42" t="n">
        <f aca="false">IF(AND(ISNUMBER(BK112),ISNUMBER(BK178)),IFERROR(BK112/BK178,""),"")</f>
        <v>-0.0124902419984387</v>
      </c>
      <c r="BL113" s="42" t="n">
        <f aca="false">IF(AND(ISNUMBER(BL112),ISNUMBER(BL178)),IFERROR(BL112/BL178,""),"")</f>
        <v>-0.0134784428631226</v>
      </c>
      <c r="BM113" s="42" t="n">
        <f aca="false">IF(AND(ISNUMBER(BM112),ISNUMBER(BM178)),IFERROR(BM112/BM178,""),"")</f>
        <v>-0.0134575569358178</v>
      </c>
      <c r="BN113" s="42" t="n">
        <f aca="false">IF(AND(ISNUMBER(BN112),ISNUMBER(BN178)),IFERROR(BN112/BN178,""),"")</f>
        <v>-0.0144523768065471</v>
      </c>
      <c r="BO113" s="42" t="n">
        <f aca="false">IF(AND(ISNUMBER(BO112),ISNUMBER(BO178)),IFERROR(BO112/BO178,""),"")</f>
        <v>-0.014142807864781</v>
      </c>
      <c r="BP113" s="42" t="n">
        <f aca="false">IF(AND(ISNUMBER(BP112),ISNUMBER(BP178)),IFERROR(BP112/BP178,""),"")</f>
        <v>-0.0126950137656776</v>
      </c>
      <c r="BQ113" s="42" t="n">
        <f aca="false">IF(AND(ISNUMBER(BQ112),ISNUMBER(BQ178)),IFERROR(BQ112/BQ178,""),"")</f>
        <v>-0.0136544502617801</v>
      </c>
      <c r="BR113" s="42" t="n">
        <f aca="false">IF(AND(ISNUMBER(BR112),ISNUMBER(BR178)),IFERROR(BR112/BR178,""),"")</f>
        <v>-0.0149799686465773</v>
      </c>
      <c r="BS113" s="42" t="n">
        <f aca="false">IF(AND(ISNUMBER(BS112),ISNUMBER(BS178)),IFERROR(BS112/BS178,""),"")</f>
        <v>-0.0144878706199461</v>
      </c>
      <c r="BT113" s="42" t="n">
        <f aca="false">IF(AND(ISNUMBER(BT112),ISNUMBER(BT178)),IFERROR(BT112/BT178,""),"")</f>
        <v>-0.0140426234924831</v>
      </c>
      <c r="BU113" s="42" t="n">
        <f aca="false">IF(AND(ISNUMBER(BU112),ISNUMBER(BU178)),IFERROR(BU112/BU178,""),"")</f>
        <v>-0.0127230184264405</v>
      </c>
      <c r="BV113" s="42" t="n">
        <f aca="false">IF(AND(ISNUMBER(BV112),ISNUMBER(BV178)),IFERROR(BV112/BV178,""),"")</f>
        <v>-0.0140019537609899</v>
      </c>
      <c r="BW113" s="42" t="n">
        <f aca="false">IF(AND(ISNUMBER(BW112),ISNUMBER(BW178)),IFERROR(BW112/BW178,""),"")</f>
        <v>-0.0149554696689632</v>
      </c>
      <c r="BX113" s="42" t="n">
        <f aca="false">IF(AND(ISNUMBER(BX112),ISNUMBER(BX178)),IFERROR(BX112/BX178,""),"")</f>
        <v>-0.0142059058260176</v>
      </c>
      <c r="BY113" s="31"/>
      <c r="BZ113" s="31"/>
      <c r="CA113" s="26" t="n">
        <f aca="false">IF(AND(ISNUMBER(CA112),ISNUMBER(CA178)),IFERROR(CA112/CA178,""),"")</f>
        <v>-0.0135102399882801</v>
      </c>
      <c r="CB113" s="35" t="n">
        <v>-0.013</v>
      </c>
      <c r="CC113" s="35" t="n">
        <v>-0.013</v>
      </c>
      <c r="CD113" s="35" t="n">
        <v>-0.013</v>
      </c>
      <c r="CE113" s="35" t="n">
        <v>-0.013</v>
      </c>
      <c r="CF113" s="7"/>
    </row>
    <row r="114" customFormat="false" ht="15" hidden="false" customHeight="true" outlineLevel="0" collapsed="false"/>
    <row r="115" customFormat="false" ht="15" hidden="false" customHeight="true" outlineLevel="0" collapsed="false">
      <c r="B115" s="16" t="s">
        <v>241</v>
      </c>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7" t="s">
        <v>242</v>
      </c>
    </row>
    <row r="116" customFormat="false" ht="15" hidden="false" customHeight="true" outlineLevel="0" collapsed="false">
      <c r="B116" s="62" t="s">
        <v>243</v>
      </c>
      <c r="C116" s="63" t="n">
        <f aca="false">IF(N(C11)+N(C29)+N(C47)+N(C140)=0,"",N(C11)+N(C29)+N(C47)+N(C73)+N(C87)+N(C102)+N(C140))</f>
        <v>9466.1</v>
      </c>
      <c r="D116" s="63" t="n">
        <f aca="false">IF(N(D11)+N(D29)+N(D47)+N(D140)=0,"",N(D11)+N(D29)+N(D47)+N(D73)+N(D87)+N(D102)+N(D140))</f>
        <v>11025.9</v>
      </c>
      <c r="E116" s="63" t="n">
        <f aca="false">IF(N(E11)+N(E29)+N(E47)+N(E140)=0,"",N(E11)+N(E29)+N(E47)+N(E73)+N(E87)+N(E102)+N(E140))</f>
        <v>12697.5</v>
      </c>
      <c r="F116" s="63" t="n">
        <f aca="false">IF(N(F11)+N(F29)+N(F47)+N(F140)=0,"",N(F11)+N(F29)+N(F47)+N(F73)+N(F87)+N(F102)+N(F140))</f>
        <v>11184.9</v>
      </c>
      <c r="G116" s="63" t="n">
        <f aca="false">IF(N(G11)+N(G29)+N(G47)+N(G140)=0,"",N(G11)+N(G29)+N(G47)+N(G73)+N(G87)+N(G102)+N(G140))</f>
        <v>12550</v>
      </c>
      <c r="H116" s="63" t="n">
        <f aca="false">IF(N(H11)+N(H29)+N(H47)+N(H140)=0,"",N(H11)+N(H29)+N(H47)+N(H73)+N(H87)+N(H102)+N(H140))</f>
        <v>16090.5</v>
      </c>
      <c r="I116" s="63" t="n">
        <f aca="false">IF(N(I11)+N(I29)+N(I47)+N(I140)=0,"",N(I11)+N(I29)+N(I47)+N(I73)+N(I87)+N(I102)+N(I140))</f>
        <v>18260.4</v>
      </c>
      <c r="J116" s="63" t="n">
        <f aca="false">IF(N(J11)+N(J29)+N(J47)+N(J140)=0,"",N(J11)+N(J29)+N(J47)+N(J73)+N(J87)+N(J102)+N(J140))</f>
        <v>4444.7</v>
      </c>
      <c r="K116" s="63" t="n">
        <f aca="false">IF(N(K11)+N(K29)+N(K47)+N(K140)=0,"",N(K11)+N(K29)+N(K47)+N(K73)+N(K87)+N(K102)+N(K140))</f>
        <v>4737.5</v>
      </c>
      <c r="L116" s="63" t="n">
        <f aca="false">IF(N(L11)+N(L29)+N(L47)+N(L140)=0,"",N(L11)+N(L29)+N(L47)+N(L73)+N(L87)+N(L102)+N(L140))</f>
        <v>4669.1</v>
      </c>
      <c r="M116" s="63" t="n">
        <f aca="false">IF(N(M11)+N(M29)+N(M47)+N(M140)=0,"",N(M11)+N(M29)+N(M47)+N(M73)+N(M87)+N(M102)+N(M140))</f>
        <v>5266.7</v>
      </c>
      <c r="N116" s="63" t="n">
        <f aca="false">IF(N(N11)+N(N29)+N(N47)+N(N140)=0,"",N(N11)+N(N29)+N(N47)+N(N73)+N(N87)+N(N102)+N(N140))</f>
        <v>19118</v>
      </c>
      <c r="O116" s="63" t="n">
        <f aca="false">IF(N(O11)+N(O29)+N(O47)+N(O140)=0,"",N(O11)+N(O29)+N(O47)+N(O73)+N(O87)+N(O102)+N(O140))</f>
        <v>4662.7</v>
      </c>
      <c r="P116" s="63" t="n">
        <f aca="false">IF(N(P11)+N(P29)+N(P47)+N(P140)=0,"",N(P11)+N(P29)+N(P47)+N(P73)+N(P87)+N(P102)+N(P140))</f>
        <v>4963.6</v>
      </c>
      <c r="Q116" s="63" t="n">
        <f aca="false">IF(N(Q11)+N(Q29)+N(Q47)+N(Q140)=0,"",N(Q11)+N(Q29)+N(Q47)+N(Q73)+N(Q87)+N(Q102)+N(Q140))</f>
        <v>4707.1</v>
      </c>
      <c r="R116" s="63" t="n">
        <f aca="false">IF(N(R11)+N(R29)+N(R47)+N(R140)=0,"",N(R11)+N(R29)+N(R47)+N(R73)+N(R87)+N(R102)+N(R140))</f>
        <v>5224.2</v>
      </c>
      <c r="S116" s="63" t="n">
        <f aca="false">IF(N(S11)+N(S29)+N(S47)+N(S140)=0,"",N(S11)+N(S29)+N(S47)+N(S73)+N(S87)+N(S102)+N(S140))</f>
        <v>19154</v>
      </c>
      <c r="T116" s="63" t="n">
        <f aca="false">IF(N(T11)+N(T29)+N(T47)+N(T140)=0,"",N(T11)+N(T29)+N(T47)+N(T73)+N(T87)+N(T102)+N(T140))</f>
        <v>4694.7</v>
      </c>
      <c r="U116" s="63" t="n">
        <f aca="false">IF(N(U11)+N(U29)+N(U47)+N(U140)=0,"",N(U11)+N(U29)+N(U47)+N(U73)+N(U87)+N(U102)+N(U140))</f>
        <v>4960.2</v>
      </c>
      <c r="V116" s="63" t="n">
        <f aca="false">IF(N(V11)+N(V29)+N(V47)+N(V140)=0,"",N(V11)+N(V29)+N(V47)+N(V73)+N(V87)+N(V102)+N(V140))</f>
        <v>3512.2</v>
      </c>
      <c r="W116" s="63" t="n">
        <f aca="false">IF(N(W11)+N(W29)+N(W47)+N(W140)=0,"",N(W11)+N(W29)+N(W47)+N(W73)+N(W87)+N(W102)+N(W140))</f>
        <v>4323</v>
      </c>
      <c r="X116" s="63" t="n">
        <f aca="false">IF(N(X11)+N(X29)+N(X47)+N(X140)=0,"",N(X11)+N(X29)+N(X47)+N(X73)+N(X87)+N(X102)+N(X140))</f>
        <v>14433.7</v>
      </c>
      <c r="Y116" s="63" t="n">
        <f aca="false">IF(N(Y11)+N(Y29)+N(Y47)+N(Y140)=0,"",N(Y11)+N(Y29)+N(Y47)+N(Y73)+N(Y87)+N(Y102)+N(Y140))</f>
        <v>3924.1</v>
      </c>
      <c r="Z116" s="63" t="n">
        <f aca="false">IF(N(Z11)+N(Z29)+N(Z47)+N(Z140)=0,"",N(Z11)+N(Z29)+N(Z47)+N(Z73)+N(Z87)+N(Z102)+N(Z140))</f>
        <v>4241.9</v>
      </c>
      <c r="AA116" s="63" t="n">
        <f aca="false">IF(N(AA11)+N(AA29)+N(AA47)+N(AA140)=0,"",N(AA11)+N(AA29)+N(AA47)+N(AA73)+N(AA87)+N(AA102)+N(AA140))</f>
        <v>4132.1</v>
      </c>
      <c r="AB116" s="63" t="n">
        <f aca="false">IF(N(AB11)+N(AB29)+N(AB47)+N(AB140)=0,"",N(AB11)+N(AB29)+N(AB47)+N(AB73)+N(AB87)+N(AB102)+N(AB140))</f>
        <v>4584.3</v>
      </c>
      <c r="AC116" s="63" t="n">
        <f aca="false">IF(N(AC11)+N(AC29)+N(AC47)+N(AC140)=0,"",N(AC11)+N(AC29)+N(AC47)+N(AC73)+N(AC87)+N(AC102)+N(AC140))</f>
        <v>16882.4</v>
      </c>
      <c r="AD116" s="63" t="n">
        <f aca="false">IF(N(AD11)+N(AD29)+N(AD47)+N(AD140)=0,"",N(AD11)+N(AD29)+N(AD47)+N(AD73)+N(AD87)+N(AD102)+N(AD140))</f>
        <v>4205.7</v>
      </c>
      <c r="AE116" s="63" t="n">
        <f aca="false">IF(N(AE11)+N(AE29)+N(AE47)+N(AE140)=0,"",N(AE11)+N(AE29)+N(AE47)+N(AE73)+N(AE87)+N(AE102)+N(AE140))</f>
        <v>4510.1</v>
      </c>
      <c r="AF116" s="63" t="n">
        <f aca="false">IF(N(AF11)+N(AF29)+N(AF47)+N(AF140)=0,"",N(AF11)+N(AF29)+N(AF47)+N(AF73)+N(AF87)+N(AF102)+N(AF140))</f>
        <v>4528.2</v>
      </c>
      <c r="AG116" s="63" t="n">
        <f aca="false">IF(N(AG11)+N(AG29)+N(AG47)+N(AG140)=0,"",N(AG11)+N(AG29)+N(AG47)+N(AG73)+N(AG87)+N(AG102)+N(AG140))</f>
        <v>5085.7</v>
      </c>
      <c r="AH116" s="63" t="n">
        <f aca="false">IF(N(AH11)+N(AH29)+N(AH47)+N(AH140)=0,"",N(AH11)+N(AH29)+N(AH47)+N(AH73)+N(AH87)+N(AH102)+N(AH140))</f>
        <v>18329.7</v>
      </c>
      <c r="AI116" s="63" t="n">
        <f aca="false">IF(N(AI11)+N(AI29)+N(AI47)+N(AI140)=0,"",N(AI11)+N(AI29)+N(AI47)+N(AI73)+N(AI87)+N(AI102)+N(AI140))</f>
        <v>4695.4</v>
      </c>
      <c r="AJ116" s="63" t="n">
        <f aca="false">IF(N(AJ11)+N(AJ29)+N(AJ47)+N(AJ140)=0,"",N(AJ11)+N(AJ29)+N(AJ47)+N(AJ73)+N(AJ87)+N(AJ102)+N(AJ140))</f>
        <v>4981</v>
      </c>
      <c r="AK116" s="63" t="n">
        <f aca="false">IF(N(AK11)+N(AK29)+N(AK47)+N(AK140)=0,"",N(AK11)+N(AK29)+N(AK47)+N(AK73)+N(AK87)+N(AK102)+N(AK140))</f>
        <v>4853.1</v>
      </c>
      <c r="AL116" s="63" t="n">
        <f aca="false">IF(N(AL11)+N(AL29)+N(AL47)+N(AL140)=0,"",N(AL11)+N(AL29)+N(AL47)+N(AL73)+N(AL87)+N(AL102)+N(AL140))</f>
        <v>4604.5</v>
      </c>
      <c r="AM116" s="63" t="n">
        <f aca="false">IF(N(AM11)+N(AM29)+N(AM47)+N(AM140)=0,"",N(AM11)+N(AM29)+N(AM47)+N(AM73)+N(AM87)+N(AM102)+N(AM140))</f>
        <v>17048.5</v>
      </c>
      <c r="AN116" s="63" t="n">
        <f aca="false">IF(N(AN11)+N(AN29)+N(AN47)+N(AN140)=0,"",N(AN11)+N(AN29)+N(AN47)+N(AN73)+N(AN87)+N(AN102)+N(AN140))</f>
        <v>4220.2</v>
      </c>
      <c r="AO116" s="63" t="n">
        <f aca="false">IF(N(AO11)+N(AO29)+N(AO47)+N(AO140)=0,"",N(AO11)+N(AO29)+N(AO47)+N(AO73)+N(AO87)+N(AO102)+N(AO140))</f>
        <v>4444.5</v>
      </c>
      <c r="AP116" s="63" t="n">
        <f aca="false">IF(N(AP11)+N(AP29)+N(AP47)+N(AP140)=0,"",N(AP11)+N(AP29)+N(AP47)+N(AP73)+N(AP87)+N(AP102)+N(AP140))</f>
        <v>4378</v>
      </c>
      <c r="AQ116" s="63" t="n">
        <f aca="false">IF(N(AQ11)+N(AQ29)+N(AQ47)+N(AQ140)=0,"",N(AQ11)+N(AQ29)+N(AQ47)+N(AQ73)+N(AQ87)+N(AQ102)+N(AQ140))</f>
        <v>4868.4</v>
      </c>
      <c r="AR116" s="63" t="n">
        <f aca="false">IF(N(AR11)+N(AR29)+N(AR47)+N(AR140)=0,"",N(AR11)+N(AR29)+N(AR47)+N(AR73)+N(AR87)+N(AR102)+N(AR140))</f>
        <v>17911.1</v>
      </c>
      <c r="AS116" s="63" t="n">
        <f aca="false">IF(N(AS11)+N(AS29)+N(AS47)+N(AS140)=0,"",N(AS11)+N(AS29)+N(AS47)+N(AS73)+N(AS87)+N(AS102)+N(AS140))</f>
        <v>4343.1</v>
      </c>
      <c r="AT116" s="63" t="n">
        <f aca="false">IF(N(AT11)+N(AT29)+N(AT47)+N(AT140)=0,"",N(AT11)+N(AT29)+N(AT47)+N(AT73)+N(AT87)+N(AT102)+N(AT140))</f>
        <v>5297.4</v>
      </c>
      <c r="AU116" s="63" t="n">
        <f aca="false">IF(N(AU11)+N(AU29)+N(AU47)+N(AU140)=0,"",N(AU11)+N(AU29)+N(AU47)+N(AU73)+N(AU87)+N(AU102)+N(AU140))</f>
        <v>5883.2</v>
      </c>
      <c r="AV116" s="63" t="n">
        <f aca="false">IF(N(AV11)+N(AV29)+N(AV47)+N(AV140)=0,"",N(AV11)+N(AV29)+N(AV47)+N(AV73)+N(AV87)+N(AV102)+N(AV140))</f>
        <v>6760</v>
      </c>
      <c r="AW116" s="63" t="n">
        <f aca="false">IF(N(AW11)+N(AW29)+N(AW47)+N(AW140)=0,"",N(AW11)+N(AW29)+N(AW47)+N(AW73)+N(AW87)+N(AW102)+N(AW140))</f>
        <v>22284</v>
      </c>
      <c r="AX116" s="63" t="n">
        <f aca="false">IF(N(AX11)+N(AX29)+N(AX47)+N(AX140)=0,"",N(AX11)+N(AX29)+N(AX47)+N(AX73)+N(AX87)+N(AX102)+N(AX140))</f>
        <v>6858</v>
      </c>
      <c r="AY116" s="63" t="n">
        <f aca="false">IF(N(AY11)+N(AY29)+N(AY47)+N(AY140)=0,"",N(AY11)+N(AY29)+N(AY47)+N(AY73)+N(AY87)+N(AY102)+N(AY140))</f>
        <v>7218</v>
      </c>
      <c r="AZ116" s="63" t="n">
        <f aca="false">IF(N(AZ11)+N(AZ29)+N(AZ47)+N(AZ140)=0,"",N(AZ11)+N(AZ29)+N(AZ47)+N(AZ73)+N(AZ87)+N(AZ102)+N(AZ140))</f>
        <v>7229</v>
      </c>
      <c r="BA116" s="63" t="n">
        <f aca="false">IF(N(BA11)+N(BA29)+N(BA47)+N(BA140)=0,"",N(BA11)+N(BA29)+N(BA47)+N(BA73)+N(BA87)+N(BA102)+N(BA140))</f>
        <v>8148</v>
      </c>
      <c r="BB116" s="63" t="n">
        <f aca="false">IF(N(BB11)+N(BB29)+N(BB47)+N(BB140)=0,"",N(BB11)+N(BB29)+N(BB47)+N(BB73)+N(BB87)+N(BB102)+N(BB140))</f>
        <v>29453</v>
      </c>
      <c r="BC116" s="63" t="n">
        <f aca="false">IF(N(BC11)+N(BC29)+N(BC47)+N(BC140)=0,"",N(BC11)+N(BC29)+N(BC47)+N(BC73)+N(BC87)+N(BC102)+N(BC140))</f>
        <v>7688</v>
      </c>
      <c r="BD116" s="63" t="n">
        <f aca="false">IF(N(BD11)+N(BD29)+N(BD47)+N(BD140)=0,"",N(BD11)+N(BD29)+N(BD47)+N(BD73)+N(BD87)+N(BD102)+N(BD140))</f>
        <v>7751</v>
      </c>
      <c r="BE116" s="63" t="n">
        <f aca="false">IF(N(BE11)+N(BE29)+N(BE47)+N(BE140)=0,"",N(BE11)+N(BE29)+N(BE47)+N(BE73)+N(BE87)+N(BE102)+N(BE140))</f>
        <v>7663</v>
      </c>
      <c r="BF116" s="63" t="n">
        <f aca="false">IF(N(BF11)+N(BF29)+N(BF47)+N(BF140)=0,"",N(BF11)+N(BF29)+N(BF47)+N(BF73)+N(BF87)+N(BF102)+N(BF140))</f>
        <v>7134</v>
      </c>
      <c r="BG116" s="63" t="n">
        <f aca="false">IF(N(BG11)+N(BG29)+N(BG47)+N(BG140)=0,"",N(BG11)+N(BG29)+N(BG47)+N(BG73)+N(BG87)+N(BG102)+N(BG140))</f>
        <v>26643</v>
      </c>
      <c r="BH116" s="63" t="n">
        <f aca="false">IF(N(BH11)+N(BH29)+N(BH47)+N(BH140)=0,"",N(BH11)+N(BH29)+N(BH47)+N(BH73)+N(BH87)+N(BH102)+N(BH140))</f>
        <v>5949</v>
      </c>
      <c r="BI116" s="63" t="n">
        <f aca="false">IF(N(BI11)+N(BI29)+N(BI47)+N(BI140)=0,"",N(BI11)+N(BI29)+N(BI47)+N(BI73)+N(BI87)+N(BI102)+N(BI140))</f>
        <v>5912</v>
      </c>
      <c r="BJ116" s="63" t="n">
        <f aca="false">IF(N(BJ11)+N(BJ29)+N(BJ47)+N(BJ140)=0,"",N(BJ11)+N(BJ29)+N(BJ47)+N(BJ73)+N(BJ87)+N(BJ102)+N(BJ140))</f>
        <v>5624</v>
      </c>
      <c r="BK116" s="63" t="n">
        <f aca="false">IF(N(BK11)+N(BK29)+N(BK47)+N(BK140)=0,"",N(BK11)+N(BK29)+N(BK47)+N(BK73)+N(BK87)+N(BK102)+N(BK140))</f>
        <v>6405</v>
      </c>
      <c r="BL116" s="63" t="n">
        <f aca="false">IF(N(BL11)+N(BL29)+N(BL47)+N(BL140)=0,"",N(BL11)+N(BL29)+N(BL47)+N(BL73)+N(BL87)+N(BL102)+N(BL140))</f>
        <v>23890</v>
      </c>
      <c r="BM116" s="63" t="n">
        <f aca="false">IF(N(BM11)+N(BM29)+N(BM47)+N(BM140)=0,"",N(BM11)+N(BM29)+N(BM47)+N(BM73)+N(BM87)+N(BM102)+N(BM140))</f>
        <v>5796</v>
      </c>
      <c r="BN116" s="63" t="n">
        <f aca="false">IF(N(BN11)+N(BN29)+N(BN47)+N(BN140)=0,"",N(BN11)+N(BN29)+N(BN47)+N(BN73)+N(BN87)+N(BN102)+N(BN140))</f>
        <v>5743</v>
      </c>
      <c r="BO116" s="63" t="n">
        <f aca="false">IF(N(BO11)+N(BO29)+N(BO47)+N(BO140)=0,"",N(BO11)+N(BO29)+N(BO47)+N(BO73)+N(BO87)+N(BO102)+N(BO140))</f>
        <v>5798</v>
      </c>
      <c r="BP116" s="63" t="n">
        <f aca="false">IF(N(BP11)+N(BP29)+N(BP47)+N(BP140)=0,"",N(BP11)+N(BP29)+N(BP47)+N(BP73)+N(BP87)+N(BP102)+N(BP140))</f>
        <v>6538</v>
      </c>
      <c r="BQ116" s="63" t="n">
        <f aca="false">IF(N(BQ11)+N(BQ29)+N(BQ47)+N(BQ140)=0,"",N(BQ11)+N(BQ29)+N(BQ47)+N(BQ73)+N(BQ87)+N(BQ102)+N(BQ140))</f>
        <v>23875</v>
      </c>
      <c r="BR116" s="63" t="n">
        <f aca="false">IF(N(BR11)+N(BR29)+N(BR47)+N(BR140)=0,"",N(BR11)+N(BR29)+N(BR47)+N(BR73)+N(BR87)+N(BR102)+N(BR140))</f>
        <v>5741</v>
      </c>
      <c r="BS116" s="63" t="n">
        <f aca="false">IF(N(BS11)+N(BS29)+N(BS47)+N(BS140)=0,"",N(BS11)+N(BS29)+N(BS47)+N(BS73)+N(BS87)+N(BS102)+N(BS140))</f>
        <v>5936</v>
      </c>
      <c r="BT116" s="63" t="n">
        <f aca="false">IF(N(BT11)+N(BT29)+N(BT47)+N(BT140)=0,"",N(BT11)+N(BT29)+N(BT47)+N(BT73)+N(BT87)+N(BT102)+N(BT140))</f>
        <v>6053</v>
      </c>
      <c r="BU116" s="63" t="n">
        <f aca="false">IF(N(BU11)+N(BU29)+N(BU47)+N(BU140)=0,"",N(BU11)+N(BU29)+N(BU47)+N(BU73)+N(BU87)+N(BU102)+N(BU140))</f>
        <v>6838</v>
      </c>
      <c r="BV116" s="63" t="n">
        <f aca="false">IF(N(BV11)+N(BV29)+N(BV47)+N(BV140)=0,"",N(BV11)+N(BV29)+N(BV47)+N(BV73)+N(BV87)+N(BV102)+N(BV140))</f>
        <v>24568</v>
      </c>
      <c r="BW116" s="63" t="n">
        <f aca="false">IF(N(BW11)+N(BW29)+N(BW47)+N(BW140)=0,"",N(BW11)+N(BW29)+N(BW47)+N(BW73)+N(BW87)+N(BW102)+N(BW140))</f>
        <v>5951</v>
      </c>
      <c r="BX116" s="63" t="n">
        <f aca="false">IF(N(BX11)+N(BX29)+N(BX47)+N(BX140)=0,"",N(BX11)+N(BX29)+N(BX47)+N(BX73)+N(BX87)+N(BX102)+N(BX140))</f>
        <v>6265</v>
      </c>
      <c r="BY116" s="63" t="n">
        <f aca="false">IF(N(BY11)+N(BY29)+N(BY47)+N(BY140)=0,"",N(BY11)+N(BY29)+N(BY47)+N(BY73)+N(BY87)+N(BY102)+N(BY140))</f>
        <v>6617.85335156311</v>
      </c>
      <c r="BZ116" s="63" t="n">
        <f aca="false">IF(N(BZ11)+N(BZ29)+N(BZ47)+N(BZ140)=0,"",N(BZ11)+N(BZ29)+N(BZ47)+N(BZ73)+N(BZ87)+N(BZ102)+N(BZ140))</f>
        <v>7664.5656484369</v>
      </c>
      <c r="CA116" s="63" t="n">
        <f aca="false">IF(N(CA11)+N(CA29)+N(CA47)+N(CA140)=0,"",N(CA11)+N(CA29)+N(CA47)+N(CA73)+N(CA87)+N(CA102)+N(CA140))</f>
        <v>26498.419</v>
      </c>
      <c r="CB116" s="63" t="n">
        <f aca="false">IF(N(CB11)+N(CB29)+N(CB47)+N(CB140)=0,"",N(CB11)+N(CB29)+N(CB47)+N(CB73)+N(CB87)+N(CB102)+N(CB140))</f>
        <v>28985.7633607835</v>
      </c>
      <c r="CC116" s="63" t="n">
        <f aca="false">IF(N(CC11)+N(CC29)+N(CC47)+N(CC140)=0,"",N(CC11)+N(CC29)+N(CC47)+N(CC73)+N(CC87)+N(CC102)+N(CC140))</f>
        <v>30884.5660463841</v>
      </c>
      <c r="CD116" s="63" t="n">
        <f aca="false">IF(N(CD11)+N(CD29)+N(CD47)+N(CD140)=0,"",N(CD11)+N(CD29)+N(CD47)+N(CD73)+N(CD87)+N(CD102)+N(CD140))</f>
        <v>33073.0362207654</v>
      </c>
      <c r="CE116" s="63" t="n">
        <f aca="false">IF(N(CE11)+N(CE29)+N(CE47)+N(CE140)=0,"",N(CE11)+N(CE29)+N(CE47)+N(CE73)+N(CE87)+N(CE102)+N(CE140))</f>
        <v>35433.882949137</v>
      </c>
      <c r="CF116" s="7" t="s">
        <v>244</v>
      </c>
      <c r="CH116" s="22" t="n">
        <f aca="false">IFERROR((CE116/BV116)^(1/5)-1,"n/m")</f>
        <v>0.0759938487380838</v>
      </c>
      <c r="CI116" s="22" t="n">
        <f aca="false">IFERROR((BV116/AW116)^(1/5)-1,"n/m")</f>
        <v>0.0197068358958774</v>
      </c>
      <c r="CJ116" s="22" t="n">
        <f aca="false">IFERROR((BV116/X116)^(1/10)-1,"n/m")</f>
        <v>0.0546277945413589</v>
      </c>
      <c r="CK116" s="22" t="n">
        <f aca="false">IFERROR((BV116/C116)^(1/19)-1,"n/m")</f>
        <v>0.0514773753135021</v>
      </c>
    </row>
    <row r="117" customFormat="false" ht="15" hidden="false" customHeight="true" outlineLevel="0" collapsed="false">
      <c r="B117" s="62" t="s">
        <v>245</v>
      </c>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c r="BC117" s="64"/>
      <c r="BD117" s="64"/>
      <c r="BE117" s="64"/>
      <c r="BF117" s="64"/>
      <c r="BG117" s="64"/>
      <c r="BH117" s="64"/>
      <c r="BI117" s="64"/>
      <c r="BJ117" s="64"/>
      <c r="BK117" s="64"/>
      <c r="BL117" s="64"/>
      <c r="BM117" s="63" t="n">
        <f aca="false">IF(AND(ISNUMBER(BM22),ISNUMBER(BM40),ISNUMBER(BM58),ISNUMBER(BM112),N(BM140)=0),N(BM22)+N(BM40)+N(BM58)+N(BM76)+BM112,"")</f>
        <v>1744</v>
      </c>
      <c r="BN117" s="63" t="n">
        <f aca="false">IF(AND(ISNUMBER(BN22),ISNUMBER(BN40),ISNUMBER(BN58),ISNUMBER(BN112),N(BN140)=0),N(BN22)+N(BN40)+N(BN58)+N(BN76)+BN112,"")</f>
        <v>1570</v>
      </c>
      <c r="BO117" s="63" t="n">
        <f aca="false">IF(AND(ISNUMBER(BO22),ISNUMBER(BO40),ISNUMBER(BO58),ISNUMBER(BO112),N(BO140)=0),N(BO22)+N(BO40)+N(BO58)+N(BO76)+BO112,"")</f>
        <v>1594</v>
      </c>
      <c r="BP117" s="63" t="n">
        <f aca="false">IF(AND(ISNUMBER(BP22),ISNUMBER(BP40),ISNUMBER(BP58),ISNUMBER(BP112),N(BP140)=0),N(BP22)+N(BP40)+N(BP58)+N(BP76)+BP112,"")</f>
        <v>1932</v>
      </c>
      <c r="BQ117" s="63" t="n">
        <f aca="false">IF(AND(ISNUMBER(BQ22),ISNUMBER(BQ40),ISNUMBER(BQ58),ISNUMBER(BQ112),N(BQ140)=0),N(BQ22)+N(BQ40)+N(BQ58)+N(BQ76)+BQ112,"")</f>
        <v>6840</v>
      </c>
      <c r="BR117" s="63" t="n">
        <f aca="false">IF(AND(ISNUMBER(BR22),ISNUMBER(BR40),ISNUMBER(BR58),ISNUMBER(BR112),N(BR140)=0),N(BR22)+N(BR40)+N(BR58)+N(BR76)+BR112,"")</f>
        <v>1699</v>
      </c>
      <c r="BS117" s="63" t="n">
        <f aca="false">IF(AND(ISNUMBER(BS22),ISNUMBER(BS40),ISNUMBER(BS58),ISNUMBER(BS112),N(BS140)=0),N(BS22)+N(BS40)+N(BS58)+N(BS76)+BS112,"")</f>
        <v>1618</v>
      </c>
      <c r="BT117" s="63" t="n">
        <f aca="false">IF(AND(ISNUMBER(BT22),ISNUMBER(BT40),ISNUMBER(BT58),ISNUMBER(BT112),N(BT140)=0),N(BT22)+N(BT40)+N(BT58)+N(BT76)+BT112,"")</f>
        <v>1688</v>
      </c>
      <c r="BU117" s="63" t="n">
        <f aca="false">IF(AND(ISNUMBER(BU22),ISNUMBER(BU40),ISNUMBER(BU58),ISNUMBER(BU112),N(BU140)=0),N(BU22)+N(BU40)+N(BU58)+N(BU76)+BU112,"")</f>
        <v>1934</v>
      </c>
      <c r="BV117" s="63" t="n">
        <f aca="false">IF(AND(ISNUMBER(BV22),ISNUMBER(BV40),ISNUMBER(BV58),ISNUMBER(BV112),N(BV140)=0),N(BV22)+N(BV40)+N(BV58)+N(BV76)+BV112,"")</f>
        <v>6939</v>
      </c>
      <c r="BW117" s="63" t="n">
        <f aca="false">IF(AND(ISNUMBER(BW22),ISNUMBER(BW40),ISNUMBER(BW58),ISNUMBER(BW112),N(BW140)=0),N(BW22)+N(BW40)+N(BW58)+N(BW76)+BW112,"")</f>
        <v>1795</v>
      </c>
      <c r="BX117" s="63" t="n">
        <f aca="false">IF(AND(ISNUMBER(BX22),ISNUMBER(BX40),ISNUMBER(BX58),ISNUMBER(BX112),N(BX140)=0),N(BX22)+N(BX40)+N(BX58)+N(BX76)+BX112,"")</f>
        <v>1698</v>
      </c>
      <c r="BY117" s="63" t="n">
        <f aca="false">N(BY22)+N(BY40)+N(BY58)+N(BY76)+N(BY89)+N(BY104)+BY112</f>
        <v>1753.73113816422</v>
      </c>
      <c r="BZ117" s="63" t="n">
        <f aca="false">N(BZ22)+N(BZ40)+N(BZ58)+N(BZ76)+N(BZ89)+N(BZ104)+BZ112</f>
        <v>2325.97638581533</v>
      </c>
      <c r="CA117" s="63" t="n">
        <f aca="false">N(CA22)+N(CA40)+N(CA58)+N(CA76)+N(CA89)+N(CA104)+CA112</f>
        <v>7572.70752397956</v>
      </c>
      <c r="CB117" s="63" t="n">
        <f aca="false">N(CB22)+N(CB40)+N(CB58)+N(CB76)+N(CB89)+N(CB104)+CB112</f>
        <v>8363.06151311818</v>
      </c>
      <c r="CC117" s="63" t="n">
        <f aca="false">N(CC22)+N(CC40)+N(CC58)+N(CC76)+N(CC89)+N(CC104)+CC112</f>
        <v>9097.62622486999</v>
      </c>
      <c r="CD117" s="63" t="n">
        <f aca="false">N(CD22)+N(CD40)+N(CD58)+N(CD76)+N(CD89)+N(CD104)+CD112</f>
        <v>9927.99022246525</v>
      </c>
      <c r="CE117" s="63" t="n">
        <f aca="false">N(CE22)+N(CE40)+N(CE58)+N(CE76)+N(CE89)+N(CE104)+CE112</f>
        <v>10821.4736107704</v>
      </c>
      <c r="CF117" s="7" t="s">
        <v>246</v>
      </c>
      <c r="CH117" s="22" t="n">
        <f aca="false">IFERROR((CE117/BV117)^(1/5)-1,"n/m")</f>
        <v>0.0929439828874725</v>
      </c>
      <c r="CI117" s="22" t="str">
        <f aca="false">IFERROR((BV117/AW117)^(1/5)-1,"n/m")</f>
        <v>n/m</v>
      </c>
      <c r="CJ117" s="22" t="str">
        <f aca="false">IFERROR((BV117/X117)^(1/10)-1,"n/m")</f>
        <v>n/m</v>
      </c>
      <c r="CK117" s="22" t="str">
        <f aca="false">IFERROR((BV117/C117)^(1/19)-1,"n/m")</f>
        <v>n/m</v>
      </c>
    </row>
    <row r="118" customFormat="false" ht="15" hidden="false" customHeight="true" outlineLevel="0" collapsed="false">
      <c r="B118" s="27" t="s">
        <v>247</v>
      </c>
      <c r="C118" s="42" t="str">
        <f aca="false">IF(AND(ISNUMBER(C117),ISNUMBER(C116)),IFERROR(C117/C116,""),"")</f>
        <v/>
      </c>
      <c r="D118" s="42" t="str">
        <f aca="false">IF(AND(ISNUMBER(D117),ISNUMBER(D116)),IFERROR(D117/D116,""),"")</f>
        <v/>
      </c>
      <c r="E118" s="42" t="str">
        <f aca="false">IF(AND(ISNUMBER(E117),ISNUMBER(E116)),IFERROR(E117/E116,""),"")</f>
        <v/>
      </c>
      <c r="F118" s="42" t="str">
        <f aca="false">IF(AND(ISNUMBER(F117),ISNUMBER(F116)),IFERROR(F117/F116,""),"")</f>
        <v/>
      </c>
      <c r="G118" s="42" t="str">
        <f aca="false">IF(AND(ISNUMBER(G117),ISNUMBER(G116)),IFERROR(G117/G116,""),"")</f>
        <v/>
      </c>
      <c r="H118" s="42" t="str">
        <f aca="false">IF(AND(ISNUMBER(H117),ISNUMBER(H116)),IFERROR(H117/H116,""),"")</f>
        <v/>
      </c>
      <c r="I118" s="42" t="str">
        <f aca="false">IF(AND(ISNUMBER(I117),ISNUMBER(I116)),IFERROR(I117/I116,""),"")</f>
        <v/>
      </c>
      <c r="J118" s="42" t="str">
        <f aca="false">IF(AND(ISNUMBER(J117),ISNUMBER(J116)),IFERROR(J117/J116,""),"")</f>
        <v/>
      </c>
      <c r="K118" s="42" t="str">
        <f aca="false">IF(AND(ISNUMBER(K117),ISNUMBER(K116)),IFERROR(K117/K116,""),"")</f>
        <v/>
      </c>
      <c r="L118" s="42" t="str">
        <f aca="false">IF(AND(ISNUMBER(L117),ISNUMBER(L116)),IFERROR(L117/L116,""),"")</f>
        <v/>
      </c>
      <c r="M118" s="42" t="str">
        <f aca="false">IF(AND(ISNUMBER(M117),ISNUMBER(M116)),IFERROR(M117/M116,""),"")</f>
        <v/>
      </c>
      <c r="N118" s="42" t="str">
        <f aca="false">IF(AND(ISNUMBER(N117),ISNUMBER(N116)),IFERROR(N117/N116,""),"")</f>
        <v/>
      </c>
      <c r="O118" s="42" t="str">
        <f aca="false">IF(AND(ISNUMBER(O117),ISNUMBER(O116)),IFERROR(O117/O116,""),"")</f>
        <v/>
      </c>
      <c r="P118" s="42" t="str">
        <f aca="false">IF(AND(ISNUMBER(P117),ISNUMBER(P116)),IFERROR(P117/P116,""),"")</f>
        <v/>
      </c>
      <c r="Q118" s="42" t="str">
        <f aca="false">IF(AND(ISNUMBER(Q117),ISNUMBER(Q116)),IFERROR(Q117/Q116,""),"")</f>
        <v/>
      </c>
      <c r="R118" s="42" t="str">
        <f aca="false">IF(AND(ISNUMBER(R117),ISNUMBER(R116)),IFERROR(R117/R116,""),"")</f>
        <v/>
      </c>
      <c r="S118" s="42" t="str">
        <f aca="false">IF(AND(ISNUMBER(S117),ISNUMBER(S116)),IFERROR(S117/S116,""),"")</f>
        <v/>
      </c>
      <c r="T118" s="42" t="str">
        <f aca="false">IF(AND(ISNUMBER(T117),ISNUMBER(T116)),IFERROR(T117/T116,""),"")</f>
        <v/>
      </c>
      <c r="U118" s="42" t="str">
        <f aca="false">IF(AND(ISNUMBER(U117),ISNUMBER(U116)),IFERROR(U117/U116,""),"")</f>
        <v/>
      </c>
      <c r="V118" s="42" t="str">
        <f aca="false">IF(AND(ISNUMBER(V117),ISNUMBER(V116)),IFERROR(V117/V116,""),"")</f>
        <v/>
      </c>
      <c r="W118" s="42" t="str">
        <f aca="false">IF(AND(ISNUMBER(W117),ISNUMBER(W116)),IFERROR(W117/W116,""),"")</f>
        <v/>
      </c>
      <c r="X118" s="42" t="str">
        <f aca="false">IF(AND(ISNUMBER(X117),ISNUMBER(X116)),IFERROR(X117/X116,""),"")</f>
        <v/>
      </c>
      <c r="Y118" s="42" t="str">
        <f aca="false">IF(AND(ISNUMBER(Y117),ISNUMBER(Y116)),IFERROR(Y117/Y116,""),"")</f>
        <v/>
      </c>
      <c r="Z118" s="42" t="str">
        <f aca="false">IF(AND(ISNUMBER(Z117),ISNUMBER(Z116)),IFERROR(Z117/Z116,""),"")</f>
        <v/>
      </c>
      <c r="AA118" s="42" t="str">
        <f aca="false">IF(AND(ISNUMBER(AA117),ISNUMBER(AA116)),IFERROR(AA117/AA116,""),"")</f>
        <v/>
      </c>
      <c r="AB118" s="42" t="str">
        <f aca="false">IF(AND(ISNUMBER(AB117),ISNUMBER(AB116)),IFERROR(AB117/AB116,""),"")</f>
        <v/>
      </c>
      <c r="AC118" s="42" t="str">
        <f aca="false">IF(AND(ISNUMBER(AC117),ISNUMBER(AC116)),IFERROR(AC117/AC116,""),"")</f>
        <v/>
      </c>
      <c r="AD118" s="42" t="str">
        <f aca="false">IF(AND(ISNUMBER(AD117),ISNUMBER(AD116)),IFERROR(AD117/AD116,""),"")</f>
        <v/>
      </c>
      <c r="AE118" s="42" t="str">
        <f aca="false">IF(AND(ISNUMBER(AE117),ISNUMBER(AE116)),IFERROR(AE117/AE116,""),"")</f>
        <v/>
      </c>
      <c r="AF118" s="42" t="str">
        <f aca="false">IF(AND(ISNUMBER(AF117),ISNUMBER(AF116)),IFERROR(AF117/AF116,""),"")</f>
        <v/>
      </c>
      <c r="AG118" s="42" t="str">
        <f aca="false">IF(AND(ISNUMBER(AG117),ISNUMBER(AG116)),IFERROR(AG117/AG116,""),"")</f>
        <v/>
      </c>
      <c r="AH118" s="42" t="str">
        <f aca="false">IF(AND(ISNUMBER(AH117),ISNUMBER(AH116)),IFERROR(AH117/AH116,""),"")</f>
        <v/>
      </c>
      <c r="AI118" s="42" t="str">
        <f aca="false">IF(AND(ISNUMBER(AI117),ISNUMBER(AI116)),IFERROR(AI117/AI116,""),"")</f>
        <v/>
      </c>
      <c r="AJ118" s="42" t="str">
        <f aca="false">IF(AND(ISNUMBER(AJ117),ISNUMBER(AJ116)),IFERROR(AJ117/AJ116,""),"")</f>
        <v/>
      </c>
      <c r="AK118" s="42" t="str">
        <f aca="false">IF(AND(ISNUMBER(AK117),ISNUMBER(AK116)),IFERROR(AK117/AK116,""),"")</f>
        <v/>
      </c>
      <c r="AL118" s="42" t="str">
        <f aca="false">IF(AND(ISNUMBER(AL117),ISNUMBER(AL116)),IFERROR(AL117/AL116,""),"")</f>
        <v/>
      </c>
      <c r="AM118" s="42" t="str">
        <f aca="false">IF(AND(ISNUMBER(AM117),ISNUMBER(AM116)),IFERROR(AM117/AM116,""),"")</f>
        <v/>
      </c>
      <c r="AN118" s="42" t="str">
        <f aca="false">IF(AND(ISNUMBER(AN117),ISNUMBER(AN116)),IFERROR(AN117/AN116,""),"")</f>
        <v/>
      </c>
      <c r="AO118" s="42" t="str">
        <f aca="false">IF(AND(ISNUMBER(AO117),ISNUMBER(AO116)),IFERROR(AO117/AO116,""),"")</f>
        <v/>
      </c>
      <c r="AP118" s="42" t="str">
        <f aca="false">IF(AND(ISNUMBER(AP117),ISNUMBER(AP116)),IFERROR(AP117/AP116,""),"")</f>
        <v/>
      </c>
      <c r="AQ118" s="42" t="str">
        <f aca="false">IF(AND(ISNUMBER(AQ117),ISNUMBER(AQ116)),IFERROR(AQ117/AQ116,""),"")</f>
        <v/>
      </c>
      <c r="AR118" s="42" t="str">
        <f aca="false">IF(AND(ISNUMBER(AR117),ISNUMBER(AR116)),IFERROR(AR117/AR116,""),"")</f>
        <v/>
      </c>
      <c r="AS118" s="42" t="str">
        <f aca="false">IF(AND(ISNUMBER(AS117),ISNUMBER(AS116)),IFERROR(AS117/AS116,""),"")</f>
        <v/>
      </c>
      <c r="AT118" s="42" t="str">
        <f aca="false">IF(AND(ISNUMBER(AT117),ISNUMBER(AT116)),IFERROR(AT117/AT116,""),"")</f>
        <v/>
      </c>
      <c r="AU118" s="42" t="str">
        <f aca="false">IF(AND(ISNUMBER(AU117),ISNUMBER(AU116)),IFERROR(AU117/AU116,""),"")</f>
        <v/>
      </c>
      <c r="AV118" s="42" t="str">
        <f aca="false">IF(AND(ISNUMBER(AV117),ISNUMBER(AV116)),IFERROR(AV117/AV116,""),"")</f>
        <v/>
      </c>
      <c r="AW118" s="42" t="str">
        <f aca="false">IF(AND(ISNUMBER(AW117),ISNUMBER(AW116)),IFERROR(AW117/AW116,""),"")</f>
        <v/>
      </c>
      <c r="AX118" s="42" t="str">
        <f aca="false">IF(AND(ISNUMBER(AX117),ISNUMBER(AX116)),IFERROR(AX117/AX116,""),"")</f>
        <v/>
      </c>
      <c r="AY118" s="42" t="str">
        <f aca="false">IF(AND(ISNUMBER(AY117),ISNUMBER(AY116)),IFERROR(AY117/AY116,""),"")</f>
        <v/>
      </c>
      <c r="AZ118" s="42" t="str">
        <f aca="false">IF(AND(ISNUMBER(AZ117),ISNUMBER(AZ116)),IFERROR(AZ117/AZ116,""),"")</f>
        <v/>
      </c>
      <c r="BA118" s="42" t="str">
        <f aca="false">IF(AND(ISNUMBER(BA117),ISNUMBER(BA116)),IFERROR(BA117/BA116,""),"")</f>
        <v/>
      </c>
      <c r="BB118" s="42" t="str">
        <f aca="false">IF(AND(ISNUMBER(BB117),ISNUMBER(BB116)),IFERROR(BB117/BB116,""),"")</f>
        <v/>
      </c>
      <c r="BC118" s="42" t="str">
        <f aca="false">IF(AND(ISNUMBER(BC117),ISNUMBER(BC116)),IFERROR(BC117/BC116,""),"")</f>
        <v/>
      </c>
      <c r="BD118" s="42" t="str">
        <f aca="false">IF(AND(ISNUMBER(BD117),ISNUMBER(BD116)),IFERROR(BD117/BD116,""),"")</f>
        <v/>
      </c>
      <c r="BE118" s="42" t="str">
        <f aca="false">IF(AND(ISNUMBER(BE117),ISNUMBER(BE116)),IFERROR(BE117/BE116,""),"")</f>
        <v/>
      </c>
      <c r="BF118" s="42" t="str">
        <f aca="false">IF(AND(ISNUMBER(BF117),ISNUMBER(BF116)),IFERROR(BF117/BF116,""),"")</f>
        <v/>
      </c>
      <c r="BG118" s="42" t="str">
        <f aca="false">IF(AND(ISNUMBER(BG117),ISNUMBER(BG116)),IFERROR(BG117/BG116,""),"")</f>
        <v/>
      </c>
      <c r="BH118" s="42" t="str">
        <f aca="false">IF(AND(ISNUMBER(BH117),ISNUMBER(BH116)),IFERROR(BH117/BH116,""),"")</f>
        <v/>
      </c>
      <c r="BI118" s="42" t="str">
        <f aca="false">IF(AND(ISNUMBER(BI117),ISNUMBER(BI116)),IFERROR(BI117/BI116,""),"")</f>
        <v/>
      </c>
      <c r="BJ118" s="42" t="str">
        <f aca="false">IF(AND(ISNUMBER(BJ117),ISNUMBER(BJ116)),IFERROR(BJ117/BJ116,""),"")</f>
        <v/>
      </c>
      <c r="BK118" s="42" t="str">
        <f aca="false">IF(AND(ISNUMBER(BK117),ISNUMBER(BK116)),IFERROR(BK117/BK116,""),"")</f>
        <v/>
      </c>
      <c r="BL118" s="42" t="str">
        <f aca="false">IF(AND(ISNUMBER(BL117),ISNUMBER(BL116)),IFERROR(BL117/BL116,""),"")</f>
        <v/>
      </c>
      <c r="BM118" s="42" t="n">
        <f aca="false">IF(AND(ISNUMBER(BM117),ISNUMBER(BM116)),IFERROR(BM117/BM116,""),"")</f>
        <v>0.300897170462388</v>
      </c>
      <c r="BN118" s="42" t="n">
        <f aca="false">IF(AND(ISNUMBER(BN117),ISNUMBER(BN116)),IFERROR(BN117/BN116,""),"")</f>
        <v>0.273376284172036</v>
      </c>
      <c r="BO118" s="42" t="n">
        <f aca="false">IF(AND(ISNUMBER(BO117),ISNUMBER(BO116)),IFERROR(BO117/BO116,""),"")</f>
        <v>0.27492238703001</v>
      </c>
      <c r="BP118" s="42" t="n">
        <f aca="false">IF(AND(ISNUMBER(BP117),ISNUMBER(BP116)),IFERROR(BP117/BP116,""),"")</f>
        <v>0.295503211991435</v>
      </c>
      <c r="BQ118" s="42" t="n">
        <f aca="false">IF(AND(ISNUMBER(BQ117),ISNUMBER(BQ116)),IFERROR(BQ117/BQ116,""),"")</f>
        <v>0.286492146596859</v>
      </c>
      <c r="BR118" s="42" t="n">
        <f aca="false">IF(AND(ISNUMBER(BR117),ISNUMBER(BR116)),IFERROR(BR117/BR116,""),"")</f>
        <v>0.295941473610869</v>
      </c>
      <c r="BS118" s="42" t="n">
        <f aca="false">IF(AND(ISNUMBER(BS117),ISNUMBER(BS116)),IFERROR(BS117/BS116,""),"")</f>
        <v>0.272574123989218</v>
      </c>
      <c r="BT118" s="42" t="n">
        <f aca="false">IF(AND(ISNUMBER(BT117),ISNUMBER(BT116)),IFERROR(BT117/BT116,""),"")</f>
        <v>0.278869981827193</v>
      </c>
      <c r="BU118" s="42" t="n">
        <f aca="false">IF(AND(ISNUMBER(BU117),ISNUMBER(BU116)),IFERROR(BU117/BU116,""),"")</f>
        <v>0.282831237203861</v>
      </c>
      <c r="BV118" s="42" t="n">
        <f aca="false">IF(AND(ISNUMBER(BV117),ISNUMBER(BV116)),IFERROR(BV117/BV116,""),"")</f>
        <v>0.282440573103224</v>
      </c>
      <c r="BW118" s="42" t="n">
        <f aca="false">IF(AND(ISNUMBER(BW117),ISNUMBER(BW116)),IFERROR(BW117/BW116,""),"")</f>
        <v>0.301629978154932</v>
      </c>
      <c r="BX118" s="42" t="n">
        <f aca="false">IF(AND(ISNUMBER(BX117),ISNUMBER(BX116)),IFERROR(BX117/BX116,""),"")</f>
        <v>0.271029529130088</v>
      </c>
      <c r="BY118" s="26" t="n">
        <f aca="false">IF(AND(ISNUMBER(BY117),ISNUMBER(BY116)),IFERROR(BY117/BY116,""),"")</f>
        <v>0.265</v>
      </c>
      <c r="BZ118" s="26" t="n">
        <f aca="false">IF(AND(ISNUMBER(BZ117),ISNUMBER(BZ116)),IFERROR(BZ117/BZ116,""),"")</f>
        <v>0.303471389313456</v>
      </c>
      <c r="CA118" s="26" t="n">
        <f aca="false">IF(AND(ISNUMBER(CA117),ISNUMBER(CA116)),IFERROR(CA117/CA116,""),"")</f>
        <v>0.285779597793346</v>
      </c>
      <c r="CB118" s="26" t="n">
        <f aca="false">IF(AND(ISNUMBER(CB117),ISNUMBER(CB116)),IFERROR(CB117/CB116,""),"")</f>
        <v>0.288523072827988</v>
      </c>
      <c r="CC118" s="26" t="n">
        <f aca="false">IF(AND(ISNUMBER(CC117),ISNUMBER(CC116)),IFERROR(CC117/CC116,""),"")</f>
        <v>0.294568692051774</v>
      </c>
      <c r="CD118" s="26" t="n">
        <f aca="false">IF(AND(ISNUMBER(CD117),ISNUMBER(CD116)),IFERROR(CD117/CD116,""),"")</f>
        <v>0.300183816091001</v>
      </c>
      <c r="CE118" s="26" t="n">
        <f aca="false">IF(AND(ISNUMBER(CE117),ISNUMBER(CE116)),IFERROR(CE117/CE116,""),"")</f>
        <v>0.30539903363975</v>
      </c>
      <c r="CF118" s="7"/>
      <c r="CH118" s="32" t="n">
        <f aca="false">IFERROR(AVERAGE(CA118,CB118,CC118,CD118,CE118),"n/m")</f>
        <v>0.294890842480772</v>
      </c>
      <c r="CI118" s="32" t="n">
        <f aca="false">IFERROR(AVERAGE(BB118,BG118,BL118,BQ118,BV118),"n/m")</f>
        <v>0.284466359850041</v>
      </c>
      <c r="CJ118" s="32" t="n">
        <f aca="false">IFERROR(AVERAGE(AC118,AH118,AM118,AR118,AW118,BB118,BG118,BL118,BQ118,BV118),"n/m")</f>
        <v>0.284466359850041</v>
      </c>
      <c r="CK118" s="32" t="n">
        <f aca="false">IFERROR(AVERAGE(C118,D118,E118,F118,G118,H118,I118,N118,S118,X118,AC118,AH118,AM118,AR118,AW118,BB118,BG118,BL118,BQ118,BV118),"n/m")</f>
        <v>0.284466359850041</v>
      </c>
    </row>
    <row r="119" customFormat="false" ht="15" hidden="false" customHeight="true" outlineLevel="0" collapsed="false">
      <c r="B119" s="24" t="s">
        <v>248</v>
      </c>
      <c r="D119" s="25" t="n">
        <f aca="false">IF(AND(ISNUMBER(D116),ISNUMBER(C116)),IFERROR(D116/C116-1,""),"")</f>
        <v>0.164777469073853</v>
      </c>
      <c r="E119" s="25" t="n">
        <f aca="false">IF(AND(ISNUMBER(E116),ISNUMBER(D116)),IFERROR(E116/D116-1,""),"")</f>
        <v>0.151606671564226</v>
      </c>
      <c r="F119" s="25" t="n">
        <f aca="false">IF(AND(ISNUMBER(F116),ISNUMBER(E116)),IFERROR(F116/E116-1,""),"")</f>
        <v>-0.11912581216775</v>
      </c>
      <c r="G119" s="25" t="n">
        <f aca="false">IF(AND(ISNUMBER(G116),ISNUMBER(F116)),IFERROR(G116/F116-1,""),"")</f>
        <v>0.122048476070416</v>
      </c>
      <c r="H119" s="25" t="n">
        <f aca="false">IF(AND(ISNUMBER(H116),ISNUMBER(G116)),IFERROR(H116/G116-1,""),"")</f>
        <v>0.282111553784861</v>
      </c>
      <c r="I119" s="25" t="n">
        <f aca="false">IF(AND(ISNUMBER(I116),ISNUMBER(H116)),IFERROR(I116/H116-1,""),"")</f>
        <v>0.134855970914515</v>
      </c>
      <c r="N119" s="25" t="n">
        <f aca="false">IF(AND(ISNUMBER(N116),ISNUMBER(I116)),IFERROR(N116/I116-1,""),"")</f>
        <v>0.0469650171956801</v>
      </c>
      <c r="O119" s="25" t="n">
        <f aca="false">IF(AND(ISNUMBER(O116),ISNUMBER(J116)),IFERROR(O116/J116-1,""),"")</f>
        <v>0.0490471797871623</v>
      </c>
      <c r="P119" s="25" t="n">
        <f aca="false">IF(AND(ISNUMBER(P116),ISNUMBER(K116)),IFERROR(P116/K116-1,""),"")</f>
        <v>0.0477255936675463</v>
      </c>
      <c r="Q119" s="25" t="n">
        <f aca="false">IF(AND(ISNUMBER(Q116),ISNUMBER(L116)),IFERROR(Q116/L116-1,""),"")</f>
        <v>0.00813861343727917</v>
      </c>
      <c r="R119" s="25" t="n">
        <f aca="false">IF(AND(ISNUMBER(R116),ISNUMBER(M116)),IFERROR(R116/M116-1,""),"")</f>
        <v>-0.00806956917994195</v>
      </c>
      <c r="S119" s="25" t="n">
        <f aca="false">IF(AND(ISNUMBER(S116),ISNUMBER(N116)),IFERROR(S116/N116-1,""),"")</f>
        <v>0.00188304215922175</v>
      </c>
      <c r="T119" s="25" t="n">
        <f aca="false">IF(AND(ISNUMBER(T116),ISNUMBER(O116)),IFERROR(T116/O116-1,""),"")</f>
        <v>0.00686297638707201</v>
      </c>
      <c r="U119" s="25" t="n">
        <f aca="false">IF(AND(ISNUMBER(U116),ISNUMBER(P116)),IFERROR(U116/P116-1,""),"")</f>
        <v>-0.000684986703199386</v>
      </c>
      <c r="V119" s="25" t="n">
        <f aca="false">IF(AND(ISNUMBER(V116),ISNUMBER(Q116)),IFERROR(V116/Q116-1,""),"")</f>
        <v>-0.253850566166005</v>
      </c>
      <c r="W119" s="25" t="n">
        <f aca="false">IF(AND(ISNUMBER(W116),ISNUMBER(R116)),IFERROR(W116/R116-1,""),"")</f>
        <v>-0.172504881130125</v>
      </c>
      <c r="X119" s="25" t="n">
        <f aca="false">IF(AND(ISNUMBER(X116),ISNUMBER(S116)),IFERROR(X116/S116-1,""),"")</f>
        <v>-0.246439386029028</v>
      </c>
      <c r="Y119" s="25" t="n">
        <f aca="false">IF(AND(ISNUMBER(Y116),ISNUMBER(T116)),IFERROR(Y116/T116-1,""),"")</f>
        <v>-0.164142543719514</v>
      </c>
      <c r="Z119" s="25" t="n">
        <f aca="false">IF(AND(ISNUMBER(Z116),ISNUMBER(U116)),IFERROR(Z116/U116-1,""),"")</f>
        <v>-0.144812709164953</v>
      </c>
      <c r="AA119" s="25" t="n">
        <f aca="false">IF(AND(ISNUMBER(AA116),ISNUMBER(V116)),IFERROR(AA116/V116-1,""),"")</f>
        <v>0.176499060417972</v>
      </c>
      <c r="AB119" s="25" t="n">
        <f aca="false">IF(AND(ISNUMBER(AB116),ISNUMBER(W116)),IFERROR(AB116/W116-1,""),"")</f>
        <v>0.060444136016655</v>
      </c>
      <c r="AC119" s="25" t="n">
        <f aca="false">IF(AND(ISNUMBER(AC116),ISNUMBER(X116)),IFERROR(AC116/X116-1,""),"")</f>
        <v>0.169651579290134</v>
      </c>
      <c r="AD119" s="25" t="n">
        <f aca="false">IF(AND(ISNUMBER(AD116),ISNUMBER(Y116)),IFERROR(AD116/Y116-1,""),"")</f>
        <v>0.0717616778369561</v>
      </c>
      <c r="AE119" s="25" t="n">
        <f aca="false">IF(AND(ISNUMBER(AE116),ISNUMBER(Z116)),IFERROR(AE116/Z116-1,""),"")</f>
        <v>0.0632263844032157</v>
      </c>
      <c r="AF119" s="25" t="n">
        <f aca="false">IF(AND(ISNUMBER(AF116),ISNUMBER(AA116)),IFERROR(AF116/AA116-1,""),"")</f>
        <v>0.0958592483240968</v>
      </c>
      <c r="AG119" s="25" t="n">
        <f aca="false">IF(AND(ISNUMBER(AG116),ISNUMBER(AB116)),IFERROR(AG116/AB116-1,""),"")</f>
        <v>0.109373295813974</v>
      </c>
      <c r="AH119" s="25" t="n">
        <f aca="false">IF(AND(ISNUMBER(AH116),ISNUMBER(AC116)),IFERROR(AH116/AC116-1,""),"")</f>
        <v>0.0857283324645783</v>
      </c>
      <c r="AI119" s="25" t="n">
        <f aca="false">IF(AND(ISNUMBER(AI116),ISNUMBER(AD116)),IFERROR(AI116/AD116-1,""),"")</f>
        <v>0.116437216159022</v>
      </c>
      <c r="AJ119" s="25" t="n">
        <f aca="false">IF(AND(ISNUMBER(AJ116),ISNUMBER(AE116)),IFERROR(AJ116/AE116-1,""),"")</f>
        <v>0.104410101771579</v>
      </c>
      <c r="AK119" s="25" t="n">
        <f aca="false">IF(AND(ISNUMBER(AK116),ISNUMBER(AF116)),IFERROR(AK116/AF116-1,""),"")</f>
        <v>0.0717503643831985</v>
      </c>
      <c r="AL119" s="25" t="n">
        <f aca="false">IF(AND(ISNUMBER(AL116),ISNUMBER(AG116)),IFERROR(AL116/AG116-1,""),"")</f>
        <v>-0.0946182433096722</v>
      </c>
      <c r="AM119" s="25" t="n">
        <f aca="false">IF(AND(ISNUMBER(AM116),ISNUMBER(AH116)),IFERROR(AM116/AH116-1,""),"")</f>
        <v>-0.0698974887750482</v>
      </c>
      <c r="AN119" s="25" t="n">
        <f aca="false">IF(AND(ISNUMBER(AN116),ISNUMBER(AI116)),IFERROR(AN116/AI116-1,""),"")</f>
        <v>-0.1012054351067</v>
      </c>
      <c r="AO119" s="25" t="n">
        <f aca="false">IF(AND(ISNUMBER(AO116),ISNUMBER(AJ116)),IFERROR(AO116/AJ116-1,""),"")</f>
        <v>-0.107709295322225</v>
      </c>
      <c r="AP119" s="25" t="n">
        <f aca="false">IF(AND(ISNUMBER(AP116),ISNUMBER(AK116)),IFERROR(AP116/AK116-1,""),"")</f>
        <v>-0.0978961900640828</v>
      </c>
      <c r="AQ119" s="25" t="n">
        <f aca="false">IF(AND(ISNUMBER(AQ116),ISNUMBER(AL116)),IFERROR(AQ116/AL116-1,""),"")</f>
        <v>0.0573134976653273</v>
      </c>
      <c r="AR119" s="25" t="n">
        <f aca="false">IF(AND(ISNUMBER(AR116),ISNUMBER(AM116)),IFERROR(AR116/AM116-1,""),"")</f>
        <v>0.0505968267002961</v>
      </c>
      <c r="AS119" s="25" t="n">
        <f aca="false">IF(AND(ISNUMBER(AS116),ISNUMBER(AN116)),IFERROR(AS116/AN116-1,""),"")</f>
        <v>0.029121842566703</v>
      </c>
      <c r="AT119" s="25" t="n">
        <f aca="false">IF(AND(ISNUMBER(AT116),ISNUMBER(AO116)),IFERROR(AT116/AO116-1,""),"")</f>
        <v>0.191900101248734</v>
      </c>
      <c r="AU119" s="25" t="n">
        <f aca="false">IF(AND(ISNUMBER(AU116),ISNUMBER(AP116)),IFERROR(AU116/AP116-1,""),"")</f>
        <v>0.343809958885336</v>
      </c>
      <c r="AV119" s="25" t="n">
        <f aca="false">IF(AND(ISNUMBER(AV116),ISNUMBER(AQ116)),IFERROR(AV116/AQ116-1,""),"")</f>
        <v>0.388546545066141</v>
      </c>
      <c r="AW119" s="25" t="n">
        <f aca="false">IF(AND(ISNUMBER(AW116),ISNUMBER(AR116)),IFERROR(AW116/AR116-1,""),"")</f>
        <v>0.244144692397452</v>
      </c>
      <c r="AX119" s="25" t="n">
        <f aca="false">IF(AND(ISNUMBER(AX116),ISNUMBER(AS116)),IFERROR(AX116/AS116-1,""),"")</f>
        <v>0.579056434344132</v>
      </c>
      <c r="AY119" s="25" t="n">
        <f aca="false">IF(AND(ISNUMBER(AY116),ISNUMBER(AT116)),IFERROR(AY116/AT116-1,""),"")</f>
        <v>0.362555215766225</v>
      </c>
      <c r="AZ119" s="25" t="n">
        <f aca="false">IF(AND(ISNUMBER(AZ116),ISNUMBER(AU116)),IFERROR(AZ116/AU116-1,""),"")</f>
        <v>0.228753059559423</v>
      </c>
      <c r="BA119" s="25" t="n">
        <f aca="false">IF(AND(ISNUMBER(BA116),ISNUMBER(AV116)),IFERROR(BA116/AV116-1,""),"")</f>
        <v>0.205325443786982</v>
      </c>
      <c r="BB119" s="25" t="n">
        <f aca="false">IF(AND(ISNUMBER(BB116),ISNUMBER(AW116)),IFERROR(BB116/AW116-1,""),"")</f>
        <v>0.321710644408544</v>
      </c>
      <c r="BC119" s="25" t="n">
        <f aca="false">IF(AND(ISNUMBER(BC116),ISNUMBER(AX116)),IFERROR(BC116/AX116-1,""),"")</f>
        <v>0.121026538349373</v>
      </c>
      <c r="BD119" s="25" t="n">
        <f aca="false">IF(AND(ISNUMBER(BD116),ISNUMBER(AY116)),IFERROR(BD116/AY116-1,""),"")</f>
        <v>0.073843169853145</v>
      </c>
      <c r="BE119" s="25" t="n">
        <f aca="false">IF(AND(ISNUMBER(BE116),ISNUMBER(AZ116)),IFERROR(BE116/AZ116-1,""),"")</f>
        <v>0.0600359662470604</v>
      </c>
      <c r="BF119" s="25" t="n">
        <f aca="false">IF(AND(ISNUMBER(BF116),ISNUMBER(BA116)),IFERROR(BF116/BA116-1,""),"")</f>
        <v>-0.124447717231222</v>
      </c>
      <c r="BG119" s="25" t="n">
        <f aca="false">IF(AND(ISNUMBER(BG116),ISNUMBER(BB116)),IFERROR(BG116/BB116-1,""),"")</f>
        <v>-0.0954062404508879</v>
      </c>
      <c r="BH119" s="25" t="n">
        <f aca="false">IF(AND(ISNUMBER(BH116),ISNUMBER(BC116)),IFERROR(BH116/BC116-1,""),"")</f>
        <v>-0.226196670135276</v>
      </c>
      <c r="BI119" s="25" t="n">
        <f aca="false">IF(AND(ISNUMBER(BI116),ISNUMBER(BD116)),IFERROR(BI116/BD116-1,""),"")</f>
        <v>-0.237259708424719</v>
      </c>
      <c r="BJ119" s="25" t="n">
        <f aca="false">IF(AND(ISNUMBER(BJ116),ISNUMBER(BE116)),IFERROR(BJ116/BE116-1,""),"")</f>
        <v>-0.266083779198747</v>
      </c>
      <c r="BK119" s="25" t="n">
        <f aca="false">IF(AND(ISNUMBER(BK116),ISNUMBER(BF116)),IFERROR(BK116/BF116-1,""),"")</f>
        <v>-0.102186711522288</v>
      </c>
      <c r="BL119" s="25" t="n">
        <f aca="false">IF(AND(ISNUMBER(BL116),ISNUMBER(BG116)),IFERROR(BL116/BG116-1,""),"")</f>
        <v>-0.103329204669144</v>
      </c>
      <c r="BM119" s="25" t="n">
        <f aca="false">IF(AND(ISNUMBER(BM116),ISNUMBER(BH116)),IFERROR(BM116/BH116-1,""),"")</f>
        <v>-0.0257186081694403</v>
      </c>
      <c r="BN119" s="25" t="n">
        <f aca="false">IF(AND(ISNUMBER(BN116),ISNUMBER(BI116)),IFERROR(BN116/BI116-1,""),"")</f>
        <v>-0.0285859269282814</v>
      </c>
      <c r="BO119" s="25" t="n">
        <f aca="false">IF(AND(ISNUMBER(BO116),ISNUMBER(BJ116)),IFERROR(BO116/BJ116-1,""),"")</f>
        <v>0.0309388335704126</v>
      </c>
      <c r="BP119" s="25" t="n">
        <f aca="false">IF(AND(ISNUMBER(BP116),ISNUMBER(BK116)),IFERROR(BP116/BK116-1,""),"")</f>
        <v>0.0207650273224043</v>
      </c>
      <c r="BQ119" s="25" t="n">
        <f aca="false">IF(AND(ISNUMBER(BQ116),ISNUMBER(BL116)),IFERROR(BQ116/BL116-1,""),"")</f>
        <v>-0.000627877773126784</v>
      </c>
      <c r="BR119" s="25" t="n">
        <f aca="false">IF(AND(ISNUMBER(BR116),ISNUMBER(BM116)),IFERROR(BR116/BM116-1,""),"")</f>
        <v>-0.00948930296756378</v>
      </c>
      <c r="BS119" s="25" t="n">
        <f aca="false">IF(AND(ISNUMBER(BS116),ISNUMBER(BN116)),IFERROR(BS116/BN116-1,""),"")</f>
        <v>0.0336061292007661</v>
      </c>
      <c r="BT119" s="25" t="n">
        <f aca="false">IF(AND(ISNUMBER(BT116),ISNUMBER(BO116)),IFERROR(BT116/BO116-1,""),"")</f>
        <v>0.0439806829941358</v>
      </c>
      <c r="BU119" s="25" t="n">
        <f aca="false">IF(AND(ISNUMBER(BU116),ISNUMBER(BP116)),IFERROR(BU116/BP116-1,""),"")</f>
        <v>0.0458855919241359</v>
      </c>
      <c r="BV119" s="25" t="n">
        <f aca="false">IF(AND(ISNUMBER(BV116),ISNUMBER(BQ116)),IFERROR(BV116/BQ116-1,""),"")</f>
        <v>0.0290261780104713</v>
      </c>
      <c r="BW119" s="25" t="n">
        <f aca="false">IF(AND(ISNUMBER(BW116),ISNUMBER(BR116)),IFERROR(BW116/BR116-1,""),"")</f>
        <v>0.0365789932067584</v>
      </c>
      <c r="BX119" s="25" t="n">
        <f aca="false">IF(AND(ISNUMBER(BX116),ISNUMBER(BS116)),IFERROR(BX116/BS116-1,""),"")</f>
        <v>0.0554245283018868</v>
      </c>
      <c r="BY119" s="26" t="n">
        <f aca="false">IF(AND(ISNUMBER(BY116),ISNUMBER(BT116)),IFERROR(BY116/BT116-1,""),"")</f>
        <v>0.0933179169937397</v>
      </c>
      <c r="BZ119" s="26" t="n">
        <f aca="false">IF(AND(ISNUMBER(BZ116),ISNUMBER(BU116)),IFERROR(BZ116/BU116-1,""),"")</f>
        <v>0.12087827558305</v>
      </c>
      <c r="CA119" s="26" t="n">
        <f aca="false">IF(AND(ISNUMBER(CA116),ISNUMBER(BV116)),IFERROR(CA116/BV116-1,""),"")</f>
        <v>0.0785745278410941</v>
      </c>
      <c r="CB119" s="26" t="n">
        <f aca="false">IF(AND(ISNUMBER(CB116),ISNUMBER(CA116)),IFERROR(CB116/CA116-1,""),"")</f>
        <v>0.0938676515298342</v>
      </c>
      <c r="CC119" s="26" t="n">
        <f aca="false">IF(AND(ISNUMBER(CC116),ISNUMBER(CB116)),IFERROR(CC116/CB116-1,""),"")</f>
        <v>0.0655081138269944</v>
      </c>
      <c r="CD119" s="26" t="n">
        <f aca="false">IF(AND(ISNUMBER(CD116),ISNUMBER(CC116)),IFERROR(CD116/CC116-1,""),"")</f>
        <v>0.0708596705258719</v>
      </c>
      <c r="CE119" s="26" t="n">
        <f aca="false">IF(AND(ISNUMBER(CE116),ISNUMBER(CD116)),IFERROR(CE116/CD116-1,""),"")</f>
        <v>0.0713828241414765</v>
      </c>
      <c r="CF119" s="7"/>
    </row>
    <row r="120" customFormat="false" ht="15" hidden="false" customHeight="true" outlineLevel="0" collapsed="false">
      <c r="B120" s="65" t="s">
        <v>249</v>
      </c>
      <c r="C120" s="66" t="n">
        <f aca="false">IF(ISNUMBER(C116),IF(ABS(C116-C178)&lt;=1.5,0,ROUND(C116-C178,1)),"")</f>
        <v>0</v>
      </c>
      <c r="D120" s="66" t="n">
        <f aca="false">IF(ISNUMBER(D116),IF(ABS(D116-D178)&lt;=1.5,0,ROUND(D116-D178,1)),"")</f>
        <v>0</v>
      </c>
      <c r="E120" s="66" t="n">
        <f aca="false">IF(ISNUMBER(E116),IF(ABS(E116-E178)&lt;=1.5,0,ROUND(E116-E178,1)),"")</f>
        <v>0</v>
      </c>
      <c r="F120" s="66" t="n">
        <f aca="false">IF(ISNUMBER(F116),IF(ABS(F116-F178)&lt;=1.5,0,ROUND(F116-F178,1)),"")</f>
        <v>0</v>
      </c>
      <c r="G120" s="66" t="n">
        <f aca="false">IF(ISNUMBER(G116),IF(ABS(G116-G178)&lt;=1.5,0,ROUND(G116-G178,1)),"")</f>
        <v>0</v>
      </c>
      <c r="H120" s="66" t="n">
        <f aca="false">IF(ISNUMBER(H116),IF(ABS(H116-H178)&lt;=1.5,0,ROUND(H116-H178,1)),"")</f>
        <v>0</v>
      </c>
      <c r="I120" s="66" t="n">
        <f aca="false">IF(ISNUMBER(I116),IF(ABS(I116-I178)&lt;=1.5,0,ROUND(I116-I178,1)),"")</f>
        <v>0</v>
      </c>
      <c r="J120" s="66" t="n">
        <f aca="false">IF(ISNUMBER(J116),IF(ABS(J116-J178)&lt;=1.5,0,ROUND(J116-J178,1)),"")</f>
        <v>0</v>
      </c>
      <c r="K120" s="66" t="n">
        <f aca="false">IF(ISNUMBER(K116),IF(ABS(K116-K178)&lt;=1.5,0,ROUND(K116-K178,1)),"")</f>
        <v>0</v>
      </c>
      <c r="L120" s="66" t="n">
        <f aca="false">IF(ISNUMBER(L116),IF(ABS(L116-L178)&lt;=1.5,0,ROUND(L116-L178,1)),"")</f>
        <v>0</v>
      </c>
      <c r="M120" s="66" t="n">
        <f aca="false">IF(ISNUMBER(M116),IF(ABS(M116-M178)&lt;=1.5,0,ROUND(M116-M178,1)),"")</f>
        <v>0</v>
      </c>
      <c r="N120" s="66" t="n">
        <f aca="false">IF(ISNUMBER(N116),IF(ABS(N116-N178)&lt;=1.5,0,ROUND(N116-N178,1)),"")</f>
        <v>0</v>
      </c>
      <c r="O120" s="66" t="n">
        <f aca="false">IF(ISNUMBER(O116),IF(ABS(O116-O178)&lt;=1.5,0,ROUND(O116-O178,1)),"")</f>
        <v>0</v>
      </c>
      <c r="P120" s="66" t="n">
        <f aca="false">IF(ISNUMBER(P116),IF(ABS(P116-P178)&lt;=1.5,0,ROUND(P116-P178,1)),"")</f>
        <v>0</v>
      </c>
      <c r="Q120" s="66" t="n">
        <f aca="false">IF(ISNUMBER(Q116),IF(ABS(Q116-Q178)&lt;=1.5,0,ROUND(Q116-Q178,1)),"")</f>
        <v>0</v>
      </c>
      <c r="R120" s="66" t="n">
        <f aca="false">IF(ISNUMBER(R116),IF(ABS(R116-R178)&lt;=1.5,0,ROUND(R116-R178,1)),"")</f>
        <v>0</v>
      </c>
      <c r="S120" s="66" t="n">
        <f aca="false">IF(ISNUMBER(S116),IF(ABS(S116-S178)&lt;=1.5,0,ROUND(S116-S178,1)),"")</f>
        <v>0</v>
      </c>
      <c r="T120" s="66" t="n">
        <f aca="false">IF(ISNUMBER(T116),IF(ABS(T116-T178)&lt;=1.5,0,ROUND(T116-T178,1)),"")</f>
        <v>0</v>
      </c>
      <c r="U120" s="66" t="n">
        <f aca="false">IF(ISNUMBER(U116),IF(ABS(U116-U178)&lt;=1.5,0,ROUND(U116-U178,1)),"")</f>
        <v>0</v>
      </c>
      <c r="V120" s="66" t="n">
        <f aca="false">IF(ISNUMBER(V116),IF(ABS(V116-V178)&lt;=1.5,0,ROUND(V116-V178,1)),"")</f>
        <v>0</v>
      </c>
      <c r="W120" s="66" t="n">
        <f aca="false">IF(ISNUMBER(W116),IF(ABS(W116-W178)&lt;=1.5,0,ROUND(W116-W178,1)),"")</f>
        <v>0</v>
      </c>
      <c r="X120" s="66" t="n">
        <f aca="false">IF(ISNUMBER(X116),IF(ABS(X116-X178)&lt;=1.5,0,ROUND(X116-X178,1)),"")</f>
        <v>0</v>
      </c>
      <c r="Y120" s="66" t="n">
        <f aca="false">IF(ISNUMBER(Y116),IF(ABS(Y116-Y178)&lt;=1.5,0,ROUND(Y116-Y178,1)),"")</f>
        <v>0</v>
      </c>
      <c r="Z120" s="66" t="n">
        <f aca="false">IF(ISNUMBER(Z116),IF(ABS(Z116-Z178)&lt;=1.5,0,ROUND(Z116-Z178,1)),"")</f>
        <v>0</v>
      </c>
      <c r="AA120" s="66" t="n">
        <f aca="false">IF(ISNUMBER(AA116),IF(ABS(AA116-AA178)&lt;=1.5,0,ROUND(AA116-AA178,1)),"")</f>
        <v>0</v>
      </c>
      <c r="AB120" s="66" t="n">
        <f aca="false">IF(ISNUMBER(AB116),IF(ABS(AB116-AB178)&lt;=1.5,0,ROUND(AB116-AB178,1)),"")</f>
        <v>0</v>
      </c>
      <c r="AC120" s="66" t="n">
        <f aca="false">IF(ISNUMBER(AC116),IF(ABS(AC116-AC178)&lt;=1.5,0,ROUND(AC116-AC178,1)),"")</f>
        <v>0</v>
      </c>
      <c r="AD120" s="66" t="n">
        <f aca="false">IF(ISNUMBER(AD116),IF(ABS(AD116-AD178)&lt;=1.5,0,ROUND(AD116-AD178,1)),"")</f>
        <v>0</v>
      </c>
      <c r="AE120" s="66" t="n">
        <f aca="false">IF(ISNUMBER(AE116),IF(ABS(AE116-AE178)&lt;=1.5,0,ROUND(AE116-AE178,1)),"")</f>
        <v>0</v>
      </c>
      <c r="AF120" s="66" t="n">
        <f aca="false">IF(ISNUMBER(AF116),IF(ABS(AF116-AF178)&lt;=1.5,0,ROUND(AF116-AF178,1)),"")</f>
        <v>0</v>
      </c>
      <c r="AG120" s="66" t="n">
        <f aca="false">IF(ISNUMBER(AG116),IF(ABS(AG116-AG178)&lt;=1.5,0,ROUND(AG116-AG178,1)),"")</f>
        <v>0</v>
      </c>
      <c r="AH120" s="66" t="n">
        <f aca="false">IF(ISNUMBER(AH116),IF(ABS(AH116-AH178)&lt;=1.5,0,ROUND(AH116-AH178,1)),"")</f>
        <v>0</v>
      </c>
      <c r="AI120" s="66" t="n">
        <f aca="false">IF(ISNUMBER(AI116),IF(ABS(AI116-AI178)&lt;=1.5,0,ROUND(AI116-AI178,1)),"")</f>
        <v>0</v>
      </c>
      <c r="AJ120" s="66" t="n">
        <f aca="false">IF(ISNUMBER(AJ116),IF(ABS(AJ116-AJ178)&lt;=1.5,0,ROUND(AJ116-AJ178,1)),"")</f>
        <v>0</v>
      </c>
      <c r="AK120" s="66" t="n">
        <f aca="false">IF(ISNUMBER(AK116),IF(ABS(AK116-AK178)&lt;=1.5,0,ROUND(AK116-AK178,1)),"")</f>
        <v>0</v>
      </c>
      <c r="AL120" s="66" t="n">
        <f aca="false">IF(ISNUMBER(AL116),IF(ABS(AL116-AL178)&lt;=1.5,0,ROUND(AL116-AL178,1)),"")</f>
        <v>0</v>
      </c>
      <c r="AM120" s="66" t="n">
        <f aca="false">IF(ISNUMBER(AM116),IF(ABS(AM116-AM178)&lt;=1.5,0,ROUND(AM116-AM178,1)),"")</f>
        <v>0</v>
      </c>
      <c r="AN120" s="66" t="n">
        <f aca="false">IF(ISNUMBER(AN116),IF(ABS(AN116-AN178)&lt;=1.5,0,ROUND(AN116-AN178,1)),"")</f>
        <v>0</v>
      </c>
      <c r="AO120" s="66" t="n">
        <f aca="false">IF(ISNUMBER(AO116),IF(ABS(AO116-AO178)&lt;=1.5,0,ROUND(AO116-AO178,1)),"")</f>
        <v>0</v>
      </c>
      <c r="AP120" s="66" t="n">
        <f aca="false">IF(ISNUMBER(AP116),IF(ABS(AP116-AP178)&lt;=1.5,0,ROUND(AP116-AP178,1)),"")</f>
        <v>0</v>
      </c>
      <c r="AQ120" s="66" t="n">
        <f aca="false">IF(ISNUMBER(AQ116),IF(ABS(AQ116-AQ178)&lt;=1.5,0,ROUND(AQ116-AQ178,1)),"")</f>
        <v>0</v>
      </c>
      <c r="AR120" s="66" t="n">
        <f aca="false">IF(ISNUMBER(AR116),IF(ABS(AR116-AR178)&lt;=1.5,0,ROUND(AR116-AR178,1)),"")</f>
        <v>0</v>
      </c>
      <c r="AS120" s="66" t="n">
        <f aca="false">IF(ISNUMBER(AS116),IF(ABS(AS116-AS178)&lt;=1.5,0,ROUND(AS116-AS178,1)),"")</f>
        <v>0</v>
      </c>
      <c r="AT120" s="66" t="n">
        <f aca="false">IF(ISNUMBER(AT116),IF(ABS(AT116-AT178)&lt;=1.5,0,ROUND(AT116-AT178,1)),"")</f>
        <v>0</v>
      </c>
      <c r="AU120" s="66" t="n">
        <f aca="false">IF(ISNUMBER(AU116),IF(ABS(AU116-AU178)&lt;=1.5,0,ROUND(AU116-AU178,1)),"")</f>
        <v>0</v>
      </c>
      <c r="AV120" s="66" t="n">
        <f aca="false">IF(ISNUMBER(AV116),IF(ABS(AV116-AV178)&lt;=1.5,0,ROUND(AV116-AV178,1)),"")</f>
        <v>0</v>
      </c>
      <c r="AW120" s="66" t="n">
        <f aca="false">IF(ISNUMBER(AW116),IF(ABS(AW116-AW178)&lt;=1.5,0,ROUND(AW116-AW178,1)),"")</f>
        <v>0</v>
      </c>
      <c r="AX120" s="66" t="n">
        <f aca="false">IF(ISNUMBER(AX116),IF(ABS(AX116-AX178)&lt;=1.5,0,ROUND(AX116-AX178,1)),"")</f>
        <v>0</v>
      </c>
      <c r="AY120" s="66" t="n">
        <f aca="false">IF(ISNUMBER(AY116),IF(ABS(AY116-AY178)&lt;=1.5,0,ROUND(AY116-AY178,1)),"")</f>
        <v>0</v>
      </c>
      <c r="AZ120" s="66" t="n">
        <f aca="false">IF(ISNUMBER(AZ116),IF(ABS(AZ116-AZ178)&lt;=1.5,0,ROUND(AZ116-AZ178,1)),"")</f>
        <v>0</v>
      </c>
      <c r="BA120" s="66" t="n">
        <f aca="false">IF(ISNUMBER(BA116),IF(ABS(BA116-BA178)&lt;=1.5,0,ROUND(BA116-BA178,1)),"")</f>
        <v>0</v>
      </c>
      <c r="BB120" s="66" t="n">
        <f aca="false">IF(ISNUMBER(BB116),IF(ABS(BB116-BB178)&lt;=1.5,0,ROUND(BB116-BB178,1)),"")</f>
        <v>0</v>
      </c>
      <c r="BC120" s="66" t="n">
        <f aca="false">IF(ISNUMBER(BC116),IF(ABS(BC116-BC178)&lt;=1.5,0,ROUND(BC116-BC178,1)),"")</f>
        <v>0</v>
      </c>
      <c r="BD120" s="66" t="n">
        <f aca="false">IF(ISNUMBER(BD116),IF(ABS(BD116-BD178)&lt;=1.5,0,ROUND(BD116-BD178,1)),"")</f>
        <v>0</v>
      </c>
      <c r="BE120" s="66" t="n">
        <f aca="false">IF(ISNUMBER(BE116),IF(ABS(BE116-BE178)&lt;=1.5,0,ROUND(BE116-BE178,1)),"")</f>
        <v>0</v>
      </c>
      <c r="BF120" s="66" t="n">
        <f aca="false">IF(ISNUMBER(BF116),IF(ABS(BF116-BF178)&lt;=1.5,0,ROUND(BF116-BF178,1)),"")</f>
        <v>0</v>
      </c>
      <c r="BG120" s="66" t="n">
        <f aca="false">IF(ISNUMBER(BG116),IF(ABS(BG116-BG178)&lt;=1.5,0,ROUND(BG116-BG178,1)),"")</f>
        <v>0</v>
      </c>
      <c r="BH120" s="66" t="n">
        <f aca="false">IF(ISNUMBER(BH116),IF(ABS(BH116-BH178)&lt;=1.5,0,ROUND(BH116-BH178,1)),"")</f>
        <v>0</v>
      </c>
      <c r="BI120" s="66" t="n">
        <f aca="false">IF(ISNUMBER(BI116),IF(ABS(BI116-BI178)&lt;=1.5,0,ROUND(BI116-BI178,1)),"")</f>
        <v>0</v>
      </c>
      <c r="BJ120" s="66" t="n">
        <f aca="false">IF(ISNUMBER(BJ116),IF(ABS(BJ116-BJ178)&lt;=1.5,0,ROUND(BJ116-BJ178,1)),"")</f>
        <v>0</v>
      </c>
      <c r="BK120" s="66" t="n">
        <f aca="false">IF(ISNUMBER(BK116),IF(ABS(BK116-BK178)&lt;=1.5,0,ROUND(BK116-BK178,1)),"")</f>
        <v>0</v>
      </c>
      <c r="BL120" s="66" t="n">
        <f aca="false">IF(ISNUMBER(BL116),IF(ABS(BL116-BL178)&lt;=1.5,0,ROUND(BL116-BL178,1)),"")</f>
        <v>0</v>
      </c>
      <c r="BM120" s="66" t="n">
        <f aca="false">IF(ISNUMBER(BM116),IF(ABS(BM116-BM178)&lt;=1.5,0,ROUND(BM116-BM178,1)),"")</f>
        <v>0</v>
      </c>
      <c r="BN120" s="66" t="n">
        <f aca="false">IF(ISNUMBER(BN116),IF(ABS(BN116-BN178)&lt;=1.5,0,ROUND(BN116-BN178,1)),"")</f>
        <v>0</v>
      </c>
      <c r="BO120" s="66" t="n">
        <f aca="false">IF(ISNUMBER(BO116),IF(ABS(BO116-BO178)&lt;=1.5,0,ROUND(BO116-BO178,1)),"")</f>
        <v>0</v>
      </c>
      <c r="BP120" s="66" t="n">
        <f aca="false">IF(ISNUMBER(BP116),IF(ABS(BP116-BP178)&lt;=1.5,0,ROUND(BP116-BP178,1)),"")</f>
        <v>0</v>
      </c>
      <c r="BQ120" s="66" t="n">
        <f aca="false">IF(ISNUMBER(BQ116),IF(ABS(BQ116-BQ178)&lt;=1.5,0,ROUND(BQ116-BQ178,1)),"")</f>
        <v>0</v>
      </c>
      <c r="BR120" s="66" t="n">
        <f aca="false">IF(ISNUMBER(BR116),IF(ABS(BR116-BR178)&lt;=1.5,0,ROUND(BR116-BR178,1)),"")</f>
        <v>0</v>
      </c>
      <c r="BS120" s="66" t="n">
        <f aca="false">IF(ISNUMBER(BS116),IF(ABS(BS116-BS178)&lt;=1.5,0,ROUND(BS116-BS178,1)),"")</f>
        <v>0</v>
      </c>
      <c r="BT120" s="66" t="n">
        <f aca="false">IF(ISNUMBER(BT116),IF(ABS(BT116-BT178)&lt;=1.5,0,ROUND(BT116-BT178,1)),"")</f>
        <v>0</v>
      </c>
      <c r="BU120" s="66" t="n">
        <f aca="false">IF(ISNUMBER(BU116),IF(ABS(BU116-BU178)&lt;=1.5,0,ROUND(BU116-BU178,1)),"")</f>
        <v>0</v>
      </c>
      <c r="BV120" s="66" t="n">
        <f aca="false">IF(ISNUMBER(BV116),IF(ABS(BV116-BV178)&lt;=1.5,0,ROUND(BV116-BV178,1)),"")</f>
        <v>0</v>
      </c>
      <c r="BW120" s="66" t="n">
        <f aca="false">IF(ISNUMBER(BW116),IF(ABS(BW116-BW178)&lt;=1.5,0,ROUND(BW116-BW178,1)),"")</f>
        <v>0</v>
      </c>
      <c r="BX120" s="66" t="n">
        <f aca="false">IF(ISNUMBER(BX116),IF(ABS(BX116-BX178)&lt;=1.5,0,ROUND(BX116-BX178,1)),"")</f>
        <v>0</v>
      </c>
      <c r="BY120" s="67" t="n">
        <f aca="false">IF(ISNUMBER(BY116),IF(ABS(BY116-BY178)&lt;=1.5,0,ROUND(BY116-BY178,1)),"")</f>
        <v>0</v>
      </c>
      <c r="BZ120" s="67" t="n">
        <f aca="false">IF(ISNUMBER(BZ116),IF(ABS(BZ116-BZ178)&lt;=1.5,0,ROUND(BZ116-BZ178,1)),"")</f>
        <v>0</v>
      </c>
      <c r="CA120" s="67" t="n">
        <f aca="false">IF(ISNUMBER(CA116),IF(ABS(CA116-CA178)&lt;=1.5,0,ROUND(CA116-CA178,1)),"")</f>
        <v>0</v>
      </c>
      <c r="CB120" s="67" t="n">
        <f aca="false">IF(ISNUMBER(CB116),IF(ABS(CB116-CB178)&lt;=1.5,0,ROUND(CB116-CB178,1)),"")</f>
        <v>0</v>
      </c>
      <c r="CC120" s="67" t="n">
        <f aca="false">IF(ISNUMBER(CC116),IF(ABS(CC116-CC178)&lt;=1.5,0,ROUND(CC116-CC178,1)),"")</f>
        <v>0</v>
      </c>
      <c r="CD120" s="67" t="n">
        <f aca="false">IF(ISNUMBER(CD116),IF(ABS(CD116-CD178)&lt;=1.5,0,ROUND(CD116-CD178,1)),"")</f>
        <v>0</v>
      </c>
      <c r="CE120" s="67" t="n">
        <f aca="false">IF(ISNUMBER(CE116),IF(ABS(CE116-CE178)&lt;=1.5,0,ROUND(CE116-CE178,1)),"")</f>
        <v>0</v>
      </c>
      <c r="CF120" s="7"/>
    </row>
    <row r="121" customFormat="false" ht="15" hidden="false" customHeight="true" outlineLevel="0" collapsed="false">
      <c r="B121" s="65" t="s">
        <v>250</v>
      </c>
      <c r="C121" s="66" t="str">
        <f aca="false">IF(AND(ISNUMBER(C117),ISNUMBER(C243)),IF(ABS(C117-C243)&lt;=1.5,0,ROUND(C117-C243,1)),"")</f>
        <v/>
      </c>
      <c r="D121" s="66" t="str">
        <f aca="false">IF(AND(ISNUMBER(D117),ISNUMBER(D243)),IF(ABS(D117-D243)&lt;=1.5,0,ROUND(D117-D243,1)),"")</f>
        <v/>
      </c>
      <c r="E121" s="66" t="str">
        <f aca="false">IF(AND(ISNUMBER(E117),ISNUMBER(E243)),IF(ABS(E117-E243)&lt;=1.5,0,ROUND(E117-E243,1)),"")</f>
        <v/>
      </c>
      <c r="F121" s="66" t="str">
        <f aca="false">IF(AND(ISNUMBER(F117),ISNUMBER(F243)),IF(ABS(F117-F243)&lt;=1.5,0,ROUND(F117-F243,1)),"")</f>
        <v/>
      </c>
      <c r="G121" s="66" t="str">
        <f aca="false">IF(AND(ISNUMBER(G117),ISNUMBER(G243)),IF(ABS(G117-G243)&lt;=1.5,0,ROUND(G117-G243,1)),"")</f>
        <v/>
      </c>
      <c r="H121" s="66" t="str">
        <f aca="false">IF(AND(ISNUMBER(H117),ISNUMBER(H243)),IF(ABS(H117-H243)&lt;=1.5,0,ROUND(H117-H243,1)),"")</f>
        <v/>
      </c>
      <c r="I121" s="66" t="str">
        <f aca="false">IF(AND(ISNUMBER(I117),ISNUMBER(I243)),IF(ABS(I117-I243)&lt;=1.5,0,ROUND(I117-I243,1)),"")</f>
        <v/>
      </c>
      <c r="J121" s="66" t="str">
        <f aca="false">IF(AND(ISNUMBER(J117),ISNUMBER(J243)),IF(ABS(J117-J243)&lt;=1.5,0,ROUND(J117-J243,1)),"")</f>
        <v/>
      </c>
      <c r="K121" s="66" t="str">
        <f aca="false">IF(AND(ISNUMBER(K117),ISNUMBER(K243)),IF(ABS(K117-K243)&lt;=1.5,0,ROUND(K117-K243,1)),"")</f>
        <v/>
      </c>
      <c r="L121" s="66" t="str">
        <f aca="false">IF(AND(ISNUMBER(L117),ISNUMBER(L243)),IF(ABS(L117-L243)&lt;=1.5,0,ROUND(L117-L243,1)),"")</f>
        <v/>
      </c>
      <c r="M121" s="66" t="str">
        <f aca="false">IF(AND(ISNUMBER(M117),ISNUMBER(M243)),IF(ABS(M117-M243)&lt;=1.5,0,ROUND(M117-M243,1)),"")</f>
        <v/>
      </c>
      <c r="N121" s="66" t="str">
        <f aca="false">IF(AND(ISNUMBER(N117),ISNUMBER(N243)),IF(ABS(N117-N243)&lt;=1.5,0,ROUND(N117-N243,1)),"")</f>
        <v/>
      </c>
      <c r="O121" s="66" t="str">
        <f aca="false">IF(AND(ISNUMBER(O117),ISNUMBER(O243)),IF(ABS(O117-O243)&lt;=1.5,0,ROUND(O117-O243,1)),"")</f>
        <v/>
      </c>
      <c r="P121" s="66" t="str">
        <f aca="false">IF(AND(ISNUMBER(P117),ISNUMBER(P243)),IF(ABS(P117-P243)&lt;=1.5,0,ROUND(P117-P243,1)),"")</f>
        <v/>
      </c>
      <c r="Q121" s="66" t="str">
        <f aca="false">IF(AND(ISNUMBER(Q117),ISNUMBER(Q243)),IF(ABS(Q117-Q243)&lt;=1.5,0,ROUND(Q117-Q243,1)),"")</f>
        <v/>
      </c>
      <c r="R121" s="66" t="str">
        <f aca="false">IF(AND(ISNUMBER(R117),ISNUMBER(R243)),IF(ABS(R117-R243)&lt;=1.5,0,ROUND(R117-R243,1)),"")</f>
        <v/>
      </c>
      <c r="S121" s="66" t="str">
        <f aca="false">IF(AND(ISNUMBER(S117),ISNUMBER(S243)),IF(ABS(S117-S243)&lt;=1.5,0,ROUND(S117-S243,1)),"")</f>
        <v/>
      </c>
      <c r="T121" s="66" t="str">
        <f aca="false">IF(AND(ISNUMBER(T117),ISNUMBER(T243)),IF(ABS(T117-T243)&lt;=1.5,0,ROUND(T117-T243,1)),"")</f>
        <v/>
      </c>
      <c r="U121" s="66" t="str">
        <f aca="false">IF(AND(ISNUMBER(U117),ISNUMBER(U243)),IF(ABS(U117-U243)&lt;=1.5,0,ROUND(U117-U243,1)),"")</f>
        <v/>
      </c>
      <c r="V121" s="66" t="str">
        <f aca="false">IF(AND(ISNUMBER(V117),ISNUMBER(V243)),IF(ABS(V117-V243)&lt;=1.5,0,ROUND(V117-V243,1)),"")</f>
        <v/>
      </c>
      <c r="W121" s="66" t="str">
        <f aca="false">IF(AND(ISNUMBER(W117),ISNUMBER(W243)),IF(ABS(W117-W243)&lt;=1.5,0,ROUND(W117-W243,1)),"")</f>
        <v/>
      </c>
      <c r="X121" s="66" t="str">
        <f aca="false">IF(AND(ISNUMBER(X117),ISNUMBER(X243)),IF(ABS(X117-X243)&lt;=1.5,0,ROUND(X117-X243,1)),"")</f>
        <v/>
      </c>
      <c r="Y121" s="66" t="str">
        <f aca="false">IF(AND(ISNUMBER(Y117),ISNUMBER(Y243)),IF(ABS(Y117-Y243)&lt;=1.5,0,ROUND(Y117-Y243,1)),"")</f>
        <v/>
      </c>
      <c r="Z121" s="66" t="str">
        <f aca="false">IF(AND(ISNUMBER(Z117),ISNUMBER(Z243)),IF(ABS(Z117-Z243)&lt;=1.5,0,ROUND(Z117-Z243,1)),"")</f>
        <v/>
      </c>
      <c r="AA121" s="66" t="str">
        <f aca="false">IF(AND(ISNUMBER(AA117),ISNUMBER(AA243)),IF(ABS(AA117-AA243)&lt;=1.5,0,ROUND(AA117-AA243,1)),"")</f>
        <v/>
      </c>
      <c r="AB121" s="66" t="str">
        <f aca="false">IF(AND(ISNUMBER(AB117),ISNUMBER(AB243)),IF(ABS(AB117-AB243)&lt;=1.5,0,ROUND(AB117-AB243,1)),"")</f>
        <v/>
      </c>
      <c r="AC121" s="66" t="str">
        <f aca="false">IF(AND(ISNUMBER(AC117),ISNUMBER(AC243)),IF(ABS(AC117-AC243)&lt;=1.5,0,ROUND(AC117-AC243,1)),"")</f>
        <v/>
      </c>
      <c r="AD121" s="66" t="str">
        <f aca="false">IF(AND(ISNUMBER(AD117),ISNUMBER(AD243)),IF(ABS(AD117-AD243)&lt;=1.5,0,ROUND(AD117-AD243,1)),"")</f>
        <v/>
      </c>
      <c r="AE121" s="66" t="str">
        <f aca="false">IF(AND(ISNUMBER(AE117),ISNUMBER(AE243)),IF(ABS(AE117-AE243)&lt;=1.5,0,ROUND(AE117-AE243,1)),"")</f>
        <v/>
      </c>
      <c r="AF121" s="66" t="str">
        <f aca="false">IF(AND(ISNUMBER(AF117),ISNUMBER(AF243)),IF(ABS(AF117-AF243)&lt;=1.5,0,ROUND(AF117-AF243,1)),"")</f>
        <v/>
      </c>
      <c r="AG121" s="66" t="str">
        <f aca="false">IF(AND(ISNUMBER(AG117),ISNUMBER(AG243)),IF(ABS(AG117-AG243)&lt;=1.5,0,ROUND(AG117-AG243,1)),"")</f>
        <v/>
      </c>
      <c r="AH121" s="66" t="str">
        <f aca="false">IF(AND(ISNUMBER(AH117),ISNUMBER(AH243)),IF(ABS(AH117-AH243)&lt;=1.5,0,ROUND(AH117-AH243,1)),"")</f>
        <v/>
      </c>
      <c r="AI121" s="66" t="str">
        <f aca="false">IF(AND(ISNUMBER(AI117),ISNUMBER(AI243)),IF(ABS(AI117-AI243)&lt;=1.5,0,ROUND(AI117-AI243,1)),"")</f>
        <v/>
      </c>
      <c r="AJ121" s="66" t="str">
        <f aca="false">IF(AND(ISNUMBER(AJ117),ISNUMBER(AJ243)),IF(ABS(AJ117-AJ243)&lt;=1.5,0,ROUND(AJ117-AJ243,1)),"")</f>
        <v/>
      </c>
      <c r="AK121" s="66" t="str">
        <f aca="false">IF(AND(ISNUMBER(AK117),ISNUMBER(AK243)),IF(ABS(AK117-AK243)&lt;=1.5,0,ROUND(AK117-AK243,1)),"")</f>
        <v/>
      </c>
      <c r="AL121" s="66" t="str">
        <f aca="false">IF(AND(ISNUMBER(AL117),ISNUMBER(AL243)),IF(ABS(AL117-AL243)&lt;=1.5,0,ROUND(AL117-AL243,1)),"")</f>
        <v/>
      </c>
      <c r="AM121" s="66" t="str">
        <f aca="false">IF(AND(ISNUMBER(AM117),ISNUMBER(AM243)),IF(ABS(AM117-AM243)&lt;=1.5,0,ROUND(AM117-AM243,1)),"")</f>
        <v/>
      </c>
      <c r="AN121" s="66" t="str">
        <f aca="false">IF(AND(ISNUMBER(AN117),ISNUMBER(AN243)),IF(ABS(AN117-AN243)&lt;=1.5,0,ROUND(AN117-AN243,1)),"")</f>
        <v/>
      </c>
      <c r="AO121" s="66" t="str">
        <f aca="false">IF(AND(ISNUMBER(AO117),ISNUMBER(AO243)),IF(ABS(AO117-AO243)&lt;=1.5,0,ROUND(AO117-AO243,1)),"")</f>
        <v/>
      </c>
      <c r="AP121" s="66" t="str">
        <f aca="false">IF(AND(ISNUMBER(AP117),ISNUMBER(AP243)),IF(ABS(AP117-AP243)&lt;=1.5,0,ROUND(AP117-AP243,1)),"")</f>
        <v/>
      </c>
      <c r="AQ121" s="66" t="str">
        <f aca="false">IF(AND(ISNUMBER(AQ117),ISNUMBER(AQ243)),IF(ABS(AQ117-AQ243)&lt;=1.5,0,ROUND(AQ117-AQ243,1)),"")</f>
        <v/>
      </c>
      <c r="AR121" s="66" t="str">
        <f aca="false">IF(AND(ISNUMBER(AR117),ISNUMBER(AR243)),IF(ABS(AR117-AR243)&lt;=1.5,0,ROUND(AR117-AR243,1)),"")</f>
        <v/>
      </c>
      <c r="AS121" s="66" t="str">
        <f aca="false">IF(AND(ISNUMBER(AS117),ISNUMBER(AS243)),IF(ABS(AS117-AS243)&lt;=1.5,0,ROUND(AS117-AS243,1)),"")</f>
        <v/>
      </c>
      <c r="AT121" s="66" t="str">
        <f aca="false">IF(AND(ISNUMBER(AT117),ISNUMBER(AT243)),IF(ABS(AT117-AT243)&lt;=1.5,0,ROUND(AT117-AT243,1)),"")</f>
        <v/>
      </c>
      <c r="AU121" s="66" t="str">
        <f aca="false">IF(AND(ISNUMBER(AU117),ISNUMBER(AU243)),IF(ABS(AU117-AU243)&lt;=1.5,0,ROUND(AU117-AU243,1)),"")</f>
        <v/>
      </c>
      <c r="AV121" s="66" t="str">
        <f aca="false">IF(AND(ISNUMBER(AV117),ISNUMBER(AV243)),IF(ABS(AV117-AV243)&lt;=1.5,0,ROUND(AV117-AV243,1)),"")</f>
        <v/>
      </c>
      <c r="AW121" s="66" t="str">
        <f aca="false">IF(AND(ISNUMBER(AW117),ISNUMBER(AW243)),IF(ABS(AW117-AW243)&lt;=1.5,0,ROUND(AW117-AW243,1)),"")</f>
        <v/>
      </c>
      <c r="AX121" s="66" t="str">
        <f aca="false">IF(AND(ISNUMBER(AX117),ISNUMBER(AX243)),IF(ABS(AX117-AX243)&lt;=1.5,0,ROUND(AX117-AX243,1)),"")</f>
        <v/>
      </c>
      <c r="AY121" s="66" t="str">
        <f aca="false">IF(AND(ISNUMBER(AY117),ISNUMBER(AY243)),IF(ABS(AY117-AY243)&lt;=1.5,0,ROUND(AY117-AY243,1)),"")</f>
        <v/>
      </c>
      <c r="AZ121" s="66" t="str">
        <f aca="false">IF(AND(ISNUMBER(AZ117),ISNUMBER(AZ243)),IF(ABS(AZ117-AZ243)&lt;=1.5,0,ROUND(AZ117-AZ243,1)),"")</f>
        <v/>
      </c>
      <c r="BA121" s="66" t="str">
        <f aca="false">IF(AND(ISNUMBER(BA117),ISNUMBER(BA243)),IF(ABS(BA117-BA243)&lt;=1.5,0,ROUND(BA117-BA243,1)),"")</f>
        <v/>
      </c>
      <c r="BB121" s="66" t="str">
        <f aca="false">IF(AND(ISNUMBER(BB117),ISNUMBER(BB243)),IF(ABS(BB117-BB243)&lt;=1.5,0,ROUND(BB117-BB243,1)),"")</f>
        <v/>
      </c>
      <c r="BC121" s="66" t="str">
        <f aca="false">IF(AND(ISNUMBER(BC117),ISNUMBER(BC243)),IF(ABS(BC117-BC243)&lt;=1.5,0,ROUND(BC117-BC243,1)),"")</f>
        <v/>
      </c>
      <c r="BD121" s="66" t="str">
        <f aca="false">IF(AND(ISNUMBER(BD117),ISNUMBER(BD243)),IF(ABS(BD117-BD243)&lt;=1.5,0,ROUND(BD117-BD243,1)),"")</f>
        <v/>
      </c>
      <c r="BE121" s="66" t="str">
        <f aca="false">IF(AND(ISNUMBER(BE117),ISNUMBER(BE243)),IF(ABS(BE117-BE243)&lt;=1.5,0,ROUND(BE117-BE243,1)),"")</f>
        <v/>
      </c>
      <c r="BF121" s="66" t="str">
        <f aca="false">IF(AND(ISNUMBER(BF117),ISNUMBER(BF243)),IF(ABS(BF117-BF243)&lt;=1.5,0,ROUND(BF117-BF243,1)),"")</f>
        <v/>
      </c>
      <c r="BG121" s="66" t="str">
        <f aca="false">IF(AND(ISNUMBER(BG117),ISNUMBER(BG243)),IF(ABS(BG117-BG243)&lt;=1.5,0,ROUND(BG117-BG243,1)),"")</f>
        <v/>
      </c>
      <c r="BH121" s="66" t="str">
        <f aca="false">IF(AND(ISNUMBER(BH117),ISNUMBER(BH243)),IF(ABS(BH117-BH243)&lt;=1.5,0,ROUND(BH117-BH243,1)),"")</f>
        <v/>
      </c>
      <c r="BI121" s="66" t="str">
        <f aca="false">IF(AND(ISNUMBER(BI117),ISNUMBER(BI243)),IF(ABS(BI117-BI243)&lt;=1.5,0,ROUND(BI117-BI243,1)),"")</f>
        <v/>
      </c>
      <c r="BJ121" s="66" t="str">
        <f aca="false">IF(AND(ISNUMBER(BJ117),ISNUMBER(BJ243)),IF(ABS(BJ117-BJ243)&lt;=1.5,0,ROUND(BJ117-BJ243,1)),"")</f>
        <v/>
      </c>
      <c r="BK121" s="66" t="str">
        <f aca="false">IF(AND(ISNUMBER(BK117),ISNUMBER(BK243)),IF(ABS(BK117-BK243)&lt;=1.5,0,ROUND(BK117-BK243,1)),"")</f>
        <v/>
      </c>
      <c r="BL121" s="66" t="str">
        <f aca="false">IF(AND(ISNUMBER(BL117),ISNUMBER(BL243)),IF(ABS(BL117-BL243)&lt;=1.5,0,ROUND(BL117-BL243,1)),"")</f>
        <v/>
      </c>
      <c r="BM121" s="66" t="n">
        <f aca="false">IF(AND(ISNUMBER(BM117),ISNUMBER(BM243)),IF(ABS(BM117-BM243)&lt;=1.5,0,ROUND(BM117-BM243,1)),"")</f>
        <v>0</v>
      </c>
      <c r="BN121" s="66" t="n">
        <f aca="false">IF(AND(ISNUMBER(BN117),ISNUMBER(BN243)),IF(ABS(BN117-BN243)&lt;=1.5,0,ROUND(BN117-BN243,1)),"")</f>
        <v>0</v>
      </c>
      <c r="BO121" s="66" t="n">
        <f aca="false">IF(AND(ISNUMBER(BO117),ISNUMBER(BO243)),IF(ABS(BO117-BO243)&lt;=1.5,0,ROUND(BO117-BO243,1)),"")</f>
        <v>0</v>
      </c>
      <c r="BP121" s="66" t="n">
        <f aca="false">IF(AND(ISNUMBER(BP117),ISNUMBER(BP243)),IF(ABS(BP117-BP243)&lt;=1.5,0,ROUND(BP117-BP243,1)),"")</f>
        <v>0</v>
      </c>
      <c r="BQ121" s="66" t="n">
        <f aca="false">IF(AND(ISNUMBER(BQ117),ISNUMBER(BQ243)),IF(ABS(BQ117-BQ243)&lt;=1.5,0,ROUND(BQ117-BQ243,1)),"")</f>
        <v>0</v>
      </c>
      <c r="BR121" s="66" t="n">
        <f aca="false">IF(AND(ISNUMBER(BR117),ISNUMBER(BR243)),IF(ABS(BR117-BR243)&lt;=1.5,0,ROUND(BR117-BR243,1)),"")</f>
        <v>0</v>
      </c>
      <c r="BS121" s="66" t="n">
        <f aca="false">IF(AND(ISNUMBER(BS117),ISNUMBER(BS243)),IF(ABS(BS117-BS243)&lt;=1.5,0,ROUND(BS117-BS243,1)),"")</f>
        <v>0</v>
      </c>
      <c r="BT121" s="66" t="n">
        <f aca="false">IF(AND(ISNUMBER(BT117),ISNUMBER(BT243)),IF(ABS(BT117-BT243)&lt;=1.5,0,ROUND(BT117-BT243,1)),"")</f>
        <v>0</v>
      </c>
      <c r="BU121" s="66" t="n">
        <f aca="false">IF(AND(ISNUMBER(BU117),ISNUMBER(BU243)),IF(ABS(BU117-BU243)&lt;=1.5,0,ROUND(BU117-BU243,1)),"")</f>
        <v>0</v>
      </c>
      <c r="BV121" s="66" t="n">
        <f aca="false">IF(AND(ISNUMBER(BV117),ISNUMBER(BV243)),IF(ABS(BV117-BV243)&lt;=1.5,0,ROUND(BV117-BV243,1)),"")</f>
        <v>0</v>
      </c>
      <c r="BW121" s="66" t="n">
        <f aca="false">IF(AND(ISNUMBER(BW117),ISNUMBER(BW243)),IF(ABS(BW117-BW243)&lt;=1.5,0,ROUND(BW117-BW243,1)),"")</f>
        <v>0</v>
      </c>
      <c r="BX121" s="66" t="n">
        <f aca="false">IF(AND(ISNUMBER(BX117),ISNUMBER(BX243)),IF(ABS(BX117-BX243)&lt;=1.5,0,ROUND(BX117-BX243,1)),"")</f>
        <v>0</v>
      </c>
      <c r="BY121" s="67" t="n">
        <f aca="false">IF(AND(ISNUMBER(BY117),ISNUMBER(BY243)),IF(ABS(BY117-BY243)&lt;=1.5,0,ROUND(BY117-BY243,1)),"")</f>
        <v>0</v>
      </c>
      <c r="BZ121" s="67" t="n">
        <f aca="false">IF(AND(ISNUMBER(BZ117),ISNUMBER(BZ243)),IF(ABS(BZ117-BZ243)&lt;=1.5,0,ROUND(BZ117-BZ243,1)),"")</f>
        <v>0</v>
      </c>
      <c r="CA121" s="67" t="n">
        <f aca="false">IF(AND(ISNUMBER(CA117),ISNUMBER(CA243)),IF(ABS(CA117-CA243)&lt;=1.5,0,ROUND(CA117-CA243,1)),"")</f>
        <v>0</v>
      </c>
      <c r="CB121" s="67" t="n">
        <f aca="false">IF(AND(ISNUMBER(CB117),ISNUMBER(CB243)),IF(ABS(CB117-CB243)&lt;=1.5,0,ROUND(CB117-CB243,1)),"")</f>
        <v>0</v>
      </c>
      <c r="CC121" s="67" t="n">
        <f aca="false">IF(AND(ISNUMBER(CC117),ISNUMBER(CC243)),IF(ABS(CC117-CC243)&lt;=1.5,0,ROUND(CC117-CC243,1)),"")</f>
        <v>0</v>
      </c>
      <c r="CD121" s="67" t="n">
        <f aca="false">IF(AND(ISNUMBER(CD117),ISNUMBER(CD243)),IF(ABS(CD117-CD243)&lt;=1.5,0,ROUND(CD117-CD243,1)),"")</f>
        <v>0</v>
      </c>
      <c r="CE121" s="67" t="n">
        <f aca="false">IF(AND(ISNUMBER(CE117),ISNUMBER(CE243)),IF(ABS(CE117-CE243)&lt;=1.5,0,ROUND(CE117-CE243,1)),"")</f>
        <v>0</v>
      </c>
      <c r="CF121" s="7"/>
    </row>
    <row r="122" customFormat="false" ht="15" hidden="false" customHeight="true" outlineLevel="0" collapsed="false">
      <c r="B122" s="24" t="s">
        <v>251</v>
      </c>
      <c r="C122" s="68" t="n">
        <v>0.065</v>
      </c>
      <c r="D122" s="30" t="n">
        <v>0.045</v>
      </c>
      <c r="E122" s="30" t="n">
        <v>0.025</v>
      </c>
      <c r="F122" s="30" t="n">
        <v>-0.12</v>
      </c>
      <c r="G122" s="30" t="n">
        <v>0.115</v>
      </c>
      <c r="H122" s="30" t="n">
        <v>0.07</v>
      </c>
      <c r="I122" s="30" t="n">
        <v>0.025</v>
      </c>
      <c r="J122" s="68" t="n">
        <v>0.01</v>
      </c>
      <c r="K122" s="68" t="n">
        <v>0.025</v>
      </c>
      <c r="L122" s="68" t="n">
        <v>0.03</v>
      </c>
      <c r="M122" s="68" t="n">
        <v>0.035</v>
      </c>
      <c r="N122" s="30" t="n">
        <v>0.025</v>
      </c>
      <c r="O122" s="30" t="n">
        <v>0.035</v>
      </c>
      <c r="P122" s="30" t="n">
        <v>0.03</v>
      </c>
      <c r="Q122" s="30" t="n">
        <v>0.03</v>
      </c>
      <c r="R122" s="30" t="n">
        <v>0.04</v>
      </c>
      <c r="S122" s="30" t="n">
        <v>0.035</v>
      </c>
      <c r="T122" s="30" t="n">
        <v>0.05</v>
      </c>
      <c r="U122" s="30" t="n">
        <v>0.035</v>
      </c>
      <c r="V122" s="30" t="n">
        <v>0.03</v>
      </c>
      <c r="W122" s="30" t="n">
        <v>0</v>
      </c>
      <c r="X122" s="30" t="n">
        <v>0.03</v>
      </c>
      <c r="Y122" s="30" t="n">
        <v>0.005</v>
      </c>
      <c r="Z122" s="30" t="n">
        <v>0.02</v>
      </c>
      <c r="AA122" s="30" t="n">
        <v>0.03</v>
      </c>
      <c r="AB122" s="30" t="n">
        <v>0.035</v>
      </c>
      <c r="AC122" s="30" t="n">
        <v>0.03</v>
      </c>
      <c r="AD122" s="30" t="n">
        <v>0.025</v>
      </c>
      <c r="AE122" s="30" t="n">
        <v>0.02</v>
      </c>
      <c r="AF122" s="30" t="n">
        <v>0.03</v>
      </c>
      <c r="AG122" s="30" t="n">
        <v>0.055</v>
      </c>
      <c r="AH122" s="30" t="n">
        <v>0.035</v>
      </c>
      <c r="AI122" s="30" t="n">
        <v>0.055</v>
      </c>
      <c r="AJ122" s="30" t="n">
        <v>0.06</v>
      </c>
      <c r="AK122" s="30" t="n">
        <v>0.065</v>
      </c>
      <c r="AL122" s="30" t="n">
        <v>0.055</v>
      </c>
      <c r="AM122" s="30" t="n">
        <v>0.06</v>
      </c>
      <c r="AN122" s="30" t="n">
        <v>0.055</v>
      </c>
      <c r="AO122" s="30" t="n">
        <v>0.055</v>
      </c>
      <c r="AP122" s="30" t="n">
        <v>0.05</v>
      </c>
      <c r="AQ122" s="30" t="n">
        <v>0.06</v>
      </c>
      <c r="AR122" s="30" t="n">
        <v>0.06</v>
      </c>
      <c r="AS122" s="30" t="n">
        <v>0.045</v>
      </c>
      <c r="AT122" s="30" t="n">
        <v>-0.005</v>
      </c>
      <c r="AU122" s="30" t="n">
        <v>0.09</v>
      </c>
      <c r="AV122" s="30" t="n">
        <v>0.12</v>
      </c>
      <c r="AW122" s="30" t="n">
        <v>0.065</v>
      </c>
      <c r="AX122" s="30" t="n">
        <v>0.2</v>
      </c>
      <c r="AY122" s="30" t="n">
        <v>0.315</v>
      </c>
      <c r="AZ122" s="30" t="n">
        <v>0.205</v>
      </c>
      <c r="BA122" s="30" t="n">
        <v>0.195</v>
      </c>
      <c r="BB122" s="30" t="n">
        <v>0.23</v>
      </c>
      <c r="BC122" s="30" t="n">
        <v>0.12</v>
      </c>
      <c r="BD122" s="30" t="n">
        <v>0.095</v>
      </c>
      <c r="BE122" s="30" t="n">
        <v>0.1</v>
      </c>
      <c r="BF122" s="30" t="n">
        <v>0.075</v>
      </c>
      <c r="BG122" s="30" t="n">
        <v>0.095</v>
      </c>
      <c r="BH122" s="30" t="n">
        <v>-0.04</v>
      </c>
      <c r="BI122" s="30" t="n">
        <v>-0.07</v>
      </c>
      <c r="BJ122" s="30" t="n">
        <v>-0.115</v>
      </c>
      <c r="BK122" s="30" t="n">
        <v>-0.115</v>
      </c>
      <c r="BL122" s="30" t="n">
        <v>-0.1</v>
      </c>
      <c r="BM122" s="30" t="n">
        <v>-0.04</v>
      </c>
      <c r="BN122" s="30" t="n">
        <v>-0.035</v>
      </c>
      <c r="BO122" s="30" t="n">
        <v>0.005</v>
      </c>
      <c r="BP122" s="30" t="n">
        <v>0.01</v>
      </c>
      <c r="BQ122" s="30" t="n">
        <v>-0.015</v>
      </c>
      <c r="BR122" s="30" t="n">
        <v>0</v>
      </c>
      <c r="BS122" s="30" t="n">
        <v>0.015</v>
      </c>
      <c r="BT122" s="30" t="n">
        <v>0.03</v>
      </c>
      <c r="BU122" s="30" t="n">
        <v>0.025</v>
      </c>
      <c r="BV122" s="30" t="n">
        <v>0.02</v>
      </c>
      <c r="BW122" s="30" t="n">
        <v>0.005</v>
      </c>
      <c r="BX122" s="30" t="n">
        <v>0.03</v>
      </c>
      <c r="BY122" s="26" t="n">
        <f aca="false">(BT11*BY13+BT29*BY31+BT47*BY49)/(BT11+BT29+BT47)</f>
        <v>0.0370334299625155</v>
      </c>
      <c r="BZ122" s="26" t="n">
        <f aca="false">(BU11*BZ13+BU29*BZ31+BU47*BZ49)/(BU11+BU29+BU47)</f>
        <v>0.062727646744208</v>
      </c>
      <c r="CA122" s="26" t="n">
        <f aca="false">(BW125+BX125+BY125+BZ125)/BV178</f>
        <v>0.035</v>
      </c>
      <c r="CB122" s="26" t="n">
        <f aca="false">IFERROR((CA11*CB13+CA29*CB31+CA47*CB49)/CA178,"")</f>
        <v>0.0474060865132837</v>
      </c>
      <c r="CC122" s="26" t="n">
        <f aca="false">IFERROR((CB11*CC13+CB29*CC31+CB47*CC49+(CC69-CB69-(CC71-CB71))+(CC87-CB87))/CB178,"")</f>
        <v>0.0560206976573011</v>
      </c>
      <c r="CD122" s="26" t="n">
        <f aca="false">IFERROR((CC11*CD13+CC29*CD31+CC47*CD49+(CD69-CC69-(CD71-CC71))+(CD87-CC87))/CC178,"")</f>
        <v>0.0572412178861838</v>
      </c>
      <c r="CE122" s="26" t="n">
        <f aca="false">IFERROR((CD11*CE13+CD29*CE31+CD47*CE49+(CE69-CD69-(CE71-CD71))+(CE87-CD87))/CD178,"")</f>
        <v>0.0567454420929929</v>
      </c>
      <c r="CF122" s="7" t="s">
        <v>252</v>
      </c>
      <c r="CH122" s="32" t="n">
        <f aca="false">IFERROR(AVERAGE(CA122,CB122,CC122,CD122,CE122),"n/m")</f>
        <v>0.0504826888299523</v>
      </c>
      <c r="CI122" s="32" t="n">
        <f aca="false">IFERROR(AVERAGE(BB122,BG122,BL122,BQ122,BV122),"n/m")</f>
        <v>0.046</v>
      </c>
      <c r="CJ122" s="32" t="n">
        <f aca="false">IFERROR(AVERAGE(AC122,AH122,AM122,AR122,AW122,BB122,BG122,BL122,BQ122,BV122),"n/m")</f>
        <v>0.048</v>
      </c>
      <c r="CK122" s="32" t="n">
        <f aca="false">IFERROR(AVERAGE(C122,D122,E122,F122,G122,H122,I122,N122,S122,X122,AC122,AH122,AM122,AR122,AW122,BB122,BG122,BL122,BQ122,BV122),"n/m")</f>
        <v>0.03975</v>
      </c>
    </row>
    <row r="123" customFormat="false" ht="15" hidden="false" customHeight="true" outlineLevel="0" collapsed="false">
      <c r="B123" s="24" t="s">
        <v>253</v>
      </c>
      <c r="C123" s="68" t="n">
        <v>0.13</v>
      </c>
      <c r="D123" s="30" t="n">
        <v>0.085</v>
      </c>
      <c r="E123" s="30" t="n">
        <v>0.105</v>
      </c>
      <c r="F123" s="30" t="n">
        <v>0.02</v>
      </c>
      <c r="G123" s="30" t="n">
        <v>0.07</v>
      </c>
      <c r="H123" s="30" t="n">
        <v>0.185</v>
      </c>
      <c r="I123" s="30" t="n">
        <v>0.13</v>
      </c>
      <c r="J123" s="68" t="n">
        <v>0.03</v>
      </c>
      <c r="K123" s="68" t="n">
        <v>0.02</v>
      </c>
      <c r="L123" s="68" t="n">
        <v>0.03</v>
      </c>
      <c r="M123" s="68" t="n">
        <v>0.03</v>
      </c>
      <c r="N123" s="30" t="n">
        <v>0.025</v>
      </c>
      <c r="O123" s="30" t="n">
        <v>0.02</v>
      </c>
      <c r="P123" s="30" t="n">
        <v>0.015</v>
      </c>
      <c r="Q123" s="30" t="n">
        <v>0.02</v>
      </c>
      <c r="R123" s="30" t="n">
        <v>0.025</v>
      </c>
      <c r="S123" s="30" t="n">
        <v>0.015</v>
      </c>
      <c r="T123" s="30" t="n">
        <v>0.06</v>
      </c>
      <c r="U123" s="30" t="n">
        <v>-0.065</v>
      </c>
      <c r="V123" s="30" t="n">
        <v>0.105</v>
      </c>
      <c r="W123" s="30" t="n">
        <v>0.175</v>
      </c>
      <c r="X123" s="30" t="n">
        <v>0.105</v>
      </c>
      <c r="Y123" s="30" t="n">
        <v>0.165</v>
      </c>
      <c r="Z123" s="30" t="n">
        <v>0.15</v>
      </c>
      <c r="AA123" s="30" t="n">
        <v>0.145</v>
      </c>
      <c r="AB123" s="30" t="n">
        <v>0.04</v>
      </c>
      <c r="AC123" s="30" t="n">
        <v>0.15</v>
      </c>
      <c r="AD123" s="30" t="n">
        <v>0.06</v>
      </c>
      <c r="AE123" s="30" t="n">
        <v>0.06</v>
      </c>
      <c r="AF123" s="30" t="n">
        <v>0.055</v>
      </c>
      <c r="AG123" s="30" t="n">
        <v>0.025</v>
      </c>
      <c r="AH123" s="30" t="n">
        <v>0.045</v>
      </c>
      <c r="AI123" s="30" t="n">
        <v>0.01</v>
      </c>
      <c r="AJ123" s="30" t="n">
        <v>0.02</v>
      </c>
      <c r="AK123" s="30" t="n">
        <v>0.02</v>
      </c>
      <c r="AL123" s="30" t="n">
        <v>-0.02</v>
      </c>
      <c r="AM123" s="30" t="n">
        <v>0.02</v>
      </c>
      <c r="AN123" s="30" t="n">
        <v>0.025</v>
      </c>
      <c r="AO123" s="30" t="n">
        <v>0.01</v>
      </c>
      <c r="AP123" s="30" t="n">
        <v>0.005</v>
      </c>
      <c r="AQ123" s="30" t="n">
        <v>0.005</v>
      </c>
      <c r="AR123" s="30" t="n">
        <v>0.01</v>
      </c>
      <c r="AS123" s="30" t="n">
        <v>0</v>
      </c>
      <c r="AT123" s="30" t="n">
        <v>0.215</v>
      </c>
      <c r="AU123" s="30" t="n">
        <v>0.245</v>
      </c>
      <c r="AV123" s="30" t="n">
        <v>0.245</v>
      </c>
      <c r="AW123" s="30" t="n">
        <v>0.18</v>
      </c>
      <c r="AX123" s="30" t="n">
        <v>0.345</v>
      </c>
      <c r="AY123" s="30" t="n">
        <v>0.01</v>
      </c>
      <c r="AZ123" s="30" t="n">
        <v>0.01</v>
      </c>
      <c r="BA123" s="30" t="n">
        <v>0.02</v>
      </c>
      <c r="BB123" s="30" t="n">
        <v>0.075</v>
      </c>
      <c r="BC123" s="30" t="n">
        <v>-0.02</v>
      </c>
      <c r="BD123" s="30" t="n">
        <v>0.025</v>
      </c>
      <c r="BE123" s="30" t="n">
        <v>0.015</v>
      </c>
      <c r="BF123" s="30" t="n">
        <v>0</v>
      </c>
      <c r="BG123" s="30" t="n">
        <v>0.015</v>
      </c>
      <c r="BH123" s="30" t="n">
        <v>0</v>
      </c>
      <c r="BI123" s="30" t="n">
        <v>0</v>
      </c>
      <c r="BJ123" s="30" t="n">
        <v>0.005</v>
      </c>
      <c r="BK123" s="30" t="n">
        <v>0.005</v>
      </c>
      <c r="BL123" s="30" t="n">
        <v>0.005</v>
      </c>
      <c r="BM123" s="30" t="n">
        <v>0.02</v>
      </c>
      <c r="BN123" s="30" t="n">
        <v>0.02</v>
      </c>
      <c r="BO123" s="30" t="n">
        <v>0.025</v>
      </c>
      <c r="BP123" s="30" t="n">
        <v>0.015</v>
      </c>
      <c r="BQ123" s="30" t="n">
        <v>0.02</v>
      </c>
      <c r="BR123" s="30" t="n">
        <v>0.005</v>
      </c>
      <c r="BS123" s="30" t="n">
        <v>0</v>
      </c>
      <c r="BT123" s="30" t="n">
        <v>0</v>
      </c>
      <c r="BU123" s="30" t="n">
        <v>-0.005</v>
      </c>
      <c r="BV123" s="30" t="n">
        <v>0</v>
      </c>
      <c r="BW123" s="30" t="n">
        <v>0</v>
      </c>
      <c r="BX123" s="30" t="n">
        <v>0.015</v>
      </c>
      <c r="BY123" s="31"/>
      <c r="BZ123" s="31"/>
      <c r="CA123" s="31"/>
      <c r="CB123" s="31"/>
      <c r="CC123" s="31"/>
      <c r="CD123" s="31"/>
      <c r="CE123" s="31"/>
      <c r="CF123" s="7"/>
    </row>
    <row r="124" customFormat="false" ht="15" hidden="false" customHeight="true" outlineLevel="0" collapsed="false">
      <c r="B124" s="24" t="s">
        <v>254</v>
      </c>
      <c r="C124" s="68" t="n">
        <v>0.005</v>
      </c>
      <c r="D124" s="30" t="n">
        <v>0.035</v>
      </c>
      <c r="E124" s="30" t="n">
        <v>0.02</v>
      </c>
      <c r="F124" s="30" t="n">
        <v>-0.02</v>
      </c>
      <c r="G124" s="30" t="n">
        <v>-0.005</v>
      </c>
      <c r="H124" s="30" t="n">
        <v>0.025</v>
      </c>
      <c r="I124" s="30" t="n">
        <v>-0.02</v>
      </c>
      <c r="J124" s="68" t="n">
        <v>-0.01</v>
      </c>
      <c r="K124" s="68" t="n">
        <v>-0.005</v>
      </c>
      <c r="L124" s="68" t="n">
        <v>-0.005</v>
      </c>
      <c r="M124" s="68" t="n">
        <v>-0.005</v>
      </c>
      <c r="N124" s="30" t="n">
        <v>-0.005</v>
      </c>
      <c r="O124" s="30" t="n">
        <v>-0.005</v>
      </c>
      <c r="P124" s="30" t="n">
        <v>0.005</v>
      </c>
      <c r="Q124" s="30" t="n">
        <v>-0.005</v>
      </c>
      <c r="R124" s="30" t="n">
        <v>-0.035</v>
      </c>
      <c r="S124" s="30" t="n">
        <v>-0.01</v>
      </c>
      <c r="T124" s="30" t="n">
        <v>-0.065</v>
      </c>
      <c r="U124" s="30" t="n">
        <v>0.065</v>
      </c>
      <c r="V124" s="30" t="n">
        <v>-0.07</v>
      </c>
      <c r="W124" s="30" t="n">
        <v>-0.05</v>
      </c>
      <c r="X124" s="30" t="n">
        <v>-0.06</v>
      </c>
      <c r="Y124" s="30" t="n">
        <v>-0.02</v>
      </c>
      <c r="Z124" s="30" t="n">
        <v>-0.005</v>
      </c>
      <c r="AA124" s="30" t="n">
        <v>0</v>
      </c>
      <c r="AB124" s="30" t="n">
        <v>-0.015</v>
      </c>
      <c r="AC124" s="30" t="n">
        <v>-0.01</v>
      </c>
      <c r="AD124" s="30" t="n">
        <v>-0.015</v>
      </c>
      <c r="AE124" s="30" t="n">
        <v>-0.015</v>
      </c>
      <c r="AF124" s="30" t="n">
        <v>0.01</v>
      </c>
      <c r="AG124" s="30" t="n">
        <v>0.03</v>
      </c>
      <c r="AH124" s="30" t="n">
        <v>0.005</v>
      </c>
      <c r="AI124" s="30" t="n">
        <v>0.05</v>
      </c>
      <c r="AJ124" s="30" t="n">
        <v>0.025</v>
      </c>
      <c r="AK124" s="30" t="n">
        <v>-0.015</v>
      </c>
      <c r="AL124" s="30" t="n">
        <v>0.02</v>
      </c>
      <c r="AM124" s="30" t="n">
        <v>0.005</v>
      </c>
      <c r="AN124" s="30" t="n">
        <v>-0.04</v>
      </c>
      <c r="AO124" s="30" t="n">
        <v>-0.03</v>
      </c>
      <c r="AP124" s="30" t="n">
        <v>-0.015</v>
      </c>
      <c r="AQ124" s="30" t="n">
        <v>-0.01</v>
      </c>
      <c r="AR124" s="30" t="n">
        <v>-0.02</v>
      </c>
      <c r="AS124" s="30" t="n">
        <v>-0.015</v>
      </c>
      <c r="AT124" s="30" t="n">
        <v>-0.02</v>
      </c>
      <c r="AU124" s="30" t="n">
        <v>0.01</v>
      </c>
      <c r="AV124" s="30" t="n">
        <v>0.025</v>
      </c>
      <c r="AW124" s="30" t="n">
        <v>0</v>
      </c>
      <c r="AX124" s="30" t="n">
        <v>0.035</v>
      </c>
      <c r="AY124" s="30" t="n">
        <v>0.04</v>
      </c>
      <c r="AZ124" s="30" t="n">
        <v>0.015</v>
      </c>
      <c r="BA124" s="30" t="n">
        <v>-0.01</v>
      </c>
      <c r="BB124" s="30" t="n">
        <v>0.015</v>
      </c>
      <c r="BC124" s="30" t="n">
        <v>0.02</v>
      </c>
      <c r="BD124" s="30" t="n">
        <v>-0.045</v>
      </c>
      <c r="BE124" s="30" t="n">
        <v>-0.055</v>
      </c>
      <c r="BF124" s="30" t="n">
        <v>-0.05</v>
      </c>
      <c r="BG124" s="30" t="n">
        <v>-0.04</v>
      </c>
      <c r="BH124" s="30" t="n">
        <v>-0.03</v>
      </c>
      <c r="BI124" s="30" t="n">
        <v>-0.005</v>
      </c>
      <c r="BJ124" s="30" t="n">
        <v>0.005</v>
      </c>
      <c r="BK124" s="30" t="n">
        <v>0.01</v>
      </c>
      <c r="BL124" s="30" t="n">
        <v>-0.01</v>
      </c>
      <c r="BM124" s="30" t="n">
        <v>-0.005</v>
      </c>
      <c r="BN124" s="30" t="n">
        <v>-0.015</v>
      </c>
      <c r="BO124" s="30" t="n">
        <v>0</v>
      </c>
      <c r="BP124" s="30" t="n">
        <v>-0.005</v>
      </c>
      <c r="BQ124" s="30" t="n">
        <v>-0.005</v>
      </c>
      <c r="BR124" s="30" t="n">
        <v>-0.015</v>
      </c>
      <c r="BS124" s="30" t="n">
        <v>0.02</v>
      </c>
      <c r="BT124" s="30" t="n">
        <v>0.015</v>
      </c>
      <c r="BU124" s="30" t="n">
        <v>0.025</v>
      </c>
      <c r="BV124" s="30" t="n">
        <v>0.01</v>
      </c>
      <c r="BW124" s="30" t="n">
        <v>0.03</v>
      </c>
      <c r="BX124" s="30" t="n">
        <v>0.01</v>
      </c>
      <c r="BY124" s="31"/>
      <c r="BZ124" s="31"/>
      <c r="CA124" s="31"/>
      <c r="CB124" s="31"/>
      <c r="CC124" s="31"/>
      <c r="CD124" s="31"/>
      <c r="CE124" s="31"/>
      <c r="CF124" s="7"/>
    </row>
    <row r="125" customFormat="false" ht="15" hidden="false" customHeight="true" outlineLevel="0" collapsed="false">
      <c r="B125" s="27" t="s">
        <v>255</v>
      </c>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c r="BV125" s="39"/>
      <c r="BW125" s="51" t="n">
        <f aca="false">IF(AND(ISNUMBER(BW122),ISNUMBER(BR178)),BW122*BR178,"")</f>
        <v>28.705</v>
      </c>
      <c r="BX125" s="51" t="n">
        <f aca="false">IF(AND(ISNUMBER(BX122),ISNUMBER(BS178)),BX122*BS178,"")</f>
        <v>178.08</v>
      </c>
      <c r="BY125" s="41" t="n">
        <f aca="false">BT11*BY13+BT29*BY31+BT47*BY49</f>
        <v>224.163351563106</v>
      </c>
      <c r="BZ125" s="41" t="n">
        <f aca="false">BU11*BZ13+BU29*BZ31+BU47*BZ49</f>
        <v>428.931648436894</v>
      </c>
      <c r="CA125" s="45"/>
      <c r="CB125" s="45"/>
      <c r="CC125" s="45"/>
      <c r="CD125" s="45"/>
      <c r="CE125" s="45"/>
      <c r="CF125" s="37"/>
    </row>
    <row r="126" customFormat="false" ht="15" hidden="false" customHeight="true" outlineLevel="0" collapsed="false">
      <c r="B126" s="50" t="s">
        <v>256</v>
      </c>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9"/>
      <c r="BT126" s="39"/>
      <c r="BU126" s="39"/>
      <c r="BV126" s="39"/>
      <c r="BW126" s="39"/>
      <c r="BX126" s="39"/>
      <c r="BY126" s="7"/>
      <c r="BZ126" s="7"/>
      <c r="CA126" s="69" t="n">
        <f aca="false">CHOOSE(MATCH($CF$2,{"Bull","Base","Bear"},0),$CO$12,$CP$12,$CQ$12)</f>
        <v>0.035</v>
      </c>
      <c r="CB126" s="7"/>
      <c r="CC126" s="7"/>
      <c r="CD126" s="7"/>
      <c r="CE126" s="7"/>
      <c r="CF126" s="7" t="s">
        <v>257</v>
      </c>
    </row>
    <row r="127" customFormat="false" ht="15" hidden="false" customHeight="true" outlineLevel="0" collapsed="false">
      <c r="B127" s="27" t="s">
        <v>258</v>
      </c>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39"/>
      <c r="BY127" s="41" t="n">
        <f aca="false">BT11+BT29+BT47</f>
        <v>6053</v>
      </c>
      <c r="BZ127" s="41" t="n">
        <f aca="false">BU11+BU29+BU47</f>
        <v>6838</v>
      </c>
      <c r="CA127" s="45"/>
      <c r="CB127" s="45"/>
      <c r="CC127" s="45"/>
      <c r="CD127" s="45"/>
      <c r="CE127" s="45"/>
      <c r="CF127" s="37"/>
    </row>
    <row r="128" customFormat="false" ht="15" hidden="false" customHeight="true" outlineLevel="0" collapsed="false">
      <c r="B128" s="27" t="s">
        <v>259</v>
      </c>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26" t="n">
        <f aca="false">($CA$126*BV178-BW125-BX125-(BT11*BY14+BU11*BZ14+BT29*BY32+BU29*BZ32+BT47*BY50+BU47*BZ50))/(BY127+BZ127)</f>
        <v>0.0118194864634241</v>
      </c>
      <c r="BZ128" s="26" t="n">
        <f aca="false">$BY$128</f>
        <v>0.0118194864634241</v>
      </c>
      <c r="CA128" s="31"/>
      <c r="CB128" s="36"/>
      <c r="CC128" s="36"/>
      <c r="CD128" s="36"/>
      <c r="CE128" s="36"/>
      <c r="CF128" s="37" t="s">
        <v>260</v>
      </c>
    </row>
    <row r="129" customFormat="false" ht="15" hidden="false" customHeight="true" outlineLevel="0" collapsed="false">
      <c r="B129" s="65" t="s">
        <v>261</v>
      </c>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0"/>
      <c r="AV129" s="70"/>
      <c r="AW129" s="70"/>
      <c r="AX129" s="70"/>
      <c r="AY129" s="70"/>
      <c r="AZ129" s="70"/>
      <c r="BA129" s="70"/>
      <c r="BB129" s="70"/>
      <c r="BC129" s="70"/>
      <c r="BD129" s="70"/>
      <c r="BE129" s="70"/>
      <c r="BF129" s="70"/>
      <c r="BG129" s="70"/>
      <c r="BH129" s="70"/>
      <c r="BI129" s="70"/>
      <c r="BJ129" s="70"/>
      <c r="BK129" s="70"/>
      <c r="BL129" s="70"/>
      <c r="BM129" s="70"/>
      <c r="BN129" s="70"/>
      <c r="BO129" s="70"/>
      <c r="BP129" s="70"/>
      <c r="BQ129" s="70"/>
      <c r="BR129" s="70"/>
      <c r="BS129" s="70"/>
      <c r="BT129" s="70"/>
      <c r="BU129" s="70"/>
      <c r="BV129" s="70"/>
      <c r="BW129" s="70"/>
      <c r="BX129" s="70"/>
      <c r="BY129" s="7"/>
      <c r="BZ129" s="7"/>
      <c r="CA129" s="69" t="n">
        <f aca="false">ROUND(CA122-CA126,4)</f>
        <v>0</v>
      </c>
      <c r="CB129" s="7"/>
      <c r="CC129" s="7"/>
      <c r="CD129" s="7"/>
      <c r="CE129" s="7"/>
      <c r="CF129" s="7"/>
    </row>
    <row r="130" customFormat="false" ht="15" hidden="false" customHeight="true" outlineLevel="0" collapsed="false">
      <c r="B130" s="50" t="s">
        <v>262</v>
      </c>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c r="BI130" s="71"/>
      <c r="BJ130" s="71"/>
      <c r="BK130" s="71"/>
      <c r="BL130" s="71"/>
      <c r="BM130" s="71"/>
      <c r="BN130" s="71"/>
      <c r="BO130" s="71"/>
      <c r="BP130" s="71"/>
      <c r="BQ130" s="71"/>
      <c r="BR130" s="71"/>
      <c r="BS130" s="71"/>
      <c r="BT130" s="71"/>
      <c r="BU130" s="71"/>
      <c r="BV130" s="71"/>
      <c r="BW130" s="71"/>
      <c r="BX130" s="71"/>
      <c r="BY130" s="7"/>
      <c r="BZ130" s="7"/>
      <c r="CA130" s="72" t="n">
        <f aca="false">CHOOSE(MATCH($CF$2,{"Bull","Base","Bear"},0),$CO$13,$CP$13,$CQ$13)</f>
        <v>8.525</v>
      </c>
      <c r="CB130" s="7"/>
      <c r="CC130" s="7"/>
      <c r="CD130" s="7"/>
      <c r="CE130" s="7"/>
      <c r="CF130" s="7" t="s">
        <v>263</v>
      </c>
    </row>
    <row r="131" customFormat="false" ht="15" hidden="false" customHeight="true" outlineLevel="0" collapsed="false">
      <c r="B131" s="27" t="s">
        <v>264</v>
      </c>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39"/>
      <c r="BY131" s="45"/>
      <c r="BZ131" s="45"/>
      <c r="CA131" s="41" t="n">
        <f aca="false">CA130*CA265</f>
        <v>6035.14524490303</v>
      </c>
      <c r="CB131" s="45"/>
      <c r="CC131" s="45"/>
      <c r="CD131" s="45"/>
      <c r="CE131" s="45"/>
      <c r="CF131" s="37"/>
    </row>
    <row r="132" customFormat="false" ht="15" hidden="false" customHeight="true" outlineLevel="0" collapsed="false">
      <c r="B132" s="27" t="s">
        <v>265</v>
      </c>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c r="BV132" s="39"/>
      <c r="BW132" s="39"/>
      <c r="BX132" s="39"/>
      <c r="BY132" s="41" t="n">
        <f aca="false">BY11*BY24+BY29*BY42+BY47*BY60+BY76+BY112</f>
        <v>1832.78129003587</v>
      </c>
      <c r="BZ132" s="41" t="n">
        <f aca="false">BZ11*BZ24+BZ29*BZ42+BZ47*BZ60+BZ76+BZ112</f>
        <v>2174.02360599255</v>
      </c>
      <c r="CA132" s="45"/>
      <c r="CB132" s="45"/>
      <c r="CC132" s="45"/>
      <c r="CD132" s="45"/>
      <c r="CE132" s="45"/>
      <c r="CF132" s="37"/>
    </row>
    <row r="133" customFormat="false" ht="15" hidden="false" customHeight="true" outlineLevel="0" collapsed="false">
      <c r="B133" s="27" t="s">
        <v>266</v>
      </c>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39"/>
      <c r="BY133" s="41" t="n">
        <f aca="false">(CA131-BW262-BX262)/(1-$CP$18)+BY190+BZ190-BY191-BZ191-BY257-BZ257</f>
        <v>4079.70752397956</v>
      </c>
      <c r="BZ133" s="45"/>
      <c r="CA133" s="45"/>
      <c r="CB133" s="45"/>
      <c r="CC133" s="45"/>
      <c r="CD133" s="45"/>
      <c r="CE133" s="45"/>
      <c r="CF133" s="37" t="s">
        <v>267</v>
      </c>
    </row>
    <row r="134" customFormat="false" ht="15" hidden="false" customHeight="true" outlineLevel="0" collapsed="false">
      <c r="B134" s="27" t="s">
        <v>268</v>
      </c>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26" t="n">
        <f aca="false">($CP$20*BY178-BY132)/(BY11+BY29+BY47)</f>
        <v>-0.0127159102686622</v>
      </c>
      <c r="BZ134" s="26" t="n">
        <f aca="false">(BY133-BY117-BZ132)/(BZ11+BZ29+BZ47)</f>
        <v>0.0210488153485191</v>
      </c>
      <c r="CA134" s="31"/>
      <c r="CB134" s="36"/>
      <c r="CC134" s="36"/>
      <c r="CD134" s="36"/>
      <c r="CE134" s="36"/>
      <c r="CF134" s="37" t="s">
        <v>269</v>
      </c>
    </row>
    <row r="135" customFormat="false" ht="15" hidden="false" customHeight="true" outlineLevel="0" collapsed="false">
      <c r="B135" s="65" t="s">
        <v>270</v>
      </c>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0"/>
      <c r="AT135" s="70"/>
      <c r="AU135" s="70"/>
      <c r="AV135" s="70"/>
      <c r="AW135" s="70"/>
      <c r="AX135" s="70"/>
      <c r="AY135" s="70"/>
      <c r="AZ135" s="70"/>
      <c r="BA135" s="70"/>
      <c r="BB135" s="70"/>
      <c r="BC135" s="70"/>
      <c r="BD135" s="70"/>
      <c r="BE135" s="70"/>
      <c r="BF135" s="70"/>
      <c r="BG135" s="70"/>
      <c r="BH135" s="70"/>
      <c r="BI135" s="70"/>
      <c r="BJ135" s="70"/>
      <c r="BK135" s="70"/>
      <c r="BL135" s="70"/>
      <c r="BM135" s="70"/>
      <c r="BN135" s="70"/>
      <c r="BO135" s="70"/>
      <c r="BP135" s="70"/>
      <c r="BQ135" s="70"/>
      <c r="BR135" s="70"/>
      <c r="BS135" s="70"/>
      <c r="BT135" s="70"/>
      <c r="BU135" s="70"/>
      <c r="BV135" s="70"/>
      <c r="BW135" s="70"/>
      <c r="BX135" s="70"/>
      <c r="BY135" s="7"/>
      <c r="BZ135" s="7"/>
      <c r="CA135" s="72" t="n">
        <f aca="false">ROUND(CA266-CA130,2)</f>
        <v>0</v>
      </c>
      <c r="CB135" s="7"/>
      <c r="CC135" s="7"/>
      <c r="CD135" s="7"/>
      <c r="CE135" s="7"/>
      <c r="CF135" s="7"/>
    </row>
    <row r="136" customFormat="false" ht="15" hidden="false" customHeight="true" outlineLevel="0" collapsed="false">
      <c r="B136" s="50" t="s">
        <v>271</v>
      </c>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c r="BV136" s="39"/>
      <c r="BW136" s="39"/>
      <c r="BX136" s="39"/>
      <c r="BY136" s="69" t="n">
        <f aca="false">$CP$20</f>
        <v>0.265</v>
      </c>
      <c r="BZ136" s="7"/>
      <c r="CA136" s="7"/>
      <c r="CB136" s="7"/>
      <c r="CC136" s="7"/>
      <c r="CD136" s="7"/>
      <c r="CE136" s="7"/>
      <c r="CF136" s="7" t="s">
        <v>272</v>
      </c>
    </row>
    <row r="137" customFormat="false" ht="15" hidden="false" customHeight="true" outlineLevel="0" collapsed="false">
      <c r="B137" s="65" t="s">
        <v>273</v>
      </c>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c r="AV137" s="70"/>
      <c r="AW137" s="70"/>
      <c r="AX137" s="70"/>
      <c r="AY137" s="70"/>
      <c r="AZ137" s="70"/>
      <c r="BA137" s="70"/>
      <c r="BB137" s="70"/>
      <c r="BC137" s="70"/>
      <c r="BD137" s="70"/>
      <c r="BE137" s="70"/>
      <c r="BF137" s="70"/>
      <c r="BG137" s="70"/>
      <c r="BH137" s="70"/>
      <c r="BI137" s="70"/>
      <c r="BJ137" s="70"/>
      <c r="BK137" s="70"/>
      <c r="BL137" s="70"/>
      <c r="BM137" s="70"/>
      <c r="BN137" s="70"/>
      <c r="BO137" s="70"/>
      <c r="BP137" s="70"/>
      <c r="BQ137" s="70"/>
      <c r="BR137" s="70"/>
      <c r="BS137" s="70"/>
      <c r="BT137" s="70"/>
      <c r="BU137" s="70"/>
      <c r="BV137" s="70"/>
      <c r="BW137" s="70"/>
      <c r="BX137" s="70"/>
      <c r="BY137" s="69" t="n">
        <f aca="false">ROUND(BY244-BY136,4)</f>
        <v>0</v>
      </c>
      <c r="BZ137" s="7"/>
      <c r="CA137" s="7"/>
      <c r="CB137" s="7"/>
      <c r="CC137" s="7"/>
      <c r="CD137" s="7"/>
      <c r="CE137" s="7"/>
      <c r="CF137" s="7"/>
    </row>
    <row r="138" customFormat="false" ht="15" hidden="false" customHeight="true" outlineLevel="0" collapsed="false"/>
    <row r="139" customFormat="false" ht="15" hidden="false" customHeight="true" outlineLevel="0" collapsed="false">
      <c r="B139" s="16" t="s">
        <v>274</v>
      </c>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7" t="s">
        <v>275</v>
      </c>
    </row>
    <row r="140" customFormat="false" ht="15" hidden="false" customHeight="true" outlineLevel="0" collapsed="false">
      <c r="B140" s="27" t="s">
        <v>276</v>
      </c>
      <c r="C140" s="51" t="n">
        <f aca="false">N(C141)+N(C143)+N(C145)+N(C147)+N(C149)+N(C151)+N(C153)+N(C155)+N(C157)+N(C159)</f>
        <v>9466.1</v>
      </c>
      <c r="D140" s="51" t="n">
        <f aca="false">N(D141)+N(D143)+N(D145)+N(D147)+N(D149)+N(D151)+N(D153)+N(D155)+N(D157)+N(D159)</f>
        <v>11025.9</v>
      </c>
      <c r="E140" s="51" t="n">
        <f aca="false">N(E141)+N(E143)+N(E145)+N(E147)+N(E149)+N(E151)+N(E153)+N(E155)+N(E157)+N(E159)</f>
        <v>12697.5</v>
      </c>
      <c r="F140" s="51" t="n">
        <f aca="false">N(F141)+N(F143)+N(F145)+N(F147)+N(F149)+N(F151)+N(F153)+N(F155)+N(F157)+N(F159)</f>
        <v>11184.9</v>
      </c>
      <c r="G140" s="51" t="n">
        <f aca="false">N(G141)+N(G143)+N(G145)+N(G147)+N(G149)+N(G151)+N(G153)+N(G155)+N(G157)+N(G159)</f>
        <v>12550</v>
      </c>
      <c r="H140" s="51" t="n">
        <f aca="false">N(H141)+N(H143)+N(H145)+N(H147)+N(H149)+N(H151)+N(H153)+N(H155)+N(H157)+N(H159)</f>
        <v>16090.5</v>
      </c>
      <c r="I140" s="51" t="n">
        <f aca="false">N(I141)+N(I143)+N(I145)+N(I147)+N(I149)+N(I151)+N(I153)+N(I155)+N(I157)+N(I159)</f>
        <v>18260.4</v>
      </c>
      <c r="J140" s="51" t="n">
        <f aca="false">N(J141)+N(J143)+N(J145)+N(J147)+N(J149)+N(J151)+N(J153)+N(J155)+N(J157)+N(J159)</f>
        <v>4444.7</v>
      </c>
      <c r="K140" s="51" t="n">
        <f aca="false">N(K141)+N(K143)+N(K145)+N(K147)+N(K149)+N(K151)+N(K153)+N(K155)+N(K157)+N(K159)</f>
        <v>4737.5</v>
      </c>
      <c r="L140" s="51" t="n">
        <f aca="false">N(L141)+N(L143)+N(L145)+N(L147)+N(L149)+N(L151)+N(L153)+N(L155)+N(L157)+N(L159)</f>
        <v>4669.1</v>
      </c>
      <c r="M140" s="51" t="n">
        <f aca="false">N(M141)+N(M143)+N(M145)+N(M147)+N(M149)+N(M151)+N(M153)+N(M155)+N(M157)+N(M159)</f>
        <v>5266.7</v>
      </c>
      <c r="N140" s="51" t="n">
        <f aca="false">N(N141)+N(N143)+N(N145)+N(N147)+N(N149)+N(N151)+N(N153)+N(N155)+N(N157)+N(N159)</f>
        <v>19118</v>
      </c>
      <c r="O140" s="51" t="n">
        <f aca="false">N(O141)+N(O143)+N(O145)+N(O147)+N(O149)+N(O151)+N(O153)+N(O155)+N(O157)+N(O159)</f>
        <v>4662.7</v>
      </c>
      <c r="P140" s="51" t="n">
        <f aca="false">N(P141)+N(P143)+N(P145)+N(P147)+N(P149)+N(P151)+N(P153)+N(P155)+N(P157)+N(P159)</f>
        <v>4963.6</v>
      </c>
      <c r="Q140" s="51" t="n">
        <f aca="false">N(Q141)+N(Q143)+N(Q145)+N(Q147)+N(Q149)+N(Q151)+N(Q153)+N(Q155)+N(Q157)+N(Q159)</f>
        <v>4707.1</v>
      </c>
      <c r="R140" s="51" t="n">
        <f aca="false">N(R141)+N(R143)+N(R145)+N(R147)+N(R149)+N(R151)+N(R153)+N(R155)+N(R157)+N(R159)</f>
        <v>5224.2</v>
      </c>
      <c r="S140" s="51" t="n">
        <f aca="false">N(S141)+N(S143)+N(S145)+N(S147)+N(S149)+N(S151)+N(S153)+N(S155)+N(S157)+N(S159)</f>
        <v>19154</v>
      </c>
      <c r="T140" s="51" t="n">
        <f aca="false">N(T141)+N(T143)+N(T145)+N(T147)+N(T149)+N(T151)+N(T153)+N(T155)+N(T157)+N(T159)</f>
        <v>4694.7</v>
      </c>
      <c r="U140" s="51" t="n">
        <f aca="false">N(U141)+N(U143)+N(U145)+N(U147)+N(U149)+N(U151)+N(U153)+N(U155)+N(U157)+N(U159)</f>
        <v>4960.2</v>
      </c>
      <c r="V140" s="51" t="n">
        <f aca="false">N(V141)+N(V143)+N(V145)+N(V147)+N(V149)+N(V151)+N(V153)+N(V155)+N(V157)+N(V159)</f>
        <v>1531.9</v>
      </c>
      <c r="W140" s="51" t="n">
        <f aca="false">N(W141)+N(W143)+N(W145)+N(W147)+N(W149)+N(W151)+N(W153)+N(W155)+N(W157)+N(W159)</f>
        <v>1661.4</v>
      </c>
      <c r="X140" s="51" t="n">
        <f aca="false">N(X141)+N(X143)+N(X145)+N(X147)+N(X149)+N(X151)+N(X153)+N(X155)+N(X157)+N(X159)</f>
        <v>6286.6</v>
      </c>
      <c r="Y140" s="51" t="n">
        <f aca="false">N(Y141)+N(Y143)+N(Y145)+N(Y147)+N(Y149)+N(Y151)+N(Y153)+N(Y155)+N(Y157)+N(Y159)</f>
        <v>1529.8</v>
      </c>
      <c r="Z140" s="51" t="n">
        <f aca="false">N(Z141)+N(Z143)+N(Z145)+N(Z147)+N(Z149)+N(Z151)+N(Z153)+N(Z155)+N(Z157)+N(Z159)</f>
        <v>1656</v>
      </c>
      <c r="AA140" s="51" t="n">
        <f aca="false">N(AA141)+N(AA143)+N(AA145)+N(AA147)+N(AA149)+N(AA151)+N(AA153)+N(AA155)+N(AA157)+N(AA159)</f>
        <v>1594</v>
      </c>
      <c r="AB140" s="51" t="n">
        <f aca="false">N(AB141)+N(AB143)+N(AB145)+N(AB147)+N(AB149)+N(AB151)+N(AB153)+N(AB155)+N(AB157)+N(AB159)</f>
        <v>1698.4</v>
      </c>
      <c r="AC140" s="51" t="n">
        <f aca="false">N(AC141)+N(AC143)+N(AC145)+N(AC147)+N(AC149)+N(AC151)+N(AC153)+N(AC155)+N(AC157)+N(AC159)</f>
        <v>6478.2</v>
      </c>
      <c r="AD140" s="51" t="n">
        <f aca="false">N(AD141)+N(AD143)+N(AD145)+N(AD147)+N(AD149)+N(AD151)+N(AD153)+N(AD155)+N(AD157)+N(AD159)</f>
        <v>1570.3</v>
      </c>
      <c r="AE140" s="51" t="n">
        <f aca="false">N(AE141)+N(AE143)+N(AE145)+N(AE147)+N(AE149)+N(AE151)+N(AE153)+N(AE155)+N(AE157)+N(AE159)</f>
        <v>1685.8</v>
      </c>
      <c r="AF140" s="51" t="n">
        <f aca="false">N(AF141)+N(AF143)+N(AF145)+N(AF147)+N(AF149)+N(AF151)+N(AF153)+N(AF155)+N(AF157)+N(AF159)</f>
        <v>1686.9</v>
      </c>
      <c r="AG140" s="51" t="n">
        <f aca="false">N(AG141)+N(AG143)+N(AG145)+N(AG147)+N(AG149)+N(AG151)+N(AG153)+N(AG155)+N(AG157)+N(AG159)</f>
        <v>1836.7</v>
      </c>
      <c r="AH140" s="51" t="n">
        <f aca="false">N(AH141)+N(AH143)+N(AH145)+N(AH147)+N(AH149)+N(AH151)+N(AH153)+N(AH155)+N(AH157)+N(AH159)</f>
        <v>6779.7</v>
      </c>
      <c r="AI140" s="51" t="n">
        <f aca="false">N(AI141)+N(AI143)+N(AI145)+N(AI147)+N(AI149)+N(AI151)+N(AI153)+N(AI155)+N(AI157)+N(AI159)</f>
        <v>1699.7</v>
      </c>
      <c r="AJ140" s="51" t="n">
        <f aca="false">N(AJ141)+N(AJ143)+N(AJ145)+N(AJ147)+N(AJ149)+N(AJ151)+N(AJ153)+N(AJ155)+N(AJ157)+N(AJ159)</f>
        <v>1824.9</v>
      </c>
      <c r="AK140" s="51" t="n">
        <f aca="false">N(AK141)+N(AK143)+N(AK145)+N(AK147)+N(AK149)+N(AK151)+N(AK153)+N(AK155)+N(AK157)+N(AK159)</f>
        <v>1753.9</v>
      </c>
      <c r="AL140" s="51" t="n">
        <f aca="false">N(AL141)+N(AL143)+N(AL145)+N(AL147)+N(AL149)+N(AL151)+N(AL153)+N(AL155)+N(AL157)+N(AL159)</f>
        <v>1126.5</v>
      </c>
      <c r="AM140" s="51" t="n">
        <f aca="false">N(AM141)+N(AM143)+N(AM145)+N(AM147)+N(AM149)+N(AM151)+N(AM153)+N(AM155)+N(AM157)+N(AM159)</f>
        <v>4319.5</v>
      </c>
      <c r="AN140" s="51" t="n">
        <f aca="false">N(AN141)+N(AN143)+N(AN145)+N(AN147)+N(AN149)+N(AN151)+N(AN153)+N(AN155)+N(AN157)+N(AN159)</f>
        <v>1056.5</v>
      </c>
      <c r="AO140" s="51" t="n">
        <f aca="false">N(AO141)+N(AO143)+N(AO145)+N(AO147)+N(AO149)+N(AO151)+N(AO153)+N(AO155)+N(AO157)+N(AO159)</f>
        <v>1113.6</v>
      </c>
      <c r="AP140" s="51" t="n">
        <f aca="false">N(AP141)+N(AP143)+N(AP145)+N(AP147)+N(AP149)+N(AP151)+N(AP153)+N(AP155)+N(AP157)+N(AP159)</f>
        <v>1080.5</v>
      </c>
      <c r="AQ140" s="51" t="n">
        <f aca="false">N(AQ141)+N(AQ143)+N(AQ145)+N(AQ147)+N(AQ149)+N(AQ151)+N(AQ153)+N(AQ155)+N(AQ157)+N(AQ159)</f>
        <v>1147.9</v>
      </c>
      <c r="AR140" s="51" t="n">
        <f aca="false">N(AR141)+N(AR143)+N(AR145)+N(AR147)+N(AR149)+N(AR151)+N(AR153)+N(AR155)+N(AR157)+N(AR159)</f>
        <v>4398.5</v>
      </c>
      <c r="AS140" s="51" t="n">
        <f aca="false">N(AS141)+N(AS143)+N(AS145)+N(AS147)+N(AS149)+N(AS151)+N(AS153)+N(AS155)+N(AS157)+N(AS159)</f>
        <v>1065.7</v>
      </c>
      <c r="AT140" s="51" t="n">
        <f aca="false">N(AT141)+N(AT143)+N(AT145)+N(AT147)+N(AT149)+N(AT151)+N(AT153)+N(AT155)+N(AT157)+N(AT159)</f>
        <v>994.8</v>
      </c>
      <c r="AU140" s="51" t="n">
        <f aca="false">N(AU141)+N(AU143)+N(AU145)+N(AU147)+N(AU149)+N(AU151)+N(AU153)+N(AU155)+N(AU157)+N(AU159)</f>
        <v>1071.6</v>
      </c>
      <c r="AV140" s="51" t="n">
        <f aca="false">N(AV141)+N(AV143)+N(AV145)+N(AV147)+N(AV149)+N(AV151)+N(AV153)+N(AV155)+N(AV157)+N(AV159)</f>
        <v>1172</v>
      </c>
      <c r="AW140" s="51" t="n">
        <f aca="false">N(AW141)+N(AW143)+N(AW145)+N(AW147)+N(AW149)+N(AW151)+N(AW153)+N(AW155)+N(AW157)+N(AW159)</f>
        <v>4305</v>
      </c>
      <c r="AX140" s="51" t="n">
        <f aca="false">N(AX141)+N(AX143)+N(AX145)+N(AX147)+N(AX149)+N(AX151)+N(AX153)+N(AX155)+N(AX157)+N(AX159)</f>
        <v>1134</v>
      </c>
      <c r="AY140" s="51" t="n">
        <f aca="false">N(AY141)+N(AY143)+N(AY145)+N(AY147)+N(AY149)+N(AY151)+N(AY153)+N(AY155)+N(AY157)+N(AY159)</f>
        <v>1148</v>
      </c>
      <c r="AZ140" s="51" t="n">
        <f aca="false">N(AZ141)+N(AZ143)+N(AZ145)+N(AZ147)+N(AZ149)+N(AZ151)+N(AZ153)+N(AZ155)+N(AZ157)+N(AZ159)</f>
        <v>1148</v>
      </c>
      <c r="BA140" s="51" t="n">
        <f aca="false">N(BA141)+N(BA143)+N(BA145)+N(BA147)+N(BA149)+N(BA151)+N(BA153)+N(BA155)+N(BA157)+N(BA159)</f>
        <v>1221</v>
      </c>
      <c r="BB140" s="51" t="n">
        <f aca="false">N(BB141)+N(BB143)+N(BB145)+N(BB147)+N(BB149)+N(BB151)+N(BB153)+N(BB155)+N(BB157)+N(BB159)</f>
        <v>4651</v>
      </c>
      <c r="BC140" s="51" t="n">
        <f aca="false">N(BC141)+N(BC143)+N(BC145)+N(BC147)+N(BC149)+N(BC151)+N(BC153)+N(BC155)+N(BC157)+N(BC159)</f>
        <v>1162</v>
      </c>
      <c r="BD140" s="51" t="n">
        <f aca="false">N(BD141)+N(BD143)+N(BD145)+N(BD147)+N(BD149)+N(BD151)+N(BD153)+N(BD155)+N(BD157)+N(BD159)</f>
        <v>1223</v>
      </c>
      <c r="BE140" s="51" t="n">
        <f aca="false">N(BE141)+N(BE143)+N(BE145)+N(BE147)+N(BE149)+N(BE151)+N(BE153)+N(BE155)+N(BE157)+N(BE159)</f>
        <v>1208</v>
      </c>
      <c r="BF140" s="51" t="n">
        <f aca="false">N(BF141)+N(BF143)+N(BF145)+N(BF147)+N(BF149)+N(BF151)+N(BF153)+N(BF155)+N(BF157)+N(BF159)</f>
        <v>0</v>
      </c>
      <c r="BG140" s="51" t="n">
        <f aca="false">N(BG141)+N(BG143)+N(BG145)+N(BG147)+N(BG149)+N(BG151)+N(BG153)+N(BG155)+N(BG157)+N(BG159)</f>
        <v>0</v>
      </c>
      <c r="BH140" s="51" t="n">
        <f aca="false">N(BH141)+N(BH143)+N(BH145)+N(BH147)+N(BH149)+N(BH151)+N(BH153)+N(BH155)+N(BH157)+N(BH159)</f>
        <v>0</v>
      </c>
      <c r="BI140" s="51" t="n">
        <f aca="false">N(BI141)+N(BI143)+N(BI145)+N(BI147)+N(BI149)+N(BI151)+N(BI153)+N(BI155)+N(BI157)+N(BI159)</f>
        <v>0</v>
      </c>
      <c r="BJ140" s="51" t="n">
        <f aca="false">N(BJ141)+N(BJ143)+N(BJ145)+N(BJ147)+N(BJ149)+N(BJ151)+N(BJ153)+N(BJ155)+N(BJ157)+N(BJ159)</f>
        <v>0</v>
      </c>
      <c r="BK140" s="51" t="n">
        <f aca="false">N(BK141)+N(BK143)+N(BK145)+N(BK147)+N(BK149)+N(BK151)+N(BK153)+N(BK155)+N(BK157)+N(BK159)</f>
        <v>0</v>
      </c>
      <c r="BL140" s="51" t="n">
        <f aca="false">N(BL141)+N(BL143)+N(BL145)+N(BL147)+N(BL149)+N(BL151)+N(BL153)+N(BL155)+N(BL157)+N(BL159)</f>
        <v>0</v>
      </c>
      <c r="BM140" s="51" t="n">
        <f aca="false">N(BM141)+N(BM143)+N(BM145)+N(BM147)+N(BM149)+N(BM151)+N(BM153)+N(BM155)+N(BM157)+N(BM159)</f>
        <v>0</v>
      </c>
      <c r="BN140" s="51" t="n">
        <f aca="false">N(BN141)+N(BN143)+N(BN145)+N(BN147)+N(BN149)+N(BN151)+N(BN153)+N(BN155)+N(BN157)+N(BN159)</f>
        <v>0</v>
      </c>
      <c r="BO140" s="51" t="n">
        <f aca="false">N(BO141)+N(BO143)+N(BO145)+N(BO147)+N(BO149)+N(BO151)+N(BO153)+N(BO155)+N(BO157)+N(BO159)</f>
        <v>0</v>
      </c>
      <c r="BP140" s="51" t="n">
        <f aca="false">N(BP141)+N(BP143)+N(BP145)+N(BP147)+N(BP149)+N(BP151)+N(BP153)+N(BP155)+N(BP157)+N(BP159)</f>
        <v>0</v>
      </c>
      <c r="BQ140" s="51" t="n">
        <f aca="false">N(BQ141)+N(BQ143)+N(BQ145)+N(BQ147)+N(BQ149)+N(BQ151)+N(BQ153)+N(BQ155)+N(BQ157)+N(BQ159)</f>
        <v>0</v>
      </c>
      <c r="BR140" s="51" t="n">
        <f aca="false">N(BR141)+N(BR143)+N(BR145)+N(BR147)+N(BR149)+N(BR151)+N(BR153)+N(BR155)+N(BR157)+N(BR159)</f>
        <v>0</v>
      </c>
      <c r="BS140" s="51" t="n">
        <f aca="false">N(BS141)+N(BS143)+N(BS145)+N(BS147)+N(BS149)+N(BS151)+N(BS153)+N(BS155)+N(BS157)+N(BS159)</f>
        <v>0</v>
      </c>
      <c r="BT140" s="51" t="n">
        <f aca="false">N(BT141)+N(BT143)+N(BT145)+N(BT147)+N(BT149)+N(BT151)+N(BT153)+N(BT155)+N(BT157)+N(BT159)</f>
        <v>0</v>
      </c>
      <c r="BU140" s="51" t="n">
        <f aca="false">N(BU141)+N(BU143)+N(BU145)+N(BU147)+N(BU149)+N(BU151)+N(BU153)+N(BU155)+N(BU157)+N(BU159)</f>
        <v>0</v>
      </c>
      <c r="BV140" s="51" t="n">
        <f aca="false">N(BV141)+N(BV143)+N(BV145)+N(BV147)+N(BV149)+N(BV151)+N(BV153)+N(BV155)+N(BV157)+N(BV159)</f>
        <v>0</v>
      </c>
      <c r="BW140" s="51" t="n">
        <f aca="false">N(BW141)+N(BW143)+N(BW145)+N(BW147)+N(BW149)+N(BW151)+N(BW153)+N(BW155)+N(BW157)+N(BW159)</f>
        <v>0</v>
      </c>
      <c r="BX140" s="51" t="n">
        <f aca="false">N(BX141)+N(BX143)+N(BX145)+N(BX147)+N(BX149)+N(BX151)+N(BX153)+N(BX155)+N(BX157)+N(BX159)</f>
        <v>0</v>
      </c>
      <c r="BY140" s="45"/>
      <c r="BZ140" s="45"/>
      <c r="CA140" s="41" t="n">
        <f aca="false">SUM(BW140,BX140,BY140,BZ140)</f>
        <v>0</v>
      </c>
      <c r="CB140" s="45"/>
      <c r="CC140" s="45"/>
      <c r="CD140" s="45"/>
      <c r="CE140" s="45"/>
      <c r="CF140" s="37"/>
    </row>
    <row r="141" customFormat="false" ht="15" hidden="true" customHeight="true" outlineLevel="1" collapsed="false">
      <c r="B141" s="50" t="s">
        <v>277</v>
      </c>
      <c r="C141" s="39"/>
      <c r="D141" s="39"/>
      <c r="E141" s="39"/>
      <c r="F141" s="40" t="n">
        <v>1484.9</v>
      </c>
      <c r="G141" s="40" t="n">
        <v>2298.3</v>
      </c>
      <c r="H141" s="40" t="n">
        <v>4627.4</v>
      </c>
      <c r="I141" s="40" t="n">
        <v>6485.1</v>
      </c>
      <c r="J141" s="40" t="n">
        <v>1567.4</v>
      </c>
      <c r="K141" s="40" t="n">
        <v>1674.3</v>
      </c>
      <c r="L141" s="40" t="n">
        <v>1675.1</v>
      </c>
      <c r="M141" s="40" t="n">
        <v>1939.6</v>
      </c>
      <c r="N141" s="40" t="n">
        <v>6856.4</v>
      </c>
      <c r="O141" s="40" t="n">
        <v>1659.6</v>
      </c>
      <c r="P141" s="40" t="n">
        <v>1790</v>
      </c>
      <c r="Q141" s="40" t="n">
        <v>1741.2</v>
      </c>
      <c r="R141" s="40" t="n">
        <v>1994.9</v>
      </c>
      <c r="S141" s="40" t="n">
        <v>7185.7</v>
      </c>
      <c r="T141" s="40" t="n">
        <v>1695.7</v>
      </c>
      <c r="U141" s="40" t="n">
        <v>1840.3</v>
      </c>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39"/>
      <c r="BY141" s="7"/>
      <c r="BZ141" s="7"/>
      <c r="CA141" s="7"/>
      <c r="CB141" s="7"/>
      <c r="CC141" s="7"/>
      <c r="CD141" s="7"/>
      <c r="CE141" s="7"/>
      <c r="CF141" s="7"/>
    </row>
    <row r="142" customFormat="false" ht="15" hidden="true" customHeight="true" outlineLevel="1" collapsed="false">
      <c r="B142" s="50" t="s">
        <v>278</v>
      </c>
      <c r="C142" s="39"/>
      <c r="D142" s="39"/>
      <c r="E142" s="39"/>
      <c r="F142" s="40" t="n">
        <v>179.6</v>
      </c>
      <c r="G142" s="40" t="n">
        <v>227.9</v>
      </c>
      <c r="H142" s="40" t="n">
        <v>402.3</v>
      </c>
      <c r="I142" s="40" t="n">
        <v>861.1</v>
      </c>
      <c r="J142" s="40" t="n">
        <v>199.3</v>
      </c>
      <c r="K142" s="40" t="n">
        <v>240.7</v>
      </c>
      <c r="L142" s="40" t="n">
        <v>246.8</v>
      </c>
      <c r="M142" s="40" t="n">
        <v>323</v>
      </c>
      <c r="N142" s="40" t="n">
        <v>1009.8</v>
      </c>
      <c r="O142" s="40" t="n">
        <v>219.7</v>
      </c>
      <c r="P142" s="40" t="n">
        <v>282.7</v>
      </c>
      <c r="Q142" s="40" t="n">
        <v>272.8</v>
      </c>
      <c r="R142" s="40" t="n">
        <v>330.7</v>
      </c>
      <c r="S142" s="40" t="n">
        <v>1105.9</v>
      </c>
      <c r="T142" s="40" t="n">
        <v>215.5</v>
      </c>
      <c r="U142" s="40" t="n">
        <v>285.9</v>
      </c>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c r="BV142" s="39"/>
      <c r="BW142" s="39"/>
      <c r="BX142" s="39"/>
      <c r="BY142" s="7"/>
      <c r="BZ142" s="7"/>
      <c r="CA142" s="7"/>
      <c r="CB142" s="7"/>
      <c r="CC142" s="7"/>
      <c r="CD142" s="7"/>
      <c r="CE142" s="7"/>
      <c r="CF142" s="7"/>
    </row>
    <row r="143" customFormat="false" ht="15" hidden="true" customHeight="true" outlineLevel="1" collapsed="false">
      <c r="B143" s="50" t="s">
        <v>279</v>
      </c>
      <c r="C143" s="39"/>
      <c r="D143" s="39"/>
      <c r="E143" s="39"/>
      <c r="F143" s="39"/>
      <c r="G143" s="39"/>
      <c r="H143" s="39"/>
      <c r="I143" s="39"/>
      <c r="J143" s="39"/>
      <c r="K143" s="39"/>
      <c r="L143" s="39"/>
      <c r="M143" s="39"/>
      <c r="N143" s="39"/>
      <c r="O143" s="39"/>
      <c r="P143" s="39"/>
      <c r="Q143" s="39"/>
      <c r="R143" s="39"/>
      <c r="S143" s="39"/>
      <c r="T143" s="39"/>
      <c r="U143" s="39"/>
      <c r="V143" s="40" t="n">
        <v>879.7</v>
      </c>
      <c r="W143" s="40" t="n">
        <v>926.8</v>
      </c>
      <c r="X143" s="40" t="n">
        <v>3549.8</v>
      </c>
      <c r="Y143" s="40" t="n">
        <v>873.9</v>
      </c>
      <c r="Z143" s="40" t="n">
        <v>941.4</v>
      </c>
      <c r="AA143" s="40" t="n">
        <v>918.4</v>
      </c>
      <c r="AB143" s="40" t="n">
        <v>959.1</v>
      </c>
      <c r="AC143" s="40" t="n">
        <v>3692.8</v>
      </c>
      <c r="AD143" s="40" t="n">
        <v>914.8</v>
      </c>
      <c r="AE143" s="40" t="n">
        <v>983.2</v>
      </c>
      <c r="AF143" s="40" t="n">
        <v>992.9</v>
      </c>
      <c r="AG143" s="40" t="n">
        <v>1077.9</v>
      </c>
      <c r="AH143" s="40" t="n">
        <v>3968.8</v>
      </c>
      <c r="AI143" s="40" t="n">
        <v>1027.1</v>
      </c>
      <c r="AJ143" s="40" t="n">
        <v>1091.5</v>
      </c>
      <c r="AK143" s="40" t="n">
        <v>1074.4</v>
      </c>
      <c r="AL143" s="40" t="n">
        <v>1126.5</v>
      </c>
      <c r="AM143" s="40" t="n">
        <v>4319.5</v>
      </c>
      <c r="AN143" s="40" t="n">
        <v>1056.5</v>
      </c>
      <c r="AO143" s="40" t="n">
        <v>1113.6</v>
      </c>
      <c r="AP143" s="40" t="n">
        <v>1080.5</v>
      </c>
      <c r="AQ143" s="40" t="n">
        <v>1147.9</v>
      </c>
      <c r="AR143" s="40" t="n">
        <v>4398.5</v>
      </c>
      <c r="AS143" s="40" t="n">
        <v>1065.7</v>
      </c>
      <c r="AT143" s="40" t="n">
        <v>994.8</v>
      </c>
      <c r="AU143" s="40" t="n">
        <v>1071.6</v>
      </c>
      <c r="AV143" s="40" t="n">
        <v>1172</v>
      </c>
      <c r="AW143" s="40" t="n">
        <v>4305</v>
      </c>
      <c r="AX143" s="40" t="n">
        <v>1134</v>
      </c>
      <c r="AY143" s="40" t="n">
        <v>1148</v>
      </c>
      <c r="AZ143" s="40" t="n">
        <v>1148</v>
      </c>
      <c r="BA143" s="40" t="n">
        <v>1221</v>
      </c>
      <c r="BB143" s="40" t="n">
        <v>4651</v>
      </c>
      <c r="BC143" s="40" t="n">
        <v>1162</v>
      </c>
      <c r="BD143" s="40" t="n">
        <v>1223</v>
      </c>
      <c r="BE143" s="40" t="n">
        <v>1208</v>
      </c>
      <c r="BF143" s="39"/>
      <c r="BG143" s="39"/>
      <c r="BH143" s="39"/>
      <c r="BI143" s="39"/>
      <c r="BJ143" s="39"/>
      <c r="BK143" s="39"/>
      <c r="BL143" s="39"/>
      <c r="BM143" s="39"/>
      <c r="BN143" s="39"/>
      <c r="BO143" s="39"/>
      <c r="BP143" s="39"/>
      <c r="BQ143" s="39"/>
      <c r="BR143" s="39"/>
      <c r="BS143" s="39"/>
      <c r="BT143" s="39"/>
      <c r="BU143" s="39"/>
      <c r="BV143" s="39"/>
      <c r="BW143" s="39"/>
      <c r="BX143" s="39"/>
      <c r="BY143" s="7"/>
      <c r="BZ143" s="7"/>
      <c r="CA143" s="7"/>
      <c r="CB143" s="7"/>
      <c r="CC143" s="7"/>
      <c r="CD143" s="7"/>
      <c r="CE143" s="7"/>
      <c r="CF143" s="7"/>
    </row>
    <row r="144" customFormat="false" ht="15" hidden="true" customHeight="true" outlineLevel="1" collapsed="false">
      <c r="B144" s="50" t="s">
        <v>280</v>
      </c>
      <c r="C144" s="39"/>
      <c r="D144" s="39"/>
      <c r="E144" s="39"/>
      <c r="F144" s="39"/>
      <c r="G144" s="39"/>
      <c r="H144" s="39"/>
      <c r="I144" s="39"/>
      <c r="J144" s="39"/>
      <c r="K144" s="39"/>
      <c r="L144" s="39"/>
      <c r="M144" s="39"/>
      <c r="N144" s="39"/>
      <c r="O144" s="39"/>
      <c r="P144" s="39"/>
      <c r="Q144" s="39"/>
      <c r="R144" s="39"/>
      <c r="S144" s="39"/>
      <c r="T144" s="39"/>
      <c r="U144" s="39"/>
      <c r="V144" s="40" t="n">
        <v>215.6</v>
      </c>
      <c r="W144" s="40" t="n">
        <v>205</v>
      </c>
      <c r="X144" s="40" t="n">
        <v>866.6</v>
      </c>
      <c r="Y144" s="40" t="n">
        <v>198.4</v>
      </c>
      <c r="Z144" s="40" t="n">
        <v>218.3</v>
      </c>
      <c r="AA144" s="40" t="n">
        <v>223.4</v>
      </c>
      <c r="AB144" s="40" t="n">
        <v>229.9</v>
      </c>
      <c r="AC144" s="40" t="n">
        <v>870</v>
      </c>
      <c r="AD144" s="40" t="n">
        <v>208</v>
      </c>
      <c r="AE144" s="40" t="n">
        <v>235.2</v>
      </c>
      <c r="AF144" s="40" t="n">
        <v>222.8</v>
      </c>
      <c r="AG144" s="40" t="n">
        <v>248.6</v>
      </c>
      <c r="AH144" s="40" t="n">
        <v>914.6</v>
      </c>
      <c r="AI144" s="40" t="n">
        <v>227.2</v>
      </c>
      <c r="AJ144" s="40" t="n">
        <v>251</v>
      </c>
      <c r="AK144" s="40" t="n">
        <v>254.3</v>
      </c>
      <c r="AL144" s="40" t="n">
        <v>255.5</v>
      </c>
      <c r="AM144" s="40" t="n">
        <v>988</v>
      </c>
      <c r="AN144" s="40" t="n">
        <v>244.6</v>
      </c>
      <c r="AO144" s="40" t="n">
        <v>260.2</v>
      </c>
      <c r="AP144" s="40" t="n">
        <v>256.5</v>
      </c>
      <c r="AQ144" s="40" t="n">
        <v>290.3</v>
      </c>
      <c r="AR144" s="40" t="n">
        <v>1051.6</v>
      </c>
      <c r="AS144" s="40" t="n">
        <v>239.9</v>
      </c>
      <c r="AT144" s="40" t="n">
        <v>222</v>
      </c>
      <c r="AU144" s="40" t="n">
        <v>245.1</v>
      </c>
      <c r="AV144" s="40" t="n">
        <v>272</v>
      </c>
      <c r="AW144" s="40" t="n">
        <v>979</v>
      </c>
      <c r="AX144" s="40" t="n">
        <v>285</v>
      </c>
      <c r="AY144" s="40" t="n">
        <v>280</v>
      </c>
      <c r="AZ144" s="40" t="n">
        <v>256</v>
      </c>
      <c r="BA144" s="40" t="n">
        <v>233</v>
      </c>
      <c r="BB144" s="40" t="n">
        <v>1054</v>
      </c>
      <c r="BC144" s="40" t="n">
        <v>236</v>
      </c>
      <c r="BD144" s="40" t="n">
        <v>307</v>
      </c>
      <c r="BE144" s="40" t="n">
        <v>286</v>
      </c>
      <c r="BF144" s="39"/>
      <c r="BG144" s="39"/>
      <c r="BH144" s="39"/>
      <c r="BI144" s="39"/>
      <c r="BJ144" s="39"/>
      <c r="BK144" s="39"/>
      <c r="BL144" s="39"/>
      <c r="BM144" s="39"/>
      <c r="BN144" s="39"/>
      <c r="BO144" s="39"/>
      <c r="BP144" s="39"/>
      <c r="BQ144" s="39"/>
      <c r="BR144" s="39"/>
      <c r="BS144" s="39"/>
      <c r="BT144" s="39"/>
      <c r="BU144" s="39"/>
      <c r="BV144" s="39"/>
      <c r="BW144" s="39"/>
      <c r="BX144" s="39"/>
      <c r="BY144" s="7"/>
      <c r="BZ144" s="7"/>
      <c r="CA144" s="7"/>
      <c r="CB144" s="7"/>
      <c r="CC144" s="7"/>
      <c r="CD144" s="7"/>
      <c r="CE144" s="7"/>
      <c r="CF144" s="7"/>
    </row>
    <row r="145" customFormat="false" ht="15" hidden="true" customHeight="true" outlineLevel="1" collapsed="false">
      <c r="B145" s="50" t="s">
        <v>281</v>
      </c>
      <c r="C145" s="39"/>
      <c r="D145" s="39"/>
      <c r="E145" s="39"/>
      <c r="F145" s="40" t="n">
        <v>2418.7</v>
      </c>
      <c r="G145" s="40" t="n">
        <v>2738</v>
      </c>
      <c r="H145" s="40" t="n">
        <v>2939.6</v>
      </c>
      <c r="I145" s="40" t="n">
        <v>3063.5</v>
      </c>
      <c r="J145" s="40" t="n">
        <v>725.3</v>
      </c>
      <c r="K145" s="40" t="n">
        <v>826.8</v>
      </c>
      <c r="L145" s="40" t="n">
        <v>828.7</v>
      </c>
      <c r="M145" s="40" t="n">
        <v>936.1</v>
      </c>
      <c r="N145" s="40" t="n">
        <v>3316.9</v>
      </c>
      <c r="O145" s="40" t="n">
        <v>768.7</v>
      </c>
      <c r="P145" s="40" t="n">
        <v>876</v>
      </c>
      <c r="Q145" s="40" t="n">
        <v>914.1</v>
      </c>
      <c r="R145" s="40" t="n">
        <v>988.5</v>
      </c>
      <c r="S145" s="40" t="n">
        <v>3547.3</v>
      </c>
      <c r="T145" s="40" t="n">
        <v>823.2</v>
      </c>
      <c r="U145" s="40" t="n">
        <v>892.3</v>
      </c>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39"/>
      <c r="BY145" s="7"/>
      <c r="BZ145" s="7"/>
      <c r="CA145" s="7"/>
      <c r="CB145" s="7"/>
      <c r="CC145" s="7"/>
      <c r="CD145" s="7"/>
      <c r="CE145" s="7"/>
      <c r="CF145" s="7"/>
    </row>
    <row r="146" customFormat="false" ht="15" hidden="true" customHeight="true" outlineLevel="1" collapsed="false">
      <c r="B146" s="50" t="s">
        <v>282</v>
      </c>
      <c r="C146" s="39"/>
      <c r="D146" s="39"/>
      <c r="E146" s="39"/>
      <c r="F146" s="40" t="n">
        <v>471</v>
      </c>
      <c r="G146" s="40" t="n">
        <v>564.3</v>
      </c>
      <c r="H146" s="40" t="n">
        <v>622.7</v>
      </c>
      <c r="I146" s="40" t="n">
        <v>652.5</v>
      </c>
      <c r="J146" s="40" t="n">
        <v>135.1</v>
      </c>
      <c r="K146" s="40" t="n">
        <v>178.9</v>
      </c>
      <c r="L146" s="40" t="n">
        <v>171.6</v>
      </c>
      <c r="M146" s="40" t="n">
        <v>210.9</v>
      </c>
      <c r="N146" s="40" t="n">
        <v>696.5</v>
      </c>
      <c r="O146" s="40" t="n">
        <v>145.6</v>
      </c>
      <c r="P146" s="40" t="n">
        <v>183.8</v>
      </c>
      <c r="Q146" s="40" t="n">
        <v>186.2</v>
      </c>
      <c r="R146" s="40" t="n">
        <v>189.6</v>
      </c>
      <c r="S146" s="40" t="n">
        <v>705.2</v>
      </c>
      <c r="T146" s="40" t="n">
        <v>160.6</v>
      </c>
      <c r="U146" s="40" t="n">
        <v>201.1</v>
      </c>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9"/>
      <c r="BT146" s="39"/>
      <c r="BU146" s="39"/>
      <c r="BV146" s="39"/>
      <c r="BW146" s="39"/>
      <c r="BX146" s="39"/>
      <c r="BY146" s="7"/>
      <c r="BZ146" s="7"/>
      <c r="CA146" s="7"/>
      <c r="CB146" s="7"/>
      <c r="CC146" s="7"/>
      <c r="CD146" s="7"/>
      <c r="CE146" s="7"/>
      <c r="CF146" s="7"/>
    </row>
    <row r="147" customFormat="false" ht="15" hidden="true" customHeight="true" outlineLevel="1" collapsed="false">
      <c r="B147" s="50" t="s">
        <v>283</v>
      </c>
      <c r="C147" s="39"/>
      <c r="D147" s="39"/>
      <c r="E147" s="39"/>
      <c r="F147" s="40" t="n">
        <v>1657</v>
      </c>
      <c r="G147" s="40" t="n">
        <v>1824.6</v>
      </c>
      <c r="H147" s="40" t="n">
        <v>2011.2</v>
      </c>
      <c r="I147" s="40" t="n">
        <v>2022.9</v>
      </c>
      <c r="J147" s="40" t="n">
        <v>479.8</v>
      </c>
      <c r="K147" s="40" t="n">
        <v>514.7</v>
      </c>
      <c r="L147" s="40" t="n">
        <v>510.2</v>
      </c>
      <c r="M147" s="40" t="n">
        <v>590.2</v>
      </c>
      <c r="N147" s="40" t="n">
        <v>2094.9</v>
      </c>
      <c r="O147" s="40" t="n">
        <v>509.7</v>
      </c>
      <c r="P147" s="40" t="n">
        <v>528.1</v>
      </c>
      <c r="Q147" s="40" t="n">
        <v>528.4</v>
      </c>
      <c r="R147" s="40" t="n">
        <v>626.9</v>
      </c>
      <c r="S147" s="40" t="n">
        <v>2193.1</v>
      </c>
      <c r="T147" s="40" t="n">
        <v>662.4</v>
      </c>
      <c r="U147" s="40" t="n">
        <v>687.6</v>
      </c>
      <c r="V147" s="40" t="n">
        <v>652.2</v>
      </c>
      <c r="W147" s="40" t="n">
        <v>734.6</v>
      </c>
      <c r="X147" s="40" t="n">
        <v>2736.8</v>
      </c>
      <c r="Y147" s="40" t="n">
        <v>655.9</v>
      </c>
      <c r="Z147" s="40" t="n">
        <v>714.6</v>
      </c>
      <c r="AA147" s="40" t="n">
        <v>675.6</v>
      </c>
      <c r="AB147" s="40" t="n">
        <v>739.3</v>
      </c>
      <c r="AC147" s="40" t="n">
        <v>2785.4</v>
      </c>
      <c r="AD147" s="40" t="n">
        <v>655.5</v>
      </c>
      <c r="AE147" s="40" t="n">
        <v>702.6</v>
      </c>
      <c r="AF147" s="40" t="n">
        <v>694</v>
      </c>
      <c r="AG147" s="40" t="n">
        <v>758.8</v>
      </c>
      <c r="AH147" s="40" t="n">
        <v>2810.9</v>
      </c>
      <c r="AI147" s="40" t="n">
        <v>672.6</v>
      </c>
      <c r="AJ147" s="40" t="n">
        <v>733.4</v>
      </c>
      <c r="AK147" s="40" t="n">
        <v>679.5</v>
      </c>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39"/>
      <c r="BY147" s="7"/>
      <c r="BZ147" s="7"/>
      <c r="CA147" s="7"/>
      <c r="CB147" s="7"/>
      <c r="CC147" s="7"/>
      <c r="CD147" s="7"/>
      <c r="CE147" s="7"/>
      <c r="CF147" s="7"/>
    </row>
    <row r="148" customFormat="false" ht="15" hidden="true" customHeight="true" outlineLevel="1" collapsed="false">
      <c r="B148" s="50" t="s">
        <v>284</v>
      </c>
      <c r="C148" s="39"/>
      <c r="D148" s="39"/>
      <c r="E148" s="39"/>
      <c r="F148" s="40" t="n">
        <v>215.9</v>
      </c>
      <c r="G148" s="40" t="n">
        <v>203.3</v>
      </c>
      <c r="H148" s="40" t="n">
        <v>236.1</v>
      </c>
      <c r="I148" s="40" t="n">
        <v>293.1</v>
      </c>
      <c r="J148" s="40" t="n">
        <v>62.9</v>
      </c>
      <c r="K148" s="40" t="n">
        <v>78.8</v>
      </c>
      <c r="L148" s="40" t="n">
        <v>82.2</v>
      </c>
      <c r="M148" s="40" t="n">
        <v>81</v>
      </c>
      <c r="N148" s="40" t="n">
        <v>304.9</v>
      </c>
      <c r="O148" s="40" t="n">
        <v>75.5</v>
      </c>
      <c r="P148" s="40" t="n">
        <v>77.9</v>
      </c>
      <c r="Q148" s="40" t="n">
        <v>91.2</v>
      </c>
      <c r="R148" s="40" t="n">
        <v>59.8</v>
      </c>
      <c r="S148" s="40" t="n">
        <v>304.4</v>
      </c>
      <c r="T148" s="40" t="n">
        <v>60.1</v>
      </c>
      <c r="U148" s="40" t="n">
        <v>97.3</v>
      </c>
      <c r="V148" s="40" t="n">
        <v>96.8</v>
      </c>
      <c r="W148" s="40" t="n">
        <v>116.2</v>
      </c>
      <c r="X148" s="40" t="n">
        <v>370.4</v>
      </c>
      <c r="Y148" s="40" t="n">
        <v>95.1</v>
      </c>
      <c r="Z148" s="40" t="n">
        <v>109.2</v>
      </c>
      <c r="AA148" s="40" t="n">
        <v>101.3</v>
      </c>
      <c r="AB148" s="40" t="n">
        <v>113.8</v>
      </c>
      <c r="AC148" s="40" t="n">
        <v>419.4</v>
      </c>
      <c r="AD148" s="40" t="n">
        <v>89.4</v>
      </c>
      <c r="AE148" s="40" t="n">
        <v>109.8</v>
      </c>
      <c r="AF148" s="40" t="n">
        <v>102.2</v>
      </c>
      <c r="AG148" s="40" t="n">
        <v>99.3</v>
      </c>
      <c r="AH148" s="40" t="n">
        <v>400.7</v>
      </c>
      <c r="AI148" s="40" t="n">
        <v>50.9</v>
      </c>
      <c r="AJ148" s="40" t="n">
        <v>104.8</v>
      </c>
      <c r="AK148" s="40" t="n">
        <v>86.1</v>
      </c>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9"/>
      <c r="BT148" s="39"/>
      <c r="BU148" s="39"/>
      <c r="BV148" s="39"/>
      <c r="BW148" s="39"/>
      <c r="BX148" s="39"/>
      <c r="BY148" s="7"/>
      <c r="BZ148" s="7"/>
      <c r="CA148" s="7"/>
      <c r="CB148" s="7"/>
      <c r="CC148" s="7"/>
      <c r="CD148" s="7"/>
      <c r="CE148" s="7"/>
      <c r="CF148" s="7"/>
    </row>
    <row r="149" customFormat="false" ht="15" hidden="true" customHeight="true" outlineLevel="1" collapsed="false">
      <c r="B149" s="50" t="s">
        <v>285</v>
      </c>
      <c r="C149" s="39"/>
      <c r="D149" s="39"/>
      <c r="E149" s="39"/>
      <c r="F149" s="40" t="n">
        <v>2221.3</v>
      </c>
      <c r="G149" s="40" t="n">
        <v>2832.9</v>
      </c>
      <c r="H149" s="40" t="n">
        <v>3390.9</v>
      </c>
      <c r="I149" s="40" t="n">
        <v>3381</v>
      </c>
      <c r="J149" s="40" t="n">
        <v>855.4</v>
      </c>
      <c r="K149" s="40" t="n">
        <v>855</v>
      </c>
      <c r="L149" s="40" t="n">
        <v>808.6</v>
      </c>
      <c r="M149" s="40" t="n">
        <v>898.3</v>
      </c>
      <c r="N149" s="40" t="n">
        <v>3417.3</v>
      </c>
      <c r="O149" s="40" t="n">
        <v>871</v>
      </c>
      <c r="P149" s="40" t="n">
        <v>856.5</v>
      </c>
      <c r="Q149" s="40" t="n">
        <v>657.8</v>
      </c>
      <c r="R149" s="40" t="n">
        <v>720.4</v>
      </c>
      <c r="S149" s="40" t="n">
        <v>2702.1</v>
      </c>
      <c r="T149" s="40" t="n">
        <v>678.9</v>
      </c>
      <c r="U149" s="40" t="n">
        <v>675.5</v>
      </c>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7"/>
      <c r="BZ149" s="7"/>
      <c r="CA149" s="7"/>
      <c r="CB149" s="7"/>
      <c r="CC149" s="7"/>
      <c r="CD149" s="7"/>
      <c r="CE149" s="7"/>
      <c r="CF149" s="7"/>
    </row>
    <row r="150" customFormat="false" ht="15" hidden="true" customHeight="true" outlineLevel="1" collapsed="false">
      <c r="B150" s="50" t="s">
        <v>286</v>
      </c>
      <c r="C150" s="39"/>
      <c r="D150" s="39"/>
      <c r="E150" s="39"/>
      <c r="F150" s="40" t="n">
        <v>301.4</v>
      </c>
      <c r="G150" s="40" t="n">
        <v>572.9</v>
      </c>
      <c r="H150" s="40" t="n">
        <v>751.2</v>
      </c>
      <c r="I150" s="40" t="n">
        <v>701.2</v>
      </c>
      <c r="J150" s="40" t="n">
        <v>187.3</v>
      </c>
      <c r="K150" s="40" t="n">
        <v>178.4</v>
      </c>
      <c r="L150" s="40" t="n">
        <v>155</v>
      </c>
      <c r="M150" s="40" t="n">
        <v>148.8</v>
      </c>
      <c r="N150" s="40" t="n">
        <v>669.5</v>
      </c>
      <c r="O150" s="40" t="n">
        <v>192.7</v>
      </c>
      <c r="P150" s="40" t="n">
        <v>157.8</v>
      </c>
      <c r="Q150" s="40" t="n">
        <v>144.2</v>
      </c>
      <c r="R150" s="40" t="n">
        <v>143.2</v>
      </c>
      <c r="S150" s="40" t="n">
        <v>573.2</v>
      </c>
      <c r="T150" s="40" t="n">
        <v>151.6</v>
      </c>
      <c r="U150" s="40" t="n">
        <v>163.9</v>
      </c>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c r="BV150" s="39"/>
      <c r="BW150" s="39"/>
      <c r="BX150" s="39"/>
      <c r="BY150" s="7"/>
      <c r="BZ150" s="7"/>
      <c r="CA150" s="7"/>
      <c r="CB150" s="7"/>
      <c r="CC150" s="7"/>
      <c r="CD150" s="7"/>
      <c r="CE150" s="7"/>
      <c r="CF150" s="7"/>
    </row>
    <row r="151" customFormat="false" ht="15" hidden="true" customHeight="true" outlineLevel="1" collapsed="false">
      <c r="B151" s="50" t="s">
        <v>287</v>
      </c>
      <c r="C151" s="40" t="n">
        <v>2988.8</v>
      </c>
      <c r="D151" s="40" t="n">
        <v>3153.4</v>
      </c>
      <c r="E151" s="40" t="n">
        <v>3265.5</v>
      </c>
      <c r="F151" s="40" t="n">
        <v>2795.1</v>
      </c>
      <c r="G151" s="40" t="n">
        <v>2540.6</v>
      </c>
      <c r="H151" s="40" t="n">
        <v>3121.4</v>
      </c>
      <c r="I151" s="40" t="n">
        <v>3307.9</v>
      </c>
      <c r="J151" s="40" t="n">
        <v>816.8</v>
      </c>
      <c r="K151" s="40" t="n">
        <v>866.7</v>
      </c>
      <c r="L151" s="40" t="n">
        <v>846.5</v>
      </c>
      <c r="M151" s="40" t="n">
        <v>902.5</v>
      </c>
      <c r="N151" s="40" t="n">
        <v>3432.5</v>
      </c>
      <c r="O151" s="40" t="n">
        <v>853.7</v>
      </c>
      <c r="P151" s="40" t="n">
        <v>913</v>
      </c>
      <c r="Q151" s="40" t="n">
        <v>865.6</v>
      </c>
      <c r="R151" s="40" t="n">
        <v>893.5</v>
      </c>
      <c r="S151" s="40" t="n">
        <v>3525.8</v>
      </c>
      <c r="T151" s="40" t="n">
        <v>834.5</v>
      </c>
      <c r="U151" s="40" t="n">
        <v>864.5</v>
      </c>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39"/>
      <c r="BY151" s="7"/>
      <c r="BZ151" s="7"/>
      <c r="CA151" s="7"/>
      <c r="CB151" s="7"/>
      <c r="CC151" s="7"/>
      <c r="CD151" s="7"/>
      <c r="CE151" s="7"/>
      <c r="CF151" s="7"/>
    </row>
    <row r="152" customFormat="false" ht="15" hidden="true" customHeight="true" outlineLevel="1" collapsed="false">
      <c r="B152" s="50" t="s">
        <v>288</v>
      </c>
      <c r="C152" s="40" t="n">
        <v>467.7</v>
      </c>
      <c r="D152" s="40" t="n">
        <v>532.5</v>
      </c>
      <c r="E152" s="40" t="n">
        <v>522.1</v>
      </c>
      <c r="F152" s="40" t="n">
        <v>400.2</v>
      </c>
      <c r="G152" s="40" t="n">
        <v>513.3</v>
      </c>
      <c r="H152" s="40" t="n">
        <v>655</v>
      </c>
      <c r="I152" s="40" t="n">
        <v>685.6</v>
      </c>
      <c r="J152" s="40" t="n">
        <v>170.9</v>
      </c>
      <c r="K152" s="40" t="n">
        <v>204.1</v>
      </c>
      <c r="L152" s="40" t="n">
        <v>191.7</v>
      </c>
      <c r="M152" s="40" t="n">
        <v>156.2</v>
      </c>
      <c r="N152" s="40" t="n">
        <v>722.9</v>
      </c>
      <c r="O152" s="40" t="n">
        <v>191.7</v>
      </c>
      <c r="P152" s="40" t="n">
        <v>217.5</v>
      </c>
      <c r="Q152" s="40" t="n">
        <v>210.1</v>
      </c>
      <c r="R152" s="40" t="n">
        <v>182</v>
      </c>
      <c r="S152" s="40" t="n">
        <v>801.3</v>
      </c>
      <c r="T152" s="40" t="n">
        <v>205.2</v>
      </c>
      <c r="U152" s="40" t="n">
        <v>221.4</v>
      </c>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c r="BV152" s="39"/>
      <c r="BW152" s="39"/>
      <c r="BX152" s="39"/>
      <c r="BY152" s="7"/>
      <c r="BZ152" s="7"/>
      <c r="CA152" s="7"/>
      <c r="CB152" s="7"/>
      <c r="CC152" s="7"/>
      <c r="CD152" s="7"/>
      <c r="CE152" s="7"/>
      <c r="CF152" s="7"/>
    </row>
    <row r="153" customFormat="false" ht="15" hidden="true" customHeight="true" outlineLevel="1" collapsed="false">
      <c r="B153" s="50" t="s">
        <v>289</v>
      </c>
      <c r="C153" s="40" t="n">
        <v>2906.5</v>
      </c>
      <c r="D153" s="40" t="n">
        <v>3537.9</v>
      </c>
      <c r="E153" s="40" t="n">
        <v>4860.8</v>
      </c>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39"/>
      <c r="BY153" s="7"/>
      <c r="BZ153" s="7"/>
      <c r="CA153" s="7"/>
      <c r="CB153" s="7"/>
      <c r="CC153" s="7"/>
      <c r="CD153" s="7"/>
      <c r="CE153" s="7"/>
      <c r="CF153" s="7"/>
    </row>
    <row r="154" customFormat="false" ht="15" hidden="true" customHeight="true" outlineLevel="1" collapsed="false">
      <c r="B154" s="50" t="s">
        <v>290</v>
      </c>
      <c r="C154" s="40" t="n">
        <v>625.6</v>
      </c>
      <c r="D154" s="40" t="n">
        <v>709.5</v>
      </c>
      <c r="E154" s="40" t="n">
        <v>907.3</v>
      </c>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c r="BV154" s="39"/>
      <c r="BW154" s="39"/>
      <c r="BX154" s="39"/>
      <c r="BY154" s="7"/>
      <c r="BZ154" s="7"/>
      <c r="CA154" s="7"/>
      <c r="CB154" s="7"/>
      <c r="CC154" s="7"/>
      <c r="CD154" s="7"/>
      <c r="CE154" s="7"/>
      <c r="CF154" s="7"/>
    </row>
    <row r="155" customFormat="false" ht="15" hidden="true" customHeight="true" outlineLevel="1" collapsed="false">
      <c r="B155" s="50" t="s">
        <v>291</v>
      </c>
      <c r="C155" s="40" t="n">
        <v>2220</v>
      </c>
      <c r="D155" s="40" t="n">
        <v>2998</v>
      </c>
      <c r="E155" s="40" t="n">
        <v>3277</v>
      </c>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39"/>
      <c r="BY155" s="7"/>
      <c r="BZ155" s="7"/>
      <c r="CA155" s="7"/>
      <c r="CB155" s="7"/>
      <c r="CC155" s="7"/>
      <c r="CD155" s="7"/>
      <c r="CE155" s="7"/>
      <c r="CF155" s="7"/>
    </row>
    <row r="156" customFormat="false" ht="15" hidden="true" customHeight="true" outlineLevel="1" collapsed="false">
      <c r="B156" s="50" t="s">
        <v>292</v>
      </c>
      <c r="C156" s="40" t="n">
        <v>261.6</v>
      </c>
      <c r="D156" s="40" t="n">
        <v>393.2</v>
      </c>
      <c r="E156" s="40" t="n">
        <v>370.5</v>
      </c>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c r="BR156" s="39"/>
      <c r="BS156" s="39"/>
      <c r="BT156" s="39"/>
      <c r="BU156" s="39"/>
      <c r="BV156" s="39"/>
      <c r="BW156" s="39"/>
      <c r="BX156" s="39"/>
      <c r="BY156" s="7"/>
      <c r="BZ156" s="7"/>
      <c r="CA156" s="7"/>
      <c r="CB156" s="7"/>
      <c r="CC156" s="7"/>
      <c r="CD156" s="7"/>
      <c r="CE156" s="7"/>
      <c r="CF156" s="7"/>
    </row>
    <row r="157" customFormat="false" ht="15" hidden="true" customHeight="true" outlineLevel="1" collapsed="false">
      <c r="B157" s="50" t="s">
        <v>293</v>
      </c>
      <c r="C157" s="40" t="n">
        <v>1350.8</v>
      </c>
      <c r="D157" s="40" t="n">
        <v>1336.6</v>
      </c>
      <c r="E157" s="40" t="n">
        <v>1294.2</v>
      </c>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39"/>
      <c r="BY157" s="7"/>
      <c r="BZ157" s="7"/>
      <c r="CA157" s="7"/>
      <c r="CB157" s="7"/>
      <c r="CC157" s="7"/>
      <c r="CD157" s="7"/>
      <c r="CE157" s="7"/>
      <c r="CF157" s="7"/>
    </row>
    <row r="158" customFormat="false" ht="15" hidden="true" customHeight="true" outlineLevel="1" collapsed="false">
      <c r="B158" s="50" t="s">
        <v>294</v>
      </c>
      <c r="C158" s="40" t="n">
        <v>194.1</v>
      </c>
      <c r="D158" s="40" t="n">
        <v>175.6</v>
      </c>
      <c r="E158" s="40" t="n">
        <v>157.7</v>
      </c>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c r="BV158" s="39"/>
      <c r="BW158" s="39"/>
      <c r="BX158" s="39"/>
      <c r="BY158" s="7"/>
      <c r="BZ158" s="7"/>
      <c r="CA158" s="7"/>
      <c r="CB158" s="7"/>
      <c r="CC158" s="7"/>
      <c r="CD158" s="7"/>
      <c r="CE158" s="7"/>
      <c r="CF158" s="7"/>
    </row>
    <row r="159" customFormat="false" ht="15" hidden="true" customHeight="true" outlineLevel="1" collapsed="false">
      <c r="B159" s="50" t="s">
        <v>295</v>
      </c>
      <c r="C159" s="39"/>
      <c r="D159" s="39"/>
      <c r="E159" s="39"/>
      <c r="F159" s="40" t="n">
        <v>607.9</v>
      </c>
      <c r="G159" s="40" t="n">
        <v>315.6</v>
      </c>
      <c r="H159" s="40" t="n">
        <v>0</v>
      </c>
      <c r="I159" s="40" t="n">
        <v>0</v>
      </c>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39"/>
      <c r="BY159" s="7"/>
      <c r="BZ159" s="7"/>
      <c r="CA159" s="7"/>
      <c r="CB159" s="7"/>
      <c r="CC159" s="7"/>
      <c r="CD159" s="7"/>
      <c r="CE159" s="7"/>
      <c r="CF159" s="7"/>
    </row>
    <row r="160" customFormat="false" ht="15" hidden="true" customHeight="true" outlineLevel="1" collapsed="false">
      <c r="B160" s="50" t="s">
        <v>296</v>
      </c>
      <c r="C160" s="39"/>
      <c r="D160" s="39"/>
      <c r="E160" s="39"/>
      <c r="F160" s="40" t="n">
        <v>63.9</v>
      </c>
      <c r="G160" s="40" t="n">
        <v>64.3</v>
      </c>
      <c r="H160" s="40" t="n">
        <v>66.8</v>
      </c>
      <c r="I160" s="40" t="n">
        <v>69.9</v>
      </c>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c r="BQ160" s="39"/>
      <c r="BR160" s="39"/>
      <c r="BS160" s="39"/>
      <c r="BT160" s="39"/>
      <c r="BU160" s="39"/>
      <c r="BV160" s="39"/>
      <c r="BW160" s="39"/>
      <c r="BX160" s="39"/>
      <c r="BY160" s="7"/>
      <c r="BZ160" s="7"/>
      <c r="CA160" s="7"/>
      <c r="CB160" s="7"/>
      <c r="CC160" s="7"/>
      <c r="CD160" s="7"/>
      <c r="CE160" s="7"/>
      <c r="CF160" s="7"/>
    </row>
    <row r="161" customFormat="false" ht="15" hidden="false" customHeight="true" outlineLevel="0" collapsed="false">
      <c r="B161" s="65" t="s">
        <v>297</v>
      </c>
      <c r="C161" s="66" t="n">
        <f aca="false">IF(ISNUMBER(C112),IF(ABS(N(C17)+N(C35)+N(C53)+N(C162)+N(C142)+N(C144)+N(C146)+N(C148)+N(C150)+N(C152)+N(C154)+N(C156)+N(C158)+N(C160)+C112-C185)&lt;=1.5,0,ROUND(N(C17)+N(C35)+N(C53)+N(C162)+N(C142)+N(C144)+N(C146)+N(C148)+N(C150)+N(C152)+N(C154)+N(C156)+N(C158)+N(C160)+C112-C185,1)),"")</f>
        <v>0</v>
      </c>
      <c r="D161" s="66" t="n">
        <f aca="false">IF(ISNUMBER(D112),IF(ABS(N(D17)+N(D35)+N(D53)+N(D162)+N(D142)+N(D144)+N(D146)+N(D148)+N(D150)+N(D152)+N(D154)+N(D156)+N(D158)+N(D160)+D112-D185)&lt;=1.5,0,ROUND(N(D17)+N(D35)+N(D53)+N(D162)+N(D142)+N(D144)+N(D146)+N(D148)+N(D150)+N(D152)+N(D154)+N(D156)+N(D158)+N(D160)+D112-D185,1)),"")</f>
        <v>0</v>
      </c>
      <c r="E161" s="66" t="n">
        <f aca="false">IF(ISNUMBER(E112),IF(ABS(N(E17)+N(E35)+N(E53)+N(E162)+N(E142)+N(E144)+N(E146)+N(E148)+N(E150)+N(E152)+N(E154)+N(E156)+N(E158)+N(E160)+E112-E185)&lt;=1.5,0,ROUND(N(E17)+N(E35)+N(E53)+N(E162)+N(E142)+N(E144)+N(E146)+N(E148)+N(E150)+N(E152)+N(E154)+N(E156)+N(E158)+N(E160)+E112-E185,1)),"")</f>
        <v>0</v>
      </c>
      <c r="F161" s="66" t="n">
        <f aca="false">IF(ISNUMBER(F112),IF(ABS(N(F17)+N(F35)+N(F53)+N(F162)+N(F142)+N(F144)+N(F146)+N(F148)+N(F150)+N(F152)+N(F154)+N(F156)+N(F158)+N(F160)+F112-F185)&lt;=1.5,0,ROUND(N(F17)+N(F35)+N(F53)+N(F162)+N(F142)+N(F144)+N(F146)+N(F148)+N(F150)+N(F152)+N(F154)+N(F156)+N(F158)+N(F160)+F112-F185,1)),"")</f>
        <v>0</v>
      </c>
      <c r="G161" s="66" t="n">
        <f aca="false">IF(ISNUMBER(G112),IF(ABS(N(G17)+N(G35)+N(G53)+N(G162)+N(G142)+N(G144)+N(G146)+N(G148)+N(G150)+N(G152)+N(G154)+N(G156)+N(G158)+N(G160)+G112-G185)&lt;=1.5,0,ROUND(N(G17)+N(G35)+N(G53)+N(G162)+N(G142)+N(G144)+N(G146)+N(G148)+N(G150)+N(G152)+N(G154)+N(G156)+N(G158)+N(G160)+G112-G185,1)),"")</f>
        <v>0</v>
      </c>
      <c r="H161" s="66" t="n">
        <f aca="false">IF(ISNUMBER(H112),IF(ABS(N(H17)+N(H35)+N(H53)+N(H162)+N(H142)+N(H144)+N(H146)+N(H148)+N(H150)+N(H152)+N(H154)+N(H156)+N(H158)+N(H160)+H112-H185)&lt;=1.5,0,ROUND(N(H17)+N(H35)+N(H53)+N(H162)+N(H142)+N(H144)+N(H146)+N(H148)+N(H150)+N(H152)+N(H154)+N(H156)+N(H158)+N(H160)+H112-H185,1)),"")</f>
        <v>0</v>
      </c>
      <c r="I161" s="66" t="n">
        <f aca="false">IF(ISNUMBER(I112),IF(ABS(N(I17)+N(I35)+N(I53)+N(I162)+N(I142)+N(I144)+N(I146)+N(I148)+N(I150)+N(I152)+N(I154)+N(I156)+N(I158)+N(I160)+I112-I185)&lt;=1.5,0,ROUND(N(I17)+N(I35)+N(I53)+N(I162)+N(I142)+N(I144)+N(I146)+N(I148)+N(I150)+N(I152)+N(I154)+N(I156)+N(I158)+N(I160)+I112-I185,1)),"")</f>
        <v>0</v>
      </c>
      <c r="J161" s="66" t="n">
        <f aca="false">IF(ISNUMBER(J112),IF(ABS(N(J17)+N(J35)+N(J53)+N(J162)+N(J142)+N(J144)+N(J146)+N(J148)+N(J150)+N(J152)+N(J154)+N(J156)+N(J158)+N(J160)+J112-J185)&lt;=1.5,0,ROUND(N(J17)+N(J35)+N(J53)+N(J162)+N(J142)+N(J144)+N(J146)+N(J148)+N(J150)+N(J152)+N(J154)+N(J156)+N(J158)+N(J160)+J112-J185,1)),"")</f>
        <v>0</v>
      </c>
      <c r="K161" s="66" t="n">
        <f aca="false">IF(ISNUMBER(K112),IF(ABS(N(K17)+N(K35)+N(K53)+N(K162)+N(K142)+N(K144)+N(K146)+N(K148)+N(K150)+N(K152)+N(K154)+N(K156)+N(K158)+N(K160)+K112-K185)&lt;=1.5,0,ROUND(N(K17)+N(K35)+N(K53)+N(K162)+N(K142)+N(K144)+N(K146)+N(K148)+N(K150)+N(K152)+N(K154)+N(K156)+N(K158)+N(K160)+K112-K185,1)),"")</f>
        <v>0</v>
      </c>
      <c r="L161" s="66" t="n">
        <f aca="false">IF(ISNUMBER(L112),IF(ABS(N(L17)+N(L35)+N(L53)+N(L162)+N(L142)+N(L144)+N(L146)+N(L148)+N(L150)+N(L152)+N(L154)+N(L156)+N(L158)+N(L160)+L112-L185)&lt;=1.5,0,ROUND(N(L17)+N(L35)+N(L53)+N(L162)+N(L142)+N(L144)+N(L146)+N(L148)+N(L150)+N(L152)+N(L154)+N(L156)+N(L158)+N(L160)+L112-L185,1)),"")</f>
        <v>0</v>
      </c>
      <c r="M161" s="66" t="n">
        <f aca="false">IF(ISNUMBER(M112),IF(ABS(N(M17)+N(M35)+N(M53)+N(M162)+N(M142)+N(M144)+N(M146)+N(M148)+N(M150)+N(M152)+N(M154)+N(M156)+N(M158)+N(M160)+M112-M185)&lt;=1.5,0,ROUND(N(M17)+N(M35)+N(M53)+N(M162)+N(M142)+N(M144)+N(M146)+N(M148)+N(M150)+N(M152)+N(M154)+N(M156)+N(M158)+N(M160)+M112-M185,1)),"")</f>
        <v>0</v>
      </c>
      <c r="N161" s="66" t="n">
        <f aca="false">IF(ISNUMBER(N112),IF(ABS(N(N17)+N(N35)+N(N53)+N(N162)+N(N142)+N(N144)+N(N146)+N(N148)+N(N150)+N(N152)+N(N154)+N(N156)+N(N158)+N(N160)+N112-N185)&lt;=1.5,0,ROUND(N(N17)+N(N35)+N(N53)+N(N162)+N(N142)+N(N144)+N(N146)+N(N148)+N(N150)+N(N152)+N(N154)+N(N156)+N(N158)+N(N160)+N112-N185,1)),"")</f>
        <v>0</v>
      </c>
      <c r="O161" s="66" t="n">
        <f aca="false">IF(ISNUMBER(O112),IF(ABS(N(O17)+N(O35)+N(O53)+N(O162)+N(O142)+N(O144)+N(O146)+N(O148)+N(O150)+N(O152)+N(O154)+N(O156)+N(O158)+N(O160)+O112-O185)&lt;=1.5,0,ROUND(N(O17)+N(O35)+N(O53)+N(O162)+N(O142)+N(O144)+N(O146)+N(O148)+N(O150)+N(O152)+N(O154)+N(O156)+N(O158)+N(O160)+O112-O185,1)),"")</f>
        <v>0</v>
      </c>
      <c r="P161" s="66" t="n">
        <f aca="false">IF(ISNUMBER(P112),IF(ABS(N(P17)+N(P35)+N(P53)+N(P162)+N(P142)+N(P144)+N(P146)+N(P148)+N(P150)+N(P152)+N(P154)+N(P156)+N(P158)+N(P160)+P112-P185)&lt;=1.5,0,ROUND(N(P17)+N(P35)+N(P53)+N(P162)+N(P142)+N(P144)+N(P146)+N(P148)+N(P150)+N(P152)+N(P154)+N(P156)+N(P158)+N(P160)+P112-P185,1)),"")</f>
        <v>0</v>
      </c>
      <c r="Q161" s="66" t="n">
        <f aca="false">IF(ISNUMBER(Q112),IF(ABS(N(Q17)+N(Q35)+N(Q53)+N(Q162)+N(Q142)+N(Q144)+N(Q146)+N(Q148)+N(Q150)+N(Q152)+N(Q154)+N(Q156)+N(Q158)+N(Q160)+Q112-Q185)&lt;=1.5,0,ROUND(N(Q17)+N(Q35)+N(Q53)+N(Q162)+N(Q142)+N(Q144)+N(Q146)+N(Q148)+N(Q150)+N(Q152)+N(Q154)+N(Q156)+N(Q158)+N(Q160)+Q112-Q185,1)),"")</f>
        <v>0</v>
      </c>
      <c r="R161" s="66" t="n">
        <f aca="false">IF(ISNUMBER(R112),IF(ABS(N(R17)+N(R35)+N(R53)+N(R162)+N(R142)+N(R144)+N(R146)+N(R148)+N(R150)+N(R152)+N(R154)+N(R156)+N(R158)+N(R160)+R112-R185)&lt;=1.5,0,ROUND(N(R17)+N(R35)+N(R53)+N(R162)+N(R142)+N(R144)+N(R146)+N(R148)+N(R150)+N(R152)+N(R154)+N(R156)+N(R158)+N(R160)+R112-R185,1)),"")</f>
        <v>0</v>
      </c>
      <c r="S161" s="66" t="n">
        <f aca="false">IF(ISNUMBER(S112),IF(ABS(N(S17)+N(S35)+N(S53)+N(S162)+N(S142)+N(S144)+N(S146)+N(S148)+N(S150)+N(S152)+N(S154)+N(S156)+N(S158)+N(S160)+S112-S185)&lt;=1.5,0,ROUND(N(S17)+N(S35)+N(S53)+N(S162)+N(S142)+N(S144)+N(S146)+N(S148)+N(S150)+N(S152)+N(S154)+N(S156)+N(S158)+N(S160)+S112-S185,1)),"")</f>
        <v>0</v>
      </c>
      <c r="T161" s="66" t="n">
        <f aca="false">IF(ISNUMBER(T112),IF(ABS(N(T17)+N(T35)+N(T53)+N(T162)+N(T142)+N(T144)+N(T146)+N(T148)+N(T150)+N(T152)+N(T154)+N(T156)+N(T158)+N(T160)+T112-T185)&lt;=1.5,0,ROUND(N(T17)+N(T35)+N(T53)+N(T162)+N(T142)+N(T144)+N(T146)+N(T148)+N(T150)+N(T152)+N(T154)+N(T156)+N(T158)+N(T160)+T112-T185,1)),"")</f>
        <v>0</v>
      </c>
      <c r="U161" s="66" t="n">
        <f aca="false">IF(ISNUMBER(U112),IF(ABS(N(U17)+N(U35)+N(U53)+N(U162)+N(U142)+N(U144)+N(U146)+N(U148)+N(U150)+N(U152)+N(U154)+N(U156)+N(U158)+N(U160)+U112-U185)&lt;=1.5,0,ROUND(N(U17)+N(U35)+N(U53)+N(U162)+N(U142)+N(U144)+N(U146)+N(U148)+N(U150)+N(U152)+N(U154)+N(U156)+N(U158)+N(U160)+U112-U185,1)),"")</f>
        <v>0</v>
      </c>
      <c r="V161" s="66" t="n">
        <f aca="false">IF(ISNUMBER(V112),IF(ABS(N(V17)+N(V35)+N(V53)+N(V162)+N(V142)+N(V144)+N(V146)+N(V148)+N(V150)+N(V152)+N(V154)+N(V156)+N(V158)+N(V160)+V112-V185)&lt;=1.5,0,ROUND(N(V17)+N(V35)+N(V53)+N(V162)+N(V142)+N(V144)+N(V146)+N(V148)+N(V150)+N(V152)+N(V154)+N(V156)+N(V158)+N(V160)+V112-V185,1)),"")</f>
        <v>0</v>
      </c>
      <c r="W161" s="66" t="n">
        <f aca="false">IF(ISNUMBER(W112),IF(ABS(N(W17)+N(W35)+N(W53)+N(W162)+N(W142)+N(W144)+N(W146)+N(W148)+N(W150)+N(W152)+N(W154)+N(W156)+N(W158)+N(W160)+W112-W185)&lt;=1.5,0,ROUND(N(W17)+N(W35)+N(W53)+N(W162)+N(W142)+N(W144)+N(W146)+N(W148)+N(W150)+N(W152)+N(W154)+N(W156)+N(W158)+N(W160)+W112-W185,1)),"")</f>
        <v>0</v>
      </c>
      <c r="X161" s="66" t="n">
        <f aca="false">IF(ISNUMBER(X112),IF(ABS(N(X17)+N(X35)+N(X53)+N(X162)+N(X142)+N(X144)+N(X146)+N(X148)+N(X150)+N(X152)+N(X154)+N(X156)+N(X158)+N(X160)+X112-X185)&lt;=1.5,0,ROUND(N(X17)+N(X35)+N(X53)+N(X162)+N(X142)+N(X144)+N(X146)+N(X148)+N(X150)+N(X152)+N(X154)+N(X156)+N(X158)+N(X160)+X112-X185,1)),"")</f>
        <v>0</v>
      </c>
      <c r="Y161" s="66" t="n">
        <f aca="false">IF(ISNUMBER(Y112),IF(ABS(N(Y17)+N(Y35)+N(Y53)+N(Y162)+N(Y142)+N(Y144)+N(Y146)+N(Y148)+N(Y150)+N(Y152)+N(Y154)+N(Y156)+N(Y158)+N(Y160)+Y112-Y185)&lt;=1.5,0,ROUND(N(Y17)+N(Y35)+N(Y53)+N(Y162)+N(Y142)+N(Y144)+N(Y146)+N(Y148)+N(Y150)+N(Y152)+N(Y154)+N(Y156)+N(Y158)+N(Y160)+Y112-Y185,1)),"")</f>
        <v>0</v>
      </c>
      <c r="Z161" s="66" t="n">
        <f aca="false">IF(ISNUMBER(Z112),IF(ABS(N(Z17)+N(Z35)+N(Z53)+N(Z162)+N(Z142)+N(Z144)+N(Z146)+N(Z148)+N(Z150)+N(Z152)+N(Z154)+N(Z156)+N(Z158)+N(Z160)+Z112-Z185)&lt;=1.5,0,ROUND(N(Z17)+N(Z35)+N(Z53)+N(Z162)+N(Z142)+N(Z144)+N(Z146)+N(Z148)+N(Z150)+N(Z152)+N(Z154)+N(Z156)+N(Z158)+N(Z160)+Z112-Z185,1)),"")</f>
        <v>0</v>
      </c>
      <c r="AA161" s="66" t="n">
        <f aca="false">IF(ISNUMBER(AA112),IF(ABS(N(AA17)+N(AA35)+N(AA53)+N(AA162)+N(AA142)+N(AA144)+N(AA146)+N(AA148)+N(AA150)+N(AA152)+N(AA154)+N(AA156)+N(AA158)+N(AA160)+AA112-AA185)&lt;=1.5,0,ROUND(N(AA17)+N(AA35)+N(AA53)+N(AA162)+N(AA142)+N(AA144)+N(AA146)+N(AA148)+N(AA150)+N(AA152)+N(AA154)+N(AA156)+N(AA158)+N(AA160)+AA112-AA185,1)),"")</f>
        <v>0</v>
      </c>
      <c r="AB161" s="66" t="n">
        <f aca="false">IF(ISNUMBER(AB112),IF(ABS(N(AB17)+N(AB35)+N(AB53)+N(AB162)+N(AB142)+N(AB144)+N(AB146)+N(AB148)+N(AB150)+N(AB152)+N(AB154)+N(AB156)+N(AB158)+N(AB160)+AB112-AB185)&lt;=1.5,0,ROUND(N(AB17)+N(AB35)+N(AB53)+N(AB162)+N(AB142)+N(AB144)+N(AB146)+N(AB148)+N(AB150)+N(AB152)+N(AB154)+N(AB156)+N(AB158)+N(AB160)+AB112-AB185,1)),"")</f>
        <v>0</v>
      </c>
      <c r="AC161" s="66" t="n">
        <f aca="false">IF(ISNUMBER(AC112),IF(ABS(N(AC17)+N(AC35)+N(AC53)+N(AC162)+N(AC142)+N(AC144)+N(AC146)+N(AC148)+N(AC150)+N(AC152)+N(AC154)+N(AC156)+N(AC158)+N(AC160)+AC112-AC185)&lt;=1.5,0,ROUND(N(AC17)+N(AC35)+N(AC53)+N(AC162)+N(AC142)+N(AC144)+N(AC146)+N(AC148)+N(AC150)+N(AC152)+N(AC154)+N(AC156)+N(AC158)+N(AC160)+AC112-AC185,1)),"")</f>
        <v>0</v>
      </c>
      <c r="AD161" s="66" t="n">
        <f aca="false">IF(ISNUMBER(AD112),IF(ABS(N(AD17)+N(AD35)+N(AD53)+N(AD162)+N(AD142)+N(AD144)+N(AD146)+N(AD148)+N(AD150)+N(AD152)+N(AD154)+N(AD156)+N(AD158)+N(AD160)+AD112-AD185)&lt;=1.5,0,ROUND(N(AD17)+N(AD35)+N(AD53)+N(AD162)+N(AD142)+N(AD144)+N(AD146)+N(AD148)+N(AD150)+N(AD152)+N(AD154)+N(AD156)+N(AD158)+N(AD160)+AD112-AD185,1)),"")</f>
        <v>0</v>
      </c>
      <c r="AE161" s="66" t="n">
        <f aca="false">IF(ISNUMBER(AE112),IF(ABS(N(AE17)+N(AE35)+N(AE53)+N(AE162)+N(AE142)+N(AE144)+N(AE146)+N(AE148)+N(AE150)+N(AE152)+N(AE154)+N(AE156)+N(AE158)+N(AE160)+AE112-AE185)&lt;=1.5,0,ROUND(N(AE17)+N(AE35)+N(AE53)+N(AE162)+N(AE142)+N(AE144)+N(AE146)+N(AE148)+N(AE150)+N(AE152)+N(AE154)+N(AE156)+N(AE158)+N(AE160)+AE112-AE185,1)),"")</f>
        <v>0</v>
      </c>
      <c r="AF161" s="66" t="n">
        <f aca="false">IF(ISNUMBER(AF112),IF(ABS(N(AF17)+N(AF35)+N(AF53)+N(AF162)+N(AF142)+N(AF144)+N(AF146)+N(AF148)+N(AF150)+N(AF152)+N(AF154)+N(AF156)+N(AF158)+N(AF160)+AF112-AF185)&lt;=1.5,0,ROUND(N(AF17)+N(AF35)+N(AF53)+N(AF162)+N(AF142)+N(AF144)+N(AF146)+N(AF148)+N(AF150)+N(AF152)+N(AF154)+N(AF156)+N(AF158)+N(AF160)+AF112-AF185,1)),"")</f>
        <v>0</v>
      </c>
      <c r="AG161" s="66" t="n">
        <f aca="false">IF(ISNUMBER(AG112),IF(ABS(N(AG17)+N(AG35)+N(AG53)+N(AG162)+N(AG142)+N(AG144)+N(AG146)+N(AG148)+N(AG150)+N(AG152)+N(AG154)+N(AG156)+N(AG158)+N(AG160)+AG112-AG185)&lt;=1.5,0,ROUND(N(AG17)+N(AG35)+N(AG53)+N(AG162)+N(AG142)+N(AG144)+N(AG146)+N(AG148)+N(AG150)+N(AG152)+N(AG154)+N(AG156)+N(AG158)+N(AG160)+AG112-AG185,1)),"")</f>
        <v>0</v>
      </c>
      <c r="AH161" s="66" t="n">
        <f aca="false">IF(ISNUMBER(AH112),IF(ABS(N(AH17)+N(AH35)+N(AH53)+N(AH162)+N(AH142)+N(AH144)+N(AH146)+N(AH148)+N(AH150)+N(AH152)+N(AH154)+N(AH156)+N(AH158)+N(AH160)+AH112-AH185)&lt;=1.5,0,ROUND(N(AH17)+N(AH35)+N(AH53)+N(AH162)+N(AH142)+N(AH144)+N(AH146)+N(AH148)+N(AH150)+N(AH152)+N(AH154)+N(AH156)+N(AH158)+N(AH160)+AH112-AH185,1)),"")</f>
        <v>0</v>
      </c>
      <c r="AI161" s="66" t="n">
        <f aca="false">IF(ISNUMBER(AI112),IF(ABS(N(AI17)+N(AI35)+N(AI53)+N(AI162)+N(AI142)+N(AI144)+N(AI146)+N(AI148)+N(AI150)+N(AI152)+N(AI154)+N(AI156)+N(AI158)+N(AI160)+AI112-AI185)&lt;=1.5,0,ROUND(N(AI17)+N(AI35)+N(AI53)+N(AI162)+N(AI142)+N(AI144)+N(AI146)+N(AI148)+N(AI150)+N(AI152)+N(AI154)+N(AI156)+N(AI158)+N(AI160)+AI112-AI185,1)),"")</f>
        <v>0</v>
      </c>
      <c r="AJ161" s="66" t="n">
        <f aca="false">IF(ISNUMBER(AJ112),IF(ABS(N(AJ17)+N(AJ35)+N(AJ53)+N(AJ162)+N(AJ142)+N(AJ144)+N(AJ146)+N(AJ148)+N(AJ150)+N(AJ152)+N(AJ154)+N(AJ156)+N(AJ158)+N(AJ160)+AJ112-AJ185)&lt;=1.5,0,ROUND(N(AJ17)+N(AJ35)+N(AJ53)+N(AJ162)+N(AJ142)+N(AJ144)+N(AJ146)+N(AJ148)+N(AJ150)+N(AJ152)+N(AJ154)+N(AJ156)+N(AJ158)+N(AJ160)+AJ112-AJ185,1)),"")</f>
        <v>0</v>
      </c>
      <c r="AK161" s="66" t="n">
        <f aca="false">IF(ISNUMBER(AK112),IF(ABS(N(AK17)+N(AK35)+N(AK53)+N(AK162)+N(AK142)+N(AK144)+N(AK146)+N(AK148)+N(AK150)+N(AK152)+N(AK154)+N(AK156)+N(AK158)+N(AK160)+AK112-AK185)&lt;=1.5,0,ROUND(N(AK17)+N(AK35)+N(AK53)+N(AK162)+N(AK142)+N(AK144)+N(AK146)+N(AK148)+N(AK150)+N(AK152)+N(AK154)+N(AK156)+N(AK158)+N(AK160)+AK112-AK185,1)),"")</f>
        <v>0</v>
      </c>
      <c r="AL161" s="66" t="n">
        <f aca="false">IF(ISNUMBER(AL112),IF(ABS(N(AL17)+N(AL35)+N(AL53)+N(AL162)+N(AL142)+N(AL144)+N(AL146)+N(AL148)+N(AL150)+N(AL152)+N(AL154)+N(AL156)+N(AL158)+N(AL160)+AL112-AL185)&lt;=1.5,0,ROUND(N(AL17)+N(AL35)+N(AL53)+N(AL162)+N(AL142)+N(AL144)+N(AL146)+N(AL148)+N(AL150)+N(AL152)+N(AL154)+N(AL156)+N(AL158)+N(AL160)+AL112-AL185,1)),"")</f>
        <v>0</v>
      </c>
      <c r="AM161" s="66" t="n">
        <f aca="false">IF(ISNUMBER(AM112),IF(ABS(N(AM17)+N(AM35)+N(AM53)+N(AM162)+N(AM142)+N(AM144)+N(AM146)+N(AM148)+N(AM150)+N(AM152)+N(AM154)+N(AM156)+N(AM158)+N(AM160)+AM112-AM185)&lt;=1.5,0,ROUND(N(AM17)+N(AM35)+N(AM53)+N(AM162)+N(AM142)+N(AM144)+N(AM146)+N(AM148)+N(AM150)+N(AM152)+N(AM154)+N(AM156)+N(AM158)+N(AM160)+AM112-AM185,1)),"")</f>
        <v>0</v>
      </c>
      <c r="AN161" s="66" t="n">
        <f aca="false">IF(ISNUMBER(AN112),IF(ABS(N(AN17)+N(AN35)+N(AN53)+N(AN162)+N(AN142)+N(AN144)+N(AN146)+N(AN148)+N(AN150)+N(AN152)+N(AN154)+N(AN156)+N(AN158)+N(AN160)+AN112-AN185)&lt;=1.5,0,ROUND(N(AN17)+N(AN35)+N(AN53)+N(AN162)+N(AN142)+N(AN144)+N(AN146)+N(AN148)+N(AN150)+N(AN152)+N(AN154)+N(AN156)+N(AN158)+N(AN160)+AN112-AN185,1)),"")</f>
        <v>0</v>
      </c>
      <c r="AO161" s="66" t="n">
        <f aca="false">IF(ISNUMBER(AO112),IF(ABS(N(AO17)+N(AO35)+N(AO53)+N(AO162)+N(AO142)+N(AO144)+N(AO146)+N(AO148)+N(AO150)+N(AO152)+N(AO154)+N(AO156)+N(AO158)+N(AO160)+AO112-AO185)&lt;=1.5,0,ROUND(N(AO17)+N(AO35)+N(AO53)+N(AO162)+N(AO142)+N(AO144)+N(AO146)+N(AO148)+N(AO150)+N(AO152)+N(AO154)+N(AO156)+N(AO158)+N(AO160)+AO112-AO185,1)),"")</f>
        <v>0</v>
      </c>
      <c r="AP161" s="66" t="n">
        <f aca="false">IF(ISNUMBER(AP112),IF(ABS(N(AP17)+N(AP35)+N(AP53)+N(AP162)+N(AP142)+N(AP144)+N(AP146)+N(AP148)+N(AP150)+N(AP152)+N(AP154)+N(AP156)+N(AP158)+N(AP160)+AP112-AP185)&lt;=1.5,0,ROUND(N(AP17)+N(AP35)+N(AP53)+N(AP162)+N(AP142)+N(AP144)+N(AP146)+N(AP148)+N(AP150)+N(AP152)+N(AP154)+N(AP156)+N(AP158)+N(AP160)+AP112-AP185,1)),"")</f>
        <v>0</v>
      </c>
      <c r="AQ161" s="66" t="n">
        <f aca="false">IF(ISNUMBER(AQ112),IF(ABS(N(AQ17)+N(AQ35)+N(AQ53)+N(AQ162)+N(AQ142)+N(AQ144)+N(AQ146)+N(AQ148)+N(AQ150)+N(AQ152)+N(AQ154)+N(AQ156)+N(AQ158)+N(AQ160)+AQ112-AQ185)&lt;=1.5,0,ROUND(N(AQ17)+N(AQ35)+N(AQ53)+N(AQ162)+N(AQ142)+N(AQ144)+N(AQ146)+N(AQ148)+N(AQ150)+N(AQ152)+N(AQ154)+N(AQ156)+N(AQ158)+N(AQ160)+AQ112-AQ185,1)),"")</f>
        <v>0</v>
      </c>
      <c r="AR161" s="66" t="n">
        <f aca="false">IF(ISNUMBER(AR112),IF(ABS(N(AR17)+N(AR35)+N(AR53)+N(AR162)+N(AR142)+N(AR144)+N(AR146)+N(AR148)+N(AR150)+N(AR152)+N(AR154)+N(AR156)+N(AR158)+N(AR160)+AR112-AR185)&lt;=1.5,0,ROUND(N(AR17)+N(AR35)+N(AR53)+N(AR162)+N(AR142)+N(AR144)+N(AR146)+N(AR148)+N(AR150)+N(AR152)+N(AR154)+N(AR156)+N(AR158)+N(AR160)+AR112-AR185,1)),"")</f>
        <v>0</v>
      </c>
      <c r="AS161" s="66" t="n">
        <f aca="false">IF(ISNUMBER(AS112),IF(ABS(N(AS17)+N(AS35)+N(AS53)+N(AS162)+N(AS142)+N(AS144)+N(AS146)+N(AS148)+N(AS150)+N(AS152)+N(AS154)+N(AS156)+N(AS158)+N(AS160)+AS112-AS185)&lt;=1.5,0,ROUND(N(AS17)+N(AS35)+N(AS53)+N(AS162)+N(AS142)+N(AS144)+N(AS146)+N(AS148)+N(AS150)+N(AS152)+N(AS154)+N(AS156)+N(AS158)+N(AS160)+AS112-AS185,1)),"")</f>
        <v>0</v>
      </c>
      <c r="AT161" s="66" t="n">
        <f aca="false">IF(ISNUMBER(AT112),IF(ABS(N(AT17)+N(AT35)+N(AT53)+N(AT162)+N(AT142)+N(AT144)+N(AT146)+N(AT148)+N(AT150)+N(AT152)+N(AT154)+N(AT156)+N(AT158)+N(AT160)+AT112-AT185)&lt;=1.5,0,ROUND(N(AT17)+N(AT35)+N(AT53)+N(AT162)+N(AT142)+N(AT144)+N(AT146)+N(AT148)+N(AT150)+N(AT152)+N(AT154)+N(AT156)+N(AT158)+N(AT160)+AT112-AT185,1)),"")</f>
        <v>0</v>
      </c>
      <c r="AU161" s="66" t="n">
        <f aca="false">IF(ISNUMBER(AU112),IF(ABS(N(AU17)+N(AU35)+N(AU53)+N(AU162)+N(AU142)+N(AU144)+N(AU146)+N(AU148)+N(AU150)+N(AU152)+N(AU154)+N(AU156)+N(AU158)+N(AU160)+AU112-AU185)&lt;=1.5,0,ROUND(N(AU17)+N(AU35)+N(AU53)+N(AU162)+N(AU142)+N(AU144)+N(AU146)+N(AU148)+N(AU150)+N(AU152)+N(AU154)+N(AU156)+N(AU158)+N(AU160)+AU112-AU185,1)),"")</f>
        <v>0</v>
      </c>
      <c r="AV161" s="66" t="n">
        <f aca="false">IF(ISNUMBER(AV112),IF(ABS(N(AV17)+N(AV35)+N(AV53)+N(AV162)+N(AV142)+N(AV144)+N(AV146)+N(AV148)+N(AV150)+N(AV152)+N(AV154)+N(AV156)+N(AV158)+N(AV160)+AV112-AV185)&lt;=1.5,0,ROUND(N(AV17)+N(AV35)+N(AV53)+N(AV162)+N(AV142)+N(AV144)+N(AV146)+N(AV148)+N(AV150)+N(AV152)+N(AV154)+N(AV156)+N(AV158)+N(AV160)+AV112-AV185,1)),"")</f>
        <v>0</v>
      </c>
      <c r="AW161" s="66" t="n">
        <f aca="false">IF(ISNUMBER(AW112),IF(ABS(N(AW17)+N(AW35)+N(AW53)+N(AW162)+N(AW142)+N(AW144)+N(AW146)+N(AW148)+N(AW150)+N(AW152)+N(AW154)+N(AW156)+N(AW158)+N(AW160)+AW112-AW185)&lt;=1.5,0,ROUND(N(AW17)+N(AW35)+N(AW53)+N(AW162)+N(AW142)+N(AW144)+N(AW146)+N(AW148)+N(AW150)+N(AW152)+N(AW154)+N(AW156)+N(AW158)+N(AW160)+AW112-AW185,1)),"")</f>
        <v>0</v>
      </c>
      <c r="AX161" s="66" t="n">
        <f aca="false">IF(ISNUMBER(AX112),IF(ABS(N(AX17)+N(AX35)+N(AX53)+N(AX162)+N(AX142)+N(AX144)+N(AX146)+N(AX148)+N(AX150)+N(AX152)+N(AX154)+N(AX156)+N(AX158)+N(AX160)+AX112-AX185)&lt;=1.5,0,ROUND(N(AX17)+N(AX35)+N(AX53)+N(AX162)+N(AX142)+N(AX144)+N(AX146)+N(AX148)+N(AX150)+N(AX152)+N(AX154)+N(AX156)+N(AX158)+N(AX160)+AX112-AX185,1)),"")</f>
        <v>0</v>
      </c>
      <c r="AY161" s="66" t="n">
        <f aca="false">IF(ISNUMBER(AY112),IF(ABS(N(AY17)+N(AY35)+N(AY53)+N(AY162)+N(AY142)+N(AY144)+N(AY146)+N(AY148)+N(AY150)+N(AY152)+N(AY154)+N(AY156)+N(AY158)+N(AY160)+AY112-AY185)&lt;=1.5,0,ROUND(N(AY17)+N(AY35)+N(AY53)+N(AY162)+N(AY142)+N(AY144)+N(AY146)+N(AY148)+N(AY150)+N(AY152)+N(AY154)+N(AY156)+N(AY158)+N(AY160)+AY112-AY185,1)),"")</f>
        <v>0</v>
      </c>
      <c r="AZ161" s="66" t="n">
        <f aca="false">IF(ISNUMBER(AZ112),IF(ABS(N(AZ17)+N(AZ35)+N(AZ53)+N(AZ162)+N(AZ142)+N(AZ144)+N(AZ146)+N(AZ148)+N(AZ150)+N(AZ152)+N(AZ154)+N(AZ156)+N(AZ158)+N(AZ160)+AZ112-AZ185)&lt;=1.5,0,ROUND(N(AZ17)+N(AZ35)+N(AZ53)+N(AZ162)+N(AZ142)+N(AZ144)+N(AZ146)+N(AZ148)+N(AZ150)+N(AZ152)+N(AZ154)+N(AZ156)+N(AZ158)+N(AZ160)+AZ112-AZ185,1)),"")</f>
        <v>0</v>
      </c>
      <c r="BA161" s="66" t="n">
        <f aca="false">IF(ISNUMBER(BA112),IF(ABS(N(BA17)+N(BA35)+N(BA53)+N(BA162)+N(BA142)+N(BA144)+N(BA146)+N(BA148)+N(BA150)+N(BA152)+N(BA154)+N(BA156)+N(BA158)+N(BA160)+BA112-BA185)&lt;=1.5,0,ROUND(N(BA17)+N(BA35)+N(BA53)+N(BA162)+N(BA142)+N(BA144)+N(BA146)+N(BA148)+N(BA150)+N(BA152)+N(BA154)+N(BA156)+N(BA158)+N(BA160)+BA112-BA185,1)),"")</f>
        <v>0</v>
      </c>
      <c r="BB161" s="66" t="n">
        <f aca="false">IF(ISNUMBER(BB112),IF(ABS(N(BB17)+N(BB35)+N(BB53)+N(BB162)+N(BB142)+N(BB144)+N(BB146)+N(BB148)+N(BB150)+N(BB152)+N(BB154)+N(BB156)+N(BB158)+N(BB160)+BB112-BB185)&lt;=1.5,0,ROUND(N(BB17)+N(BB35)+N(BB53)+N(BB162)+N(BB142)+N(BB144)+N(BB146)+N(BB148)+N(BB150)+N(BB152)+N(BB154)+N(BB156)+N(BB158)+N(BB160)+BB112-BB185,1)),"")</f>
        <v>0</v>
      </c>
      <c r="BC161" s="66" t="n">
        <f aca="false">IF(ISNUMBER(BC112),IF(ABS(N(BC17)+N(BC35)+N(BC53)+N(BC162)+N(BC142)+N(BC144)+N(BC146)+N(BC148)+N(BC150)+N(BC152)+N(BC154)+N(BC156)+N(BC158)+N(BC160)+BC112-BC185)&lt;=1.5,0,ROUND(N(BC17)+N(BC35)+N(BC53)+N(BC162)+N(BC142)+N(BC144)+N(BC146)+N(BC148)+N(BC150)+N(BC152)+N(BC154)+N(BC156)+N(BC158)+N(BC160)+BC112-BC185,1)),"")</f>
        <v>0</v>
      </c>
      <c r="BD161" s="66" t="n">
        <f aca="false">IF(ISNUMBER(BD112),IF(ABS(N(BD17)+N(BD35)+N(BD53)+N(BD162)+N(BD142)+N(BD144)+N(BD146)+N(BD148)+N(BD150)+N(BD152)+N(BD154)+N(BD156)+N(BD158)+N(BD160)+BD112-BD185)&lt;=1.5,0,ROUND(N(BD17)+N(BD35)+N(BD53)+N(BD162)+N(BD142)+N(BD144)+N(BD146)+N(BD148)+N(BD150)+N(BD152)+N(BD154)+N(BD156)+N(BD158)+N(BD160)+BD112-BD185,1)),"")</f>
        <v>0</v>
      </c>
      <c r="BE161" s="66" t="n">
        <f aca="false">IF(ISNUMBER(BE112),IF(ABS(N(BE17)+N(BE35)+N(BE53)+N(BE162)+N(BE142)+N(BE144)+N(BE146)+N(BE148)+N(BE150)+N(BE152)+N(BE154)+N(BE156)+N(BE158)+N(BE160)+BE112-BE185)&lt;=1.5,0,ROUND(N(BE17)+N(BE35)+N(BE53)+N(BE162)+N(BE142)+N(BE144)+N(BE146)+N(BE148)+N(BE150)+N(BE152)+N(BE154)+N(BE156)+N(BE158)+N(BE160)+BE112-BE185,1)),"")</f>
        <v>0</v>
      </c>
      <c r="BF161" s="66" t="n">
        <f aca="false">IF(ISNUMBER(BF112),IF(ABS(N(BF17)+N(BF35)+N(BF53)+N(BF162)+N(BF142)+N(BF144)+N(BF146)+N(BF148)+N(BF150)+N(BF152)+N(BF154)+N(BF156)+N(BF158)+N(BF160)+BF112-BF185)&lt;=1.5,0,ROUND(N(BF17)+N(BF35)+N(BF53)+N(BF162)+N(BF142)+N(BF144)+N(BF146)+N(BF148)+N(BF150)+N(BF152)+N(BF154)+N(BF156)+N(BF158)+N(BF160)+BF112-BF185,1)),"")</f>
        <v>0</v>
      </c>
      <c r="BG161" s="66" t="n">
        <f aca="false">IF(ISNUMBER(BG112),IF(ABS(N(BG17)+N(BG35)+N(BG53)+N(BG162)+N(BG142)+N(BG144)+N(BG146)+N(BG148)+N(BG150)+N(BG152)+N(BG154)+N(BG156)+N(BG158)+N(BG160)+BG112-BG185)&lt;=1.5,0,ROUND(N(BG17)+N(BG35)+N(BG53)+N(BG162)+N(BG142)+N(BG144)+N(BG146)+N(BG148)+N(BG150)+N(BG152)+N(BG154)+N(BG156)+N(BG158)+N(BG160)+BG112-BG185,1)),"")</f>
        <v>0</v>
      </c>
      <c r="BH161" s="66" t="n">
        <f aca="false">IF(ISNUMBER(BH112),IF(ABS(N(BH17)+N(BH35)+N(BH53)+N(BH162)+N(BH142)+N(BH144)+N(BH146)+N(BH148)+N(BH150)+N(BH152)+N(BH154)+N(BH156)+N(BH158)+N(BH160)+BH112-BH185)&lt;=1.5,0,ROUND(N(BH17)+N(BH35)+N(BH53)+N(BH162)+N(BH142)+N(BH144)+N(BH146)+N(BH148)+N(BH150)+N(BH152)+N(BH154)+N(BH156)+N(BH158)+N(BH160)+BH112-BH185,1)),"")</f>
        <v>0</v>
      </c>
      <c r="BI161" s="66" t="n">
        <f aca="false">IF(ISNUMBER(BI112),IF(ABS(N(BI17)+N(BI35)+N(BI53)+N(BI162)+N(BI142)+N(BI144)+N(BI146)+N(BI148)+N(BI150)+N(BI152)+N(BI154)+N(BI156)+N(BI158)+N(BI160)+BI112-BI185)&lt;=1.5,0,ROUND(N(BI17)+N(BI35)+N(BI53)+N(BI162)+N(BI142)+N(BI144)+N(BI146)+N(BI148)+N(BI150)+N(BI152)+N(BI154)+N(BI156)+N(BI158)+N(BI160)+BI112-BI185,1)),"")</f>
        <v>0</v>
      </c>
      <c r="BJ161" s="66" t="n">
        <f aca="false">IF(ISNUMBER(BJ112),IF(ABS(N(BJ17)+N(BJ35)+N(BJ53)+N(BJ162)+N(BJ142)+N(BJ144)+N(BJ146)+N(BJ148)+N(BJ150)+N(BJ152)+N(BJ154)+N(BJ156)+N(BJ158)+N(BJ160)+BJ112-BJ185)&lt;=1.5,0,ROUND(N(BJ17)+N(BJ35)+N(BJ53)+N(BJ162)+N(BJ142)+N(BJ144)+N(BJ146)+N(BJ148)+N(BJ150)+N(BJ152)+N(BJ154)+N(BJ156)+N(BJ158)+N(BJ160)+BJ112-BJ185,1)),"")</f>
        <v>0</v>
      </c>
      <c r="BK161" s="66" t="n">
        <f aca="false">IF(ISNUMBER(BK112),IF(ABS(N(BK17)+N(BK35)+N(BK53)+N(BK162)+N(BK142)+N(BK144)+N(BK146)+N(BK148)+N(BK150)+N(BK152)+N(BK154)+N(BK156)+N(BK158)+N(BK160)+BK112-BK185)&lt;=1.5,0,ROUND(N(BK17)+N(BK35)+N(BK53)+N(BK162)+N(BK142)+N(BK144)+N(BK146)+N(BK148)+N(BK150)+N(BK152)+N(BK154)+N(BK156)+N(BK158)+N(BK160)+BK112-BK185,1)),"")</f>
        <v>0</v>
      </c>
      <c r="BL161" s="66" t="n">
        <f aca="false">IF(ISNUMBER(BL112),IF(ABS(N(BL17)+N(BL35)+N(BL53)+N(BL162)+N(BL142)+N(BL144)+N(BL146)+N(BL148)+N(BL150)+N(BL152)+N(BL154)+N(BL156)+N(BL158)+N(BL160)+BL112-BL185)&lt;=1.5,0,ROUND(N(BL17)+N(BL35)+N(BL53)+N(BL162)+N(BL142)+N(BL144)+N(BL146)+N(BL148)+N(BL150)+N(BL152)+N(BL154)+N(BL156)+N(BL158)+N(BL160)+BL112-BL185,1)),"")</f>
        <v>0</v>
      </c>
      <c r="BM161" s="66" t="n">
        <f aca="false">IF(ISNUMBER(BM112),IF(ABS(N(BM17)+N(BM35)+N(BM53)+N(BM162)+N(BM142)+N(BM144)+N(BM146)+N(BM148)+N(BM150)+N(BM152)+N(BM154)+N(BM156)+N(BM158)+N(BM160)+BM112-BM185)&lt;=1.5,0,ROUND(N(BM17)+N(BM35)+N(BM53)+N(BM162)+N(BM142)+N(BM144)+N(BM146)+N(BM148)+N(BM150)+N(BM152)+N(BM154)+N(BM156)+N(BM158)+N(BM160)+BM112-BM185,1)),"")</f>
        <v>0</v>
      </c>
      <c r="BN161" s="66" t="n">
        <f aca="false">IF(ISNUMBER(BN112),IF(ABS(N(BN17)+N(BN35)+N(BN53)+N(BN162)+N(BN142)+N(BN144)+N(BN146)+N(BN148)+N(BN150)+N(BN152)+N(BN154)+N(BN156)+N(BN158)+N(BN160)+BN112-BN185)&lt;=1.5,0,ROUND(N(BN17)+N(BN35)+N(BN53)+N(BN162)+N(BN142)+N(BN144)+N(BN146)+N(BN148)+N(BN150)+N(BN152)+N(BN154)+N(BN156)+N(BN158)+N(BN160)+BN112-BN185,1)),"")</f>
        <v>0</v>
      </c>
      <c r="BO161" s="66" t="n">
        <f aca="false">IF(ISNUMBER(BO112),IF(ABS(N(BO17)+N(BO35)+N(BO53)+N(BO162)+N(BO142)+N(BO144)+N(BO146)+N(BO148)+N(BO150)+N(BO152)+N(BO154)+N(BO156)+N(BO158)+N(BO160)+BO112-BO185)&lt;=1.5,0,ROUND(N(BO17)+N(BO35)+N(BO53)+N(BO162)+N(BO142)+N(BO144)+N(BO146)+N(BO148)+N(BO150)+N(BO152)+N(BO154)+N(BO156)+N(BO158)+N(BO160)+BO112-BO185,1)),"")</f>
        <v>0</v>
      </c>
      <c r="BP161" s="66" t="n">
        <f aca="false">IF(ISNUMBER(BP112),IF(ABS(N(BP17)+N(BP35)+N(BP53)+N(BP162)+N(BP142)+N(BP144)+N(BP146)+N(BP148)+N(BP150)+N(BP152)+N(BP154)+N(BP156)+N(BP158)+N(BP160)+BP112-BP185)&lt;=1.5,0,ROUND(N(BP17)+N(BP35)+N(BP53)+N(BP162)+N(BP142)+N(BP144)+N(BP146)+N(BP148)+N(BP150)+N(BP152)+N(BP154)+N(BP156)+N(BP158)+N(BP160)+BP112-BP185,1)),"")</f>
        <v>0</v>
      </c>
      <c r="BQ161" s="66" t="n">
        <f aca="false">IF(ISNUMBER(BQ112),IF(ABS(N(BQ17)+N(BQ35)+N(BQ53)+N(BQ162)+N(BQ142)+N(BQ144)+N(BQ146)+N(BQ148)+N(BQ150)+N(BQ152)+N(BQ154)+N(BQ156)+N(BQ158)+N(BQ160)+BQ112-BQ185)&lt;=1.5,0,ROUND(N(BQ17)+N(BQ35)+N(BQ53)+N(BQ162)+N(BQ142)+N(BQ144)+N(BQ146)+N(BQ148)+N(BQ150)+N(BQ152)+N(BQ154)+N(BQ156)+N(BQ158)+N(BQ160)+BQ112-BQ185,1)),"")</f>
        <v>0</v>
      </c>
      <c r="BR161" s="66" t="n">
        <f aca="false">IF(ISNUMBER(BR112),IF(ABS(N(BR17)+N(BR35)+N(BR53)+N(BR162)+N(BR142)+N(BR144)+N(BR146)+N(BR148)+N(BR150)+N(BR152)+N(BR154)+N(BR156)+N(BR158)+N(BR160)+BR112-BR185)&lt;=1.5,0,ROUND(N(BR17)+N(BR35)+N(BR53)+N(BR162)+N(BR142)+N(BR144)+N(BR146)+N(BR148)+N(BR150)+N(BR152)+N(BR154)+N(BR156)+N(BR158)+N(BR160)+BR112-BR185,1)),"")</f>
        <v>0</v>
      </c>
      <c r="BS161" s="66" t="n">
        <f aca="false">IF(ISNUMBER(BS112),IF(ABS(N(BS17)+N(BS35)+N(BS53)+N(BS162)+N(BS142)+N(BS144)+N(BS146)+N(BS148)+N(BS150)+N(BS152)+N(BS154)+N(BS156)+N(BS158)+N(BS160)+BS112-BS185)&lt;=1.5,0,ROUND(N(BS17)+N(BS35)+N(BS53)+N(BS162)+N(BS142)+N(BS144)+N(BS146)+N(BS148)+N(BS150)+N(BS152)+N(BS154)+N(BS156)+N(BS158)+N(BS160)+BS112-BS185,1)),"")</f>
        <v>0</v>
      </c>
      <c r="BT161" s="66" t="n">
        <f aca="false">IF(ISNUMBER(BT112),IF(ABS(N(BT17)+N(BT35)+N(BT53)+N(BT162)+N(BT142)+N(BT144)+N(BT146)+N(BT148)+N(BT150)+N(BT152)+N(BT154)+N(BT156)+N(BT158)+N(BT160)+BT112-BT185)&lt;=1.5,0,ROUND(N(BT17)+N(BT35)+N(BT53)+N(BT162)+N(BT142)+N(BT144)+N(BT146)+N(BT148)+N(BT150)+N(BT152)+N(BT154)+N(BT156)+N(BT158)+N(BT160)+BT112-BT185,1)),"")</f>
        <v>0</v>
      </c>
      <c r="BU161" s="66" t="n">
        <f aca="false">IF(ISNUMBER(BU112),IF(ABS(N(BU17)+N(BU35)+N(BU53)+N(BU162)+N(BU142)+N(BU144)+N(BU146)+N(BU148)+N(BU150)+N(BU152)+N(BU154)+N(BU156)+N(BU158)+N(BU160)+BU112-BU185)&lt;=1.5,0,ROUND(N(BU17)+N(BU35)+N(BU53)+N(BU162)+N(BU142)+N(BU144)+N(BU146)+N(BU148)+N(BU150)+N(BU152)+N(BU154)+N(BU156)+N(BU158)+N(BU160)+BU112-BU185,1)),"")</f>
        <v>0</v>
      </c>
      <c r="BV161" s="66" t="n">
        <f aca="false">IF(ISNUMBER(BV112),IF(ABS(N(BV17)+N(BV35)+N(BV53)+N(BV162)+N(BV142)+N(BV144)+N(BV146)+N(BV148)+N(BV150)+N(BV152)+N(BV154)+N(BV156)+N(BV158)+N(BV160)+BV112-BV185)&lt;=1.5,0,ROUND(N(BV17)+N(BV35)+N(BV53)+N(BV162)+N(BV142)+N(BV144)+N(BV146)+N(BV148)+N(BV150)+N(BV152)+N(BV154)+N(BV156)+N(BV158)+N(BV160)+BV112-BV185,1)),"")</f>
        <v>0</v>
      </c>
      <c r="BW161" s="66" t="n">
        <f aca="false">IF(ISNUMBER(BW112),IF(ABS(N(BW17)+N(BW35)+N(BW53)+N(BW162)+N(BW142)+N(BW144)+N(BW146)+N(BW148)+N(BW150)+N(BW152)+N(BW154)+N(BW156)+N(BW158)+N(BW160)+BW112-BW185)&lt;=1.5,0,ROUND(N(BW17)+N(BW35)+N(BW53)+N(BW162)+N(BW142)+N(BW144)+N(BW146)+N(BW148)+N(BW150)+N(BW152)+N(BW154)+N(BW156)+N(BW158)+N(BW160)+BW112-BW185,1)),"")</f>
        <v>0</v>
      </c>
      <c r="BX161" s="66" t="n">
        <f aca="false">IF(ISNUMBER(BX112),IF(ABS(N(BX17)+N(BX35)+N(BX53)+N(BX162)+N(BX142)+N(BX144)+N(BX146)+N(BX148)+N(BX150)+N(BX152)+N(BX154)+N(BX156)+N(BX158)+N(BX160)+BX112-BX185)&lt;=1.5,0,ROUND(N(BX17)+N(BX35)+N(BX53)+N(BX162)+N(BX142)+N(BX144)+N(BX146)+N(BX148)+N(BX150)+N(BX152)+N(BX154)+N(BX156)+N(BX158)+N(BX160)+BX112-BX185,1)),"")</f>
        <v>0</v>
      </c>
      <c r="BY161" s="7"/>
      <c r="BZ161" s="7"/>
      <c r="CA161" s="7"/>
      <c r="CB161" s="7"/>
      <c r="CC161" s="7"/>
      <c r="CD161" s="7"/>
      <c r="CE161" s="7"/>
      <c r="CF161" s="7"/>
    </row>
    <row r="162" customFormat="false" ht="15" hidden="false" customHeight="true" outlineLevel="0" collapsed="false">
      <c r="B162" s="50" t="s">
        <v>298</v>
      </c>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c r="BQ162" s="39"/>
      <c r="BR162" s="39"/>
      <c r="BS162" s="39"/>
      <c r="BT162" s="39"/>
      <c r="BU162" s="39"/>
      <c r="BV162" s="39"/>
      <c r="BW162" s="39"/>
      <c r="BX162" s="40" t="n">
        <v>-98.4</v>
      </c>
      <c r="BY162" s="7"/>
      <c r="BZ162" s="7"/>
      <c r="CA162" s="7"/>
      <c r="CB162" s="7"/>
      <c r="CC162" s="7"/>
      <c r="CD162" s="7"/>
      <c r="CE162" s="7"/>
      <c r="CF162" s="7"/>
    </row>
    <row r="163" customFormat="false" ht="15" hidden="false" customHeight="true" outlineLevel="0" collapsed="false">
      <c r="B163" s="50" t="s">
        <v>299</v>
      </c>
      <c r="C163" s="51" t="str">
        <f aca="false">IF(ISNUMBER(C47),C47+N(C73)+N(C87),"")</f>
        <v/>
      </c>
      <c r="D163" s="51" t="str">
        <f aca="false">IF(ISNUMBER(D47),D47+N(D73)+N(D87),"")</f>
        <v/>
      </c>
      <c r="E163" s="51" t="str">
        <f aca="false">IF(ISNUMBER(E47),E47+N(E73)+N(E87),"")</f>
        <v/>
      </c>
      <c r="F163" s="51" t="str">
        <f aca="false">IF(ISNUMBER(F47),F47+N(F73)+N(F87),"")</f>
        <v/>
      </c>
      <c r="G163" s="51" t="str">
        <f aca="false">IF(ISNUMBER(G47),G47+N(G73)+N(G87),"")</f>
        <v/>
      </c>
      <c r="H163" s="51" t="str">
        <f aca="false">IF(ISNUMBER(H47),H47+N(H73)+N(H87),"")</f>
        <v/>
      </c>
      <c r="I163" s="51" t="str">
        <f aca="false">IF(ISNUMBER(I47),I47+N(I73)+N(I87),"")</f>
        <v/>
      </c>
      <c r="J163" s="51" t="str">
        <f aca="false">IF(ISNUMBER(J47),J47+N(J73)+N(J87),"")</f>
        <v/>
      </c>
      <c r="K163" s="51" t="str">
        <f aca="false">IF(ISNUMBER(K47),K47+N(K73)+N(K87),"")</f>
        <v/>
      </c>
      <c r="L163" s="51" t="str">
        <f aca="false">IF(ISNUMBER(L47),L47+N(L73)+N(L87),"")</f>
        <v/>
      </c>
      <c r="M163" s="51" t="str">
        <f aca="false">IF(ISNUMBER(M47),M47+N(M73)+N(M87),"")</f>
        <v/>
      </c>
      <c r="N163" s="51" t="str">
        <f aca="false">IF(ISNUMBER(N47),N47+N(N73)+N(N87),"")</f>
        <v/>
      </c>
      <c r="O163" s="51" t="str">
        <f aca="false">IF(ISNUMBER(O47),O47+N(O73)+N(O87),"")</f>
        <v/>
      </c>
      <c r="P163" s="51" t="str">
        <f aca="false">IF(ISNUMBER(P47),P47+N(P73)+N(P87),"")</f>
        <v/>
      </c>
      <c r="Q163" s="51" t="str">
        <f aca="false">IF(ISNUMBER(Q47),Q47+N(Q73)+N(Q87),"")</f>
        <v/>
      </c>
      <c r="R163" s="51" t="str">
        <f aca="false">IF(ISNUMBER(R47),R47+N(R73)+N(R87),"")</f>
        <v/>
      </c>
      <c r="S163" s="51" t="str">
        <f aca="false">IF(ISNUMBER(S47),S47+N(S73)+N(S87),"")</f>
        <v/>
      </c>
      <c r="T163" s="51" t="str">
        <f aca="false">IF(ISNUMBER(T47),T47+N(T73)+N(T87),"")</f>
        <v/>
      </c>
      <c r="U163" s="51" t="str">
        <f aca="false">IF(ISNUMBER(U47),U47+N(U73)+N(U87),"")</f>
        <v/>
      </c>
      <c r="V163" s="51" t="n">
        <f aca="false">IF(ISNUMBER(V47),V47+N(V73)+N(V87),"")</f>
        <v>1175.8</v>
      </c>
      <c r="W163" s="51" t="n">
        <f aca="false">IF(ISNUMBER(W47),W47+N(W73)+N(W87),"")</f>
        <v>1287.5</v>
      </c>
      <c r="X163" s="51" t="n">
        <f aca="false">IF(ISNUMBER(X47),X47+N(X73)+N(X87),"")</f>
        <v>4832.5</v>
      </c>
      <c r="Y163" s="51" t="n">
        <f aca="false">IF(ISNUMBER(Y47),Y47+N(Y73)+N(Y87),"")</f>
        <v>1136.2</v>
      </c>
      <c r="Z163" s="51" t="n">
        <f aca="false">IF(ISNUMBER(Z47),Z47+N(Z73)+N(Z87),"")</f>
        <v>1257.6</v>
      </c>
      <c r="AA163" s="51" t="n">
        <f aca="false">IF(ISNUMBER(AA47),AA47+N(AA73)+N(AA87),"")</f>
        <v>1212.7</v>
      </c>
      <c r="AB163" s="51" t="n">
        <f aca="false">IF(ISNUMBER(AB47),AB47+N(AB73)+N(AB87),"")</f>
        <v>1431.8</v>
      </c>
      <c r="AC163" s="51" t="n">
        <f aca="false">IF(ISNUMBER(AC47),AC47+N(AC73)+N(AC87),"")</f>
        <v>5038.3</v>
      </c>
      <c r="AD163" s="51" t="n">
        <f aca="false">IF(ISNUMBER(AD47),AD47+N(AD73)+N(AD87),"")</f>
        <v>1327.3</v>
      </c>
      <c r="AE163" s="51" t="n">
        <f aca="false">IF(ISNUMBER(AE47),AE47+N(AE73)+N(AE87),"")</f>
        <v>1440</v>
      </c>
      <c r="AF163" s="51" t="n">
        <f aca="false">IF(ISNUMBER(AF47),AF47+N(AF73)+N(AF87),"")</f>
        <v>1448.7</v>
      </c>
      <c r="AG163" s="51" t="n">
        <f aca="false">IF(ISNUMBER(AG47),AG47+N(AG73)+N(AG87),"")</f>
        <v>1623.9</v>
      </c>
      <c r="AH163" s="51" t="n">
        <f aca="false">IF(ISNUMBER(AH47),AH47+N(AH73)+N(AH87),"")</f>
        <v>5839.9</v>
      </c>
      <c r="AI163" s="51" t="n">
        <f aca="false">IF(ISNUMBER(AI47),AI47+N(AI73)+N(AI87),"")</f>
        <v>1519.7</v>
      </c>
      <c r="AJ163" s="51" t="n">
        <f aca="false">IF(ISNUMBER(AJ47),AJ47+N(AJ73)+N(AJ87),"")</f>
        <v>1550.9</v>
      </c>
      <c r="AK163" s="51" t="n">
        <f aca="false">IF(ISNUMBER(AK47),AK47+N(AK73)+N(AK87),"")</f>
        <v>1502.5</v>
      </c>
      <c r="AL163" s="51" t="n">
        <f aca="false">IF(ISNUMBER(AL47),AL47+N(AL73)+N(AL87),"")</f>
        <v>1684.5</v>
      </c>
      <c r="AM163" s="51" t="n">
        <f aca="false">IF(ISNUMBER(AM47),AM47+N(AM73)+N(AM87),"")</f>
        <v>6257.6</v>
      </c>
      <c r="AN163" s="51" t="n">
        <f aca="false">IF(ISNUMBER(AN47),AN47+N(AN73)+N(AN87),"")</f>
        <v>1536.8</v>
      </c>
      <c r="AO163" s="51" t="n">
        <f aca="false">IF(ISNUMBER(AO47),AO47+N(AO73)+N(AO87),"")</f>
        <v>1618.3</v>
      </c>
      <c r="AP163" s="51" t="n">
        <f aca="false">IF(ISNUMBER(AP47),AP47+N(AP73)+N(AP87),"")</f>
        <v>1601.9</v>
      </c>
      <c r="AQ163" s="51" t="n">
        <f aca="false">IF(ISNUMBER(AQ47),AQ47+N(AQ73)+N(AQ87),"")</f>
        <v>1804.5</v>
      </c>
      <c r="AR163" s="51" t="n">
        <f aca="false">IF(ISNUMBER(AR47),AR47+N(AR73)+N(AR87),"")</f>
        <v>6561.5</v>
      </c>
      <c r="AS163" s="51" t="n">
        <f aca="false">IF(ISNUMBER(AS47),AS47+N(AS73)+N(AS87),"")</f>
        <v>1627</v>
      </c>
      <c r="AT163" s="51" t="n">
        <f aca="false">IF(ISNUMBER(AT47),AT47+N(AT73)+N(AT87),"")</f>
        <v>1660.2</v>
      </c>
      <c r="AU163" s="51" t="n">
        <f aca="false">IF(ISNUMBER(AU47),AU47+N(AU73)+N(AU87),"")</f>
        <v>1889.1</v>
      </c>
      <c r="AV163" s="51" t="n">
        <f aca="false">IF(ISNUMBER(AV47),AV47+N(AV73)+N(AV87),"")</f>
        <v>2227</v>
      </c>
      <c r="AW163" s="51" t="n">
        <f aca="false">IF(ISNUMBER(AW47),AW47+N(AW73)+N(AW87),"")</f>
        <v>7403</v>
      </c>
      <c r="AX163" s="51" t="n">
        <f aca="false">IF(ISNUMBER(AX47),AX47+N(AX73)+N(AX87),"")</f>
        <v>2178</v>
      </c>
      <c r="AY163" s="51" t="n">
        <f aca="false">IF(ISNUMBER(AY47),AY47+N(AY73)+N(AY87),"")</f>
        <v>2336</v>
      </c>
      <c r="AZ163" s="51" t="n">
        <f aca="false">IF(ISNUMBER(AZ47),AZ47+N(AZ73)+N(AZ87),"")</f>
        <v>2449</v>
      </c>
      <c r="BA163" s="51" t="n">
        <f aca="false">IF(ISNUMBER(BA47),BA47+N(BA73)+N(BA87),"")</f>
        <v>2881</v>
      </c>
      <c r="BB163" s="51" t="n">
        <f aca="false">IF(ISNUMBER(BB47),BB47+N(BB73)+N(BB87),"")</f>
        <v>9844</v>
      </c>
      <c r="BC163" s="51" t="n">
        <f aca="false">IF(ISNUMBER(BC47),BC47+N(BC73)+N(BC87),"")</f>
        <v>2644</v>
      </c>
      <c r="BD163" s="51" t="n">
        <f aca="false">IF(ISNUMBER(BD47),BD47+N(BD73)+N(BD87),"")</f>
        <v>2561</v>
      </c>
      <c r="BE163" s="51" t="n">
        <f aca="false">IF(ISNUMBER(BE47),BE47+N(BE73)+N(BE87),"")</f>
        <v>2679</v>
      </c>
      <c r="BF163" s="51" t="n">
        <f aca="false">IF(ISNUMBER(BF47),BF47+N(BF73)+N(BF87),"")</f>
        <v>2965</v>
      </c>
      <c r="BG163" s="51" t="n">
        <f aca="false">IF(ISNUMBER(BG47),BG47+N(BG73)+N(BG87),"")</f>
        <v>10849</v>
      </c>
      <c r="BH163" s="51" t="n">
        <f aca="false">IF(ISNUMBER(BH47),BH47+N(BH73)+N(BH87),"")</f>
        <v>2376</v>
      </c>
      <c r="BI163" s="51" t="n">
        <f aca="false">IF(ISNUMBER(BI47),BI47+N(BI73)+N(BI87),"")</f>
        <v>2231</v>
      </c>
      <c r="BJ163" s="51" t="n">
        <f aca="false">IF(ISNUMBER(BJ47),BJ47+N(BJ73)+N(BJ87),"")</f>
        <v>2254</v>
      </c>
      <c r="BK163" s="51" t="n">
        <f aca="false">IF(ISNUMBER(BK47),BK47+N(BK73)+N(BK87),"")</f>
        <v>2716</v>
      </c>
      <c r="BL163" s="51" t="n">
        <f aca="false">IF(ISNUMBER(BL47),BL47+N(BL73)+N(BL87),"")</f>
        <v>9577</v>
      </c>
      <c r="BM163" s="51" t="n">
        <f aca="false">IF(ISNUMBER(BM47),BM47+N(BM73)+N(BM87),"")</f>
        <v>2527</v>
      </c>
      <c r="BN163" s="51" t="n">
        <f aca="false">IF(ISNUMBER(BN47),BN47+N(BN73)+N(BN87),"")</f>
        <v>2260</v>
      </c>
      <c r="BO163" s="51" t="n">
        <f aca="false">IF(ISNUMBER(BO47),BO47+N(BO73)+N(BO87),"")</f>
        <v>2363</v>
      </c>
      <c r="BP163" s="51" t="n">
        <f aca="false">IF(ISNUMBER(BP47),BP47+N(BP73)+N(BP87),"")</f>
        <v>2637</v>
      </c>
      <c r="BQ163" s="51" t="n">
        <f aca="false">IF(ISNUMBER(BQ47),BQ47+N(BQ73)+N(BQ87),"")</f>
        <v>9787</v>
      </c>
      <c r="BR163" s="51" t="n">
        <f aca="false">IF(ISNUMBER(BR47),BR47+N(BR73)+N(BR87),"")</f>
        <v>2449</v>
      </c>
      <c r="BS163" s="51" t="n">
        <f aca="false">IF(ISNUMBER(BS47),BS47+N(BS73)+N(BS87),"")</f>
        <v>2309</v>
      </c>
      <c r="BT163" s="51" t="n">
        <f aca="false">IF(ISNUMBER(BT47),BT47+N(BT73)+N(BT87),"")</f>
        <v>2463</v>
      </c>
      <c r="BU163" s="51" t="n">
        <f aca="false">IF(ISNUMBER(BU47),BU47+N(BU73)+N(BU87),"")</f>
        <v>2720</v>
      </c>
      <c r="BV163" s="51" t="n">
        <f aca="false">IF(ISNUMBER(BV47),BV47+N(BV73)+N(BV87),"")</f>
        <v>9941</v>
      </c>
      <c r="BW163" s="51" t="n">
        <f aca="false">IF(ISNUMBER(BW47),BW47+N(BW73)+N(BW87),"")</f>
        <v>2417</v>
      </c>
      <c r="BX163" s="51" t="n">
        <f aca="false">IF(ISNUMBER(BX47),BX47+N(BX73)+N(BX87),"")</f>
        <v>2466</v>
      </c>
      <c r="BY163" s="41" t="n">
        <f aca="false">IF(ISNUMBER(BY47),BY47+N(BY73)+N(BY87),"")</f>
        <v>2868.70139515941</v>
      </c>
      <c r="BZ163" s="41" t="n">
        <f aca="false">IF(ISNUMBER(BZ47),BZ47+N(BZ73)+N(BZ87),"")</f>
        <v>3301.00900318051</v>
      </c>
      <c r="CA163" s="41" t="n">
        <f aca="false">IF(ISNUMBER(CA47),CA47+N(CA73)+N(CA87),"")</f>
        <v>11052.7103983399</v>
      </c>
      <c r="CB163" s="41" t="n">
        <f aca="false">IF(ISNUMBER(CB47),CB47+N(CB73)+N(CB87),"")</f>
        <v>12605.0946981445</v>
      </c>
      <c r="CC163" s="41" t="n">
        <f aca="false">IF(ISNUMBER(CC47),CC47+N(CC73)+N(CC87),"")</f>
        <v>13260.3530234965</v>
      </c>
      <c r="CD163" s="41" t="n">
        <f aca="false">IF(ISNUMBER(CD47),CD47+N(CD73)+N(CD87),"")</f>
        <v>13996.6570211358</v>
      </c>
      <c r="CE163" s="41" t="n">
        <f aca="false">IF(ISNUMBER(CE47),CE47+N(CE73)+N(CE87),"")</f>
        <v>14769.569933842</v>
      </c>
      <c r="CF163" s="7"/>
    </row>
    <row r="164" customFormat="false" ht="15" hidden="false" customHeight="true" outlineLevel="0" collapsed="false">
      <c r="B164" s="50" t="s">
        <v>300</v>
      </c>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40" t="n">
        <v>500</v>
      </c>
      <c r="BV164" s="39"/>
      <c r="BW164" s="39"/>
      <c r="BX164" s="40" t="n">
        <v>250</v>
      </c>
      <c r="BY164" s="7"/>
      <c r="BZ164" s="7"/>
      <c r="CA164" s="7"/>
      <c r="CB164" s="7"/>
      <c r="CC164" s="7"/>
      <c r="CD164" s="7"/>
      <c r="CE164" s="7"/>
      <c r="CF164" s="7"/>
    </row>
    <row r="165" customFormat="false" ht="15" hidden="false" customHeight="true" outlineLevel="0" collapsed="false">
      <c r="B165" s="24" t="s">
        <v>301</v>
      </c>
      <c r="D165" s="29"/>
      <c r="E165" s="29"/>
      <c r="F165" s="29"/>
      <c r="G165" s="29"/>
      <c r="H165" s="29"/>
      <c r="I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30" t="n">
        <v>0.045</v>
      </c>
      <c r="BY165" s="31"/>
      <c r="BZ165" s="31"/>
      <c r="CA165" s="31"/>
      <c r="CB165" s="31"/>
      <c r="CC165" s="31"/>
      <c r="CD165" s="31"/>
      <c r="CE165" s="31"/>
      <c r="CF165" s="7"/>
    </row>
    <row r="166" customFormat="false" ht="15" hidden="false" customHeight="true" outlineLevel="0" collapsed="false">
      <c r="B166" s="27" t="s">
        <v>302</v>
      </c>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0" t="n">
        <v>0.708</v>
      </c>
      <c r="AJ166" s="30" t="n">
        <v>0.7</v>
      </c>
      <c r="AK166" s="30" t="n">
        <v>0.691</v>
      </c>
      <c r="AL166" s="30" t="n">
        <v>0.663</v>
      </c>
      <c r="AM166" s="30" t="n">
        <v>0.69</v>
      </c>
      <c r="AN166" s="30" t="n">
        <v>0.71</v>
      </c>
      <c r="AO166" s="30" t="n">
        <v>0.7</v>
      </c>
      <c r="AP166" s="30" t="n">
        <v>0.695</v>
      </c>
      <c r="AQ166" s="30" t="n">
        <v>0.662</v>
      </c>
      <c r="AR166" s="30" t="n">
        <v>0.687</v>
      </c>
      <c r="AS166" s="30" t="n">
        <v>0.738</v>
      </c>
      <c r="AT166" s="30" t="n">
        <v>0.72</v>
      </c>
      <c r="AU166" s="30" t="n">
        <v>0.718</v>
      </c>
      <c r="AV166" s="30" t="n">
        <v>0.7</v>
      </c>
      <c r="AW166" s="30" t="n">
        <v>0.717</v>
      </c>
      <c r="AX166" s="30" t="n">
        <v>0.741</v>
      </c>
      <c r="AY166" s="30" t="n">
        <v>0.737</v>
      </c>
      <c r="AZ166" s="30" t="n">
        <v>0.75</v>
      </c>
      <c r="BA166" s="30" t="n">
        <v>0.734</v>
      </c>
      <c r="BB166" s="30" t="n">
        <v>0.74</v>
      </c>
      <c r="BC166" s="30" t="n">
        <v>0.767</v>
      </c>
      <c r="BD166" s="30" t="n">
        <v>0.76</v>
      </c>
      <c r="BE166" s="30" t="n">
        <v>0.76</v>
      </c>
      <c r="BF166" s="30" t="n">
        <v>0.729</v>
      </c>
      <c r="BG166" s="30" t="n">
        <v>0.754</v>
      </c>
      <c r="BH166" s="30" t="n">
        <v>0.751</v>
      </c>
      <c r="BI166" s="30" t="n">
        <v>0.746</v>
      </c>
      <c r="BJ166" s="30" t="n">
        <v>0.754</v>
      </c>
      <c r="BK166" s="30" t="n">
        <v>0.778</v>
      </c>
      <c r="BL166" s="30" t="n">
        <v>0.782</v>
      </c>
      <c r="BM166" s="30" t="n">
        <v>0.827</v>
      </c>
      <c r="BN166" s="30" t="n">
        <v>0.816</v>
      </c>
      <c r="BO166" s="30" t="n">
        <v>0.824</v>
      </c>
      <c r="BP166" s="30" t="n">
        <v>0.781</v>
      </c>
      <c r="BQ166" s="30" t="n">
        <v>0.811</v>
      </c>
      <c r="BR166" s="30" t="n">
        <v>0.839</v>
      </c>
      <c r="BS166" s="30" t="n">
        <v>0.837</v>
      </c>
      <c r="BT166" s="30" t="n">
        <v>0.829</v>
      </c>
      <c r="BU166" s="30" t="n">
        <v>0.779</v>
      </c>
      <c r="BV166" s="30" t="n">
        <v>0.819</v>
      </c>
      <c r="BW166" s="30" t="n">
        <v>0.845</v>
      </c>
      <c r="BX166" s="30" t="n">
        <v>0.83</v>
      </c>
      <c r="BY166" s="31"/>
      <c r="BZ166" s="31"/>
      <c r="CA166" s="31"/>
      <c r="CB166" s="31"/>
      <c r="CC166" s="31"/>
      <c r="CD166" s="31"/>
      <c r="CE166" s="31"/>
      <c r="CF166" s="7"/>
    </row>
    <row r="167" customFormat="false" ht="15" hidden="false" customHeight="true" outlineLevel="0" collapsed="false">
      <c r="B167" s="50" t="s">
        <v>303</v>
      </c>
      <c r="C167" s="40" t="n">
        <v>45000</v>
      </c>
      <c r="D167" s="40" t="n">
        <v>50000</v>
      </c>
      <c r="E167" s="40" t="n">
        <v>50300</v>
      </c>
      <c r="F167" s="40" t="n">
        <v>46600</v>
      </c>
      <c r="G167" s="40" t="n">
        <v>48200</v>
      </c>
      <c r="H167" s="40" t="n">
        <v>59000</v>
      </c>
      <c r="I167" s="40" t="n">
        <v>63000</v>
      </c>
      <c r="J167" s="39"/>
      <c r="K167" s="39"/>
      <c r="L167" s="39"/>
      <c r="M167" s="39"/>
      <c r="N167" s="40" t="n">
        <v>66000</v>
      </c>
      <c r="O167" s="39"/>
      <c r="P167" s="39"/>
      <c r="Q167" s="39"/>
      <c r="R167" s="39"/>
      <c r="S167" s="40" t="n">
        <v>71000</v>
      </c>
      <c r="T167" s="39"/>
      <c r="U167" s="39"/>
      <c r="V167" s="39"/>
      <c r="W167" s="39"/>
      <c r="X167" s="40" t="n">
        <v>81000</v>
      </c>
      <c r="Y167" s="39"/>
      <c r="Z167" s="39"/>
      <c r="AA167" s="39"/>
      <c r="AB167" s="39"/>
      <c r="AC167" s="40" t="n">
        <v>62000</v>
      </c>
      <c r="AD167" s="39"/>
      <c r="AE167" s="39"/>
      <c r="AF167" s="39"/>
      <c r="AG167" s="39"/>
      <c r="AH167" s="40" t="n">
        <v>67000</v>
      </c>
      <c r="AI167" s="39"/>
      <c r="AJ167" s="39"/>
      <c r="AK167" s="39"/>
      <c r="AL167" s="39"/>
      <c r="AM167" s="40" t="n">
        <v>71000</v>
      </c>
      <c r="AN167" s="39"/>
      <c r="AO167" s="39"/>
      <c r="AP167" s="39"/>
      <c r="AQ167" s="39"/>
      <c r="AR167" s="40" t="n">
        <v>60000</v>
      </c>
      <c r="AS167" s="39"/>
      <c r="AT167" s="39"/>
      <c r="AU167" s="39"/>
      <c r="AV167" s="39"/>
      <c r="AW167" s="40" t="n">
        <v>69000</v>
      </c>
      <c r="AX167" s="39"/>
      <c r="AY167" s="39"/>
      <c r="AZ167" s="39"/>
      <c r="BA167" s="39"/>
      <c r="BB167" s="40" t="n">
        <v>80000</v>
      </c>
      <c r="BC167" s="39"/>
      <c r="BD167" s="39"/>
      <c r="BE167" s="39"/>
      <c r="BF167" s="39"/>
      <c r="BG167" s="40" t="n">
        <v>81000</v>
      </c>
      <c r="BH167" s="39"/>
      <c r="BI167" s="39"/>
      <c r="BJ167" s="39"/>
      <c r="BK167" s="39"/>
      <c r="BL167" s="40" t="n">
        <v>63000</v>
      </c>
      <c r="BM167" s="39"/>
      <c r="BN167" s="39"/>
      <c r="BO167" s="39"/>
      <c r="BP167" s="39"/>
      <c r="BQ167" s="40" t="n">
        <v>63000</v>
      </c>
      <c r="BR167" s="39"/>
      <c r="BS167" s="39"/>
      <c r="BT167" s="39"/>
      <c r="BU167" s="39"/>
      <c r="BV167" s="40" t="n">
        <v>60000</v>
      </c>
      <c r="BW167" s="39"/>
      <c r="BX167" s="39"/>
      <c r="BY167" s="7"/>
      <c r="BZ167" s="7"/>
      <c r="CA167" s="7"/>
      <c r="CB167" s="7"/>
      <c r="CC167" s="7"/>
      <c r="CD167" s="7"/>
      <c r="CE167" s="7"/>
      <c r="CF167" s="7"/>
    </row>
    <row r="168" customFormat="false" ht="15" hidden="false" customHeight="true" outlineLevel="0" collapsed="false"/>
    <row r="169" customFormat="false" ht="15" hidden="false" customHeight="true" outlineLevel="0" collapsed="false">
      <c r="B169" s="16" t="s">
        <v>304</v>
      </c>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7" t="s">
        <v>305</v>
      </c>
    </row>
    <row r="170" customFormat="false" ht="15" hidden="false" customHeight="true" outlineLevel="0" collapsed="false">
      <c r="B170" s="27" t="s">
        <v>306</v>
      </c>
      <c r="C170" s="40" t="n">
        <v>153</v>
      </c>
      <c r="D170" s="40" t="n">
        <v>173.9</v>
      </c>
      <c r="E170" s="40" t="n">
        <v>194</v>
      </c>
      <c r="F170" s="40" t="n">
        <v>184.5</v>
      </c>
      <c r="G170" s="40" t="n">
        <v>198</v>
      </c>
      <c r="H170" s="40" t="n">
        <v>350.7</v>
      </c>
      <c r="I170" s="40" t="n">
        <v>497.8</v>
      </c>
      <c r="J170" s="40" t="n">
        <v>127.5</v>
      </c>
      <c r="K170" s="40" t="n">
        <v>129.5</v>
      </c>
      <c r="L170" s="40" t="n">
        <v>133.4</v>
      </c>
      <c r="M170" s="40" t="n">
        <v>139.5</v>
      </c>
      <c r="N170" s="40" t="n">
        <v>529.9</v>
      </c>
      <c r="O170" s="40" t="n">
        <v>132.2</v>
      </c>
      <c r="P170" s="40" t="n">
        <v>140.4</v>
      </c>
      <c r="Q170" s="40" t="n">
        <v>142.4</v>
      </c>
      <c r="R170" s="40" t="n">
        <v>137.6</v>
      </c>
      <c r="S170" s="40" t="n">
        <v>552.6</v>
      </c>
      <c r="T170" s="40" t="n">
        <v>138.5</v>
      </c>
      <c r="U170" s="40" t="n">
        <v>141.2</v>
      </c>
      <c r="V170" s="40" t="n">
        <v>136.4</v>
      </c>
      <c r="W170" s="40" t="n">
        <v>157.4</v>
      </c>
      <c r="X170" s="40" t="n">
        <v>573.5</v>
      </c>
      <c r="Y170" s="40" t="n">
        <v>150.5</v>
      </c>
      <c r="Z170" s="40" t="n">
        <v>156</v>
      </c>
      <c r="AA170" s="40" t="n">
        <v>89.4</v>
      </c>
      <c r="AB170" s="40" t="n">
        <v>149.1</v>
      </c>
      <c r="AC170" s="40" t="n">
        <v>545</v>
      </c>
      <c r="AD170" s="40" t="n">
        <v>139.5</v>
      </c>
      <c r="AE170" s="40" t="n">
        <v>142.9</v>
      </c>
      <c r="AF170" s="40" t="n">
        <v>144.9</v>
      </c>
      <c r="AG170" s="40" t="n">
        <v>150.5</v>
      </c>
      <c r="AH170" s="40" t="n">
        <v>577.8</v>
      </c>
      <c r="AI170" s="40" t="n">
        <v>148.5</v>
      </c>
      <c r="AJ170" s="40" t="n">
        <v>153.5</v>
      </c>
      <c r="AK170" s="40" t="n">
        <v>147.4</v>
      </c>
      <c r="AL170" s="40" t="n">
        <v>152.1</v>
      </c>
      <c r="AM170" s="40" t="n">
        <v>601.5</v>
      </c>
      <c r="AN170" s="40" t="n">
        <v>148.5</v>
      </c>
      <c r="AO170" s="40" t="n">
        <v>152</v>
      </c>
      <c r="AP170" s="40" t="n">
        <v>149.8</v>
      </c>
      <c r="AQ170" s="40" t="n">
        <v>114.1</v>
      </c>
      <c r="AR170" s="40" t="n">
        <v>564.4</v>
      </c>
      <c r="AS170" s="40" t="n">
        <v>141.4</v>
      </c>
      <c r="AT170" s="40" t="n">
        <v>163</v>
      </c>
      <c r="AU170" s="40" t="n">
        <v>160.4</v>
      </c>
      <c r="AV170" s="40" t="n">
        <v>172.2</v>
      </c>
      <c r="AW170" s="40" t="n">
        <v>637</v>
      </c>
      <c r="AX170" s="40" t="n">
        <v>158</v>
      </c>
      <c r="AY170" s="40" t="n">
        <v>178</v>
      </c>
      <c r="AZ170" s="40" t="n">
        <v>189</v>
      </c>
      <c r="BA170" s="40" t="n">
        <v>193</v>
      </c>
      <c r="BB170" s="40" t="n">
        <v>718</v>
      </c>
      <c r="BC170" s="40" t="n">
        <v>179</v>
      </c>
      <c r="BD170" s="40" t="n">
        <v>179</v>
      </c>
      <c r="BE170" s="40" t="n">
        <v>179</v>
      </c>
      <c r="BF170" s="40" t="n">
        <v>201</v>
      </c>
      <c r="BG170" s="40" t="n">
        <v>738</v>
      </c>
      <c r="BH170" s="40" t="n">
        <v>173</v>
      </c>
      <c r="BI170" s="40" t="n">
        <v>178</v>
      </c>
      <c r="BJ170" s="40" t="n">
        <v>175</v>
      </c>
      <c r="BK170" s="40" t="n">
        <v>149</v>
      </c>
      <c r="BL170" s="40" t="n">
        <v>675</v>
      </c>
      <c r="BM170" s="40" t="n">
        <v>179</v>
      </c>
      <c r="BN170" s="40" t="n">
        <v>178</v>
      </c>
      <c r="BO170" s="40" t="n">
        <v>177</v>
      </c>
      <c r="BP170" s="40" t="n">
        <v>187</v>
      </c>
      <c r="BQ170" s="40" t="n">
        <v>721</v>
      </c>
      <c r="BR170" s="40" t="n">
        <v>181</v>
      </c>
      <c r="BS170" s="40" t="n">
        <v>185</v>
      </c>
      <c r="BT170" s="40" t="n">
        <v>189</v>
      </c>
      <c r="BU170" s="40" t="n">
        <v>195</v>
      </c>
      <c r="BV170" s="40" t="n">
        <v>750</v>
      </c>
      <c r="BW170" s="40" t="n">
        <v>193</v>
      </c>
      <c r="BX170" s="40" t="n">
        <v>196</v>
      </c>
      <c r="BY170" s="41" t="n">
        <f aca="false">BY178*BY171</f>
        <v>210.735507020141</v>
      </c>
      <c r="BZ170" s="41" t="n">
        <f aca="false">BZ178*BZ171</f>
        <v>244.066473251633</v>
      </c>
      <c r="CA170" s="41" t="n">
        <f aca="false">SUM(BW170,BX170,BY170,BZ170)</f>
        <v>843.801980271775</v>
      </c>
      <c r="CB170" s="41" t="n">
        <f aca="false">CB178*CB171</f>
        <v>898.55866418429</v>
      </c>
      <c r="CC170" s="41" t="n">
        <f aca="false">CC178*CC171</f>
        <v>957.421547437906</v>
      </c>
      <c r="CD170" s="41" t="n">
        <f aca="false">CD178*CD171</f>
        <v>1025.26412284373</v>
      </c>
      <c r="CE170" s="41" t="n">
        <f aca="false">CE178*CE171</f>
        <v>1098.45037142325</v>
      </c>
      <c r="CF170" s="37" t="s">
        <v>307</v>
      </c>
    </row>
    <row r="171" customFormat="false" ht="15" hidden="false" customHeight="true" outlineLevel="0" collapsed="false">
      <c r="B171" s="27" t="s">
        <v>308</v>
      </c>
      <c r="C171" s="42" t="n">
        <f aca="false">IF(AND(ISNUMBER(C170),ISNUMBER(C178)),IFERROR(C170/C178,""),"")</f>
        <v>0.0161629393308754</v>
      </c>
      <c r="D171" s="42" t="n">
        <f aca="false">IF(AND(ISNUMBER(D170),ISNUMBER(D178)),IFERROR(D170/D178,""),"")</f>
        <v>0.0157719551238448</v>
      </c>
      <c r="E171" s="42" t="n">
        <f aca="false">IF(AND(ISNUMBER(E170),ISNUMBER(E178)),IFERROR(E170/E178,""),"")</f>
        <v>0.015278598149242</v>
      </c>
      <c r="F171" s="42" t="n">
        <f aca="false">IF(AND(ISNUMBER(F170),ISNUMBER(F178)),IFERROR(F170/F178,""),"")</f>
        <v>0.0164954536920312</v>
      </c>
      <c r="G171" s="42" t="n">
        <f aca="false">IF(AND(ISNUMBER(G170),ISNUMBER(G178)),IFERROR(G170/G178,""),"")</f>
        <v>0.0157768924302789</v>
      </c>
      <c r="H171" s="42" t="n">
        <f aca="false">IF(AND(ISNUMBER(H170),ISNUMBER(H178)),IFERROR(H170/H178,""),"")</f>
        <v>0.0217954693763401</v>
      </c>
      <c r="I171" s="42" t="n">
        <f aca="false">IF(AND(ISNUMBER(I170),ISNUMBER(I178)),IFERROR(I170/I178,""),"")</f>
        <v>0.0272611771921754</v>
      </c>
      <c r="J171" s="42" t="n">
        <f aca="false">IF(AND(ISNUMBER(J170),ISNUMBER(J178)),IFERROR(J170/J178,""),"")</f>
        <v>0.0286858505635926</v>
      </c>
      <c r="K171" s="42" t="n">
        <f aca="false">IF(AND(ISNUMBER(K170),ISNUMBER(K178)),IFERROR(K170/K178,""),"")</f>
        <v>0.027335092348285</v>
      </c>
      <c r="L171" s="42" t="n">
        <f aca="false">IF(AND(ISNUMBER(L170),ISNUMBER(L178)),IFERROR(L170/L178,""),"")</f>
        <v>0.0285708166456062</v>
      </c>
      <c r="M171" s="42" t="n">
        <f aca="false">IF(AND(ISNUMBER(M170),ISNUMBER(M178)),IFERROR(M170/M178,""),"")</f>
        <v>0.0264871741318093</v>
      </c>
      <c r="N171" s="42" t="n">
        <f aca="false">IF(AND(ISNUMBER(N170),ISNUMBER(N178)),IFERROR(N170/N178,""),"")</f>
        <v>0.0277173344492102</v>
      </c>
      <c r="O171" s="42" t="n">
        <f aca="false">IF(AND(ISNUMBER(O170),ISNUMBER(O178)),IFERROR(O170/O178,""),"")</f>
        <v>0.0283526711990907</v>
      </c>
      <c r="P171" s="42" t="n">
        <f aca="false">IF(AND(ISNUMBER(P170),ISNUMBER(P178)),IFERROR(P170/P178,""),"")</f>
        <v>0.0282859215085825</v>
      </c>
      <c r="Q171" s="42" t="n">
        <f aca="false">IF(AND(ISNUMBER(Q170),ISNUMBER(Q178)),IFERROR(Q170/Q178,""),"")</f>
        <v>0.0302521722504302</v>
      </c>
      <c r="R171" s="42" t="n">
        <f aca="false">IF(AND(ISNUMBER(R170),ISNUMBER(R178)),IFERROR(R170/R178,""),"")</f>
        <v>0.0263389609892424</v>
      </c>
      <c r="S171" s="42" t="n">
        <f aca="false">IF(AND(ISNUMBER(S170),ISNUMBER(S178)),IFERROR(S170/S178,""),"")</f>
        <v>0.0288503706797536</v>
      </c>
      <c r="T171" s="42" t="n">
        <f aca="false">IF(AND(ISNUMBER(T170),ISNUMBER(T178)),IFERROR(T170/T178,""),"")</f>
        <v>0.0295013525890898</v>
      </c>
      <c r="U171" s="42" t="n">
        <f aca="false">IF(AND(ISNUMBER(U170),ISNUMBER(U178)),IFERROR(U170/U178,""),"")</f>
        <v>0.028466594088948</v>
      </c>
      <c r="V171" s="42" t="n">
        <f aca="false">IF(AND(ISNUMBER(V170),ISNUMBER(V178)),IFERROR(V170/V178,""),"")</f>
        <v>0.0388360571721428</v>
      </c>
      <c r="W171" s="42" t="n">
        <f aca="false">IF(AND(ISNUMBER(W170),ISNUMBER(W178)),IFERROR(W170/W178,""),"")</f>
        <v>0.0364099005320379</v>
      </c>
      <c r="X171" s="42" t="n">
        <f aca="false">IF(AND(ISNUMBER(X170),ISNUMBER(X178)),IFERROR(X170/X178,""),"")</f>
        <v>0.0397334016918739</v>
      </c>
      <c r="Y171" s="42" t="n">
        <f aca="false">IF(AND(ISNUMBER(Y170),ISNUMBER(Y178)),IFERROR(Y170/Y178,""),"")</f>
        <v>0.0383527433041971</v>
      </c>
      <c r="Z171" s="42" t="n">
        <f aca="false">IF(AND(ISNUMBER(Z170),ISNUMBER(Z178)),IFERROR(Z170/Z178,""),"")</f>
        <v>0.0367759730309531</v>
      </c>
      <c r="AA171" s="42" t="n">
        <f aca="false">IF(AND(ISNUMBER(AA170),ISNUMBER(AA178)),IFERROR(AA170/AA178,""),"")</f>
        <v>0.0216354880085187</v>
      </c>
      <c r="AB171" s="42" t="n">
        <f aca="false">IF(AND(ISNUMBER(AB170),ISNUMBER(AB178)),IFERROR(AB170/AB178,""),"")</f>
        <v>0.032524049473202</v>
      </c>
      <c r="AC171" s="42" t="n">
        <f aca="false">IF(AND(ISNUMBER(AC170),ISNUMBER(AC178)),IFERROR(AC170/AC178,""),"")</f>
        <v>0.0322821399800976</v>
      </c>
      <c r="AD171" s="42" t="n">
        <f aca="false">IF(AND(ISNUMBER(AD170),ISNUMBER(AD178)),IFERROR(AD170/AD178,""),"")</f>
        <v>0.0331692702760539</v>
      </c>
      <c r="AE171" s="42" t="n">
        <f aca="false">IF(AND(ISNUMBER(AE170),ISNUMBER(AE178)),IFERROR(AE170/AE178,""),"")</f>
        <v>0.0316844415866611</v>
      </c>
      <c r="AF171" s="42" t="n">
        <f aca="false">IF(AND(ISNUMBER(AF170),ISNUMBER(AF178)),IFERROR(AF170/AF178,""),"")</f>
        <v>0.0319994699880747</v>
      </c>
      <c r="AG171" s="42" t="n">
        <f aca="false">IF(AND(ISNUMBER(AG170),ISNUMBER(AG178)),IFERROR(AG170/AG178,""),"")</f>
        <v>0.0295927797549993</v>
      </c>
      <c r="AH171" s="42" t="n">
        <f aca="false">IF(AND(ISNUMBER(AH170),ISNUMBER(AH178)),IFERROR(AH170/AH178,""),"")</f>
        <v>0.0315226108446947</v>
      </c>
      <c r="AI171" s="42" t="n">
        <f aca="false">IF(AND(ISNUMBER(AI170),ISNUMBER(AI178)),IFERROR(AI170/AI178,""),"")</f>
        <v>0.0316266984708438</v>
      </c>
      <c r="AJ171" s="42" t="n">
        <f aca="false">IF(AND(ISNUMBER(AJ170),ISNUMBER(AJ178)),IFERROR(AJ170/AJ178,""),"")</f>
        <v>0.0308171049989962</v>
      </c>
      <c r="AK171" s="42" t="n">
        <f aca="false">IF(AND(ISNUMBER(AK170),ISNUMBER(AK178)),IFERROR(AK170/AK178,""),"")</f>
        <v>0.0303723393295007</v>
      </c>
      <c r="AL171" s="42" t="n">
        <f aca="false">IF(AND(ISNUMBER(AL170),ISNUMBER(AL178)),IFERROR(AL170/AL178,""),"")</f>
        <v>0.0330329025952872</v>
      </c>
      <c r="AM171" s="42" t="n">
        <f aca="false">IF(AND(ISNUMBER(AM170),ISNUMBER(AM178)),IFERROR(AM170/AM178,""),"")</f>
        <v>0.0352816963369211</v>
      </c>
      <c r="AN171" s="42" t="n">
        <f aca="false">IF(AND(ISNUMBER(AN170),ISNUMBER(AN178)),IFERROR(AN170/AN178,""),"")</f>
        <v>0.0351879057864556</v>
      </c>
      <c r="AO171" s="42" t="n">
        <f aca="false">IF(AND(ISNUMBER(AO170),ISNUMBER(AO178)),IFERROR(AO170/AO178,""),"")</f>
        <v>0.0341995725053437</v>
      </c>
      <c r="AP171" s="42" t="n">
        <f aca="false">IF(AND(ISNUMBER(AP170),ISNUMBER(AP178)),IFERROR(AP170/AP178,""),"")</f>
        <v>0.0342165372316126</v>
      </c>
      <c r="AQ171" s="42" t="n">
        <f aca="false">IF(AND(ISNUMBER(AQ170),ISNUMBER(AQ178)),IFERROR(AQ170/AQ178,""),"")</f>
        <v>0.0234368581053324</v>
      </c>
      <c r="AR171" s="42" t="n">
        <f aca="false">IF(AND(ISNUMBER(AR170),ISNUMBER(AR178)),IFERROR(AR170/AR178,""),"")</f>
        <v>0.0315111858009838</v>
      </c>
      <c r="AS171" s="42" t="n">
        <f aca="false">IF(AND(ISNUMBER(AS170),ISNUMBER(AS178)),IFERROR(AS170/AS178,""),"")</f>
        <v>0.0325573898828026</v>
      </c>
      <c r="AT171" s="42" t="n">
        <f aca="false">IF(AND(ISNUMBER(AT170),ISNUMBER(AT178)),IFERROR(AT170/AT178,""),"")</f>
        <v>0.0307698116056934</v>
      </c>
      <c r="AU171" s="42" t="n">
        <f aca="false">IF(AND(ISNUMBER(AU170),ISNUMBER(AU178)),IFERROR(AU170/AU178,""),"")</f>
        <v>0.0272640739733478</v>
      </c>
      <c r="AV171" s="42" t="n">
        <f aca="false">IF(AND(ISNUMBER(AV170),ISNUMBER(AV178)),IFERROR(AV170/AV178,""),"")</f>
        <v>0.0254733727810651</v>
      </c>
      <c r="AW171" s="42" t="n">
        <f aca="false">IF(AND(ISNUMBER(AW170),ISNUMBER(AW178)),IFERROR(AW170/AW178,""),"")</f>
        <v>0.0285855322204272</v>
      </c>
      <c r="AX171" s="42" t="n">
        <f aca="false">IF(AND(ISNUMBER(AX170),ISNUMBER(AX178)),IFERROR(AX170/AX178,""),"")</f>
        <v>0.0230387868183144</v>
      </c>
      <c r="AY171" s="42" t="n">
        <f aca="false">IF(AND(ISNUMBER(AY170),ISNUMBER(AY178)),IFERROR(AY170/AY178,""),"")</f>
        <v>0.0246605707952341</v>
      </c>
      <c r="AZ171" s="42" t="n">
        <f aca="false">IF(AND(ISNUMBER(AZ170),ISNUMBER(AZ178)),IFERROR(AZ170/AZ178,""),"")</f>
        <v>0.0261446949785586</v>
      </c>
      <c r="BA171" s="42" t="n">
        <f aca="false">IF(AND(ISNUMBER(BA170),ISNUMBER(BA178)),IFERROR(BA170/BA178,""),"")</f>
        <v>0.023686794305351</v>
      </c>
      <c r="BB171" s="42" t="n">
        <f aca="false">IF(AND(ISNUMBER(BB170),ISNUMBER(BB178)),IFERROR(BB170/BB178,""),"")</f>
        <v>0.024377822293145</v>
      </c>
      <c r="BC171" s="42" t="n">
        <f aca="false">IF(AND(ISNUMBER(BC170),ISNUMBER(BC178)),IFERROR(BC170/BC178,""),"")</f>
        <v>0.0232830385015609</v>
      </c>
      <c r="BD171" s="42" t="n">
        <f aca="false">IF(AND(ISNUMBER(BD170),ISNUMBER(BD178)),IFERROR(BD170/BD178,""),"")</f>
        <v>0.0230937943491162</v>
      </c>
      <c r="BE171" s="42" t="n">
        <f aca="false">IF(AND(ISNUMBER(BE170),ISNUMBER(BE178)),IFERROR(BE170/BE178,""),"")</f>
        <v>0.0233589977815477</v>
      </c>
      <c r="BF171" s="42" t="n">
        <f aca="false">IF(AND(ISNUMBER(BF170),ISNUMBER(BF178)),IFERROR(BF170/BF178,""),"")</f>
        <v>0.028174936921783</v>
      </c>
      <c r="BG171" s="42" t="n">
        <f aca="false">IF(AND(ISNUMBER(BG170),ISNUMBER(BG178)),IFERROR(BG170/BG178,""),"")</f>
        <v>0.02769958338025</v>
      </c>
      <c r="BH171" s="42" t="n">
        <f aca="false">IF(AND(ISNUMBER(BH170),ISNUMBER(BH178)),IFERROR(BH170/BH178,""),"")</f>
        <v>0.029080517734073</v>
      </c>
      <c r="BI171" s="42" t="n">
        <f aca="false">IF(AND(ISNUMBER(BI170),ISNUMBER(BI178)),IFERROR(BI170/BI178,""),"")</f>
        <v>0.0301082543978349</v>
      </c>
      <c r="BJ171" s="42" t="n">
        <f aca="false">IF(AND(ISNUMBER(BJ170),ISNUMBER(BJ178)),IFERROR(BJ170/BJ178,""),"")</f>
        <v>0.0311166429587482</v>
      </c>
      <c r="BK171" s="42" t="n">
        <f aca="false">IF(AND(ISNUMBER(BK170),ISNUMBER(BK178)),IFERROR(BK170/BK178,""),"")</f>
        <v>0.0232630757220921</v>
      </c>
      <c r="BL171" s="42" t="n">
        <f aca="false">IF(AND(ISNUMBER(BL170),ISNUMBER(BL178)),IFERROR(BL170/BL178,""),"")</f>
        <v>0.0282544997907074</v>
      </c>
      <c r="BM171" s="42" t="n">
        <f aca="false">IF(AND(ISNUMBER(BM170),ISNUMBER(BM178)),IFERROR(BM170/BM178,""),"")</f>
        <v>0.0308833678398896</v>
      </c>
      <c r="BN171" s="42" t="n">
        <f aca="false">IF(AND(ISNUMBER(BN170),ISNUMBER(BN178)),IFERROR(BN170/BN178,""),"")</f>
        <v>0.0309942538742817</v>
      </c>
      <c r="BO171" s="42" t="n">
        <f aca="false">IF(AND(ISNUMBER(BO170),ISNUMBER(BO178)),IFERROR(BO170/BO178,""),"")</f>
        <v>0.0305277681959296</v>
      </c>
      <c r="BP171" s="42" t="n">
        <f aca="false">IF(AND(ISNUMBER(BP170),ISNUMBER(BP178)),IFERROR(BP170/BP178,""),"")</f>
        <v>0.0286020189660447</v>
      </c>
      <c r="BQ171" s="42" t="n">
        <f aca="false">IF(AND(ISNUMBER(BQ170),ISNUMBER(BQ178)),IFERROR(BQ170/BQ178,""),"")</f>
        <v>0.0301989528795812</v>
      </c>
      <c r="BR171" s="42" t="n">
        <f aca="false">IF(AND(ISNUMBER(BR170),ISNUMBER(BR178)),IFERROR(BR170/BR178,""),"")</f>
        <v>0.031527608430587</v>
      </c>
      <c r="BS171" s="42" t="n">
        <f aca="false">IF(AND(ISNUMBER(BS170),ISNUMBER(BS178)),IFERROR(BS170/BS178,""),"")</f>
        <v>0.0311657681940701</v>
      </c>
      <c r="BT171" s="42" t="n">
        <f aca="false">IF(AND(ISNUMBER(BT170),ISNUMBER(BT178)),IFERROR(BT170/BT178,""),"")</f>
        <v>0.0312241863538741</v>
      </c>
      <c r="BU171" s="42" t="n">
        <f aca="false">IF(AND(ISNUMBER(BU170),ISNUMBER(BU178)),IFERROR(BU170/BU178,""),"")</f>
        <v>0.0285171102661597</v>
      </c>
      <c r="BV171" s="42" t="n">
        <f aca="false">IF(AND(ISNUMBER(BV170),ISNUMBER(BV178)),IFERROR(BV170/BV178,""),"")</f>
        <v>0.0305275154672745</v>
      </c>
      <c r="BW171" s="42" t="n">
        <f aca="false">IF(AND(ISNUMBER(BW170),ISNUMBER(BW178)),IFERROR(BW170/BW178,""),"")</f>
        <v>0.0324315241135944</v>
      </c>
      <c r="BX171" s="42" t="n">
        <f aca="false">IF(AND(ISNUMBER(BX170),ISNUMBER(BX178)),IFERROR(BX170/BX178,""),"")</f>
        <v>0.0312849162011173</v>
      </c>
      <c r="BY171" s="26" t="n">
        <f aca="false">IFERROR((BW170+BX170)/(BW178+BX178),"")</f>
        <v>0.0318434839554682</v>
      </c>
      <c r="BZ171" s="26" t="n">
        <f aca="false">IFERROR((BW170+BX170)/(BW178+BX178),"")</f>
        <v>0.0318434839554682</v>
      </c>
      <c r="CA171" s="26" t="n">
        <f aca="false">IF(AND(ISNUMBER(CA170),ISNUMBER(CA178)),IFERROR(CA170/CA178,""),"")</f>
        <v>0.0318434839554682</v>
      </c>
      <c r="CB171" s="35" t="n">
        <v>0.031</v>
      </c>
      <c r="CC171" s="35" t="n">
        <v>0.031</v>
      </c>
      <c r="CD171" s="35" t="n">
        <v>0.031</v>
      </c>
      <c r="CE171" s="35" t="n">
        <v>0.031</v>
      </c>
      <c r="CF171" s="7"/>
      <c r="CH171" s="32" t="n">
        <f aca="false">IFERROR(AVERAGE(CA171,CB171,CC171,CD171,CE171),"n/m")</f>
        <v>0.0311686967910936</v>
      </c>
      <c r="CI171" s="32" t="n">
        <f aca="false">IFERROR(AVERAGE(BB171,BG171,BL171,BQ171,BV171),"n/m")</f>
        <v>0.0282116747621916</v>
      </c>
      <c r="CJ171" s="32" t="n">
        <f aca="false">IFERROR(AVERAGE(AC171,AH171,AM171,AR171,AW171,BB171,BG171,BL171,BQ171,BV171),"n/m")</f>
        <v>0.0300241538994082</v>
      </c>
      <c r="CK171" s="32" t="n">
        <f aca="false">IFERROR(AVERAGE(C171,D171,E171,F171,G171,H171,I171,N171,S171,X171,AC171,AH171,AM171,AR171,AW171,BB171,BG171,BL171,BQ171,BV171),"n/m")</f>
        <v>0.0262542565554854</v>
      </c>
    </row>
    <row r="172" customFormat="false" ht="15" hidden="false" customHeight="true" outlineLevel="0" collapsed="false">
      <c r="B172" s="27" t="s">
        <v>309</v>
      </c>
      <c r="C172" s="51" t="n">
        <f aca="false">IF(ISNUMBER(C204),C204-N(C78),"")</f>
        <v>64.2</v>
      </c>
      <c r="D172" s="51" t="n">
        <f aca="false">IF(ISNUMBER(D204),D204-N(D78),"")</f>
        <v>94.6</v>
      </c>
      <c r="E172" s="51" t="n">
        <f aca="false">IF(ISNUMBER(E204),E204-N(E78),"")</f>
        <v>145.3</v>
      </c>
      <c r="F172" s="51" t="n">
        <f aca="false">IF(ISNUMBER(F204),F204-N(F78),"")</f>
        <v>157.1</v>
      </c>
      <c r="G172" s="51" t="n">
        <f aca="false">IF(ISNUMBER(G204),G204-N(G78),"")</f>
        <v>199.1</v>
      </c>
      <c r="H172" s="51" t="n">
        <f aca="false">IF(ISNUMBER(H204),H204-N(H78),"")</f>
        <v>284.3</v>
      </c>
      <c r="I172" s="51" t="n">
        <f aca="false">IF(ISNUMBER(I204),I204-N(I78),"")</f>
        <v>342</v>
      </c>
      <c r="J172" s="51" t="n">
        <f aca="false">IF(ISNUMBER(J204),J204-N(J78),"")</f>
        <v>89.3</v>
      </c>
      <c r="K172" s="51" t="n">
        <f aca="false">IF(ISNUMBER(K204),K204-N(K78),"")</f>
        <v>90.1</v>
      </c>
      <c r="L172" s="51" t="n">
        <f aca="false">IF(ISNUMBER(L204),L204-N(L78),"")</f>
        <v>91.9</v>
      </c>
      <c r="M172" s="51" t="n">
        <f aca="false">IF(ISNUMBER(M204),M204-N(M78),"")</f>
        <v>93.8</v>
      </c>
      <c r="N172" s="51" t="n">
        <f aca="false">IF(ISNUMBER(N204),N204-N(N78),"")</f>
        <v>365.1</v>
      </c>
      <c r="O172" s="51" t="n">
        <f aca="false">IF(ISNUMBER(O204),O204-N(O78),"")</f>
        <v>92.5</v>
      </c>
      <c r="P172" s="51" t="n">
        <f aca="false">IF(ISNUMBER(P204),P204-N(P78),"")</f>
        <v>95</v>
      </c>
      <c r="Q172" s="51" t="n">
        <f aca="false">IF(ISNUMBER(Q204),Q204-N(Q78),"")</f>
        <v>90</v>
      </c>
      <c r="R172" s="51" t="n">
        <f aca="false">IF(ISNUMBER(R204),R204-N(R78),"")</f>
        <v>92</v>
      </c>
      <c r="S172" s="51" t="n">
        <f aca="false">IF(ISNUMBER(S204),S204-N(S78),"")</f>
        <v>352</v>
      </c>
      <c r="T172" s="51" t="n">
        <f aca="false">IF(ISNUMBER(T204),T204-N(T78),"")</f>
        <v>101</v>
      </c>
      <c r="U172" s="51" t="n">
        <f aca="false">IF(ISNUMBER(U204),U204-N(U78),"")</f>
        <v>99</v>
      </c>
      <c r="V172" s="51" t="n">
        <f aca="false">IF(ISNUMBER(V204),V204-N(V78),"")</f>
        <v>100.6</v>
      </c>
      <c r="W172" s="51" t="n">
        <f aca="false">IF(ISNUMBER(W204),W204-N(W78),"")</f>
        <v>137.4</v>
      </c>
      <c r="X172" s="51" t="n">
        <f aca="false">IF(ISNUMBER(X204),X204-N(X78),"")</f>
        <v>396.8</v>
      </c>
      <c r="Y172" s="51" t="n">
        <f aca="false">IF(ISNUMBER(Y204),Y204-N(Y78),"")</f>
        <v>139.2</v>
      </c>
      <c r="Z172" s="51" t="n">
        <f aca="false">IF(ISNUMBER(Z204),Z204-N(Z78),"")</f>
        <v>144.2</v>
      </c>
      <c r="AA172" s="51" t="n">
        <f aca="false">IF(ISNUMBER(AA204),AA204-N(AA78),"")</f>
        <v>143.2</v>
      </c>
      <c r="AB172" s="51" t="n">
        <f aca="false">IF(ISNUMBER(AB204),AB204-N(AB78),"")</f>
        <v>156.5</v>
      </c>
      <c r="AC172" s="51" t="n">
        <f aca="false">IF(ISNUMBER(AC204),AC204-N(AC78),"")</f>
        <v>583.1</v>
      </c>
      <c r="AD172" s="51" t="n">
        <f aca="false">IF(ISNUMBER(AD204),AD204-N(AD78),"")</f>
        <v>166.1</v>
      </c>
      <c r="AE172" s="51" t="n">
        <f aca="false">IF(ISNUMBER(AE204),AE204-N(AE78),"")</f>
        <v>160.3</v>
      </c>
      <c r="AF172" s="51" t="n">
        <f aca="false">IF(ISNUMBER(AF204),AF204-N(AF78),"")</f>
        <v>166.4</v>
      </c>
      <c r="AG172" s="51" t="n">
        <f aca="false">IF(ISNUMBER(AG204),AG204-N(AG78),"")</f>
        <v>167.7</v>
      </c>
      <c r="AH172" s="51" t="n">
        <f aca="false">IF(ISNUMBER(AH204),AH204-N(AH78),"")</f>
        <v>660.5</v>
      </c>
      <c r="AI172" s="51" t="n">
        <f aca="false">IF(ISNUMBER(AI204),AI204-N(AI78),"")</f>
        <v>172.3</v>
      </c>
      <c r="AJ172" s="51" t="n">
        <f aca="false">IF(ISNUMBER(AJ204),AJ204-N(AJ78),"")</f>
        <v>181.1</v>
      </c>
      <c r="AK172" s="51" t="n">
        <f aca="false">IF(ISNUMBER(AK204),AK204-N(AK78),"")</f>
        <v>174.1</v>
      </c>
      <c r="AL172" s="51" t="n">
        <f aca="false">IF(ISNUMBER(AL204),AL204-N(AL78),"")</f>
        <v>156.1</v>
      </c>
      <c r="AM172" s="51" t="n">
        <f aca="false">IF(ISNUMBER(AM204),AM204-N(AM78),"")</f>
        <v>615.6</v>
      </c>
      <c r="AN172" s="51" t="n">
        <f aca="false">IF(ISNUMBER(AN204),AN204-N(AN78),"")</f>
        <v>157.4</v>
      </c>
      <c r="AO172" s="51" t="n">
        <f aca="false">IF(ISNUMBER(AO204),AO204-N(AO78),"")</f>
        <v>156.3</v>
      </c>
      <c r="AP172" s="51" t="n">
        <f aca="false">IF(ISNUMBER(AP204),AP204-N(AP78),"")</f>
        <v>155.6</v>
      </c>
      <c r="AQ172" s="51" t="n">
        <f aca="false">IF(ISNUMBER(AQ204),AQ204-N(AQ78),"")</f>
        <v>155.8</v>
      </c>
      <c r="AR172" s="51" t="n">
        <f aca="false">IF(ISNUMBER(AR204),AR204-N(AR78),"")</f>
        <v>625.1</v>
      </c>
      <c r="AS172" s="51" t="n">
        <f aca="false">IF(ISNUMBER(AS204),AS204-N(AS78),"")</f>
        <v>156.4</v>
      </c>
      <c r="AT172" s="51" t="n">
        <f aca="false">IF(ISNUMBER(AT204),AT204-N(AT78),"")</f>
        <v>314.1</v>
      </c>
      <c r="AU172" s="51" t="n">
        <f aca="false">IF(ISNUMBER(AU204),AU204-N(AU78),"")</f>
        <v>331.1</v>
      </c>
      <c r="AV172" s="51" t="n">
        <f aca="false">IF(ISNUMBER(AV204),AV204-N(AV78),"")</f>
        <v>336</v>
      </c>
      <c r="AW172" s="51" t="n">
        <f aca="false">IF(ISNUMBER(AW204),AW204-N(AW78),"")</f>
        <v>1138</v>
      </c>
      <c r="AX172" s="51" t="n">
        <f aca="false">IF(ISNUMBER(AX204),AX204-N(AX78),"")</f>
        <v>344</v>
      </c>
      <c r="AY172" s="51" t="n">
        <f aca="false">IF(ISNUMBER(AY204),AY204-N(AY78),"")</f>
        <v>347</v>
      </c>
      <c r="AZ172" s="51" t="n">
        <f aca="false">IF(ISNUMBER(AZ204),AZ204-N(AZ78),"")</f>
        <v>365</v>
      </c>
      <c r="BA172" s="51" t="n">
        <f aca="false">IF(ISNUMBER(BA204),BA204-N(BA78),"")</f>
        <v>394</v>
      </c>
      <c r="BB172" s="51" t="n">
        <f aca="false">IF(ISNUMBER(BB204),BB204-N(BB78),"")</f>
        <v>1450</v>
      </c>
      <c r="BC172" s="51" t="n">
        <f aca="false">IF(ISNUMBER(BC204),BC204-N(BC78),"")</f>
        <v>386</v>
      </c>
      <c r="BD172" s="51" t="n">
        <f aca="false">IF(ISNUMBER(BD204),BD204-N(BD78),"")</f>
        <v>373</v>
      </c>
      <c r="BE172" s="51" t="n">
        <f aca="false">IF(ISNUMBER(BE204),BE204-N(BE78),"")</f>
        <v>361</v>
      </c>
      <c r="BF172" s="51" t="n">
        <f aca="false">IF(ISNUMBER(BF204),BF204-N(BF78),"")</f>
        <v>352</v>
      </c>
      <c r="BG172" s="51" t="n">
        <f aca="false">IF(ISNUMBER(BG204),BG204-N(BG78),"")</f>
        <v>1434</v>
      </c>
      <c r="BH172" s="51" t="n">
        <f aca="false">IF(ISNUMBER(BH204),BH204-N(BH78),"")</f>
        <v>372</v>
      </c>
      <c r="BI172" s="51" t="n">
        <f aca="false">IF(ISNUMBER(BI204),BI204-N(BI78),"")</f>
        <v>372</v>
      </c>
      <c r="BJ172" s="51" t="n">
        <f aca="false">IF(ISNUMBER(BJ204),BJ204-N(BJ78),"")</f>
        <v>367</v>
      </c>
      <c r="BK172" s="51" t="n">
        <f aca="false">IF(ISNUMBER(BK204),BK204-N(BK78),"")</f>
        <v>380</v>
      </c>
      <c r="BL172" s="51" t="n">
        <f aca="false">IF(ISNUMBER(BL204),BL204-N(BL78),"")</f>
        <v>1491</v>
      </c>
      <c r="BM172" s="51" t="n">
        <f aca="false">IF(ISNUMBER(BM204),BM204-N(BM78),"")</f>
        <v>407</v>
      </c>
      <c r="BN172" s="51" t="n">
        <f aca="false">IF(ISNUMBER(BN204),BN204-N(BN78),"")</f>
        <v>402</v>
      </c>
      <c r="BO172" s="51" t="n">
        <f aca="false">IF(ISNUMBER(BO204),BO204-N(BO78),"")</f>
        <v>414</v>
      </c>
      <c r="BP172" s="51" t="n">
        <f aca="false">IF(ISNUMBER(BP204),BP204-N(BP78),"")</f>
        <v>408</v>
      </c>
      <c r="BQ172" s="51" t="n">
        <f aca="false">IF(ISNUMBER(BQ204),BQ204-N(BQ78),"")</f>
        <v>1631</v>
      </c>
      <c r="BR172" s="51" t="n">
        <f aca="false">IF(ISNUMBER(BR204),BR204-N(BR78),"")</f>
        <v>410</v>
      </c>
      <c r="BS172" s="51" t="n">
        <f aca="false">IF(ISNUMBER(BS204),BS204-N(BS78),"")</f>
        <v>426</v>
      </c>
      <c r="BT172" s="51" t="n">
        <f aca="false">IF(ISNUMBER(BT204),BT204-N(BT78),"")</f>
        <v>433</v>
      </c>
      <c r="BU172" s="51" t="n">
        <f aca="false">IF(ISNUMBER(BU204),BU204-N(BU78),"")</f>
        <v>428</v>
      </c>
      <c r="BV172" s="51" t="n">
        <f aca="false">IF(ISNUMBER(BV204),BV204-N(BV78),"")</f>
        <v>1697</v>
      </c>
      <c r="BW172" s="51" t="n">
        <f aca="false">IF(ISNUMBER(BW204),BW204-N(BW78),"")</f>
        <v>434</v>
      </c>
      <c r="BX172" s="51" t="n">
        <f aca="false">IF(ISNUMBER(BX204),BX204-N(BX78),"")</f>
        <v>452.4</v>
      </c>
      <c r="BY172" s="41" t="n">
        <f aca="false">$CP$21-BY78</f>
        <v>439.615890410959</v>
      </c>
      <c r="BZ172" s="41" t="n">
        <f aca="false">$CP$22-(BW204+BX204)-$CP$21-BZ78</f>
        <v>437.97095890411</v>
      </c>
      <c r="CA172" s="41" t="n">
        <f aca="false">SUM(BW172,BX172,BY172,BZ172)</f>
        <v>1763.98684931507</v>
      </c>
      <c r="CB172" s="43" t="n">
        <v>1600</v>
      </c>
      <c r="CC172" s="43" t="n">
        <v>1600</v>
      </c>
      <c r="CD172" s="43" t="n">
        <v>1600</v>
      </c>
      <c r="CE172" s="43" t="n">
        <v>1400</v>
      </c>
      <c r="CF172" s="37" t="s">
        <v>310</v>
      </c>
    </row>
    <row r="173" customFormat="false" ht="15" hidden="false" customHeight="true" outlineLevel="0" collapsed="false">
      <c r="B173" s="27" t="s">
        <v>311</v>
      </c>
      <c r="C173" s="42" t="n">
        <f aca="false">IF(ISNUMBER(C182),IFERROR((C182-N(C241))/C178,""),"")</f>
        <v>0.24128204857333</v>
      </c>
      <c r="D173" s="42" t="n">
        <f aca="false">IF(ISNUMBER(D182),IFERROR((D182-N(D241))/D178,""),"")</f>
        <v>0.240814808768445</v>
      </c>
      <c r="E173" s="42" t="n">
        <f aca="false">IF(ISNUMBER(E182),IFERROR((E182-N(E241))/E178,""),"")</f>
        <v>0.25511321126206</v>
      </c>
      <c r="F173" s="42" t="n">
        <f aca="false">IF(ISNUMBER(F182),IFERROR((F182-N(F241))/F178,""),"")</f>
        <v>0.274244740677163</v>
      </c>
      <c r="G173" s="42" t="n">
        <f aca="false">IF(ISNUMBER(G182),IFERROR((G182-N(G241))/G178,""),"")</f>
        <v>0.283450199203187</v>
      </c>
      <c r="H173" s="42" t="n">
        <f aca="false">IF(ISNUMBER(H182),IFERROR((H182-N(H241))/H178,""),"")</f>
        <v>0.279115005748734</v>
      </c>
      <c r="I173" s="42" t="n">
        <f aca="false">IF(ISNUMBER(I182),IFERROR((I182-N(I241))/I178,""),"")</f>
        <v>0.283739677115507</v>
      </c>
      <c r="J173" s="42" t="n">
        <f aca="false">IF(ISNUMBER(J182),IFERROR((J182-N(J241))/J178,""),"")</f>
        <v>0.292123202915832</v>
      </c>
      <c r="K173" s="42" t="n">
        <f aca="false">IF(ISNUMBER(K182),IFERROR((K182-N(K241))/K178,""),"")</f>
        <v>0.282786279683377</v>
      </c>
      <c r="L173" s="42" t="n">
        <f aca="false">IF(ISNUMBER(L182),IFERROR((L182-N(L241))/L178,""),"")</f>
        <v>0.27911160609111</v>
      </c>
      <c r="M173" s="42" t="n">
        <f aca="false">IF(ISNUMBER(M182),IFERROR((M182-N(M241))/M178,""),"")</f>
        <v>0.279586838057987</v>
      </c>
      <c r="N173" s="42" t="n">
        <f aca="false">IF(ISNUMBER(N182),IFERROR((N182-N(N241))/N178,""),"")</f>
        <v>0.283178156710953</v>
      </c>
      <c r="O173" s="42" t="n">
        <f aca="false">IF(ISNUMBER(O182),IFERROR((O182-N(O241))/O178,""),"")</f>
        <v>0.289660497136852</v>
      </c>
      <c r="P173" s="42" t="n">
        <f aca="false">IF(ISNUMBER(P182),IFERROR((P182-N(P241))/P178,""),"")</f>
        <v>0.280945281650415</v>
      </c>
      <c r="Q173" s="42" t="n">
        <f aca="false">IF(ISNUMBER(Q182),IFERROR((Q182-N(Q241))/Q178,""),"")</f>
        <v>0.275753648743388</v>
      </c>
      <c r="R173" s="42" t="n">
        <f aca="false">IF(ISNUMBER(R182),IFERROR((R182-N(R241))/R178,""),"")</f>
        <v>0.269878641705907</v>
      </c>
      <c r="S173" s="42" t="n">
        <f aca="false">IF(ISNUMBER(S182),IFERROR((S182-N(S241))/S178,""),"")</f>
        <v>0.276913438446278</v>
      </c>
      <c r="T173" s="42" t="n">
        <f aca="false">IF(ISNUMBER(T182),IFERROR((T182-N(T241))/T178,""),"")</f>
        <v>0.297931710226426</v>
      </c>
      <c r="U173" s="42" t="n">
        <f aca="false">IF(ISNUMBER(U182),IFERROR((U182-N(U241))/U178,""),"")</f>
        <v>0.283254707471473</v>
      </c>
      <c r="V173" s="42" t="n">
        <f aca="false">IF(ISNUMBER(V182),IFERROR((V182-N(V241))/V178,""),"")</f>
        <v>0.32520927054268</v>
      </c>
      <c r="W173" s="42" t="n">
        <f aca="false">IF(ISNUMBER(W182),IFERROR((W182-N(W241))/W178,""),"")</f>
        <v>0.303608605135323</v>
      </c>
      <c r="X173" s="42" t="n">
        <f aca="false">IF(ISNUMBER(X182),IFERROR((X182-N(X241))/X178,""),"")</f>
        <v>0.320950276089984</v>
      </c>
      <c r="Y173" s="42" t="n">
        <f aca="false">IF(ISNUMBER(Y182),IFERROR((Y182-N(Y241))/Y178,""),"")</f>
        <v>0.334879335389006</v>
      </c>
      <c r="Z173" s="42" t="n">
        <f aca="false">IF(ISNUMBER(Z182),IFERROR((Z182-N(Z241))/Z178,""),"")</f>
        <v>0.333411914472288</v>
      </c>
      <c r="AA173" s="42" t="n">
        <f aca="false">IF(ISNUMBER(AA182),IFERROR((AA182-N(AA241))/AA178,""),"")</f>
        <v>0.33005009559304</v>
      </c>
      <c r="AB173" s="42" t="n">
        <f aca="false">IF(ISNUMBER(AB182),IFERROR((AB182-N(AB241))/AB178,""),"")</f>
        <v>0.30962197063892</v>
      </c>
      <c r="AC173" s="42" t="n">
        <f aca="false">IF(ISNUMBER(AC182),IFERROR((AC182-N(AC241))/AC178,""),"")</f>
        <v>0.328306401933374</v>
      </c>
      <c r="AD173" s="42" t="n">
        <f aca="false">IF(ISNUMBER(AD182),IFERROR((AD182-N(AD241))/AD178,""),"")</f>
        <v>0.344746415578857</v>
      </c>
      <c r="AE173" s="42" t="n">
        <f aca="false">IF(ISNUMBER(AE182),IFERROR((AE182-N(AE241))/AE178,""),"")</f>
        <v>0.320680250992217</v>
      </c>
      <c r="AF173" s="42" t="n">
        <f aca="false">IF(ISNUMBER(AF182),IFERROR((AF182-N(AF241))/AF178,""),"")</f>
        <v>0.330904112009187</v>
      </c>
      <c r="AG173" s="42" t="n">
        <f aca="false">IF(ISNUMBER(AG182),IFERROR((AG182-N(AG241))/AG178,""),"")</f>
        <v>0.317301453093969</v>
      </c>
      <c r="AH173" s="42" t="n">
        <f aca="false">IF(ISNUMBER(AH182),IFERROR((AH182-N(AH241))/AH178,""),"")</f>
        <v>0.327790416646208</v>
      </c>
      <c r="AI173" s="42" t="n">
        <f aca="false">IF(ISNUMBER(AI182),IFERROR((AI182-N(AI241))/AI178,""),"")</f>
        <v>0.341163692124207</v>
      </c>
      <c r="AJ173" s="42" t="n">
        <f aca="false">IF(ISNUMBER(AJ182),IFERROR((AJ182-N(AJ241))/AJ178,""),"")</f>
        <v>0.327424212005621</v>
      </c>
      <c r="AK173" s="42" t="n">
        <f aca="false">IF(ISNUMBER(AK182),IFERROR((AK182-N(AK241))/AK178,""),"")</f>
        <v>0.321155550060786</v>
      </c>
      <c r="AL173" s="42" t="n">
        <f aca="false">IF(ISNUMBER(AL182),IFERROR((AL182-N(AL241))/AL178,""),"")</f>
        <v>0.2995547833641</v>
      </c>
      <c r="AM173" s="42" t="n">
        <f aca="false">IF(ISNUMBER(AM182),IFERROR((AM182-N(AM241))/AM178,""),"")</f>
        <v>0.314925066721412</v>
      </c>
      <c r="AN173" s="42" t="n">
        <f aca="false">IF(ISNUMBER(AN182),IFERROR((AN182-N(AN241))/AN178,""),"")</f>
        <v>0.309392919766836</v>
      </c>
      <c r="AO173" s="42" t="n">
        <f aca="false">IF(ISNUMBER(AO182),IFERROR((AO182-N(AO241))/AO178,""),"")</f>
        <v>0.306221172235347</v>
      </c>
      <c r="AP173" s="42" t="n">
        <f aca="false">IF(ISNUMBER(AP182),IFERROR((AP182-N(AP241))/AP178,""),"")</f>
        <v>0.303220648698036</v>
      </c>
      <c r="AQ173" s="42" t="n">
        <f aca="false">IF(ISNUMBER(AQ182),IFERROR((AQ182-N(AQ241))/AQ178,""),"")</f>
        <v>0.291286665023416</v>
      </c>
      <c r="AR173" s="42" t="n">
        <f aca="false">IF(ISNUMBER(AR182),IFERROR((AR182-N(AR241))/AR178,""),"")</f>
        <v>0.306809743678501</v>
      </c>
      <c r="AS173" s="42" t="n">
        <f aca="false">IF(ISNUMBER(AS182),IFERROR((AS182-N(AS241))/AS178,""),"")</f>
        <v>0.320347217425341</v>
      </c>
      <c r="AT173" s="42" t="n">
        <f aca="false">IF(ISNUMBER(AT182),IFERROR((AT182-N(AT241))/AT178,""),"")</f>
        <v>0.27511609468796</v>
      </c>
      <c r="AU173" s="42" t="n">
        <f aca="false">IF(ISNUMBER(AU182),IFERROR((AU182-N(AU241))/AU178,""),"")</f>
        <v>0.263343078596682</v>
      </c>
      <c r="AV173" s="42" t="n">
        <f aca="false">IF(ISNUMBER(AV182),IFERROR((AV182-N(AV241))/AV178,""),"")</f>
        <v>0.282248520710059</v>
      </c>
      <c r="AW173" s="42" t="n">
        <f aca="false">IF(ISNUMBER(AW182),IFERROR((AW182-N(AW241))/AW178,""),"")</f>
        <v>0.282983306408185</v>
      </c>
      <c r="AX173" s="42" t="n">
        <f aca="false">IF(ISNUMBER(AX182),IFERROR((AX182-N(AX241))/AX178,""),"")</f>
        <v>0.26538349372995</v>
      </c>
      <c r="AY173" s="42" t="n">
        <f aca="false">IF(ISNUMBER(AY182),IFERROR((AY182-N(AY241))/AY178,""),"")</f>
        <v>0.272374619008035</v>
      </c>
      <c r="AZ173" s="42" t="n">
        <f aca="false">IF(ISNUMBER(AZ182),IFERROR((AZ182-N(AZ241))/AZ178,""),"")</f>
        <v>0.203347627611011</v>
      </c>
      <c r="BA173" s="42" t="n">
        <f aca="false">IF(ISNUMBER(BA182),IFERROR((BA182-N(BA241))/BA178,""),"")</f>
        <v>0.279945999018164</v>
      </c>
      <c r="BB173" s="42" t="n">
        <f aca="false">IF(ISNUMBER(BB182),IFERROR((BB182-N(BB241))/BB178,""),"")</f>
        <v>0.255899229280549</v>
      </c>
      <c r="BC173" s="42" t="n">
        <f aca="false">IF(ISNUMBER(BC182),IFERROR((BC182-N(BC241))/BC178,""),"")</f>
        <v>0.266519250780437</v>
      </c>
      <c r="BD173" s="42" t="n">
        <f aca="false">IF(ISNUMBER(BD182),IFERROR((BD182-N(BD241))/BD178,""),"")</f>
        <v>0.267836408205393</v>
      </c>
      <c r="BE173" s="42" t="n">
        <f aca="false">IF(ISNUMBER(BE182),IFERROR((BE182-N(BE241))/BE178,""),"")</f>
        <v>0.280438470572883</v>
      </c>
      <c r="BF173" s="42" t="n">
        <f aca="false">IF(ISNUMBER(BF182),IFERROR((BF182-N(BF241))/BF178,""),"")</f>
        <v>0.255116344266891</v>
      </c>
      <c r="BG173" s="42" t="n">
        <f aca="false">IF(ISNUMBER(BG182),IFERROR((BG182-N(BG241))/BG178,""),"")</f>
        <v>0.265097774274669</v>
      </c>
      <c r="BH173" s="42" t="n">
        <f aca="false">IF(ISNUMBER(BH182),IFERROR((BH182-N(BH241))/BH178,""),"")</f>
        <v>0.293158514035972</v>
      </c>
      <c r="BI173" s="42" t="n">
        <f aca="false">IF(ISNUMBER(BI182),IFERROR((BI182-N(BI241))/BI178,""),"")</f>
        <v>0.289073071718539</v>
      </c>
      <c r="BJ173" s="42" t="n">
        <f aca="false">IF(ISNUMBER(BJ182),IFERROR((BJ182-N(BJ241))/BJ178,""),"")</f>
        <v>0.299786628733997</v>
      </c>
      <c r="BK173" s="42" t="n">
        <f aca="false">IF(ISNUMBER(BK182),IFERROR((BK182-N(BK241))/BK178,""),"")</f>
        <v>0.298985167837627</v>
      </c>
      <c r="BL173" s="42" t="n">
        <f aca="false">IF(ISNUMBER(BL182),IFERROR((BL182-N(BL241))/BL178,""),"")</f>
        <v>0.3</v>
      </c>
      <c r="BM173" s="42" t="n">
        <f aca="false">IF(ISNUMBER(BM182),IFERROR((BM182-N(BM241))/BM178,""),"")</f>
        <v>0.307453416149068</v>
      </c>
      <c r="BN173" s="42" t="n">
        <f aca="false">IF(ISNUMBER(BN182),IFERROR((BN182-N(BN241))/BN178,""),"")</f>
        <v>0.325439665679958</v>
      </c>
      <c r="BO173" s="42" t="n">
        <f aca="false">IF(ISNUMBER(BO182),IFERROR((BO182-N(BO241))/BO178,""),"")</f>
        <v>0.317005864091066</v>
      </c>
      <c r="BP173" s="42" t="n">
        <f aca="false">IF(ISNUMBER(BP182),IFERROR((BP182-N(BP241))/BP178,""),"")</f>
        <v>0.294279596206791</v>
      </c>
      <c r="BQ173" s="42" t="n">
        <f aca="false">IF(ISNUMBER(BQ182),IFERROR((BQ182-N(BQ241))/BQ178,""),"")</f>
        <v>0.310492146596859</v>
      </c>
      <c r="BR173" s="42" t="n">
        <f aca="false">IF(ISNUMBER(BR182),IFERROR((BR182-N(BR241))/BR178,""),"")</f>
        <v>0.321024211809789</v>
      </c>
      <c r="BS173" s="42" t="n">
        <f aca="false">IF(ISNUMBER(BS182),IFERROR((BS182-N(BS241))/BS178,""),"")</f>
        <v>0.324797843665768</v>
      </c>
      <c r="BT173" s="42" t="n">
        <f aca="false">IF(ISNUMBER(BT182),IFERROR((BT182-N(BT241))/BT178,""),"")</f>
        <v>0.312241863538741</v>
      </c>
      <c r="BU173" s="42" t="n">
        <f aca="false">IF(ISNUMBER(BU182),IFERROR((BU182-N(BU241))/BU178,""),"")</f>
        <v>0.29570049722141</v>
      </c>
      <c r="BV173" s="42" t="n">
        <f aca="false">IF(ISNUMBER(BV182),IFERROR((BV182-N(BV241))/BV178,""),"")</f>
        <v>0.31272386844676</v>
      </c>
      <c r="BW173" s="42" t="n">
        <f aca="false">IF(ISNUMBER(BW182),IFERROR((BW182-N(BW241))/BW178,""),"")</f>
        <v>0.309695849437069</v>
      </c>
      <c r="BX173" s="42" t="n">
        <f aca="false">IF(ISNUMBER(BX182),IFERROR((BX182-N(BX241))/BX178,""),"")</f>
        <v>0.313487629688747</v>
      </c>
      <c r="BY173" s="26" t="n">
        <f aca="false">IFERROR(((BW182+BX182)-(BW241+BX241))/(BW178+BX178),"")</f>
        <v>0.31164047151277</v>
      </c>
      <c r="BZ173" s="26" t="n">
        <f aca="false">IFERROR(((BW182+BX182)-(BW241+BX241))/(BW178+BX178),"")</f>
        <v>0.31164047151277</v>
      </c>
      <c r="CA173" s="26" t="n">
        <f aca="false">IFERROR((CA182-CA241)/CA178,"")</f>
        <v>0.31164047151277</v>
      </c>
      <c r="CB173" s="35" t="n">
        <v>0.312</v>
      </c>
      <c r="CC173" s="35" t="n">
        <v>0.312</v>
      </c>
      <c r="CD173" s="35" t="n">
        <v>0.312</v>
      </c>
      <c r="CE173" s="35" t="n">
        <v>0.312</v>
      </c>
      <c r="CF173" s="7" t="s">
        <v>312</v>
      </c>
      <c r="CH173" s="32" t="n">
        <f aca="false">IFERROR(AVERAGE(CA173,CB173,CC173,CD173,CE173),"n/m")</f>
        <v>0.311928094302554</v>
      </c>
      <c r="CI173" s="32" t="n">
        <f aca="false">IFERROR(AVERAGE(BB173,BG173,BL173,BQ173,BV173),"n/m")</f>
        <v>0.288842603719767</v>
      </c>
      <c r="CJ173" s="32" t="n">
        <f aca="false">IFERROR(AVERAGE(AC173,AH173,AM173,AR173,AW173,BB173,BG173,BL173,BQ173,BV173),"n/m")</f>
        <v>0.300502795398652</v>
      </c>
      <c r="CK173" s="32" t="n">
        <f aca="false">IFERROR(AVERAGE(C173,D173,E173,F173,G173,H173,I173,N173,S173,X173,AC173,AH173,AM173,AR173,AW173,BB173,BG173,BL173,BQ173,BV173),"n/m")</f>
        <v>0.287191475829108</v>
      </c>
    </row>
    <row r="174" customFormat="false" ht="15" hidden="false" customHeight="true" outlineLevel="0" collapsed="false">
      <c r="B174" s="27" t="s">
        <v>313</v>
      </c>
      <c r="C174" s="42" t="n">
        <f aca="false">IF(AND(ISNUMBER(C183),ISNUMBER(C178)),IFERROR(C183/C178,""),"")</f>
        <v>0.0464816555920601</v>
      </c>
      <c r="D174" s="42" t="n">
        <f aca="false">IF(AND(ISNUMBER(D183),ISNUMBER(D178)),IFERROR(D183/D178,""),"")</f>
        <v>0.0545443002385293</v>
      </c>
      <c r="E174" s="42" t="n">
        <f aca="false">IF(AND(ISNUMBER(E183),ISNUMBER(E178)),IFERROR(E183/E178,""),"")</f>
        <v>0.0571293561724749</v>
      </c>
      <c r="F174" s="42" t="n">
        <f aca="false">IF(AND(ISNUMBER(F183),ISNUMBER(F178)),IFERROR(F183/F178,""),"")</f>
        <v>0.0565673363195022</v>
      </c>
      <c r="G174" s="42" t="n">
        <f aca="false">IF(AND(ISNUMBER(G183),ISNUMBER(G178)),IFERROR(G183/G178,""),"")</f>
        <v>0.0616733067729084</v>
      </c>
      <c r="H174" s="42" t="n">
        <f aca="false">IF(AND(ISNUMBER(H183),ISNUMBER(H178)),IFERROR(H183/H178,""),"")</f>
        <v>0.0632982194462571</v>
      </c>
      <c r="I174" s="42" t="n">
        <f aca="false">IF(AND(ISNUMBER(I183),ISNUMBER(I178)),IFERROR(I183/I178,""),"")</f>
        <v>0.0623151738187553</v>
      </c>
      <c r="J174" s="42" t="n">
        <f aca="false">IF(AND(ISNUMBER(J183),ISNUMBER(J178)),IFERROR(J183/J178,""),"")</f>
        <v>0.0666861655454811</v>
      </c>
      <c r="K174" s="42" t="n">
        <f aca="false">IF(AND(ISNUMBER(K183),ISNUMBER(K178)),IFERROR(K183/K178,""),"")</f>
        <v>0.0658997361477573</v>
      </c>
      <c r="L174" s="42" t="n">
        <f aca="false">IF(AND(ISNUMBER(L183),ISNUMBER(L178)),IFERROR(L183/L178,""),"")</f>
        <v>0.0662011950911311</v>
      </c>
      <c r="M174" s="42" t="n">
        <f aca="false">IF(AND(ISNUMBER(M183),ISNUMBER(M178)),IFERROR(M183/M178,""),"")</f>
        <v>0.0630755501547459</v>
      </c>
      <c r="N174" s="42" t="n">
        <f aca="false">IF(AND(ISNUMBER(N183),ISNUMBER(N178)),IFERROR(N183/N178,""),"")</f>
        <v>0.0653781776336437</v>
      </c>
      <c r="O174" s="42" t="n">
        <f aca="false">IF(AND(ISNUMBER(O183),ISNUMBER(O178)),IFERROR(O183/O178,""),"")</f>
        <v>0.0672142749908851</v>
      </c>
      <c r="P174" s="42" t="n">
        <f aca="false">IF(AND(ISNUMBER(P183),ISNUMBER(P178)),IFERROR(P183/P178,""),"")</f>
        <v>0.0677733902812475</v>
      </c>
      <c r="Q174" s="42" t="n">
        <f aca="false">IF(AND(ISNUMBER(Q183),ISNUMBER(Q178)),IFERROR(Q183/Q178,""),"")</f>
        <v>0.0612054130993605</v>
      </c>
      <c r="R174" s="42" t="n">
        <f aca="false">IF(AND(ISNUMBER(R183),ISNUMBER(R178)),IFERROR(R183/R178,""),"")</f>
        <v>0.0575590521036714</v>
      </c>
      <c r="S174" s="42" t="n">
        <f aca="false">IF(AND(ISNUMBER(S183),ISNUMBER(S178)),IFERROR(S183/S178,""),"")</f>
        <v>0.0604051373081341</v>
      </c>
      <c r="T174" s="42" t="n">
        <f aca="false">IF(AND(ISNUMBER(T183),ISNUMBER(T178)),IFERROR(T183/T178,""),"")</f>
        <v>0.0637740430698447</v>
      </c>
      <c r="U174" s="42" t="n">
        <f aca="false">IF(AND(ISNUMBER(U183),ISNUMBER(U178)),IFERROR(U183/U178,""),"")</f>
        <v>0.0614088141607193</v>
      </c>
      <c r="V174" s="42" t="n">
        <f aca="false">IF(AND(ISNUMBER(V183),ISNUMBER(V178)),IFERROR(V183/V178,""),"")</f>
        <v>0.0604179716417061</v>
      </c>
      <c r="W174" s="42" t="n">
        <f aca="false">IF(AND(ISNUMBER(W183),ISNUMBER(W178)),IFERROR(W183/W178,""),"")</f>
        <v>0.0546148507980569</v>
      </c>
      <c r="X174" s="42" t="n">
        <f aca="false">IF(AND(ISNUMBER(X183),ISNUMBER(X178)),IFERROR(X183/X178,""),"")</f>
        <v>0.0596797771881084</v>
      </c>
      <c r="Y174" s="42" t="n">
        <f aca="false">IF(AND(ISNUMBER(Y183),ISNUMBER(Y178)),IFERROR(Y183/Y178,""),"")</f>
        <v>0.0576183073825845</v>
      </c>
      <c r="Z174" s="42" t="n">
        <f aca="false">IF(AND(ISNUMBER(Z183),ISNUMBER(Z178)),IFERROR(Z183/Z178,""),"")</f>
        <v>0.0565548457059337</v>
      </c>
      <c r="AA174" s="42" t="n">
        <f aca="false">IF(AND(ISNUMBER(AA183),ISNUMBER(AA178)),IFERROR(AA183/AA178,""),"")</f>
        <v>0.0583480554681639</v>
      </c>
      <c r="AB174" s="42" t="n">
        <f aca="false">IF(AND(ISNUMBER(AB183),ISNUMBER(AB178)),IFERROR(AB183/AB178,""),"")</f>
        <v>0.0584603974434483</v>
      </c>
      <c r="AC174" s="42" t="n">
        <f aca="false">IF(AND(ISNUMBER(AC183),ISNUMBER(AC178)),IFERROR(AC183/AC178,""),"")</f>
        <v>0.0577583755864095</v>
      </c>
      <c r="AD174" s="42" t="n">
        <f aca="false">IF(AND(ISNUMBER(AD183),ISNUMBER(AD178)),IFERROR(AD183/AD178,""),"")</f>
        <v>0.0635803790094396</v>
      </c>
      <c r="AE174" s="42" t="n">
        <f aca="false">IF(AND(ISNUMBER(AE183),ISNUMBER(AE178)),IFERROR(AE183/AE178,""),"")</f>
        <v>0.0628145717389858</v>
      </c>
      <c r="AF174" s="42" t="n">
        <f aca="false">IF(AND(ISNUMBER(AF183),ISNUMBER(AF178)),IFERROR(AF183/AF178,""),"")</f>
        <v>0.0616580539728811</v>
      </c>
      <c r="AG174" s="42" t="n">
        <f aca="false">IF(AND(ISNUMBER(AG183),ISNUMBER(AG178)),IFERROR(AG183/AG178,""),"")</f>
        <v>0.0587726370017893</v>
      </c>
      <c r="AH174" s="42" t="n">
        <f aca="false">IF(AND(ISNUMBER(AH183),ISNUMBER(AH178)),IFERROR(AH183/AH178,""),"")</f>
        <v>0.0615831137443602</v>
      </c>
      <c r="AI174" s="42" t="n">
        <f aca="false">IF(AND(ISNUMBER(AI183),ISNUMBER(AI178)),IFERROR(AI183/AI178,""),"")</f>
        <v>0.0636154534224986</v>
      </c>
      <c r="AJ174" s="42" t="n">
        <f aca="false">IF(AND(ISNUMBER(AJ183),ISNUMBER(AJ178)),IFERROR(AJ183/AJ178,""),"")</f>
        <v>0.0625777956233688</v>
      </c>
      <c r="AK174" s="42" t="n">
        <f aca="false">IF(AND(ISNUMBER(AK183),ISNUMBER(AK178)),IFERROR(AK183/AK178,""),"")</f>
        <v>0.0620634233788712</v>
      </c>
      <c r="AL174" s="42" t="n">
        <f aca="false">IF(AND(ISNUMBER(AL183),ISNUMBER(AL178)),IFERROR(AL183/AL178,""),"")</f>
        <v>0.0599413617113693</v>
      </c>
      <c r="AM174" s="42" t="n">
        <f aca="false">IF(AND(ISNUMBER(AM183),ISNUMBER(AM178)),IFERROR(AM183/AM178,""),"")</f>
        <v>0.0621286330175675</v>
      </c>
      <c r="AN174" s="42" t="n">
        <f aca="false">IF(AND(ISNUMBER(AN183),ISNUMBER(AN178)),IFERROR(AN183/AN178,""),"")</f>
        <v>0.0633856215345244</v>
      </c>
      <c r="AO174" s="42" t="n">
        <f aca="false">IF(AND(ISNUMBER(AO183),ISNUMBER(AO178)),IFERROR(AO183/AO178,""),"")</f>
        <v>0.0634717066036675</v>
      </c>
      <c r="AP174" s="42" t="n">
        <f aca="false">IF(AND(ISNUMBER(AP183),ISNUMBER(AP178)),IFERROR(AP183/AP178,""),"")</f>
        <v>0.0645500228414801</v>
      </c>
      <c r="AQ174" s="42" t="n">
        <f aca="false">IF(AND(ISNUMBER(AQ183),ISNUMBER(AQ178)),IFERROR(AQ183/AQ178,""),"")</f>
        <v>0.0603483690740284</v>
      </c>
      <c r="AR174" s="42" t="n">
        <f aca="false">IF(AND(ISNUMBER(AR183),ISNUMBER(AR178)),IFERROR(AR183/AR178,""),"")</f>
        <v>0.0628660439615657</v>
      </c>
      <c r="AS174" s="42" t="n">
        <f aca="false">IF(AND(ISNUMBER(AS183),ISNUMBER(AS178)),IFERROR(AS183/AS178,""),"")</f>
        <v>0.0660818309502429</v>
      </c>
      <c r="AT174" s="42" t="n">
        <f aca="false">IF(AND(ISNUMBER(AT183),ISNUMBER(AT178)),IFERROR(AT183/AT178,""),"")</f>
        <v>0.060897798920225</v>
      </c>
      <c r="AU174" s="42" t="n">
        <f aca="false">IF(AND(ISNUMBER(AU183),ISNUMBER(AU178)),IFERROR(AU183/AU178,""),"")</f>
        <v>0.0582336143595322</v>
      </c>
      <c r="AV174" s="42" t="n">
        <f aca="false">IF(AND(ISNUMBER(AV183),ISNUMBER(AV178)),IFERROR(AV183/AV178,""),"")</f>
        <v>0.0585798816568047</v>
      </c>
      <c r="AW174" s="42" t="n">
        <f aca="false">IF(AND(ISNUMBER(AW183),ISNUMBER(AW178)),IFERROR(AW183/AW178,""),"")</f>
        <v>0.0604918327050799</v>
      </c>
      <c r="AX174" s="42" t="n">
        <f aca="false">IF(AND(ISNUMBER(AX183),ISNUMBER(AX178)),IFERROR(AX183/AX178,""),"")</f>
        <v>0.0554097404491105</v>
      </c>
      <c r="AY174" s="42" t="n">
        <f aca="false">IF(AND(ISNUMBER(AY183),ISNUMBER(AY178)),IFERROR(AY183/AY178,""),"")</f>
        <v>0.0590191188694929</v>
      </c>
      <c r="AZ174" s="42" t="n">
        <f aca="false">IF(AND(ISNUMBER(AZ183),ISNUMBER(AZ178)),IFERROR(AZ183/AZ178,""),"")</f>
        <v>0.0610042882833034</v>
      </c>
      <c r="BA174" s="42" t="n">
        <f aca="false">IF(AND(ISNUMBER(BA183),ISNUMBER(BA178)),IFERROR(BA183/BA178,""),"")</f>
        <v>0.0607511045655376</v>
      </c>
      <c r="BB174" s="42" t="n">
        <f aca="false">IF(AND(ISNUMBER(BB183),ISNUMBER(BB178)),IFERROR(BB183/BB178,""),"")</f>
        <v>0.0591450785998031</v>
      </c>
      <c r="BC174" s="42" t="n">
        <f aca="false">IF(AND(ISNUMBER(BC183),ISNUMBER(BC178)),IFERROR(BC183/BC178,""),"")</f>
        <v>0.0573621227887617</v>
      </c>
      <c r="BD174" s="42" t="n">
        <f aca="false">IF(AND(ISNUMBER(BD183),ISNUMBER(BD178)),IFERROR(BD183/BD178,""),"")</f>
        <v>0.0556057282931235</v>
      </c>
      <c r="BE174" s="42" t="n">
        <f aca="false">IF(AND(ISNUMBER(BE183),ISNUMBER(BE178)),IFERROR(BE183/BE178,""),"")</f>
        <v>0.0548088216103354</v>
      </c>
      <c r="BF174" s="42" t="n">
        <f aca="false">IF(AND(ISNUMBER(BF183),ISNUMBER(BF178)),IFERROR(BF183/BF178,""),"")</f>
        <v>0.0560695262125035</v>
      </c>
      <c r="BG174" s="42" t="n">
        <f aca="false">IF(AND(ISNUMBER(BG183),ISNUMBER(BG178)),IFERROR(BG183/BG178,""),"")</f>
        <v>0.057350898922794</v>
      </c>
      <c r="BH174" s="42" t="n">
        <f aca="false">IF(AND(ISNUMBER(BH183),ISNUMBER(BH178)),IFERROR(BH183/BH178,""),"")</f>
        <v>0.0626996133804001</v>
      </c>
      <c r="BI174" s="42" t="n">
        <f aca="false">IF(AND(ISNUMBER(BI183),ISNUMBER(BI178)),IFERROR(BI183/BI178,""),"")</f>
        <v>0.0610622462787551</v>
      </c>
      <c r="BJ174" s="42" t="n">
        <f aca="false">IF(AND(ISNUMBER(BJ183),ISNUMBER(BJ178)),IFERROR(BJ183/BJ178,""),"")</f>
        <v>0.0643669985775249</v>
      </c>
      <c r="BK174" s="42" t="n">
        <f aca="false">IF(AND(ISNUMBER(BK183),ISNUMBER(BK178)),IFERROR(BK183/BK178,""),"")</f>
        <v>0.063544106167057</v>
      </c>
      <c r="BL174" s="42" t="n">
        <f aca="false">IF(AND(ISNUMBER(BL183),ISNUMBER(BL178)),IFERROR(BL183/BL178,""),"")</f>
        <v>0.0629133528673085</v>
      </c>
      <c r="BM174" s="42" t="n">
        <f aca="false">IF(AND(ISNUMBER(BM183),ISNUMBER(BM178)),IFERROR(BM183/BM178,""),"")</f>
        <v>0.0634920634920635</v>
      </c>
      <c r="BN174" s="42" t="n">
        <f aca="false">IF(AND(ISNUMBER(BN183),ISNUMBER(BN178)),IFERROR(BN183/BN178,""),"")</f>
        <v>0.0680828835103605</v>
      </c>
      <c r="BO174" s="42" t="n">
        <f aca="false">IF(AND(ISNUMBER(BO183),ISNUMBER(BO178)),IFERROR(BO183/BO178,""),"")</f>
        <v>0.0660572611245257</v>
      </c>
      <c r="BP174" s="42" t="n">
        <f aca="false">IF(AND(ISNUMBER(BP183),ISNUMBER(BP178)),IFERROR(BP183/BP178,""),"")</f>
        <v>0.0676047721015601</v>
      </c>
      <c r="BQ174" s="42" t="n">
        <f aca="false">IF(AND(ISNUMBER(BQ183),ISNUMBER(BQ178)),IFERROR(BQ183/BQ178,""),"")</f>
        <v>0.0663455497382199</v>
      </c>
      <c r="BR174" s="42" t="n">
        <f aca="false">IF(AND(ISNUMBER(BR183),ISNUMBER(BR178)),IFERROR(BR183/BR178,""),"")</f>
        <v>0.0660163734541021</v>
      </c>
      <c r="BS174" s="42" t="n">
        <f aca="false">IF(AND(ISNUMBER(BS183),ISNUMBER(BS178)),IFERROR(BS183/BS178,""),"")</f>
        <v>0.0678908355795148</v>
      </c>
      <c r="BT174" s="42" t="n">
        <f aca="false">IF(AND(ISNUMBER(BT183),ISNUMBER(BT178)),IFERROR(BT183/BT178,""),"")</f>
        <v>0.0624483727077482</v>
      </c>
      <c r="BU174" s="42" t="n">
        <f aca="false">IF(AND(ISNUMBER(BU183),ISNUMBER(BU178)),IFERROR(BU183/BU178,""),"")</f>
        <v>0.0640538169055279</v>
      </c>
      <c r="BV174" s="42" t="n">
        <f aca="false">IF(AND(ISNUMBER(BV183),ISNUMBER(BV178)),IFERROR(BV183/BV178,""),"")</f>
        <v>0.0650439596222729</v>
      </c>
      <c r="BW174" s="42" t="n">
        <f aca="false">IF(AND(ISNUMBER(BW183),ISNUMBER(BW178)),IFERROR(BW183/BW178,""),"")</f>
        <v>0.0650310872122332</v>
      </c>
      <c r="BX174" s="42" t="n">
        <f aca="false">IF(AND(ISNUMBER(BX183),ISNUMBER(BX178)),IFERROR(BX183/BX178,""),"")</f>
        <v>0.0657621707901038</v>
      </c>
      <c r="BY174" s="26" t="n">
        <f aca="false">IFERROR((BW183+BX183)/(BW178+BX178),"")</f>
        <v>0.0654060248853962</v>
      </c>
      <c r="BZ174" s="26" t="n">
        <f aca="false">IFERROR((BW183+BX183)/(BW178+BX178),"")</f>
        <v>0.0654060248853962</v>
      </c>
      <c r="CA174" s="26" t="n">
        <f aca="false">IF(AND(ISNUMBER(CA183),ISNUMBER(CA178)),IFERROR(CA183/CA178,""),"")</f>
        <v>0.0654060248853962</v>
      </c>
      <c r="CB174" s="35" t="n">
        <v>0.065</v>
      </c>
      <c r="CC174" s="35" t="n">
        <v>0.065</v>
      </c>
      <c r="CD174" s="35" t="n">
        <v>0.065</v>
      </c>
      <c r="CE174" s="35" t="n">
        <v>0.065</v>
      </c>
      <c r="CF174" s="7"/>
      <c r="CH174" s="32" t="n">
        <f aca="false">IFERROR(AVERAGE(CA174,CB174,CC174,CD174,CE174),"n/m")</f>
        <v>0.0650812049770792</v>
      </c>
      <c r="CI174" s="32" t="n">
        <f aca="false">IFERROR(AVERAGE(BB174,BG174,BL174,BQ174,BV174),"n/m")</f>
        <v>0.0621597679500797</v>
      </c>
      <c r="CJ174" s="32" t="n">
        <f aca="false">IFERROR(AVERAGE(AC174,AH174,AM174,AR174,AW174,BB174,BG174,BL174,BQ174,BV174),"n/m")</f>
        <v>0.0615626838765381</v>
      </c>
      <c r="CK174" s="32" t="n">
        <f aca="false">IFERROR(AVERAGE(C174,D174,E174,F174,G174,H174,I174,N174,S174,X174,AC174,AH174,AM174,AR174,AW174,BB174,BG174,BL174,BQ174,BV174),"n/m")</f>
        <v>0.0601549639627877</v>
      </c>
    </row>
    <row r="175" customFormat="false" ht="15" hidden="false" customHeight="true" outlineLevel="0" collapsed="false">
      <c r="B175" s="27" t="s">
        <v>314</v>
      </c>
      <c r="C175" s="42" t="n">
        <f aca="false">IF(AND(ISNUMBER(C206),ISNUMBER(C178)),IFERROR(C206/C178,""),"")</f>
        <v>0.00709901649042372</v>
      </c>
      <c r="D175" s="42" t="n">
        <f aca="false">IF(AND(ISNUMBER(D206),ISNUMBER(D178)),IFERROR(D206/D178,""),"")</f>
        <v>0.00664798338457632</v>
      </c>
      <c r="E175" s="42" t="n">
        <f aca="false">IF(AND(ISNUMBER(E206),ISNUMBER(E178)),IFERROR(E206/E178,""),"")</f>
        <v>0.00677298680842686</v>
      </c>
      <c r="F175" s="42" t="n">
        <f aca="false">IF(AND(ISNUMBER(F206),ISNUMBER(F178)),IFERROR(F206/F178,""),"")</f>
        <v>0.00780516589330258</v>
      </c>
      <c r="G175" s="42" t="n">
        <f aca="false">IF(AND(ISNUMBER(G206),ISNUMBER(G178)),IFERROR(G206/G178,""),"")</f>
        <v>0.0070199203187251</v>
      </c>
      <c r="H175" s="42" t="n">
        <f aca="false">IF(AND(ISNUMBER(H206),ISNUMBER(H178)),IFERROR(H206/H178,""),"")</f>
        <v>0.00594139399024269</v>
      </c>
      <c r="I175" s="42" t="n">
        <f aca="false">IF(AND(ISNUMBER(I206),ISNUMBER(I178)),IFERROR(I206/I178,""),"")</f>
        <v>0.00601848809445576</v>
      </c>
      <c r="J175" s="42" t="n">
        <f aca="false">IF(AND(ISNUMBER(J206),ISNUMBER(J178)),IFERROR(J206/J178,""),"")</f>
        <v>0.00625464035817941</v>
      </c>
      <c r="K175" s="42" t="n">
        <f aca="false">IF(AND(ISNUMBER(K206),ISNUMBER(K178)),IFERROR(K206/K178,""),"")</f>
        <v>0.00597361477572559</v>
      </c>
      <c r="L175" s="42" t="n">
        <f aca="false">IF(AND(ISNUMBER(L206),ISNUMBER(L178)),IFERROR(L206/L178,""),"")</f>
        <v>0.0063395515195648</v>
      </c>
      <c r="M175" s="42" t="n">
        <f aca="false">IF(AND(ISNUMBER(M206),ISNUMBER(M178)),IFERROR(M206/M178,""),"")</f>
        <v>0.00607591091195625</v>
      </c>
      <c r="N175" s="42" t="n">
        <f aca="false">IF(AND(ISNUMBER(N206),ISNUMBER(N178)),IFERROR(N206/N178,""),"")</f>
        <v>0.00615650172612198</v>
      </c>
      <c r="O175" s="42" t="n">
        <f aca="false">IF(AND(ISNUMBER(O206),ISNUMBER(O178)),IFERROR(O206/O178,""),"")</f>
        <v>0.00621957235078388</v>
      </c>
      <c r="P175" s="42" t="n">
        <f aca="false">IF(AND(ISNUMBER(P206),ISNUMBER(P178)),IFERROR(P206/P178,""),"")</f>
        <v>0.00523813361270046</v>
      </c>
      <c r="Q175" s="42" t="n">
        <f aca="false">IF(AND(ISNUMBER(Q206),ISNUMBER(Q178)),IFERROR(Q206/Q178,""),"")</f>
        <v>0.00720188651186506</v>
      </c>
      <c r="R175" s="42" t="n">
        <f aca="false">IF(AND(ISNUMBER(R206),ISNUMBER(R178)),IFERROR(R206/R178,""),"")</f>
        <v>0.00616362313847096</v>
      </c>
      <c r="S175" s="42" t="n">
        <f aca="false">IF(AND(ISNUMBER(S206),ISNUMBER(S178)),IFERROR(S206/S178,""),"")</f>
        <v>0.00632243917719536</v>
      </c>
      <c r="T175" s="42" t="n">
        <f aca="false">IF(AND(ISNUMBER(T206),ISNUMBER(T178)),IFERROR(T206/T178,""),"")</f>
        <v>0.00668839329456621</v>
      </c>
      <c r="U175" s="42" t="n">
        <f aca="false">IF(AND(ISNUMBER(U206),ISNUMBER(U178)),IFERROR(U206/U178,""),"")</f>
        <v>0.00592718035563082</v>
      </c>
      <c r="V175" s="42" t="n">
        <f aca="false">IF(AND(ISNUMBER(V206),ISNUMBER(V178)),IFERROR(V206/V178,""),"")</f>
        <v>0.0115027618017197</v>
      </c>
      <c r="W175" s="42" t="n">
        <f aca="false">IF(AND(ISNUMBER(W206),ISNUMBER(W178)),IFERROR(W206/W178,""),"")</f>
        <v>0.00874392782789729</v>
      </c>
      <c r="X175" s="42" t="n">
        <f aca="false">IF(AND(ISNUMBER(X206),ISNUMBER(X178)),IFERROR(X206/X178,""),"")</f>
        <v>0.00963024034031468</v>
      </c>
      <c r="Y175" s="42" t="n">
        <f aca="false">IF(AND(ISNUMBER(Y206),ISNUMBER(Y178)),IFERROR(Y206/Y178,""),"")</f>
        <v>0.0104737392013455</v>
      </c>
      <c r="Z175" s="42" t="n">
        <f aca="false">IF(AND(ISNUMBER(Z206),ISNUMBER(Z178)),IFERROR(Z206/Z178,""),"")</f>
        <v>0.0108913458591669</v>
      </c>
      <c r="AA175" s="42" t="n">
        <f aca="false">IF(AND(ISNUMBER(AA206),ISNUMBER(AA178)),IFERROR(AA206/AA178,""),"")</f>
        <v>0.00217806926260255</v>
      </c>
      <c r="AB175" s="42" t="n">
        <f aca="false">IF(AND(ISNUMBER(AB206),ISNUMBER(AB178)),IFERROR(AB206/AB178,""),"")</f>
        <v>0.00730754968043104</v>
      </c>
      <c r="AC175" s="42" t="n">
        <f aca="false">IF(AND(ISNUMBER(AC206),ISNUMBER(AC178)),IFERROR(AC206/AC178,""),"")</f>
        <v>0.00768848031085628</v>
      </c>
      <c r="AD175" s="42" t="n">
        <f aca="false">IF(AND(ISNUMBER(AD206),ISNUMBER(AD178)),IFERROR(AD206/AD178,""),"")</f>
        <v>0.00798915757186675</v>
      </c>
      <c r="AE175" s="42" t="n">
        <f aca="false">IF(AND(ISNUMBER(AE206),ISNUMBER(AE178)),IFERROR(AE206/AE178,""),"")</f>
        <v>0.00838118888716436</v>
      </c>
      <c r="AF175" s="42" t="n">
        <f aca="false">IF(AND(ISNUMBER(AF206),ISNUMBER(AF178)),IFERROR(AF206/AF178,""),"")</f>
        <v>0.00737599929331743</v>
      </c>
      <c r="AG175" s="42" t="n">
        <f aca="false">IF(AND(ISNUMBER(AG206),ISNUMBER(AG178)),IFERROR(AG206/AG178,""),"")</f>
        <v>0.00680338989716263</v>
      </c>
      <c r="AH175" s="42" t="n">
        <f aca="false">IF(AND(ISNUMBER(AH206),ISNUMBER(AH178)),IFERROR(AH206/AH178,""),"")</f>
        <v>0.00760514356481557</v>
      </c>
      <c r="AI175" s="42" t="n">
        <f aca="false">IF(AND(ISNUMBER(AI206),ISNUMBER(AI178)),IFERROR(AI206/AI178,""),"")</f>
        <v>0.00709204753588619</v>
      </c>
      <c r="AJ175" s="42" t="n">
        <f aca="false">IF(AND(ISNUMBER(AJ206),ISNUMBER(AJ178)),IFERROR(AJ206/AJ178,""),"")</f>
        <v>0.0080505922505521</v>
      </c>
      <c r="AK175" s="42" t="n">
        <f aca="false">IF(AND(ISNUMBER(AK206),ISNUMBER(AK178)),IFERROR(AK206/AK178,""),"")</f>
        <v>0.00787125754672271</v>
      </c>
      <c r="AL175" s="42" t="n">
        <f aca="false">IF(AND(ISNUMBER(AL206),ISNUMBER(AL178)),IFERROR(AL206/AL178,""),"")</f>
        <v>0.00864371810185688</v>
      </c>
      <c r="AM175" s="42" t="n">
        <f aca="false">IF(AND(ISNUMBER(AM206),ISNUMBER(AM178)),IFERROR(AM206/AM178,""),"")</f>
        <v>0.00888054667566062</v>
      </c>
      <c r="AN175" s="42" t="n">
        <f aca="false">IF(AND(ISNUMBER(AN206),ISNUMBER(AN178)),IFERROR(AN206/AN178,""),"")</f>
        <v>0.0092886593052462</v>
      </c>
      <c r="AO175" s="42" t="n">
        <f aca="false">IF(AND(ISNUMBER(AO206),ISNUMBER(AO178)),IFERROR(AO206/AO178,""),"")</f>
        <v>0.0103948700641242</v>
      </c>
      <c r="AP175" s="42" t="n">
        <f aca="false">IF(AND(ISNUMBER(AP206),ISNUMBER(AP178)),IFERROR(AP206/AP178,""),"")</f>
        <v>0.0101873001370489</v>
      </c>
      <c r="AQ175" s="42" t="n">
        <f aca="false">IF(AND(ISNUMBER(AQ206),ISNUMBER(AQ178)),IFERROR(AQ206/AQ178,""),"")</f>
        <v>0.00591570125708652</v>
      </c>
      <c r="AR175" s="42" t="n">
        <f aca="false">IF(AND(ISNUMBER(AR206),ISNUMBER(AR178)),IFERROR(AR206/AR178,""),"")</f>
        <v>0.00886601046278565</v>
      </c>
      <c r="AS175" s="42" t="n">
        <f aca="false">IF(AND(ISNUMBER(AS206),ISNUMBER(AS178)),IFERROR(AS206/AS178,""),"")</f>
        <v>0.0104073127489581</v>
      </c>
      <c r="AT175" s="42" t="n">
        <f aca="false">IF(AND(ISNUMBER(AT206),ISNUMBER(AT178)),IFERROR(AT206/AT178,""),"")</f>
        <v>0.00879676822592215</v>
      </c>
      <c r="AU175" s="42" t="n">
        <f aca="false">IF(AND(ISNUMBER(AU206),ISNUMBER(AU178)),IFERROR(AU206/AU178,""),"")</f>
        <v>0.00769989121566494</v>
      </c>
      <c r="AV175" s="42" t="n">
        <f aca="false">IF(AND(ISNUMBER(AV206),ISNUMBER(AV178)),IFERROR(AV206/AV178,""),"")</f>
        <v>0.00738165680473373</v>
      </c>
      <c r="AW175" s="42" t="n">
        <f aca="false">IF(AND(ISNUMBER(AW206),ISNUMBER(AW178)),IFERROR(AW206/AW178,""),"")</f>
        <v>0.00839167115419135</v>
      </c>
      <c r="AX175" s="42" t="n">
        <f aca="false">IF(AND(ISNUMBER(AX206),ISNUMBER(AX178)),IFERROR(AX206/AX178,""),"")</f>
        <v>0.0078740157480315</v>
      </c>
      <c r="AY175" s="42" t="n">
        <f aca="false">IF(AND(ISNUMBER(AY206),ISNUMBER(AY178)),IFERROR(AY206/AY178,""),"")</f>
        <v>0.00734275422554724</v>
      </c>
      <c r="AZ175" s="42" t="n">
        <f aca="false">IF(AND(ISNUMBER(AZ206),ISNUMBER(AZ178)),IFERROR(AZ206/AZ178,""),"")</f>
        <v>0.00719324941209019</v>
      </c>
      <c r="BA175" s="42" t="n">
        <f aca="false">IF(AND(ISNUMBER(BA206),ISNUMBER(BA178)),IFERROR(BA206/BA178,""),"")</f>
        <v>0.00724104074619539</v>
      </c>
      <c r="BB175" s="42" t="n">
        <f aca="false">IF(AND(ISNUMBER(BB206),ISNUMBER(BB178)),IFERROR(BB206/BB178,""),"")</f>
        <v>0.00740162292465963</v>
      </c>
      <c r="BC175" s="42" t="n">
        <f aca="false">IF(AND(ISNUMBER(BC206),ISNUMBER(BC178)),IFERROR(BC206/BC178,""),"")</f>
        <v>0.0104058272632674</v>
      </c>
      <c r="BD175" s="42" t="n">
        <f aca="false">IF(AND(ISNUMBER(BD206),ISNUMBER(BD178)),IFERROR(BD206/BD178,""),"")</f>
        <v>0.0130305766997807</v>
      </c>
      <c r="BE175" s="42" t="n">
        <f aca="false">IF(AND(ISNUMBER(BE206),ISNUMBER(BE178)),IFERROR(BE206/BE178,""),"")</f>
        <v>0.0116142502936187</v>
      </c>
      <c r="BF175" s="42" t="n">
        <f aca="false">IF(AND(ISNUMBER(BF206),ISNUMBER(BF178)),IFERROR(BF206/BF178,""),"")</f>
        <v>0.00925147182506308</v>
      </c>
      <c r="BG175" s="42" t="n">
        <f aca="false">IF(AND(ISNUMBER(BG206),ISNUMBER(BG178)),IFERROR(BG206/BG178,""),"")</f>
        <v>0.0126111924332845</v>
      </c>
      <c r="BH175" s="42" t="n">
        <f aca="false">IF(AND(ISNUMBER(BH206),ISNUMBER(BH178)),IFERROR(BH206/BH178,""),"")</f>
        <v>0.0132795427802992</v>
      </c>
      <c r="BI175" s="42" t="n">
        <f aca="false">IF(AND(ISNUMBER(BI206),ISNUMBER(BI178)),IFERROR(BI206/BI178,""),"")</f>
        <v>0.0184370771312585</v>
      </c>
      <c r="BJ175" s="42" t="n">
        <f aca="false">IF(AND(ISNUMBER(BJ206),ISNUMBER(BJ178)),IFERROR(BJ206/BJ178,""),"")</f>
        <v>0.0163584637268848</v>
      </c>
      <c r="BK175" s="42" t="n">
        <f aca="false">IF(AND(ISNUMBER(BK206),ISNUMBER(BK178)),IFERROR(BK206/BK178,""),"")</f>
        <v>0.00405932864949258</v>
      </c>
      <c r="BL175" s="42" t="n">
        <f aca="false">IF(AND(ISNUMBER(BL206),ISNUMBER(BL178)),IFERROR(BL206/BL178,""),"")</f>
        <v>0.0128087065717874</v>
      </c>
      <c r="BM175" s="42" t="n">
        <f aca="false">IF(AND(ISNUMBER(BM206),ISNUMBER(BM178)),IFERROR(BM206/BM178,""),"")</f>
        <v>0.010351966873706</v>
      </c>
      <c r="BN175" s="42" t="n">
        <f aca="false">IF(AND(ISNUMBER(BN206),ISNUMBER(BN178)),IFERROR(BN206/BN178,""),"")</f>
        <v>0.0151488768936096</v>
      </c>
      <c r="BO175" s="42" t="n">
        <f aca="false">IF(AND(ISNUMBER(BO206),ISNUMBER(BO178)),IFERROR(BO206/BO178,""),"")</f>
        <v>0.0144877543980683</v>
      </c>
      <c r="BP175" s="42" t="n">
        <f aca="false">IF(AND(ISNUMBER(BP206),ISNUMBER(BP178)),IFERROR(BP206/BP178,""),"")</f>
        <v>0.00871826246558581</v>
      </c>
      <c r="BQ175" s="42" t="n">
        <f aca="false">IF(AND(ISNUMBER(BQ206),ISNUMBER(BQ178)),IFERROR(BQ206/BQ178,""),"")</f>
        <v>0.0120628272251309</v>
      </c>
      <c r="BR175" s="42" t="n">
        <f aca="false">IF(AND(ISNUMBER(BR206),ISNUMBER(BR178)),IFERROR(BR206/BR178,""),"")</f>
        <v>0.0106253265981536</v>
      </c>
      <c r="BS175" s="42" t="n">
        <f aca="false">IF(AND(ISNUMBER(BS206),ISNUMBER(BS178)),IFERROR(BS206/BS178,""),"")</f>
        <v>0.0153301886792453</v>
      </c>
      <c r="BT175" s="42" t="n">
        <f aca="false">IF(AND(ISNUMBER(BT206),ISNUMBER(BT178)),IFERROR(BT206/BT178,""),"")</f>
        <v>0.0137122088220717</v>
      </c>
      <c r="BU175" s="42" t="n">
        <f aca="false">IF(AND(ISNUMBER(BU206),ISNUMBER(BU178)),IFERROR(BU206/BU178,""),"")</f>
        <v>0.00921322023983621</v>
      </c>
      <c r="BV175" s="42" t="n">
        <f aca="false">IF(AND(ISNUMBER(BV206),ISNUMBER(BV178)),IFERROR(BV206/BV178,""),"")</f>
        <v>0.0121295994789971</v>
      </c>
      <c r="BW175" s="42" t="n">
        <f aca="false">IF(AND(ISNUMBER(BW206),ISNUMBER(BW178)),IFERROR(BW206/BW178,""),"")</f>
        <v>0.00974626113258276</v>
      </c>
      <c r="BX175" s="42" t="n">
        <f aca="false">IF(AND(ISNUMBER(BX206),ISNUMBER(BX178)),IFERROR(BX206/BX178,""),"")</f>
        <v>0.0148443735035914</v>
      </c>
      <c r="BY175" s="26" t="n">
        <f aca="false">IFERROR((BW206+BX206)/(BW178+BX178),"")</f>
        <v>0.0123608382449247</v>
      </c>
      <c r="BZ175" s="26" t="n">
        <f aca="false">IFERROR((BW206+BX206)/(BW178+BX178),"")</f>
        <v>0.0123608382449247</v>
      </c>
      <c r="CA175" s="26" t="n">
        <f aca="false">IF(AND(ISNUMBER(CA206),ISNUMBER(CA178)),IFERROR(CA206/CA178,""),"")</f>
        <v>0.0123608382449247</v>
      </c>
      <c r="CB175" s="35" t="n">
        <v>0.012</v>
      </c>
      <c r="CC175" s="35" t="n">
        <v>0.012</v>
      </c>
      <c r="CD175" s="35" t="n">
        <v>0.012</v>
      </c>
      <c r="CE175" s="35" t="n">
        <v>0.012</v>
      </c>
      <c r="CF175" s="7"/>
      <c r="CH175" s="32" t="n">
        <f aca="false">IFERROR(AVERAGE(CA175,CB175,CC175,CD175,CE175),"n/m")</f>
        <v>0.0120721676489849</v>
      </c>
      <c r="CI175" s="32" t="n">
        <f aca="false">IFERROR(AVERAGE(BB175,BG175,BL175,BQ175,BV175),"n/m")</f>
        <v>0.0114027897267719</v>
      </c>
      <c r="CJ175" s="32" t="n">
        <f aca="false">IFERROR(AVERAGE(AC175,AH175,AM175,AR175,AW175,BB175,BG175,BL175,BQ175,BV175),"n/m")</f>
        <v>0.00984458008021689</v>
      </c>
      <c r="CK175" s="32" t="n">
        <f aca="false">IFERROR(AVERAGE(C175,D175,E175,F175,G175,H175,I175,N175,S175,X175,AC175,AH175,AM175,AR175,AW175,BB175,BG175,BL175,BQ175,BV175),"n/m")</f>
        <v>0.0083929968512977</v>
      </c>
    </row>
    <row r="176" customFormat="false" ht="15" hidden="false" customHeight="true" outlineLevel="0" collapsed="false"/>
    <row r="177" customFormat="false" ht="15" hidden="false" customHeight="true" outlineLevel="0" collapsed="false">
      <c r="B177" s="12" t="s">
        <v>315</v>
      </c>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t="s">
        <v>316</v>
      </c>
    </row>
    <row r="178" customFormat="false" ht="15" hidden="false" customHeight="true" outlineLevel="0" collapsed="false">
      <c r="B178" s="62" t="s">
        <v>317</v>
      </c>
      <c r="C178" s="73" t="n">
        <v>9466.1</v>
      </c>
      <c r="D178" s="73" t="n">
        <v>11025.9</v>
      </c>
      <c r="E178" s="73" t="n">
        <v>12697.5</v>
      </c>
      <c r="F178" s="73" t="n">
        <v>11184.9</v>
      </c>
      <c r="G178" s="73" t="n">
        <v>12550</v>
      </c>
      <c r="H178" s="73" t="n">
        <v>16090.5</v>
      </c>
      <c r="I178" s="73" t="n">
        <v>18260.4</v>
      </c>
      <c r="J178" s="73" t="n">
        <v>4444.7</v>
      </c>
      <c r="K178" s="73" t="n">
        <v>4737.5</v>
      </c>
      <c r="L178" s="73" t="n">
        <v>4669.1</v>
      </c>
      <c r="M178" s="73" t="n">
        <v>5266.7</v>
      </c>
      <c r="N178" s="73" t="n">
        <v>19118</v>
      </c>
      <c r="O178" s="73" t="n">
        <v>4662.7</v>
      </c>
      <c r="P178" s="73" t="n">
        <v>4963.6</v>
      </c>
      <c r="Q178" s="73" t="n">
        <v>4707.1</v>
      </c>
      <c r="R178" s="73" t="n">
        <v>5224.2</v>
      </c>
      <c r="S178" s="73" t="n">
        <v>19154</v>
      </c>
      <c r="T178" s="73" t="n">
        <v>4694.7</v>
      </c>
      <c r="U178" s="73" t="n">
        <v>4960.2</v>
      </c>
      <c r="V178" s="73" t="n">
        <v>3512.2</v>
      </c>
      <c r="W178" s="73" t="n">
        <v>4323</v>
      </c>
      <c r="X178" s="73" t="n">
        <v>14433.7</v>
      </c>
      <c r="Y178" s="73" t="n">
        <v>3924.1</v>
      </c>
      <c r="Z178" s="73" t="n">
        <v>4241.9</v>
      </c>
      <c r="AA178" s="73" t="n">
        <v>4132.1</v>
      </c>
      <c r="AB178" s="73" t="n">
        <v>4584.3</v>
      </c>
      <c r="AC178" s="73" t="n">
        <v>16882.4</v>
      </c>
      <c r="AD178" s="73" t="n">
        <v>4205.7</v>
      </c>
      <c r="AE178" s="73" t="n">
        <v>4510.1</v>
      </c>
      <c r="AF178" s="73" t="n">
        <v>4528.2</v>
      </c>
      <c r="AG178" s="73" t="n">
        <v>5085.7</v>
      </c>
      <c r="AH178" s="73" t="n">
        <v>18329.7</v>
      </c>
      <c r="AI178" s="73" t="n">
        <v>4695.4</v>
      </c>
      <c r="AJ178" s="73" t="n">
        <v>4981</v>
      </c>
      <c r="AK178" s="73" t="n">
        <v>4853.1</v>
      </c>
      <c r="AL178" s="73" t="n">
        <v>4604.5</v>
      </c>
      <c r="AM178" s="73" t="n">
        <v>17048.5</v>
      </c>
      <c r="AN178" s="73" t="n">
        <v>4220.2</v>
      </c>
      <c r="AO178" s="73" t="n">
        <v>4444.5</v>
      </c>
      <c r="AP178" s="73" t="n">
        <v>4378</v>
      </c>
      <c r="AQ178" s="73" t="n">
        <v>4868.4</v>
      </c>
      <c r="AR178" s="73" t="n">
        <v>17911.1</v>
      </c>
      <c r="AS178" s="73" t="n">
        <v>4343.1</v>
      </c>
      <c r="AT178" s="73" t="n">
        <v>5297.4</v>
      </c>
      <c r="AU178" s="73" t="n">
        <v>5883.2</v>
      </c>
      <c r="AV178" s="73" t="n">
        <v>6760</v>
      </c>
      <c r="AW178" s="73" t="n">
        <v>22284</v>
      </c>
      <c r="AX178" s="73" t="n">
        <v>6858</v>
      </c>
      <c r="AY178" s="73" t="n">
        <v>7218</v>
      </c>
      <c r="AZ178" s="73" t="n">
        <v>7229</v>
      </c>
      <c r="BA178" s="73" t="n">
        <v>8148</v>
      </c>
      <c r="BB178" s="73" t="n">
        <v>29453</v>
      </c>
      <c r="BC178" s="73" t="n">
        <v>7688</v>
      </c>
      <c r="BD178" s="73" t="n">
        <v>7751</v>
      </c>
      <c r="BE178" s="73" t="n">
        <v>7663</v>
      </c>
      <c r="BF178" s="73" t="n">
        <v>7134</v>
      </c>
      <c r="BG178" s="73" t="n">
        <v>26643</v>
      </c>
      <c r="BH178" s="73" t="n">
        <v>5949</v>
      </c>
      <c r="BI178" s="73" t="n">
        <v>5912</v>
      </c>
      <c r="BJ178" s="73" t="n">
        <v>5624</v>
      </c>
      <c r="BK178" s="73" t="n">
        <v>6405</v>
      </c>
      <c r="BL178" s="73" t="n">
        <v>23890</v>
      </c>
      <c r="BM178" s="73" t="n">
        <v>5796</v>
      </c>
      <c r="BN178" s="73" t="n">
        <v>5743</v>
      </c>
      <c r="BO178" s="73" t="n">
        <v>5798</v>
      </c>
      <c r="BP178" s="73" t="n">
        <v>6538</v>
      </c>
      <c r="BQ178" s="73" t="n">
        <v>23875</v>
      </c>
      <c r="BR178" s="73" t="n">
        <v>5741</v>
      </c>
      <c r="BS178" s="73" t="n">
        <v>5936</v>
      </c>
      <c r="BT178" s="73" t="n">
        <v>6053</v>
      </c>
      <c r="BU178" s="73" t="n">
        <v>6838</v>
      </c>
      <c r="BV178" s="73" t="n">
        <v>24568</v>
      </c>
      <c r="BW178" s="73" t="n">
        <v>5951</v>
      </c>
      <c r="BX178" s="73" t="n">
        <v>6265</v>
      </c>
      <c r="BY178" s="63" t="n">
        <f aca="false">BY116</f>
        <v>6617.85335156311</v>
      </c>
      <c r="BZ178" s="63" t="n">
        <f aca="false">BZ116</f>
        <v>7664.5656484369</v>
      </c>
      <c r="CA178" s="63" t="n">
        <f aca="false">SUM(BW178,BX178,BY178,BZ178)</f>
        <v>26498.419</v>
      </c>
      <c r="CB178" s="63" t="n">
        <f aca="false">CB116</f>
        <v>28985.7633607835</v>
      </c>
      <c r="CC178" s="63" t="n">
        <f aca="false">CC116</f>
        <v>30884.5660463841</v>
      </c>
      <c r="CD178" s="63" t="n">
        <f aca="false">CD116</f>
        <v>33073.0362207654</v>
      </c>
      <c r="CE178" s="63" t="n">
        <f aca="false">CE116</f>
        <v>35433.882949137</v>
      </c>
      <c r="CF178" s="7" t="s">
        <v>318</v>
      </c>
      <c r="CH178" s="22" t="n">
        <f aca="false">IFERROR((CE178/BV178)^(1/5)-1,"n/m")</f>
        <v>0.0759938487380838</v>
      </c>
      <c r="CI178" s="22" t="n">
        <f aca="false">IFERROR((BV178/AW178)^(1/5)-1,"n/m")</f>
        <v>0.0197068358958774</v>
      </c>
      <c r="CJ178" s="22" t="n">
        <f aca="false">IFERROR((BV178/X178)^(1/10)-1,"n/m")</f>
        <v>0.0546277945413589</v>
      </c>
      <c r="CK178" s="22" t="n">
        <f aca="false">IFERROR((BV178/C178)^(1/19)-1,"n/m")</f>
        <v>0.0514773753135021</v>
      </c>
    </row>
    <row r="179" customFormat="false" ht="15" hidden="false" customHeight="true" outlineLevel="0" collapsed="false">
      <c r="B179" s="27" t="s">
        <v>319</v>
      </c>
      <c r="C179" s="40" t="n">
        <v>5269</v>
      </c>
      <c r="D179" s="40" t="n">
        <v>5985</v>
      </c>
      <c r="E179" s="40" t="n">
        <v>6757.3</v>
      </c>
      <c r="F179" s="40" t="n">
        <v>5904.7</v>
      </c>
      <c r="G179" s="40" t="n">
        <v>6145.5</v>
      </c>
      <c r="H179" s="40" t="n">
        <v>7913.9</v>
      </c>
      <c r="I179" s="40" t="n">
        <v>8846.1</v>
      </c>
      <c r="J179" s="40" t="n">
        <v>2119</v>
      </c>
      <c r="K179" s="40" t="n">
        <v>2242</v>
      </c>
      <c r="L179" s="40" t="n">
        <v>2244.4</v>
      </c>
      <c r="M179" s="40" t="n">
        <v>2555</v>
      </c>
      <c r="N179" s="40" t="n">
        <v>9160.4</v>
      </c>
      <c r="O179" s="40" t="n">
        <v>2209.8</v>
      </c>
      <c r="P179" s="40" t="n">
        <v>2343.4</v>
      </c>
      <c r="Q179" s="40" t="n">
        <v>2254.8</v>
      </c>
      <c r="R179" s="40" t="n">
        <v>2561.7</v>
      </c>
      <c r="S179" s="40" t="n">
        <v>9261.4</v>
      </c>
      <c r="T179" s="40" t="n">
        <v>2226.5</v>
      </c>
      <c r="U179" s="40" t="n">
        <v>2316.2</v>
      </c>
      <c r="V179" s="40" t="n">
        <v>1618.8</v>
      </c>
      <c r="W179" s="40" t="n">
        <v>2065.8</v>
      </c>
      <c r="X179" s="40" t="n">
        <v>6662.6</v>
      </c>
      <c r="Y179" s="40" t="n">
        <v>1756.8</v>
      </c>
      <c r="Z179" s="40" t="n">
        <v>1860.6</v>
      </c>
      <c r="AA179" s="40" t="n">
        <v>1846.1</v>
      </c>
      <c r="AB179" s="40" t="n">
        <v>2084.3</v>
      </c>
      <c r="AC179" s="40" t="n">
        <v>7547.8</v>
      </c>
      <c r="AD179" s="40" t="n">
        <v>1871.4</v>
      </c>
      <c r="AE179" s="40" t="n">
        <v>2027.8</v>
      </c>
      <c r="AF179" s="40" t="n">
        <v>1991.4</v>
      </c>
      <c r="AG179" s="40" t="n">
        <v>2246.6</v>
      </c>
      <c r="AH179" s="40" t="n">
        <v>8137.2</v>
      </c>
      <c r="AI179" s="40" t="n">
        <v>2051.8</v>
      </c>
      <c r="AJ179" s="40" t="n">
        <v>2163.9</v>
      </c>
      <c r="AK179" s="40" t="n">
        <v>2162.6</v>
      </c>
      <c r="AL179" s="40" t="n">
        <v>2070.8</v>
      </c>
      <c r="AM179" s="40" t="n">
        <v>7543.2</v>
      </c>
      <c r="AN179" s="40" t="n">
        <v>1865.3</v>
      </c>
      <c r="AO179" s="40" t="n">
        <v>1960.7</v>
      </c>
      <c r="AP179" s="40" t="n">
        <v>1936.6</v>
      </c>
      <c r="AQ179" s="40" t="n">
        <v>2164.8</v>
      </c>
      <c r="AR179" s="40" t="n">
        <v>7927.4</v>
      </c>
      <c r="AS179" s="40" t="n">
        <v>1900.3</v>
      </c>
      <c r="AT179" s="40" t="n">
        <v>2444.8</v>
      </c>
      <c r="AU179" s="40" t="n">
        <v>2657.7</v>
      </c>
      <c r="AV179" s="40" t="n">
        <v>2806</v>
      </c>
      <c r="AW179" s="40" t="n">
        <v>9809</v>
      </c>
      <c r="AX179" s="40" t="n">
        <v>2605</v>
      </c>
      <c r="AY179" s="40" t="n">
        <v>2821</v>
      </c>
      <c r="AZ179" s="40" t="n">
        <v>2870</v>
      </c>
      <c r="BA179" s="40" t="n">
        <v>3205</v>
      </c>
      <c r="BB179" s="40" t="n">
        <v>11501</v>
      </c>
      <c r="BC179" s="40" t="n">
        <v>2983</v>
      </c>
      <c r="BD179" s="40" t="n">
        <v>3030</v>
      </c>
      <c r="BE179" s="40" t="n">
        <v>3079</v>
      </c>
      <c r="BF179" s="40" t="n">
        <v>2908</v>
      </c>
      <c r="BG179" s="40" t="n">
        <v>10455</v>
      </c>
      <c r="BH179" s="40" t="n">
        <v>2287</v>
      </c>
      <c r="BI179" s="40" t="n">
        <v>2594</v>
      </c>
      <c r="BJ179" s="40" t="n">
        <v>2349</v>
      </c>
      <c r="BK179" s="40" t="n">
        <v>2626</v>
      </c>
      <c r="BL179" s="40" t="n">
        <v>9856</v>
      </c>
      <c r="BM179" s="40" t="n">
        <v>2309</v>
      </c>
      <c r="BN179" s="40" t="n">
        <v>2315</v>
      </c>
      <c r="BO179" s="40" t="n">
        <v>2397</v>
      </c>
      <c r="BP179" s="40" t="n">
        <v>2648</v>
      </c>
      <c r="BQ179" s="40" t="n">
        <v>9669</v>
      </c>
      <c r="BR179" s="40" t="n">
        <v>2230</v>
      </c>
      <c r="BS179" s="40" t="n">
        <v>2413</v>
      </c>
      <c r="BT179" s="40" t="n">
        <v>2530</v>
      </c>
      <c r="BU179" s="40" t="n">
        <v>2872</v>
      </c>
      <c r="BV179" s="40" t="n">
        <v>10045</v>
      </c>
      <c r="BW179" s="40" t="n">
        <v>2360</v>
      </c>
      <c r="BX179" s="40" t="n">
        <v>2654</v>
      </c>
      <c r="BY179" s="41" t="n">
        <f aca="false">BY178-(BY185+BY182+BY183+N(BY184))</f>
        <v>2868.88379351515</v>
      </c>
      <c r="BZ179" s="41" t="n">
        <f aca="false">BZ178-(BZ185+BZ182+BZ183+N(BZ184))</f>
        <v>2951.69163846469</v>
      </c>
      <c r="CA179" s="41" t="n">
        <f aca="false">SUM(BW179,BX179,BY179,BZ179)</f>
        <v>10834.5754319798</v>
      </c>
      <c r="CB179" s="41" t="n">
        <f aca="false">CB178-(CB185+CB182+CB183+N(CB184))</f>
        <v>11604.6023939833</v>
      </c>
      <c r="CC179" s="41" t="n">
        <f aca="false">CC178-(CC185+CC182+CC183+N(CC184))</f>
        <v>12092.9917553606</v>
      </c>
      <c r="CD179" s="41" t="n">
        <f aca="false">CD178-(CD185+CD182+CD183+N(CD184))</f>
        <v>12686.0446764049</v>
      </c>
      <c r="CE179" s="41" t="n">
        <f aca="false">CE178-(CE185+CE182+CE183+N(CE184))</f>
        <v>13130.0354665419</v>
      </c>
      <c r="CF179" s="37" t="s">
        <v>320</v>
      </c>
    </row>
    <row r="180" customFormat="false" ht="15" hidden="false" customHeight="true" outlineLevel="0" collapsed="false">
      <c r="B180" s="18" t="s">
        <v>321</v>
      </c>
      <c r="C180" s="44" t="n">
        <f aca="false">IF(ISNUMBER(C178),C178-C179,"")</f>
        <v>4197.1</v>
      </c>
      <c r="D180" s="44" t="n">
        <f aca="false">IF(ISNUMBER(D178),D178-D179,"")</f>
        <v>5040.9</v>
      </c>
      <c r="E180" s="44" t="n">
        <f aca="false">IF(ISNUMBER(E178),E178-E179,"")</f>
        <v>5940.2</v>
      </c>
      <c r="F180" s="44" t="n">
        <f aca="false">IF(ISNUMBER(F178),F178-F179,"")</f>
        <v>5280.2</v>
      </c>
      <c r="G180" s="44" t="n">
        <f aca="false">IF(ISNUMBER(G178),G178-G179,"")</f>
        <v>6404.5</v>
      </c>
      <c r="H180" s="44" t="n">
        <f aca="false">IF(ISNUMBER(H178),H178-H179,"")</f>
        <v>8176.6</v>
      </c>
      <c r="I180" s="44" t="n">
        <f aca="false">IF(ISNUMBER(I178),I178-I179,"")</f>
        <v>9414.3</v>
      </c>
      <c r="J180" s="44" t="n">
        <f aca="false">IF(ISNUMBER(J178),J178-J179,"")</f>
        <v>2325.7</v>
      </c>
      <c r="K180" s="44" t="n">
        <f aca="false">IF(ISNUMBER(K178),K178-K179,"")</f>
        <v>2495.5</v>
      </c>
      <c r="L180" s="44" t="n">
        <f aca="false">IF(ISNUMBER(L178),L178-L179,"")</f>
        <v>2424.7</v>
      </c>
      <c r="M180" s="44" t="n">
        <f aca="false">IF(ISNUMBER(M178),M178-M179,"")</f>
        <v>2711.7</v>
      </c>
      <c r="N180" s="44" t="n">
        <f aca="false">IF(ISNUMBER(N178),N178-N179,"")</f>
        <v>9957.6</v>
      </c>
      <c r="O180" s="44" t="n">
        <f aca="false">IF(ISNUMBER(O178),O178-O179,"")</f>
        <v>2452.9</v>
      </c>
      <c r="P180" s="44" t="n">
        <f aca="false">IF(ISNUMBER(P178),P178-P179,"")</f>
        <v>2620.2</v>
      </c>
      <c r="Q180" s="44" t="n">
        <f aca="false">IF(ISNUMBER(Q178),Q178-Q179,"")</f>
        <v>2452.3</v>
      </c>
      <c r="R180" s="44" t="n">
        <f aca="false">IF(ISNUMBER(R178),R178-R179,"")</f>
        <v>2662.5</v>
      </c>
      <c r="S180" s="44" t="n">
        <f aca="false">IF(ISNUMBER(S178),S178-S179,"")</f>
        <v>9892.6</v>
      </c>
      <c r="T180" s="44" t="n">
        <f aca="false">IF(ISNUMBER(T178),T178-T179,"")</f>
        <v>2468.2</v>
      </c>
      <c r="U180" s="44" t="n">
        <f aca="false">IF(ISNUMBER(U178),U178-U179,"")</f>
        <v>2644</v>
      </c>
      <c r="V180" s="44" t="n">
        <f aca="false">IF(ISNUMBER(V178),V178-V179,"")</f>
        <v>1893.4</v>
      </c>
      <c r="W180" s="44" t="n">
        <f aca="false">IF(ISNUMBER(W178),W178-W179,"")</f>
        <v>2257.2</v>
      </c>
      <c r="X180" s="44" t="n">
        <f aca="false">IF(ISNUMBER(X178),X178-X179,"")</f>
        <v>7771.1</v>
      </c>
      <c r="Y180" s="44" t="n">
        <f aca="false">IF(ISNUMBER(Y178),Y178-Y179,"")</f>
        <v>2167.3</v>
      </c>
      <c r="Z180" s="44" t="n">
        <f aca="false">IF(ISNUMBER(Z178),Z178-Z179,"")</f>
        <v>2381.3</v>
      </c>
      <c r="AA180" s="44" t="n">
        <f aca="false">IF(ISNUMBER(AA178),AA178-AA179,"")</f>
        <v>2286</v>
      </c>
      <c r="AB180" s="44" t="n">
        <f aca="false">IF(ISNUMBER(AB178),AB178-AB179,"")</f>
        <v>2500</v>
      </c>
      <c r="AC180" s="44" t="n">
        <f aca="false">IF(ISNUMBER(AC178),AC178-AC179,"")</f>
        <v>9334.6</v>
      </c>
      <c r="AD180" s="44" t="n">
        <f aca="false">IF(ISNUMBER(AD178),AD178-AD179,"")</f>
        <v>2334.3</v>
      </c>
      <c r="AE180" s="44" t="n">
        <f aca="false">IF(ISNUMBER(AE178),AE178-AE179,"")</f>
        <v>2482.3</v>
      </c>
      <c r="AF180" s="44" t="n">
        <f aca="false">IF(ISNUMBER(AF178),AF178-AF179,"")</f>
        <v>2536.8</v>
      </c>
      <c r="AG180" s="44" t="n">
        <f aca="false">IF(ISNUMBER(AG178),AG178-AG179,"")</f>
        <v>2839.1</v>
      </c>
      <c r="AH180" s="44" t="n">
        <f aca="false">IF(ISNUMBER(AH178),AH178-AH179,"")</f>
        <v>10192.5</v>
      </c>
      <c r="AI180" s="44" t="n">
        <f aca="false">IF(ISNUMBER(AI178),AI178-AI179,"")</f>
        <v>2643.6</v>
      </c>
      <c r="AJ180" s="44" t="n">
        <f aca="false">IF(ISNUMBER(AJ178),AJ178-AJ179,"")</f>
        <v>2817.1</v>
      </c>
      <c r="AK180" s="44" t="n">
        <f aca="false">IF(ISNUMBER(AK178),AK178-AK179,"")</f>
        <v>2690.5</v>
      </c>
      <c r="AL180" s="44" t="n">
        <f aca="false">IF(ISNUMBER(AL178),AL178-AL179,"")</f>
        <v>2533.7</v>
      </c>
      <c r="AM180" s="44" t="n">
        <f aca="false">IF(ISNUMBER(AM178),AM178-AM179,"")</f>
        <v>9505.3</v>
      </c>
      <c r="AN180" s="44" t="n">
        <f aca="false">IF(ISNUMBER(AN178),AN178-AN179,"")</f>
        <v>2354.9</v>
      </c>
      <c r="AO180" s="44" t="n">
        <f aca="false">IF(ISNUMBER(AO178),AO178-AO179,"")</f>
        <v>2483.8</v>
      </c>
      <c r="AP180" s="44" t="n">
        <f aca="false">IF(ISNUMBER(AP178),AP178-AP179,"")</f>
        <v>2441.4</v>
      </c>
      <c r="AQ180" s="44" t="n">
        <f aca="false">IF(ISNUMBER(AQ178),AQ178-AQ179,"")</f>
        <v>2703.6</v>
      </c>
      <c r="AR180" s="44" t="n">
        <f aca="false">IF(ISNUMBER(AR178),AR178-AR179,"")</f>
        <v>9983.7</v>
      </c>
      <c r="AS180" s="44" t="n">
        <f aca="false">IF(ISNUMBER(AS178),AS178-AS179,"")</f>
        <v>2442.8</v>
      </c>
      <c r="AT180" s="44" t="n">
        <f aca="false">IF(ISNUMBER(AT178),AT178-AT179,"")</f>
        <v>2852.6</v>
      </c>
      <c r="AU180" s="44" t="n">
        <f aca="false">IF(ISNUMBER(AU178),AU178-AU179,"")</f>
        <v>3225.5</v>
      </c>
      <c r="AV180" s="44" t="n">
        <f aca="false">IF(ISNUMBER(AV178),AV178-AV179,"")</f>
        <v>3954</v>
      </c>
      <c r="AW180" s="44" t="n">
        <f aca="false">IF(ISNUMBER(AW178),AW178-AW179,"")</f>
        <v>12475</v>
      </c>
      <c r="AX180" s="44" t="n">
        <f aca="false">IF(ISNUMBER(AX178),AX178-AX179,"")</f>
        <v>4253</v>
      </c>
      <c r="AY180" s="44" t="n">
        <f aca="false">IF(ISNUMBER(AY178),AY178-AY179,"")</f>
        <v>4397</v>
      </c>
      <c r="AZ180" s="44" t="n">
        <f aca="false">IF(ISNUMBER(AZ178),AZ178-AZ179,"")</f>
        <v>4359</v>
      </c>
      <c r="BA180" s="44" t="n">
        <f aca="false">IF(ISNUMBER(BA178),BA178-BA179,"")</f>
        <v>4943</v>
      </c>
      <c r="BB180" s="44" t="n">
        <f aca="false">IF(ISNUMBER(BB178),BB178-BB179,"")</f>
        <v>17952</v>
      </c>
      <c r="BC180" s="44" t="n">
        <f aca="false">IF(ISNUMBER(BC178),BC178-BC179,"")</f>
        <v>4705</v>
      </c>
      <c r="BD180" s="44" t="n">
        <f aca="false">IF(ISNUMBER(BD178),BD178-BD179,"")</f>
        <v>4721</v>
      </c>
      <c r="BE180" s="44" t="n">
        <f aca="false">IF(ISNUMBER(BE178),BE178-BE179,"")</f>
        <v>4584</v>
      </c>
      <c r="BF180" s="44" t="n">
        <f aca="false">IF(ISNUMBER(BF178),BF178-BF179,"")</f>
        <v>4226</v>
      </c>
      <c r="BG180" s="44" t="n">
        <f aca="false">IF(ISNUMBER(BG178),BG178-BG179,"")</f>
        <v>16188</v>
      </c>
      <c r="BH180" s="44" t="n">
        <f aca="false">IF(ISNUMBER(BH178),BH178-BH179,"")</f>
        <v>3662</v>
      </c>
      <c r="BI180" s="44" t="n">
        <f aca="false">IF(ISNUMBER(BI178),BI178-BI179,"")</f>
        <v>3318</v>
      </c>
      <c r="BJ180" s="44" t="n">
        <f aca="false">IF(ISNUMBER(BJ178),BJ178-BJ179,"")</f>
        <v>3275</v>
      </c>
      <c r="BK180" s="44" t="n">
        <f aca="false">IF(ISNUMBER(BK178),BK178-BK179,"")</f>
        <v>3779</v>
      </c>
      <c r="BL180" s="44" t="n">
        <f aca="false">IF(ISNUMBER(BL178),BL178-BL179,"")</f>
        <v>14034</v>
      </c>
      <c r="BM180" s="44" t="n">
        <f aca="false">IF(ISNUMBER(BM178),BM178-BM179,"")</f>
        <v>3487</v>
      </c>
      <c r="BN180" s="44" t="n">
        <f aca="false">IF(ISNUMBER(BN178),BN178-BN179,"")</f>
        <v>3428</v>
      </c>
      <c r="BO180" s="44" t="n">
        <f aca="false">IF(ISNUMBER(BO178),BO178-BO179,"")</f>
        <v>3401</v>
      </c>
      <c r="BP180" s="44" t="n">
        <f aca="false">IF(ISNUMBER(BP178),BP178-BP179,"")</f>
        <v>3890</v>
      </c>
      <c r="BQ180" s="44" t="n">
        <f aca="false">IF(ISNUMBER(BQ178),BQ178-BQ179,"")</f>
        <v>14206</v>
      </c>
      <c r="BR180" s="44" t="n">
        <f aca="false">IF(ISNUMBER(BR178),BR178-BR179,"")</f>
        <v>3511</v>
      </c>
      <c r="BS180" s="44" t="n">
        <f aca="false">IF(ISNUMBER(BS178),BS178-BS179,"")</f>
        <v>3523</v>
      </c>
      <c r="BT180" s="44" t="n">
        <f aca="false">IF(ISNUMBER(BT178),BT178-BT179,"")</f>
        <v>3523</v>
      </c>
      <c r="BU180" s="44" t="n">
        <f aca="false">IF(ISNUMBER(BU178),BU178-BU179,"")</f>
        <v>3966</v>
      </c>
      <c r="BV180" s="44" t="n">
        <f aca="false">IF(ISNUMBER(BV178),BV178-BV179,"")</f>
        <v>14523</v>
      </c>
      <c r="BW180" s="44" t="n">
        <f aca="false">IF(ISNUMBER(BW178),BW178-BW179,"")</f>
        <v>3591</v>
      </c>
      <c r="BX180" s="44" t="n">
        <f aca="false">IF(ISNUMBER(BX178),BX178-BX179,"")</f>
        <v>3611</v>
      </c>
      <c r="BY180" s="21" t="n">
        <f aca="false">IF(ISNUMBER(BY178),BY178-BY179,"")</f>
        <v>3748.96955804795</v>
      </c>
      <c r="BZ180" s="21" t="n">
        <f aca="false">IF(ISNUMBER(BZ178),BZ178-BZ179,"")</f>
        <v>4712.87400997221</v>
      </c>
      <c r="CA180" s="21" t="n">
        <f aca="false">IF(ISNUMBER(CA178),CA178-CA179,"")</f>
        <v>15663.8435680202</v>
      </c>
      <c r="CB180" s="21" t="n">
        <f aca="false">IF(ISNUMBER(CB178),CB178-CB179,"")</f>
        <v>17381.1609668002</v>
      </c>
      <c r="CC180" s="21" t="n">
        <f aca="false">IF(ISNUMBER(CC178),CC178-CC179,"")</f>
        <v>18791.5742910235</v>
      </c>
      <c r="CD180" s="21" t="n">
        <f aca="false">IF(ISNUMBER(CD178),CD178-CD179,"")</f>
        <v>20386.9915443605</v>
      </c>
      <c r="CE180" s="21" t="n">
        <f aca="false">IF(ISNUMBER(CE178),CE178-CE179,"")</f>
        <v>22303.8474825951</v>
      </c>
      <c r="CF180" s="7"/>
      <c r="CH180" s="22" t="n">
        <f aca="false">IFERROR((CE180/BV180)^(1/5)-1,"n/m")</f>
        <v>0.0895939668458392</v>
      </c>
      <c r="CI180" s="22" t="n">
        <f aca="false">IFERROR((BV180/AW180)^(1/5)-1,"n/m")</f>
        <v>0.0308682327672316</v>
      </c>
      <c r="CJ180" s="22" t="n">
        <f aca="false">IFERROR((BV180/X180)^(1/10)-1,"n/m")</f>
        <v>0.0645287228979576</v>
      </c>
      <c r="CK180" s="22" t="n">
        <f aca="false">IFERROR((BV180/C180)^(1/19)-1,"n/m")</f>
        <v>0.0675151660646733</v>
      </c>
    </row>
    <row r="181" customFormat="false" ht="15" hidden="false" customHeight="true" outlineLevel="0" collapsed="false">
      <c r="B181" s="27" t="s">
        <v>322</v>
      </c>
      <c r="C181" s="42" t="n">
        <f aca="false">IF(AND(ISNUMBER(C180),ISNUMBER(C178)),IFERROR(C180/C178,""),"")</f>
        <v>0.443382174285081</v>
      </c>
      <c r="D181" s="42" t="n">
        <f aca="false">IF(AND(ISNUMBER(D180),ISNUMBER(D178)),IFERROR(D180/D178,""),"")</f>
        <v>0.457187168394417</v>
      </c>
      <c r="E181" s="42" t="n">
        <f aca="false">IF(AND(ISNUMBER(E180),ISNUMBER(E178)),IFERROR(E180/E178,""),"")</f>
        <v>0.467824374876944</v>
      </c>
      <c r="F181" s="42" t="n">
        <f aca="false">IF(AND(ISNUMBER(F180),ISNUMBER(F178)),IFERROR(F180/F178,""),"")</f>
        <v>0.47208289747785</v>
      </c>
      <c r="G181" s="42" t="n">
        <f aca="false">IF(AND(ISNUMBER(G180),ISNUMBER(G178)),IFERROR(G180/G178,""),"")</f>
        <v>0.510318725099602</v>
      </c>
      <c r="H181" s="42" t="n">
        <f aca="false">IF(AND(ISNUMBER(H180),ISNUMBER(H178)),IFERROR(H180/H178,""),"")</f>
        <v>0.508163201889314</v>
      </c>
      <c r="I181" s="42" t="n">
        <f aca="false">IF(AND(ISNUMBER(I180),ISNUMBER(I178)),IFERROR(I180/I178,""),"")</f>
        <v>0.515558257212328</v>
      </c>
      <c r="J181" s="42" t="n">
        <f aca="false">IF(AND(ISNUMBER(J180),ISNUMBER(J178)),IFERROR(J180/J178,""),"")</f>
        <v>0.523252412986253</v>
      </c>
      <c r="K181" s="42" t="n">
        <f aca="false">IF(AND(ISNUMBER(K180),ISNUMBER(K178)),IFERROR(K180/K178,""),"")</f>
        <v>0.526754617414248</v>
      </c>
      <c r="L181" s="42" t="n">
        <f aca="false">IF(AND(ISNUMBER(L180),ISNUMBER(L178)),IFERROR(L180/L178,""),"")</f>
        <v>0.519307789509756</v>
      </c>
      <c r="M181" s="42" t="n">
        <f aca="false">IF(AND(ISNUMBER(M180),ISNUMBER(M178)),IFERROR(M180/M178,""),"")</f>
        <v>0.514876488123493</v>
      </c>
      <c r="N181" s="42" t="n">
        <f aca="false">IF(AND(ISNUMBER(N180),ISNUMBER(N178)),IFERROR(N180/N178,""),"")</f>
        <v>0.520849461240716</v>
      </c>
      <c r="O181" s="42" t="n">
        <f aca="false">IF(AND(ISNUMBER(O180),ISNUMBER(O178)),IFERROR(O180/O178,""),"")</f>
        <v>0.526068586870268</v>
      </c>
      <c r="P181" s="42" t="n">
        <f aca="false">IF(AND(ISNUMBER(P180),ISNUMBER(P178)),IFERROR(P180/P178,""),"")</f>
        <v>0.527882988153759</v>
      </c>
      <c r="Q181" s="42" t="n">
        <f aca="false">IF(AND(ISNUMBER(Q180),ISNUMBER(Q178)),IFERROR(Q180/Q178,""),"")</f>
        <v>0.520978946697542</v>
      </c>
      <c r="R181" s="42" t="n">
        <f aca="false">IF(AND(ISNUMBER(R180),ISNUMBER(R178)),IFERROR(R180/R178,""),"")</f>
        <v>0.509647410129781</v>
      </c>
      <c r="S181" s="42" t="n">
        <f aca="false">IF(AND(ISNUMBER(S180),ISNUMBER(S178)),IFERROR(S180/S178,""),"")</f>
        <v>0.516476976088546</v>
      </c>
      <c r="T181" s="42" t="n">
        <f aca="false">IF(AND(ISNUMBER(T180),ISNUMBER(T178)),IFERROR(T180/T178,""),"")</f>
        <v>0.525741793937845</v>
      </c>
      <c r="U181" s="42" t="n">
        <f aca="false">IF(AND(ISNUMBER(U180),ISNUMBER(U178)),IFERROR(U180/U178,""),"")</f>
        <v>0.533043022458772</v>
      </c>
      <c r="V181" s="42" t="n">
        <f aca="false">IF(AND(ISNUMBER(V180),ISNUMBER(V178)),IFERROR(V180/V178,""),"")</f>
        <v>0.539092306816241</v>
      </c>
      <c r="W181" s="42" t="n">
        <f aca="false">IF(AND(ISNUMBER(W180),ISNUMBER(W178)),IFERROR(W180/W178,""),"")</f>
        <v>0.522137404580153</v>
      </c>
      <c r="X181" s="42" t="n">
        <f aca="false">IF(AND(ISNUMBER(X180),ISNUMBER(X178)),IFERROR(X180/X178,""),"")</f>
        <v>0.538399717328197</v>
      </c>
      <c r="Y181" s="42" t="n">
        <f aca="false">IF(AND(ISNUMBER(Y180),ISNUMBER(Y178)),IFERROR(Y180/Y178,""),"")</f>
        <v>0.552304987130807</v>
      </c>
      <c r="Z181" s="42" t="n">
        <f aca="false">IF(AND(ISNUMBER(Z180),ISNUMBER(Z178)),IFERROR(Z180/Z178,""),"")</f>
        <v>0.561375798580825</v>
      </c>
      <c r="AA181" s="42" t="n">
        <f aca="false">IF(AND(ISNUMBER(AA180),ISNUMBER(AA178)),IFERROR(AA180/AA178,""),"")</f>
        <v>0.553229592701048</v>
      </c>
      <c r="AB181" s="42" t="n">
        <f aca="false">IF(AND(ISNUMBER(AB180),ISNUMBER(AB178)),IFERROR(AB180/AB178,""),"")</f>
        <v>0.545339528390376</v>
      </c>
      <c r="AC181" s="42" t="n">
        <f aca="false">IF(AND(ISNUMBER(AC180),ISNUMBER(AC178)),IFERROR(AC180/AC178,""),"")</f>
        <v>0.552919016253613</v>
      </c>
      <c r="AD181" s="42" t="n">
        <f aca="false">IF(AND(ISNUMBER(AD180),ISNUMBER(AD178)),IFERROR(AD180/AD178,""),"")</f>
        <v>0.555032455952636</v>
      </c>
      <c r="AE181" s="42" t="n">
        <f aca="false">IF(AND(ISNUMBER(AE180),ISNUMBER(AE178)),IFERROR(AE180/AE178,""),"")</f>
        <v>0.550386909381167</v>
      </c>
      <c r="AF181" s="42" t="n">
        <f aca="false">IF(AND(ISNUMBER(AF180),ISNUMBER(AF178)),IFERROR(AF180/AF178,""),"")</f>
        <v>0.560222605008613</v>
      </c>
      <c r="AG181" s="42" t="n">
        <f aca="false">IF(AND(ISNUMBER(AG180),ISNUMBER(AG178)),IFERROR(AG180/AG178,""),"")</f>
        <v>0.558251568122382</v>
      </c>
      <c r="AH181" s="42" t="n">
        <f aca="false">IF(AND(ISNUMBER(AH180),ISNUMBER(AH178)),IFERROR(AH180/AH178,""),"")</f>
        <v>0.556064747377208</v>
      </c>
      <c r="AI181" s="42" t="n">
        <f aca="false">IF(AND(ISNUMBER(AI180),ISNUMBER(AI178)),IFERROR(AI180/AI178,""),"")</f>
        <v>0.563019125101163</v>
      </c>
      <c r="AJ181" s="42" t="n">
        <f aca="false">IF(AND(ISNUMBER(AJ180),ISNUMBER(AJ178)),IFERROR(AJ180/AJ178,""),"")</f>
        <v>0.565569162818711</v>
      </c>
      <c r="AK181" s="42" t="n">
        <f aca="false">IF(AND(ISNUMBER(AK180),ISNUMBER(AK178)),IFERROR(AK180/AK178,""),"")</f>
        <v>0.554387917001504</v>
      </c>
      <c r="AL181" s="42" t="n">
        <f aca="false">IF(AND(ISNUMBER(AL180),ISNUMBER(AL178)),IFERROR(AL180/AL178,""),"")</f>
        <v>0.550266044087306</v>
      </c>
      <c r="AM181" s="42" t="n">
        <f aca="false">IF(AND(ISNUMBER(AM180),ISNUMBER(AM178)),IFERROR(AM180/AM178,""),"")</f>
        <v>0.557544652022172</v>
      </c>
      <c r="AN181" s="42" t="n">
        <f aca="false">IF(AND(ISNUMBER(AN180),ISNUMBER(AN178)),IFERROR(AN180/AN178,""),"")</f>
        <v>0.558006729538884</v>
      </c>
      <c r="AO181" s="42" t="n">
        <f aca="false">IF(AND(ISNUMBER(AO180),ISNUMBER(AO178)),IFERROR(AO180/AO178,""),"")</f>
        <v>0.55884801439982</v>
      </c>
      <c r="AP181" s="42" t="n">
        <f aca="false">IF(AND(ISNUMBER(AP180),ISNUMBER(AP178)),IFERROR(AP180/AP178,""),"")</f>
        <v>0.557651895842851</v>
      </c>
      <c r="AQ181" s="42" t="n">
        <f aca="false">IF(AND(ISNUMBER(AQ180),ISNUMBER(AQ178)),IFERROR(AQ180/AQ178,""),"")</f>
        <v>0.555336455508997</v>
      </c>
      <c r="AR181" s="42" t="n">
        <f aca="false">IF(AND(ISNUMBER(AR180),ISNUMBER(AR178)),IFERROR(AR180/AR178,""),"")</f>
        <v>0.557402951242526</v>
      </c>
      <c r="AS181" s="42" t="n">
        <f aca="false">IF(AND(ISNUMBER(AS180),ISNUMBER(AS178)),IFERROR(AS180/AS178,""),"")</f>
        <v>0.562455389007852</v>
      </c>
      <c r="AT181" s="42" t="n">
        <f aca="false">IF(AND(ISNUMBER(AT180),ISNUMBER(AT178)),IFERROR(AT180/AT178,""),"")</f>
        <v>0.538490580284668</v>
      </c>
      <c r="AU181" s="42" t="n">
        <f aca="false">IF(AND(ISNUMBER(AU180),ISNUMBER(AU178)),IFERROR(AU180/AU178,""),"")</f>
        <v>0.548256051128638</v>
      </c>
      <c r="AV181" s="42" t="n">
        <f aca="false">IF(AND(ISNUMBER(AV180),ISNUMBER(AV178)),IFERROR(AV180/AV178,""),"")</f>
        <v>0.58491124260355</v>
      </c>
      <c r="AW181" s="42" t="n">
        <f aca="false">IF(AND(ISNUMBER(AW180),ISNUMBER(AW178)),IFERROR(AW180/AW178,""),"")</f>
        <v>0.559818704002872</v>
      </c>
      <c r="AX181" s="42" t="n">
        <f aca="false">IF(AND(ISNUMBER(AX180),ISNUMBER(AX178)),IFERROR(AX180/AX178,""),"")</f>
        <v>0.620151647710703</v>
      </c>
      <c r="AY181" s="42" t="n">
        <f aca="false">IF(AND(ISNUMBER(AY180),ISNUMBER(AY178)),IFERROR(AY180/AY178,""),"")</f>
        <v>0.609171515655306</v>
      </c>
      <c r="AZ181" s="42" t="n">
        <f aca="false">IF(AND(ISNUMBER(AZ180),ISNUMBER(AZ178)),IFERROR(AZ180/AZ178,""),"")</f>
        <v>0.602987965140407</v>
      </c>
      <c r="BA181" s="42" t="n">
        <f aca="false">IF(AND(ISNUMBER(BA180),ISNUMBER(BA178)),IFERROR(BA180/BA178,""),"")</f>
        <v>0.606651939126166</v>
      </c>
      <c r="BB181" s="42" t="n">
        <f aca="false">IF(AND(ISNUMBER(BB180),ISNUMBER(BB178)),IFERROR(BB180/BB178,""),"")</f>
        <v>0.609513462126099</v>
      </c>
      <c r="BC181" s="42" t="n">
        <f aca="false">IF(AND(ISNUMBER(BC180),ISNUMBER(BC178)),IFERROR(BC180/BC178,""),"")</f>
        <v>0.611992715920916</v>
      </c>
      <c r="BD181" s="42" t="n">
        <f aca="false">IF(AND(ISNUMBER(BD180),ISNUMBER(BD178)),IFERROR(BD180/BD178,""),"")</f>
        <v>0.60908269900658</v>
      </c>
      <c r="BE181" s="42" t="n">
        <f aca="false">IF(AND(ISNUMBER(BE180),ISNUMBER(BE178)),IFERROR(BE180/BE178,""),"")</f>
        <v>0.598199138718518</v>
      </c>
      <c r="BF181" s="42" t="n">
        <f aca="false">IF(AND(ISNUMBER(BF180),ISNUMBER(BF178)),IFERROR(BF180/BF178,""),"")</f>
        <v>0.5923745444351</v>
      </c>
      <c r="BG181" s="42" t="n">
        <f aca="false">IF(AND(ISNUMBER(BG180),ISNUMBER(BG178)),IFERROR(BG180/BG178,""),"")</f>
        <v>0.607589235446459</v>
      </c>
      <c r="BH181" s="42" t="n">
        <f aca="false">IF(AND(ISNUMBER(BH180),ISNUMBER(BH178)),IFERROR(BH180/BH178,""),"")</f>
        <v>0.615565641284249</v>
      </c>
      <c r="BI181" s="42" t="n">
        <f aca="false">IF(AND(ISNUMBER(BI180),ISNUMBER(BI178)),IFERROR(BI180/BI178,""),"")</f>
        <v>0.561231393775372</v>
      </c>
      <c r="BJ181" s="42" t="n">
        <f aca="false">IF(AND(ISNUMBER(BJ180),ISNUMBER(BJ178)),IFERROR(BJ180/BJ178,""),"")</f>
        <v>0.582325746799431</v>
      </c>
      <c r="BK181" s="42" t="n">
        <f aca="false">IF(AND(ISNUMBER(BK180),ISNUMBER(BK178)),IFERROR(BK180/BK178,""),"")</f>
        <v>0.590007806401249</v>
      </c>
      <c r="BL181" s="42" t="n">
        <f aca="false">IF(AND(ISNUMBER(BL180),ISNUMBER(BL178)),IFERROR(BL180/BL178,""),"")</f>
        <v>0.587442444537463</v>
      </c>
      <c r="BM181" s="42" t="n">
        <f aca="false">IF(AND(ISNUMBER(BM180),ISNUMBER(BM178)),IFERROR(BM180/BM178,""),"")</f>
        <v>0.601621808143547</v>
      </c>
      <c r="BN181" s="42" t="n">
        <f aca="false">IF(AND(ISNUMBER(BN180),ISNUMBER(BN178)),IFERROR(BN180/BN178,""),"")</f>
        <v>0.596900574612572</v>
      </c>
      <c r="BO181" s="42" t="n">
        <f aca="false">IF(AND(ISNUMBER(BO180),ISNUMBER(BO178)),IFERROR(BO180/BO178,""),"")</f>
        <v>0.586581579855123</v>
      </c>
      <c r="BP181" s="42" t="n">
        <f aca="false">IF(AND(ISNUMBER(BP180),ISNUMBER(BP178)),IFERROR(BP180/BP178,""),"")</f>
        <v>0.594983175282961</v>
      </c>
      <c r="BQ181" s="42" t="n">
        <f aca="false">IF(AND(ISNUMBER(BQ180),ISNUMBER(BQ178)),IFERROR(BQ180/BQ178,""),"")</f>
        <v>0.595015706806283</v>
      </c>
      <c r="BR181" s="42" t="n">
        <f aca="false">IF(AND(ISNUMBER(BR180),ISNUMBER(BR178)),IFERROR(BR180/BR178,""),"")</f>
        <v>0.611565929280613</v>
      </c>
      <c r="BS181" s="42" t="n">
        <f aca="false">IF(AND(ISNUMBER(BS180),ISNUMBER(BS178)),IFERROR(BS180/BS178,""),"")</f>
        <v>0.59349730458221</v>
      </c>
      <c r="BT181" s="42" t="n">
        <f aca="false">IF(AND(ISNUMBER(BT180),ISNUMBER(BT178)),IFERROR(BT180/BT178,""),"")</f>
        <v>0.582025441929622</v>
      </c>
      <c r="BU181" s="42" t="n">
        <f aca="false">IF(AND(ISNUMBER(BU180),ISNUMBER(BU178)),IFERROR(BU180/BU178,""),"")</f>
        <v>0.579994150336356</v>
      </c>
      <c r="BV181" s="42" t="n">
        <f aca="false">IF(AND(ISNUMBER(BV180),ISNUMBER(BV178)),IFERROR(BV180/BV178,""),"")</f>
        <v>0.591134809508303</v>
      </c>
      <c r="BW181" s="42" t="n">
        <f aca="false">IF(AND(ISNUMBER(BW180),ISNUMBER(BW178)),IFERROR(BW180/BW178,""),"")</f>
        <v>0.603427995294908</v>
      </c>
      <c r="BX181" s="42" t="n">
        <f aca="false">IF(AND(ISNUMBER(BX180),ISNUMBER(BX178)),IFERROR(BX180/BX178,""),"")</f>
        <v>0.576376695929769</v>
      </c>
      <c r="BY181" s="26" t="n">
        <f aca="false">IF(AND(ISNUMBER(BY180),ISNUMBER(BY178)),IFERROR(BY180/BY178,""),"")</f>
        <v>0.566493296071976</v>
      </c>
      <c r="BZ181" s="26" t="n">
        <f aca="false">IF(AND(ISNUMBER(BZ180),ISNUMBER(BZ178)),IFERROR(BZ180/BZ178,""),"")</f>
        <v>0.614891205339646</v>
      </c>
      <c r="CA181" s="26" t="n">
        <f aca="false">IF(AND(ISNUMBER(CA180),ISNUMBER(CA178)),IFERROR(CA180/CA178,""),"")</f>
        <v>0.591123703192261</v>
      </c>
      <c r="CB181" s="26" t="n">
        <f aca="false">IF(AND(ISNUMBER(CB180),ISNUMBER(CB178)),IFERROR(CB180/CB178,""),"")</f>
        <v>0.599644754925316</v>
      </c>
      <c r="CC181" s="26" t="n">
        <f aca="false">IF(AND(ISNUMBER(CC180),ISNUMBER(CC178)),IFERROR(CC180/CC178,""),"")</f>
        <v>0.608445469585076</v>
      </c>
      <c r="CD181" s="26" t="n">
        <f aca="false">IF(AND(ISNUMBER(CD180),ISNUMBER(CD178)),IFERROR(CD180/CD178,""),"")</f>
        <v>0.616423342818468</v>
      </c>
      <c r="CE181" s="26" t="n">
        <f aca="false">IF(AND(ISNUMBER(CE180),ISNUMBER(CE178)),IFERROR(CE180/CE178,""),"")</f>
        <v>0.629449713840586</v>
      </c>
      <c r="CF181" s="7"/>
      <c r="CH181" s="32" t="n">
        <f aca="false">IFERROR(AVERAGE(CA181,CB181,CC181,CD181,CE181),"n/m")</f>
        <v>0.609017396872341</v>
      </c>
      <c r="CI181" s="32" t="n">
        <f aca="false">IFERROR(AVERAGE(BB181,BG181,BL181,BQ181,BV181),"n/m")</f>
        <v>0.598139131684922</v>
      </c>
      <c r="CJ181" s="32" t="n">
        <f aca="false">IFERROR(AVERAGE(AC181,AH181,AM181,AR181,AW181,BB181,BG181,BL181,BQ181,BV181),"n/m")</f>
        <v>0.5774445729323</v>
      </c>
      <c r="CK181" s="32" t="n">
        <f aca="false">IFERROR(AVERAGE(C181,D181,E181,F181,G181,H181,I181,N181,S181,X181,AC181,AH181,AM181,AR181,AW181,BB181,BG181,BL181,BQ181,BV181),"n/m")</f>
        <v>0.5362344341608</v>
      </c>
    </row>
    <row r="182" customFormat="false" ht="15" hidden="false" customHeight="true" outlineLevel="0" collapsed="false">
      <c r="B182" s="27" t="s">
        <v>323</v>
      </c>
      <c r="C182" s="40" t="n">
        <v>2273.2</v>
      </c>
      <c r="D182" s="40" t="n">
        <v>2713.1</v>
      </c>
      <c r="E182" s="40" t="n">
        <v>3345.3</v>
      </c>
      <c r="F182" s="40" t="n">
        <v>3190.2</v>
      </c>
      <c r="G182" s="40" t="n">
        <v>3603.7</v>
      </c>
      <c r="H182" s="40" t="n">
        <v>4607.7</v>
      </c>
      <c r="I182" s="40" t="n">
        <v>5181.2</v>
      </c>
      <c r="J182" s="40" t="n">
        <v>1298.4</v>
      </c>
      <c r="K182" s="40" t="n">
        <v>1339.7</v>
      </c>
      <c r="L182" s="40" t="n">
        <v>1303.2</v>
      </c>
      <c r="M182" s="40" t="n">
        <v>1491.5</v>
      </c>
      <c r="N182" s="40" t="n">
        <v>5432.8</v>
      </c>
      <c r="O182" s="40" t="n">
        <v>1350.6</v>
      </c>
      <c r="P182" s="40" t="n">
        <v>1394.5</v>
      </c>
      <c r="Q182" s="40" t="n">
        <v>1298</v>
      </c>
      <c r="R182" s="40" t="n">
        <v>1494.9</v>
      </c>
      <c r="S182" s="40" t="n">
        <v>5389</v>
      </c>
      <c r="T182" s="40" t="n">
        <v>1413.7</v>
      </c>
      <c r="U182" s="40" t="n">
        <v>1405</v>
      </c>
      <c r="V182" s="40" t="n">
        <v>1201.2</v>
      </c>
      <c r="W182" s="40" t="n">
        <v>1369.5</v>
      </c>
      <c r="X182" s="40" t="n">
        <v>4747.5</v>
      </c>
      <c r="Y182" s="40" t="n">
        <v>1328.1</v>
      </c>
      <c r="Z182" s="40" t="n">
        <v>1431.3</v>
      </c>
      <c r="AA182" s="40" t="n">
        <v>1345.8</v>
      </c>
      <c r="AB182" s="40" t="n">
        <v>1503.4</v>
      </c>
      <c r="AC182" s="40" t="n">
        <v>5608.6</v>
      </c>
      <c r="AD182" s="40" t="n">
        <v>1449.9</v>
      </c>
      <c r="AE182" s="40" t="n">
        <v>1522.3</v>
      </c>
      <c r="AF182" s="40" t="n">
        <v>1498.4</v>
      </c>
      <c r="AG182" s="40" t="n">
        <v>1602.7</v>
      </c>
      <c r="AH182" s="40" t="n">
        <v>6073.3</v>
      </c>
      <c r="AI182" s="40" t="n">
        <v>1601.9</v>
      </c>
      <c r="AJ182" s="40" t="n">
        <v>1637.9</v>
      </c>
      <c r="AK182" s="40" t="n">
        <v>1558.6</v>
      </c>
      <c r="AL182" s="40" t="n">
        <v>1394.3</v>
      </c>
      <c r="AM182" s="40" t="n">
        <v>5391</v>
      </c>
      <c r="AN182" s="40" t="n">
        <v>1367.7</v>
      </c>
      <c r="AO182" s="40" t="n">
        <v>1390</v>
      </c>
      <c r="AP182" s="40" t="n">
        <v>1382.5</v>
      </c>
      <c r="AQ182" s="40" t="n">
        <v>1448.1</v>
      </c>
      <c r="AR182" s="40" t="n">
        <v>5588.3</v>
      </c>
      <c r="AS182" s="40" t="n">
        <v>1458.3</v>
      </c>
      <c r="AT182" s="40" t="n">
        <v>1685.4</v>
      </c>
      <c r="AU182" s="40" t="n">
        <v>1795.3</v>
      </c>
      <c r="AV182" s="40" t="n">
        <v>1957</v>
      </c>
      <c r="AW182" s="40" t="n">
        <v>6896</v>
      </c>
      <c r="AX182" s="40" t="n">
        <v>1876</v>
      </c>
      <c r="AY182" s="40" t="n">
        <v>1966</v>
      </c>
      <c r="AZ182" s="40" t="n">
        <v>2062</v>
      </c>
      <c r="BA182" s="40" t="n">
        <v>2294</v>
      </c>
      <c r="BB182" s="40" t="n">
        <v>8198</v>
      </c>
      <c r="BC182" s="40" t="n">
        <v>2092</v>
      </c>
      <c r="BD182" s="40" t="n">
        <v>2085</v>
      </c>
      <c r="BE182" s="40" t="n">
        <v>2149</v>
      </c>
      <c r="BF182" s="40" t="n">
        <v>1829</v>
      </c>
      <c r="BG182" s="40" t="n">
        <v>7124</v>
      </c>
      <c r="BH182" s="40" t="n">
        <v>1772</v>
      </c>
      <c r="BI182" s="40" t="n">
        <v>1794</v>
      </c>
      <c r="BJ182" s="40" t="n">
        <v>1728</v>
      </c>
      <c r="BK182" s="40" t="n">
        <v>2035</v>
      </c>
      <c r="BL182" s="40" t="n">
        <v>7329</v>
      </c>
      <c r="BM182" s="40" t="n">
        <v>1807</v>
      </c>
      <c r="BN182" s="40" t="n">
        <v>1869</v>
      </c>
      <c r="BO182" s="40" t="n">
        <v>2060</v>
      </c>
      <c r="BP182" s="40" t="n">
        <v>2023</v>
      </c>
      <c r="BQ182" s="40" t="n">
        <v>7759</v>
      </c>
      <c r="BR182" s="40" t="n">
        <v>1858</v>
      </c>
      <c r="BS182" s="40" t="n">
        <v>2360</v>
      </c>
      <c r="BT182" s="40" t="n">
        <v>1991</v>
      </c>
      <c r="BU182" s="40" t="n">
        <v>2026</v>
      </c>
      <c r="BV182" s="40" t="n">
        <v>8235</v>
      </c>
      <c r="BW182" s="40" t="n">
        <v>1860</v>
      </c>
      <c r="BX182" s="40" t="n">
        <v>2072</v>
      </c>
      <c r="BY182" s="41" t="n">
        <f aca="false">BY178*BY173+BY241</f>
        <v>2092.39093888349</v>
      </c>
      <c r="BZ182" s="41" t="n">
        <f aca="false">BZ178*BZ173+BZ241</f>
        <v>2388.58885261945</v>
      </c>
      <c r="CA182" s="41" t="n">
        <f aca="false">SUM(BW182,BX182,BY182,BZ182)</f>
        <v>8412.97979150295</v>
      </c>
      <c r="CB182" s="41" t="n">
        <f aca="false">CB178*CB173+CB241</f>
        <v>9043.55816856447</v>
      </c>
      <c r="CC182" s="41" t="n">
        <f aca="false">CC178*CC173+CC241</f>
        <v>9635.98460647183</v>
      </c>
      <c r="CD182" s="41" t="n">
        <f aca="false">CD178*CD173+CD241</f>
        <v>10318.7873008788</v>
      </c>
      <c r="CE182" s="41" t="n">
        <f aca="false">CE178*CE173+CE241</f>
        <v>11055.3714801307</v>
      </c>
      <c r="CF182" s="37" t="s">
        <v>324</v>
      </c>
      <c r="CH182" s="22" t="n">
        <f aca="false">IFERROR((CE182/BV182)^(1/5)-1,"n/m")</f>
        <v>0.0606740588569266</v>
      </c>
      <c r="CI182" s="22" t="n">
        <f aca="false">IFERROR((BV182/AW182)^(1/5)-1,"n/m")</f>
        <v>0.0361276660816268</v>
      </c>
      <c r="CJ182" s="22" t="n">
        <f aca="false">IFERROR((BV182/X182)^(1/10)-1,"n/m")</f>
        <v>0.0566225208706943</v>
      </c>
      <c r="CK182" s="22" t="n">
        <f aca="false">IFERROR((BV182/C182)^(1/19)-1,"n/m")</f>
        <v>0.0700952067638019</v>
      </c>
    </row>
    <row r="183" customFormat="false" ht="15" hidden="false" customHeight="true" outlineLevel="0" collapsed="false">
      <c r="B183" s="27" t="s">
        <v>325</v>
      </c>
      <c r="C183" s="40" t="n">
        <v>440</v>
      </c>
      <c r="D183" s="40" t="n">
        <v>601.4</v>
      </c>
      <c r="E183" s="40" t="n">
        <v>725.4</v>
      </c>
      <c r="F183" s="40" t="n">
        <v>632.7</v>
      </c>
      <c r="G183" s="40" t="n">
        <v>774</v>
      </c>
      <c r="H183" s="40" t="n">
        <v>1018.5</v>
      </c>
      <c r="I183" s="40" t="n">
        <v>1137.9</v>
      </c>
      <c r="J183" s="40" t="n">
        <v>296.4</v>
      </c>
      <c r="K183" s="40" t="n">
        <v>312.2</v>
      </c>
      <c r="L183" s="40" t="n">
        <v>309.1</v>
      </c>
      <c r="M183" s="40" t="n">
        <v>332.2</v>
      </c>
      <c r="N183" s="40" t="n">
        <v>1249.9</v>
      </c>
      <c r="O183" s="40" t="n">
        <v>313.4</v>
      </c>
      <c r="P183" s="40" t="n">
        <v>336.4</v>
      </c>
      <c r="Q183" s="40" t="n">
        <v>288.1</v>
      </c>
      <c r="R183" s="40" t="n">
        <v>300.7</v>
      </c>
      <c r="S183" s="40" t="n">
        <v>1157</v>
      </c>
      <c r="T183" s="40" t="n">
        <v>299.4</v>
      </c>
      <c r="U183" s="40" t="n">
        <v>304.6</v>
      </c>
      <c r="V183" s="40" t="n">
        <v>212.2</v>
      </c>
      <c r="W183" s="40" t="n">
        <v>236.1</v>
      </c>
      <c r="X183" s="40" t="n">
        <v>861.4</v>
      </c>
      <c r="Y183" s="40" t="n">
        <v>226.1</v>
      </c>
      <c r="Z183" s="40" t="n">
        <v>239.9</v>
      </c>
      <c r="AA183" s="40" t="n">
        <v>241.1</v>
      </c>
      <c r="AB183" s="40" t="n">
        <v>268</v>
      </c>
      <c r="AC183" s="40" t="n">
        <v>975.1</v>
      </c>
      <c r="AD183" s="40" t="n">
        <v>267.4</v>
      </c>
      <c r="AE183" s="40" t="n">
        <v>283.3</v>
      </c>
      <c r="AF183" s="40" t="n">
        <v>279.2</v>
      </c>
      <c r="AG183" s="40" t="n">
        <v>298.9</v>
      </c>
      <c r="AH183" s="40" t="n">
        <v>1128.8</v>
      </c>
      <c r="AI183" s="40" t="n">
        <v>298.7</v>
      </c>
      <c r="AJ183" s="40" t="n">
        <v>311.7</v>
      </c>
      <c r="AK183" s="40" t="n">
        <v>301.2</v>
      </c>
      <c r="AL183" s="40" t="n">
        <v>276</v>
      </c>
      <c r="AM183" s="40" t="n">
        <v>1059.2</v>
      </c>
      <c r="AN183" s="40" t="n">
        <v>267.5</v>
      </c>
      <c r="AO183" s="40" t="n">
        <v>282.1</v>
      </c>
      <c r="AP183" s="40" t="n">
        <v>282.6</v>
      </c>
      <c r="AQ183" s="40" t="n">
        <v>293.8</v>
      </c>
      <c r="AR183" s="40" t="n">
        <v>1126</v>
      </c>
      <c r="AS183" s="40" t="n">
        <v>287</v>
      </c>
      <c r="AT183" s="40" t="n">
        <v>322.6</v>
      </c>
      <c r="AU183" s="40" t="n">
        <v>342.6</v>
      </c>
      <c r="AV183" s="40" t="n">
        <v>396</v>
      </c>
      <c r="AW183" s="40" t="n">
        <v>1348</v>
      </c>
      <c r="AX183" s="40" t="n">
        <v>380</v>
      </c>
      <c r="AY183" s="40" t="n">
        <v>426</v>
      </c>
      <c r="AZ183" s="40" t="n">
        <v>441</v>
      </c>
      <c r="BA183" s="40" t="n">
        <v>495</v>
      </c>
      <c r="BB183" s="40" t="n">
        <v>1742</v>
      </c>
      <c r="BC183" s="40" t="n">
        <v>441</v>
      </c>
      <c r="BD183" s="40" t="n">
        <v>431</v>
      </c>
      <c r="BE183" s="40" t="n">
        <v>420</v>
      </c>
      <c r="BF183" s="40" t="n">
        <v>400</v>
      </c>
      <c r="BG183" s="40" t="n">
        <v>1528</v>
      </c>
      <c r="BH183" s="40" t="n">
        <v>373</v>
      </c>
      <c r="BI183" s="40" t="n">
        <v>361</v>
      </c>
      <c r="BJ183" s="40" t="n">
        <v>362</v>
      </c>
      <c r="BK183" s="40" t="n">
        <v>407</v>
      </c>
      <c r="BL183" s="40" t="n">
        <v>1503</v>
      </c>
      <c r="BM183" s="40" t="n">
        <v>368</v>
      </c>
      <c r="BN183" s="40" t="n">
        <v>391</v>
      </c>
      <c r="BO183" s="40" t="n">
        <v>383</v>
      </c>
      <c r="BP183" s="40" t="n">
        <v>442</v>
      </c>
      <c r="BQ183" s="40" t="n">
        <v>1584</v>
      </c>
      <c r="BR183" s="40" t="n">
        <v>379</v>
      </c>
      <c r="BS183" s="40" t="n">
        <v>403</v>
      </c>
      <c r="BT183" s="40" t="n">
        <v>378</v>
      </c>
      <c r="BU183" s="40" t="n">
        <v>438</v>
      </c>
      <c r="BV183" s="40" t="n">
        <v>1598</v>
      </c>
      <c r="BW183" s="40" t="n">
        <v>387</v>
      </c>
      <c r="BX183" s="40" t="n">
        <v>412</v>
      </c>
      <c r="BY183" s="41" t="n">
        <f aca="false">BY178*BY174</f>
        <v>432.847481000239</v>
      </c>
      <c r="BZ183" s="41" t="n">
        <f aca="false">BZ178*BZ174</f>
        <v>501.308771537417</v>
      </c>
      <c r="CA183" s="41" t="n">
        <f aca="false">SUM(BW183,BX183,BY183,BZ183)</f>
        <v>1733.15625253766</v>
      </c>
      <c r="CB183" s="41" t="n">
        <f aca="false">CB178*CB174</f>
        <v>1884.07461845093</v>
      </c>
      <c r="CC183" s="41" t="n">
        <f aca="false">CC178*CC174</f>
        <v>2007.49679301496</v>
      </c>
      <c r="CD183" s="41" t="n">
        <f aca="false">CD178*CD174</f>
        <v>2149.74735434975</v>
      </c>
      <c r="CE183" s="41" t="n">
        <f aca="false">CE178*CE174</f>
        <v>2303.2023916939</v>
      </c>
      <c r="CF183" s="37"/>
      <c r="CH183" s="22" t="n">
        <f aca="false">IFERROR((CE183/BV183)^(1/5)-1,"n/m")</f>
        <v>0.0758483684331295</v>
      </c>
      <c r="CI183" s="22" t="n">
        <f aca="false">IFERROR((BV183/AW183)^(1/5)-1,"n/m")</f>
        <v>0.0346116790275042</v>
      </c>
      <c r="CJ183" s="22" t="n">
        <f aca="false">IFERROR((BV183/X183)^(1/10)-1,"n/m")</f>
        <v>0.0637441647783337</v>
      </c>
      <c r="CK183" s="22" t="n">
        <f aca="false">IFERROR((BV183/C183)^(1/19)-1,"n/m")</f>
        <v>0.070237627113968</v>
      </c>
    </row>
    <row r="184" customFormat="false" ht="15" hidden="false" customHeight="true" outlineLevel="0" collapsed="false">
      <c r="B184" s="27" t="s">
        <v>326</v>
      </c>
      <c r="C184" s="40" t="n">
        <v>-16.4</v>
      </c>
      <c r="D184" s="40" t="n">
        <v>-14.3</v>
      </c>
      <c r="E184" s="40" t="n">
        <v>0</v>
      </c>
      <c r="F184" s="40" t="n">
        <v>-85.1</v>
      </c>
      <c r="G184" s="40" t="n">
        <v>-22.8</v>
      </c>
      <c r="H184" s="40" t="n">
        <v>-66.8</v>
      </c>
      <c r="I184" s="40" t="n">
        <v>-69.9</v>
      </c>
      <c r="J184" s="40" t="n">
        <v>0</v>
      </c>
      <c r="K184" s="40" t="n">
        <v>0</v>
      </c>
      <c r="L184" s="40" t="n">
        <v>0</v>
      </c>
      <c r="M184" s="40" t="n">
        <v>0</v>
      </c>
      <c r="N184" s="40" t="n">
        <v>0</v>
      </c>
      <c r="O184" s="40" t="n">
        <v>0</v>
      </c>
      <c r="P184" s="40" t="n">
        <v>0</v>
      </c>
      <c r="Q184" s="40" t="n">
        <v>0</v>
      </c>
      <c r="R184" s="40" t="n">
        <v>0</v>
      </c>
      <c r="S184" s="40" t="n">
        <v>0</v>
      </c>
      <c r="T184" s="40" t="n">
        <v>0</v>
      </c>
      <c r="U184" s="40" t="n">
        <v>0</v>
      </c>
      <c r="V184" s="40" t="n">
        <v>0</v>
      </c>
      <c r="W184" s="40" t="n">
        <v>0</v>
      </c>
      <c r="X184" s="40" t="n">
        <v>0</v>
      </c>
      <c r="Y184" s="40" t="n">
        <v>0</v>
      </c>
      <c r="Z184" s="40" t="n">
        <v>0</v>
      </c>
      <c r="AA184" s="40" t="n">
        <v>0</v>
      </c>
      <c r="AB184" s="40" t="n">
        <v>0</v>
      </c>
      <c r="AC184" s="40" t="n">
        <v>0</v>
      </c>
      <c r="AD184" s="40" t="n">
        <v>0</v>
      </c>
      <c r="AE184" s="40" t="n">
        <v>0</v>
      </c>
      <c r="AF184" s="40" t="n">
        <v>0</v>
      </c>
      <c r="AG184" s="40" t="n">
        <v>0</v>
      </c>
      <c r="AH184" s="40" t="n">
        <v>0</v>
      </c>
      <c r="AI184" s="40" t="n">
        <v>0</v>
      </c>
      <c r="AJ184" s="40" t="n">
        <v>0</v>
      </c>
      <c r="AK184" s="40" t="n">
        <v>0</v>
      </c>
      <c r="AL184" s="40" t="n">
        <v>0</v>
      </c>
      <c r="AM184" s="40" t="n">
        <v>0</v>
      </c>
      <c r="AN184" s="40" t="n">
        <v>0</v>
      </c>
      <c r="AO184" s="40" t="n">
        <v>0</v>
      </c>
      <c r="AP184" s="40" t="n">
        <v>0</v>
      </c>
      <c r="AQ184" s="40" t="n">
        <v>0</v>
      </c>
      <c r="AR184" s="40" t="n">
        <v>0</v>
      </c>
      <c r="AS184" s="40" t="n">
        <v>0</v>
      </c>
      <c r="AT184" s="40" t="n">
        <v>0</v>
      </c>
      <c r="AU184" s="40" t="n">
        <v>0</v>
      </c>
      <c r="AV184" s="40" t="n">
        <v>0</v>
      </c>
      <c r="AW184" s="40" t="n">
        <v>0</v>
      </c>
      <c r="AX184" s="40" t="n">
        <v>0</v>
      </c>
      <c r="AY184" s="40" t="n">
        <v>0</v>
      </c>
      <c r="AZ184" s="40" t="n">
        <v>547</v>
      </c>
      <c r="BA184" s="40" t="n">
        <v>0</v>
      </c>
      <c r="BB184" s="40" t="n">
        <v>547</v>
      </c>
      <c r="BC184" s="40" t="n">
        <v>0</v>
      </c>
      <c r="BD184" s="40" t="n">
        <v>0</v>
      </c>
      <c r="BE184" s="40" t="n">
        <v>0</v>
      </c>
      <c r="BF184" s="40" t="n">
        <v>0</v>
      </c>
      <c r="BG184" s="40" t="n">
        <v>0</v>
      </c>
      <c r="BH184" s="40" t="n">
        <v>0</v>
      </c>
      <c r="BI184" s="40" t="n">
        <v>0</v>
      </c>
      <c r="BJ184" s="40" t="n">
        <v>0</v>
      </c>
      <c r="BK184" s="40" t="n">
        <v>0</v>
      </c>
      <c r="BL184" s="40" t="n">
        <v>0</v>
      </c>
      <c r="BM184" s="40" t="n">
        <v>0</v>
      </c>
      <c r="BN184" s="40" t="n">
        <v>0</v>
      </c>
      <c r="BO184" s="40" t="n">
        <v>0</v>
      </c>
      <c r="BP184" s="40" t="n">
        <v>0</v>
      </c>
      <c r="BQ184" s="40" t="n">
        <v>0</v>
      </c>
      <c r="BR184" s="40" t="n">
        <v>0</v>
      </c>
      <c r="BS184" s="40" t="n">
        <v>0</v>
      </c>
      <c r="BT184" s="40" t="n">
        <v>0</v>
      </c>
      <c r="BU184" s="40" t="n">
        <v>0</v>
      </c>
      <c r="BV184" s="40" t="n">
        <v>0</v>
      </c>
      <c r="BW184" s="40" t="n">
        <v>0</v>
      </c>
      <c r="BX184" s="40" t="n">
        <v>0</v>
      </c>
      <c r="BY184" s="43" t="n">
        <v>0</v>
      </c>
      <c r="BZ184" s="43" t="n">
        <v>0</v>
      </c>
      <c r="CA184" s="41" t="n">
        <f aca="false">SUM(BW184,BX184,BY184,BZ184)</f>
        <v>0</v>
      </c>
      <c r="CB184" s="43" t="n">
        <v>0</v>
      </c>
      <c r="CC184" s="43" t="n">
        <v>0</v>
      </c>
      <c r="CD184" s="43" t="n">
        <v>0</v>
      </c>
      <c r="CE184" s="43" t="n">
        <v>0</v>
      </c>
      <c r="CF184" s="37"/>
    </row>
    <row r="185" customFormat="false" ht="15" hidden="false" customHeight="true" outlineLevel="0" collapsed="false">
      <c r="B185" s="62" t="s">
        <v>327</v>
      </c>
      <c r="C185" s="63" t="n">
        <f aca="false">IF(ISNUMBER(C178),C180-C182-C183-N(C184),"")</f>
        <v>1500.3</v>
      </c>
      <c r="D185" s="63" t="n">
        <f aca="false">IF(ISNUMBER(D178),D180-D182-D183-N(D184),"")</f>
        <v>1740.7</v>
      </c>
      <c r="E185" s="63" t="n">
        <f aca="false">IF(ISNUMBER(E178),E180-E182-E183-N(E184),"")</f>
        <v>1869.5</v>
      </c>
      <c r="F185" s="63" t="n">
        <f aca="false">IF(ISNUMBER(F178),F180-F182-F183-N(F184),"")</f>
        <v>1542.4</v>
      </c>
      <c r="G185" s="63" t="n">
        <f aca="false">IF(ISNUMBER(G178),G180-G182-G183-N(G184),"")</f>
        <v>2049.6</v>
      </c>
      <c r="H185" s="63" t="n">
        <f aca="false">IF(ISNUMBER(H178),H180-H182-H183-N(H184),"")</f>
        <v>2617.2</v>
      </c>
      <c r="I185" s="63" t="n">
        <f aca="false">IF(ISNUMBER(I178),I180-I182-I183-N(I184),"")</f>
        <v>3165.1</v>
      </c>
      <c r="J185" s="63" t="n">
        <f aca="false">IF(ISNUMBER(J178),J180-J182-J183-N(J184),"")</f>
        <v>730.9</v>
      </c>
      <c r="K185" s="63" t="n">
        <f aca="false">IF(ISNUMBER(K178),K180-K182-K183-N(K184),"")</f>
        <v>843.6</v>
      </c>
      <c r="L185" s="63" t="n">
        <f aca="false">IF(ISNUMBER(L178),L180-L182-L183-N(L184),"")</f>
        <v>812.4</v>
      </c>
      <c r="M185" s="63" t="n">
        <f aca="false">IF(ISNUMBER(M178),M180-M182-M183-N(M184),"")</f>
        <v>888</v>
      </c>
      <c r="N185" s="63" t="n">
        <f aca="false">IF(ISNUMBER(N178),N180-N182-N183-N(N184),"")</f>
        <v>3274.9</v>
      </c>
      <c r="O185" s="63" t="n">
        <f aca="false">IF(ISNUMBER(O178),O180-O182-O183-N(O184),"")</f>
        <v>788.9</v>
      </c>
      <c r="P185" s="63" t="n">
        <f aca="false">IF(ISNUMBER(P178),P180-P182-P183-N(P184),"")</f>
        <v>889.3</v>
      </c>
      <c r="Q185" s="63" t="n">
        <f aca="false">IF(ISNUMBER(Q178),Q180-Q182-Q183-N(Q184),"")</f>
        <v>866.2</v>
      </c>
      <c r="R185" s="63" t="n">
        <f aca="false">IF(ISNUMBER(R178),R180-R182-R183-N(R184),"")</f>
        <v>866.9</v>
      </c>
      <c r="S185" s="63" t="n">
        <f aca="false">IF(ISNUMBER(S178),S180-S182-S183-N(S184),"")</f>
        <v>3346.6</v>
      </c>
      <c r="T185" s="63" t="n">
        <f aca="false">IF(ISNUMBER(T178),T180-T182-T183-N(T184),"")</f>
        <v>755.1</v>
      </c>
      <c r="U185" s="63" t="n">
        <f aca="false">IF(ISNUMBER(U178),U180-U182-U183-N(U184),"")</f>
        <v>934.4</v>
      </c>
      <c r="V185" s="63" t="n">
        <f aca="false">IF(ISNUMBER(V178),V180-V182-V183-N(V184),"")</f>
        <v>480</v>
      </c>
      <c r="W185" s="63" t="n">
        <f aca="false">IF(ISNUMBER(W178),W180-W182-W183-N(W184),"")</f>
        <v>651.6</v>
      </c>
      <c r="X185" s="63" t="n">
        <f aca="false">IF(ISNUMBER(X178),X180-X182-X183-N(X184),"")</f>
        <v>2162.2</v>
      </c>
      <c r="Y185" s="63" t="n">
        <f aca="false">IF(ISNUMBER(Y178),Y180-Y182-Y183-N(Y184),"")</f>
        <v>613.1</v>
      </c>
      <c r="Z185" s="63" t="n">
        <f aca="false">IF(ISNUMBER(Z178),Z180-Z182-Z183-N(Z184),"")</f>
        <v>710.1</v>
      </c>
      <c r="AA185" s="63" t="n">
        <f aca="false">IF(ISNUMBER(AA178),AA180-AA182-AA183-N(AA184),"")</f>
        <v>699.100000000001</v>
      </c>
      <c r="AB185" s="63" t="n">
        <f aca="false">IF(ISNUMBER(AB178),AB180-AB182-AB183-N(AB184),"")</f>
        <v>728.6</v>
      </c>
      <c r="AC185" s="63" t="n">
        <f aca="false">IF(ISNUMBER(AC178),AC180-AC182-AC183-N(AC184),"")</f>
        <v>2750.9</v>
      </c>
      <c r="AD185" s="63" t="n">
        <f aca="false">IF(ISNUMBER(AD178),AD180-AD182-AD183-N(AD184),"")</f>
        <v>617</v>
      </c>
      <c r="AE185" s="63" t="n">
        <f aca="false">IF(ISNUMBER(AE178),AE180-AE182-AE183-N(AE184),"")</f>
        <v>676.7</v>
      </c>
      <c r="AF185" s="63" t="n">
        <f aca="false">IF(ISNUMBER(AF178),AF180-AF182-AF183-N(AF184),"")</f>
        <v>759.2</v>
      </c>
      <c r="AG185" s="63" t="n">
        <f aca="false">IF(ISNUMBER(AG178),AG180-AG182-AG183-N(AG184),"")</f>
        <v>937.5</v>
      </c>
      <c r="AH185" s="63" t="n">
        <f aca="false">IF(ISNUMBER(AH178),AH180-AH182-AH183-N(AH184),"")</f>
        <v>2990.4</v>
      </c>
      <c r="AI185" s="63" t="n">
        <f aca="false">IF(ISNUMBER(AI178),AI180-AI182-AI183-N(AI184),"")</f>
        <v>742.999999999999</v>
      </c>
      <c r="AJ185" s="63" t="n">
        <f aca="false">IF(ISNUMBER(AJ178),AJ180-AJ182-AJ183-N(AJ184),"")</f>
        <v>867.5</v>
      </c>
      <c r="AK185" s="63" t="n">
        <f aca="false">IF(ISNUMBER(AK178),AK180-AK182-AK183-N(AK184),"")</f>
        <v>830.700000000001</v>
      </c>
      <c r="AL185" s="63" t="n">
        <f aca="false">IF(ISNUMBER(AL178),AL180-AL182-AL183-N(AL184),"")</f>
        <v>863.4</v>
      </c>
      <c r="AM185" s="63" t="n">
        <f aca="false">IF(ISNUMBER(AM178),AM180-AM182-AM183-N(AM184),"")</f>
        <v>3055.1</v>
      </c>
      <c r="AN185" s="63" t="n">
        <f aca="false">IF(ISNUMBER(AN178),AN180-AN182-AN183-N(AN184),"")</f>
        <v>719.7</v>
      </c>
      <c r="AO185" s="63" t="n">
        <f aca="false">IF(ISNUMBER(AO178),AO180-AO182-AO183-N(AO184),"")</f>
        <v>811.7</v>
      </c>
      <c r="AP185" s="63" t="n">
        <f aca="false">IF(ISNUMBER(AP178),AP180-AP182-AP183-N(AP184),"")</f>
        <v>776.3</v>
      </c>
      <c r="AQ185" s="63" t="n">
        <f aca="false">IF(ISNUMBER(AQ178),AQ180-AQ182-AQ183-N(AQ184),"")</f>
        <v>961.7</v>
      </c>
      <c r="AR185" s="63" t="n">
        <f aca="false">IF(ISNUMBER(AR178),AR180-AR182-AR183-N(AR184),"")</f>
        <v>3269.4</v>
      </c>
      <c r="AS185" s="63" t="n">
        <f aca="false">IF(ISNUMBER(AS178),AS180-AS182-AS183-N(AS184),"")</f>
        <v>697.5</v>
      </c>
      <c r="AT185" s="63" t="n">
        <f aca="false">IF(ISNUMBER(AT178),AT180-AT182-AT183-N(AT184),"")</f>
        <v>844.599999999999</v>
      </c>
      <c r="AU185" s="63" t="n">
        <f aca="false">IF(ISNUMBER(AU178),AU180-AU182-AU183-N(AU184),"")</f>
        <v>1087.6</v>
      </c>
      <c r="AV185" s="63" t="n">
        <f aca="false">IF(ISNUMBER(AV178),AV180-AV182-AV183-N(AV184),"")</f>
        <v>1601</v>
      </c>
      <c r="AW185" s="63" t="n">
        <f aca="false">IF(ISNUMBER(AW178),AW180-AW182-AW183-N(AW184),"")</f>
        <v>4231</v>
      </c>
      <c r="AX185" s="63" t="n">
        <f aca="false">IF(ISNUMBER(AX178),AX180-AX182-AX183-N(AX184),"")</f>
        <v>1997</v>
      </c>
      <c r="AY185" s="63" t="n">
        <f aca="false">IF(ISNUMBER(AY178),AY180-AY182-AY183-N(AY184),"")</f>
        <v>2005</v>
      </c>
      <c r="AZ185" s="63" t="n">
        <f aca="false">IF(ISNUMBER(AZ178),AZ180-AZ182-AZ183-N(AZ184),"")</f>
        <v>1309</v>
      </c>
      <c r="BA185" s="63" t="n">
        <f aca="false">IF(ISNUMBER(BA178),BA180-BA182-BA183-N(BA184),"")</f>
        <v>2154</v>
      </c>
      <c r="BB185" s="63" t="n">
        <f aca="false">IF(ISNUMBER(BB178),BB180-BB182-BB183-N(BB184),"")</f>
        <v>7465</v>
      </c>
      <c r="BC185" s="63" t="n">
        <f aca="false">IF(ISNUMBER(BC178),BC180-BC182-BC183-N(BC184),"")</f>
        <v>2172</v>
      </c>
      <c r="BD185" s="63" t="n">
        <f aca="false">IF(ISNUMBER(BD178),BD180-BD182-BD183-N(BD184),"")</f>
        <v>2205</v>
      </c>
      <c r="BE185" s="63" t="n">
        <f aca="false">IF(ISNUMBER(BE178),BE180-BE182-BE183-N(BE184),"")</f>
        <v>2015</v>
      </c>
      <c r="BF185" s="63" t="n">
        <f aca="false">IF(ISNUMBER(BF178),BF180-BF182-BF183-N(BF184),"")</f>
        <v>1997</v>
      </c>
      <c r="BG185" s="63" t="n">
        <f aca="false">IF(ISNUMBER(BG178),BG180-BG182-BG183-N(BG184),"")</f>
        <v>7536</v>
      </c>
      <c r="BH185" s="63" t="n">
        <f aca="false">IF(ISNUMBER(BH178),BH180-BH182-BH183-N(BH184),"")</f>
        <v>1517</v>
      </c>
      <c r="BI185" s="63" t="n">
        <f aca="false">IF(ISNUMBER(BI178),BI180-BI182-BI183-N(BI184),"")</f>
        <v>1163</v>
      </c>
      <c r="BJ185" s="63" t="n">
        <f aca="false">IF(ISNUMBER(BJ178),BJ180-BJ182-BJ183-N(BJ184),"")</f>
        <v>1185</v>
      </c>
      <c r="BK185" s="63" t="n">
        <f aca="false">IF(ISNUMBER(BK178),BK180-BK182-BK183-N(BK184),"")</f>
        <v>1337</v>
      </c>
      <c r="BL185" s="63" t="n">
        <f aca="false">IF(ISNUMBER(BL178),BL180-BL182-BL183-N(BL184),"")</f>
        <v>5202</v>
      </c>
      <c r="BM185" s="63" t="n">
        <f aca="false">IF(ISNUMBER(BM178),BM180-BM182-BM183-N(BM184),"")</f>
        <v>1312</v>
      </c>
      <c r="BN185" s="63" t="n">
        <f aca="false">IF(ISNUMBER(BN178),BN180-BN182-BN183-N(BN184),"")</f>
        <v>1168</v>
      </c>
      <c r="BO185" s="63" t="n">
        <f aca="false">IF(ISNUMBER(BO178),BO180-BO182-BO183-N(BO184),"")</f>
        <v>958</v>
      </c>
      <c r="BP185" s="63" t="n">
        <f aca="false">IF(ISNUMBER(BP178),BP180-BP182-BP183-N(BP184),"")</f>
        <v>1425</v>
      </c>
      <c r="BQ185" s="63" t="n">
        <f aca="false">IF(ISNUMBER(BQ178),BQ180-BQ182-BQ183-N(BQ184),"")</f>
        <v>4863</v>
      </c>
      <c r="BR185" s="63" t="n">
        <f aca="false">IF(ISNUMBER(BR178),BR180-BR182-BR183-N(BR184),"")</f>
        <v>1274</v>
      </c>
      <c r="BS185" s="63" t="n">
        <f aca="false">IF(ISNUMBER(BS178),BS180-BS182-BS183-N(BS184),"")</f>
        <v>760</v>
      </c>
      <c r="BT185" s="63" t="n">
        <f aca="false">IF(ISNUMBER(BT178),BT180-BT182-BT183-N(BT184),"")</f>
        <v>1154</v>
      </c>
      <c r="BU185" s="63" t="n">
        <f aca="false">IF(ISNUMBER(BU178),BU180-BU182-BU183-N(BU184),"")</f>
        <v>1502</v>
      </c>
      <c r="BV185" s="63" t="n">
        <f aca="false">IF(ISNUMBER(BV178),BV180-BV182-BV183-N(BV184),"")</f>
        <v>4690</v>
      </c>
      <c r="BW185" s="63" t="n">
        <f aca="false">IF(ISNUMBER(BW178),BW180-BW182-BW183-N(BW184),"")</f>
        <v>1344</v>
      </c>
      <c r="BX185" s="63" t="n">
        <f aca="false">IF(ISNUMBER(BX178),BX180-BX182-BX183-N(BX184),"")</f>
        <v>1127</v>
      </c>
      <c r="BY185" s="63" t="n">
        <f aca="false">BY117-BY204-BY241</f>
        <v>1223.73113816422</v>
      </c>
      <c r="BZ185" s="63" t="n">
        <f aca="false">BZ117-BZ204-BZ241</f>
        <v>1822.97638581533</v>
      </c>
      <c r="CA185" s="63" t="n">
        <f aca="false">CA117-CA204-CA241</f>
        <v>5517.70752397956</v>
      </c>
      <c r="CB185" s="63" t="n">
        <f aca="false">CB117-CB204-CB241</f>
        <v>6453.52817978484</v>
      </c>
      <c r="CC185" s="63" t="n">
        <f aca="false">CC117-CC204-CC241</f>
        <v>7148.09289153666</v>
      </c>
      <c r="CD185" s="63" t="n">
        <f aca="false">CD117-CD204-CD241</f>
        <v>7918.45688913192</v>
      </c>
      <c r="CE185" s="63" t="n">
        <f aca="false">CE117-CE204-CE241</f>
        <v>8945.27361077044</v>
      </c>
      <c r="CF185" s="7" t="s">
        <v>328</v>
      </c>
      <c r="CH185" s="22" t="n">
        <f aca="false">IFERROR((CE185/BV185)^(1/5)-1,"n/m")</f>
        <v>0.137847755716744</v>
      </c>
      <c r="CI185" s="22" t="n">
        <f aca="false">IFERROR((BV185/AW185)^(1/5)-1,"n/m")</f>
        <v>0.0208124625492796</v>
      </c>
      <c r="CJ185" s="22" t="n">
        <f aca="false">IFERROR((BV185/X185)^(1/10)-1,"n/m")</f>
        <v>0.0805072816149131</v>
      </c>
      <c r="CK185" s="22" t="n">
        <f aca="false">IFERROR((BV185/C185)^(1/19)-1,"n/m")</f>
        <v>0.0618235527827971</v>
      </c>
    </row>
    <row r="186" customFormat="false" ht="15" hidden="false" customHeight="true" outlineLevel="0" collapsed="false">
      <c r="B186" s="27" t="s">
        <v>329</v>
      </c>
      <c r="C186" s="42" t="n">
        <f aca="false">IF(AND(ISNUMBER(C185),ISNUMBER(C178)),IFERROR(C185/C178,""),"")</f>
        <v>0.15849188155629</v>
      </c>
      <c r="D186" s="42" t="n">
        <f aca="false">IF(AND(ISNUMBER(D185),ISNUMBER(D178)),IFERROR(D185/D178,""),"")</f>
        <v>0.157873733663465</v>
      </c>
      <c r="E186" s="42" t="n">
        <f aca="false">IF(AND(ISNUMBER(E185),ISNUMBER(E178)),IFERROR(E185/E178,""),"")</f>
        <v>0.147233707422721</v>
      </c>
      <c r="F186" s="42" t="n">
        <f aca="false">IF(AND(ISNUMBER(F185),ISNUMBER(F178)),IFERROR(F185/F178,""),"")</f>
        <v>0.13790020474032</v>
      </c>
      <c r="G186" s="42" t="n">
        <f aca="false">IF(AND(ISNUMBER(G185),ISNUMBER(G178)),IFERROR(G185/G178,""),"")</f>
        <v>0.163314741035857</v>
      </c>
      <c r="H186" s="42" t="n">
        <f aca="false">IF(AND(ISNUMBER(H185),ISNUMBER(H178)),IFERROR(H185/H178,""),"")</f>
        <v>0.162654982753799</v>
      </c>
      <c r="I186" s="42" t="n">
        <f aca="false">IF(AND(ISNUMBER(I185),ISNUMBER(I178)),IFERROR(I185/I178,""),"")</f>
        <v>0.173331361854067</v>
      </c>
      <c r="J186" s="42" t="n">
        <f aca="false">IF(AND(ISNUMBER(J185),ISNUMBER(J178)),IFERROR(J185/J178,""),"")</f>
        <v>0.16444304452494</v>
      </c>
      <c r="K186" s="42" t="n">
        <f aca="false">IF(AND(ISNUMBER(K185),ISNUMBER(K178)),IFERROR(K185/K178,""),"")</f>
        <v>0.178068601583113</v>
      </c>
      <c r="L186" s="42" t="n">
        <f aca="false">IF(AND(ISNUMBER(L185),ISNUMBER(L178)),IFERROR(L185/L178,""),"")</f>
        <v>0.173994988327515</v>
      </c>
      <c r="M186" s="42" t="n">
        <f aca="false">IF(AND(ISNUMBER(M185),ISNUMBER(M178)),IFERROR(M185/M178,""),"")</f>
        <v>0.168606527806786</v>
      </c>
      <c r="N186" s="42" t="n">
        <f aca="false">IF(AND(ISNUMBER(N185),ISNUMBER(N178)),IFERROR(N185/N178,""),"")</f>
        <v>0.171299299089863</v>
      </c>
      <c r="O186" s="42" t="n">
        <f aca="false">IF(AND(ISNUMBER(O185),ISNUMBER(O178)),IFERROR(O185/O178,""),"")</f>
        <v>0.169193814742531</v>
      </c>
      <c r="P186" s="42" t="n">
        <f aca="false">IF(AND(ISNUMBER(P185),ISNUMBER(P178)),IFERROR(P185/P178,""),"")</f>
        <v>0.179164316222097</v>
      </c>
      <c r="Q186" s="42" t="n">
        <f aca="false">IF(AND(ISNUMBER(Q185),ISNUMBER(Q178)),IFERROR(Q185/Q178,""),"")</f>
        <v>0.184019884854794</v>
      </c>
      <c r="R186" s="42" t="n">
        <f aca="false">IF(AND(ISNUMBER(R185),ISNUMBER(R178)),IFERROR(R185/R178,""),"")</f>
        <v>0.16593928256958</v>
      </c>
      <c r="S186" s="42" t="n">
        <f aca="false">IF(AND(ISNUMBER(S185),ISNUMBER(S178)),IFERROR(S185/S178,""),"")</f>
        <v>0.174720684974418</v>
      </c>
      <c r="T186" s="42" t="n">
        <f aca="false">IF(AND(ISNUMBER(T185),ISNUMBER(T178)),IFERROR(T185/T178,""),"")</f>
        <v>0.160840948303406</v>
      </c>
      <c r="U186" s="42" t="n">
        <f aca="false">IF(AND(ISNUMBER(U185),ISNUMBER(U178)),IFERROR(U185/U178,""),"")</f>
        <v>0.18837950082658</v>
      </c>
      <c r="V186" s="42" t="n">
        <f aca="false">IF(AND(ISNUMBER(V185),ISNUMBER(V178)),IFERROR(V185/V178,""),"")</f>
        <v>0.136666476852115</v>
      </c>
      <c r="W186" s="42" t="n">
        <f aca="false">IF(AND(ISNUMBER(W185),ISNUMBER(W178)),IFERROR(W185/W178,""),"")</f>
        <v>0.150728660652325</v>
      </c>
      <c r="X186" s="42" t="n">
        <f aca="false">IF(AND(ISNUMBER(X185),ISNUMBER(X178)),IFERROR(X185/X178,""),"")</f>
        <v>0.149802199020348</v>
      </c>
      <c r="Y186" s="42" t="n">
        <f aca="false">IF(AND(ISNUMBER(Y185),ISNUMBER(Y178)),IFERROR(Y185/Y178,""),"")</f>
        <v>0.156239647307663</v>
      </c>
      <c r="Z186" s="42" t="n">
        <f aca="false">IF(AND(ISNUMBER(Z185),ISNUMBER(Z178)),IFERROR(Z185/Z178,""),"")</f>
        <v>0.167401400315896</v>
      </c>
      <c r="AA186" s="42" t="n">
        <f aca="false">IF(AND(ISNUMBER(AA185),ISNUMBER(AA178)),IFERROR(AA185/AA178,""),"")</f>
        <v>0.169187580165049</v>
      </c>
      <c r="AB186" s="42" t="n">
        <f aca="false">IF(AND(ISNUMBER(AB185),ISNUMBER(AB178)),IFERROR(AB185/AB178,""),"")</f>
        <v>0.158933752154091</v>
      </c>
      <c r="AC186" s="42" t="n">
        <f aca="false">IF(AND(ISNUMBER(AC185),ISNUMBER(AC178)),IFERROR(AC185/AC178,""),"")</f>
        <v>0.162944841965597</v>
      </c>
      <c r="AD186" s="42" t="n">
        <f aca="false">IF(AND(ISNUMBER(AD185),ISNUMBER(AD178)),IFERROR(AD185/AD178,""),"")</f>
        <v>0.146705661364339</v>
      </c>
      <c r="AE186" s="42" t="n">
        <f aca="false">IF(AND(ISNUMBER(AE185),ISNUMBER(AE178)),IFERROR(AE185/AE178,""),"")</f>
        <v>0.150041019046141</v>
      </c>
      <c r="AF186" s="42" t="n">
        <f aca="false">IF(AND(ISNUMBER(AF185),ISNUMBER(AF178)),IFERROR(AF185/AF178,""),"")</f>
        <v>0.167660439026545</v>
      </c>
      <c r="AG186" s="42" t="n">
        <f aca="false">IF(AND(ISNUMBER(AG185),ISNUMBER(AG178)),IFERROR(AG185/AG178,""),"")</f>
        <v>0.184340405450577</v>
      </c>
      <c r="AH186" s="42" t="n">
        <f aca="false">IF(AND(ISNUMBER(AH185),ISNUMBER(AH178)),IFERROR(AH185/AH178,""),"")</f>
        <v>0.163145059657278</v>
      </c>
      <c r="AI186" s="42" t="n">
        <f aca="false">IF(AND(ISNUMBER(AI185),ISNUMBER(AI178)),IFERROR(AI185/AI178,""),"")</f>
        <v>0.158239979554457</v>
      </c>
      <c r="AJ186" s="42" t="n">
        <f aca="false">IF(AND(ISNUMBER(AJ185),ISNUMBER(AJ178)),IFERROR(AJ185/AJ178,""),"")</f>
        <v>0.174161814896607</v>
      </c>
      <c r="AK186" s="42" t="n">
        <f aca="false">IF(AND(ISNUMBER(AK185),ISNUMBER(AK178)),IFERROR(AK185/AK178,""),"")</f>
        <v>0.171168943561847</v>
      </c>
      <c r="AL186" s="42" t="n">
        <f aca="false">IF(AND(ISNUMBER(AL185),ISNUMBER(AL178)),IFERROR(AL185/AL178,""),"")</f>
        <v>0.187512216310131</v>
      </c>
      <c r="AM186" s="42" t="n">
        <f aca="false">IF(AND(ISNUMBER(AM185),ISNUMBER(AM178)),IFERROR(AM185/AM178,""),"")</f>
        <v>0.179200516174443</v>
      </c>
      <c r="AN186" s="42" t="n">
        <f aca="false">IF(AND(ISNUMBER(AN185),ISNUMBER(AN178)),IFERROR(AN185/AN178,""),"")</f>
        <v>0.170536941377186</v>
      </c>
      <c r="AO186" s="42" t="n">
        <f aca="false">IF(AND(ISNUMBER(AO185),ISNUMBER(AO178)),IFERROR(AO185/AO178,""),"")</f>
        <v>0.182630217122286</v>
      </c>
      <c r="AP186" s="42" t="n">
        <f aca="false">IF(AND(ISNUMBER(AP185),ISNUMBER(AP178)),IFERROR(AP185/AP178,""),"")</f>
        <v>0.177318410232983</v>
      </c>
      <c r="AQ186" s="42" t="n">
        <f aca="false">IF(AND(ISNUMBER(AQ185),ISNUMBER(AQ178)),IFERROR(AQ185/AQ178,""),"")</f>
        <v>0.197539232602087</v>
      </c>
      <c r="AR186" s="42" t="n">
        <f aca="false">IF(AND(ISNUMBER(AR185),ISNUMBER(AR178)),IFERROR(AR185/AR178,""),"")</f>
        <v>0.182534852689115</v>
      </c>
      <c r="AS186" s="42" t="n">
        <f aca="false">IF(AND(ISNUMBER(AS185),ISNUMBER(AS178)),IFERROR(AS185/AS178,""),"")</f>
        <v>0.160599571734475</v>
      </c>
      <c r="AT186" s="42" t="n">
        <f aca="false">IF(AND(ISNUMBER(AT185),ISNUMBER(AT178)),IFERROR(AT185/AT178,""),"")</f>
        <v>0.15943670479858</v>
      </c>
      <c r="AU186" s="42" t="n">
        <f aca="false">IF(AND(ISNUMBER(AU185),ISNUMBER(AU178)),IFERROR(AU185/AU178,""),"")</f>
        <v>0.184865379385368</v>
      </c>
      <c r="AV186" s="42" t="n">
        <f aca="false">IF(AND(ISNUMBER(AV185),ISNUMBER(AV178)),IFERROR(AV185/AV178,""),"")</f>
        <v>0.236834319526627</v>
      </c>
      <c r="AW186" s="42" t="n">
        <f aca="false">IF(AND(ISNUMBER(AW185),ISNUMBER(AW178)),IFERROR(AW185/AW178,""),"")</f>
        <v>0.189867169269431</v>
      </c>
      <c r="AX186" s="42" t="n">
        <f aca="false">IF(AND(ISNUMBER(AX185),ISNUMBER(AX178)),IFERROR(AX185/AX178,""),"")</f>
        <v>0.29119276757072</v>
      </c>
      <c r="AY186" s="42" t="n">
        <f aca="false">IF(AND(ISNUMBER(AY185),ISNUMBER(AY178)),IFERROR(AY185/AY178,""),"")</f>
        <v>0.277777777777778</v>
      </c>
      <c r="AZ186" s="42" t="n">
        <f aca="false">IF(AND(ISNUMBER(AZ185),ISNUMBER(AZ178)),IFERROR(AZ185/AZ178,""),"")</f>
        <v>0.181076220777424</v>
      </c>
      <c r="BA186" s="42" t="n">
        <f aca="false">IF(AND(ISNUMBER(BA185),ISNUMBER(BA178)),IFERROR(BA185/BA178,""),"")</f>
        <v>0.264359351988218</v>
      </c>
      <c r="BB186" s="42" t="n">
        <f aca="false">IF(AND(ISNUMBER(BB185),ISNUMBER(BB178)),IFERROR(BB185/BB178,""),"")</f>
        <v>0.253454656571487</v>
      </c>
      <c r="BC186" s="42" t="n">
        <f aca="false">IF(AND(ISNUMBER(BC185),ISNUMBER(BC178)),IFERROR(BC185/BC178,""),"")</f>
        <v>0.282518210197711</v>
      </c>
      <c r="BD186" s="42" t="n">
        <f aca="false">IF(AND(ISNUMBER(BD185),ISNUMBER(BD178)),IFERROR(BD185/BD178,""),"")</f>
        <v>0.284479422010063</v>
      </c>
      <c r="BE186" s="42" t="n">
        <f aca="false">IF(AND(ISNUMBER(BE185),ISNUMBER(BE178)),IFERROR(BE185/BE178,""),"")</f>
        <v>0.2629518465353</v>
      </c>
      <c r="BF186" s="42" t="n">
        <f aca="false">IF(AND(ISNUMBER(BF185),ISNUMBER(BF178)),IFERROR(BF185/BF178,""),"")</f>
        <v>0.279927109615924</v>
      </c>
      <c r="BG186" s="42" t="n">
        <f aca="false">IF(AND(ISNUMBER(BG185),ISNUMBER(BG178)),IFERROR(BG185/BG178,""),"")</f>
        <v>0.282851030289382</v>
      </c>
      <c r="BH186" s="42" t="n">
        <f aca="false">IF(AND(ISNUMBER(BH185),ISNUMBER(BH178)),IFERROR(BH185/BH178,""),"")</f>
        <v>0.255000840477391</v>
      </c>
      <c r="BI186" s="42" t="n">
        <f aca="false">IF(AND(ISNUMBER(BI185),ISNUMBER(BI178)),IFERROR(BI185/BI178,""),"")</f>
        <v>0.196718538565629</v>
      </c>
      <c r="BJ186" s="42" t="n">
        <f aca="false">IF(AND(ISNUMBER(BJ185),ISNUMBER(BJ178)),IFERROR(BJ185/BJ178,""),"")</f>
        <v>0.210704125177809</v>
      </c>
      <c r="BK186" s="42" t="n">
        <f aca="false">IF(AND(ISNUMBER(BK185),ISNUMBER(BK178)),IFERROR(BK185/BK178,""),"")</f>
        <v>0.208743169398907</v>
      </c>
      <c r="BL186" s="42" t="n">
        <f aca="false">IF(AND(ISNUMBER(BL185),ISNUMBER(BL178)),IFERROR(BL185/BL178,""),"")</f>
        <v>0.217748011720385</v>
      </c>
      <c r="BM186" s="42" t="n">
        <f aca="false">IF(AND(ISNUMBER(BM185),ISNUMBER(BM178)),IFERROR(BM185/BM178,""),"")</f>
        <v>0.226363008971705</v>
      </c>
      <c r="BN186" s="42" t="n">
        <f aca="false">IF(AND(ISNUMBER(BN185),ISNUMBER(BN178)),IFERROR(BN185/BN178,""),"")</f>
        <v>0.203378025422253</v>
      </c>
      <c r="BO186" s="42" t="n">
        <f aca="false">IF(AND(ISNUMBER(BO185),ISNUMBER(BO178)),IFERROR(BO185/BO178,""),"")</f>
        <v>0.165229389444636</v>
      </c>
      <c r="BP186" s="42" t="n">
        <f aca="false">IF(AND(ISNUMBER(BP185),ISNUMBER(BP178)),IFERROR(BP185/BP178,""),"")</f>
        <v>0.217956561639645</v>
      </c>
      <c r="BQ186" s="42" t="n">
        <f aca="false">IF(AND(ISNUMBER(BQ185),ISNUMBER(BQ178)),IFERROR(BQ185/BQ178,""),"")</f>
        <v>0.203685863874346</v>
      </c>
      <c r="BR186" s="42" t="n">
        <f aca="false">IF(AND(ISNUMBER(BR185),ISNUMBER(BR178)),IFERROR(BR185/BR178,""),"")</f>
        <v>0.221912558787668</v>
      </c>
      <c r="BS186" s="42" t="n">
        <f aca="false">IF(AND(ISNUMBER(BS185),ISNUMBER(BS178)),IFERROR(BS185/BS178,""),"")</f>
        <v>0.128032345013477</v>
      </c>
      <c r="BT186" s="42" t="n">
        <f aca="false">IF(AND(ISNUMBER(BT185),ISNUMBER(BT178)),IFERROR(BT185/BT178,""),"")</f>
        <v>0.190649264827358</v>
      </c>
      <c r="BU186" s="42" t="n">
        <f aca="false">IF(AND(ISNUMBER(BU185),ISNUMBER(BU178)),IFERROR(BU185/BU178,""),"")</f>
        <v>0.219654869844984</v>
      </c>
      <c r="BV186" s="42" t="n">
        <f aca="false">IF(AND(ISNUMBER(BV185),ISNUMBER(BV178)),IFERROR(BV185/BV178,""),"")</f>
        <v>0.190898730055357</v>
      </c>
      <c r="BW186" s="42" t="n">
        <f aca="false">IF(AND(ISNUMBER(BW185),ISNUMBER(BW178)),IFERROR(BW185/BW178,""),"")</f>
        <v>0.225844395899849</v>
      </c>
      <c r="BX186" s="42" t="n">
        <f aca="false">IF(AND(ISNUMBER(BX185),ISNUMBER(BX178)),IFERROR(BX185/BX178,""),"")</f>
        <v>0.179888268156425</v>
      </c>
      <c r="BY186" s="26" t="n">
        <f aca="false">IF(AND(ISNUMBER(BY185),ISNUMBER(BY178)),IFERROR(BY185/BY178,""),"")</f>
        <v>0.184913607654238</v>
      </c>
      <c r="BZ186" s="26" t="n">
        <f aca="false">IF(AND(ISNUMBER(BZ185),ISNUMBER(BZ178)),IFERROR(BZ185/BZ178,""),"")</f>
        <v>0.237844708941479</v>
      </c>
      <c r="CA186" s="26" t="n">
        <f aca="false">IF(AND(ISNUMBER(CA185),ISNUMBER(CA178)),IFERROR(CA185/CA178,""),"")</f>
        <v>0.208227801212576</v>
      </c>
      <c r="CB186" s="26" t="n">
        <f aca="false">IF(AND(ISNUMBER(CB185),ISNUMBER(CB178)),IFERROR(CB185/CB178,""),"")</f>
        <v>0.222644754925316</v>
      </c>
      <c r="CC186" s="26" t="n">
        <f aca="false">IF(AND(ISNUMBER(CC185),ISNUMBER(CC178)),IFERROR(CC185/CC178,""),"")</f>
        <v>0.231445469585076</v>
      </c>
      <c r="CD186" s="26" t="n">
        <f aca="false">IF(AND(ISNUMBER(CD185),ISNUMBER(CD178)),IFERROR(CD185/CD178,""),"")</f>
        <v>0.239423342818468</v>
      </c>
      <c r="CE186" s="26" t="n">
        <f aca="false">IF(AND(ISNUMBER(CE185),ISNUMBER(CE178)),IFERROR(CE185/CE178,""),"")</f>
        <v>0.252449713840586</v>
      </c>
      <c r="CF186" s="7"/>
      <c r="CH186" s="32" t="n">
        <f aca="false">IFERROR(AVERAGE(CA186,CB186,CC186,CD186,CE186),"n/m")</f>
        <v>0.230838216476404</v>
      </c>
      <c r="CI186" s="32" t="n">
        <f aca="false">IFERROR(AVERAGE(BB186,BG186,BL186,BQ186,BV186),"n/m")</f>
        <v>0.229727658502191</v>
      </c>
      <c r="CJ186" s="32" t="n">
        <f aca="false">IFERROR(AVERAGE(AC186,AH186,AM186,AR186,AW186,BB186,BG186,BL186,BQ186,BV186),"n/m")</f>
        <v>0.202633073226682</v>
      </c>
      <c r="CK186" s="32" t="n">
        <f aca="false">IFERROR(AVERAGE(C186,D186,E186,F186,G186,H186,I186,N186,S186,X186,AC186,AH186,AM186,AR186,AW186,BB186,BG186,BL186,BQ186,BV186),"n/m")</f>
        <v>0.181147676418898</v>
      </c>
    </row>
    <row r="187" customFormat="false" ht="15" hidden="false" customHeight="true" outlineLevel="0" collapsed="false">
      <c r="B187" s="65" t="s">
        <v>330</v>
      </c>
      <c r="C187" s="66" t="n">
        <f aca="false">IF(ISNUMBER(C188),IF(ABS(C185-C188)&lt;=0.6,0,ROUND(C185-C188,1)),"")</f>
        <v>0</v>
      </c>
      <c r="D187" s="66" t="n">
        <f aca="false">IF(ISNUMBER(D188),IF(ABS(D185-D188)&lt;=0.6,0,ROUND(D185-D188,1)),"")</f>
        <v>0</v>
      </c>
      <c r="E187" s="66" t="n">
        <f aca="false">IF(ISNUMBER(E188),IF(ABS(E185-E188)&lt;=0.6,0,ROUND(E185-E188,1)),"")</f>
        <v>0</v>
      </c>
      <c r="F187" s="66" t="n">
        <f aca="false">IF(ISNUMBER(F188),IF(ABS(F185-F188)&lt;=0.6,0,ROUND(F185-F188,1)),"")</f>
        <v>0</v>
      </c>
      <c r="G187" s="66" t="n">
        <f aca="false">IF(ISNUMBER(G188),IF(ABS(G185-G188)&lt;=0.6,0,ROUND(G185-G188,1)),"")</f>
        <v>0</v>
      </c>
      <c r="H187" s="66" t="n">
        <f aca="false">IF(ISNUMBER(H188),IF(ABS(H185-H188)&lt;=0.6,0,ROUND(H185-H188,1)),"")</f>
        <v>0</v>
      </c>
      <c r="I187" s="66" t="n">
        <f aca="false">IF(ISNUMBER(I188),IF(ABS(I185-I188)&lt;=0.6,0,ROUND(I185-I188,1)),"")</f>
        <v>0</v>
      </c>
      <c r="J187" s="66" t="n">
        <f aca="false">IF(ISNUMBER(J188),IF(ABS(J185-J188)&lt;=0.6,0,ROUND(J185-J188,1)),"")</f>
        <v>0</v>
      </c>
      <c r="K187" s="66" t="n">
        <f aca="false">IF(ISNUMBER(K188),IF(ABS(K185-K188)&lt;=0.6,0,ROUND(K185-K188,1)),"")</f>
        <v>0</v>
      </c>
      <c r="L187" s="66" t="n">
        <f aca="false">IF(ISNUMBER(L188),IF(ABS(L185-L188)&lt;=0.6,0,ROUND(L185-L188,1)),"")</f>
        <v>0</v>
      </c>
      <c r="M187" s="66" t="n">
        <f aca="false">IF(ISNUMBER(M188),IF(ABS(M185-M188)&lt;=0.6,0,ROUND(M185-M188,1)),"")</f>
        <v>0</v>
      </c>
      <c r="N187" s="66" t="n">
        <f aca="false">IF(ISNUMBER(N188),IF(ABS(N185-N188)&lt;=0.6,0,ROUND(N185-N188,1)),"")</f>
        <v>0</v>
      </c>
      <c r="O187" s="66" t="n">
        <f aca="false">IF(ISNUMBER(O188),IF(ABS(O185-O188)&lt;=0.6,0,ROUND(O185-O188,1)),"")</f>
        <v>0</v>
      </c>
      <c r="P187" s="66" t="n">
        <f aca="false">IF(ISNUMBER(P188),IF(ABS(P185-P188)&lt;=0.6,0,ROUND(P185-P188,1)),"")</f>
        <v>0</v>
      </c>
      <c r="Q187" s="66" t="n">
        <f aca="false">IF(ISNUMBER(Q188),IF(ABS(Q185-Q188)&lt;=0.6,0,ROUND(Q185-Q188,1)),"")</f>
        <v>0</v>
      </c>
      <c r="R187" s="66" t="n">
        <f aca="false">IF(ISNUMBER(R188),IF(ABS(R185-R188)&lt;=0.6,0,ROUND(R185-R188,1)),"")</f>
        <v>0</v>
      </c>
      <c r="S187" s="66" t="n">
        <f aca="false">IF(ISNUMBER(S188),IF(ABS(S185-S188)&lt;=0.6,0,ROUND(S185-S188,1)),"")</f>
        <v>0</v>
      </c>
      <c r="T187" s="66" t="n">
        <f aca="false">IF(ISNUMBER(T188),IF(ABS(T185-T188)&lt;=0.6,0,ROUND(T185-T188,1)),"")</f>
        <v>0</v>
      </c>
      <c r="U187" s="66" t="n">
        <f aca="false">IF(ISNUMBER(U188),IF(ABS(U185-U188)&lt;=0.6,0,ROUND(U185-U188,1)),"")</f>
        <v>0</v>
      </c>
      <c r="V187" s="66" t="n">
        <f aca="false">IF(ISNUMBER(V188),IF(ABS(V185-V188)&lt;=0.6,0,ROUND(V185-V188,1)),"")</f>
        <v>0</v>
      </c>
      <c r="W187" s="66" t="n">
        <f aca="false">IF(ISNUMBER(W188),IF(ABS(W185-W188)&lt;=0.6,0,ROUND(W185-W188,1)),"")</f>
        <v>0</v>
      </c>
      <c r="X187" s="66" t="n">
        <f aca="false">IF(ISNUMBER(X188),IF(ABS(X185-X188)&lt;=0.6,0,ROUND(X185-X188,1)),"")</f>
        <v>0</v>
      </c>
      <c r="Y187" s="66" t="n">
        <f aca="false">IF(ISNUMBER(Y188),IF(ABS(Y185-Y188)&lt;=0.6,0,ROUND(Y185-Y188,1)),"")</f>
        <v>0</v>
      </c>
      <c r="Z187" s="66" t="n">
        <f aca="false">IF(ISNUMBER(Z188),IF(ABS(Z185-Z188)&lt;=0.6,0,ROUND(Z185-Z188,1)),"")</f>
        <v>0</v>
      </c>
      <c r="AA187" s="66" t="n">
        <f aca="false">IF(ISNUMBER(AA188),IF(ABS(AA185-AA188)&lt;=0.6,0,ROUND(AA185-AA188,1)),"")</f>
        <v>0</v>
      </c>
      <c r="AB187" s="66" t="n">
        <f aca="false">IF(ISNUMBER(AB188),IF(ABS(AB185-AB188)&lt;=0.6,0,ROUND(AB185-AB188,1)),"")</f>
        <v>0</v>
      </c>
      <c r="AC187" s="66" t="n">
        <f aca="false">IF(ISNUMBER(AC188),IF(ABS(AC185-AC188)&lt;=0.6,0,ROUND(AC185-AC188,1)),"")</f>
        <v>0</v>
      </c>
      <c r="AD187" s="66" t="n">
        <f aca="false">IF(ISNUMBER(AD188),IF(ABS(AD185-AD188)&lt;=0.6,0,ROUND(AD185-AD188,1)),"")</f>
        <v>0</v>
      </c>
      <c r="AE187" s="66" t="n">
        <f aca="false">IF(ISNUMBER(AE188),IF(ABS(AE185-AE188)&lt;=0.6,0,ROUND(AE185-AE188,1)),"")</f>
        <v>0</v>
      </c>
      <c r="AF187" s="66" t="n">
        <f aca="false">IF(ISNUMBER(AF188),IF(ABS(AF185-AF188)&lt;=0.6,0,ROUND(AF185-AF188,1)),"")</f>
        <v>0</v>
      </c>
      <c r="AG187" s="66" t="n">
        <f aca="false">IF(ISNUMBER(AG188),IF(ABS(AG185-AG188)&lt;=0.6,0,ROUND(AG185-AG188,1)),"")</f>
        <v>0</v>
      </c>
      <c r="AH187" s="66" t="n">
        <f aca="false">IF(ISNUMBER(AH188),IF(ABS(AH185-AH188)&lt;=0.6,0,ROUND(AH185-AH188,1)),"")</f>
        <v>0</v>
      </c>
      <c r="AI187" s="66" t="n">
        <f aca="false">IF(ISNUMBER(AI188),IF(ABS(AI185-AI188)&lt;=0.6,0,ROUND(AI185-AI188,1)),"")</f>
        <v>0</v>
      </c>
      <c r="AJ187" s="66" t="n">
        <f aca="false">IF(ISNUMBER(AJ188),IF(ABS(AJ185-AJ188)&lt;=0.6,0,ROUND(AJ185-AJ188,1)),"")</f>
        <v>0</v>
      </c>
      <c r="AK187" s="66" t="n">
        <f aca="false">IF(ISNUMBER(AK188),IF(ABS(AK185-AK188)&lt;=0.6,0,ROUND(AK185-AK188,1)),"")</f>
        <v>0</v>
      </c>
      <c r="AL187" s="66" t="n">
        <f aca="false">IF(ISNUMBER(AL188),IF(ABS(AL185-AL188)&lt;=0.6,0,ROUND(AL185-AL188,1)),"")</f>
        <v>0</v>
      </c>
      <c r="AM187" s="66" t="n">
        <f aca="false">IF(ISNUMBER(AM188),IF(ABS(AM185-AM188)&lt;=0.6,0,ROUND(AM185-AM188,1)),"")</f>
        <v>0</v>
      </c>
      <c r="AN187" s="66" t="n">
        <f aca="false">IF(ISNUMBER(AN188),IF(ABS(AN185-AN188)&lt;=0.6,0,ROUND(AN185-AN188,1)),"")</f>
        <v>0</v>
      </c>
      <c r="AO187" s="66" t="n">
        <f aca="false">IF(ISNUMBER(AO188),IF(ABS(AO185-AO188)&lt;=0.6,0,ROUND(AO185-AO188,1)),"")</f>
        <v>0</v>
      </c>
      <c r="AP187" s="66" t="n">
        <f aca="false">IF(ISNUMBER(AP188),IF(ABS(AP185-AP188)&lt;=0.6,0,ROUND(AP185-AP188,1)),"")</f>
        <v>0</v>
      </c>
      <c r="AQ187" s="66" t="n">
        <f aca="false">IF(ISNUMBER(AQ188),IF(ABS(AQ185-AQ188)&lt;=0.6,0,ROUND(AQ185-AQ188,1)),"")</f>
        <v>0</v>
      </c>
      <c r="AR187" s="66" t="n">
        <f aca="false">IF(ISNUMBER(AR188),IF(ABS(AR185-AR188)&lt;=0.6,0,ROUND(AR185-AR188,1)),"")</f>
        <v>0</v>
      </c>
      <c r="AS187" s="66" t="n">
        <f aca="false">IF(ISNUMBER(AS188),IF(ABS(AS185-AS188)&lt;=0.6,0,ROUND(AS185-AS188,1)),"")</f>
        <v>0</v>
      </c>
      <c r="AT187" s="66" t="n">
        <f aca="false">IF(ISNUMBER(AT188),IF(ABS(AT185-AT188)&lt;=0.6,0,ROUND(AT185-AT188,1)),"")</f>
        <v>0</v>
      </c>
      <c r="AU187" s="66" t="n">
        <f aca="false">IF(ISNUMBER(AU188),IF(ABS(AU185-AU188)&lt;=0.6,0,ROUND(AU185-AU188,1)),"")</f>
        <v>0</v>
      </c>
      <c r="AV187" s="66" t="n">
        <f aca="false">IF(ISNUMBER(AV188),IF(ABS(AV185-AV188)&lt;=0.6,0,ROUND(AV185-AV188,1)),"")</f>
        <v>0</v>
      </c>
      <c r="AW187" s="66" t="n">
        <f aca="false">IF(ISNUMBER(AW188),IF(ABS(AW185-AW188)&lt;=0.6,0,ROUND(AW185-AW188,1)),"")</f>
        <v>0</v>
      </c>
      <c r="AX187" s="66" t="n">
        <f aca="false">IF(ISNUMBER(AX188),IF(ABS(AX185-AX188)&lt;=0.6,0,ROUND(AX185-AX188,1)),"")</f>
        <v>0</v>
      </c>
      <c r="AY187" s="66" t="n">
        <f aca="false">IF(ISNUMBER(AY188),IF(ABS(AY185-AY188)&lt;=0.6,0,ROUND(AY185-AY188,1)),"")</f>
        <v>0</v>
      </c>
      <c r="AZ187" s="66" t="n">
        <f aca="false">IF(ISNUMBER(AZ188),IF(ABS(AZ185-AZ188)&lt;=0.6,0,ROUND(AZ185-AZ188,1)),"")</f>
        <v>0</v>
      </c>
      <c r="BA187" s="66" t="n">
        <f aca="false">IF(ISNUMBER(BA188),IF(ABS(BA185-BA188)&lt;=0.6,0,ROUND(BA185-BA188,1)),"")</f>
        <v>0</v>
      </c>
      <c r="BB187" s="66" t="n">
        <f aca="false">IF(ISNUMBER(BB188),IF(ABS(BB185-BB188)&lt;=0.6,0,ROUND(BB185-BB188,1)),"")</f>
        <v>0</v>
      </c>
      <c r="BC187" s="66" t="n">
        <f aca="false">IF(ISNUMBER(BC188),IF(ABS(BC185-BC188)&lt;=0.6,0,ROUND(BC185-BC188,1)),"")</f>
        <v>0</v>
      </c>
      <c r="BD187" s="66" t="n">
        <f aca="false">IF(ISNUMBER(BD188),IF(ABS(BD185-BD188)&lt;=0.6,0,ROUND(BD185-BD188,1)),"")</f>
        <v>0</v>
      </c>
      <c r="BE187" s="66" t="n">
        <f aca="false">IF(ISNUMBER(BE188),IF(ABS(BE185-BE188)&lt;=0.6,0,ROUND(BE185-BE188,1)),"")</f>
        <v>0</v>
      </c>
      <c r="BF187" s="66" t="n">
        <f aca="false">IF(ISNUMBER(BF188),IF(ABS(BF185-BF188)&lt;=0.6,0,ROUND(BF185-BF188,1)),"")</f>
        <v>0</v>
      </c>
      <c r="BG187" s="66" t="n">
        <f aca="false">IF(ISNUMBER(BG188),IF(ABS(BG185-BG188)&lt;=0.6,0,ROUND(BG185-BG188,1)),"")</f>
        <v>0</v>
      </c>
      <c r="BH187" s="66" t="n">
        <f aca="false">IF(ISNUMBER(BH188),IF(ABS(BH185-BH188)&lt;=0.6,0,ROUND(BH185-BH188,1)),"")</f>
        <v>0</v>
      </c>
      <c r="BI187" s="66" t="n">
        <f aca="false">IF(ISNUMBER(BI188),IF(ABS(BI185-BI188)&lt;=0.6,0,ROUND(BI185-BI188,1)),"")</f>
        <v>0</v>
      </c>
      <c r="BJ187" s="66" t="n">
        <f aca="false">IF(ISNUMBER(BJ188),IF(ABS(BJ185-BJ188)&lt;=0.6,0,ROUND(BJ185-BJ188,1)),"")</f>
        <v>0</v>
      </c>
      <c r="BK187" s="66" t="n">
        <f aca="false">IF(ISNUMBER(BK188),IF(ABS(BK185-BK188)&lt;=0.6,0,ROUND(BK185-BK188,1)),"")</f>
        <v>0</v>
      </c>
      <c r="BL187" s="66" t="n">
        <f aca="false">IF(ISNUMBER(BL188),IF(ABS(BL185-BL188)&lt;=0.6,0,ROUND(BL185-BL188,1)),"")</f>
        <v>0</v>
      </c>
      <c r="BM187" s="66" t="n">
        <f aca="false">IF(ISNUMBER(BM188),IF(ABS(BM185-BM188)&lt;=0.6,0,ROUND(BM185-BM188,1)),"")</f>
        <v>0</v>
      </c>
      <c r="BN187" s="66" t="n">
        <f aca="false">IF(ISNUMBER(BN188),IF(ABS(BN185-BN188)&lt;=0.6,0,ROUND(BN185-BN188,1)),"")</f>
        <v>0</v>
      </c>
      <c r="BO187" s="66" t="n">
        <f aca="false">IF(ISNUMBER(BO188),IF(ABS(BO185-BO188)&lt;=0.6,0,ROUND(BO185-BO188,1)),"")</f>
        <v>0</v>
      </c>
      <c r="BP187" s="66" t="n">
        <f aca="false">IF(ISNUMBER(BP188),IF(ABS(BP185-BP188)&lt;=0.6,0,ROUND(BP185-BP188,1)),"")</f>
        <v>0</v>
      </c>
      <c r="BQ187" s="66" t="n">
        <f aca="false">IF(ISNUMBER(BQ188),IF(ABS(BQ185-BQ188)&lt;=0.6,0,ROUND(BQ185-BQ188,1)),"")</f>
        <v>0</v>
      </c>
      <c r="BR187" s="66" t="n">
        <f aca="false">IF(ISNUMBER(BR188),IF(ABS(BR185-BR188)&lt;=0.6,0,ROUND(BR185-BR188,1)),"")</f>
        <v>0</v>
      </c>
      <c r="BS187" s="66" t="n">
        <f aca="false">IF(ISNUMBER(BS188),IF(ABS(BS185-BS188)&lt;=0.6,0,ROUND(BS185-BS188,1)),"")</f>
        <v>0</v>
      </c>
      <c r="BT187" s="66" t="n">
        <f aca="false">IF(ISNUMBER(BT188),IF(ABS(BT185-BT188)&lt;=0.6,0,ROUND(BT185-BT188,1)),"")</f>
        <v>0</v>
      </c>
      <c r="BU187" s="66" t="n">
        <f aca="false">IF(ISNUMBER(BU188),IF(ABS(BU185-BU188)&lt;=0.6,0,ROUND(BU185-BU188,1)),"")</f>
        <v>0</v>
      </c>
      <c r="BV187" s="66" t="n">
        <f aca="false">IF(ISNUMBER(BV188),IF(ABS(BV185-BV188)&lt;=0.6,0,ROUND(BV185-BV188,1)),"")</f>
        <v>0</v>
      </c>
      <c r="BW187" s="66" t="n">
        <f aca="false">IF(ISNUMBER(BW188),IF(ABS(BW185-BW188)&lt;=0.6,0,ROUND(BW185-BW188,1)),"")</f>
        <v>0</v>
      </c>
      <c r="BX187" s="66" t="n">
        <f aca="false">IF(ISNUMBER(BX188),IF(ABS(BX185-BX188)&lt;=0.6,0,ROUND(BX185-BX188,1)),"")</f>
        <v>0</v>
      </c>
      <c r="BY187" s="7"/>
      <c r="BZ187" s="7"/>
      <c r="CA187" s="7"/>
      <c r="CB187" s="7"/>
      <c r="CC187" s="7"/>
      <c r="CD187" s="7"/>
      <c r="CE187" s="7"/>
      <c r="CF187" s="7"/>
    </row>
    <row r="188" customFormat="false" ht="15" hidden="false" customHeight="true" outlineLevel="0" collapsed="false">
      <c r="B188" s="50" t="s">
        <v>331</v>
      </c>
      <c r="C188" s="40" t="n">
        <v>1500.2</v>
      </c>
      <c r="D188" s="40" t="n">
        <v>1740.7</v>
      </c>
      <c r="E188" s="40" t="n">
        <v>1869.5</v>
      </c>
      <c r="F188" s="40" t="n">
        <v>1542.5</v>
      </c>
      <c r="G188" s="40" t="n">
        <v>2049.6</v>
      </c>
      <c r="H188" s="40" t="n">
        <v>2617.2</v>
      </c>
      <c r="I188" s="40" t="n">
        <v>3165.1</v>
      </c>
      <c r="J188" s="40" t="n">
        <v>730.9</v>
      </c>
      <c r="K188" s="40" t="n">
        <v>843.6</v>
      </c>
      <c r="L188" s="40" t="n">
        <v>812.4</v>
      </c>
      <c r="M188" s="40" t="n">
        <v>888</v>
      </c>
      <c r="N188" s="40" t="n">
        <v>3274.9</v>
      </c>
      <c r="O188" s="40" t="n">
        <v>788.9</v>
      </c>
      <c r="P188" s="40" t="n">
        <v>889.3</v>
      </c>
      <c r="Q188" s="40" t="n">
        <v>866.2</v>
      </c>
      <c r="R188" s="40" t="n">
        <v>866.9</v>
      </c>
      <c r="S188" s="40" t="n">
        <v>3346.6</v>
      </c>
      <c r="T188" s="40" t="n">
        <v>755.1</v>
      </c>
      <c r="U188" s="40" t="n">
        <v>934.4</v>
      </c>
      <c r="V188" s="40" t="n">
        <v>480</v>
      </c>
      <c r="W188" s="40" t="n">
        <v>651.6</v>
      </c>
      <c r="X188" s="40" t="n">
        <v>2162.2</v>
      </c>
      <c r="Y188" s="40" t="n">
        <v>613.1</v>
      </c>
      <c r="Z188" s="40" t="n">
        <v>710.1</v>
      </c>
      <c r="AA188" s="40" t="n">
        <v>699.1</v>
      </c>
      <c r="AB188" s="40" t="n">
        <v>728.6</v>
      </c>
      <c r="AC188" s="40" t="n">
        <v>2750.9</v>
      </c>
      <c r="AD188" s="40" t="n">
        <v>617</v>
      </c>
      <c r="AE188" s="40" t="n">
        <v>676.7</v>
      </c>
      <c r="AF188" s="40" t="n">
        <v>759.2</v>
      </c>
      <c r="AG188" s="40" t="n">
        <v>937.5</v>
      </c>
      <c r="AH188" s="40" t="n">
        <v>2990.4</v>
      </c>
      <c r="AI188" s="40" t="n">
        <v>743</v>
      </c>
      <c r="AJ188" s="40" t="n">
        <v>867.5</v>
      </c>
      <c r="AK188" s="40" t="n">
        <v>830.7</v>
      </c>
      <c r="AL188" s="40" t="n">
        <v>863.4</v>
      </c>
      <c r="AM188" s="40" t="n">
        <v>3055.1</v>
      </c>
      <c r="AN188" s="40" t="n">
        <v>719.7</v>
      </c>
      <c r="AO188" s="40" t="n">
        <v>811.7</v>
      </c>
      <c r="AP188" s="40" t="n">
        <v>776.3</v>
      </c>
      <c r="AQ188" s="40" t="n">
        <v>961.7</v>
      </c>
      <c r="AR188" s="40" t="n">
        <v>3269.4</v>
      </c>
      <c r="AS188" s="40" t="n">
        <v>697.5</v>
      </c>
      <c r="AT188" s="40" t="n">
        <v>844.6</v>
      </c>
      <c r="AU188" s="40" t="n">
        <v>1087.6</v>
      </c>
      <c r="AV188" s="40" t="n">
        <v>1601</v>
      </c>
      <c r="AW188" s="40" t="n">
        <v>4231</v>
      </c>
      <c r="AX188" s="40" t="n">
        <v>1997</v>
      </c>
      <c r="AY188" s="40" t="n">
        <v>2005</v>
      </c>
      <c r="AZ188" s="40" t="n">
        <v>1309</v>
      </c>
      <c r="BA188" s="40" t="n">
        <v>2154</v>
      </c>
      <c r="BB188" s="40" t="n">
        <v>7465</v>
      </c>
      <c r="BC188" s="40" t="n">
        <v>2172</v>
      </c>
      <c r="BD188" s="40" t="n">
        <v>2205</v>
      </c>
      <c r="BE188" s="40" t="n">
        <v>2015</v>
      </c>
      <c r="BF188" s="40" t="n">
        <v>1997</v>
      </c>
      <c r="BG188" s="40" t="n">
        <v>7536</v>
      </c>
      <c r="BH188" s="40" t="n">
        <v>1517</v>
      </c>
      <c r="BI188" s="40" t="n">
        <v>1163</v>
      </c>
      <c r="BJ188" s="40" t="n">
        <v>1185</v>
      </c>
      <c r="BK188" s="40" t="n">
        <v>1337</v>
      </c>
      <c r="BL188" s="40" t="n">
        <v>5202</v>
      </c>
      <c r="BM188" s="40" t="n">
        <v>1312</v>
      </c>
      <c r="BN188" s="40" t="n">
        <v>1168</v>
      </c>
      <c r="BO188" s="40" t="n">
        <v>958</v>
      </c>
      <c r="BP188" s="40" t="n">
        <v>1425</v>
      </c>
      <c r="BQ188" s="40" t="n">
        <v>4863</v>
      </c>
      <c r="BR188" s="40" t="n">
        <v>1274</v>
      </c>
      <c r="BS188" s="40" t="n">
        <v>760</v>
      </c>
      <c r="BT188" s="40" t="n">
        <v>1154</v>
      </c>
      <c r="BU188" s="40" t="n">
        <v>1502</v>
      </c>
      <c r="BV188" s="40" t="n">
        <v>4690</v>
      </c>
      <c r="BW188" s="40" t="n">
        <v>1344</v>
      </c>
      <c r="BX188" s="40" t="n">
        <v>1127</v>
      </c>
      <c r="BY188" s="7"/>
      <c r="BZ188" s="7"/>
      <c r="CA188" s="7"/>
      <c r="CB188" s="7"/>
      <c r="CC188" s="7"/>
      <c r="CD188" s="7"/>
      <c r="CE188" s="7"/>
      <c r="CF188" s="7"/>
    </row>
    <row r="189" customFormat="false" ht="15" hidden="false" customHeight="true" outlineLevel="0" collapsed="false">
      <c r="B189" s="27" t="s">
        <v>332</v>
      </c>
      <c r="C189" s="40" t="n">
        <v>0</v>
      </c>
      <c r="D189" s="40" t="n">
        <v>0</v>
      </c>
      <c r="E189" s="40" t="n">
        <v>0</v>
      </c>
      <c r="F189" s="40" t="n">
        <v>0</v>
      </c>
      <c r="G189" s="40" t="n">
        <v>291</v>
      </c>
      <c r="H189" s="40" t="n">
        <v>-32.9</v>
      </c>
      <c r="I189" s="40" t="n">
        <v>0</v>
      </c>
      <c r="J189" s="40" t="n">
        <v>229.8</v>
      </c>
      <c r="K189" s="40" t="n">
        <v>0</v>
      </c>
      <c r="L189" s="40" t="n">
        <v>0</v>
      </c>
      <c r="M189" s="40" t="n">
        <v>201.5</v>
      </c>
      <c r="N189" s="40" t="n">
        <v>431.3</v>
      </c>
      <c r="O189" s="40" t="n">
        <v>0</v>
      </c>
      <c r="P189" s="40" t="n">
        <v>19.2</v>
      </c>
      <c r="Q189" s="40" t="n">
        <v>38.2</v>
      </c>
      <c r="R189" s="40" t="n">
        <v>99.1</v>
      </c>
      <c r="S189" s="40" t="n">
        <v>156.5</v>
      </c>
      <c r="T189" s="40" t="n">
        <v>0</v>
      </c>
      <c r="U189" s="40" t="n">
        <v>0</v>
      </c>
      <c r="V189" s="40" t="n">
        <v>12.4</v>
      </c>
      <c r="W189" s="40" t="n">
        <v>0</v>
      </c>
      <c r="X189" s="40" t="n">
        <v>12.4</v>
      </c>
      <c r="Y189" s="40" t="n">
        <v>223.4</v>
      </c>
      <c r="Z189" s="40" t="n">
        <v>0</v>
      </c>
      <c r="AA189" s="40" t="n">
        <v>-178.8</v>
      </c>
      <c r="AB189" s="40" t="n">
        <v>0</v>
      </c>
      <c r="AC189" s="40" t="n">
        <v>44.6</v>
      </c>
      <c r="AD189" s="40" t="n">
        <v>6.9</v>
      </c>
      <c r="AE189" s="40" t="n">
        <v>7</v>
      </c>
      <c r="AF189" s="40" t="n">
        <v>8.3</v>
      </c>
      <c r="AG189" s="40" t="n">
        <v>81.4</v>
      </c>
      <c r="AH189" s="40" t="n">
        <v>103.6</v>
      </c>
      <c r="AI189" s="40" t="n">
        <v>7.8</v>
      </c>
      <c r="AJ189" s="40" t="n">
        <v>8.3</v>
      </c>
      <c r="AK189" s="40" t="n">
        <v>9.1</v>
      </c>
      <c r="AL189" s="40" t="n">
        <v>11.2</v>
      </c>
      <c r="AM189" s="40" t="n">
        <v>34.5</v>
      </c>
      <c r="AN189" s="40" t="n">
        <v>5.1</v>
      </c>
      <c r="AO189" s="40" t="n">
        <v>5</v>
      </c>
      <c r="AP189" s="40" t="n">
        <v>4.2</v>
      </c>
      <c r="AQ189" s="40" t="n">
        <v>-8.8</v>
      </c>
      <c r="AR189" s="40" t="n">
        <v>5.5</v>
      </c>
      <c r="AS189" s="40" t="n">
        <v>-1.5</v>
      </c>
      <c r="AT189" s="40" t="n">
        <v>453.9</v>
      </c>
      <c r="AU189" s="40" t="n">
        <v>6.4</v>
      </c>
      <c r="AV189" s="40" t="n">
        <v>9</v>
      </c>
      <c r="AW189" s="40" t="n">
        <v>468</v>
      </c>
      <c r="AX189" s="40" t="n">
        <v>140</v>
      </c>
      <c r="AY189" s="40" t="n">
        <v>97</v>
      </c>
      <c r="AZ189" s="40" t="n">
        <v>137</v>
      </c>
      <c r="BA189" s="40" t="n">
        <v>-14</v>
      </c>
      <c r="BB189" s="40" t="n">
        <v>360</v>
      </c>
      <c r="BC189" s="40" t="n">
        <v>-20</v>
      </c>
      <c r="BD189" s="40" t="n">
        <v>-87</v>
      </c>
      <c r="BE189" s="40" t="n">
        <v>-51</v>
      </c>
      <c r="BF189" s="40" t="n">
        <v>-69</v>
      </c>
      <c r="BG189" s="40" t="n">
        <v>-227</v>
      </c>
      <c r="BH189" s="40" t="n">
        <v>24</v>
      </c>
      <c r="BI189" s="40" t="n">
        <v>-15</v>
      </c>
      <c r="BJ189" s="40" t="n">
        <v>-47</v>
      </c>
      <c r="BK189" s="40" t="n">
        <v>-137</v>
      </c>
      <c r="BL189" s="40" t="n">
        <v>-175</v>
      </c>
      <c r="BM189" s="40" t="n">
        <v>-36</v>
      </c>
      <c r="BN189" s="40" t="n">
        <v>-59</v>
      </c>
      <c r="BO189" s="40" t="n">
        <v>102</v>
      </c>
      <c r="BP189" s="40" t="n">
        <v>-63</v>
      </c>
      <c r="BQ189" s="40" t="n">
        <v>-56</v>
      </c>
      <c r="BR189" s="40" t="n">
        <v>-79</v>
      </c>
      <c r="BS189" s="40" t="n">
        <v>-42</v>
      </c>
      <c r="BT189" s="40" t="n">
        <v>-14</v>
      </c>
      <c r="BU189" s="40" t="n">
        <v>-87</v>
      </c>
      <c r="BV189" s="40" t="n">
        <v>-222</v>
      </c>
      <c r="BW189" s="40" t="n">
        <v>-73</v>
      </c>
      <c r="BX189" s="40" t="n">
        <v>-3</v>
      </c>
      <c r="BY189" s="43" t="n">
        <v>0</v>
      </c>
      <c r="BZ189" s="43" t="n">
        <v>0</v>
      </c>
      <c r="CA189" s="41" t="n">
        <f aca="false">SUM(BW189,BX189,BY189,BZ189)</f>
        <v>-76</v>
      </c>
      <c r="CB189" s="43" t="n">
        <v>0</v>
      </c>
      <c r="CC189" s="43" t="n">
        <v>0</v>
      </c>
      <c r="CD189" s="43" t="n">
        <v>0</v>
      </c>
      <c r="CE189" s="43" t="n">
        <v>0</v>
      </c>
      <c r="CF189" s="37" t="s">
        <v>333</v>
      </c>
    </row>
    <row r="190" customFormat="false" ht="15" hidden="false" customHeight="true" outlineLevel="0" collapsed="false">
      <c r="B190" s="27" t="s">
        <v>334</v>
      </c>
      <c r="C190" s="40" t="n">
        <v>79.4</v>
      </c>
      <c r="D190" s="40" t="n">
        <v>109.7</v>
      </c>
      <c r="E190" s="40" t="n">
        <v>130.2</v>
      </c>
      <c r="F190" s="40" t="n">
        <v>122.7</v>
      </c>
      <c r="G190" s="40" t="n">
        <v>117.2</v>
      </c>
      <c r="H190" s="40" t="n">
        <v>141.6</v>
      </c>
      <c r="I190" s="40" t="n">
        <v>157.5</v>
      </c>
      <c r="J190" s="40" t="n">
        <v>39.2</v>
      </c>
      <c r="K190" s="40" t="n">
        <v>39.4</v>
      </c>
      <c r="L190" s="40" t="n">
        <v>35</v>
      </c>
      <c r="M190" s="40" t="n">
        <v>32.3</v>
      </c>
      <c r="N190" s="40" t="n">
        <v>145.9</v>
      </c>
      <c r="O190" s="40" t="n">
        <v>32.5</v>
      </c>
      <c r="P190" s="40" t="n">
        <v>33.2</v>
      </c>
      <c r="Q190" s="40" t="n">
        <v>29.6</v>
      </c>
      <c r="R190" s="40" t="n">
        <v>25.7</v>
      </c>
      <c r="S190" s="40" t="n">
        <v>119.1</v>
      </c>
      <c r="T190" s="40" t="n">
        <v>29.3</v>
      </c>
      <c r="U190" s="40" t="n">
        <v>29</v>
      </c>
      <c r="V190" s="40" t="n">
        <v>39.1</v>
      </c>
      <c r="W190" s="40" t="n">
        <v>50.7</v>
      </c>
      <c r="X190" s="40" t="n">
        <v>139.8</v>
      </c>
      <c r="Y190" s="40" t="n">
        <v>52.9</v>
      </c>
      <c r="Z190" s="40" t="n">
        <v>55.5</v>
      </c>
      <c r="AA190" s="40" t="n">
        <v>43.7</v>
      </c>
      <c r="AB190" s="40" t="n">
        <v>32.3</v>
      </c>
      <c r="AC190" s="40" t="n">
        <v>184.4</v>
      </c>
      <c r="AD190" s="40" t="n">
        <v>40.3</v>
      </c>
      <c r="AE190" s="40" t="n">
        <v>40.7</v>
      </c>
      <c r="AF190" s="40" t="n">
        <v>39.9</v>
      </c>
      <c r="AG190" s="40" t="n">
        <v>41.8</v>
      </c>
      <c r="AH190" s="40" t="n">
        <v>162.7</v>
      </c>
      <c r="AI190" s="40" t="n">
        <v>39.1</v>
      </c>
      <c r="AJ190" s="40" t="n">
        <v>43.2</v>
      </c>
      <c r="AK190" s="40" t="n">
        <v>41.3</v>
      </c>
      <c r="AL190" s="40" t="n">
        <v>29.6</v>
      </c>
      <c r="AM190" s="40" t="n">
        <v>136.9</v>
      </c>
      <c r="AN190" s="40" t="n">
        <v>20.5</v>
      </c>
      <c r="AO190" s="40" t="n">
        <v>19.7</v>
      </c>
      <c r="AP190" s="40" t="n">
        <v>24</v>
      </c>
      <c r="AQ190" s="40" t="n">
        <v>44.4</v>
      </c>
      <c r="AR190" s="40" t="n">
        <v>108.6</v>
      </c>
      <c r="AS190" s="40" t="n">
        <v>47.4</v>
      </c>
      <c r="AT190" s="40" t="n">
        <v>78.6</v>
      </c>
      <c r="AU190" s="40" t="n">
        <v>76.7</v>
      </c>
      <c r="AV190" s="40" t="n">
        <v>72</v>
      </c>
      <c r="AW190" s="40" t="n">
        <v>275</v>
      </c>
      <c r="AX190" s="40" t="n">
        <v>58</v>
      </c>
      <c r="AY190" s="40" t="n">
        <v>62</v>
      </c>
      <c r="AZ190" s="40" t="n">
        <v>62</v>
      </c>
      <c r="BA190" s="40" t="n">
        <v>56</v>
      </c>
      <c r="BB190" s="40" t="n">
        <v>238</v>
      </c>
      <c r="BC190" s="40" t="n">
        <v>54</v>
      </c>
      <c r="BD190" s="40" t="n">
        <v>51</v>
      </c>
      <c r="BE190" s="40" t="n">
        <v>42</v>
      </c>
      <c r="BF190" s="40" t="n">
        <v>62</v>
      </c>
      <c r="BG190" s="40" t="n">
        <v>204</v>
      </c>
      <c r="BH190" s="40" t="n">
        <v>66</v>
      </c>
      <c r="BI190" s="40" t="n">
        <v>65</v>
      </c>
      <c r="BJ190" s="40" t="n">
        <v>70</v>
      </c>
      <c r="BK190" s="40" t="n">
        <v>85</v>
      </c>
      <c r="BL190" s="40" t="n">
        <v>286</v>
      </c>
      <c r="BM190" s="40" t="n">
        <v>65</v>
      </c>
      <c r="BN190" s="40" t="n">
        <v>65</v>
      </c>
      <c r="BO190" s="40" t="n">
        <v>87</v>
      </c>
      <c r="BP190" s="40" t="n">
        <v>61</v>
      </c>
      <c r="BQ190" s="40" t="n">
        <v>278</v>
      </c>
      <c r="BR190" s="40" t="n">
        <v>72</v>
      </c>
      <c r="BS190" s="40" t="n">
        <v>71</v>
      </c>
      <c r="BT190" s="40" t="n">
        <v>67</v>
      </c>
      <c r="BU190" s="40" t="n">
        <v>55</v>
      </c>
      <c r="BV190" s="40" t="n">
        <v>265</v>
      </c>
      <c r="BW190" s="40" t="n">
        <v>63</v>
      </c>
      <c r="BX190" s="40" t="n">
        <v>107</v>
      </c>
      <c r="BY190" s="41" t="n">
        <f aca="false">($CP$17-((BW190+BX190)-(BW191+BX191)))/2+BY191</f>
        <v>129</v>
      </c>
      <c r="BZ190" s="41" t="n">
        <f aca="false">($CP$17-((BW190+BX190)-(BW191+BX191)))/2+BZ191</f>
        <v>129</v>
      </c>
      <c r="CA190" s="41" t="n">
        <f aca="false">SUM(BW190,BX190,BY190,BZ190)</f>
        <v>428</v>
      </c>
      <c r="CB190" s="41" t="n">
        <f aca="false">CA417*CB422+CA420*CB423</f>
        <v>495.425192383247</v>
      </c>
      <c r="CC190" s="41" t="n">
        <f aca="false">CB417*CC422+CB420*CC423</f>
        <v>460.746</v>
      </c>
      <c r="CD190" s="41" t="n">
        <f aca="false">CC417*CD422+CC420*CD423</f>
        <v>531.809388615395</v>
      </c>
      <c r="CE190" s="41" t="n">
        <f aca="false">CD417*CE422+CD420*CE423</f>
        <v>597.662717265449</v>
      </c>
      <c r="CF190" s="37" t="s">
        <v>335</v>
      </c>
    </row>
    <row r="191" customFormat="false" ht="15" hidden="false" customHeight="true" outlineLevel="0" collapsed="false">
      <c r="B191" s="27" t="s">
        <v>336</v>
      </c>
      <c r="C191" s="40" t="n">
        <v>8</v>
      </c>
      <c r="D191" s="40" t="n">
        <v>6.1</v>
      </c>
      <c r="E191" s="40" t="n">
        <v>10</v>
      </c>
      <c r="F191" s="40" t="n">
        <v>5</v>
      </c>
      <c r="G191" s="40" t="n">
        <v>6.1</v>
      </c>
      <c r="H191" s="40" t="n">
        <v>5.1</v>
      </c>
      <c r="I191" s="40" t="n">
        <v>3.2</v>
      </c>
      <c r="J191" s="40" t="n">
        <v>0.9</v>
      </c>
      <c r="K191" s="40" t="n">
        <v>1.6</v>
      </c>
      <c r="L191" s="40" t="n">
        <v>1.4</v>
      </c>
      <c r="M191" s="40" t="n">
        <v>1.8</v>
      </c>
      <c r="N191" s="40" t="n">
        <v>5.7</v>
      </c>
      <c r="O191" s="40" t="n">
        <v>4.9</v>
      </c>
      <c r="P191" s="40" t="n">
        <v>3.7</v>
      </c>
      <c r="Q191" s="40" t="n">
        <v>3.6</v>
      </c>
      <c r="R191" s="40" t="n">
        <v>4.5</v>
      </c>
      <c r="S191" s="40" t="n">
        <v>16.7</v>
      </c>
      <c r="T191" s="40" t="n">
        <v>2.3</v>
      </c>
      <c r="U191" s="40" t="n">
        <v>2.3</v>
      </c>
      <c r="V191" s="40" t="n">
        <v>0.6</v>
      </c>
      <c r="W191" s="40" t="n">
        <v>0</v>
      </c>
      <c r="X191" s="40" t="n">
        <v>4.6</v>
      </c>
      <c r="Y191" s="40" t="n">
        <v>0</v>
      </c>
      <c r="Z191" s="40" t="n">
        <v>0</v>
      </c>
      <c r="AA191" s="40" t="n">
        <v>0.1</v>
      </c>
      <c r="AB191" s="40" t="n">
        <v>0.1</v>
      </c>
      <c r="AC191" s="40" t="n">
        <v>0.2</v>
      </c>
      <c r="AD191" s="40" t="n">
        <v>1.6</v>
      </c>
      <c r="AE191" s="40" t="n">
        <v>1.8</v>
      </c>
      <c r="AF191" s="40" t="n">
        <v>2.2</v>
      </c>
      <c r="AG191" s="40" t="n">
        <v>1.9</v>
      </c>
      <c r="AH191" s="40" t="n">
        <v>7.5</v>
      </c>
      <c r="AI191" s="40" t="n">
        <v>1.4</v>
      </c>
      <c r="AJ191" s="40" t="n">
        <v>2.5</v>
      </c>
      <c r="AK191" s="40" t="n">
        <v>2.8</v>
      </c>
      <c r="AL191" s="40" t="n">
        <v>2.5</v>
      </c>
      <c r="AM191" s="40" t="n">
        <v>9.2</v>
      </c>
      <c r="AN191" s="40" t="n">
        <v>15.7</v>
      </c>
      <c r="AO191" s="40" t="n">
        <v>26.2</v>
      </c>
      <c r="AP191" s="40" t="n">
        <v>30.1</v>
      </c>
      <c r="AQ191" s="40" t="n">
        <v>67</v>
      </c>
      <c r="AR191" s="40" t="n">
        <v>139</v>
      </c>
      <c r="AS191" s="40" t="n">
        <v>62.5</v>
      </c>
      <c r="AT191" s="40" t="n">
        <v>1</v>
      </c>
      <c r="AU191" s="40" t="n">
        <v>4.2</v>
      </c>
      <c r="AV191" s="40" t="n">
        <v>4</v>
      </c>
      <c r="AW191" s="40" t="n">
        <v>71</v>
      </c>
      <c r="AX191" s="40" t="n">
        <v>4</v>
      </c>
      <c r="AY191" s="40" t="n">
        <v>3</v>
      </c>
      <c r="AZ191" s="40" t="n">
        <v>3</v>
      </c>
      <c r="BA191" s="40" t="n">
        <v>1</v>
      </c>
      <c r="BB191" s="40" t="n">
        <v>11</v>
      </c>
      <c r="BC191" s="40" t="n">
        <v>1</v>
      </c>
      <c r="BD191" s="40" t="n">
        <v>2</v>
      </c>
      <c r="BE191" s="40" t="n">
        <v>9</v>
      </c>
      <c r="BF191" s="40" t="n">
        <v>29</v>
      </c>
      <c r="BG191" s="40" t="n">
        <v>41</v>
      </c>
      <c r="BH191" s="40" t="n">
        <v>48</v>
      </c>
      <c r="BI191" s="40" t="n">
        <v>59</v>
      </c>
      <c r="BJ191" s="40" t="n">
        <v>79</v>
      </c>
      <c r="BK191" s="40" t="n">
        <v>117</v>
      </c>
      <c r="BL191" s="40" t="n">
        <v>303</v>
      </c>
      <c r="BM191" s="40" t="n">
        <v>60</v>
      </c>
      <c r="BN191" s="40" t="n">
        <v>39</v>
      </c>
      <c r="BO191" s="40" t="n">
        <v>4</v>
      </c>
      <c r="BP191" s="40" t="n">
        <v>14</v>
      </c>
      <c r="BQ191" s="40" t="n">
        <v>117</v>
      </c>
      <c r="BR191" s="40" t="n">
        <v>6</v>
      </c>
      <c r="BS191" s="40" t="n">
        <v>8</v>
      </c>
      <c r="BT191" s="40" t="n">
        <v>3</v>
      </c>
      <c r="BU191" s="40" t="n">
        <v>13</v>
      </c>
      <c r="BV191" s="40" t="n">
        <v>30</v>
      </c>
      <c r="BW191" s="40" t="n">
        <v>27</v>
      </c>
      <c r="BX191" s="40" t="n">
        <v>61</v>
      </c>
      <c r="BY191" s="43" t="n">
        <v>15</v>
      </c>
      <c r="BZ191" s="43" t="n">
        <v>15</v>
      </c>
      <c r="CA191" s="41" t="n">
        <f aca="false">SUM(BW191,BX191,BY191,BZ191)</f>
        <v>118</v>
      </c>
      <c r="CB191" s="41" t="n">
        <f aca="false">CA318*CB424</f>
        <v>59.9999999999999</v>
      </c>
      <c r="CC191" s="41" t="n">
        <f aca="false">CB318*CC424</f>
        <v>72.592789361852</v>
      </c>
      <c r="CD191" s="41" t="n">
        <f aca="false">CC318*CD424</f>
        <v>60</v>
      </c>
      <c r="CE191" s="41" t="n">
        <f aca="false">CD318*CE424</f>
        <v>60</v>
      </c>
      <c r="CF191" s="37" t="s">
        <v>337</v>
      </c>
    </row>
    <row r="192" customFormat="false" ht="15" hidden="false" customHeight="true" outlineLevel="0" collapsed="false">
      <c r="B192" s="18" t="s">
        <v>338</v>
      </c>
      <c r="C192" s="44" t="n">
        <f aca="false">IF(ISNUMBER(C185),C185+N(C189)-C190+N(C191),"")</f>
        <v>1428.9</v>
      </c>
      <c r="D192" s="44" t="n">
        <f aca="false">IF(ISNUMBER(D185),D185+N(D189)-D190+N(D191),"")</f>
        <v>1637.1</v>
      </c>
      <c r="E192" s="44" t="n">
        <f aca="false">IF(ISNUMBER(E185),E185+N(E189)-E190+N(E191),"")</f>
        <v>1749.3</v>
      </c>
      <c r="F192" s="44" t="n">
        <f aca="false">IF(ISNUMBER(F185),F185+N(F189)-F190+N(F191),"")</f>
        <v>1424.7</v>
      </c>
      <c r="G192" s="44" t="n">
        <f aca="false">IF(ISNUMBER(G185),G185+N(G189)-G190+N(G191),"")</f>
        <v>2229.5</v>
      </c>
      <c r="H192" s="44" t="n">
        <f aca="false">IF(ISNUMBER(H185),H185+N(H189)-H190+N(H191),"")</f>
        <v>2447.8</v>
      </c>
      <c r="I192" s="44" t="n">
        <f aca="false">IF(ISNUMBER(I185),I185+N(I189)-I190+N(I191),"")</f>
        <v>3010.8</v>
      </c>
      <c r="J192" s="44" t="n">
        <f aca="false">IF(ISNUMBER(J185),J185+N(J189)-J190+N(J191),"")</f>
        <v>922.4</v>
      </c>
      <c r="K192" s="44" t="n">
        <f aca="false">IF(ISNUMBER(K185),K185+N(K189)-K190+N(K191),"")</f>
        <v>805.8</v>
      </c>
      <c r="L192" s="44" t="n">
        <f aca="false">IF(ISNUMBER(L185),L185+N(L189)-L190+N(L191),"")</f>
        <v>778.8</v>
      </c>
      <c r="M192" s="44" t="n">
        <f aca="false">IF(ISNUMBER(M185),M185+N(M189)-M190+N(M191),"")</f>
        <v>1059</v>
      </c>
      <c r="N192" s="44" t="n">
        <f aca="false">IF(ISNUMBER(N185),N185+N(N189)-N190+N(N191),"")</f>
        <v>3566</v>
      </c>
      <c r="O192" s="44" t="n">
        <f aca="false">IF(ISNUMBER(O185),O185+N(O189)-O190+N(O191),"")</f>
        <v>761.3</v>
      </c>
      <c r="P192" s="44" t="n">
        <f aca="false">IF(ISNUMBER(P185),P185+N(P189)-P190+N(P191),"")</f>
        <v>879</v>
      </c>
      <c r="Q192" s="44" t="n">
        <f aca="false">IF(ISNUMBER(Q185),Q185+N(Q189)-Q190+N(Q191),"")</f>
        <v>878.4</v>
      </c>
      <c r="R192" s="44" t="n">
        <f aca="false">IF(ISNUMBER(R185),R185+N(R189)-R190+N(R191),"")</f>
        <v>944.8</v>
      </c>
      <c r="S192" s="44" t="n">
        <f aca="false">IF(ISNUMBER(S185),S185+N(S189)-S190+N(S191),"")</f>
        <v>3400.7</v>
      </c>
      <c r="T192" s="44" t="n">
        <f aca="false">IF(ISNUMBER(T185),T185+N(T189)-T190+N(T191),"")</f>
        <v>728.1</v>
      </c>
      <c r="U192" s="44" t="n">
        <f aca="false">IF(ISNUMBER(U185),U185+N(U189)-U190+N(U191),"")</f>
        <v>907.7</v>
      </c>
      <c r="V192" s="44" t="n">
        <f aca="false">IF(ISNUMBER(V185),V185+N(V189)-V190+N(V191),"")</f>
        <v>453.9</v>
      </c>
      <c r="W192" s="44" t="n">
        <f aca="false">IF(ISNUMBER(W185),W185+N(W189)-W190+N(W191),"")</f>
        <v>600.9</v>
      </c>
      <c r="X192" s="44" t="n">
        <f aca="false">IF(ISNUMBER(X185),X185+N(X189)-X190+N(X191),"")</f>
        <v>2039.4</v>
      </c>
      <c r="Y192" s="44" t="n">
        <f aca="false">IF(ISNUMBER(Y185),Y185+N(Y189)-Y190+N(Y191),"")</f>
        <v>783.6</v>
      </c>
      <c r="Z192" s="44" t="n">
        <f aca="false">IF(ISNUMBER(Z185),Z185+N(Z189)-Z190+N(Z191),"")</f>
        <v>654.6</v>
      </c>
      <c r="AA192" s="44" t="n">
        <f aca="false">IF(ISNUMBER(AA185),AA185+N(AA189)-AA190+N(AA191),"")</f>
        <v>476.7</v>
      </c>
      <c r="AB192" s="44" t="n">
        <f aca="false">IF(ISNUMBER(AB185),AB185+N(AB189)-AB190+N(AB191),"")</f>
        <v>696.4</v>
      </c>
      <c r="AC192" s="44" t="n">
        <f aca="false">IF(ISNUMBER(AC185),AC185+N(AC189)-AC190+N(AC191),"")</f>
        <v>2611.3</v>
      </c>
      <c r="AD192" s="44" t="n">
        <f aca="false">IF(ISNUMBER(AD185),AD185+N(AD189)-AD190+N(AD191),"")</f>
        <v>585.2</v>
      </c>
      <c r="AE192" s="44" t="n">
        <f aca="false">IF(ISNUMBER(AE185),AE185+N(AE189)-AE190+N(AE191),"")</f>
        <v>644.8</v>
      </c>
      <c r="AF192" s="44" t="n">
        <f aca="false">IF(ISNUMBER(AF185),AF185+N(AF189)-AF190+N(AF191),"")</f>
        <v>729.8</v>
      </c>
      <c r="AG192" s="44" t="n">
        <f aca="false">IF(ISNUMBER(AG185),AG185+N(AG189)-AG190+N(AG191),"")</f>
        <v>979</v>
      </c>
      <c r="AH192" s="44" t="n">
        <f aca="false">IF(ISNUMBER(AH185),AH185+N(AH189)-AH190+N(AH191),"")</f>
        <v>2938.8</v>
      </c>
      <c r="AI192" s="44" t="n">
        <f aca="false">IF(ISNUMBER(AI185),AI185+N(AI189)-AI190+N(AI191),"")</f>
        <v>713.099999999999</v>
      </c>
      <c r="AJ192" s="44" t="n">
        <f aca="false">IF(ISNUMBER(AJ185),AJ185+N(AJ189)-AJ190+N(AJ191),"")</f>
        <v>835.1</v>
      </c>
      <c r="AK192" s="44" t="n">
        <f aca="false">IF(ISNUMBER(AK185),AK185+N(AK189)-AK190+N(AK191),"")</f>
        <v>801.300000000001</v>
      </c>
      <c r="AL192" s="44" t="n">
        <f aca="false">IF(ISNUMBER(AL185),AL185+N(AL189)-AL190+N(AL191),"")</f>
        <v>847.5</v>
      </c>
      <c r="AM192" s="44" t="n">
        <f aca="false">IF(ISNUMBER(AM185),AM185+N(AM189)-AM190+N(AM191),"")</f>
        <v>2961.9</v>
      </c>
      <c r="AN192" s="44" t="n">
        <f aca="false">IF(ISNUMBER(AN185),AN185+N(AN189)-AN190+N(AN191),"")</f>
        <v>720</v>
      </c>
      <c r="AO192" s="44" t="n">
        <f aca="false">IF(ISNUMBER(AO185),AO185+N(AO189)-AO190+N(AO191),"")</f>
        <v>823.2</v>
      </c>
      <c r="AP192" s="44" t="n">
        <f aca="false">IF(ISNUMBER(AP185),AP185+N(AP189)-AP190+N(AP191),"")</f>
        <v>786.6</v>
      </c>
      <c r="AQ192" s="44" t="n">
        <f aca="false">IF(ISNUMBER(AQ185),AQ185+N(AQ189)-AQ190+N(AQ191),"")</f>
        <v>975.5</v>
      </c>
      <c r="AR192" s="44" t="n">
        <f aca="false">IF(ISNUMBER(AR185),AR185+N(AR189)-AR190+N(AR191),"")</f>
        <v>3305.3</v>
      </c>
      <c r="AS192" s="44" t="n">
        <f aca="false">IF(ISNUMBER(AS185),AS185+N(AS189)-AS190+N(AS191),"")</f>
        <v>711.1</v>
      </c>
      <c r="AT192" s="44" t="n">
        <f aca="false">IF(ISNUMBER(AT185),AT185+N(AT189)-AT190+N(AT191),"")</f>
        <v>1220.9</v>
      </c>
      <c r="AU192" s="44" t="n">
        <f aca="false">IF(ISNUMBER(AU185),AU185+N(AU189)-AU190+N(AU191),"")</f>
        <v>1021.5</v>
      </c>
      <c r="AV192" s="44" t="n">
        <f aca="false">IF(ISNUMBER(AV185),AV185+N(AV189)-AV190+N(AV191),"")</f>
        <v>1542</v>
      </c>
      <c r="AW192" s="44" t="n">
        <f aca="false">IF(ISNUMBER(AW185),AW185+N(AW189)-AW190+N(AW191),"")</f>
        <v>4495</v>
      </c>
      <c r="AX192" s="44" t="n">
        <f aca="false">IF(ISNUMBER(AX185),AX185+N(AX189)-AX190+N(AX191),"")</f>
        <v>2083</v>
      </c>
      <c r="AY192" s="44" t="n">
        <f aca="false">IF(ISNUMBER(AY185),AY185+N(AY189)-AY190+N(AY191),"")</f>
        <v>2043</v>
      </c>
      <c r="AZ192" s="44" t="n">
        <f aca="false">IF(ISNUMBER(AZ185),AZ185+N(AZ189)-AZ190+N(AZ191),"")</f>
        <v>1387</v>
      </c>
      <c r="BA192" s="44" t="n">
        <f aca="false">IF(ISNUMBER(BA185),BA185+N(BA189)-BA190+N(BA191),"")</f>
        <v>2085</v>
      </c>
      <c r="BB192" s="44" t="n">
        <f aca="false">IF(ISNUMBER(BB185),BB185+N(BB189)-BB190+N(BB191),"")</f>
        <v>7598</v>
      </c>
      <c r="BC192" s="44" t="n">
        <f aca="false">IF(ISNUMBER(BC185),BC185+N(BC189)-BC190+N(BC191),"")</f>
        <v>2099</v>
      </c>
      <c r="BD192" s="44" t="n">
        <f aca="false">IF(ISNUMBER(BD185),BD185+N(BD189)-BD190+N(BD191),"")</f>
        <v>2069</v>
      </c>
      <c r="BE192" s="44" t="n">
        <f aca="false">IF(ISNUMBER(BE185),BE185+N(BE189)-BE190+N(BE191),"")</f>
        <v>1931</v>
      </c>
      <c r="BF192" s="44" t="n">
        <f aca="false">IF(ISNUMBER(BF185),BF185+N(BF189)-BF190+N(BF191),"")</f>
        <v>1895</v>
      </c>
      <c r="BG192" s="44" t="n">
        <f aca="false">IF(ISNUMBER(BG185),BG185+N(BG189)-BG190+N(BG191),"")</f>
        <v>7146</v>
      </c>
      <c r="BH192" s="44" t="n">
        <f aca="false">IF(ISNUMBER(BH185),BH185+N(BH189)-BH190+N(BH191),"")</f>
        <v>1523</v>
      </c>
      <c r="BI192" s="44" t="n">
        <f aca="false">IF(ISNUMBER(BI185),BI185+N(BI189)-BI190+N(BI191),"")</f>
        <v>1142</v>
      </c>
      <c r="BJ192" s="44" t="n">
        <f aca="false">IF(ISNUMBER(BJ185),BJ185+N(BJ189)-BJ190+N(BJ191),"")</f>
        <v>1147</v>
      </c>
      <c r="BK192" s="44" t="n">
        <f aca="false">IF(ISNUMBER(BK185),BK185+N(BK189)-BK190+N(BK191),"")</f>
        <v>1232</v>
      </c>
      <c r="BL192" s="44" t="n">
        <f aca="false">IF(ISNUMBER(BL185),BL185+N(BL189)-BL190+N(BL191),"")</f>
        <v>5044</v>
      </c>
      <c r="BM192" s="44" t="n">
        <f aca="false">IF(ISNUMBER(BM185),BM185+N(BM189)-BM190+N(BM191),"")</f>
        <v>1271</v>
      </c>
      <c r="BN192" s="44" t="n">
        <f aca="false">IF(ISNUMBER(BN185),BN185+N(BN189)-BN190+N(BN191),"")</f>
        <v>1083</v>
      </c>
      <c r="BO192" s="44" t="n">
        <f aca="false">IF(ISNUMBER(BO185),BO185+N(BO189)-BO190+N(BO191),"")</f>
        <v>977</v>
      </c>
      <c r="BP192" s="44" t="n">
        <f aca="false">IF(ISNUMBER(BP185),BP185+N(BP189)-BP190+N(BP191),"")</f>
        <v>1315</v>
      </c>
      <c r="BQ192" s="44" t="n">
        <f aca="false">IF(ISNUMBER(BQ185),BQ185+N(BQ189)-BQ190+N(BQ191),"")</f>
        <v>4646</v>
      </c>
      <c r="BR192" s="44" t="n">
        <f aca="false">IF(ISNUMBER(BR185),BR185+N(BR189)-BR190+N(BR191),"")</f>
        <v>1129</v>
      </c>
      <c r="BS192" s="44" t="n">
        <f aca="false">IF(ISNUMBER(BS185),BS185+N(BS189)-BS190+N(BS191),"")</f>
        <v>655</v>
      </c>
      <c r="BT192" s="44" t="n">
        <f aca="false">IF(ISNUMBER(BT185),BT185+N(BT189)-BT190+N(BT191),"")</f>
        <v>1076</v>
      </c>
      <c r="BU192" s="44" t="n">
        <f aca="false">IF(ISNUMBER(BU185),BU185+N(BU189)-BU190+N(BU191),"")</f>
        <v>1373</v>
      </c>
      <c r="BV192" s="44" t="n">
        <f aca="false">IF(ISNUMBER(BV185),BV185+N(BV189)-BV190+N(BV191),"")</f>
        <v>4233</v>
      </c>
      <c r="BW192" s="44" t="n">
        <f aca="false">IF(ISNUMBER(BW185),BW185+N(BW189)-BW190+N(BW191),"")</f>
        <v>1235</v>
      </c>
      <c r="BX192" s="44" t="n">
        <f aca="false">IF(ISNUMBER(BX185),BX185+N(BX189)-BX190+N(BX191),"")</f>
        <v>1078</v>
      </c>
      <c r="BY192" s="21" t="n">
        <f aca="false">IF(ISNUMBER(BY185),BY185+N(BY189)-BY190+N(BY191),"")</f>
        <v>1109.73113816422</v>
      </c>
      <c r="BZ192" s="21" t="n">
        <f aca="false">IF(ISNUMBER(BZ185),BZ185+N(BZ189)-BZ190+N(BZ191),"")</f>
        <v>1708.97638581533</v>
      </c>
      <c r="CA192" s="21" t="n">
        <f aca="false">IF(ISNUMBER(CA185),CA185+N(CA189)-CA190+N(CA191),"")</f>
        <v>5131.70752397956</v>
      </c>
      <c r="CB192" s="21" t="n">
        <f aca="false">IF(ISNUMBER(CB185),CB185+N(CB189)-CB190+N(CB191),"")</f>
        <v>6018.1029874016</v>
      </c>
      <c r="CC192" s="21" t="n">
        <f aca="false">IF(ISNUMBER(CC185),CC185+N(CC189)-CC190+N(CC191),"")</f>
        <v>6759.93968089851</v>
      </c>
      <c r="CD192" s="21" t="n">
        <f aca="false">IF(ISNUMBER(CD185),CD185+N(CD189)-CD190+N(CD191),"")</f>
        <v>7446.64750051653</v>
      </c>
      <c r="CE192" s="21" t="n">
        <f aca="false">IF(ISNUMBER(CE185),CE185+N(CE189)-CE190+N(CE191),"")</f>
        <v>8407.61089350499</v>
      </c>
      <c r="CF192" s="7"/>
    </row>
    <row r="193" customFormat="false" ht="15" hidden="false" customHeight="true" outlineLevel="0" collapsed="false">
      <c r="B193" s="27" t="s">
        <v>339</v>
      </c>
      <c r="C193" s="40" t="n">
        <v>319.6</v>
      </c>
      <c r="D193" s="40" t="n">
        <v>423.1</v>
      </c>
      <c r="E193" s="40" t="n">
        <v>431.7</v>
      </c>
      <c r="F193" s="40" t="n">
        <v>273.1</v>
      </c>
      <c r="G193" s="40" t="n">
        <v>511.4</v>
      </c>
      <c r="H193" s="40" t="n">
        <v>512.6</v>
      </c>
      <c r="I193" s="40" t="n">
        <v>711.5</v>
      </c>
      <c r="J193" s="40" t="n">
        <v>230.5</v>
      </c>
      <c r="K193" s="40" t="n">
        <v>189</v>
      </c>
      <c r="L193" s="40" t="n">
        <v>181.8</v>
      </c>
      <c r="M193" s="40" t="n">
        <v>269.7</v>
      </c>
      <c r="N193" s="40" t="n">
        <v>871</v>
      </c>
      <c r="O193" s="40" t="n">
        <v>181.6</v>
      </c>
      <c r="P193" s="40" t="n">
        <v>202.6</v>
      </c>
      <c r="Q193" s="40" t="n">
        <v>197.1</v>
      </c>
      <c r="R193" s="40" t="n">
        <v>295.2</v>
      </c>
      <c r="S193" s="40" t="n">
        <v>857.6</v>
      </c>
      <c r="T193" s="40" t="n">
        <v>170.1</v>
      </c>
      <c r="U193" s="40" t="n">
        <v>192.2</v>
      </c>
      <c r="V193" s="40" t="n">
        <v>74</v>
      </c>
      <c r="W193" s="40" t="n">
        <v>79.9</v>
      </c>
      <c r="X193" s="40" t="n">
        <v>292.7</v>
      </c>
      <c r="Y193" s="40" t="n">
        <v>197.8</v>
      </c>
      <c r="Z193" s="40" t="n">
        <v>236.6</v>
      </c>
      <c r="AA193" s="40" t="n">
        <v>74.1</v>
      </c>
      <c r="AB193" s="40" t="n">
        <v>-50.6</v>
      </c>
      <c r="AC193" s="40" t="n">
        <v>457.9</v>
      </c>
      <c r="AD193" s="40" t="n">
        <v>101.4</v>
      </c>
      <c r="AE193" s="40" t="n">
        <v>87.5</v>
      </c>
      <c r="AF193" s="40" t="n">
        <v>157.7</v>
      </c>
      <c r="AG193" s="40" t="n">
        <v>122.4</v>
      </c>
      <c r="AH193" s="40" t="n">
        <v>469</v>
      </c>
      <c r="AI193" s="40" t="n">
        <v>146.5</v>
      </c>
      <c r="AJ193" s="40" t="n">
        <v>161.3</v>
      </c>
      <c r="AK193" s="40" t="n">
        <v>137.6</v>
      </c>
      <c r="AL193" s="40" t="n">
        <v>163.7</v>
      </c>
      <c r="AM193" s="40" t="n">
        <v>555.6</v>
      </c>
      <c r="AN193" s="40" t="n">
        <v>387.7</v>
      </c>
      <c r="AO193" s="40" t="n">
        <v>146.8</v>
      </c>
      <c r="AP193" s="40" t="n">
        <v>155.9</v>
      </c>
      <c r="AQ193" s="40" t="n">
        <v>182.6</v>
      </c>
      <c r="AR193" s="40" t="n">
        <v>873</v>
      </c>
      <c r="AS193" s="40" t="n">
        <v>116</v>
      </c>
      <c r="AT193" s="40" t="n">
        <v>293.6</v>
      </c>
      <c r="AU193" s="40" t="n">
        <v>138</v>
      </c>
      <c r="AV193" s="40" t="n">
        <v>301</v>
      </c>
      <c r="AW193" s="40" t="n">
        <v>849</v>
      </c>
      <c r="AX193" s="40" t="n">
        <v>381</v>
      </c>
      <c r="AY193" s="40" t="n">
        <v>344</v>
      </c>
      <c r="AZ193" s="40" t="n">
        <v>229</v>
      </c>
      <c r="BA193" s="40" t="n">
        <v>297</v>
      </c>
      <c r="BB193" s="40" t="n">
        <v>1251</v>
      </c>
      <c r="BC193" s="40" t="n">
        <v>374</v>
      </c>
      <c r="BD193" s="40" t="n">
        <v>389</v>
      </c>
      <c r="BE193" s="40" t="n">
        <v>359</v>
      </c>
      <c r="BF193" s="40" t="n">
        <v>-117</v>
      </c>
      <c r="BG193" s="40" t="n">
        <v>818</v>
      </c>
      <c r="BH193" s="40" t="n">
        <v>283</v>
      </c>
      <c r="BI193" s="40" t="n">
        <v>222</v>
      </c>
      <c r="BJ193" s="40" t="n">
        <v>207</v>
      </c>
      <c r="BK193" s="40" t="n">
        <v>111</v>
      </c>
      <c r="BL193" s="40" t="n">
        <v>823</v>
      </c>
      <c r="BM193" s="40" t="n">
        <v>183</v>
      </c>
      <c r="BN193" s="40" t="n">
        <v>176</v>
      </c>
      <c r="BO193" s="40" t="n">
        <v>159</v>
      </c>
      <c r="BP193" s="40" t="n">
        <v>229</v>
      </c>
      <c r="BQ193" s="40" t="n">
        <v>747</v>
      </c>
      <c r="BR193" s="40" t="n">
        <v>175</v>
      </c>
      <c r="BS193" s="40" t="n">
        <v>100</v>
      </c>
      <c r="BT193" s="40" t="n">
        <v>168</v>
      </c>
      <c r="BU193" s="40" t="n">
        <v>190</v>
      </c>
      <c r="BV193" s="40" t="n">
        <v>633</v>
      </c>
      <c r="BW193" s="40" t="n">
        <v>206</v>
      </c>
      <c r="BX193" s="40" t="n">
        <v>208</v>
      </c>
      <c r="BY193" s="41" t="n">
        <f aca="false">(BY192+BY255+BY256)*BY264-(BY255+BY256)*BY263+N(BY259)</f>
        <v>183.354293487918</v>
      </c>
      <c r="BZ193" s="41" t="n">
        <f aca="false">(BZ192+BZ255+BZ256)*BZ264-(BZ255+BZ256)*BZ263+N(BZ259)</f>
        <v>285.495985588607</v>
      </c>
      <c r="CA193" s="41" t="n">
        <f aca="false">SUM(BW193,BX193,BY193,BZ193)</f>
        <v>882.850279076525</v>
      </c>
      <c r="CB193" s="41" t="n">
        <f aca="false">(CB192+CB255+CB256)*CB264-(CB255+CB256)*CB263+N(CB259)</f>
        <v>1003.98217452494</v>
      </c>
      <c r="CC193" s="41" t="n">
        <f aca="false">(CC192+CC255+CC256)*CC264-(CC255+CC256)*CC263+N(CC259)</f>
        <v>1129.69441241941</v>
      </c>
      <c r="CD193" s="41" t="n">
        <f aca="false">(CD192+CD255+CD256)*CD264-(CD255+CD256)*CD263+N(CD259)</f>
        <v>1245.83474175448</v>
      </c>
      <c r="CE193" s="41" t="n">
        <f aca="false">(CE192+CE255+CE256)*CE264-(CE255+CE256)*CE263+N(CE259)</f>
        <v>1410.53185189585</v>
      </c>
      <c r="CF193" s="37" t="s">
        <v>340</v>
      </c>
    </row>
    <row r="194" customFormat="false" ht="15" hidden="false" customHeight="true" outlineLevel="0" collapsed="false">
      <c r="B194" s="27" t="s">
        <v>341</v>
      </c>
      <c r="C194" s="42" t="n">
        <f aca="false">IF(AND(ISNUMBER(C193),ISNUMBER(C192)),IFERROR(C193/C192,""),"")</f>
        <v>0.223668556232067</v>
      </c>
      <c r="D194" s="42" t="n">
        <f aca="false">IF(AND(ISNUMBER(D193),ISNUMBER(D192)),IFERROR(D193/D192,""),"")</f>
        <v>0.258444810946185</v>
      </c>
      <c r="E194" s="42" t="n">
        <f aca="false">IF(AND(ISNUMBER(E193),ISNUMBER(E192)),IFERROR(E193/E192,""),"")</f>
        <v>0.246784428056937</v>
      </c>
      <c r="F194" s="42" t="n">
        <f aca="false">IF(AND(ISNUMBER(F193),ISNUMBER(F192)),IFERROR(F193/F192,""),"")</f>
        <v>0.191689478486699</v>
      </c>
      <c r="G194" s="42" t="n">
        <f aca="false">IF(AND(ISNUMBER(G193),ISNUMBER(G192)),IFERROR(G193/G192,""),"")</f>
        <v>0.229378784480825</v>
      </c>
      <c r="H194" s="42" t="n">
        <f aca="false">IF(AND(ISNUMBER(H193),ISNUMBER(H192)),IFERROR(H193/H192,""),"")</f>
        <v>0.209412533703734</v>
      </c>
      <c r="I194" s="42" t="n">
        <f aca="false">IF(AND(ISNUMBER(I193),ISNUMBER(I192)),IFERROR(I193/I192,""),"")</f>
        <v>0.236315929321111</v>
      </c>
      <c r="J194" s="42" t="n">
        <f aca="false">IF(AND(ISNUMBER(J193),ISNUMBER(J192)),IFERROR(J193/J192,""),"")</f>
        <v>0.24989158716392</v>
      </c>
      <c r="K194" s="42" t="n">
        <f aca="false">IF(AND(ISNUMBER(K193),ISNUMBER(K192)),IFERROR(K193/K192,""),"")</f>
        <v>0.234549516008935</v>
      </c>
      <c r="L194" s="42" t="n">
        <f aca="false">IF(AND(ISNUMBER(L193),ISNUMBER(L192)),IFERROR(L193/L192,""),"")</f>
        <v>0.233436055469954</v>
      </c>
      <c r="M194" s="42" t="n">
        <f aca="false">IF(AND(ISNUMBER(M193),ISNUMBER(M192)),IFERROR(M193/M192,""),"")</f>
        <v>0.254674220963173</v>
      </c>
      <c r="N194" s="42" t="n">
        <f aca="false">IF(AND(ISNUMBER(N193),ISNUMBER(N192)),IFERROR(N193/N192,""),"")</f>
        <v>0.244251261918116</v>
      </c>
      <c r="O194" s="42" t="n">
        <f aca="false">IF(AND(ISNUMBER(O193),ISNUMBER(O192)),IFERROR(O193/O192,""),"")</f>
        <v>0.238539340601603</v>
      </c>
      <c r="P194" s="42" t="n">
        <f aca="false">IF(AND(ISNUMBER(P193),ISNUMBER(P192)),IFERROR(P193/P192,""),"")</f>
        <v>0.230489192263936</v>
      </c>
      <c r="Q194" s="42" t="n">
        <f aca="false">IF(AND(ISNUMBER(Q193),ISNUMBER(Q192)),IFERROR(Q193/Q192,""),"")</f>
        <v>0.224385245901639</v>
      </c>
      <c r="R194" s="42" t="n">
        <f aca="false">IF(AND(ISNUMBER(R193),ISNUMBER(R192)),IFERROR(R193/R192,""),"")</f>
        <v>0.312447078746825</v>
      </c>
      <c r="S194" s="42" t="n">
        <f aca="false">IF(AND(ISNUMBER(S193),ISNUMBER(S192)),IFERROR(S193/S192,""),"")</f>
        <v>0.252183374011233</v>
      </c>
      <c r="T194" s="42" t="n">
        <f aca="false">IF(AND(ISNUMBER(T193),ISNUMBER(T192)),IFERROR(T193/T192,""),"")</f>
        <v>0.233621755253399</v>
      </c>
      <c r="U194" s="42" t="n">
        <f aca="false">IF(AND(ISNUMBER(U193),ISNUMBER(U192)),IFERROR(U193/U192,""),"")</f>
        <v>0.211743968271455</v>
      </c>
      <c r="V194" s="42" t="n">
        <f aca="false">IF(AND(ISNUMBER(V193),ISNUMBER(V192)),IFERROR(V193/V192,""),"")</f>
        <v>0.163031504736726</v>
      </c>
      <c r="W194" s="42" t="n">
        <f aca="false">IF(AND(ISNUMBER(W193),ISNUMBER(W192)),IFERROR(W193/W192,""),"")</f>
        <v>0.132967215842902</v>
      </c>
      <c r="X194" s="42" t="n">
        <f aca="false">IF(AND(ISNUMBER(X193),ISNUMBER(X192)),IFERROR(X193/X192,""),"")</f>
        <v>0.143522604687653</v>
      </c>
      <c r="Y194" s="42" t="n">
        <f aca="false">IF(AND(ISNUMBER(Y193),ISNUMBER(Y192)),IFERROR(Y193/Y192,""),"")</f>
        <v>0.252424706482899</v>
      </c>
      <c r="Z194" s="42" t="n">
        <f aca="false">IF(AND(ISNUMBER(Z193),ISNUMBER(Z192)),IFERROR(Z193/Z192,""),"")</f>
        <v>0.361442102047052</v>
      </c>
      <c r="AA194" s="42" t="n">
        <f aca="false">IF(AND(ISNUMBER(AA193),ISNUMBER(AA192)),IFERROR(AA193/AA192,""),"")</f>
        <v>0.155443675267464</v>
      </c>
      <c r="AB194" s="42" t="n">
        <f aca="false">IF(AND(ISNUMBER(AB193),ISNUMBER(AB192)),IFERROR(AB193/AB192,""),"")</f>
        <v>-0.0726593911545089</v>
      </c>
      <c r="AC194" s="42" t="n">
        <f aca="false">IF(AND(ISNUMBER(AC193),ISNUMBER(AC192)),IFERROR(AC193/AC192,""),"")</f>
        <v>0.175353272316471</v>
      </c>
      <c r="AD194" s="42" t="n">
        <f aca="false">IF(AND(ISNUMBER(AD193),ISNUMBER(AD192)),IFERROR(AD193/AD192,""),"")</f>
        <v>0.173274094326726</v>
      </c>
      <c r="AE194" s="42" t="n">
        <f aca="false">IF(AND(ISNUMBER(AE193),ISNUMBER(AE192)),IFERROR(AE193/AE192,""),"")</f>
        <v>0.135700992555831</v>
      </c>
      <c r="AF194" s="42" t="n">
        <f aca="false">IF(AND(ISNUMBER(AF193),ISNUMBER(AF192)),IFERROR(AF193/AF192,""),"")</f>
        <v>0.216086599068238</v>
      </c>
      <c r="AG194" s="42" t="n">
        <f aca="false">IF(AND(ISNUMBER(AG193),ISNUMBER(AG192)),IFERROR(AG193/AG192,""),"")</f>
        <v>0.125025536261491</v>
      </c>
      <c r="AH194" s="42" t="n">
        <f aca="false">IF(AND(ISNUMBER(AH193),ISNUMBER(AH192)),IFERROR(AH193/AH192,""),"")</f>
        <v>0.159588947869879</v>
      </c>
      <c r="AI194" s="42" t="n">
        <f aca="false">IF(AND(ISNUMBER(AI193),ISNUMBER(AI192)),IFERROR(AI193/AI192,""),"")</f>
        <v>0.205441032113308</v>
      </c>
      <c r="AJ194" s="42" t="n">
        <f aca="false">IF(AND(ISNUMBER(AJ193),ISNUMBER(AJ192)),IFERROR(AJ193/AJ192,""),"")</f>
        <v>0.193150520895701</v>
      </c>
      <c r="AK194" s="42" t="n">
        <f aca="false">IF(AND(ISNUMBER(AK193),ISNUMBER(AK192)),IFERROR(AK193/AK192,""),"")</f>
        <v>0.171720953450643</v>
      </c>
      <c r="AL194" s="42" t="n">
        <f aca="false">IF(AND(ISNUMBER(AL193),ISNUMBER(AL192)),IFERROR(AL193/AL192,""),"")</f>
        <v>0.193156342182891</v>
      </c>
      <c r="AM194" s="42" t="n">
        <f aca="false">IF(AND(ISNUMBER(AM193),ISNUMBER(AM192)),IFERROR(AM193/AM192,""),"")</f>
        <v>0.187582295148385</v>
      </c>
      <c r="AN194" s="42" t="n">
        <f aca="false">IF(AND(ISNUMBER(AN193),ISNUMBER(AN192)),IFERROR(AN193/AN192,""),"")</f>
        <v>0.538472222222223</v>
      </c>
      <c r="AO194" s="42" t="n">
        <f aca="false">IF(AND(ISNUMBER(AO193),ISNUMBER(AO192)),IFERROR(AO193/AO192,""),"")</f>
        <v>0.178328474246842</v>
      </c>
      <c r="AP194" s="42" t="n">
        <f aca="false">IF(AND(ISNUMBER(AP193),ISNUMBER(AP192)),IFERROR(AP193/AP192,""),"")</f>
        <v>0.198194762267989</v>
      </c>
      <c r="AQ194" s="42" t="n">
        <f aca="false">IF(AND(ISNUMBER(AQ193),ISNUMBER(AQ192)),IFERROR(AQ193/AQ192,""),"")</f>
        <v>0.187186058431574</v>
      </c>
      <c r="AR194" s="42" t="n">
        <f aca="false">IF(AND(ISNUMBER(AR193),ISNUMBER(AR192)),IFERROR(AR193/AR192,""),"")</f>
        <v>0.264121259794875</v>
      </c>
      <c r="AS194" s="42" t="n">
        <f aca="false">IF(AND(ISNUMBER(AS193),ISNUMBER(AS192)),IFERROR(AS193/AS192,""),"")</f>
        <v>0.163127548867951</v>
      </c>
      <c r="AT194" s="42" t="n">
        <f aca="false">IF(AND(ISNUMBER(AT193),ISNUMBER(AT192)),IFERROR(AT193/AT192,""),"")</f>
        <v>0.240478335654026</v>
      </c>
      <c r="AU194" s="42" t="n">
        <f aca="false">IF(AND(ISNUMBER(AU193),ISNUMBER(AU192)),IFERROR(AU193/AU192,""),"")</f>
        <v>0.135095447870778</v>
      </c>
      <c r="AV194" s="42" t="n">
        <f aca="false">IF(AND(ISNUMBER(AV193),ISNUMBER(AV192)),IFERROR(AV193/AV192,""),"")</f>
        <v>0.195201037613489</v>
      </c>
      <c r="AW194" s="42" t="n">
        <f aca="false">IF(AND(ISNUMBER(AW193),ISNUMBER(AW192)),IFERROR(AW193/AW192,""),"")</f>
        <v>0.188876529477197</v>
      </c>
      <c r="AX194" s="42" t="n">
        <f aca="false">IF(AND(ISNUMBER(AX193),ISNUMBER(AX192)),IFERROR(AX193/AX192,""),"")</f>
        <v>0.182909265482477</v>
      </c>
      <c r="AY194" s="42" t="n">
        <f aca="false">IF(AND(ISNUMBER(AY193),ISNUMBER(AY192)),IFERROR(AY193/AY192,""),"")</f>
        <v>0.168379833578071</v>
      </c>
      <c r="AZ194" s="42" t="n">
        <f aca="false">IF(AND(ISNUMBER(AZ193),ISNUMBER(AZ192)),IFERROR(AZ193/AZ192,""),"")</f>
        <v>0.165104542177361</v>
      </c>
      <c r="BA194" s="42" t="n">
        <f aca="false">IF(AND(ISNUMBER(BA193),ISNUMBER(BA192)),IFERROR(BA193/BA192,""),"")</f>
        <v>0.142446043165468</v>
      </c>
      <c r="BB194" s="42" t="n">
        <f aca="false">IF(AND(ISNUMBER(BB193),ISNUMBER(BB192)),IFERROR(BB193/BB192,""),"")</f>
        <v>0.164648591734667</v>
      </c>
      <c r="BC194" s="42" t="n">
        <f aca="false">IF(AND(ISNUMBER(BC193),ISNUMBER(BC192)),IFERROR(BC193/BC192,""),"")</f>
        <v>0.178180085755121</v>
      </c>
      <c r="BD194" s="42" t="n">
        <f aca="false">IF(AND(ISNUMBER(BD193),ISNUMBER(BD192)),IFERROR(BD193/BD192,""),"")</f>
        <v>0.188013533107782</v>
      </c>
      <c r="BE194" s="42" t="n">
        <f aca="false">IF(AND(ISNUMBER(BE193),ISNUMBER(BE192)),IFERROR(BE193/BE192,""),"")</f>
        <v>0.185914034179182</v>
      </c>
      <c r="BF194" s="42" t="n">
        <f aca="false">IF(AND(ISNUMBER(BF193),ISNUMBER(BF192)),IFERROR(BF193/BF192,""),"")</f>
        <v>-0.0617414248021108</v>
      </c>
      <c r="BG194" s="42" t="n">
        <f aca="false">IF(AND(ISNUMBER(BG193),ISNUMBER(BG192)),IFERROR(BG193/BG192,""),"")</f>
        <v>0.114469633361321</v>
      </c>
      <c r="BH194" s="42" t="n">
        <f aca="false">IF(AND(ISNUMBER(BH193),ISNUMBER(BH192)),IFERROR(BH193/BH192,""),"")</f>
        <v>0.185817465528562</v>
      </c>
      <c r="BI194" s="42" t="n">
        <f aca="false">IF(AND(ISNUMBER(BI193),ISNUMBER(BI192)),IFERROR(BI193/BI192,""),"")</f>
        <v>0.194395796847636</v>
      </c>
      <c r="BJ194" s="42" t="n">
        <f aca="false">IF(AND(ISNUMBER(BJ193),ISNUMBER(BJ192)),IFERROR(BJ193/BJ192,""),"")</f>
        <v>0.180470793374019</v>
      </c>
      <c r="BK194" s="42" t="n">
        <f aca="false">IF(AND(ISNUMBER(BK193),ISNUMBER(BK192)),IFERROR(BK193/BK192,""),"")</f>
        <v>0.0900974025974026</v>
      </c>
      <c r="BL194" s="42" t="n">
        <f aca="false">IF(AND(ISNUMBER(BL193),ISNUMBER(BL192)),IFERROR(BL193/BL192,""),"")</f>
        <v>0.163164155432197</v>
      </c>
      <c r="BM194" s="42" t="n">
        <f aca="false">IF(AND(ISNUMBER(BM193),ISNUMBER(BM192)),IFERROR(BM193/BM192,""),"")</f>
        <v>0.143981117230527</v>
      </c>
      <c r="BN194" s="42" t="n">
        <f aca="false">IF(AND(ISNUMBER(BN193),ISNUMBER(BN192)),IFERROR(BN193/BN192,""),"")</f>
        <v>0.162511542012927</v>
      </c>
      <c r="BO194" s="42" t="n">
        <f aca="false">IF(AND(ISNUMBER(BO193),ISNUMBER(BO192)),IFERROR(BO193/BO192,""),"")</f>
        <v>0.162743091095189</v>
      </c>
      <c r="BP194" s="42" t="n">
        <f aca="false">IF(AND(ISNUMBER(BP193),ISNUMBER(BP192)),IFERROR(BP193/BP192,""),"")</f>
        <v>0.174144486692015</v>
      </c>
      <c r="BQ194" s="42" t="n">
        <f aca="false">IF(AND(ISNUMBER(BQ193),ISNUMBER(BQ192)),IFERROR(BQ193/BQ192,""),"")</f>
        <v>0.160783469651313</v>
      </c>
      <c r="BR194" s="42" t="n">
        <f aca="false">IF(AND(ISNUMBER(BR193),ISNUMBER(BR192)),IFERROR(BR193/BR192,""),"")</f>
        <v>0.155004428697963</v>
      </c>
      <c r="BS194" s="42" t="n">
        <f aca="false">IF(AND(ISNUMBER(BS193),ISNUMBER(BS192)),IFERROR(BS193/BS192,""),"")</f>
        <v>0.152671755725191</v>
      </c>
      <c r="BT194" s="42" t="n">
        <f aca="false">IF(AND(ISNUMBER(BT193),ISNUMBER(BT192)),IFERROR(BT193/BT192,""),"")</f>
        <v>0.156133828996283</v>
      </c>
      <c r="BU194" s="42" t="n">
        <f aca="false">IF(AND(ISNUMBER(BU193),ISNUMBER(BU192)),IFERROR(BU193/BU192,""),"")</f>
        <v>0.138383102694829</v>
      </c>
      <c r="BV194" s="42" t="n">
        <f aca="false">IF(AND(ISNUMBER(BV193),ISNUMBER(BV192)),IFERROR(BV193/BV192,""),"")</f>
        <v>0.149539333805811</v>
      </c>
      <c r="BW194" s="42" t="n">
        <f aca="false">IF(AND(ISNUMBER(BW193),ISNUMBER(BW192)),IFERROR(BW193/BW192,""),"")</f>
        <v>0.166801619433198</v>
      </c>
      <c r="BX194" s="42" t="n">
        <f aca="false">IF(AND(ISNUMBER(BX193),ISNUMBER(BX192)),IFERROR(BX193/BX192,""),"")</f>
        <v>0.192949907235622</v>
      </c>
      <c r="BY194" s="26" t="n">
        <f aca="false">IF(AND(ISNUMBER(BY193),ISNUMBER(BY192)),IFERROR(BY193/BY192,""),"")</f>
        <v>0.165224068409248</v>
      </c>
      <c r="BZ194" s="26" t="n">
        <f aca="false">IF(AND(ISNUMBER(BZ193),ISNUMBER(BZ192)),IFERROR(BZ193/BZ192,""),"")</f>
        <v>0.167056717669273</v>
      </c>
      <c r="CA194" s="26" t="n">
        <f aca="false">IF(AND(ISNUMBER(CA193),ISNUMBER(CA192)),IFERROR(CA193/CA192,""),"")</f>
        <v>0.172038307902608</v>
      </c>
      <c r="CB194" s="26" t="n">
        <f aca="false">IF(AND(ISNUMBER(CB193),ISNUMBER(CB192)),IFERROR(CB193/CB192,""),"")</f>
        <v>0.166827017853748</v>
      </c>
      <c r="CC194" s="26" t="n">
        <f aca="false">IF(AND(ISNUMBER(CC193),ISNUMBER(CC192)),IFERROR(CC193/CC192,""),"")</f>
        <v>0.167116049217359</v>
      </c>
      <c r="CD194" s="26" t="n">
        <f aca="false">IF(AND(ISNUMBER(CD193),ISNUMBER(CD192)),IFERROR(CD193/CD192,""),"")</f>
        <v>0.167301425462674</v>
      </c>
      <c r="CE194" s="26" t="n">
        <f aca="false">IF(AND(ISNUMBER(CE193),ISNUMBER(CE192)),IFERROR(CE193/CE192,""),"")</f>
        <v>0.167768450486393</v>
      </c>
      <c r="CF194" s="7"/>
      <c r="CH194" s="32" t="n">
        <f aca="false">IFERROR(AVERAGE(CA194,CB194,CC194,CD194,CE194),"n/m")</f>
        <v>0.168210250184556</v>
      </c>
      <c r="CI194" s="32" t="n">
        <f aca="false">IFERROR(AVERAGE(BB194,BG194,BL194,BQ194,BV194),"n/m")</f>
        <v>0.150521036797062</v>
      </c>
      <c r="CJ194" s="32" t="n">
        <f aca="false">IFERROR(AVERAGE(AC194,AH194,AM194,AR194,AW194,BB194,BG194,BL194,BQ194,BV194),"n/m")</f>
        <v>0.172812748859212</v>
      </c>
      <c r="CK194" s="32" t="n">
        <f aca="false">IFERROR(AVERAGE(C194,D194,E194,F194,G194,H194,I194,N194,S194,X194,AC194,AH194,AM194,AR194,AW194,BB194,BG194,BL194,BQ194,BV194),"n/m")</f>
        <v>0.198188962521834</v>
      </c>
    </row>
    <row r="195" customFormat="false" ht="15" hidden="false" customHeight="true" outlineLevel="0" collapsed="false">
      <c r="B195" s="27" t="s">
        <v>342</v>
      </c>
      <c r="C195" s="51" t="n">
        <f aca="false">IF(ISNUMBER(C192),C192-C193,"")</f>
        <v>1109.3</v>
      </c>
      <c r="D195" s="51" t="n">
        <f aca="false">IF(ISNUMBER(D192),D192-D193,"")</f>
        <v>1214</v>
      </c>
      <c r="E195" s="51" t="n">
        <f aca="false">IF(ISNUMBER(E192),E192-E193,"")</f>
        <v>1317.6</v>
      </c>
      <c r="F195" s="51" t="n">
        <f aca="false">IF(ISNUMBER(F192),F192-F193,"")</f>
        <v>1151.6</v>
      </c>
      <c r="G195" s="51" t="n">
        <f aca="false">IF(ISNUMBER(G192),G192-G193,"")</f>
        <v>1718.1</v>
      </c>
      <c r="H195" s="51" t="n">
        <f aca="false">IF(ISNUMBER(H192),H192-H193,"")</f>
        <v>1935.2</v>
      </c>
      <c r="I195" s="51" t="n">
        <f aca="false">IF(ISNUMBER(I192),I192-I193,"")</f>
        <v>2299.3</v>
      </c>
      <c r="J195" s="51" t="n">
        <f aca="false">IF(ISNUMBER(J192),J192-J193,"")</f>
        <v>691.9</v>
      </c>
      <c r="K195" s="51" t="n">
        <f aca="false">IF(ISNUMBER(K192),K192-K193,"")</f>
        <v>616.8</v>
      </c>
      <c r="L195" s="51" t="n">
        <f aca="false">IF(ISNUMBER(L192),L192-L193,"")</f>
        <v>597</v>
      </c>
      <c r="M195" s="51" t="n">
        <f aca="false">IF(ISNUMBER(M192),M192-M193,"")</f>
        <v>789.3</v>
      </c>
      <c r="N195" s="51" t="n">
        <f aca="false">IF(ISNUMBER(N192),N192-N193,"")</f>
        <v>2695</v>
      </c>
      <c r="O195" s="51" t="n">
        <f aca="false">IF(ISNUMBER(O192),O192-O193,"")</f>
        <v>579.7</v>
      </c>
      <c r="P195" s="51" t="n">
        <f aca="false">IF(ISNUMBER(P192),P192-P193,"")</f>
        <v>676.4</v>
      </c>
      <c r="Q195" s="51" t="n">
        <f aca="false">IF(ISNUMBER(Q192),Q192-Q193,"")</f>
        <v>681.3</v>
      </c>
      <c r="R195" s="51" t="n">
        <f aca="false">IF(ISNUMBER(R192),R192-R193,"")</f>
        <v>649.6</v>
      </c>
      <c r="S195" s="51" t="n">
        <f aca="false">IF(ISNUMBER(S192),S192-S193,"")</f>
        <v>2543.1</v>
      </c>
      <c r="T195" s="51" t="n">
        <f aca="false">IF(ISNUMBER(T192),T192-T193,"")</f>
        <v>558</v>
      </c>
      <c r="U195" s="51" t="n">
        <f aca="false">IF(ISNUMBER(U192),U192-U193,"")</f>
        <v>715.5</v>
      </c>
      <c r="V195" s="51" t="n">
        <f aca="false">IF(ISNUMBER(V192),V192-V193,"")</f>
        <v>379.9</v>
      </c>
      <c r="W195" s="51" t="n">
        <f aca="false">IF(ISNUMBER(W192),W192-W193,"")</f>
        <v>521</v>
      </c>
      <c r="X195" s="51" t="n">
        <f aca="false">IF(ISNUMBER(X192),X192-X193,"")</f>
        <v>1746.7</v>
      </c>
      <c r="Y195" s="51" t="n">
        <f aca="false">IF(ISNUMBER(Y192),Y192-Y193,"")</f>
        <v>585.8</v>
      </c>
      <c r="Z195" s="51" t="n">
        <f aca="false">IF(ISNUMBER(Z192),Z192-Z193,"")</f>
        <v>418</v>
      </c>
      <c r="AA195" s="51" t="n">
        <f aca="false">IF(ISNUMBER(AA192),AA192-AA193,"")</f>
        <v>402.600000000001</v>
      </c>
      <c r="AB195" s="51" t="n">
        <f aca="false">IF(ISNUMBER(AB192),AB192-AB193,"")</f>
        <v>747</v>
      </c>
      <c r="AC195" s="51" t="n">
        <f aca="false">IF(ISNUMBER(AC192),AC192-AC193,"")</f>
        <v>2153.4</v>
      </c>
      <c r="AD195" s="51" t="n">
        <f aca="false">IF(ISNUMBER(AD192),AD192-AD193,"")</f>
        <v>483.8</v>
      </c>
      <c r="AE195" s="51" t="n">
        <f aca="false">IF(ISNUMBER(AE192),AE192-AE193,"")</f>
        <v>557.3</v>
      </c>
      <c r="AF195" s="51" t="n">
        <f aca="false">IF(ISNUMBER(AF192),AF192-AF193,"")</f>
        <v>572.1</v>
      </c>
      <c r="AG195" s="51" t="n">
        <f aca="false">IF(ISNUMBER(AG192),AG192-AG193,"")</f>
        <v>856.6</v>
      </c>
      <c r="AH195" s="51" t="n">
        <f aca="false">IF(ISNUMBER(AH192),AH192-AH193,"")</f>
        <v>2469.8</v>
      </c>
      <c r="AI195" s="51" t="n">
        <f aca="false">IF(ISNUMBER(AI192),AI192-AI193,"")</f>
        <v>566.599999999999</v>
      </c>
      <c r="AJ195" s="51" t="n">
        <f aca="false">IF(ISNUMBER(AJ192),AJ192-AJ193,"")</f>
        <v>673.8</v>
      </c>
      <c r="AK195" s="51" t="n">
        <f aca="false">IF(ISNUMBER(AK192),AK192-AK193,"")</f>
        <v>663.700000000001</v>
      </c>
      <c r="AL195" s="51" t="n">
        <f aca="false">IF(ISNUMBER(AL192),AL192-AL193,"")</f>
        <v>683.8</v>
      </c>
      <c r="AM195" s="51" t="n">
        <f aca="false">IF(ISNUMBER(AM192),AM192-AM193,"")</f>
        <v>2406.3</v>
      </c>
      <c r="AN195" s="51" t="n">
        <f aca="false">IF(ISNUMBER(AN192),AN192-AN193,"")</f>
        <v>332.3</v>
      </c>
      <c r="AO195" s="51" t="n">
        <f aca="false">IF(ISNUMBER(AO192),AO192-AO193,"")</f>
        <v>676.4</v>
      </c>
      <c r="AP195" s="51" t="n">
        <f aca="false">IF(ISNUMBER(AP192),AP192-AP193,"")</f>
        <v>630.7</v>
      </c>
      <c r="AQ195" s="51" t="n">
        <f aca="false">IF(ISNUMBER(AQ192),AQ192-AQ193,"")</f>
        <v>792.9</v>
      </c>
      <c r="AR195" s="51" t="n">
        <f aca="false">IF(ISNUMBER(AR192),AR192-AR193,"")</f>
        <v>2432.3</v>
      </c>
      <c r="AS195" s="51" t="n">
        <f aca="false">IF(ISNUMBER(AS192),AS192-AS193,"")</f>
        <v>595.1</v>
      </c>
      <c r="AT195" s="51" t="n">
        <f aca="false">IF(ISNUMBER(AT192),AT192-AT193,"")</f>
        <v>927.299999999999</v>
      </c>
      <c r="AU195" s="51" t="n">
        <f aca="false">IF(ISNUMBER(AU192),AU192-AU193,"")</f>
        <v>883.5</v>
      </c>
      <c r="AV195" s="51" t="n">
        <f aca="false">IF(ISNUMBER(AV192),AV192-AV193,"")</f>
        <v>1241</v>
      </c>
      <c r="AW195" s="51" t="n">
        <f aca="false">IF(ISNUMBER(AW192),AW192-AW193,"")</f>
        <v>3646</v>
      </c>
      <c r="AX195" s="51" t="n">
        <f aca="false">IF(ISNUMBER(AX192),AX192-AX193,"")</f>
        <v>1702</v>
      </c>
      <c r="AY195" s="51" t="n">
        <f aca="false">IF(ISNUMBER(AY192),AY192-AY193,"")</f>
        <v>1699</v>
      </c>
      <c r="AZ195" s="51" t="n">
        <f aca="false">IF(ISNUMBER(AZ192),AZ192-AZ193,"")</f>
        <v>1158</v>
      </c>
      <c r="BA195" s="51" t="n">
        <f aca="false">IF(ISNUMBER(BA192),BA192-BA193,"")</f>
        <v>1788</v>
      </c>
      <c r="BB195" s="51" t="n">
        <f aca="false">IF(ISNUMBER(BB192),BB192-BB193,"")</f>
        <v>6347</v>
      </c>
      <c r="BC195" s="51" t="n">
        <f aca="false">IF(ISNUMBER(BC192),BC192-BC193,"")</f>
        <v>1725</v>
      </c>
      <c r="BD195" s="51" t="n">
        <f aca="false">IF(ISNUMBER(BD192),BD192-BD193,"")</f>
        <v>1680</v>
      </c>
      <c r="BE195" s="51" t="n">
        <f aca="false">IF(ISNUMBER(BE192),BE192-BE193,"")</f>
        <v>1572</v>
      </c>
      <c r="BF195" s="51" t="n">
        <f aca="false">IF(ISNUMBER(BF192),BF192-BF193,"")</f>
        <v>2012</v>
      </c>
      <c r="BG195" s="51" t="n">
        <f aca="false">IF(ISNUMBER(BG192),BG192-BG193,"")</f>
        <v>6328</v>
      </c>
      <c r="BH195" s="51" t="n">
        <f aca="false">IF(ISNUMBER(BH192),BH192-BH193,"")</f>
        <v>1240</v>
      </c>
      <c r="BI195" s="51" t="n">
        <f aca="false">IF(ISNUMBER(BI192),BI192-BI193,"")</f>
        <v>920</v>
      </c>
      <c r="BJ195" s="51" t="n">
        <f aca="false">IF(ISNUMBER(BJ192),BJ192-BJ193,"")</f>
        <v>940</v>
      </c>
      <c r="BK195" s="51" t="n">
        <f aca="false">IF(ISNUMBER(BK192),BK192-BK193,"")</f>
        <v>1121</v>
      </c>
      <c r="BL195" s="51" t="n">
        <f aca="false">IF(ISNUMBER(BL192),BL192-BL193,"")</f>
        <v>4221</v>
      </c>
      <c r="BM195" s="51" t="n">
        <f aca="false">IF(ISNUMBER(BM192),BM192-BM193,"")</f>
        <v>1088</v>
      </c>
      <c r="BN195" s="51" t="n">
        <f aca="false">IF(ISNUMBER(BN192),BN192-BN193,"")</f>
        <v>907</v>
      </c>
      <c r="BO195" s="51" t="n">
        <f aca="false">IF(ISNUMBER(BO192),BO192-BO193,"")</f>
        <v>818</v>
      </c>
      <c r="BP195" s="51" t="n">
        <f aca="false">IF(ISNUMBER(BP192),BP192-BP193,"")</f>
        <v>1086</v>
      </c>
      <c r="BQ195" s="51" t="n">
        <f aca="false">IF(ISNUMBER(BQ192),BQ192-BQ193,"")</f>
        <v>3899</v>
      </c>
      <c r="BR195" s="51" t="n">
        <f aca="false">IF(ISNUMBER(BR192),BR192-BR193,"")</f>
        <v>954</v>
      </c>
      <c r="BS195" s="51" t="n">
        <f aca="false">IF(ISNUMBER(BS192),BS192-BS193,"")</f>
        <v>555</v>
      </c>
      <c r="BT195" s="51" t="n">
        <f aca="false">IF(ISNUMBER(BT192),BT192-BT193,"")</f>
        <v>908</v>
      </c>
      <c r="BU195" s="51" t="n">
        <f aca="false">IF(ISNUMBER(BU192),BU192-BU193,"")</f>
        <v>1183</v>
      </c>
      <c r="BV195" s="51" t="n">
        <f aca="false">IF(ISNUMBER(BV192),BV192-BV193,"")</f>
        <v>3600</v>
      </c>
      <c r="BW195" s="51" t="n">
        <f aca="false">IF(ISNUMBER(BW192),BW192-BW193,"")</f>
        <v>1029</v>
      </c>
      <c r="BX195" s="51" t="n">
        <f aca="false">IF(ISNUMBER(BX192),BX192-BX193,"")</f>
        <v>870</v>
      </c>
      <c r="BY195" s="41" t="n">
        <f aca="false">IF(ISNUMBER(BY192),BY192-BY193,"")</f>
        <v>926.376844676305</v>
      </c>
      <c r="BZ195" s="41" t="n">
        <f aca="false">IF(ISNUMBER(BZ192),BZ192-BZ193,"")</f>
        <v>1423.48040022673</v>
      </c>
      <c r="CA195" s="41" t="n">
        <f aca="false">IF(ISNUMBER(CA192),CA192-CA193,"")</f>
        <v>4248.85724490303</v>
      </c>
      <c r="CB195" s="41" t="n">
        <f aca="false">IF(ISNUMBER(CB192),CB192-CB193,"")</f>
        <v>5014.12081287666</v>
      </c>
      <c r="CC195" s="41" t="n">
        <f aca="false">IF(ISNUMBER(CC192),CC192-CC193,"")</f>
        <v>5630.2452684791</v>
      </c>
      <c r="CD195" s="41" t="n">
        <f aca="false">IF(ISNUMBER(CD192),CD192-CD193,"")</f>
        <v>6200.81275876205</v>
      </c>
      <c r="CE195" s="41" t="n">
        <f aca="false">IF(ISNUMBER(CE192),CE192-CE193,"")</f>
        <v>6997.07904160914</v>
      </c>
      <c r="CF195" s="37"/>
    </row>
    <row r="196" customFormat="false" ht="15" hidden="false" customHeight="true" outlineLevel="0" collapsed="false">
      <c r="B196" s="27" t="s">
        <v>343</v>
      </c>
      <c r="C196" s="40" t="n">
        <v>12.8</v>
      </c>
      <c r="D196" s="40" t="n">
        <v>155.9</v>
      </c>
      <c r="E196" s="40" t="n">
        <v>0</v>
      </c>
      <c r="F196" s="40" t="n">
        <v>0</v>
      </c>
      <c r="G196" s="40" t="n">
        <v>74.8</v>
      </c>
      <c r="H196" s="40" t="n">
        <v>237</v>
      </c>
      <c r="I196" s="40" t="n">
        <v>92.9</v>
      </c>
      <c r="J196" s="40" t="n">
        <v>0</v>
      </c>
      <c r="K196" s="40" t="n">
        <v>0</v>
      </c>
      <c r="L196" s="40" t="n">
        <v>0</v>
      </c>
      <c r="M196" s="40" t="n">
        <v>0</v>
      </c>
      <c r="N196" s="40" t="n">
        <v>0</v>
      </c>
      <c r="O196" s="40" t="n">
        <v>0</v>
      </c>
      <c r="P196" s="40" t="n">
        <v>0</v>
      </c>
      <c r="Q196" s="40" t="n">
        <v>-0.7</v>
      </c>
      <c r="R196" s="40" t="n">
        <v>12.1</v>
      </c>
      <c r="S196" s="40" t="n">
        <v>55.3</v>
      </c>
      <c r="T196" s="40" t="n">
        <v>11.8</v>
      </c>
      <c r="U196" s="40" t="n">
        <v>-19.8</v>
      </c>
      <c r="V196" s="40" t="n">
        <v>1023.4</v>
      </c>
      <c r="W196" s="40" t="n">
        <v>167.6</v>
      </c>
      <c r="X196" s="40" t="n">
        <v>1610.7</v>
      </c>
      <c r="Y196" s="40" t="n">
        <v>172.6</v>
      </c>
      <c r="Z196" s="40" t="n">
        <v>238.7</v>
      </c>
      <c r="AA196" s="40" t="n">
        <v>-11</v>
      </c>
      <c r="AB196" s="40" t="n">
        <v>0</v>
      </c>
      <c r="AC196" s="40" t="n">
        <v>400.3</v>
      </c>
      <c r="AD196" s="40" t="n">
        <v>22.3</v>
      </c>
      <c r="AE196" s="40" t="n">
        <v>0</v>
      </c>
      <c r="AF196" s="40" t="n">
        <v>0</v>
      </c>
      <c r="AG196" s="40" t="n">
        <v>0</v>
      </c>
      <c r="AH196" s="40" t="n">
        <v>22.3</v>
      </c>
      <c r="AI196" s="40" t="n">
        <v>0</v>
      </c>
      <c r="AJ196" s="40" t="n">
        <v>0</v>
      </c>
      <c r="AK196" s="40" t="n">
        <v>0</v>
      </c>
      <c r="AL196" s="40" t="n">
        <v>63</v>
      </c>
      <c r="AM196" s="40" t="n">
        <v>244.6</v>
      </c>
      <c r="AN196" s="40" t="n">
        <v>1.5</v>
      </c>
      <c r="AO196" s="40" t="n">
        <v>54.9</v>
      </c>
      <c r="AP196" s="40" t="n">
        <v>37.3</v>
      </c>
      <c r="AQ196" s="40" t="n">
        <v>482.2</v>
      </c>
      <c r="AR196" s="40" t="n">
        <v>575.9</v>
      </c>
      <c r="AS196" s="40" t="n">
        <v>0</v>
      </c>
      <c r="AT196" s="40" t="n">
        <v>0</v>
      </c>
      <c r="AU196" s="40" t="n">
        <v>0</v>
      </c>
      <c r="AV196" s="40" t="n">
        <v>0</v>
      </c>
      <c r="AW196" s="40" t="n">
        <v>0</v>
      </c>
      <c r="AX196" s="40" t="n">
        <v>0</v>
      </c>
      <c r="AY196" s="40" t="n">
        <v>86</v>
      </c>
      <c r="AZ196" s="40" t="n">
        <v>0</v>
      </c>
      <c r="BA196" s="40" t="n">
        <v>0</v>
      </c>
      <c r="BB196" s="40" t="n">
        <v>86</v>
      </c>
      <c r="BC196" s="40" t="n">
        <v>0</v>
      </c>
      <c r="BD196" s="40" t="n">
        <v>0</v>
      </c>
      <c r="BE196" s="40" t="n">
        <v>0</v>
      </c>
      <c r="BF196" s="40" t="n">
        <v>220</v>
      </c>
      <c r="BG196" s="40" t="n">
        <v>881</v>
      </c>
      <c r="BH196" s="40" t="n">
        <v>210</v>
      </c>
      <c r="BI196" s="40" t="n">
        <v>186</v>
      </c>
      <c r="BJ196" s="40" t="n">
        <v>189</v>
      </c>
      <c r="BK196" s="40" t="n">
        <v>-42</v>
      </c>
      <c r="BL196" s="40" t="n">
        <v>543</v>
      </c>
      <c r="BM196" s="40" t="n">
        <v>0</v>
      </c>
      <c r="BN196" s="40" t="n">
        <v>0</v>
      </c>
      <c r="BO196" s="40" t="n">
        <v>0</v>
      </c>
      <c r="BP196" s="40" t="n">
        <v>0</v>
      </c>
      <c r="BQ196" s="40" t="n">
        <v>0</v>
      </c>
      <c r="BR196" s="40" t="n">
        <v>0</v>
      </c>
      <c r="BS196" s="40" t="n">
        <v>0</v>
      </c>
      <c r="BT196" s="40" t="n">
        <v>0</v>
      </c>
      <c r="BU196" s="40" t="n">
        <v>14</v>
      </c>
      <c r="BV196" s="40" t="n">
        <v>14</v>
      </c>
      <c r="BW196" s="40" t="n">
        <v>0</v>
      </c>
      <c r="BX196" s="40" t="n">
        <v>0</v>
      </c>
      <c r="BY196" s="43" t="n">
        <v>0</v>
      </c>
      <c r="BZ196" s="43" t="n">
        <v>0</v>
      </c>
      <c r="CA196" s="41" t="n">
        <f aca="false">SUM(BW196,BX196,BY196,BZ196)</f>
        <v>0</v>
      </c>
      <c r="CB196" s="43" t="n">
        <v>0</v>
      </c>
      <c r="CC196" s="43" t="n">
        <v>0</v>
      </c>
      <c r="CD196" s="43" t="n">
        <v>0</v>
      </c>
      <c r="CE196" s="43" t="n">
        <v>0</v>
      </c>
      <c r="CF196" s="37" t="s">
        <v>344</v>
      </c>
    </row>
    <row r="197" customFormat="false" ht="15" hidden="false" customHeight="true" outlineLevel="0" collapsed="false">
      <c r="B197" s="18" t="s">
        <v>345</v>
      </c>
      <c r="C197" s="44" t="n">
        <f aca="false">IF(ISNUMBER(C195),C195+N(C196),"")</f>
        <v>1122.1</v>
      </c>
      <c r="D197" s="44" t="n">
        <f aca="false">IF(ISNUMBER(D195),D195+N(D196),"")</f>
        <v>1369.9</v>
      </c>
      <c r="E197" s="44" t="n">
        <f aca="false">IF(ISNUMBER(E195),E195+N(E196),"")</f>
        <v>1317.6</v>
      </c>
      <c r="F197" s="44" t="n">
        <f aca="false">IF(ISNUMBER(F195),F195+N(F196),"")</f>
        <v>1151.6</v>
      </c>
      <c r="G197" s="44" t="n">
        <f aca="false">IF(ISNUMBER(G195),G195+N(G196),"")</f>
        <v>1792.9</v>
      </c>
      <c r="H197" s="44" t="n">
        <f aca="false">IF(ISNUMBER(H195),H195+N(H196),"")</f>
        <v>2172.2</v>
      </c>
      <c r="I197" s="44" t="n">
        <f aca="false">IF(ISNUMBER(I195),I195+N(I196),"")</f>
        <v>2392.2</v>
      </c>
      <c r="J197" s="44" t="n">
        <f aca="false">IF(ISNUMBER(J195),J195+N(J196),"")</f>
        <v>691.9</v>
      </c>
      <c r="K197" s="44" t="n">
        <f aca="false">IF(ISNUMBER(K195),K195+N(K196),"")</f>
        <v>616.8</v>
      </c>
      <c r="L197" s="44" t="n">
        <f aca="false">IF(ISNUMBER(L195),L195+N(L196),"")</f>
        <v>597</v>
      </c>
      <c r="M197" s="44" t="n">
        <f aca="false">IF(ISNUMBER(M195),M195+N(M196),"")</f>
        <v>789.3</v>
      </c>
      <c r="N197" s="44" t="n">
        <f aca="false">IF(ISNUMBER(N195),N195+N(N196),"")</f>
        <v>2695</v>
      </c>
      <c r="O197" s="44" t="n">
        <f aca="false">IF(ISNUMBER(O195),O195+N(O196),"")</f>
        <v>579.7</v>
      </c>
      <c r="P197" s="44" t="n">
        <f aca="false">IF(ISNUMBER(P195),P195+N(P196),"")</f>
        <v>676.4</v>
      </c>
      <c r="Q197" s="44" t="n">
        <f aca="false">IF(ISNUMBER(Q195),Q195+N(Q196),"")</f>
        <v>680.6</v>
      </c>
      <c r="R197" s="44" t="n">
        <f aca="false">IF(ISNUMBER(R195),R195+N(R196),"")</f>
        <v>661.7</v>
      </c>
      <c r="S197" s="44" t="n">
        <f aca="false">IF(ISNUMBER(S195),S195+N(S196),"")</f>
        <v>2598.4</v>
      </c>
      <c r="T197" s="44" t="n">
        <f aca="false">IF(ISNUMBER(T195),T195+N(T196),"")</f>
        <v>569.8</v>
      </c>
      <c r="U197" s="44" t="n">
        <f aca="false">IF(ISNUMBER(U195),U195+N(U196),"")</f>
        <v>695.7</v>
      </c>
      <c r="V197" s="44" t="n">
        <f aca="false">IF(ISNUMBER(V195),V195+N(V196),"")</f>
        <v>1403.3</v>
      </c>
      <c r="W197" s="44" t="n">
        <f aca="false">IF(ISNUMBER(W195),W195+N(W196),"")</f>
        <v>688.6</v>
      </c>
      <c r="X197" s="44" t="n">
        <f aca="false">IF(ISNUMBER(X195),X195+N(X196),"")</f>
        <v>3357.4</v>
      </c>
      <c r="Y197" s="44" t="n">
        <f aca="false">IF(ISNUMBER(Y195),Y195+N(Y196),"")</f>
        <v>758.4</v>
      </c>
      <c r="Z197" s="44" t="n">
        <f aca="false">IF(ISNUMBER(Z195),Z195+N(Z196),"")</f>
        <v>656.7</v>
      </c>
      <c r="AA197" s="44" t="n">
        <f aca="false">IF(ISNUMBER(AA195),AA195+N(AA196),"")</f>
        <v>391.600000000001</v>
      </c>
      <c r="AB197" s="44" t="n">
        <f aca="false">IF(ISNUMBER(AB195),AB195+N(AB196),"")</f>
        <v>747</v>
      </c>
      <c r="AC197" s="44" t="n">
        <f aca="false">IF(ISNUMBER(AC195),AC195+N(AC196),"")</f>
        <v>2553.7</v>
      </c>
      <c r="AD197" s="44" t="n">
        <f aca="false">IF(ISNUMBER(AD195),AD195+N(AD196),"")</f>
        <v>506.1</v>
      </c>
      <c r="AE197" s="44" t="n">
        <f aca="false">IF(ISNUMBER(AE195),AE195+N(AE196),"")</f>
        <v>557.3</v>
      </c>
      <c r="AF197" s="44" t="n">
        <f aca="false">IF(ISNUMBER(AF195),AF195+N(AF196),"")</f>
        <v>572.1</v>
      </c>
      <c r="AG197" s="44" t="n">
        <f aca="false">IF(ISNUMBER(AG195),AG195+N(AG196),"")</f>
        <v>856.6</v>
      </c>
      <c r="AH197" s="44" t="n">
        <f aca="false">IF(ISNUMBER(AH195),AH195+N(AH196),"")</f>
        <v>2492.1</v>
      </c>
      <c r="AI197" s="44" t="n">
        <f aca="false">IF(ISNUMBER(AI195),AI195+N(AI196),"")</f>
        <v>566.599999999999</v>
      </c>
      <c r="AJ197" s="44" t="n">
        <f aca="false">IF(ISNUMBER(AJ195),AJ195+N(AJ196),"")</f>
        <v>673.8</v>
      </c>
      <c r="AK197" s="44" t="n">
        <f aca="false">IF(ISNUMBER(AK195),AK195+N(AK196),"")</f>
        <v>663.700000000001</v>
      </c>
      <c r="AL197" s="44" t="n">
        <f aca="false">IF(ISNUMBER(AL195),AL195+N(AL196),"")</f>
        <v>746.8</v>
      </c>
      <c r="AM197" s="44" t="n">
        <f aca="false">IF(ISNUMBER(AM195),AM195+N(AM196),"")</f>
        <v>2650.9</v>
      </c>
      <c r="AN197" s="44" t="n">
        <f aca="false">IF(ISNUMBER(AN195),AN195+N(AN196),"")</f>
        <v>333.8</v>
      </c>
      <c r="AO197" s="44" t="n">
        <f aca="false">IF(ISNUMBER(AO195),AO195+N(AO196),"")</f>
        <v>731.3</v>
      </c>
      <c r="AP197" s="44" t="n">
        <f aca="false">IF(ISNUMBER(AP195),AP195+N(AP196),"")</f>
        <v>668</v>
      </c>
      <c r="AQ197" s="44" t="n">
        <f aca="false">IF(ISNUMBER(AQ195),AQ195+N(AQ196),"")</f>
        <v>1275.1</v>
      </c>
      <c r="AR197" s="44" t="n">
        <f aca="false">IF(ISNUMBER(AR195),AR195+N(AR196),"")</f>
        <v>3008.2</v>
      </c>
      <c r="AS197" s="44" t="n">
        <f aca="false">IF(ISNUMBER(AS195),AS195+N(AS196),"")</f>
        <v>595.1</v>
      </c>
      <c r="AT197" s="44" t="n">
        <f aca="false">IF(ISNUMBER(AT195),AT195+N(AT196),"")</f>
        <v>927.299999999999</v>
      </c>
      <c r="AU197" s="44" t="n">
        <f aca="false">IF(ISNUMBER(AU195),AU195+N(AU196),"")</f>
        <v>883.5</v>
      </c>
      <c r="AV197" s="44" t="n">
        <f aca="false">IF(ISNUMBER(AV195),AV195+N(AV196),"")</f>
        <v>1241</v>
      </c>
      <c r="AW197" s="44" t="n">
        <f aca="false">IF(ISNUMBER(AW195),AW195+N(AW196),"")</f>
        <v>3646</v>
      </c>
      <c r="AX197" s="44" t="n">
        <f aca="false">IF(ISNUMBER(AX195),AX195+N(AX196),"")</f>
        <v>1702</v>
      </c>
      <c r="AY197" s="44" t="n">
        <f aca="false">IF(ISNUMBER(AY195),AY195+N(AY196),"")</f>
        <v>1785</v>
      </c>
      <c r="AZ197" s="44" t="n">
        <f aca="false">IF(ISNUMBER(AZ195),AZ195+N(AZ196),"")</f>
        <v>1158</v>
      </c>
      <c r="BA197" s="44" t="n">
        <f aca="false">IF(ISNUMBER(BA195),BA195+N(BA196),"")</f>
        <v>1788</v>
      </c>
      <c r="BB197" s="44" t="n">
        <f aca="false">IF(ISNUMBER(BB195),BB195+N(BB196),"")</f>
        <v>6433</v>
      </c>
      <c r="BC197" s="44" t="n">
        <f aca="false">IF(ISNUMBER(BC195),BC195+N(BC196),"")</f>
        <v>1725</v>
      </c>
      <c r="BD197" s="44" t="n">
        <f aca="false">IF(ISNUMBER(BD195),BD195+N(BD196),"")</f>
        <v>1680</v>
      </c>
      <c r="BE197" s="44" t="n">
        <f aca="false">IF(ISNUMBER(BE195),BE195+N(BE196),"")</f>
        <v>1572</v>
      </c>
      <c r="BF197" s="44" t="n">
        <f aca="false">IF(ISNUMBER(BF195),BF195+N(BF196),"")</f>
        <v>2232</v>
      </c>
      <c r="BG197" s="44" t="n">
        <f aca="false">IF(ISNUMBER(BG195),BG195+N(BG196),"")</f>
        <v>7209</v>
      </c>
      <c r="BH197" s="44" t="n">
        <f aca="false">IF(ISNUMBER(BH195),BH195+N(BH196),"")</f>
        <v>1450</v>
      </c>
      <c r="BI197" s="44" t="n">
        <f aca="false">IF(ISNUMBER(BI195),BI195+N(BI196),"")</f>
        <v>1106</v>
      </c>
      <c r="BJ197" s="44" t="n">
        <f aca="false">IF(ISNUMBER(BJ195),BJ195+N(BJ196),"")</f>
        <v>1129</v>
      </c>
      <c r="BK197" s="44" t="n">
        <f aca="false">IF(ISNUMBER(BK195),BK195+N(BK196),"")</f>
        <v>1079</v>
      </c>
      <c r="BL197" s="44" t="n">
        <f aca="false">IF(ISNUMBER(BL195),BL195+N(BL196),"")</f>
        <v>4764</v>
      </c>
      <c r="BM197" s="44" t="n">
        <f aca="false">IF(ISNUMBER(BM195),BM195+N(BM196),"")</f>
        <v>1088</v>
      </c>
      <c r="BN197" s="44" t="n">
        <f aca="false">IF(ISNUMBER(BN195),BN195+N(BN196),"")</f>
        <v>907</v>
      </c>
      <c r="BO197" s="44" t="n">
        <f aca="false">IF(ISNUMBER(BO195),BO195+N(BO196),"")</f>
        <v>818</v>
      </c>
      <c r="BP197" s="44" t="n">
        <f aca="false">IF(ISNUMBER(BP195),BP195+N(BP196),"")</f>
        <v>1086</v>
      </c>
      <c r="BQ197" s="44" t="n">
        <f aca="false">IF(ISNUMBER(BQ195),BQ195+N(BQ196),"")</f>
        <v>3899</v>
      </c>
      <c r="BR197" s="44" t="n">
        <f aca="false">IF(ISNUMBER(BR195),BR195+N(BR196),"")</f>
        <v>954</v>
      </c>
      <c r="BS197" s="44" t="n">
        <f aca="false">IF(ISNUMBER(BS195),BS195+N(BS196),"")</f>
        <v>555</v>
      </c>
      <c r="BT197" s="44" t="n">
        <f aca="false">IF(ISNUMBER(BT195),BT195+N(BT196),"")</f>
        <v>908</v>
      </c>
      <c r="BU197" s="44" t="n">
        <f aca="false">IF(ISNUMBER(BU195),BU195+N(BU196),"")</f>
        <v>1197</v>
      </c>
      <c r="BV197" s="44" t="n">
        <f aca="false">IF(ISNUMBER(BV195),BV195+N(BV196),"")</f>
        <v>3614</v>
      </c>
      <c r="BW197" s="44" t="n">
        <f aca="false">IF(ISNUMBER(BW195),BW195+N(BW196),"")</f>
        <v>1029</v>
      </c>
      <c r="BX197" s="44" t="n">
        <f aca="false">IF(ISNUMBER(BX195),BX195+N(BX196),"")</f>
        <v>870</v>
      </c>
      <c r="BY197" s="21" t="n">
        <f aca="false">IF(ISNUMBER(BY195),BY195+N(BY196),"")</f>
        <v>926.376844676305</v>
      </c>
      <c r="BZ197" s="21" t="n">
        <f aca="false">IF(ISNUMBER(BZ195),BZ195+N(BZ196),"")</f>
        <v>1423.48040022673</v>
      </c>
      <c r="CA197" s="21" t="n">
        <f aca="false">IF(ISNUMBER(CA195),CA195+N(CA196),"")</f>
        <v>4248.85724490303</v>
      </c>
      <c r="CB197" s="21" t="n">
        <f aca="false">IF(ISNUMBER(CB195),CB195+N(CB196),"")</f>
        <v>5014.12081287666</v>
      </c>
      <c r="CC197" s="21" t="n">
        <f aca="false">IF(ISNUMBER(CC195),CC195+N(CC196),"")</f>
        <v>5630.2452684791</v>
      </c>
      <c r="CD197" s="21" t="n">
        <f aca="false">IF(ISNUMBER(CD195),CD195+N(CD196),"")</f>
        <v>6200.81275876205</v>
      </c>
      <c r="CE197" s="21" t="n">
        <f aca="false">IF(ISNUMBER(CE195),CE195+N(CE196),"")</f>
        <v>6997.07904160914</v>
      </c>
      <c r="CF197" s="7"/>
    </row>
    <row r="198" customFormat="false" ht="15" hidden="false" customHeight="true" outlineLevel="0" collapsed="false">
      <c r="B198" s="27" t="s">
        <v>346</v>
      </c>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40" t="n">
        <v>5.9</v>
      </c>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c r="BV198" s="39"/>
      <c r="BW198" s="39"/>
      <c r="BX198" s="39"/>
      <c r="BY198" s="43" t="n">
        <v>0</v>
      </c>
      <c r="BZ198" s="43" t="n">
        <v>0</v>
      </c>
      <c r="CA198" s="41" t="n">
        <f aca="false">SUM(BW198,BX198,BY198,BZ198)</f>
        <v>0</v>
      </c>
      <c r="CB198" s="43" t="n">
        <v>0</v>
      </c>
      <c r="CC198" s="43" t="n">
        <v>0</v>
      </c>
      <c r="CD198" s="43" t="n">
        <v>0</v>
      </c>
      <c r="CE198" s="43" t="n">
        <v>0</v>
      </c>
      <c r="CF198" s="37"/>
    </row>
    <row r="199" customFormat="false" ht="15" hidden="false" customHeight="true" outlineLevel="0" collapsed="false">
      <c r="B199" s="27" t="s">
        <v>347</v>
      </c>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40" t="n">
        <v>6.5</v>
      </c>
      <c r="AO199" s="40" t="n">
        <v>22.7</v>
      </c>
      <c r="AP199" s="40" t="n">
        <v>19.6</v>
      </c>
      <c r="AQ199" s="40" t="n">
        <v>19.6</v>
      </c>
      <c r="AR199" s="40" t="n">
        <v>68.4</v>
      </c>
      <c r="AS199" s="40" t="n">
        <v>19.6</v>
      </c>
      <c r="AT199" s="40" t="n">
        <v>34.6</v>
      </c>
      <c r="AU199" s="40" t="n">
        <v>41.1</v>
      </c>
      <c r="AV199" s="40" t="n">
        <v>41</v>
      </c>
      <c r="AW199" s="40" t="n">
        <v>136</v>
      </c>
      <c r="AX199" s="40" t="n">
        <v>41</v>
      </c>
      <c r="AY199" s="40" t="n">
        <v>41</v>
      </c>
      <c r="AZ199" s="40" t="n">
        <v>41</v>
      </c>
      <c r="BA199" s="40" t="n">
        <v>41</v>
      </c>
      <c r="BB199" s="40" t="n">
        <v>164</v>
      </c>
      <c r="BC199" s="40" t="n">
        <v>41</v>
      </c>
      <c r="BD199" s="40" t="n">
        <v>22</v>
      </c>
      <c r="BE199" s="40" t="n">
        <v>21</v>
      </c>
      <c r="BF199" s="40" t="n">
        <v>22</v>
      </c>
      <c r="BG199" s="40" t="n">
        <v>106</v>
      </c>
      <c r="BH199" s="40" t="n">
        <v>21</v>
      </c>
      <c r="BI199" s="40" t="n">
        <v>0</v>
      </c>
      <c r="BJ199" s="40" t="n">
        <v>0</v>
      </c>
      <c r="BK199" s="40" t="n">
        <v>0</v>
      </c>
      <c r="BL199" s="40" t="n">
        <v>21</v>
      </c>
      <c r="BM199" s="40" t="n">
        <v>0</v>
      </c>
      <c r="BN199" s="40" t="n">
        <v>0</v>
      </c>
      <c r="BO199" s="40" t="n">
        <v>0</v>
      </c>
      <c r="BP199" s="40" t="n">
        <v>0</v>
      </c>
      <c r="BQ199" s="40" t="n">
        <v>0</v>
      </c>
      <c r="BR199" s="39"/>
      <c r="BS199" s="39"/>
      <c r="BT199" s="39"/>
      <c r="BU199" s="39"/>
      <c r="BV199" s="40" t="n">
        <v>0</v>
      </c>
      <c r="BW199" s="39"/>
      <c r="BX199" s="39"/>
      <c r="BY199" s="43" t="n">
        <v>0</v>
      </c>
      <c r="BZ199" s="43" t="n">
        <v>0</v>
      </c>
      <c r="CA199" s="41" t="n">
        <f aca="false">SUM(BW199,BX199,BY199,BZ199)</f>
        <v>0</v>
      </c>
      <c r="CB199" s="43" t="n">
        <v>0</v>
      </c>
      <c r="CC199" s="43" t="n">
        <v>0</v>
      </c>
      <c r="CD199" s="43" t="n">
        <v>0</v>
      </c>
      <c r="CE199" s="43" t="n">
        <v>0</v>
      </c>
      <c r="CF199" s="37"/>
    </row>
    <row r="200" customFormat="false" ht="15" hidden="false" customHeight="true" outlineLevel="0" collapsed="false">
      <c r="B200" s="62" t="s">
        <v>348</v>
      </c>
      <c r="C200" s="63" t="n">
        <f aca="false">IF(ISNUMBER(C197),C197-N(C198)-N(C199),"")</f>
        <v>1122.1</v>
      </c>
      <c r="D200" s="63" t="n">
        <f aca="false">IF(ISNUMBER(D197),D197-N(D198)-N(D199),"")</f>
        <v>1369.9</v>
      </c>
      <c r="E200" s="63" t="n">
        <f aca="false">IF(ISNUMBER(E197),E197-N(E198)-N(E199),"")</f>
        <v>1317.6</v>
      </c>
      <c r="F200" s="63" t="n">
        <f aca="false">IF(ISNUMBER(F197),F197-N(F198)-N(F199),"")</f>
        <v>1151.6</v>
      </c>
      <c r="G200" s="63" t="n">
        <f aca="false">IF(ISNUMBER(G197),G197-N(G198)-N(G199),"")</f>
        <v>1792.9</v>
      </c>
      <c r="H200" s="63" t="n">
        <f aca="false">IF(ISNUMBER(H197),H197-N(H198)-N(H199),"")</f>
        <v>2172.2</v>
      </c>
      <c r="I200" s="63" t="n">
        <f aca="false">IF(ISNUMBER(I197),I197-N(I198)-N(I199),"")</f>
        <v>2392.2</v>
      </c>
      <c r="J200" s="63" t="n">
        <f aca="false">IF(ISNUMBER(J197),J197-N(J198)-N(J199),"")</f>
        <v>691.9</v>
      </c>
      <c r="K200" s="63" t="n">
        <f aca="false">IF(ISNUMBER(K197),K197-N(K198)-N(K199),"")</f>
        <v>616.8</v>
      </c>
      <c r="L200" s="63" t="n">
        <f aca="false">IF(ISNUMBER(L197),L197-N(L198)-N(L199),"")</f>
        <v>597</v>
      </c>
      <c r="M200" s="63" t="n">
        <f aca="false">IF(ISNUMBER(M197),M197-N(M198)-N(M199),"")</f>
        <v>789.3</v>
      </c>
      <c r="N200" s="63" t="n">
        <f aca="false">IF(ISNUMBER(N197),N197-N(N198)-N(N199),"")</f>
        <v>2695</v>
      </c>
      <c r="O200" s="63" t="n">
        <f aca="false">IF(ISNUMBER(O197),O197-N(O198)-N(O199),"")</f>
        <v>579.7</v>
      </c>
      <c r="P200" s="63" t="n">
        <f aca="false">IF(ISNUMBER(P197),P197-N(P198)-N(P199),"")</f>
        <v>676.4</v>
      </c>
      <c r="Q200" s="63" t="n">
        <f aca="false">IF(ISNUMBER(Q197),Q197-N(Q198)-N(Q199),"")</f>
        <v>680.6</v>
      </c>
      <c r="R200" s="63" t="n">
        <f aca="false">IF(ISNUMBER(R197),R197-N(R198)-N(R199),"")</f>
        <v>661.7</v>
      </c>
      <c r="S200" s="63" t="n">
        <f aca="false">IF(ISNUMBER(S197),S197-N(S198)-N(S199),"")</f>
        <v>2598.4</v>
      </c>
      <c r="T200" s="63" t="n">
        <f aca="false">IF(ISNUMBER(T197),T197-N(T198)-N(T199),"")</f>
        <v>569.8</v>
      </c>
      <c r="U200" s="63" t="n">
        <f aca="false">IF(ISNUMBER(U197),U197-N(U198)-N(U199),"")</f>
        <v>695.7</v>
      </c>
      <c r="V200" s="63" t="n">
        <f aca="false">IF(ISNUMBER(V197),V197-N(V198)-N(V199),"")</f>
        <v>1403.3</v>
      </c>
      <c r="W200" s="63" t="n">
        <f aca="false">IF(ISNUMBER(W197),W197-N(W198)-N(W199),"")</f>
        <v>688.6</v>
      </c>
      <c r="X200" s="63" t="n">
        <f aca="false">IF(ISNUMBER(X197),X197-N(X198)-N(X199),"")</f>
        <v>3357.4</v>
      </c>
      <c r="Y200" s="63" t="n">
        <f aca="false">IF(ISNUMBER(Y197),Y197-N(Y198)-N(Y199),"")</f>
        <v>758.4</v>
      </c>
      <c r="Z200" s="63" t="n">
        <f aca="false">IF(ISNUMBER(Z197),Z197-N(Z198)-N(Z199),"")</f>
        <v>656.7</v>
      </c>
      <c r="AA200" s="63" t="n">
        <f aca="false">IF(ISNUMBER(AA197),AA197-N(AA198)-N(AA199),"")</f>
        <v>391.600000000001</v>
      </c>
      <c r="AB200" s="63" t="n">
        <f aca="false">IF(ISNUMBER(AB197),AB197-N(AB198)-N(AB199),"")</f>
        <v>747</v>
      </c>
      <c r="AC200" s="63" t="n">
        <f aca="false">IF(ISNUMBER(AC197),AC197-N(AC198)-N(AC199),"")</f>
        <v>2553.7</v>
      </c>
      <c r="AD200" s="63" t="n">
        <f aca="false">IF(ISNUMBER(AD197),AD197-N(AD198)-N(AD199),"")</f>
        <v>506.1</v>
      </c>
      <c r="AE200" s="63" t="n">
        <f aca="false">IF(ISNUMBER(AE197),AE197-N(AE198)-N(AE199),"")</f>
        <v>557.3</v>
      </c>
      <c r="AF200" s="63" t="n">
        <f aca="false">IF(ISNUMBER(AF197),AF197-N(AF198)-N(AF199),"")</f>
        <v>572.1</v>
      </c>
      <c r="AG200" s="63" t="n">
        <f aca="false">IF(ISNUMBER(AG197),AG197-N(AG198)-N(AG199),"")</f>
        <v>856.6</v>
      </c>
      <c r="AH200" s="63" t="n">
        <f aca="false">IF(ISNUMBER(AH197),AH197-N(AH198)-N(AH199),"")</f>
        <v>2492.1</v>
      </c>
      <c r="AI200" s="63" t="n">
        <f aca="false">IF(ISNUMBER(AI197),AI197-N(AI198)-N(AI199),"")</f>
        <v>566.599999999999</v>
      </c>
      <c r="AJ200" s="63" t="n">
        <f aca="false">IF(ISNUMBER(AJ197),AJ197-N(AJ198)-N(AJ199),"")</f>
        <v>673.8</v>
      </c>
      <c r="AK200" s="63" t="n">
        <f aca="false">IF(ISNUMBER(AK197),AK197-N(AK198)-N(AK199),"")</f>
        <v>663.700000000001</v>
      </c>
      <c r="AL200" s="63" t="n">
        <f aca="false">IF(ISNUMBER(AL197),AL197-N(AL198)-N(AL199),"")</f>
        <v>746.8</v>
      </c>
      <c r="AM200" s="63" t="n">
        <f aca="false">IF(ISNUMBER(AM197),AM197-N(AM198)-N(AM199),"")</f>
        <v>2650.9</v>
      </c>
      <c r="AN200" s="63" t="n">
        <f aca="false">IF(ISNUMBER(AN197),AN197-N(AN198)-N(AN199),"")</f>
        <v>327.3</v>
      </c>
      <c r="AO200" s="63" t="n">
        <f aca="false">IF(ISNUMBER(AO197),AO197-N(AO198)-N(AO199),"")</f>
        <v>708.6</v>
      </c>
      <c r="AP200" s="63" t="n">
        <f aca="false">IF(ISNUMBER(AP197),AP197-N(AP198)-N(AP199),"")</f>
        <v>642.5</v>
      </c>
      <c r="AQ200" s="63" t="n">
        <f aca="false">IF(ISNUMBER(AQ197),AQ197-N(AQ198)-N(AQ199),"")</f>
        <v>1255.5</v>
      </c>
      <c r="AR200" s="63" t="n">
        <f aca="false">IF(ISNUMBER(AR197),AR197-N(AR198)-N(AR199),"")</f>
        <v>2939.8</v>
      </c>
      <c r="AS200" s="63" t="n">
        <f aca="false">IF(ISNUMBER(AS197),AS197-N(AS198)-N(AS199),"")</f>
        <v>575.5</v>
      </c>
      <c r="AT200" s="63" t="n">
        <f aca="false">IF(ISNUMBER(AT197),AT197-N(AT198)-N(AT199),"")</f>
        <v>892.699999999999</v>
      </c>
      <c r="AU200" s="63" t="n">
        <f aca="false">IF(ISNUMBER(AU197),AU197-N(AU198)-N(AU199),"")</f>
        <v>842.4</v>
      </c>
      <c r="AV200" s="63" t="n">
        <f aca="false">IF(ISNUMBER(AV197),AV197-N(AV198)-N(AV199),"")</f>
        <v>1200</v>
      </c>
      <c r="AW200" s="63" t="n">
        <f aca="false">IF(ISNUMBER(AW197),AW197-N(AW198)-N(AW199),"")</f>
        <v>3510</v>
      </c>
      <c r="AX200" s="63" t="n">
        <f aca="false">IF(ISNUMBER(AX197),AX197-N(AX198)-N(AX199),"")</f>
        <v>1661</v>
      </c>
      <c r="AY200" s="63" t="n">
        <f aca="false">IF(ISNUMBER(AY197),AY197-N(AY198)-N(AY199),"")</f>
        <v>1744</v>
      </c>
      <c r="AZ200" s="63" t="n">
        <f aca="false">IF(ISNUMBER(AZ197),AZ197-N(AZ198)-N(AZ199),"")</f>
        <v>1117</v>
      </c>
      <c r="BA200" s="63" t="n">
        <f aca="false">IF(ISNUMBER(BA197),BA197-N(BA198)-N(BA199),"")</f>
        <v>1747</v>
      </c>
      <c r="BB200" s="63" t="n">
        <f aca="false">IF(ISNUMBER(BB197),BB197-N(BB198)-N(BB199),"")</f>
        <v>6269</v>
      </c>
      <c r="BC200" s="63" t="n">
        <f aca="false">IF(ISNUMBER(BC197),BC197-N(BC198)-N(BC199),"")</f>
        <v>1684</v>
      </c>
      <c r="BD200" s="63" t="n">
        <f aca="false">IF(ISNUMBER(BD197),BD197-N(BD198)-N(BD199),"")</f>
        <v>1658</v>
      </c>
      <c r="BE200" s="63" t="n">
        <f aca="false">IF(ISNUMBER(BE197),BE197-N(BE198)-N(BE199),"")</f>
        <v>1551</v>
      </c>
      <c r="BF200" s="63" t="n">
        <f aca="false">IF(ISNUMBER(BF197),BF197-N(BF198)-N(BF199),"")</f>
        <v>2210</v>
      </c>
      <c r="BG200" s="63" t="n">
        <f aca="false">IF(ISNUMBER(BG197),BG197-N(BG198)-N(BG199),"")</f>
        <v>7103</v>
      </c>
      <c r="BH200" s="63" t="n">
        <f aca="false">IF(ISNUMBER(BH197),BH197-N(BH198)-N(BH199),"")</f>
        <v>1429</v>
      </c>
      <c r="BI200" s="63" t="n">
        <f aca="false">IF(ISNUMBER(BI197),BI197-N(BI198)-N(BI199),"")</f>
        <v>1106</v>
      </c>
      <c r="BJ200" s="63" t="n">
        <f aca="false">IF(ISNUMBER(BJ197),BJ197-N(BJ198)-N(BJ199),"")</f>
        <v>1129</v>
      </c>
      <c r="BK200" s="63" t="n">
        <f aca="false">IF(ISNUMBER(BK197),BK197-N(BK198)-N(BK199),"")</f>
        <v>1079</v>
      </c>
      <c r="BL200" s="63" t="n">
        <f aca="false">IF(ISNUMBER(BL197),BL197-N(BL198)-N(BL199),"")</f>
        <v>4743</v>
      </c>
      <c r="BM200" s="63" t="n">
        <f aca="false">IF(ISNUMBER(BM197),BM197-N(BM198)-N(BM199),"")</f>
        <v>1088</v>
      </c>
      <c r="BN200" s="63" t="n">
        <f aca="false">IF(ISNUMBER(BN197),BN197-N(BN198)-N(BN199),"")</f>
        <v>907</v>
      </c>
      <c r="BO200" s="63" t="n">
        <f aca="false">IF(ISNUMBER(BO197),BO197-N(BO198)-N(BO199),"")</f>
        <v>818</v>
      </c>
      <c r="BP200" s="63" t="n">
        <f aca="false">IF(ISNUMBER(BP197),BP197-N(BP198)-N(BP199),"")</f>
        <v>1086</v>
      </c>
      <c r="BQ200" s="63" t="n">
        <f aca="false">IF(ISNUMBER(BQ197),BQ197-N(BQ198)-N(BQ199),"")</f>
        <v>3899</v>
      </c>
      <c r="BR200" s="63" t="n">
        <f aca="false">IF(ISNUMBER(BR197),BR197-N(BR198)-N(BR199),"")</f>
        <v>954</v>
      </c>
      <c r="BS200" s="63" t="n">
        <f aca="false">IF(ISNUMBER(BS197),BS197-N(BS198)-N(BS199),"")</f>
        <v>555</v>
      </c>
      <c r="BT200" s="63" t="n">
        <f aca="false">IF(ISNUMBER(BT197),BT197-N(BT198)-N(BT199),"")</f>
        <v>908</v>
      </c>
      <c r="BU200" s="63" t="n">
        <f aca="false">IF(ISNUMBER(BU197),BU197-N(BU198)-N(BU199),"")</f>
        <v>1197</v>
      </c>
      <c r="BV200" s="63" t="n">
        <f aca="false">IF(ISNUMBER(BV197),BV197-N(BV198)-N(BV199),"")</f>
        <v>3614</v>
      </c>
      <c r="BW200" s="63" t="n">
        <f aca="false">IF(ISNUMBER(BW197),BW197-N(BW198)-N(BW199),"")</f>
        <v>1029</v>
      </c>
      <c r="BX200" s="63" t="n">
        <f aca="false">IF(ISNUMBER(BX197),BX197-N(BX198)-N(BX199),"")</f>
        <v>870</v>
      </c>
      <c r="BY200" s="63" t="n">
        <f aca="false">IF(ISNUMBER(BY197),BY197-N(BY198)-N(BY199),"")</f>
        <v>926.376844676305</v>
      </c>
      <c r="BZ200" s="63" t="n">
        <f aca="false">IF(ISNUMBER(BZ197),BZ197-N(BZ198)-N(BZ199),"")</f>
        <v>1423.48040022673</v>
      </c>
      <c r="CA200" s="63" t="n">
        <f aca="false">IF(ISNUMBER(CA197),CA197-N(CA198)-N(CA199),"")</f>
        <v>4248.85724490303</v>
      </c>
      <c r="CB200" s="63" t="n">
        <f aca="false">IF(ISNUMBER(CB197),CB197-N(CB198)-N(CB199),"")</f>
        <v>5014.12081287666</v>
      </c>
      <c r="CC200" s="63" t="n">
        <f aca="false">IF(ISNUMBER(CC197),CC197-N(CC198)-N(CC199),"")</f>
        <v>5630.2452684791</v>
      </c>
      <c r="CD200" s="63" t="n">
        <f aca="false">IF(ISNUMBER(CD197),CD197-N(CD198)-N(CD199),"")</f>
        <v>6200.81275876205</v>
      </c>
      <c r="CE200" s="63" t="n">
        <f aca="false">IF(ISNUMBER(CE197),CE197-N(CE198)-N(CE199),"")</f>
        <v>6997.07904160914</v>
      </c>
      <c r="CF200" s="7"/>
    </row>
    <row r="201" customFormat="false" ht="15" hidden="false" customHeight="true" outlineLevel="0" collapsed="false">
      <c r="B201" s="65" t="s">
        <v>349</v>
      </c>
      <c r="C201" s="66" t="n">
        <f aca="false">IF(ISNUMBER(C202),IF(ABS(C197-C202)&lt;=0.6,0,ROUND(C197-C202,1)),"")</f>
        <v>0</v>
      </c>
      <c r="D201" s="66" t="n">
        <f aca="false">IF(ISNUMBER(D202),IF(ABS(D197-D202)&lt;=0.6,0,ROUND(D197-D202,1)),"")</f>
        <v>0</v>
      </c>
      <c r="E201" s="66" t="n">
        <f aca="false">IF(ISNUMBER(E202),IF(ABS(E197-E202)&lt;=0.6,0,ROUND(E197-E202,1)),"")</f>
        <v>0</v>
      </c>
      <c r="F201" s="66" t="n">
        <f aca="false">IF(ISNUMBER(F202),IF(ABS(F197-F202)&lt;=0.6,0,ROUND(F197-F202,1)),"")</f>
        <v>0</v>
      </c>
      <c r="G201" s="66" t="n">
        <f aca="false">IF(ISNUMBER(G202),IF(ABS(G197-G202)&lt;=0.6,0,ROUND(G197-G202,1)),"")</f>
        <v>0</v>
      </c>
      <c r="H201" s="66" t="n">
        <f aca="false">IF(ISNUMBER(H202),IF(ABS(H197-H202)&lt;=0.6,0,ROUND(H197-H202,1)),"")</f>
        <v>0</v>
      </c>
      <c r="I201" s="66" t="n">
        <f aca="false">IF(ISNUMBER(I202),IF(ABS(I197-I202)&lt;=0.6,0,ROUND(I197-I202,1)),"")</f>
        <v>0</v>
      </c>
      <c r="J201" s="66" t="n">
        <f aca="false">IF(ISNUMBER(J202),IF(ABS(J197-J202)&lt;=0.6,0,ROUND(J197-J202,1)),"")</f>
        <v>0</v>
      </c>
      <c r="K201" s="66" t="n">
        <f aca="false">IF(ISNUMBER(K202),IF(ABS(K197-K202)&lt;=0.6,0,ROUND(K197-K202,1)),"")</f>
        <v>0</v>
      </c>
      <c r="L201" s="66" t="n">
        <f aca="false">IF(ISNUMBER(L202),IF(ABS(L197-L202)&lt;=0.6,0,ROUND(L197-L202,1)),"")</f>
        <v>0</v>
      </c>
      <c r="M201" s="66" t="n">
        <f aca="false">IF(ISNUMBER(M202),IF(ABS(M197-M202)&lt;=0.6,0,ROUND(M197-M202,1)),"")</f>
        <v>0</v>
      </c>
      <c r="N201" s="66" t="n">
        <f aca="false">IF(ISNUMBER(N202),IF(ABS(N197-N202)&lt;=0.6,0,ROUND(N197-N202,1)),"")</f>
        <v>0</v>
      </c>
      <c r="O201" s="66" t="n">
        <f aca="false">IF(ISNUMBER(O202),IF(ABS(O197-O202)&lt;=0.6,0,ROUND(O197-O202,1)),"")</f>
        <v>0</v>
      </c>
      <c r="P201" s="66" t="n">
        <f aca="false">IF(ISNUMBER(P202),IF(ABS(P197-P202)&lt;=0.6,0,ROUND(P197-P202,1)),"")</f>
        <v>0</v>
      </c>
      <c r="Q201" s="66" t="n">
        <f aca="false">IF(ISNUMBER(Q202),IF(ABS(Q197-Q202)&lt;=0.6,0,ROUND(Q197-Q202,1)),"")</f>
        <v>0</v>
      </c>
      <c r="R201" s="66" t="n">
        <f aca="false">IF(ISNUMBER(R202),IF(ABS(R197-R202)&lt;=0.6,0,ROUND(R197-R202,1)),"")</f>
        <v>0</v>
      </c>
      <c r="S201" s="66" t="n">
        <f aca="false">IF(ISNUMBER(S202),IF(ABS(S197-S202)&lt;=0.6,0,ROUND(S197-S202,1)),"")</f>
        <v>0</v>
      </c>
      <c r="T201" s="66" t="n">
        <f aca="false">IF(ISNUMBER(T202),IF(ABS(T197-T202)&lt;=0.6,0,ROUND(T197-T202,1)),"")</f>
        <v>0</v>
      </c>
      <c r="U201" s="66" t="n">
        <f aca="false">IF(ISNUMBER(U202),IF(ABS(U197-U202)&lt;=0.6,0,ROUND(U197-U202,1)),"")</f>
        <v>0</v>
      </c>
      <c r="V201" s="66" t="n">
        <f aca="false">IF(ISNUMBER(V202),IF(ABS(V197-V202)&lt;=0.6,0,ROUND(V197-V202,1)),"")</f>
        <v>0</v>
      </c>
      <c r="W201" s="66" t="n">
        <f aca="false">IF(ISNUMBER(W202),IF(ABS(W197-W202)&lt;=0.6,0,ROUND(W197-W202,1)),"")</f>
        <v>0</v>
      </c>
      <c r="X201" s="66" t="n">
        <f aca="false">IF(ISNUMBER(X202),IF(ABS(X197-X202)&lt;=0.6,0,ROUND(X197-X202,1)),"")</f>
        <v>0</v>
      </c>
      <c r="Y201" s="66" t="n">
        <f aca="false">IF(ISNUMBER(Y202),IF(ABS(Y197-Y202)&lt;=0.6,0,ROUND(Y197-Y202,1)),"")</f>
        <v>0</v>
      </c>
      <c r="Z201" s="66" t="n">
        <f aca="false">IF(ISNUMBER(Z202),IF(ABS(Z197-Z202)&lt;=0.6,0,ROUND(Z197-Z202,1)),"")</f>
        <v>0</v>
      </c>
      <c r="AA201" s="66" t="n">
        <f aca="false">IF(ISNUMBER(AA202),IF(ABS(AA197-AA202)&lt;=0.6,0,ROUND(AA197-AA202,1)),"")</f>
        <v>0</v>
      </c>
      <c r="AB201" s="66" t="n">
        <f aca="false">IF(ISNUMBER(AB202),IF(ABS(AB197-AB202)&lt;=0.6,0,ROUND(AB197-AB202,1)),"")</f>
        <v>0</v>
      </c>
      <c r="AC201" s="66" t="n">
        <f aca="false">IF(ISNUMBER(AC202),IF(ABS(AC197-AC202)&lt;=0.6,0,ROUND(AC197-AC202,1)),"")</f>
        <v>0</v>
      </c>
      <c r="AD201" s="66" t="n">
        <f aca="false">IF(ISNUMBER(AD202),IF(ABS(AD197-AD202)&lt;=0.6,0,ROUND(AD197-AD202,1)),"")</f>
        <v>0</v>
      </c>
      <c r="AE201" s="66" t="n">
        <f aca="false">IF(ISNUMBER(AE202),IF(ABS(AE197-AE202)&lt;=0.6,0,ROUND(AE197-AE202,1)),"")</f>
        <v>0</v>
      </c>
      <c r="AF201" s="66" t="n">
        <f aca="false">IF(ISNUMBER(AF202),IF(ABS(AF197-AF202)&lt;=0.6,0,ROUND(AF197-AF202,1)),"")</f>
        <v>0</v>
      </c>
      <c r="AG201" s="66" t="n">
        <f aca="false">IF(ISNUMBER(AG202),IF(ABS(AG197-AG202)&lt;=0.6,0,ROUND(AG197-AG202,1)),"")</f>
        <v>0</v>
      </c>
      <c r="AH201" s="66" t="n">
        <f aca="false">IF(ISNUMBER(AH202),IF(ABS(AH197-AH202)&lt;=0.6,0,ROUND(AH197-AH202,1)),"")</f>
        <v>0</v>
      </c>
      <c r="AI201" s="66" t="n">
        <f aca="false">IF(ISNUMBER(AI202),IF(ABS(AI197-AI202)&lt;=0.6,0,ROUND(AI197-AI202,1)),"")</f>
        <v>0</v>
      </c>
      <c r="AJ201" s="66" t="n">
        <f aca="false">IF(ISNUMBER(AJ202),IF(ABS(AJ197-AJ202)&lt;=0.6,0,ROUND(AJ197-AJ202,1)),"")</f>
        <v>0</v>
      </c>
      <c r="AK201" s="66" t="n">
        <f aca="false">IF(ISNUMBER(AK202),IF(ABS(AK197-AK202)&lt;=0.6,0,ROUND(AK197-AK202,1)),"")</f>
        <v>0</v>
      </c>
      <c r="AL201" s="66" t="n">
        <f aca="false">IF(ISNUMBER(AL202),IF(ABS(AL197-AL202)&lt;=0.6,0,ROUND(AL197-AL202,1)),"")</f>
        <v>0</v>
      </c>
      <c r="AM201" s="66" t="n">
        <f aca="false">IF(ISNUMBER(AM202),IF(ABS(AM197-AM202)&lt;=0.6,0,ROUND(AM197-AM202,1)),"")</f>
        <v>0</v>
      </c>
      <c r="AN201" s="66" t="n">
        <f aca="false">IF(ISNUMBER(AN202),IF(ABS(AN197-AN202)&lt;=0.6,0,ROUND(AN197-AN202,1)),"")</f>
        <v>0</v>
      </c>
      <c r="AO201" s="66" t="n">
        <f aca="false">IF(ISNUMBER(AO202),IF(ABS(AO197-AO202)&lt;=0.6,0,ROUND(AO197-AO202,1)),"")</f>
        <v>0</v>
      </c>
      <c r="AP201" s="66" t="n">
        <f aca="false">IF(ISNUMBER(AP202),IF(ABS(AP197-AP202)&lt;=0.6,0,ROUND(AP197-AP202,1)),"")</f>
        <v>0</v>
      </c>
      <c r="AQ201" s="66" t="n">
        <f aca="false">IF(ISNUMBER(AQ202),IF(ABS(AQ197-AQ202)&lt;=0.6,0,ROUND(AQ197-AQ202,1)),"")</f>
        <v>0</v>
      </c>
      <c r="AR201" s="66" t="n">
        <f aca="false">IF(ISNUMBER(AR202),IF(ABS(AR197-AR202)&lt;=0.6,0,ROUND(AR197-AR202,1)),"")</f>
        <v>0</v>
      </c>
      <c r="AS201" s="66" t="n">
        <f aca="false">IF(ISNUMBER(AS202),IF(ABS(AS197-AS202)&lt;=0.6,0,ROUND(AS197-AS202,1)),"")</f>
        <v>0</v>
      </c>
      <c r="AT201" s="66" t="n">
        <f aca="false">IF(ISNUMBER(AT202),IF(ABS(AT197-AT202)&lt;=0.6,0,ROUND(AT197-AT202,1)),"")</f>
        <v>0</v>
      </c>
      <c r="AU201" s="66" t="n">
        <f aca="false">IF(ISNUMBER(AU202),IF(ABS(AU197-AU202)&lt;=0.6,0,ROUND(AU197-AU202,1)),"")</f>
        <v>0</v>
      </c>
      <c r="AV201" s="66" t="n">
        <f aca="false">IF(ISNUMBER(AV202),IF(ABS(AV197-AV202)&lt;=0.6,0,ROUND(AV197-AV202,1)),"")</f>
        <v>0</v>
      </c>
      <c r="AW201" s="66" t="n">
        <f aca="false">IF(ISNUMBER(AW202),IF(ABS(AW197-AW202)&lt;=0.6,0,ROUND(AW197-AW202,1)),"")</f>
        <v>0</v>
      </c>
      <c r="AX201" s="66" t="n">
        <f aca="false">IF(ISNUMBER(AX202),IF(ABS(AX197-AX202)&lt;=0.6,0,ROUND(AX197-AX202,1)),"")</f>
        <v>0</v>
      </c>
      <c r="AY201" s="66" t="n">
        <f aca="false">IF(ISNUMBER(AY202),IF(ABS(AY197-AY202)&lt;=0.6,0,ROUND(AY197-AY202,1)),"")</f>
        <v>0</v>
      </c>
      <c r="AZ201" s="66" t="n">
        <f aca="false">IF(ISNUMBER(AZ202),IF(ABS(AZ197-AZ202)&lt;=0.6,0,ROUND(AZ197-AZ202,1)),"")</f>
        <v>0</v>
      </c>
      <c r="BA201" s="66" t="n">
        <f aca="false">IF(ISNUMBER(BA202),IF(ABS(BA197-BA202)&lt;=0.6,0,ROUND(BA197-BA202,1)),"")</f>
        <v>0</v>
      </c>
      <c r="BB201" s="66" t="n">
        <f aca="false">IF(ISNUMBER(BB202),IF(ABS(BB197-BB202)&lt;=0.6,0,ROUND(BB197-BB202,1)),"")</f>
        <v>0</v>
      </c>
      <c r="BC201" s="66" t="n">
        <f aca="false">IF(ISNUMBER(BC202),IF(ABS(BC197-BC202)&lt;=0.6,0,ROUND(BC197-BC202,1)),"")</f>
        <v>0</v>
      </c>
      <c r="BD201" s="66" t="n">
        <f aca="false">IF(ISNUMBER(BD202),IF(ABS(BD197-BD202)&lt;=0.6,0,ROUND(BD197-BD202,1)),"")</f>
        <v>0</v>
      </c>
      <c r="BE201" s="66" t="n">
        <f aca="false">IF(ISNUMBER(BE202),IF(ABS(BE197-BE202)&lt;=0.6,0,ROUND(BE197-BE202,1)),"")</f>
        <v>0</v>
      </c>
      <c r="BF201" s="66" t="n">
        <f aca="false">IF(ISNUMBER(BF202),IF(ABS(BF197-BF202)&lt;=0.6,0,ROUND(BF197-BF202,1)),"")</f>
        <v>0</v>
      </c>
      <c r="BG201" s="66" t="n">
        <f aca="false">IF(ISNUMBER(BG202),IF(ABS(BG197-BG202)&lt;=0.6,0,ROUND(BG197-BG202,1)),"")</f>
        <v>0</v>
      </c>
      <c r="BH201" s="66" t="n">
        <f aca="false">IF(ISNUMBER(BH202),IF(ABS(BH197-BH202)&lt;=0.6,0,ROUND(BH197-BH202,1)),"")</f>
        <v>0</v>
      </c>
      <c r="BI201" s="66" t="n">
        <f aca="false">IF(ISNUMBER(BI202),IF(ABS(BI197-BI202)&lt;=0.6,0,ROUND(BI197-BI202,1)),"")</f>
        <v>0</v>
      </c>
      <c r="BJ201" s="66" t="n">
        <f aca="false">IF(ISNUMBER(BJ202),IF(ABS(BJ197-BJ202)&lt;=0.6,0,ROUND(BJ197-BJ202,1)),"")</f>
        <v>0</v>
      </c>
      <c r="BK201" s="66" t="n">
        <f aca="false">IF(ISNUMBER(BK202),IF(ABS(BK197-BK202)&lt;=0.6,0,ROUND(BK197-BK202,1)),"")</f>
        <v>0</v>
      </c>
      <c r="BL201" s="66" t="n">
        <f aca="false">IF(ISNUMBER(BL202),IF(ABS(BL197-BL202)&lt;=0.6,0,ROUND(BL197-BL202,1)),"")</f>
        <v>0</v>
      </c>
      <c r="BM201" s="66" t="n">
        <f aca="false">IF(ISNUMBER(BM202),IF(ABS(BM197-BM202)&lt;=0.6,0,ROUND(BM197-BM202,1)),"")</f>
        <v>0</v>
      </c>
      <c r="BN201" s="66" t="n">
        <f aca="false">IF(ISNUMBER(BN202),IF(ABS(BN197-BN202)&lt;=0.6,0,ROUND(BN197-BN202,1)),"")</f>
        <v>0</v>
      </c>
      <c r="BO201" s="66" t="n">
        <f aca="false">IF(ISNUMBER(BO202),IF(ABS(BO197-BO202)&lt;=0.6,0,ROUND(BO197-BO202,1)),"")</f>
        <v>0</v>
      </c>
      <c r="BP201" s="66" t="n">
        <f aca="false">IF(ISNUMBER(BP202),IF(ABS(BP197-BP202)&lt;=0.6,0,ROUND(BP197-BP202,1)),"")</f>
        <v>0</v>
      </c>
      <c r="BQ201" s="66" t="n">
        <f aca="false">IF(ISNUMBER(BQ202),IF(ABS(BQ197-BQ202)&lt;=0.6,0,ROUND(BQ197-BQ202,1)),"")</f>
        <v>0</v>
      </c>
      <c r="BR201" s="66" t="n">
        <f aca="false">IF(ISNUMBER(BR202),IF(ABS(BR197-BR202)&lt;=0.6,0,ROUND(BR197-BR202,1)),"")</f>
        <v>0</v>
      </c>
      <c r="BS201" s="66" t="n">
        <f aca="false">IF(ISNUMBER(BS202),IF(ABS(BS197-BS202)&lt;=0.6,0,ROUND(BS197-BS202,1)),"")</f>
        <v>0</v>
      </c>
      <c r="BT201" s="66" t="n">
        <f aca="false">IF(ISNUMBER(BT202),IF(ABS(BT197-BT202)&lt;=0.6,0,ROUND(BT197-BT202,1)),"")</f>
        <v>0</v>
      </c>
      <c r="BU201" s="66" t="n">
        <f aca="false">IF(ISNUMBER(BU202),IF(ABS(BU197-BU202)&lt;=0.6,0,ROUND(BU197-BU202,1)),"")</f>
        <v>0</v>
      </c>
      <c r="BV201" s="66" t="n">
        <f aca="false">IF(ISNUMBER(BV202),IF(ABS(BV197-BV202)&lt;=0.6,0,ROUND(BV197-BV202,1)),"")</f>
        <v>0</v>
      </c>
      <c r="BW201" s="66" t="n">
        <f aca="false">IF(ISNUMBER(BW202),IF(ABS(BW197-BW202)&lt;=0.6,0,ROUND(BW197-BW202,1)),"")</f>
        <v>0</v>
      </c>
      <c r="BX201" s="66" t="n">
        <f aca="false">IF(ISNUMBER(BX202),IF(ABS(BX197-BX202)&lt;=0.6,0,ROUND(BX197-BX202,1)),"")</f>
        <v>0</v>
      </c>
      <c r="BY201" s="7"/>
      <c r="BZ201" s="7"/>
      <c r="CA201" s="7"/>
      <c r="CB201" s="7"/>
      <c r="CC201" s="7"/>
      <c r="CD201" s="7"/>
      <c r="CE201" s="7"/>
      <c r="CF201" s="7"/>
    </row>
    <row r="202" customFormat="false" ht="15" hidden="false" customHeight="true" outlineLevel="0" collapsed="false">
      <c r="B202" s="50" t="s">
        <v>350</v>
      </c>
      <c r="C202" s="40" t="n">
        <v>1122</v>
      </c>
      <c r="D202" s="40" t="n">
        <v>1369.9</v>
      </c>
      <c r="E202" s="40" t="n">
        <v>1317.6</v>
      </c>
      <c r="F202" s="40" t="n">
        <v>1151.7</v>
      </c>
      <c r="G202" s="40" t="n">
        <v>1793</v>
      </c>
      <c r="H202" s="40" t="n">
        <v>2172.3</v>
      </c>
      <c r="I202" s="40" t="n">
        <v>2392.2</v>
      </c>
      <c r="J202" s="40" t="n">
        <v>691.9</v>
      </c>
      <c r="K202" s="40" t="n">
        <v>616.8</v>
      </c>
      <c r="L202" s="40" t="n">
        <v>597</v>
      </c>
      <c r="M202" s="40" t="n">
        <v>789.3</v>
      </c>
      <c r="N202" s="40" t="n">
        <v>2695</v>
      </c>
      <c r="O202" s="40" t="n">
        <v>579.7</v>
      </c>
      <c r="P202" s="40" t="n">
        <v>676.4</v>
      </c>
      <c r="Q202" s="40" t="n">
        <v>680.6</v>
      </c>
      <c r="R202" s="40" t="n">
        <v>661.7</v>
      </c>
      <c r="S202" s="40" t="n">
        <v>2598.4</v>
      </c>
      <c r="T202" s="40" t="n">
        <v>569.8</v>
      </c>
      <c r="U202" s="40" t="n">
        <v>695.7</v>
      </c>
      <c r="V202" s="40" t="n">
        <v>1403.3</v>
      </c>
      <c r="W202" s="40" t="n">
        <v>688.6</v>
      </c>
      <c r="X202" s="40" t="n">
        <v>3357.4</v>
      </c>
      <c r="Y202" s="40" t="n">
        <v>758.4</v>
      </c>
      <c r="Z202" s="40" t="n">
        <v>656.7</v>
      </c>
      <c r="AA202" s="40" t="n">
        <v>391.6</v>
      </c>
      <c r="AB202" s="40" t="n">
        <v>747</v>
      </c>
      <c r="AC202" s="40" t="n">
        <v>2553.7</v>
      </c>
      <c r="AD202" s="40" t="n">
        <v>506.1</v>
      </c>
      <c r="AE202" s="40" t="n">
        <v>557.3</v>
      </c>
      <c r="AF202" s="40" t="n">
        <v>572.1</v>
      </c>
      <c r="AG202" s="40" t="n">
        <v>856.6</v>
      </c>
      <c r="AH202" s="40" t="n">
        <v>2492.1</v>
      </c>
      <c r="AI202" s="40" t="n">
        <v>566.6</v>
      </c>
      <c r="AJ202" s="40" t="n">
        <v>673.8</v>
      </c>
      <c r="AK202" s="40" t="n">
        <v>663.7</v>
      </c>
      <c r="AL202" s="40" t="n">
        <v>746.8</v>
      </c>
      <c r="AM202" s="40" t="n">
        <v>2650.9</v>
      </c>
      <c r="AN202" s="40" t="n">
        <v>333.8</v>
      </c>
      <c r="AO202" s="40" t="n">
        <v>731.3</v>
      </c>
      <c r="AP202" s="40" t="n">
        <v>668</v>
      </c>
      <c r="AQ202" s="40" t="n">
        <v>1275.1</v>
      </c>
      <c r="AR202" s="40" t="n">
        <v>3008.2</v>
      </c>
      <c r="AS202" s="40" t="n">
        <v>595.1</v>
      </c>
      <c r="AT202" s="40" t="n">
        <v>927.3</v>
      </c>
      <c r="AU202" s="40" t="n">
        <v>883.5</v>
      </c>
      <c r="AV202" s="40" t="n">
        <v>1241</v>
      </c>
      <c r="AW202" s="40" t="n">
        <v>3646</v>
      </c>
      <c r="AX202" s="40" t="n">
        <v>1702</v>
      </c>
      <c r="AY202" s="40" t="n">
        <v>1785</v>
      </c>
      <c r="AZ202" s="40" t="n">
        <v>1158</v>
      </c>
      <c r="BA202" s="40" t="n">
        <v>1788</v>
      </c>
      <c r="BB202" s="40" t="n">
        <v>6433</v>
      </c>
      <c r="BC202" s="40" t="n">
        <v>1725</v>
      </c>
      <c r="BD202" s="40" t="n">
        <v>1680</v>
      </c>
      <c r="BE202" s="40" t="n">
        <v>1572</v>
      </c>
      <c r="BF202" s="40" t="n">
        <v>2232</v>
      </c>
      <c r="BG202" s="40" t="n">
        <v>7209</v>
      </c>
      <c r="BH202" s="40" t="n">
        <v>1450</v>
      </c>
      <c r="BI202" s="40" t="n">
        <v>1106</v>
      </c>
      <c r="BJ202" s="40" t="n">
        <v>1129</v>
      </c>
      <c r="BK202" s="40" t="n">
        <v>1079</v>
      </c>
      <c r="BL202" s="40" t="n">
        <v>4764</v>
      </c>
      <c r="BM202" s="40" t="n">
        <v>1088</v>
      </c>
      <c r="BN202" s="40" t="n">
        <v>907</v>
      </c>
      <c r="BO202" s="40" t="n">
        <v>818</v>
      </c>
      <c r="BP202" s="40" t="n">
        <v>1086</v>
      </c>
      <c r="BQ202" s="40" t="n">
        <v>3899</v>
      </c>
      <c r="BR202" s="40" t="n">
        <v>954</v>
      </c>
      <c r="BS202" s="40" t="n">
        <v>555</v>
      </c>
      <c r="BT202" s="40" t="n">
        <v>908</v>
      </c>
      <c r="BU202" s="40" t="n">
        <v>1197</v>
      </c>
      <c r="BV202" s="40" t="n">
        <v>3614</v>
      </c>
      <c r="BW202" s="40" t="n">
        <v>1029</v>
      </c>
      <c r="BX202" s="40" t="n">
        <v>870</v>
      </c>
      <c r="BY202" s="7"/>
      <c r="BZ202" s="7"/>
      <c r="CA202" s="7"/>
      <c r="CB202" s="7"/>
      <c r="CC202" s="7"/>
      <c r="CD202" s="7"/>
      <c r="CE202" s="7"/>
      <c r="CF202" s="7"/>
    </row>
    <row r="203" customFormat="false" ht="15" hidden="false" customHeight="true" outlineLevel="0" collapsed="false">
      <c r="B203" s="50" t="s">
        <v>351</v>
      </c>
      <c r="C203" s="51" t="n">
        <f aca="false">IF(ISNUMBER(C195),C195-N(C198)-N(C199),"")</f>
        <v>1109.3</v>
      </c>
      <c r="D203" s="51" t="n">
        <f aca="false">IF(ISNUMBER(D195),D195-N(D198)-N(D199),"")</f>
        <v>1214</v>
      </c>
      <c r="E203" s="51" t="n">
        <f aca="false">IF(ISNUMBER(E195),E195-N(E198)-N(E199),"")</f>
        <v>1317.6</v>
      </c>
      <c r="F203" s="51" t="n">
        <f aca="false">IF(ISNUMBER(F195),F195-N(F198)-N(F199),"")</f>
        <v>1151.6</v>
      </c>
      <c r="G203" s="51" t="n">
        <f aca="false">IF(ISNUMBER(G195),G195-N(G198)-N(G199),"")</f>
        <v>1718.1</v>
      </c>
      <c r="H203" s="51" t="n">
        <f aca="false">IF(ISNUMBER(H195),H195-N(H198)-N(H199),"")</f>
        <v>1935.2</v>
      </c>
      <c r="I203" s="51" t="n">
        <f aca="false">IF(ISNUMBER(I195),I195-N(I198)-N(I199),"")</f>
        <v>2299.3</v>
      </c>
      <c r="J203" s="51" t="n">
        <f aca="false">IF(ISNUMBER(J195),J195-N(J198)-N(J199),"")</f>
        <v>691.9</v>
      </c>
      <c r="K203" s="51" t="n">
        <f aca="false">IF(ISNUMBER(K195),K195-N(K198)-N(K199),"")</f>
        <v>616.8</v>
      </c>
      <c r="L203" s="51" t="n">
        <f aca="false">IF(ISNUMBER(L195),L195-N(L198)-N(L199),"")</f>
        <v>597</v>
      </c>
      <c r="M203" s="51" t="n">
        <f aca="false">IF(ISNUMBER(M195),M195-N(M198)-N(M199),"")</f>
        <v>789.3</v>
      </c>
      <c r="N203" s="51" t="n">
        <f aca="false">IF(ISNUMBER(N195),N195-N(N198)-N(N199),"")</f>
        <v>2695</v>
      </c>
      <c r="O203" s="51" t="n">
        <f aca="false">IF(ISNUMBER(O195),O195-N(O198)-N(O199),"")</f>
        <v>579.7</v>
      </c>
      <c r="P203" s="51" t="n">
        <f aca="false">IF(ISNUMBER(P195),P195-N(P198)-N(P199),"")</f>
        <v>676.4</v>
      </c>
      <c r="Q203" s="51" t="n">
        <f aca="false">IF(ISNUMBER(Q195),Q195-N(Q198)-N(Q199),"")</f>
        <v>681.3</v>
      </c>
      <c r="R203" s="51" t="n">
        <f aca="false">IF(ISNUMBER(R195),R195-N(R198)-N(R199),"")</f>
        <v>649.6</v>
      </c>
      <c r="S203" s="51" t="n">
        <f aca="false">IF(ISNUMBER(S195),S195-N(S198)-N(S199),"")</f>
        <v>2543.1</v>
      </c>
      <c r="T203" s="51" t="n">
        <f aca="false">IF(ISNUMBER(T195),T195-N(T198)-N(T199),"")</f>
        <v>558</v>
      </c>
      <c r="U203" s="51" t="n">
        <f aca="false">IF(ISNUMBER(U195),U195-N(U198)-N(U199),"")</f>
        <v>715.5</v>
      </c>
      <c r="V203" s="51" t="n">
        <f aca="false">IF(ISNUMBER(V195),V195-N(V198)-N(V199),"")</f>
        <v>379.9</v>
      </c>
      <c r="W203" s="51" t="n">
        <f aca="false">IF(ISNUMBER(W195),W195-N(W198)-N(W199),"")</f>
        <v>521</v>
      </c>
      <c r="X203" s="51" t="n">
        <f aca="false">IF(ISNUMBER(X195),X195-N(X198)-N(X199),"")</f>
        <v>1746.7</v>
      </c>
      <c r="Y203" s="51" t="n">
        <f aca="false">IF(ISNUMBER(Y195),Y195-N(Y198)-N(Y199),"")</f>
        <v>585.8</v>
      </c>
      <c r="Z203" s="51" t="n">
        <f aca="false">IF(ISNUMBER(Z195),Z195-N(Z198)-N(Z199),"")</f>
        <v>418</v>
      </c>
      <c r="AA203" s="51" t="n">
        <f aca="false">IF(ISNUMBER(AA195),AA195-N(AA198)-N(AA199),"")</f>
        <v>402.600000000001</v>
      </c>
      <c r="AB203" s="51" t="n">
        <f aca="false">IF(ISNUMBER(AB195),AB195-N(AB198)-N(AB199),"")</f>
        <v>747</v>
      </c>
      <c r="AC203" s="51" t="n">
        <f aca="false">IF(ISNUMBER(AC195),AC195-N(AC198)-N(AC199),"")</f>
        <v>2153.4</v>
      </c>
      <c r="AD203" s="51" t="n">
        <f aca="false">IF(ISNUMBER(AD195),AD195-N(AD198)-N(AD199),"")</f>
        <v>483.8</v>
      </c>
      <c r="AE203" s="51" t="n">
        <f aca="false">IF(ISNUMBER(AE195),AE195-N(AE198)-N(AE199),"")</f>
        <v>557.3</v>
      </c>
      <c r="AF203" s="51" t="n">
        <f aca="false">IF(ISNUMBER(AF195),AF195-N(AF198)-N(AF199),"")</f>
        <v>572.1</v>
      </c>
      <c r="AG203" s="51" t="n">
        <f aca="false">IF(ISNUMBER(AG195),AG195-N(AG198)-N(AG199),"")</f>
        <v>856.6</v>
      </c>
      <c r="AH203" s="51" t="n">
        <f aca="false">IF(ISNUMBER(AH195),AH195-N(AH198)-N(AH199),"")</f>
        <v>2469.8</v>
      </c>
      <c r="AI203" s="51" t="n">
        <f aca="false">IF(ISNUMBER(AI195),AI195-N(AI198)-N(AI199),"")</f>
        <v>566.599999999999</v>
      </c>
      <c r="AJ203" s="51" t="n">
        <f aca="false">IF(ISNUMBER(AJ195),AJ195-N(AJ198)-N(AJ199),"")</f>
        <v>673.8</v>
      </c>
      <c r="AK203" s="51" t="n">
        <f aca="false">IF(ISNUMBER(AK195),AK195-N(AK198)-N(AK199),"")</f>
        <v>663.700000000001</v>
      </c>
      <c r="AL203" s="51" t="n">
        <f aca="false">IF(ISNUMBER(AL195),AL195-N(AL198)-N(AL199),"")</f>
        <v>683.8</v>
      </c>
      <c r="AM203" s="51" t="n">
        <f aca="false">IF(ISNUMBER(AM195),AM195-N(AM198)-N(AM199),"")</f>
        <v>2406.3</v>
      </c>
      <c r="AN203" s="51" t="n">
        <f aca="false">IF(ISNUMBER(AN195),AN195-N(AN198)-N(AN199),"")</f>
        <v>325.8</v>
      </c>
      <c r="AO203" s="51" t="n">
        <f aca="false">IF(ISNUMBER(AO195),AO195-N(AO198)-N(AO199),"")</f>
        <v>653.7</v>
      </c>
      <c r="AP203" s="51" t="n">
        <f aca="false">IF(ISNUMBER(AP195),AP195-N(AP198)-N(AP199),"")</f>
        <v>605.2</v>
      </c>
      <c r="AQ203" s="51" t="n">
        <f aca="false">IF(ISNUMBER(AQ195),AQ195-N(AQ198)-N(AQ199),"")</f>
        <v>773.3</v>
      </c>
      <c r="AR203" s="51" t="n">
        <f aca="false">IF(ISNUMBER(AR195),AR195-N(AR198)-N(AR199),"")</f>
        <v>2363.9</v>
      </c>
      <c r="AS203" s="51" t="n">
        <f aca="false">IF(ISNUMBER(AS195),AS195-N(AS198)-N(AS199),"")</f>
        <v>575.5</v>
      </c>
      <c r="AT203" s="51" t="n">
        <f aca="false">IF(ISNUMBER(AT195),AT195-N(AT198)-N(AT199),"")</f>
        <v>892.699999999999</v>
      </c>
      <c r="AU203" s="51" t="n">
        <f aca="false">IF(ISNUMBER(AU195),AU195-N(AU198)-N(AU199),"")</f>
        <v>842.4</v>
      </c>
      <c r="AV203" s="51" t="n">
        <f aca="false">IF(ISNUMBER(AV195),AV195-N(AV198)-N(AV199),"")</f>
        <v>1200</v>
      </c>
      <c r="AW203" s="51" t="n">
        <f aca="false">IF(ISNUMBER(AW195),AW195-N(AW198)-N(AW199),"")</f>
        <v>3510</v>
      </c>
      <c r="AX203" s="51" t="n">
        <f aca="false">IF(ISNUMBER(AX195),AX195-N(AX198)-N(AX199),"")</f>
        <v>1661</v>
      </c>
      <c r="AY203" s="51" t="n">
        <f aca="false">IF(ISNUMBER(AY195),AY195-N(AY198)-N(AY199),"")</f>
        <v>1658</v>
      </c>
      <c r="AZ203" s="51" t="n">
        <f aca="false">IF(ISNUMBER(AZ195),AZ195-N(AZ198)-N(AZ199),"")</f>
        <v>1117</v>
      </c>
      <c r="BA203" s="51" t="n">
        <f aca="false">IF(ISNUMBER(BA195),BA195-N(BA198)-N(BA199),"")</f>
        <v>1747</v>
      </c>
      <c r="BB203" s="51" t="n">
        <f aca="false">IF(ISNUMBER(BB195),BB195-N(BB198)-N(BB199),"")</f>
        <v>6183</v>
      </c>
      <c r="BC203" s="51" t="n">
        <f aca="false">IF(ISNUMBER(BC195),BC195-N(BC198)-N(BC199),"")</f>
        <v>1684</v>
      </c>
      <c r="BD203" s="51" t="n">
        <f aca="false">IF(ISNUMBER(BD195),BD195-N(BD198)-N(BD199),"")</f>
        <v>1658</v>
      </c>
      <c r="BE203" s="51" t="n">
        <f aca="false">IF(ISNUMBER(BE195),BE195-N(BE198)-N(BE199),"")</f>
        <v>1551</v>
      </c>
      <c r="BF203" s="51" t="n">
        <f aca="false">IF(ISNUMBER(BF195),BF195-N(BF198)-N(BF199),"")</f>
        <v>1990</v>
      </c>
      <c r="BG203" s="51" t="n">
        <f aca="false">IF(ISNUMBER(BG195),BG195-N(BG198)-N(BG199),"")</f>
        <v>6222</v>
      </c>
      <c r="BH203" s="51" t="n">
        <f aca="false">IF(ISNUMBER(BH195),BH195-N(BH198)-N(BH199),"")</f>
        <v>1219</v>
      </c>
      <c r="BI203" s="51" t="n">
        <f aca="false">IF(ISNUMBER(BI195),BI195-N(BI198)-N(BI199),"")</f>
        <v>920</v>
      </c>
      <c r="BJ203" s="51" t="n">
        <f aca="false">IF(ISNUMBER(BJ195),BJ195-N(BJ198)-N(BJ199),"")</f>
        <v>940</v>
      </c>
      <c r="BK203" s="51" t="n">
        <f aca="false">IF(ISNUMBER(BK195),BK195-N(BK198)-N(BK199),"")</f>
        <v>1121</v>
      </c>
      <c r="BL203" s="51" t="n">
        <f aca="false">IF(ISNUMBER(BL195),BL195-N(BL198)-N(BL199),"")</f>
        <v>4200</v>
      </c>
      <c r="BM203" s="51" t="n">
        <f aca="false">IF(ISNUMBER(BM195),BM195-N(BM198)-N(BM199),"")</f>
        <v>1088</v>
      </c>
      <c r="BN203" s="51" t="n">
        <f aca="false">IF(ISNUMBER(BN195),BN195-N(BN198)-N(BN199),"")</f>
        <v>907</v>
      </c>
      <c r="BO203" s="51" t="n">
        <f aca="false">IF(ISNUMBER(BO195),BO195-N(BO198)-N(BO199),"")</f>
        <v>818</v>
      </c>
      <c r="BP203" s="51" t="n">
        <f aca="false">IF(ISNUMBER(BP195),BP195-N(BP198)-N(BP199),"")</f>
        <v>1086</v>
      </c>
      <c r="BQ203" s="51" t="n">
        <f aca="false">IF(ISNUMBER(BQ195),BQ195-N(BQ198)-N(BQ199),"")</f>
        <v>3899</v>
      </c>
      <c r="BR203" s="51" t="n">
        <f aca="false">IF(ISNUMBER(BR195),BR195-N(BR198)-N(BR199),"")</f>
        <v>954</v>
      </c>
      <c r="BS203" s="51" t="n">
        <f aca="false">IF(ISNUMBER(BS195),BS195-N(BS198)-N(BS199),"")</f>
        <v>555</v>
      </c>
      <c r="BT203" s="51" t="n">
        <f aca="false">IF(ISNUMBER(BT195),BT195-N(BT198)-N(BT199),"")</f>
        <v>908</v>
      </c>
      <c r="BU203" s="51" t="n">
        <f aca="false">IF(ISNUMBER(BU195),BU195-N(BU198)-N(BU199),"")</f>
        <v>1183</v>
      </c>
      <c r="BV203" s="51" t="n">
        <f aca="false">IF(ISNUMBER(BV195),BV195-N(BV198)-N(BV199),"")</f>
        <v>3600</v>
      </c>
      <c r="BW203" s="51" t="n">
        <f aca="false">IF(ISNUMBER(BW195),BW195-N(BW198)-N(BW199),"")</f>
        <v>1029</v>
      </c>
      <c r="BX203" s="51" t="n">
        <f aca="false">IF(ISNUMBER(BX195),BX195-N(BX198)-N(BX199),"")</f>
        <v>870</v>
      </c>
      <c r="BY203" s="41" t="n">
        <f aca="false">IF(ISNUMBER(BY195),BY195-N(BY198)-N(BY199),"")</f>
        <v>926.376844676305</v>
      </c>
      <c r="BZ203" s="41" t="n">
        <f aca="false">IF(ISNUMBER(BZ195),BZ195-N(BZ198)-N(BZ199),"")</f>
        <v>1423.48040022673</v>
      </c>
      <c r="CA203" s="41" t="n">
        <f aca="false">IF(ISNUMBER(CA195),CA195-N(CA198)-N(CA199),"")</f>
        <v>4248.85724490303</v>
      </c>
      <c r="CB203" s="41" t="n">
        <f aca="false">IF(ISNUMBER(CB195),CB195-N(CB198)-N(CB199),"")</f>
        <v>5014.12081287666</v>
      </c>
      <c r="CC203" s="41" t="n">
        <f aca="false">IF(ISNUMBER(CC195),CC195-N(CC198)-N(CC199),"")</f>
        <v>5630.2452684791</v>
      </c>
      <c r="CD203" s="41" t="n">
        <f aca="false">IF(ISNUMBER(CD195),CD195-N(CD198)-N(CD199),"")</f>
        <v>6200.81275876205</v>
      </c>
      <c r="CE203" s="41" t="n">
        <f aca="false">IF(ISNUMBER(CE195),CE195-N(CE198)-N(CE199),"")</f>
        <v>6997.07904160914</v>
      </c>
      <c r="CF203" s="7"/>
      <c r="CH203" s="22" t="n">
        <f aca="false">IFERROR((CE203/BV203)^(1/5)-1,"n/m")</f>
        <v>0.142149241872831</v>
      </c>
      <c r="CI203" s="22" t="n">
        <f aca="false">IFERROR((BV203/AW203)^(1/5)-1,"n/m")</f>
        <v>0.00507640309029589</v>
      </c>
      <c r="CJ203" s="22" t="n">
        <f aca="false">IFERROR((BV203/X203)^(1/10)-1,"n/m")</f>
        <v>0.0749998856429672</v>
      </c>
      <c r="CK203" s="22" t="n">
        <f aca="false">IFERROR((BV203/C203)^(1/19)-1,"n/m")</f>
        <v>0.0639178081796177</v>
      </c>
    </row>
    <row r="204" customFormat="false" ht="15" hidden="false" customHeight="true" outlineLevel="0" collapsed="false">
      <c r="B204" s="50" t="s">
        <v>352</v>
      </c>
      <c r="C204" s="40" t="n">
        <v>64.2</v>
      </c>
      <c r="D204" s="40" t="n">
        <v>94.6</v>
      </c>
      <c r="E204" s="40" t="n">
        <v>145.3</v>
      </c>
      <c r="F204" s="40" t="n">
        <v>157.1</v>
      </c>
      <c r="G204" s="40" t="n">
        <v>199.1</v>
      </c>
      <c r="H204" s="40" t="n">
        <v>284.3</v>
      </c>
      <c r="I204" s="40" t="n">
        <v>342</v>
      </c>
      <c r="J204" s="40" t="n">
        <v>89.3</v>
      </c>
      <c r="K204" s="40" t="n">
        <v>90.1</v>
      </c>
      <c r="L204" s="40" t="n">
        <v>91.9</v>
      </c>
      <c r="M204" s="40" t="n">
        <v>93.8</v>
      </c>
      <c r="N204" s="40" t="n">
        <v>365.1</v>
      </c>
      <c r="O204" s="40" t="n">
        <v>92.5</v>
      </c>
      <c r="P204" s="40" t="n">
        <v>95</v>
      </c>
      <c r="Q204" s="40" t="n">
        <v>90</v>
      </c>
      <c r="R204" s="40" t="n">
        <v>92</v>
      </c>
      <c r="S204" s="40" t="n">
        <v>352</v>
      </c>
      <c r="T204" s="40" t="n">
        <v>101</v>
      </c>
      <c r="U204" s="40" t="n">
        <v>99</v>
      </c>
      <c r="V204" s="40" t="n">
        <v>100.6</v>
      </c>
      <c r="W204" s="40" t="n">
        <v>137.4</v>
      </c>
      <c r="X204" s="40" t="n">
        <v>396.8</v>
      </c>
      <c r="Y204" s="40" t="n">
        <v>139.2</v>
      </c>
      <c r="Z204" s="40" t="n">
        <v>144.2</v>
      </c>
      <c r="AA204" s="40" t="n">
        <v>143.2</v>
      </c>
      <c r="AB204" s="40" t="n">
        <v>156.5</v>
      </c>
      <c r="AC204" s="40" t="n">
        <v>583.1</v>
      </c>
      <c r="AD204" s="40" t="n">
        <v>166.1</v>
      </c>
      <c r="AE204" s="40" t="n">
        <v>160.3</v>
      </c>
      <c r="AF204" s="40" t="n">
        <v>166.4</v>
      </c>
      <c r="AG204" s="40" t="n">
        <v>167.7</v>
      </c>
      <c r="AH204" s="40" t="n">
        <v>660.5</v>
      </c>
      <c r="AI204" s="40" t="n">
        <v>172.3</v>
      </c>
      <c r="AJ204" s="40" t="n">
        <v>181.1</v>
      </c>
      <c r="AK204" s="40" t="n">
        <v>174.1</v>
      </c>
      <c r="AL204" s="40" t="n">
        <v>156.1</v>
      </c>
      <c r="AM204" s="40" t="n">
        <v>615.6</v>
      </c>
      <c r="AN204" s="40" t="n">
        <v>157.4</v>
      </c>
      <c r="AO204" s="40" t="n">
        <v>156.3</v>
      </c>
      <c r="AP204" s="40" t="n">
        <v>155.6</v>
      </c>
      <c r="AQ204" s="40" t="n">
        <v>155.8</v>
      </c>
      <c r="AR204" s="40" t="n">
        <v>625.1</v>
      </c>
      <c r="AS204" s="40" t="n">
        <v>156.4</v>
      </c>
      <c r="AT204" s="40" t="n">
        <v>314.1</v>
      </c>
      <c r="AU204" s="40" t="n">
        <v>331.1</v>
      </c>
      <c r="AV204" s="40" t="n">
        <v>336</v>
      </c>
      <c r="AW204" s="40" t="n">
        <v>1138</v>
      </c>
      <c r="AX204" s="40" t="n">
        <v>344</v>
      </c>
      <c r="AY204" s="40" t="n">
        <v>347</v>
      </c>
      <c r="AZ204" s="40" t="n">
        <v>365</v>
      </c>
      <c r="BA204" s="40" t="n">
        <v>394</v>
      </c>
      <c r="BB204" s="40" t="n">
        <v>1450</v>
      </c>
      <c r="BC204" s="40" t="n">
        <v>386</v>
      </c>
      <c r="BD204" s="40" t="n">
        <v>373</v>
      </c>
      <c r="BE204" s="40" t="n">
        <v>361</v>
      </c>
      <c r="BF204" s="40" t="n">
        <v>352</v>
      </c>
      <c r="BG204" s="40" t="n">
        <v>1434</v>
      </c>
      <c r="BH204" s="40" t="n">
        <v>372</v>
      </c>
      <c r="BI204" s="40" t="n">
        <v>372</v>
      </c>
      <c r="BJ204" s="40" t="n">
        <v>367</v>
      </c>
      <c r="BK204" s="40" t="n">
        <v>380</v>
      </c>
      <c r="BL204" s="40" t="n">
        <v>1491</v>
      </c>
      <c r="BM204" s="40" t="n">
        <v>407</v>
      </c>
      <c r="BN204" s="40" t="n">
        <v>402</v>
      </c>
      <c r="BO204" s="40" t="n">
        <v>414</v>
      </c>
      <c r="BP204" s="40" t="n">
        <v>408</v>
      </c>
      <c r="BQ204" s="40" t="n">
        <v>1631</v>
      </c>
      <c r="BR204" s="40" t="n">
        <v>410</v>
      </c>
      <c r="BS204" s="40" t="n">
        <v>426</v>
      </c>
      <c r="BT204" s="40" t="n">
        <v>433</v>
      </c>
      <c r="BU204" s="40" t="n">
        <v>428</v>
      </c>
      <c r="BV204" s="40" t="n">
        <v>1697</v>
      </c>
      <c r="BW204" s="40" t="n">
        <v>434</v>
      </c>
      <c r="BX204" s="40" t="n">
        <v>463</v>
      </c>
      <c r="BY204" s="41" t="n">
        <f aca="false">BY172+N(BY78)+N(BY90)+N(BY109)</f>
        <v>500</v>
      </c>
      <c r="BZ204" s="41" t="n">
        <f aca="false">BZ172+N(BZ78)+N(BZ90)+N(BZ109)</f>
        <v>503</v>
      </c>
      <c r="CA204" s="41" t="n">
        <f aca="false">SUM(BW204,BX204,BY204,BZ204)</f>
        <v>1900</v>
      </c>
      <c r="CB204" s="41" t="n">
        <f aca="false">CB172+N(CB78)+N(CB90)+N(CB109)</f>
        <v>1909.53333333333</v>
      </c>
      <c r="CC204" s="41" t="n">
        <f aca="false">CC172+N(CC78)+N(CC90)+N(CC109)</f>
        <v>1949.53333333333</v>
      </c>
      <c r="CD204" s="41" t="n">
        <f aca="false">CD172+N(CD78)+N(CD90)+N(CD109)</f>
        <v>2009.53333333333</v>
      </c>
      <c r="CE204" s="41" t="n">
        <f aca="false">CE172+N(CE78)+N(CE90)+N(CE109)</f>
        <v>1876.2</v>
      </c>
      <c r="CF204" s="7" t="s">
        <v>353</v>
      </c>
      <c r="CH204" s="22" t="n">
        <f aca="false">IFERROR((CE204/BV204)^(1/5)-1,"n/m")</f>
        <v>0.0202801982020056</v>
      </c>
      <c r="CI204" s="22" t="n">
        <f aca="false">IFERROR((BV204/AW204)^(1/5)-1,"n/m")</f>
        <v>0.0831981660721541</v>
      </c>
      <c r="CJ204" s="22" t="n">
        <f aca="false">IFERROR((BV204/X204)^(1/10)-1,"n/m")</f>
        <v>0.15640781477211</v>
      </c>
      <c r="CK204" s="22" t="n">
        <f aca="false">IFERROR((BV204/C204)^(1/19)-1,"n/m")</f>
        <v>0.188091345497057</v>
      </c>
    </row>
    <row r="205" customFormat="false" ht="15" hidden="false" customHeight="true" outlineLevel="0" collapsed="false">
      <c r="B205" s="50" t="s">
        <v>354</v>
      </c>
      <c r="C205" s="51" t="n">
        <f aca="false">IF(ISNUMBER(C170),C170+N(C204),"")</f>
        <v>217.2</v>
      </c>
      <c r="D205" s="51" t="n">
        <f aca="false">IF(ISNUMBER(D170),D170+N(D204),"")</f>
        <v>268.5</v>
      </c>
      <c r="E205" s="51" t="n">
        <f aca="false">IF(ISNUMBER(E170),E170+N(E204),"")</f>
        <v>339.3</v>
      </c>
      <c r="F205" s="51" t="n">
        <f aca="false">IF(ISNUMBER(F170),F170+N(F204),"")</f>
        <v>341.6</v>
      </c>
      <c r="G205" s="51" t="n">
        <f aca="false">IF(ISNUMBER(G170),G170+N(G204),"")</f>
        <v>397.1</v>
      </c>
      <c r="H205" s="51" t="n">
        <f aca="false">IF(ISNUMBER(H170),H170+N(H204),"")</f>
        <v>635</v>
      </c>
      <c r="I205" s="51" t="n">
        <f aca="false">IF(ISNUMBER(I170),I170+N(I204),"")</f>
        <v>839.8</v>
      </c>
      <c r="J205" s="51" t="n">
        <f aca="false">IF(ISNUMBER(J170),J170+N(J204),"")</f>
        <v>216.8</v>
      </c>
      <c r="K205" s="51" t="n">
        <f aca="false">IF(ISNUMBER(K170),K170+N(K204),"")</f>
        <v>219.6</v>
      </c>
      <c r="L205" s="51" t="n">
        <f aca="false">IF(ISNUMBER(L170),L170+N(L204),"")</f>
        <v>225.3</v>
      </c>
      <c r="M205" s="51" t="n">
        <f aca="false">IF(ISNUMBER(M170),M170+N(M204),"")</f>
        <v>233.3</v>
      </c>
      <c r="N205" s="51" t="n">
        <f aca="false">IF(ISNUMBER(N170),N170+N(N204),"")</f>
        <v>895</v>
      </c>
      <c r="O205" s="51" t="n">
        <f aca="false">IF(ISNUMBER(O170),O170+N(O204),"")</f>
        <v>224.7</v>
      </c>
      <c r="P205" s="51" t="n">
        <f aca="false">IF(ISNUMBER(P170),P170+N(P204),"")</f>
        <v>235.4</v>
      </c>
      <c r="Q205" s="51" t="n">
        <f aca="false">IF(ISNUMBER(Q170),Q170+N(Q204),"")</f>
        <v>232.4</v>
      </c>
      <c r="R205" s="51" t="n">
        <f aca="false">IF(ISNUMBER(R170),R170+N(R204),"")</f>
        <v>229.6</v>
      </c>
      <c r="S205" s="51" t="n">
        <f aca="false">IF(ISNUMBER(S170),S170+N(S204),"")</f>
        <v>904.6</v>
      </c>
      <c r="T205" s="51" t="n">
        <f aca="false">IF(ISNUMBER(T170),T170+N(T204),"")</f>
        <v>239.5</v>
      </c>
      <c r="U205" s="51" t="n">
        <f aca="false">IF(ISNUMBER(U170),U170+N(U204),"")</f>
        <v>240.2</v>
      </c>
      <c r="V205" s="51" t="n">
        <f aca="false">IF(ISNUMBER(V170),V170+N(V204),"")</f>
        <v>237</v>
      </c>
      <c r="W205" s="51" t="n">
        <f aca="false">IF(ISNUMBER(W170),W170+N(W204),"")</f>
        <v>294.8</v>
      </c>
      <c r="X205" s="51" t="n">
        <f aca="false">IF(ISNUMBER(X170),X170+N(X204),"")</f>
        <v>970.3</v>
      </c>
      <c r="Y205" s="51" t="n">
        <f aca="false">IF(ISNUMBER(Y170),Y170+N(Y204),"")</f>
        <v>289.7</v>
      </c>
      <c r="Z205" s="51" t="n">
        <f aca="false">IF(ISNUMBER(Z170),Z170+N(Z204),"")</f>
        <v>300.2</v>
      </c>
      <c r="AA205" s="51" t="n">
        <f aca="false">IF(ISNUMBER(AA170),AA170+N(AA204),"")</f>
        <v>232.6</v>
      </c>
      <c r="AB205" s="51" t="n">
        <f aca="false">IF(ISNUMBER(AB170),AB170+N(AB204),"")</f>
        <v>305.6</v>
      </c>
      <c r="AC205" s="51" t="n">
        <f aca="false">IF(ISNUMBER(AC170),AC170+N(AC204),"")</f>
        <v>1128.1</v>
      </c>
      <c r="AD205" s="51" t="n">
        <f aca="false">IF(ISNUMBER(AD170),AD170+N(AD204),"")</f>
        <v>305.6</v>
      </c>
      <c r="AE205" s="51" t="n">
        <f aca="false">IF(ISNUMBER(AE170),AE170+N(AE204),"")</f>
        <v>303.2</v>
      </c>
      <c r="AF205" s="51" t="n">
        <f aca="false">IF(ISNUMBER(AF170),AF170+N(AF204),"")</f>
        <v>311.3</v>
      </c>
      <c r="AG205" s="51" t="n">
        <f aca="false">IF(ISNUMBER(AG170),AG170+N(AG204),"")</f>
        <v>318.2</v>
      </c>
      <c r="AH205" s="51" t="n">
        <f aca="false">IF(ISNUMBER(AH170),AH170+N(AH204),"")</f>
        <v>1238.3</v>
      </c>
      <c r="AI205" s="51" t="n">
        <f aca="false">IF(ISNUMBER(AI170),AI170+N(AI204),"")</f>
        <v>320.8</v>
      </c>
      <c r="AJ205" s="51" t="n">
        <f aca="false">IF(ISNUMBER(AJ170),AJ170+N(AJ204),"")</f>
        <v>334.6</v>
      </c>
      <c r="AK205" s="51" t="n">
        <f aca="false">IF(ISNUMBER(AK170),AK170+N(AK204),"")</f>
        <v>321.5</v>
      </c>
      <c r="AL205" s="51" t="n">
        <f aca="false">IF(ISNUMBER(AL170),AL170+N(AL204),"")</f>
        <v>308.2</v>
      </c>
      <c r="AM205" s="51" t="n">
        <f aca="false">IF(ISNUMBER(AM170),AM170+N(AM204),"")</f>
        <v>1217.1</v>
      </c>
      <c r="AN205" s="51" t="n">
        <f aca="false">IF(ISNUMBER(AN170),AN170+N(AN204),"")</f>
        <v>305.9</v>
      </c>
      <c r="AO205" s="51" t="n">
        <f aca="false">IF(ISNUMBER(AO170),AO170+N(AO204),"")</f>
        <v>308.3</v>
      </c>
      <c r="AP205" s="51" t="n">
        <f aca="false">IF(ISNUMBER(AP170),AP170+N(AP204),"")</f>
        <v>305.4</v>
      </c>
      <c r="AQ205" s="51" t="n">
        <f aca="false">IF(ISNUMBER(AQ170),AQ170+N(AQ204),"")</f>
        <v>269.9</v>
      </c>
      <c r="AR205" s="51" t="n">
        <f aca="false">IF(ISNUMBER(AR170),AR170+N(AR204),"")</f>
        <v>1189.5</v>
      </c>
      <c r="AS205" s="51" t="n">
        <f aca="false">IF(ISNUMBER(AS170),AS170+N(AS204),"")</f>
        <v>297.8</v>
      </c>
      <c r="AT205" s="51" t="n">
        <f aca="false">IF(ISNUMBER(AT170),AT170+N(AT204),"")</f>
        <v>477.1</v>
      </c>
      <c r="AU205" s="51" t="n">
        <f aca="false">IF(ISNUMBER(AU170),AU170+N(AU204),"")</f>
        <v>491.5</v>
      </c>
      <c r="AV205" s="51" t="n">
        <f aca="false">IF(ISNUMBER(AV170),AV170+N(AV204),"")</f>
        <v>508.2</v>
      </c>
      <c r="AW205" s="51" t="n">
        <f aca="false">IF(ISNUMBER(AW170),AW170+N(AW204),"")</f>
        <v>1775</v>
      </c>
      <c r="AX205" s="51" t="n">
        <f aca="false">IF(ISNUMBER(AX170),AX170+N(AX204),"")</f>
        <v>502</v>
      </c>
      <c r="AY205" s="51" t="n">
        <f aca="false">IF(ISNUMBER(AY170),AY170+N(AY204),"")</f>
        <v>525</v>
      </c>
      <c r="AZ205" s="51" t="n">
        <f aca="false">IF(ISNUMBER(AZ170),AZ170+N(AZ204),"")</f>
        <v>554</v>
      </c>
      <c r="BA205" s="51" t="n">
        <f aca="false">IF(ISNUMBER(BA170),BA170+N(BA204),"")</f>
        <v>587</v>
      </c>
      <c r="BB205" s="51" t="n">
        <f aca="false">IF(ISNUMBER(BB170),BB170+N(BB204),"")</f>
        <v>2168</v>
      </c>
      <c r="BC205" s="51" t="n">
        <f aca="false">IF(ISNUMBER(BC170),BC170+N(BC204),"")</f>
        <v>565</v>
      </c>
      <c r="BD205" s="51" t="n">
        <f aca="false">IF(ISNUMBER(BD170),BD170+N(BD204),"")</f>
        <v>552</v>
      </c>
      <c r="BE205" s="51" t="n">
        <f aca="false">IF(ISNUMBER(BE170),BE170+N(BE204),"")</f>
        <v>540</v>
      </c>
      <c r="BF205" s="51" t="n">
        <f aca="false">IF(ISNUMBER(BF170),BF170+N(BF204),"")</f>
        <v>553</v>
      </c>
      <c r="BG205" s="51" t="n">
        <f aca="false">IF(ISNUMBER(BG170),BG170+N(BG204),"")</f>
        <v>2172</v>
      </c>
      <c r="BH205" s="51" t="n">
        <f aca="false">IF(ISNUMBER(BH170),BH170+N(BH204),"")</f>
        <v>545</v>
      </c>
      <c r="BI205" s="51" t="n">
        <f aca="false">IF(ISNUMBER(BI170),BI170+N(BI204),"")</f>
        <v>550</v>
      </c>
      <c r="BJ205" s="51" t="n">
        <f aca="false">IF(ISNUMBER(BJ170),BJ170+N(BJ204),"")</f>
        <v>542</v>
      </c>
      <c r="BK205" s="51" t="n">
        <f aca="false">IF(ISNUMBER(BK170),BK170+N(BK204),"")</f>
        <v>529</v>
      </c>
      <c r="BL205" s="51" t="n">
        <f aca="false">IF(ISNUMBER(BL170),BL170+N(BL204),"")</f>
        <v>2166</v>
      </c>
      <c r="BM205" s="51" t="n">
        <f aca="false">IF(ISNUMBER(BM170),BM170+N(BM204),"")</f>
        <v>586</v>
      </c>
      <c r="BN205" s="51" t="n">
        <f aca="false">IF(ISNUMBER(BN170),BN170+N(BN204),"")</f>
        <v>580</v>
      </c>
      <c r="BO205" s="51" t="n">
        <f aca="false">IF(ISNUMBER(BO170),BO170+N(BO204),"")</f>
        <v>591</v>
      </c>
      <c r="BP205" s="51" t="n">
        <f aca="false">IF(ISNUMBER(BP170),BP170+N(BP204),"")</f>
        <v>595</v>
      </c>
      <c r="BQ205" s="51" t="n">
        <f aca="false">IF(ISNUMBER(BQ170),BQ170+N(BQ204),"")</f>
        <v>2352</v>
      </c>
      <c r="BR205" s="51" t="n">
        <f aca="false">IF(ISNUMBER(BR170),BR170+N(BR204),"")</f>
        <v>591</v>
      </c>
      <c r="BS205" s="51" t="n">
        <f aca="false">IF(ISNUMBER(BS170),BS170+N(BS204),"")</f>
        <v>611</v>
      </c>
      <c r="BT205" s="51" t="n">
        <f aca="false">IF(ISNUMBER(BT170),BT170+N(BT204),"")</f>
        <v>622</v>
      </c>
      <c r="BU205" s="51" t="n">
        <f aca="false">IF(ISNUMBER(BU170),BU170+N(BU204),"")</f>
        <v>623</v>
      </c>
      <c r="BV205" s="51" t="n">
        <f aca="false">IF(ISNUMBER(BV170),BV170+N(BV204),"")</f>
        <v>2447</v>
      </c>
      <c r="BW205" s="51" t="n">
        <f aca="false">IF(ISNUMBER(BW170),BW170+N(BW204),"")</f>
        <v>627</v>
      </c>
      <c r="BX205" s="51" t="n">
        <f aca="false">IF(ISNUMBER(BX170),BX170+N(BX204),"")</f>
        <v>659</v>
      </c>
      <c r="BY205" s="41" t="n">
        <f aca="false">IF(ISNUMBER(BY170),BY170+N(BY204),"")</f>
        <v>710.735507020142</v>
      </c>
      <c r="BZ205" s="41" t="n">
        <f aca="false">IF(ISNUMBER(BZ170),BZ170+N(BZ204),"")</f>
        <v>747.066473251633</v>
      </c>
      <c r="CA205" s="41" t="n">
        <f aca="false">IF(ISNUMBER(CA170),CA170+N(CA204),"")</f>
        <v>2743.80198027177</v>
      </c>
      <c r="CB205" s="41" t="n">
        <f aca="false">IF(ISNUMBER(CB170),CB170+N(CB204),"")</f>
        <v>2808.09199751762</v>
      </c>
      <c r="CC205" s="41" t="n">
        <f aca="false">IF(ISNUMBER(CC170),CC170+N(CC204),"")</f>
        <v>2906.95488077124</v>
      </c>
      <c r="CD205" s="41" t="n">
        <f aca="false">IF(ISNUMBER(CD170),CD170+N(CD204),"")</f>
        <v>3034.79745617706</v>
      </c>
      <c r="CE205" s="41" t="n">
        <f aca="false">IF(ISNUMBER(CE170),CE170+N(CE204),"")</f>
        <v>2974.65037142325</v>
      </c>
      <c r="CF205" s="7"/>
      <c r="CH205" s="22" t="n">
        <f aca="false">IFERROR((CE205/BV205)^(1/5)-1,"n/m")</f>
        <v>0.0398253278780503</v>
      </c>
      <c r="CI205" s="22" t="n">
        <f aca="false">IFERROR((BV205/AW205)^(1/5)-1,"n/m")</f>
        <v>0.0663189379383504</v>
      </c>
      <c r="CJ205" s="22" t="n">
        <f aca="false">IFERROR((BV205/X205)^(1/10)-1,"n/m")</f>
        <v>0.0969145413771861</v>
      </c>
      <c r="CK205" s="22" t="n">
        <f aca="false">IFERROR((BV205/C205)^(1/19)-1,"n/m")</f>
        <v>0.135942985573012</v>
      </c>
    </row>
    <row r="206" customFormat="false" ht="15" hidden="false" customHeight="true" outlineLevel="0" collapsed="false">
      <c r="B206" s="50" t="s">
        <v>355</v>
      </c>
      <c r="C206" s="40" t="n">
        <v>67.2</v>
      </c>
      <c r="D206" s="40" t="n">
        <v>73.3</v>
      </c>
      <c r="E206" s="40" t="n">
        <v>86</v>
      </c>
      <c r="F206" s="40" t="n">
        <v>87.3</v>
      </c>
      <c r="G206" s="40" t="n">
        <v>88.1</v>
      </c>
      <c r="H206" s="40" t="n">
        <v>95.6</v>
      </c>
      <c r="I206" s="40" t="n">
        <v>109.9</v>
      </c>
      <c r="J206" s="40" t="n">
        <v>27.8</v>
      </c>
      <c r="K206" s="40" t="n">
        <v>28.3</v>
      </c>
      <c r="L206" s="40" t="n">
        <v>29.6</v>
      </c>
      <c r="M206" s="40" t="n">
        <v>32</v>
      </c>
      <c r="N206" s="40" t="n">
        <v>117.7</v>
      </c>
      <c r="O206" s="40" t="n">
        <v>29</v>
      </c>
      <c r="P206" s="40" t="n">
        <v>26</v>
      </c>
      <c r="Q206" s="40" t="n">
        <v>33.9</v>
      </c>
      <c r="R206" s="40" t="n">
        <v>32.2</v>
      </c>
      <c r="S206" s="40" t="n">
        <v>121.1</v>
      </c>
      <c r="T206" s="40" t="n">
        <v>31.4</v>
      </c>
      <c r="U206" s="40" t="n">
        <v>29.4</v>
      </c>
      <c r="V206" s="40" t="n">
        <v>40.4</v>
      </c>
      <c r="W206" s="40" t="n">
        <v>37.8</v>
      </c>
      <c r="X206" s="40" t="n">
        <v>139</v>
      </c>
      <c r="Y206" s="40" t="n">
        <v>41.1</v>
      </c>
      <c r="Z206" s="40" t="n">
        <v>46.2</v>
      </c>
      <c r="AA206" s="40" t="n">
        <v>9</v>
      </c>
      <c r="AB206" s="40" t="n">
        <v>33.5</v>
      </c>
      <c r="AC206" s="40" t="n">
        <v>129.8</v>
      </c>
      <c r="AD206" s="40" t="n">
        <v>33.6</v>
      </c>
      <c r="AE206" s="40" t="n">
        <v>37.8</v>
      </c>
      <c r="AF206" s="40" t="n">
        <v>33.4</v>
      </c>
      <c r="AG206" s="40" t="n">
        <v>34.6</v>
      </c>
      <c r="AH206" s="40" t="n">
        <v>139.4</v>
      </c>
      <c r="AI206" s="40" t="n">
        <v>33.3</v>
      </c>
      <c r="AJ206" s="40" t="n">
        <v>40.1</v>
      </c>
      <c r="AK206" s="40" t="n">
        <v>38.2</v>
      </c>
      <c r="AL206" s="40" t="n">
        <v>39.8</v>
      </c>
      <c r="AM206" s="40" t="n">
        <v>151.4</v>
      </c>
      <c r="AN206" s="40" t="n">
        <v>39.2</v>
      </c>
      <c r="AO206" s="40" t="n">
        <v>46.2</v>
      </c>
      <c r="AP206" s="40" t="n">
        <v>44.6</v>
      </c>
      <c r="AQ206" s="40" t="n">
        <v>28.8</v>
      </c>
      <c r="AR206" s="40" t="n">
        <v>158.8</v>
      </c>
      <c r="AS206" s="40" t="n">
        <v>45.2</v>
      </c>
      <c r="AT206" s="40" t="n">
        <v>46.6</v>
      </c>
      <c r="AU206" s="40" t="n">
        <v>45.3</v>
      </c>
      <c r="AV206" s="40" t="n">
        <v>49.9</v>
      </c>
      <c r="AW206" s="40" t="n">
        <v>187</v>
      </c>
      <c r="AX206" s="40" t="n">
        <v>54</v>
      </c>
      <c r="AY206" s="40" t="n">
        <v>53</v>
      </c>
      <c r="AZ206" s="40" t="n">
        <v>52</v>
      </c>
      <c r="BA206" s="40" t="n">
        <v>59</v>
      </c>
      <c r="BB206" s="40" t="n">
        <v>218</v>
      </c>
      <c r="BC206" s="40" t="n">
        <v>80</v>
      </c>
      <c r="BD206" s="40" t="n">
        <v>101</v>
      </c>
      <c r="BE206" s="40" t="n">
        <v>89</v>
      </c>
      <c r="BF206" s="40" t="n">
        <v>66</v>
      </c>
      <c r="BG206" s="40" t="n">
        <v>336</v>
      </c>
      <c r="BH206" s="40" t="n">
        <v>79</v>
      </c>
      <c r="BI206" s="40" t="n">
        <v>109</v>
      </c>
      <c r="BJ206" s="40" t="n">
        <v>92</v>
      </c>
      <c r="BK206" s="40" t="n">
        <v>26</v>
      </c>
      <c r="BL206" s="40" t="n">
        <v>306</v>
      </c>
      <c r="BM206" s="40" t="n">
        <v>60</v>
      </c>
      <c r="BN206" s="40" t="n">
        <v>87</v>
      </c>
      <c r="BO206" s="40" t="n">
        <v>84</v>
      </c>
      <c r="BP206" s="40" t="n">
        <v>57</v>
      </c>
      <c r="BQ206" s="40" t="n">
        <v>288</v>
      </c>
      <c r="BR206" s="40" t="n">
        <v>61</v>
      </c>
      <c r="BS206" s="40" t="n">
        <v>91</v>
      </c>
      <c r="BT206" s="40" t="n">
        <v>83</v>
      </c>
      <c r="BU206" s="40" t="n">
        <v>63</v>
      </c>
      <c r="BV206" s="40" t="n">
        <v>298</v>
      </c>
      <c r="BW206" s="40" t="n">
        <v>58</v>
      </c>
      <c r="BX206" s="40" t="n">
        <v>93</v>
      </c>
      <c r="BY206" s="41" t="n">
        <f aca="false">BY178*BY175</f>
        <v>81.8022148073043</v>
      </c>
      <c r="BZ206" s="41" t="n">
        <f aca="false">BZ178*BZ175</f>
        <v>94.7404561979348</v>
      </c>
      <c r="CA206" s="41" t="n">
        <f aca="false">SUM(BW206,BX206,BY206,BZ206)</f>
        <v>327.542671005239</v>
      </c>
      <c r="CB206" s="41" t="n">
        <f aca="false">CB178*CB175</f>
        <v>347.829160329403</v>
      </c>
      <c r="CC206" s="41" t="n">
        <f aca="false">CC178*CC175</f>
        <v>370.614792556609</v>
      </c>
      <c r="CD206" s="41" t="n">
        <f aca="false">CD178*CD175</f>
        <v>396.876434649185</v>
      </c>
      <c r="CE206" s="41" t="n">
        <f aca="false">CE178*CE175</f>
        <v>425.206595389643</v>
      </c>
      <c r="CF206" s="7"/>
    </row>
    <row r="207" customFormat="false" ht="15" hidden="false" customHeight="true" outlineLevel="0" collapsed="false">
      <c r="B207" s="27" t="s">
        <v>356</v>
      </c>
      <c r="CF207" s="7"/>
    </row>
    <row r="208" customFormat="false" ht="15" hidden="false" customHeight="true" outlineLevel="0" collapsed="false">
      <c r="B208" s="27" t="s">
        <v>357</v>
      </c>
      <c r="C208" s="74" t="n">
        <v>615.968</v>
      </c>
      <c r="D208" s="74" t="n">
        <v>622.45</v>
      </c>
      <c r="E208" s="74" t="n">
        <v>638.722</v>
      </c>
      <c r="F208" s="74" t="n">
        <v>641.53</v>
      </c>
      <c r="G208" s="74" t="n">
        <v>653.194</v>
      </c>
      <c r="H208" s="74" t="n">
        <v>676.169</v>
      </c>
      <c r="I208" s="74" t="n">
        <v>693.4</v>
      </c>
      <c r="J208" s="74" t="n">
        <v>692</v>
      </c>
      <c r="K208" s="74" t="n">
        <v>695.2</v>
      </c>
      <c r="L208" s="74" t="n">
        <v>697.7</v>
      </c>
      <c r="M208" s="74" t="n">
        <v>699</v>
      </c>
      <c r="N208" s="74" t="n">
        <v>696</v>
      </c>
      <c r="O208" s="74" t="n">
        <v>700.1</v>
      </c>
      <c r="P208" s="74" t="n">
        <v>701.2</v>
      </c>
      <c r="Q208" s="74" t="n">
        <v>702.6</v>
      </c>
      <c r="R208" s="74" t="n">
        <v>704.8</v>
      </c>
      <c r="S208" s="74" t="n">
        <v>702.2</v>
      </c>
      <c r="T208" s="74" t="n">
        <v>707.2</v>
      </c>
      <c r="U208" s="74" t="n">
        <v>709.5</v>
      </c>
      <c r="V208" s="74" t="n">
        <v>688.5</v>
      </c>
      <c r="W208" s="74" t="n">
        <v>687.4</v>
      </c>
      <c r="X208" s="74" t="n">
        <v>698.1</v>
      </c>
      <c r="Y208" s="74" t="n">
        <v>688.6</v>
      </c>
      <c r="Z208" s="74" t="n">
        <v>690.9</v>
      </c>
      <c r="AA208" s="74" t="n">
        <v>692.2</v>
      </c>
      <c r="AB208" s="74" t="n">
        <v>693</v>
      </c>
      <c r="AC208" s="74" t="n">
        <v>691.2</v>
      </c>
      <c r="AD208" s="74" t="n">
        <v>694.3</v>
      </c>
      <c r="AE208" s="74" t="n">
        <v>695.4</v>
      </c>
      <c r="AF208" s="74" t="n">
        <v>696.2</v>
      </c>
      <c r="AG208" s="74" t="n">
        <v>697.2</v>
      </c>
      <c r="AH208" s="74" t="n">
        <v>695.8</v>
      </c>
      <c r="AI208" s="74" t="n">
        <v>698.6</v>
      </c>
      <c r="AJ208" s="74" t="n">
        <v>700.2</v>
      </c>
      <c r="AK208" s="74" t="n">
        <v>701.4</v>
      </c>
      <c r="AL208" s="74" t="n">
        <v>702.2</v>
      </c>
      <c r="AM208" s="74" t="n">
        <v>700.6</v>
      </c>
      <c r="AN208" s="74" t="n">
        <v>707.6</v>
      </c>
      <c r="AO208" s="74" t="n">
        <v>717.6</v>
      </c>
      <c r="AP208" s="74" t="n">
        <v>718.8</v>
      </c>
      <c r="AQ208" s="74" t="n">
        <v>716.1</v>
      </c>
      <c r="AR208" s="74" t="n">
        <v>715</v>
      </c>
      <c r="AS208" s="74" t="n">
        <v>697.2</v>
      </c>
      <c r="AT208" s="74" t="n">
        <v>705.1</v>
      </c>
      <c r="AU208" s="74" t="n">
        <v>710.9</v>
      </c>
      <c r="AV208" s="74" t="n">
        <v>711.6</v>
      </c>
      <c r="AW208" s="74" t="n">
        <v>706.2</v>
      </c>
      <c r="AX208" s="74" t="n">
        <v>713.2</v>
      </c>
      <c r="AY208" s="74" t="n">
        <v>714.5</v>
      </c>
      <c r="AZ208" s="74" t="n">
        <v>715.1</v>
      </c>
      <c r="BA208" s="74" t="n">
        <v>715.6</v>
      </c>
      <c r="BB208" s="74" t="n">
        <v>714.6</v>
      </c>
      <c r="BC208" s="74" t="n">
        <v>716.3</v>
      </c>
      <c r="BD208" s="74" t="n">
        <v>726.7</v>
      </c>
      <c r="BE208" s="74" t="n">
        <v>728.5</v>
      </c>
      <c r="BF208" s="74" t="n">
        <v>728.9</v>
      </c>
      <c r="BG208" s="74" t="n">
        <v>725.1</v>
      </c>
      <c r="BH208" s="74" t="n">
        <v>729.4</v>
      </c>
      <c r="BI208" s="74" t="n">
        <v>737.3</v>
      </c>
      <c r="BJ208" s="74" t="n">
        <v>739.4</v>
      </c>
      <c r="BK208" s="74" t="n">
        <v>739.8</v>
      </c>
      <c r="BL208" s="74" t="n">
        <v>736.5</v>
      </c>
      <c r="BM208" s="74" t="n">
        <v>740.6</v>
      </c>
      <c r="BN208" s="74" t="n">
        <v>737.6</v>
      </c>
      <c r="BO208" s="74" t="n">
        <v>723</v>
      </c>
      <c r="BP208" s="74" t="n">
        <v>722.7</v>
      </c>
      <c r="BQ208" s="74" t="n">
        <v>731</v>
      </c>
      <c r="BR208" s="74" t="n">
        <v>716.3</v>
      </c>
      <c r="BS208" s="74" t="n">
        <v>716.5</v>
      </c>
      <c r="BT208" s="74" t="n">
        <v>710.7</v>
      </c>
      <c r="BU208" s="74" t="n">
        <v>707.3</v>
      </c>
      <c r="BV208" s="74" t="n">
        <v>712.7</v>
      </c>
      <c r="BW208" s="74" t="n">
        <v>707.9</v>
      </c>
      <c r="BX208" s="74" t="n">
        <v>705.3</v>
      </c>
      <c r="BY208" s="75" t="n">
        <f aca="false">$BX$208-$CA$339*0.25</f>
        <v>704.734926088332</v>
      </c>
      <c r="BZ208" s="75" t="n">
        <f aca="false">$BX$208-$CA$339*0.75</f>
        <v>703.604778264997</v>
      </c>
      <c r="CA208" s="75" t="n">
        <f aca="false">AVERAGE(BW208,BX208,BY208,BZ208)</f>
        <v>705.384926088332</v>
      </c>
      <c r="CB208" s="75" t="n">
        <f aca="false">AVERAGE(CB341,CB342)</f>
        <v>699.139012761656</v>
      </c>
      <c r="CC208" s="75" t="n">
        <f aca="false">AVERAGE(CC341,CC342)</f>
        <v>687.320624570953</v>
      </c>
      <c r="CD208" s="75" t="n">
        <f aca="false">AVERAGE(CD341,CD342)</f>
        <v>668.510537580367</v>
      </c>
      <c r="CE208" s="75" t="n">
        <f aca="false">AVERAGE(CE341,CE342)</f>
        <v>649.366263676127</v>
      </c>
      <c r="CF208" s="37" t="s">
        <v>358</v>
      </c>
    </row>
    <row r="209" customFormat="false" ht="15" hidden="false" customHeight="true" outlineLevel="0" collapsed="false">
      <c r="B209" s="27" t="s">
        <v>359</v>
      </c>
      <c r="C209" s="74" t="n">
        <v>650.502</v>
      </c>
      <c r="D209" s="74" t="n">
        <v>658.918</v>
      </c>
      <c r="E209" s="74" t="n">
        <v>671.726</v>
      </c>
      <c r="F209" s="74" t="n">
        <v>671.484</v>
      </c>
      <c r="G209" s="74" t="n">
        <v>683.275</v>
      </c>
      <c r="H209" s="74" t="n">
        <v>701.191</v>
      </c>
      <c r="I209" s="74" t="n">
        <v>713.1</v>
      </c>
      <c r="J209" s="74" t="n">
        <v>708.4</v>
      </c>
      <c r="K209" s="74" t="n">
        <v>709.8</v>
      </c>
      <c r="L209" s="74" t="n">
        <v>711.9</v>
      </c>
      <c r="M209" s="74" t="n">
        <v>713.8</v>
      </c>
      <c r="N209" s="74" t="n">
        <v>711</v>
      </c>
      <c r="O209" s="74" t="n">
        <v>714.8</v>
      </c>
      <c r="P209" s="74" t="n">
        <v>715.6</v>
      </c>
      <c r="Q209" s="74" t="n">
        <v>716.2</v>
      </c>
      <c r="R209" s="74" t="n">
        <v>717.6</v>
      </c>
      <c r="S209" s="74" t="n">
        <v>716.1</v>
      </c>
      <c r="T209" s="74" t="n">
        <v>718.7</v>
      </c>
      <c r="U209" s="74" t="n">
        <v>719.6</v>
      </c>
      <c r="V209" s="74" t="n">
        <v>698.7</v>
      </c>
      <c r="W209" s="74" t="n">
        <v>697.1</v>
      </c>
      <c r="X209" s="74" t="n">
        <v>708.5</v>
      </c>
      <c r="Y209" s="74" t="n">
        <v>697.1</v>
      </c>
      <c r="Z209" s="74" t="n">
        <v>698.9</v>
      </c>
      <c r="AA209" s="74" t="n">
        <v>701.3</v>
      </c>
      <c r="AB209" s="74" t="n">
        <v>701.9</v>
      </c>
      <c r="AC209" s="74" t="n">
        <v>699.8</v>
      </c>
      <c r="AD209" s="74" t="n">
        <v>705.7</v>
      </c>
      <c r="AE209" s="74" t="n">
        <v>705.4</v>
      </c>
      <c r="AF209" s="74" t="n">
        <v>705.6</v>
      </c>
      <c r="AG209" s="74" t="n">
        <v>707.6</v>
      </c>
      <c r="AH209" s="74" t="n">
        <v>706.1</v>
      </c>
      <c r="AI209" s="74" t="n">
        <v>709.5</v>
      </c>
      <c r="AJ209" s="74" t="n">
        <v>709.5</v>
      </c>
      <c r="AK209" s="74" t="n">
        <v>710.6</v>
      </c>
      <c r="AL209" s="74" t="n">
        <v>711.2</v>
      </c>
      <c r="AM209" s="74" t="n">
        <v>710.2</v>
      </c>
      <c r="AN209" s="74" t="n">
        <v>718.5</v>
      </c>
      <c r="AO209" s="74" t="n">
        <v>727.9</v>
      </c>
      <c r="AP209" s="74" t="n">
        <v>729.3</v>
      </c>
      <c r="AQ209" s="74" t="n">
        <v>726.3</v>
      </c>
      <c r="AR209" s="74" t="n">
        <v>725.5</v>
      </c>
      <c r="AS209" s="74" t="n">
        <v>707.9</v>
      </c>
      <c r="AT209" s="74" t="n">
        <v>718.2</v>
      </c>
      <c r="AU209" s="74" t="n">
        <v>724.3</v>
      </c>
      <c r="AV209" s="74" t="n">
        <v>724.5</v>
      </c>
      <c r="AW209" s="74" t="n">
        <v>718.7</v>
      </c>
      <c r="AX209" s="74" t="n">
        <v>735.1</v>
      </c>
      <c r="AY209" s="74" t="n">
        <v>736</v>
      </c>
      <c r="AZ209" s="74" t="n">
        <v>727</v>
      </c>
      <c r="BA209" s="74" t="n">
        <v>738.4</v>
      </c>
      <c r="BB209" s="74" t="n">
        <v>736.8</v>
      </c>
      <c r="BC209" s="74" t="n">
        <v>737.7</v>
      </c>
      <c r="BD209" s="74" t="n">
        <v>736</v>
      </c>
      <c r="BE209" s="74" t="n">
        <v>737.4</v>
      </c>
      <c r="BF209" s="74" t="n">
        <v>745.7</v>
      </c>
      <c r="BG209" s="74" t="n">
        <v>737.1</v>
      </c>
      <c r="BH209" s="74" t="n">
        <v>737.2</v>
      </c>
      <c r="BI209" s="74" t="n">
        <v>744.7</v>
      </c>
      <c r="BJ209" s="74" t="n">
        <v>745.9</v>
      </c>
      <c r="BK209" s="74" t="n">
        <v>746.1</v>
      </c>
      <c r="BL209" s="74" t="n">
        <v>743.1</v>
      </c>
      <c r="BM209" s="74" t="n">
        <v>748.6</v>
      </c>
      <c r="BN209" s="74" t="n">
        <v>742.4</v>
      </c>
      <c r="BO209" s="74" t="n">
        <v>729.4</v>
      </c>
      <c r="BP209" s="74" t="n">
        <v>728.2</v>
      </c>
      <c r="BQ209" s="74" t="n">
        <v>737.2</v>
      </c>
      <c r="BR209" s="74" t="n">
        <v>720.8</v>
      </c>
      <c r="BS209" s="74" t="n">
        <v>719.1</v>
      </c>
      <c r="BT209" s="74" t="n">
        <v>713.7</v>
      </c>
      <c r="BU209" s="74" t="n">
        <v>711</v>
      </c>
      <c r="BV209" s="74" t="n">
        <v>716.1</v>
      </c>
      <c r="BW209" s="74" t="n">
        <v>711.2</v>
      </c>
      <c r="BX209" s="74" t="n">
        <v>707.6</v>
      </c>
      <c r="BY209" s="75" t="n">
        <f aca="false">BY208+($BX$209-$BX$208)</f>
        <v>707.034926088332</v>
      </c>
      <c r="BZ209" s="75" t="n">
        <f aca="false">BZ208+($BX$209-$BX$208)</f>
        <v>705.904778264997</v>
      </c>
      <c r="CA209" s="75" t="n">
        <f aca="false">AVERAGE(BW209,BX209,BY209,BZ209)</f>
        <v>707.934926088332</v>
      </c>
      <c r="CB209" s="75" t="n">
        <f aca="false">CB208+CB410</f>
        <v>701.439012761656</v>
      </c>
      <c r="CC209" s="75" t="n">
        <f aca="false">CC208+CC410</f>
        <v>689.620624570953</v>
      </c>
      <c r="CD209" s="75" t="n">
        <f aca="false">CD208+CD410</f>
        <v>670.810537580367</v>
      </c>
      <c r="CE209" s="75" t="n">
        <f aca="false">CE208+CE410</f>
        <v>651.666263676127</v>
      </c>
      <c r="CF209" s="37"/>
      <c r="CH209" s="22" t="n">
        <f aca="false">IFERROR((CE209/BV209)^(1/5)-1,"n/m")</f>
        <v>-0.0186807619770221</v>
      </c>
      <c r="CI209" s="22" t="n">
        <f aca="false">IFERROR((BV209/AW209)^(1/5)-1,"n/m")</f>
        <v>-0.000724577858890574</v>
      </c>
      <c r="CJ209" s="22" t="n">
        <f aca="false">IFERROR((BV209/X209)^(1/10)-1,"n/m")</f>
        <v>0.00106754570991741</v>
      </c>
      <c r="CK209" s="22" t="n">
        <f aca="false">IFERROR((BV209/C209)^(1/19)-1,"n/m")</f>
        <v>0.0050694087967631</v>
      </c>
    </row>
    <row r="210" customFormat="false" ht="15" hidden="false" customHeight="true" outlineLevel="0" collapsed="false">
      <c r="B210" s="62" t="s">
        <v>360</v>
      </c>
      <c r="C210" s="76" t="n">
        <f aca="false">IF(AND(ISNUMBER(C203),ISNUMBER(C209)),IFERROR(C203/C209,""),"")</f>
        <v>1.70529836956689</v>
      </c>
      <c r="D210" s="76" t="n">
        <f aca="false">IF(AND(ISNUMBER(D203),ISNUMBER(D209)),IFERROR(D203/D209,""),"")</f>
        <v>1.84241438236624</v>
      </c>
      <c r="E210" s="76" t="n">
        <f aca="false">IF(AND(ISNUMBER(E203),ISNUMBER(E209)),IFERROR(E203/E209,""),"")</f>
        <v>1.96151406972486</v>
      </c>
      <c r="F210" s="76" t="n">
        <f aca="false">IF(AND(ISNUMBER(F203),ISNUMBER(F209)),IFERROR(F203/F209,""),"")</f>
        <v>1.71500735683948</v>
      </c>
      <c r="G210" s="76" t="n">
        <f aca="false">IF(AND(ISNUMBER(G203),ISNUMBER(G209)),IFERROR(G203/G209,""),"")</f>
        <v>2.5145073359921</v>
      </c>
      <c r="H210" s="76" t="n">
        <f aca="false">IF(AND(ISNUMBER(H203),ISNUMBER(H209)),IFERROR(H203/H209,""),"")</f>
        <v>2.75987569720661</v>
      </c>
      <c r="I210" s="76" t="n">
        <f aca="false">IF(AND(ISNUMBER(I203),ISNUMBER(I209)),IFERROR(I203/I209,""),"")</f>
        <v>3.22437245828075</v>
      </c>
      <c r="J210" s="76" t="n">
        <f aca="false">IF(AND(ISNUMBER(J203),ISNUMBER(J209)),IFERROR(J203/J209,""),"")</f>
        <v>0.976708074534161</v>
      </c>
      <c r="K210" s="76" t="n">
        <f aca="false">IF(AND(ISNUMBER(K203),ISNUMBER(K209)),IFERROR(K203/K209,""),"")</f>
        <v>0.868977176669484</v>
      </c>
      <c r="L210" s="76" t="n">
        <f aca="false">IF(AND(ISNUMBER(L203),ISNUMBER(L209)),IFERROR(L203/L209,""),"")</f>
        <v>0.838600927096503</v>
      </c>
      <c r="M210" s="76" t="n">
        <f aca="false">IF(AND(ISNUMBER(M203),ISNUMBER(M209)),IFERROR(M203/M209,""),"")</f>
        <v>1.10577192490894</v>
      </c>
      <c r="N210" s="76" t="n">
        <f aca="false">IF(AND(ISNUMBER(N203),ISNUMBER(N209)),IFERROR(N203/N209,""),"")</f>
        <v>3.79043600562588</v>
      </c>
      <c r="O210" s="76" t="n">
        <f aca="false">IF(AND(ISNUMBER(O203),ISNUMBER(O209)),IFERROR(O203/O209,""),"")</f>
        <v>0.810996082820369</v>
      </c>
      <c r="P210" s="76" t="n">
        <f aca="false">IF(AND(ISNUMBER(P203),ISNUMBER(P209)),IFERROR(P203/P209,""),"")</f>
        <v>0.94522079373952</v>
      </c>
      <c r="Q210" s="76" t="n">
        <f aca="false">IF(AND(ISNUMBER(Q203),ISNUMBER(Q209)),IFERROR(Q203/Q209,""),"")</f>
        <v>0.95127059480592</v>
      </c>
      <c r="R210" s="76" t="n">
        <f aca="false">IF(AND(ISNUMBER(R203),ISNUMBER(R209)),IFERROR(R203/R209,""),"")</f>
        <v>0.905239687848383</v>
      </c>
      <c r="S210" s="76" t="n">
        <f aca="false">IF(AND(ISNUMBER(S203),ISNUMBER(S209)),IFERROR(S203/S209,""),"")</f>
        <v>3.55131964809384</v>
      </c>
      <c r="T210" s="76" t="n">
        <f aca="false">IF(AND(ISNUMBER(T203),ISNUMBER(T209)),IFERROR(T203/T209,""),"")</f>
        <v>0.776401836649506</v>
      </c>
      <c r="U210" s="76" t="n">
        <f aca="false">IF(AND(ISNUMBER(U203),ISNUMBER(U209)),IFERROR(U203/U209,""),"")</f>
        <v>0.994302390216787</v>
      </c>
      <c r="V210" s="76" t="n">
        <f aca="false">IF(AND(ISNUMBER(V203),ISNUMBER(V209)),IFERROR(V203/V209,""),"")</f>
        <v>0.543724058966652</v>
      </c>
      <c r="W210" s="76" t="n">
        <f aca="false">IF(AND(ISNUMBER(W203),ISNUMBER(W209)),IFERROR(W203/W209,""),"")</f>
        <v>0.747382011189212</v>
      </c>
      <c r="X210" s="76" t="n">
        <f aca="false">IF(AND(ISNUMBER(X203),ISNUMBER(X209)),IFERROR(X203/X209,""),"")</f>
        <v>2.46534932956951</v>
      </c>
      <c r="Y210" s="76" t="n">
        <f aca="false">IF(AND(ISNUMBER(Y203),ISNUMBER(Y209)),IFERROR(Y203/Y209,""),"")</f>
        <v>0.840338545402382</v>
      </c>
      <c r="Z210" s="76" t="n">
        <f aca="false">IF(AND(ISNUMBER(Z203),ISNUMBER(Z209)),IFERROR(Z203/Z209,""),"")</f>
        <v>0.598082701387895</v>
      </c>
      <c r="AA210" s="76" t="n">
        <f aca="false">IF(AND(ISNUMBER(AA203),ISNUMBER(AA209)),IFERROR(AA203/AA209,""),"")</f>
        <v>0.574076714672751</v>
      </c>
      <c r="AB210" s="76" t="n">
        <f aca="false">IF(AND(ISNUMBER(AB203),ISNUMBER(AB209)),IFERROR(AB203/AB209,""),"")</f>
        <v>1.06425416726029</v>
      </c>
      <c r="AC210" s="76" t="n">
        <f aca="false">IF(AND(ISNUMBER(AC203),ISNUMBER(AC209)),IFERROR(AC203/AC209,""),"")</f>
        <v>3.07716490425836</v>
      </c>
      <c r="AD210" s="76" t="n">
        <f aca="false">IF(AND(ISNUMBER(AD203),ISNUMBER(AD209)),IFERROR(AD203/AD209,""),"")</f>
        <v>0.685560436446081</v>
      </c>
      <c r="AE210" s="76" t="n">
        <f aca="false">IF(AND(ISNUMBER(AE203),ISNUMBER(AE209)),IFERROR(AE203/AE209,""),"")</f>
        <v>0.790048199603062</v>
      </c>
      <c r="AF210" s="76" t="n">
        <f aca="false">IF(AND(ISNUMBER(AF203),ISNUMBER(AF209)),IFERROR(AF203/AF209,""),"")</f>
        <v>0.810799319727891</v>
      </c>
      <c r="AG210" s="76" t="n">
        <f aca="false">IF(AND(ISNUMBER(AG203),ISNUMBER(AG209)),IFERROR(AG203/AG209,""),"")</f>
        <v>1.21057094403618</v>
      </c>
      <c r="AH210" s="76" t="n">
        <f aca="false">IF(AND(ISNUMBER(AH203),ISNUMBER(AH209)),IFERROR(AH203/AH209,""),"")</f>
        <v>3.49780484350659</v>
      </c>
      <c r="AI210" s="76" t="n">
        <f aca="false">IF(AND(ISNUMBER(AI203),ISNUMBER(AI209)),IFERROR(AI203/AI209,""),"")</f>
        <v>0.798590556730091</v>
      </c>
      <c r="AJ210" s="76" t="n">
        <f aca="false">IF(AND(ISNUMBER(AJ203),ISNUMBER(AJ209)),IFERROR(AJ203/AJ209,""),"")</f>
        <v>0.94968287526427</v>
      </c>
      <c r="AK210" s="76" t="n">
        <f aca="false">IF(AND(ISNUMBER(AK203),ISNUMBER(AK209)),IFERROR(AK203/AK209,""),"")</f>
        <v>0.933999437095413</v>
      </c>
      <c r="AL210" s="76" t="n">
        <f aca="false">IF(AND(ISNUMBER(AL203),ISNUMBER(AL209)),IFERROR(AL203/AL209,""),"")</f>
        <v>0.961473565804274</v>
      </c>
      <c r="AM210" s="76" t="n">
        <f aca="false">IF(AND(ISNUMBER(AM203),ISNUMBER(AM209)),IFERROR(AM203/AM209,""),"")</f>
        <v>3.38820050689946</v>
      </c>
      <c r="AN210" s="76" t="n">
        <f aca="false">IF(AND(ISNUMBER(AN203),ISNUMBER(AN209)),IFERROR(AN203/AN209,""),"")</f>
        <v>0.453444676409185</v>
      </c>
      <c r="AO210" s="76" t="n">
        <f aca="false">IF(AND(ISNUMBER(AO203),ISNUMBER(AO209)),IFERROR(AO203/AO209,""),"")</f>
        <v>0.89806292073087</v>
      </c>
      <c r="AP210" s="76" t="n">
        <f aca="false">IF(AND(ISNUMBER(AP203),ISNUMBER(AP209)),IFERROR(AP203/AP209,""),"")</f>
        <v>0.82983682983683</v>
      </c>
      <c r="AQ210" s="76" t="n">
        <f aca="false">IF(AND(ISNUMBER(AQ203),ISNUMBER(AQ209)),IFERROR(AQ203/AQ209,""),"")</f>
        <v>1.0647115517004</v>
      </c>
      <c r="AR210" s="76" t="n">
        <f aca="false">IF(AND(ISNUMBER(AR203),ISNUMBER(AR209)),IFERROR(AR203/AR209,""),"")</f>
        <v>3.25830461750517</v>
      </c>
      <c r="AS210" s="76" t="n">
        <f aca="false">IF(AND(ISNUMBER(AS203),ISNUMBER(AS209)),IFERROR(AS203/AS209,""),"")</f>
        <v>0.812967933323916</v>
      </c>
      <c r="AT210" s="76" t="n">
        <f aca="false">IF(AND(ISNUMBER(AT203),ISNUMBER(AT209)),IFERROR(AT203/AT209,""),"")</f>
        <v>1.24296853244222</v>
      </c>
      <c r="AU210" s="76" t="n">
        <f aca="false">IF(AND(ISNUMBER(AU203),ISNUMBER(AU209)),IFERROR(AU203/AU209,""),"")</f>
        <v>1.16305398315615</v>
      </c>
      <c r="AV210" s="76" t="n">
        <f aca="false">IF(AND(ISNUMBER(AV203),ISNUMBER(AV209)),IFERROR(AV203/AV209,""),"")</f>
        <v>1.65631469979296</v>
      </c>
      <c r="AW210" s="76" t="n">
        <f aca="false">IF(AND(ISNUMBER(AW203),ISNUMBER(AW209)),IFERROR(AW203/AW209,""),"")</f>
        <v>4.88381800473076</v>
      </c>
      <c r="AX210" s="76" t="n">
        <f aca="false">IF(AND(ISNUMBER(AX203),ISNUMBER(AX209)),IFERROR(AX203/AX209,""),"")</f>
        <v>2.25955652292205</v>
      </c>
      <c r="AY210" s="76" t="n">
        <f aca="false">IF(AND(ISNUMBER(AY203),ISNUMBER(AY209)),IFERROR(AY203/AY209,""),"")</f>
        <v>2.25271739130435</v>
      </c>
      <c r="AZ210" s="76" t="n">
        <f aca="false">IF(AND(ISNUMBER(AZ203),ISNUMBER(AZ209)),IFERROR(AZ203/AZ209,""),"")</f>
        <v>1.53645116918845</v>
      </c>
      <c r="BA210" s="76" t="n">
        <f aca="false">IF(AND(ISNUMBER(BA203),ISNUMBER(BA209)),IFERROR(BA203/BA209,""),"")</f>
        <v>2.36592632719393</v>
      </c>
      <c r="BB210" s="76" t="n">
        <f aca="false">IF(AND(ISNUMBER(BB203),ISNUMBER(BB209)),IFERROR(BB203/BB209,""),"")</f>
        <v>8.39169381107492</v>
      </c>
      <c r="BC210" s="76" t="n">
        <f aca="false">IF(AND(ISNUMBER(BC203),ISNUMBER(BC209)),IFERROR(BC203/BC209,""),"")</f>
        <v>2.28277077402738</v>
      </c>
      <c r="BD210" s="76" t="n">
        <f aca="false">IF(AND(ISNUMBER(BD203),ISNUMBER(BD209)),IFERROR(BD203/BD209,""),"")</f>
        <v>2.25271739130435</v>
      </c>
      <c r="BE210" s="76" t="n">
        <f aca="false">IF(AND(ISNUMBER(BE203),ISNUMBER(BE209)),IFERROR(BE203/BE209,""),"")</f>
        <v>2.1033360455655</v>
      </c>
      <c r="BF210" s="76" t="n">
        <f aca="false">IF(AND(ISNUMBER(BF203),ISNUMBER(BF209)),IFERROR(BF203/BF209,""),"")</f>
        <v>2.66863349872603</v>
      </c>
      <c r="BG210" s="76" t="n">
        <f aca="false">IF(AND(ISNUMBER(BG203),ISNUMBER(BG209)),IFERROR(BG203/BG209,""),"")</f>
        <v>8.44118844118844</v>
      </c>
      <c r="BH210" s="76" t="n">
        <f aca="false">IF(AND(ISNUMBER(BH203),ISNUMBER(BH209)),IFERROR(BH203/BH209,""),"")</f>
        <v>1.65355398806294</v>
      </c>
      <c r="BI210" s="76" t="n">
        <f aca="false">IF(AND(ISNUMBER(BI203),ISNUMBER(BI209)),IFERROR(BI203/BI209,""),"")</f>
        <v>1.23539680408218</v>
      </c>
      <c r="BJ210" s="76" t="n">
        <f aca="false">IF(AND(ISNUMBER(BJ203),ISNUMBER(BJ209)),IFERROR(BJ203/BJ209,""),"")</f>
        <v>1.26022254993967</v>
      </c>
      <c r="BK210" s="76" t="n">
        <f aca="false">IF(AND(ISNUMBER(BK203),ISNUMBER(BK209)),IFERROR(BK203/BK209,""),"")</f>
        <v>1.50247956038065</v>
      </c>
      <c r="BL210" s="76" t="n">
        <f aca="false">IF(AND(ISNUMBER(BL203),ISNUMBER(BL209)),IFERROR(BL203/BL209,""),"")</f>
        <v>5.65199838514332</v>
      </c>
      <c r="BM210" s="76" t="n">
        <f aca="false">IF(AND(ISNUMBER(BM203),ISNUMBER(BM209)),IFERROR(BM203/BM209,""),"")</f>
        <v>1.4533796419984</v>
      </c>
      <c r="BN210" s="76" t="n">
        <f aca="false">IF(AND(ISNUMBER(BN203),ISNUMBER(BN209)),IFERROR(BN203/BN209,""),"")</f>
        <v>1.22171336206897</v>
      </c>
      <c r="BO210" s="76" t="n">
        <f aca="false">IF(AND(ISNUMBER(BO203),ISNUMBER(BO209)),IFERROR(BO203/BO209,""),"")</f>
        <v>1.12146970112421</v>
      </c>
      <c r="BP210" s="76" t="n">
        <f aca="false">IF(AND(ISNUMBER(BP203),ISNUMBER(BP209)),IFERROR(BP203/BP209,""),"")</f>
        <v>1.49134853062346</v>
      </c>
      <c r="BQ210" s="76" t="n">
        <f aca="false">IF(AND(ISNUMBER(BQ203),ISNUMBER(BQ209)),IFERROR(BQ203/BQ209,""),"")</f>
        <v>5.28893109061313</v>
      </c>
      <c r="BR210" s="76" t="n">
        <f aca="false">IF(AND(ISNUMBER(BR203),ISNUMBER(BR209)),IFERROR(BR203/BR209,""),"")</f>
        <v>1.32352941176471</v>
      </c>
      <c r="BS210" s="76" t="n">
        <f aca="false">IF(AND(ISNUMBER(BS203),ISNUMBER(BS209)),IFERROR(BS203/BS209,""),"")</f>
        <v>0.771798080934501</v>
      </c>
      <c r="BT210" s="76" t="n">
        <f aca="false">IF(AND(ISNUMBER(BT203),ISNUMBER(BT209)),IFERROR(BT203/BT209,""),"")</f>
        <v>1.27224323945635</v>
      </c>
      <c r="BU210" s="76" t="n">
        <f aca="false">IF(AND(ISNUMBER(BU203),ISNUMBER(BU209)),IFERROR(BU203/BU209,""),"")</f>
        <v>1.66385372714487</v>
      </c>
      <c r="BV210" s="76" t="n">
        <f aca="false">IF(AND(ISNUMBER(BV203),ISNUMBER(BV209)),IFERROR(BV203/BV209,""),"")</f>
        <v>5.02723083368245</v>
      </c>
      <c r="BW210" s="76" t="n">
        <f aca="false">IF(AND(ISNUMBER(BW203),ISNUMBER(BW209)),IFERROR(BW203/BW209,""),"")</f>
        <v>1.44685039370079</v>
      </c>
      <c r="BX210" s="76" t="n">
        <f aca="false">IF(AND(ISNUMBER(BX203),ISNUMBER(BX209)),IFERROR(BX203/BX209,""),"")</f>
        <v>1.22950819672131</v>
      </c>
      <c r="BY210" s="76" t="n">
        <f aca="false">IF(AND(ISNUMBER(BY203),ISNUMBER(BY209)),IFERROR(BY203/BY209,""),"")</f>
        <v>1.31022784093776</v>
      </c>
      <c r="BZ210" s="76" t="n">
        <f aca="false">IF(AND(ISNUMBER(BZ203),ISNUMBER(BZ209)),IFERROR(BZ203/BZ209,""),"")</f>
        <v>2.01653316999131</v>
      </c>
      <c r="CA210" s="76" t="n">
        <f aca="false">IF(AND(ISNUMBER(CA203),ISNUMBER(CA209)),IFERROR(CA203/CA209,""),"")</f>
        <v>6.00176243370267</v>
      </c>
      <c r="CB210" s="76" t="n">
        <f aca="false">IF(AND(ISNUMBER(CB203),ISNUMBER(CB209)),IFERROR(CB203/CB209,""),"")</f>
        <v>7.14833466866267</v>
      </c>
      <c r="CC210" s="76" t="n">
        <f aca="false">IF(AND(ISNUMBER(CC203),ISNUMBER(CC209)),IFERROR(CC203/CC209,""),"")</f>
        <v>8.16426462300479</v>
      </c>
      <c r="CD210" s="76" t="n">
        <f aca="false">IF(AND(ISNUMBER(CD203),ISNUMBER(CD209)),IFERROR(CD203/CD209,""),"")</f>
        <v>9.24376170524775</v>
      </c>
      <c r="CE210" s="76" t="n">
        <f aca="false">IF(AND(ISNUMBER(CE203),ISNUMBER(CE209)),IFERROR(CE203/CE209,""),"")</f>
        <v>10.7372123303388</v>
      </c>
      <c r="CF210" s="37" t="s">
        <v>361</v>
      </c>
      <c r="CH210" s="22" t="n">
        <f aca="false">IFERROR((CE210/BV210)^(1/5)-1,"n/m")</f>
        <v>0.163891624272923</v>
      </c>
      <c r="CI210" s="22" t="n">
        <f aca="false">IFERROR((BV210/AW210)^(1/5)-1,"n/m")</f>
        <v>0.00580518725934121</v>
      </c>
      <c r="CJ210" s="22" t="n">
        <f aca="false">IFERROR((BV210/X210)^(1/10)-1,"n/m")</f>
        <v>0.0738534979481529</v>
      </c>
      <c r="CK210" s="22" t="n">
        <f aca="false">IFERROR((BV210/C210)^(1/19)-1,"n/m")</f>
        <v>0.0585515775008076</v>
      </c>
    </row>
    <row r="211" customFormat="false" ht="15" hidden="false" customHeight="true" outlineLevel="0" collapsed="false">
      <c r="B211" s="27" t="s">
        <v>362</v>
      </c>
      <c r="C211" s="77" t="n">
        <f aca="false">IF(AND(ISNUMBER(C200),ISNUMBER(C209)),IFERROR(C200/C209,""),"")</f>
        <v>1.72497548047508</v>
      </c>
      <c r="D211" s="77" t="n">
        <f aca="false">IF(AND(ISNUMBER(D200),ISNUMBER(D209)),IFERROR(D200/D209,""),"")</f>
        <v>2.07901438418741</v>
      </c>
      <c r="E211" s="77" t="n">
        <f aca="false">IF(AND(ISNUMBER(E200),ISNUMBER(E209)),IFERROR(E200/E209,""),"")</f>
        <v>1.96151406972486</v>
      </c>
      <c r="F211" s="77" t="n">
        <f aca="false">IF(AND(ISNUMBER(F200),ISNUMBER(F209)),IFERROR(F200/F209,""),"")</f>
        <v>1.71500735683948</v>
      </c>
      <c r="G211" s="77" t="n">
        <f aca="false">IF(AND(ISNUMBER(G200),ISNUMBER(G209)),IFERROR(G200/G209,""),"")</f>
        <v>2.62398009586184</v>
      </c>
      <c r="H211" s="77" t="n">
        <f aca="false">IF(AND(ISNUMBER(H200),ISNUMBER(H209)),IFERROR(H200/H209,""),"")</f>
        <v>3.09787204912784</v>
      </c>
      <c r="I211" s="77" t="n">
        <f aca="false">IF(AND(ISNUMBER(I200),ISNUMBER(I209)),IFERROR(I200/I209,""),"")</f>
        <v>3.35464871687001</v>
      </c>
      <c r="J211" s="77" t="n">
        <f aca="false">IF(AND(ISNUMBER(J200),ISNUMBER(J209)),IFERROR(J200/J209,""),"")</f>
        <v>0.976708074534161</v>
      </c>
      <c r="K211" s="77" t="n">
        <f aca="false">IF(AND(ISNUMBER(K200),ISNUMBER(K209)),IFERROR(K200/K209,""),"")</f>
        <v>0.868977176669484</v>
      </c>
      <c r="L211" s="77" t="n">
        <f aca="false">IF(AND(ISNUMBER(L200),ISNUMBER(L209)),IFERROR(L200/L209,""),"")</f>
        <v>0.838600927096503</v>
      </c>
      <c r="M211" s="77" t="n">
        <f aca="false">IF(AND(ISNUMBER(M200),ISNUMBER(M209)),IFERROR(M200/M209,""),"")</f>
        <v>1.10577192490894</v>
      </c>
      <c r="N211" s="77" t="n">
        <f aca="false">IF(AND(ISNUMBER(N200),ISNUMBER(N209)),IFERROR(N200/N209,""),"")</f>
        <v>3.79043600562588</v>
      </c>
      <c r="O211" s="77" t="n">
        <f aca="false">IF(AND(ISNUMBER(O200),ISNUMBER(O209)),IFERROR(O200/O209,""),"")</f>
        <v>0.810996082820369</v>
      </c>
      <c r="P211" s="77" t="n">
        <f aca="false">IF(AND(ISNUMBER(P200),ISNUMBER(P209)),IFERROR(P200/P209,""),"")</f>
        <v>0.94522079373952</v>
      </c>
      <c r="Q211" s="77" t="n">
        <f aca="false">IF(AND(ISNUMBER(Q200),ISNUMBER(Q209)),IFERROR(Q200/Q209,""),"")</f>
        <v>0.950293214185982</v>
      </c>
      <c r="R211" s="77" t="n">
        <f aca="false">IF(AND(ISNUMBER(R200),ISNUMBER(R209)),IFERROR(R200/R209,""),"")</f>
        <v>0.922101449275362</v>
      </c>
      <c r="S211" s="77" t="n">
        <f aca="false">IF(AND(ISNUMBER(S200),ISNUMBER(S209)),IFERROR(S200/S209,""),"")</f>
        <v>3.62854349951124</v>
      </c>
      <c r="T211" s="77" t="n">
        <f aca="false">IF(AND(ISNUMBER(T200),ISNUMBER(T209)),IFERROR(T200/T209,""),"")</f>
        <v>0.792820370112703</v>
      </c>
      <c r="U211" s="77" t="n">
        <f aca="false">IF(AND(ISNUMBER(U200),ISNUMBER(U209)),IFERROR(U200/U209,""),"")</f>
        <v>0.966787103946637</v>
      </c>
      <c r="V211" s="77" t="n">
        <f aca="false">IF(AND(ISNUMBER(V200),ISNUMBER(V209)),IFERROR(V200/V209,""),"")</f>
        <v>2.00844425361385</v>
      </c>
      <c r="W211" s="77" t="n">
        <f aca="false">IF(AND(ISNUMBER(W200),ISNUMBER(W209)),IFERROR(W200/W209,""),"")</f>
        <v>0.987806627456606</v>
      </c>
      <c r="X211" s="77" t="n">
        <f aca="false">IF(AND(ISNUMBER(X200),ISNUMBER(X209)),IFERROR(X200/X209,""),"")</f>
        <v>4.73874382498236</v>
      </c>
      <c r="Y211" s="77" t="n">
        <f aca="false">IF(AND(ISNUMBER(Y200),ISNUMBER(Y209)),IFERROR(Y200/Y209,""),"")</f>
        <v>1.08793573375412</v>
      </c>
      <c r="Z211" s="77" t="n">
        <f aca="false">IF(AND(ISNUMBER(Z200),ISNUMBER(Z209)),IFERROR(Z200/Z209,""),"")</f>
        <v>0.939619401917298</v>
      </c>
      <c r="AA211" s="77" t="n">
        <f aca="false">IF(AND(ISNUMBER(AA200),ISNUMBER(AA209)),IFERROR(AA200/AA209,""),"")</f>
        <v>0.558391558534152</v>
      </c>
      <c r="AB211" s="77" t="n">
        <f aca="false">IF(AND(ISNUMBER(AB200),ISNUMBER(AB209)),IFERROR(AB200/AB209,""),"")</f>
        <v>1.06425416726029</v>
      </c>
      <c r="AC211" s="77" t="n">
        <f aca="false">IF(AND(ISNUMBER(AC200),ISNUMBER(AC209)),IFERROR(AC200/AC209,""),"")</f>
        <v>3.64918548156616</v>
      </c>
      <c r="AD211" s="77" t="n">
        <f aca="false">IF(AND(ISNUMBER(AD200),ISNUMBER(AD209)),IFERROR(AD200/AD209,""),"")</f>
        <v>0.717160266402154</v>
      </c>
      <c r="AE211" s="77" t="n">
        <f aca="false">IF(AND(ISNUMBER(AE200),ISNUMBER(AE209)),IFERROR(AE200/AE209,""),"")</f>
        <v>0.790048199603062</v>
      </c>
      <c r="AF211" s="77" t="n">
        <f aca="false">IF(AND(ISNUMBER(AF200),ISNUMBER(AF209)),IFERROR(AF200/AF209,""),"")</f>
        <v>0.810799319727891</v>
      </c>
      <c r="AG211" s="77" t="n">
        <f aca="false">IF(AND(ISNUMBER(AG200),ISNUMBER(AG209)),IFERROR(AG200/AG209,""),"")</f>
        <v>1.21057094403618</v>
      </c>
      <c r="AH211" s="77" t="n">
        <f aca="false">IF(AND(ISNUMBER(AH200),ISNUMBER(AH209)),IFERROR(AH200/AH209,""),"")</f>
        <v>3.52938677241184</v>
      </c>
      <c r="AI211" s="77" t="n">
        <f aca="false">IF(AND(ISNUMBER(AI200),ISNUMBER(AI209)),IFERROR(AI200/AI209,""),"")</f>
        <v>0.798590556730091</v>
      </c>
      <c r="AJ211" s="77" t="n">
        <f aca="false">IF(AND(ISNUMBER(AJ200),ISNUMBER(AJ209)),IFERROR(AJ200/AJ209,""),"")</f>
        <v>0.94968287526427</v>
      </c>
      <c r="AK211" s="77" t="n">
        <f aca="false">IF(AND(ISNUMBER(AK200),ISNUMBER(AK209)),IFERROR(AK200/AK209,""),"")</f>
        <v>0.933999437095413</v>
      </c>
      <c r="AL211" s="77" t="n">
        <f aca="false">IF(AND(ISNUMBER(AL200),ISNUMBER(AL209)),IFERROR(AL200/AL209,""),"")</f>
        <v>1.05005624296963</v>
      </c>
      <c r="AM211" s="77" t="n">
        <f aca="false">IF(AND(ISNUMBER(AM200),ISNUMBER(AM209)),IFERROR(AM200/AM209,""),"")</f>
        <v>3.73261053224444</v>
      </c>
      <c r="AN211" s="77" t="n">
        <f aca="false">IF(AND(ISNUMBER(AN200),ISNUMBER(AN209)),IFERROR(AN200/AN209,""),"")</f>
        <v>0.455532359081419</v>
      </c>
      <c r="AO211" s="77" t="n">
        <f aca="false">IF(AND(ISNUMBER(AO200),ISNUMBER(AO209)),IFERROR(AO200/AO209,""),"")</f>
        <v>0.97348536886935</v>
      </c>
      <c r="AP211" s="77" t="n">
        <f aca="false">IF(AND(ISNUMBER(AP200),ISNUMBER(AP209)),IFERROR(AP200/AP209,""),"")</f>
        <v>0.880981763334705</v>
      </c>
      <c r="AQ211" s="77" t="n">
        <f aca="false">IF(AND(ISNUMBER(AQ200),ISNUMBER(AQ209)),IFERROR(AQ200/AQ209,""),"")</f>
        <v>1.72862453531599</v>
      </c>
      <c r="AR211" s="77" t="n">
        <f aca="false">IF(AND(ISNUMBER(AR200),ISNUMBER(AR209)),IFERROR(AR200/AR209,""),"")</f>
        <v>4.05210199862164</v>
      </c>
      <c r="AS211" s="77" t="n">
        <f aca="false">IF(AND(ISNUMBER(AS200),ISNUMBER(AS209)),IFERROR(AS200/AS209,""),"")</f>
        <v>0.812967933323916</v>
      </c>
      <c r="AT211" s="77" t="n">
        <f aca="false">IF(AND(ISNUMBER(AT200),ISNUMBER(AT209)),IFERROR(AT200/AT209,""),"")</f>
        <v>1.24296853244222</v>
      </c>
      <c r="AU211" s="77" t="n">
        <f aca="false">IF(AND(ISNUMBER(AU200),ISNUMBER(AU209)),IFERROR(AU200/AU209,""),"")</f>
        <v>1.16305398315615</v>
      </c>
      <c r="AV211" s="77" t="n">
        <f aca="false">IF(AND(ISNUMBER(AV200),ISNUMBER(AV209)),IFERROR(AV200/AV209,""),"")</f>
        <v>1.65631469979296</v>
      </c>
      <c r="AW211" s="77" t="n">
        <f aca="false">IF(AND(ISNUMBER(AW200),ISNUMBER(AW209)),IFERROR(AW200/AW209,""),"")</f>
        <v>4.88381800473076</v>
      </c>
      <c r="AX211" s="77" t="n">
        <f aca="false">IF(AND(ISNUMBER(AX200),ISNUMBER(AX209)),IFERROR(AX200/AX209,""),"")</f>
        <v>2.25955652292205</v>
      </c>
      <c r="AY211" s="77" t="n">
        <f aca="false">IF(AND(ISNUMBER(AY200),ISNUMBER(AY209)),IFERROR(AY200/AY209,""),"")</f>
        <v>2.3695652173913</v>
      </c>
      <c r="AZ211" s="77" t="n">
        <f aca="false">IF(AND(ISNUMBER(AZ200),ISNUMBER(AZ209)),IFERROR(AZ200/AZ209,""),"")</f>
        <v>1.53645116918845</v>
      </c>
      <c r="BA211" s="77" t="n">
        <f aca="false">IF(AND(ISNUMBER(BA200),ISNUMBER(BA209)),IFERROR(BA200/BA209,""),"")</f>
        <v>2.36592632719393</v>
      </c>
      <c r="BB211" s="77" t="n">
        <f aca="false">IF(AND(ISNUMBER(BB200),ISNUMBER(BB209)),IFERROR(BB200/BB209,""),"")</f>
        <v>8.50841476655809</v>
      </c>
      <c r="BC211" s="77" t="n">
        <f aca="false">IF(AND(ISNUMBER(BC200),ISNUMBER(BC209)),IFERROR(BC200/BC209,""),"")</f>
        <v>2.28277077402738</v>
      </c>
      <c r="BD211" s="77" t="n">
        <f aca="false">IF(AND(ISNUMBER(BD200),ISNUMBER(BD209)),IFERROR(BD200/BD209,""),"")</f>
        <v>2.25271739130435</v>
      </c>
      <c r="BE211" s="77" t="n">
        <f aca="false">IF(AND(ISNUMBER(BE200),ISNUMBER(BE209)),IFERROR(BE200/BE209,""),"")</f>
        <v>2.1033360455655</v>
      </c>
      <c r="BF211" s="77" t="n">
        <f aca="false">IF(AND(ISNUMBER(BF200),ISNUMBER(BF209)),IFERROR(BF200/BF209,""),"")</f>
        <v>2.96365830763041</v>
      </c>
      <c r="BG211" s="77" t="n">
        <f aca="false">IF(AND(ISNUMBER(BG200),ISNUMBER(BG209)),IFERROR(BG200/BG209,""),"")</f>
        <v>9.6364129697463</v>
      </c>
      <c r="BH211" s="77" t="n">
        <f aca="false">IF(AND(ISNUMBER(BH200),ISNUMBER(BH209)),IFERROR(BH200/BH209,""),"")</f>
        <v>1.93841562669561</v>
      </c>
      <c r="BI211" s="77" t="n">
        <f aca="false">IF(AND(ISNUMBER(BI200),ISNUMBER(BI209)),IFERROR(BI200/BI209,""),"")</f>
        <v>1.48516181012488</v>
      </c>
      <c r="BJ211" s="77" t="n">
        <f aca="false">IF(AND(ISNUMBER(BJ200),ISNUMBER(BJ209)),IFERROR(BJ200/BJ209,""),"")</f>
        <v>1.51360772221477</v>
      </c>
      <c r="BK211" s="77" t="n">
        <f aca="false">IF(AND(ISNUMBER(BK200),ISNUMBER(BK209)),IFERROR(BK200/BK209,""),"")</f>
        <v>1.44618683822544</v>
      </c>
      <c r="BL211" s="77" t="n">
        <f aca="false">IF(AND(ISNUMBER(BL200),ISNUMBER(BL209)),IFERROR(BL200/BL209,""),"")</f>
        <v>6.38272103350828</v>
      </c>
      <c r="BM211" s="77" t="n">
        <f aca="false">IF(AND(ISNUMBER(BM200),ISNUMBER(BM209)),IFERROR(BM200/BM209,""),"")</f>
        <v>1.4533796419984</v>
      </c>
      <c r="BN211" s="77" t="n">
        <f aca="false">IF(AND(ISNUMBER(BN200),ISNUMBER(BN209)),IFERROR(BN200/BN209,""),"")</f>
        <v>1.22171336206897</v>
      </c>
      <c r="BO211" s="77" t="n">
        <f aca="false">IF(AND(ISNUMBER(BO200),ISNUMBER(BO209)),IFERROR(BO200/BO209,""),"")</f>
        <v>1.12146970112421</v>
      </c>
      <c r="BP211" s="77" t="n">
        <f aca="false">IF(AND(ISNUMBER(BP200),ISNUMBER(BP209)),IFERROR(BP200/BP209,""),"")</f>
        <v>1.49134853062346</v>
      </c>
      <c r="BQ211" s="77" t="n">
        <f aca="false">IF(AND(ISNUMBER(BQ200),ISNUMBER(BQ209)),IFERROR(BQ200/BQ209,""),"")</f>
        <v>5.28893109061313</v>
      </c>
      <c r="BR211" s="77" t="n">
        <f aca="false">IF(AND(ISNUMBER(BR200),ISNUMBER(BR209)),IFERROR(BR200/BR209,""),"")</f>
        <v>1.32352941176471</v>
      </c>
      <c r="BS211" s="77" t="n">
        <f aca="false">IF(AND(ISNUMBER(BS200),ISNUMBER(BS209)),IFERROR(BS200/BS209,""),"")</f>
        <v>0.771798080934501</v>
      </c>
      <c r="BT211" s="77" t="n">
        <f aca="false">IF(AND(ISNUMBER(BT200),ISNUMBER(BT209)),IFERROR(BT200/BT209,""),"")</f>
        <v>1.27224323945635</v>
      </c>
      <c r="BU211" s="77" t="n">
        <f aca="false">IF(AND(ISNUMBER(BU200),ISNUMBER(BU209)),IFERROR(BU200/BU209,""),"")</f>
        <v>1.68354430379747</v>
      </c>
      <c r="BV211" s="77" t="n">
        <f aca="false">IF(AND(ISNUMBER(BV200),ISNUMBER(BV209)),IFERROR(BV200/BV209,""),"")</f>
        <v>5.04678117581343</v>
      </c>
      <c r="BW211" s="77" t="n">
        <f aca="false">IF(AND(ISNUMBER(BW200),ISNUMBER(BW209)),IFERROR(BW200/BW209,""),"")</f>
        <v>1.44685039370079</v>
      </c>
      <c r="BX211" s="77" t="n">
        <f aca="false">IF(AND(ISNUMBER(BX200),ISNUMBER(BX209)),IFERROR(BX200/BX209,""),"")</f>
        <v>1.22950819672131</v>
      </c>
      <c r="BY211" s="78" t="n">
        <f aca="false">IF(AND(ISNUMBER(BY200),ISNUMBER(BY209)),IFERROR(BY200/BY209,""),"")</f>
        <v>1.31022784093776</v>
      </c>
      <c r="BZ211" s="78" t="n">
        <f aca="false">IF(AND(ISNUMBER(BZ200),ISNUMBER(BZ209)),IFERROR(BZ200/BZ209,""),"")</f>
        <v>2.01653316999131</v>
      </c>
      <c r="CA211" s="78" t="n">
        <f aca="false">IF(AND(ISNUMBER(CA200),ISNUMBER(CA209)),IFERROR(CA200/CA209,""),"")</f>
        <v>6.00176243370267</v>
      </c>
      <c r="CB211" s="78" t="n">
        <f aca="false">IF(AND(ISNUMBER(CB200),ISNUMBER(CB209)),IFERROR(CB200/CB209,""),"")</f>
        <v>7.14833466866267</v>
      </c>
      <c r="CC211" s="78" t="n">
        <f aca="false">IF(AND(ISNUMBER(CC200),ISNUMBER(CC209)),IFERROR(CC200/CC209,""),"")</f>
        <v>8.16426462300479</v>
      </c>
      <c r="CD211" s="78" t="n">
        <f aca="false">IF(AND(ISNUMBER(CD200),ISNUMBER(CD209)),IFERROR(CD200/CD209,""),"")</f>
        <v>9.24376170524775</v>
      </c>
      <c r="CE211" s="78" t="n">
        <f aca="false">IF(AND(ISNUMBER(CE200),ISNUMBER(CE209)),IFERROR(CE200/CE209,""),"")</f>
        <v>10.7372123303388</v>
      </c>
      <c r="CF211" s="7"/>
    </row>
    <row r="212" customFormat="false" ht="15" hidden="false" customHeight="true" outlineLevel="0" collapsed="false">
      <c r="B212" s="24" t="s">
        <v>363</v>
      </c>
      <c r="D212" s="25" t="n">
        <f aca="false">IF(AND(ISNUMBER(D210),ISNUMBER(C210)),IFERROR(D210/C210-1,""),"")</f>
        <v>0.08040587808348</v>
      </c>
      <c r="E212" s="25" t="n">
        <f aca="false">IF(AND(ISNUMBER(E210),ISNUMBER(D210)),IFERROR(E210/D210-1,""),"")</f>
        <v>0.0646432683648797</v>
      </c>
      <c r="F212" s="25" t="n">
        <f aca="false">IF(AND(ISNUMBER(F210),ISNUMBER(E210)),IFERROR(F210/E210-1,""),"")</f>
        <v>-0.125671651654254</v>
      </c>
      <c r="G212" s="25" t="n">
        <f aca="false">IF(AND(ISNUMBER(G210),ISNUMBER(F210)),IFERROR(G210/F210-1,""),"")</f>
        <v>0.466178746093537</v>
      </c>
      <c r="H212" s="25" t="n">
        <f aca="false">IF(AND(ISNUMBER(H210),ISNUMBER(G210)),IFERROR(H210/G210-1,""),"")</f>
        <v>0.0975810878347283</v>
      </c>
      <c r="I212" s="25" t="n">
        <f aca="false">IF(AND(ISNUMBER(I210),ISNUMBER(H210)),IFERROR(I210/H210-1,""),"")</f>
        <v>0.168303507851558</v>
      </c>
      <c r="N212" s="25" t="n">
        <f aca="false">IF(AND(ISNUMBER(N210),ISNUMBER(I210)),IFERROR(N210/I210-1,""),"")</f>
        <v>0.175557741752626</v>
      </c>
      <c r="O212" s="25" t="n">
        <f aca="false">IF(AND(ISNUMBER(O210),ISNUMBER(J210)),IFERROR(O210/J210-1,""),"")</f>
        <v>-0.169663788018573</v>
      </c>
      <c r="P212" s="25" t="n">
        <f aca="false">IF(AND(ISNUMBER(P210),ISNUMBER(K210)),IFERROR(P210/K210-1,""),"")</f>
        <v>0.0877394931846807</v>
      </c>
      <c r="Q212" s="25" t="n">
        <f aca="false">IF(AND(ISNUMBER(Q210),ISNUMBER(L210)),IFERROR(Q210/L210-1,""),"")</f>
        <v>0.13435433239922</v>
      </c>
      <c r="R212" s="25" t="n">
        <f aca="false">IF(AND(ISNUMBER(R210),ISNUMBER(M210)),IFERROR(R210/M210-1,""),"")</f>
        <v>-0.181350450796685</v>
      </c>
      <c r="S212" s="25" t="n">
        <f aca="false">IF(AND(ISNUMBER(S210),ISNUMBER(N210)),IFERROR(S210/N210-1,""),"")</f>
        <v>-0.0630841299463</v>
      </c>
      <c r="T212" s="25" t="n">
        <f aca="false">IF(AND(ISNUMBER(T210),ISNUMBER(O210)),IFERROR(T210/O210-1,""),"")</f>
        <v>-0.0426564898446319</v>
      </c>
      <c r="U212" s="25" t="n">
        <f aca="false">IF(AND(ISNUMBER(U210),ISNUMBER(P210)),IFERROR(U210/P210-1,""),"")</f>
        <v>0.0519260651081201</v>
      </c>
      <c r="V212" s="25" t="n">
        <f aca="false">IF(AND(ISNUMBER(V210),ISNUMBER(Q210)),IFERROR(V210/Q210-1,""),"")</f>
        <v>-0.428423350899874</v>
      </c>
      <c r="W212" s="25" t="n">
        <f aca="false">IF(AND(ISNUMBER(W210),ISNUMBER(R210)),IFERROR(W210/R210-1,""),"")</f>
        <v>-0.174382187146892</v>
      </c>
      <c r="X212" s="25" t="n">
        <f aca="false">IF(AND(ISNUMBER(X210),ISNUMBER(S210)),IFERROR(X210/S210-1,""),"")</f>
        <v>-0.305793458808254</v>
      </c>
      <c r="Y212" s="25" t="n">
        <f aca="false">IF(AND(ISNUMBER(Y210),ISNUMBER(T210)),IFERROR(Y210/T210-1,""),"")</f>
        <v>0.0823500225460427</v>
      </c>
      <c r="Z212" s="25" t="n">
        <f aca="false">IF(AND(ISNUMBER(Z210),ISNUMBER(U210)),IFERROR(Z210/U210-1,""),"")</f>
        <v>-0.398490130092622</v>
      </c>
      <c r="AA212" s="25" t="n">
        <f aca="false">IF(AND(ISNUMBER(AA210),ISNUMBER(V210)),IFERROR(AA210/V210-1,""),"")</f>
        <v>0.0558236392257216</v>
      </c>
      <c r="AB212" s="25" t="n">
        <f aca="false">IF(AND(ISNUMBER(AB210),ISNUMBER(W210)),IFERROR(AB210/W210-1,""),"")</f>
        <v>0.423976161222938</v>
      </c>
      <c r="AC212" s="25" t="n">
        <f aca="false">IF(AND(ISNUMBER(AC210),ISNUMBER(X210)),IFERROR(AC210/X210-1,""),"")</f>
        <v>0.248165875460611</v>
      </c>
      <c r="AD212" s="25" t="n">
        <f aca="false">IF(AND(ISNUMBER(AD210),ISNUMBER(Y210)),IFERROR(AD210/Y210-1,""),"")</f>
        <v>-0.184185421224713</v>
      </c>
      <c r="AE212" s="25" t="n">
        <f aca="false">IF(AND(ISNUMBER(AE210),ISNUMBER(Z210)),IFERROR(AE210/Z210-1,""),"")</f>
        <v>0.320968150006174</v>
      </c>
      <c r="AF212" s="25" t="n">
        <f aca="false">IF(AND(ISNUMBER(AF210),ISNUMBER(AA210)),IFERROR(AF210/AA210-1,""),"")</f>
        <v>0.412353608855363</v>
      </c>
      <c r="AG212" s="25" t="n">
        <f aca="false">IF(AND(ISNUMBER(AG210),ISNUMBER(AB210)),IFERROR(AG210/AB210-1,""),"")</f>
        <v>0.137482925862107</v>
      </c>
      <c r="AH212" s="25" t="n">
        <f aca="false">IF(AND(ISNUMBER(AH210),ISNUMBER(AC210)),IFERROR(AH210/AC210-1,""),"")</f>
        <v>0.136697236688913</v>
      </c>
      <c r="AI212" s="25" t="n">
        <f aca="false">IF(AND(ISNUMBER(AI210),ISNUMBER(AD210)),IFERROR(AI210/AD210-1,""),"")</f>
        <v>0.164872583473388</v>
      </c>
      <c r="AJ212" s="25" t="n">
        <f aca="false">IF(AND(ISNUMBER(AJ210),ISNUMBER(AE210)),IFERROR(AJ210/AE210-1,""),"")</f>
        <v>0.202056881771785</v>
      </c>
      <c r="AK212" s="25" t="n">
        <f aca="false">IF(AND(ISNUMBER(AK210),ISNUMBER(AF210)),IFERROR(AK210/AF210-1,""),"")</f>
        <v>0.151948964891669</v>
      </c>
      <c r="AL212" s="25" t="n">
        <f aca="false">IF(AND(ISNUMBER(AL210),ISNUMBER(AG210)),IFERROR(AL210/AG210-1,""),"")</f>
        <v>-0.205768509032098</v>
      </c>
      <c r="AM212" s="25" t="n">
        <f aca="false">IF(AND(ISNUMBER(AM210),ISNUMBER(AH210)),IFERROR(AM210/AH210-1,""),"")</f>
        <v>-0.0313351777788843</v>
      </c>
      <c r="AN212" s="25" t="n">
        <f aca="false">IF(AND(ISNUMBER(AN210),ISNUMBER(AI210)),IFERROR(AN210/AI210-1,""),"")</f>
        <v>-0.432193791188992</v>
      </c>
      <c r="AO212" s="25" t="n">
        <f aca="false">IF(AND(ISNUMBER(AO210),ISNUMBER(AJ210)),IFERROR(AO210/AJ210-1,""),"")</f>
        <v>-0.0543549387673608</v>
      </c>
      <c r="AP212" s="25" t="n">
        <f aca="false">IF(AND(ISNUMBER(AP210),ISNUMBER(AK210)),IFERROR(AP210/AK210-1,""),"")</f>
        <v>-0.11152320132281</v>
      </c>
      <c r="AQ212" s="25" t="n">
        <f aca="false">IF(AND(ISNUMBER(AQ210),ISNUMBER(AL210)),IFERROR(AQ210/AL210-1,""),"")</f>
        <v>0.107374752221883</v>
      </c>
      <c r="AR212" s="25" t="n">
        <f aca="false">IF(AND(ISNUMBER(AR210),ISNUMBER(AM210)),IFERROR(AR210/AM210-1,""),"")</f>
        <v>-0.0383377220827948</v>
      </c>
      <c r="AS212" s="25" t="n">
        <f aca="false">IF(AND(ISNUMBER(AS210),ISNUMBER(AN210)),IFERROR(AS210/AN210-1,""),"")</f>
        <v>0.792871271004403</v>
      </c>
      <c r="AT212" s="25" t="n">
        <f aca="false">IF(AND(ISNUMBER(AT210),ISNUMBER(AO210)),IFERROR(AT210/AO210-1,""),"")</f>
        <v>0.384055063124811</v>
      </c>
      <c r="AU212" s="25" t="n">
        <f aca="false">IF(AND(ISNUMBER(AU210),ISNUMBER(AP210)),IFERROR(AU210/AP210-1,""),"")</f>
        <v>0.401545389814574</v>
      </c>
      <c r="AV212" s="25" t="n">
        <f aca="false">IF(AND(ISNUMBER(AV210),ISNUMBER(AQ210)),IFERROR(AV210/AQ210-1,""),"")</f>
        <v>0.555646406904989</v>
      </c>
      <c r="AW212" s="25" t="n">
        <f aca="false">IF(AND(ISNUMBER(AW210),ISNUMBER(AR210)),IFERROR(AW210/AR210-1,""),"")</f>
        <v>0.498883185596756</v>
      </c>
      <c r="AX212" s="25" t="n">
        <f aca="false">IF(AND(ISNUMBER(AX210),ISNUMBER(AS210)),IFERROR(AX210/AS210-1,""),"")</f>
        <v>1.77939194192271</v>
      </c>
      <c r="AY212" s="25" t="n">
        <f aca="false">IF(AND(ISNUMBER(AY210),ISNUMBER(AT210)),IFERROR(AY210/AT210-1,""),"")</f>
        <v>0.812368802996285</v>
      </c>
      <c r="AZ212" s="25" t="n">
        <f aca="false">IF(AND(ISNUMBER(AZ210),ISNUMBER(AU210)),IFERROR(AZ210/AU210-1,""),"")</f>
        <v>0.321048886328575</v>
      </c>
      <c r="BA212" s="25" t="n">
        <f aca="false">IF(AND(ISNUMBER(BA210),ISNUMBER(AV210)),IFERROR(BA210/AV210-1,""),"")</f>
        <v>0.428428020043337</v>
      </c>
      <c r="BB212" s="25" t="n">
        <f aca="false">IF(AND(ISNUMBER(BB210),ISNUMBER(AW210)),IFERROR(BB210/AW210-1,""),"")</f>
        <v>0.718265054706423</v>
      </c>
      <c r="BC212" s="25" t="n">
        <f aca="false">IF(AND(ISNUMBER(BC210),ISNUMBER(AX210)),IFERROR(BC210/AX210-1,""),"")</f>
        <v>0.0102738085415586</v>
      </c>
      <c r="BD212" s="25" t="n">
        <f aca="false">IF(AND(ISNUMBER(BD210),ISNUMBER(AY210)),IFERROR(BD210/AY210-1,""),"")</f>
        <v>0</v>
      </c>
      <c r="BE212" s="25" t="n">
        <f aca="false">IF(AND(ISNUMBER(BE210),ISNUMBER(AZ210)),IFERROR(BE210/AZ210-1,""),"")</f>
        <v>0.368957300918638</v>
      </c>
      <c r="BF212" s="25" t="n">
        <f aca="false">IF(AND(ISNUMBER(BF210),ISNUMBER(BA210)),IFERROR(BF210/BA210-1,""),"")</f>
        <v>0.127944462197653</v>
      </c>
      <c r="BG212" s="25" t="n">
        <f aca="false">IF(AND(ISNUMBER(BG210),ISNUMBER(BB210)),IFERROR(BG210/BB210-1,""),"")</f>
        <v>0.00589805005137345</v>
      </c>
      <c r="BH212" s="25" t="n">
        <f aca="false">IF(AND(ISNUMBER(BH210),ISNUMBER(BC210)),IFERROR(BH210/BC210-1,""),"")</f>
        <v>-0.275637305823022</v>
      </c>
      <c r="BI212" s="25" t="n">
        <f aca="false">IF(AND(ISNUMBER(BI210),ISNUMBER(BD210)),IFERROR(BI210/BD210-1,""),"")</f>
        <v>-0.451597076113097</v>
      </c>
      <c r="BJ212" s="25" t="n">
        <f aca="false">IF(AND(ISNUMBER(BJ210),ISNUMBER(BE210)),IFERROR(BJ210/BE210-1,""),"")</f>
        <v>-0.400845836024814</v>
      </c>
      <c r="BK212" s="25" t="n">
        <f aca="false">IF(AND(ISNUMBER(BK210),ISNUMBER(BF210)),IFERROR(BK210/BF210-1,""),"")</f>
        <v>-0.436985423027212</v>
      </c>
      <c r="BL212" s="25" t="n">
        <f aca="false">IF(AND(ISNUMBER(BL210),ISNUMBER(BG210)),IFERROR(BL210/BG210-1,""),"")</f>
        <v>-0.330426227950958</v>
      </c>
      <c r="BM212" s="25" t="n">
        <f aca="false">IF(AND(ISNUMBER(BM210),ISNUMBER(BH210)),IFERROR(BM210/BH210-1,""),"")</f>
        <v>-0.121057036848878</v>
      </c>
      <c r="BN212" s="25" t="n">
        <f aca="false">IF(AND(ISNUMBER(BN210),ISNUMBER(BI210)),IFERROR(BN210/BI210-1,""),"")</f>
        <v>-0.0110761513774363</v>
      </c>
      <c r="BO212" s="25" t="n">
        <f aca="false">IF(AND(ISNUMBER(BO210),ISNUMBER(BJ210)),IFERROR(BO210/BJ210-1,""),"")</f>
        <v>-0.110101861629203</v>
      </c>
      <c r="BP212" s="25" t="n">
        <f aca="false">IF(AND(ISNUMBER(BP210),ISNUMBER(BK210)),IFERROR(BP210/BK210-1,""),"")</f>
        <v>-0.00740844005516517</v>
      </c>
      <c r="BQ212" s="25" t="n">
        <f aca="false">IF(AND(ISNUMBER(BQ210),ISNUMBER(BL210)),IFERROR(BQ210/BL210-1,""),"")</f>
        <v>-0.0642369777536626</v>
      </c>
      <c r="BR212" s="25" t="n">
        <f aca="false">IF(AND(ISNUMBER(BR210),ISNUMBER(BM210)),IFERROR(BR210/BM210-1,""),"")</f>
        <v>-0.0893436418685119</v>
      </c>
      <c r="BS212" s="25" t="n">
        <f aca="false">IF(AND(ISNUMBER(BS210),ISNUMBER(BN210)),IFERROR(BS210/BN210-1,""),"")</f>
        <v>-0.368265826586798</v>
      </c>
      <c r="BT212" s="25" t="n">
        <f aca="false">IF(AND(ISNUMBER(BT210),ISNUMBER(BO210)),IFERROR(BT210/BO210-1,""),"")</f>
        <v>0.134442810341644</v>
      </c>
      <c r="BU212" s="25" t="n">
        <f aca="false">IF(AND(ISNUMBER(BU210),ISNUMBER(BP210)),IFERROR(BU210/BP210-1,""),"")</f>
        <v>0.115670611516475</v>
      </c>
      <c r="BV212" s="25" t="n">
        <f aca="false">IF(AND(ISNUMBER(BV210),ISNUMBER(BQ210)),IFERROR(BV210/BQ210-1,""),"")</f>
        <v>-0.0494807461937165</v>
      </c>
      <c r="BW212" s="25" t="n">
        <f aca="false">IF(AND(ISNUMBER(BW210),ISNUMBER(BR210)),IFERROR(BW210/BR210-1,""),"")</f>
        <v>0.0931758530183724</v>
      </c>
      <c r="BX212" s="25" t="n">
        <f aca="false">IF(AND(ISNUMBER(BX210),ISNUMBER(BS210)),IFERROR(BX210/BS210-1,""),"")</f>
        <v>0.593043863535667</v>
      </c>
      <c r="BY212" s="26" t="n">
        <f aca="false">IF(AND(ISNUMBER(BY210),ISNUMBER(BT210)),IFERROR(BY210/BT210-1,""),"")</f>
        <v>0.0298563987635245</v>
      </c>
      <c r="BZ212" s="26" t="n">
        <f aca="false">IF(AND(ISNUMBER(BZ210),ISNUMBER(BU210)),IFERROR(BZ210/BU210-1,""),"")</f>
        <v>0.211965413240762</v>
      </c>
      <c r="CA212" s="26" t="n">
        <f aca="false">IF(AND(ISNUMBER(CA210),ISNUMBER(BV210)),IFERROR(CA210/BV210-1,""),"")</f>
        <v>0.193850577437357</v>
      </c>
      <c r="CB212" s="26" t="n">
        <f aca="false">IF(AND(ISNUMBER(CB210),ISNUMBER(CA210)),IFERROR(CB210/CA210-1,""),"")</f>
        <v>0.191039256822539</v>
      </c>
      <c r="CC212" s="26" t="n">
        <f aca="false">IF(AND(ISNUMBER(CC210),ISNUMBER(CB210)),IFERROR(CC210/CB210-1,""),"")</f>
        <v>0.142121207446515</v>
      </c>
      <c r="CD212" s="26" t="n">
        <f aca="false">IF(AND(ISNUMBER(CD210),ISNUMBER(CC210)),IFERROR(CD210/CC210-1,""),"")</f>
        <v>0.132222206419083</v>
      </c>
      <c r="CE212" s="26" t="n">
        <f aca="false">IF(AND(ISNUMBER(CE210),ISNUMBER(CD210)),IFERROR(CE210/CD210-1,""),"")</f>
        <v>0.161563081428552</v>
      </c>
      <c r="CF212" s="7"/>
    </row>
    <row r="213" customFormat="false" ht="15" hidden="false" customHeight="true" outlineLevel="0" collapsed="false">
      <c r="B213" s="50" t="s">
        <v>364</v>
      </c>
      <c r="C213" s="79" t="n">
        <v>1.72</v>
      </c>
      <c r="D213" s="79" t="n">
        <v>1.86</v>
      </c>
      <c r="E213" s="79" t="n">
        <v>1.975</v>
      </c>
      <c r="F213" s="79" t="n">
        <v>1.73</v>
      </c>
      <c r="G213" s="79" t="n">
        <v>2.53</v>
      </c>
      <c r="H213" s="79" t="n">
        <v>2.77</v>
      </c>
      <c r="I213" s="79" t="n">
        <v>3.23</v>
      </c>
      <c r="J213" s="79" t="n">
        <v>0.98</v>
      </c>
      <c r="K213" s="79" t="n">
        <v>0.87</v>
      </c>
      <c r="L213" s="79" t="n">
        <v>0.84</v>
      </c>
      <c r="M213" s="79" t="n">
        <v>1.11</v>
      </c>
      <c r="N213" s="79" t="n">
        <v>3.8</v>
      </c>
      <c r="O213" s="79" t="n">
        <v>0.81</v>
      </c>
      <c r="P213" s="79" t="n">
        <v>0.95</v>
      </c>
      <c r="Q213" s="79" t="n">
        <v>0.95</v>
      </c>
      <c r="R213" s="79" t="n">
        <v>0.91</v>
      </c>
      <c r="S213" s="79" t="n">
        <v>3.56</v>
      </c>
      <c r="T213" s="79" t="n">
        <v>0.78</v>
      </c>
      <c r="U213" s="79" t="n">
        <v>0.99</v>
      </c>
      <c r="V213" s="79" t="n">
        <v>0.54</v>
      </c>
      <c r="W213" s="79" t="n">
        <v>0.75</v>
      </c>
      <c r="X213" s="79" t="n">
        <v>2.47</v>
      </c>
      <c r="Y213" s="79" t="n">
        <v>0.84</v>
      </c>
      <c r="Z213" s="79" t="n">
        <v>0.6</v>
      </c>
      <c r="AA213" s="79" t="n">
        <v>0.57</v>
      </c>
      <c r="AB213" s="79" t="n">
        <v>1.07</v>
      </c>
      <c r="AC213" s="79" t="n">
        <v>3.08</v>
      </c>
      <c r="AD213" s="79" t="n">
        <v>0.69</v>
      </c>
      <c r="AE213" s="79" t="n">
        <v>0.79</v>
      </c>
      <c r="AF213" s="79" t="n">
        <v>0.81</v>
      </c>
      <c r="AG213" s="79" t="n">
        <v>1.21</v>
      </c>
      <c r="AH213" s="79" t="n">
        <v>3.5</v>
      </c>
      <c r="AI213" s="79" t="n">
        <v>0.8</v>
      </c>
      <c r="AJ213" s="79" t="n">
        <v>0.95</v>
      </c>
      <c r="AK213" s="79" t="n">
        <v>0.93</v>
      </c>
      <c r="AL213" s="79" t="n">
        <v>0.96</v>
      </c>
      <c r="AM213" s="79" t="n">
        <v>3.39</v>
      </c>
      <c r="AN213" s="79" t="n">
        <v>0.45</v>
      </c>
      <c r="AO213" s="79" t="n">
        <v>0.9</v>
      </c>
      <c r="AP213" s="79" t="n">
        <v>0.84</v>
      </c>
      <c r="AQ213" s="79" t="n">
        <v>1.07</v>
      </c>
      <c r="AR213" s="79" t="n">
        <v>3.26</v>
      </c>
      <c r="AS213" s="79" t="n">
        <v>0.81</v>
      </c>
      <c r="AT213" s="79" t="n">
        <v>1.24</v>
      </c>
      <c r="AU213" s="79" t="n">
        <v>1.16</v>
      </c>
      <c r="AV213" s="79" t="n">
        <v>1.66</v>
      </c>
      <c r="AW213" s="79" t="n">
        <v>4.89</v>
      </c>
      <c r="AX213" s="79" t="n">
        <v>2.29</v>
      </c>
      <c r="AY213" s="79" t="n">
        <v>2.28</v>
      </c>
      <c r="AZ213" s="79" t="n">
        <v>1.54</v>
      </c>
      <c r="BA213" s="79" t="n">
        <v>2.39</v>
      </c>
      <c r="BB213" s="79" t="n">
        <v>8.5</v>
      </c>
      <c r="BC213" s="79" t="n">
        <v>2.31</v>
      </c>
      <c r="BD213" s="79" t="n">
        <v>2.25</v>
      </c>
      <c r="BE213" s="79" t="n">
        <v>2.1</v>
      </c>
      <c r="BF213" s="79" t="n">
        <v>2.7</v>
      </c>
      <c r="BG213" s="79" t="n">
        <v>8.47</v>
      </c>
      <c r="BH213" s="79" t="n">
        <v>1.65</v>
      </c>
      <c r="BI213" s="79" t="n">
        <v>1.24</v>
      </c>
      <c r="BJ213" s="79" t="n">
        <v>1.26</v>
      </c>
      <c r="BK213" s="79" t="n">
        <v>1.5</v>
      </c>
      <c r="BL213" s="79" t="n">
        <v>5.65</v>
      </c>
      <c r="BM213" s="79" t="n">
        <v>1.45</v>
      </c>
      <c r="BN213" s="79" t="n">
        <v>1.22</v>
      </c>
      <c r="BO213" s="79" t="n">
        <v>1.12</v>
      </c>
      <c r="BP213" s="79" t="n">
        <v>1.49</v>
      </c>
      <c r="BQ213" s="79" t="n">
        <v>5.29</v>
      </c>
      <c r="BR213" s="79" t="n">
        <v>1.32</v>
      </c>
      <c r="BS213" s="79" t="n">
        <v>0.77</v>
      </c>
      <c r="BT213" s="79" t="n">
        <v>1.27</v>
      </c>
      <c r="BU213" s="79" t="n">
        <v>1.66</v>
      </c>
      <c r="BV213" s="79" t="n">
        <v>5.03</v>
      </c>
      <c r="BW213" s="79" t="n">
        <v>1.45</v>
      </c>
      <c r="BX213" s="79" t="n">
        <v>1.23</v>
      </c>
      <c r="BY213" s="7"/>
      <c r="BZ213" s="7"/>
      <c r="CA213" s="7"/>
      <c r="CB213" s="7"/>
      <c r="CC213" s="7"/>
      <c r="CD213" s="7"/>
      <c r="CE213" s="7"/>
      <c r="CF213" s="7"/>
    </row>
    <row r="214" customFormat="false" ht="15" hidden="false" customHeight="true" outlineLevel="0" collapsed="false">
      <c r="B214" s="27" t="s">
        <v>365</v>
      </c>
      <c r="C214" s="79" t="n">
        <v>0.04</v>
      </c>
      <c r="D214" s="79" t="n">
        <v>0.055</v>
      </c>
      <c r="E214" s="79" t="n">
        <v>0.06</v>
      </c>
      <c r="F214" s="79" t="n">
        <v>0.065</v>
      </c>
      <c r="G214" s="79" t="n">
        <v>0.08</v>
      </c>
      <c r="H214" s="79" t="n">
        <v>0.09</v>
      </c>
      <c r="I214" s="79" t="n">
        <v>0.1</v>
      </c>
      <c r="J214" s="79" t="n">
        <v>0.025</v>
      </c>
      <c r="K214" s="79" t="n">
        <v>0.025</v>
      </c>
      <c r="L214" s="79" t="n">
        <v>0.025</v>
      </c>
      <c r="M214" s="79" t="n">
        <v>0.025</v>
      </c>
      <c r="N214" s="79" t="n">
        <v>0.1</v>
      </c>
      <c r="O214" s="79" t="n">
        <v>0.1</v>
      </c>
      <c r="P214" s="79" t="n">
        <v>0.1</v>
      </c>
      <c r="Q214" s="79" t="n">
        <v>0.1</v>
      </c>
      <c r="R214" s="79" t="n">
        <v>0.1</v>
      </c>
      <c r="S214" s="79" t="n">
        <v>0.4</v>
      </c>
      <c r="T214" s="79" t="n">
        <v>0.135</v>
      </c>
      <c r="U214" s="79" t="n">
        <v>0.135</v>
      </c>
      <c r="V214" s="79" t="n">
        <v>0.135</v>
      </c>
      <c r="W214" s="79" t="n">
        <v>0.135</v>
      </c>
      <c r="X214" s="79" t="n">
        <v>0.54</v>
      </c>
      <c r="Y214" s="79" t="n">
        <v>0.16</v>
      </c>
      <c r="Z214" s="79" t="n">
        <v>0.16</v>
      </c>
      <c r="AA214" s="79" t="n">
        <v>0.125</v>
      </c>
      <c r="AB214" s="79" t="n">
        <v>0.125</v>
      </c>
      <c r="AC214" s="79" t="n">
        <v>0.57</v>
      </c>
      <c r="AD214" s="79" t="n">
        <v>0.14</v>
      </c>
      <c r="AE214" s="79" t="n">
        <v>0.14</v>
      </c>
      <c r="AF214" s="79" t="n">
        <v>0.14</v>
      </c>
      <c r="AG214" s="79" t="n">
        <v>0.14</v>
      </c>
      <c r="AH214" s="79" t="n">
        <v>0.56</v>
      </c>
      <c r="AI214" s="79" t="n">
        <v>0.16</v>
      </c>
      <c r="AJ214" s="79" t="n">
        <v>0.16</v>
      </c>
      <c r="AK214" s="79" t="n">
        <v>0.16</v>
      </c>
      <c r="AL214" s="79" t="n">
        <v>0.16</v>
      </c>
      <c r="AM214" s="79" t="n">
        <v>0.64</v>
      </c>
      <c r="AN214" s="79" t="n">
        <v>0.17</v>
      </c>
      <c r="AO214" s="79" t="n">
        <v>0.17</v>
      </c>
      <c r="AP214" s="79" t="n">
        <v>0.17</v>
      </c>
      <c r="AQ214" s="79" t="n">
        <v>0.17</v>
      </c>
      <c r="AR214" s="79" t="n">
        <v>0.68</v>
      </c>
      <c r="AS214" s="79" t="n">
        <v>0.18</v>
      </c>
      <c r="AT214" s="79" t="n">
        <v>0.18</v>
      </c>
      <c r="AU214" s="79" t="n">
        <v>0.18</v>
      </c>
      <c r="AV214" s="79" t="n">
        <v>0.18</v>
      </c>
      <c r="AW214" s="79" t="n">
        <v>0.72</v>
      </c>
      <c r="AX214" s="79" t="n">
        <v>0.21</v>
      </c>
      <c r="AY214" s="79" t="n">
        <v>0.21</v>
      </c>
      <c r="AZ214" s="79" t="n">
        <v>0.21</v>
      </c>
      <c r="BA214" s="79" t="n">
        <v>0.21</v>
      </c>
      <c r="BB214" s="79" t="n">
        <v>0.84</v>
      </c>
      <c r="BC214" s="79" t="n">
        <v>0.25</v>
      </c>
      <c r="BD214" s="79" t="n">
        <v>0.25</v>
      </c>
      <c r="BE214" s="79" t="n">
        <v>0.25</v>
      </c>
      <c r="BF214" s="79" t="n">
        <v>0.25</v>
      </c>
      <c r="BG214" s="79" t="n">
        <v>1</v>
      </c>
      <c r="BH214" s="79" t="n">
        <v>0.27</v>
      </c>
      <c r="BI214" s="79" t="n">
        <v>0.27</v>
      </c>
      <c r="BJ214" s="79" t="n">
        <v>0.27</v>
      </c>
      <c r="BK214" s="79" t="n">
        <v>0.24</v>
      </c>
      <c r="BL214" s="79" t="n">
        <v>1.05</v>
      </c>
      <c r="BM214" s="79" t="n">
        <v>0.27</v>
      </c>
      <c r="BN214" s="79" t="n">
        <v>0.27</v>
      </c>
      <c r="BO214" s="79" t="n">
        <v>0.27</v>
      </c>
      <c r="BP214" s="79" t="n">
        <v>0.27</v>
      </c>
      <c r="BQ214" s="79" t="n">
        <v>1.08</v>
      </c>
      <c r="BR214" s="79" t="n">
        <v>0.32</v>
      </c>
      <c r="BS214" s="79" t="n">
        <v>0.32</v>
      </c>
      <c r="BT214" s="79" t="n">
        <v>0.32</v>
      </c>
      <c r="BU214" s="79" t="n">
        <v>0.32</v>
      </c>
      <c r="BV214" s="79" t="n">
        <v>1.28</v>
      </c>
      <c r="BW214" s="79" t="n">
        <v>0.4</v>
      </c>
      <c r="BX214" s="79" t="n">
        <v>0.4</v>
      </c>
      <c r="BY214" s="78" t="n">
        <f aca="false">$BX$214</f>
        <v>0.4</v>
      </c>
      <c r="BZ214" s="78" t="n">
        <f aca="false">$BX$214</f>
        <v>0.4</v>
      </c>
      <c r="CA214" s="78" t="n">
        <f aca="false">SUM(BW214,BX214,BY214,BZ214)</f>
        <v>1.6</v>
      </c>
      <c r="CB214" s="78" t="n">
        <f aca="false">CA214*(1+CB215)</f>
        <v>1.76</v>
      </c>
      <c r="CC214" s="78" t="n">
        <f aca="false">CB214*(1+CC215)</f>
        <v>1.936</v>
      </c>
      <c r="CD214" s="78" t="n">
        <f aca="false">CC214*(1+CD215)</f>
        <v>2.1296</v>
      </c>
      <c r="CE214" s="78" t="n">
        <f aca="false">CD214*(1+CE215)</f>
        <v>2.34256</v>
      </c>
      <c r="CF214" s="37" t="s">
        <v>366</v>
      </c>
      <c r="CH214" s="22" t="n">
        <f aca="false">IFERROR((CE214/BV214)^(1/5)-1,"n/m")</f>
        <v>0.128485935401258</v>
      </c>
      <c r="CI214" s="22" t="n">
        <f aca="false">IFERROR((BV214/AW214)^(1/5)-1,"n/m")</f>
        <v>0.1219551454462</v>
      </c>
      <c r="CJ214" s="22" t="n">
        <f aca="false">IFERROR((BV214/X214)^(1/10)-1,"n/m")</f>
        <v>0.0901383575693511</v>
      </c>
      <c r="CK214" s="22" t="n">
        <f aca="false">IFERROR((BV214/C214)^(1/19)-1,"n/m")</f>
        <v>0.200102719578103</v>
      </c>
    </row>
    <row r="215" customFormat="false" ht="15" hidden="false" customHeight="true" outlineLevel="0" collapsed="false">
      <c r="B215" s="24" t="s">
        <v>367</v>
      </c>
      <c r="D215" s="25" t="n">
        <f aca="false">IF(AND(ISNUMBER(D214),ISNUMBER(C214)),IFERROR(D214/C214-1,""),"")</f>
        <v>0.375</v>
      </c>
      <c r="E215" s="25" t="n">
        <f aca="false">IF(AND(ISNUMBER(E214),ISNUMBER(D214)),IFERROR(E214/D214-1,""),"")</f>
        <v>0.0909090909090908</v>
      </c>
      <c r="F215" s="25" t="n">
        <f aca="false">IF(AND(ISNUMBER(F214),ISNUMBER(E214)),IFERROR(F214/E214-1,""),"")</f>
        <v>0.0833333333333335</v>
      </c>
      <c r="G215" s="25" t="n">
        <f aca="false">IF(AND(ISNUMBER(G214),ISNUMBER(F214)),IFERROR(G214/F214-1,""),"")</f>
        <v>0.230769230769231</v>
      </c>
      <c r="H215" s="25" t="n">
        <f aca="false">IF(AND(ISNUMBER(H214),ISNUMBER(G214)),IFERROR(H214/G214-1,""),"")</f>
        <v>0.125</v>
      </c>
      <c r="I215" s="25" t="n">
        <f aca="false">IF(AND(ISNUMBER(I214),ISNUMBER(H214)),IFERROR(I214/H214-1,""),"")</f>
        <v>0.111111111111111</v>
      </c>
      <c r="N215" s="25" t="n">
        <f aca="false">IF(AND(ISNUMBER(N214),ISNUMBER(I214)),IFERROR(N214/I214-1,""),"")</f>
        <v>0</v>
      </c>
      <c r="O215" s="25" t="n">
        <f aca="false">IF(AND(ISNUMBER(O214),ISNUMBER(J214)),IFERROR(O214/J214-1,""),"")</f>
        <v>3</v>
      </c>
      <c r="P215" s="25" t="n">
        <f aca="false">IF(AND(ISNUMBER(P214),ISNUMBER(K214)),IFERROR(P214/K214-1,""),"")</f>
        <v>3</v>
      </c>
      <c r="Q215" s="25" t="n">
        <f aca="false">IF(AND(ISNUMBER(Q214),ISNUMBER(L214)),IFERROR(Q214/L214-1,""),"")</f>
        <v>3</v>
      </c>
      <c r="R215" s="25" t="n">
        <f aca="false">IF(AND(ISNUMBER(R214),ISNUMBER(M214)),IFERROR(R214/M214-1,""),"")</f>
        <v>3</v>
      </c>
      <c r="S215" s="25" t="n">
        <f aca="false">IF(AND(ISNUMBER(S214),ISNUMBER(N214)),IFERROR(S214/N214-1,""),"")</f>
        <v>3</v>
      </c>
      <c r="T215" s="25" t="n">
        <f aca="false">IF(AND(ISNUMBER(T214),ISNUMBER(O214)),IFERROR(T214/O214-1,""),"")</f>
        <v>0.35</v>
      </c>
      <c r="U215" s="25" t="n">
        <f aca="false">IF(AND(ISNUMBER(U214),ISNUMBER(P214)),IFERROR(U214/P214-1,""),"")</f>
        <v>0.35</v>
      </c>
      <c r="V215" s="25" t="n">
        <f aca="false">IF(AND(ISNUMBER(V214),ISNUMBER(Q214)),IFERROR(V214/Q214-1,""),"")</f>
        <v>0.35</v>
      </c>
      <c r="W215" s="25" t="n">
        <f aca="false">IF(AND(ISNUMBER(W214),ISNUMBER(R214)),IFERROR(W214/R214-1,""),"")</f>
        <v>0.35</v>
      </c>
      <c r="X215" s="25" t="n">
        <f aca="false">IF(AND(ISNUMBER(X214),ISNUMBER(S214)),IFERROR(X214/S214-1,""),"")</f>
        <v>0.35</v>
      </c>
      <c r="Y215" s="25" t="n">
        <f aca="false">IF(AND(ISNUMBER(Y214),ISNUMBER(T214)),IFERROR(Y214/T214-1,""),"")</f>
        <v>0.185185185185185</v>
      </c>
      <c r="Z215" s="25" t="n">
        <f aca="false">IF(AND(ISNUMBER(Z214),ISNUMBER(U214)),IFERROR(Z214/U214-1,""),"")</f>
        <v>0.185185185185185</v>
      </c>
      <c r="AA215" s="25" t="n">
        <f aca="false">IF(AND(ISNUMBER(AA214),ISNUMBER(V214)),IFERROR(AA214/V214-1,""),"")</f>
        <v>-0.0740740740740742</v>
      </c>
      <c r="AB215" s="25" t="n">
        <f aca="false">IF(AND(ISNUMBER(AB214),ISNUMBER(W214)),IFERROR(AB214/W214-1,""),"")</f>
        <v>-0.0740740740740742</v>
      </c>
      <c r="AC215" s="25" t="n">
        <f aca="false">IF(AND(ISNUMBER(AC214),ISNUMBER(X214)),IFERROR(AC214/X214-1,""),"")</f>
        <v>0.0555555555555554</v>
      </c>
      <c r="AD215" s="25" t="n">
        <f aca="false">IF(AND(ISNUMBER(AD214),ISNUMBER(Y214)),IFERROR(AD214/Y214-1,""),"")</f>
        <v>-0.125</v>
      </c>
      <c r="AE215" s="25" t="n">
        <f aca="false">IF(AND(ISNUMBER(AE214),ISNUMBER(Z214)),IFERROR(AE214/Z214-1,""),"")</f>
        <v>-0.125</v>
      </c>
      <c r="AF215" s="25" t="n">
        <f aca="false">IF(AND(ISNUMBER(AF214),ISNUMBER(AA214)),IFERROR(AF214/AA214-1,""),"")</f>
        <v>0.12</v>
      </c>
      <c r="AG215" s="25" t="n">
        <f aca="false">IF(AND(ISNUMBER(AG214),ISNUMBER(AB214)),IFERROR(AG214/AB214-1,""),"")</f>
        <v>0.12</v>
      </c>
      <c r="AH215" s="25" t="n">
        <f aca="false">IF(AND(ISNUMBER(AH214),ISNUMBER(AC214)),IFERROR(AH214/AC214-1,""),"")</f>
        <v>-0.0175438596491226</v>
      </c>
      <c r="AI215" s="25" t="n">
        <f aca="false">IF(AND(ISNUMBER(AI214),ISNUMBER(AD214)),IFERROR(AI214/AD214-1,""),"")</f>
        <v>0.142857142857143</v>
      </c>
      <c r="AJ215" s="25" t="n">
        <f aca="false">IF(AND(ISNUMBER(AJ214),ISNUMBER(AE214)),IFERROR(AJ214/AE214-1,""),"")</f>
        <v>0.142857142857143</v>
      </c>
      <c r="AK215" s="25" t="n">
        <f aca="false">IF(AND(ISNUMBER(AK214),ISNUMBER(AF214)),IFERROR(AK214/AF214-1,""),"")</f>
        <v>0.142857142857143</v>
      </c>
      <c r="AL215" s="25" t="n">
        <f aca="false">IF(AND(ISNUMBER(AL214),ISNUMBER(AG214)),IFERROR(AL214/AG214-1,""),"")</f>
        <v>0.142857142857143</v>
      </c>
      <c r="AM215" s="25" t="n">
        <f aca="false">IF(AND(ISNUMBER(AM214),ISNUMBER(AH214)),IFERROR(AM214/AH214-1,""),"")</f>
        <v>0.142857142857143</v>
      </c>
      <c r="AN215" s="25" t="n">
        <f aca="false">IF(AND(ISNUMBER(AN214),ISNUMBER(AI214)),IFERROR(AN214/AI214-1,""),"")</f>
        <v>0.0625</v>
      </c>
      <c r="AO215" s="25" t="n">
        <f aca="false">IF(AND(ISNUMBER(AO214),ISNUMBER(AJ214)),IFERROR(AO214/AJ214-1,""),"")</f>
        <v>0.0625</v>
      </c>
      <c r="AP215" s="25" t="n">
        <f aca="false">IF(AND(ISNUMBER(AP214),ISNUMBER(AK214)),IFERROR(AP214/AK214-1,""),"")</f>
        <v>0.0625</v>
      </c>
      <c r="AQ215" s="25" t="n">
        <f aca="false">IF(AND(ISNUMBER(AQ214),ISNUMBER(AL214)),IFERROR(AQ214/AL214-1,""),"")</f>
        <v>0.0625</v>
      </c>
      <c r="AR215" s="25" t="n">
        <f aca="false">IF(AND(ISNUMBER(AR214),ISNUMBER(AM214)),IFERROR(AR214/AM214-1,""),"")</f>
        <v>0.0625</v>
      </c>
      <c r="AS215" s="25" t="n">
        <f aca="false">IF(AND(ISNUMBER(AS214),ISNUMBER(AN214)),IFERROR(AS214/AN214-1,""),"")</f>
        <v>0.0588235294117645</v>
      </c>
      <c r="AT215" s="25" t="n">
        <f aca="false">IF(AND(ISNUMBER(AT214),ISNUMBER(AO214)),IFERROR(AT214/AO214-1,""),"")</f>
        <v>0.0588235294117645</v>
      </c>
      <c r="AU215" s="25" t="n">
        <f aca="false">IF(AND(ISNUMBER(AU214),ISNUMBER(AP214)),IFERROR(AU214/AP214-1,""),"")</f>
        <v>0.0588235294117645</v>
      </c>
      <c r="AV215" s="25" t="n">
        <f aca="false">IF(AND(ISNUMBER(AV214),ISNUMBER(AQ214)),IFERROR(AV214/AQ214-1,""),"")</f>
        <v>0.0588235294117645</v>
      </c>
      <c r="AW215" s="25" t="n">
        <f aca="false">IF(AND(ISNUMBER(AW214),ISNUMBER(AR214)),IFERROR(AW214/AR214-1,""),"")</f>
        <v>0.0588235294117645</v>
      </c>
      <c r="AX215" s="25" t="n">
        <f aca="false">IF(AND(ISNUMBER(AX214),ISNUMBER(AS214)),IFERROR(AX214/AS214-1,""),"")</f>
        <v>0.166666666666667</v>
      </c>
      <c r="AY215" s="25" t="n">
        <f aca="false">IF(AND(ISNUMBER(AY214),ISNUMBER(AT214)),IFERROR(AY214/AT214-1,""),"")</f>
        <v>0.166666666666667</v>
      </c>
      <c r="AZ215" s="25" t="n">
        <f aca="false">IF(AND(ISNUMBER(AZ214),ISNUMBER(AU214)),IFERROR(AZ214/AU214-1,""),"")</f>
        <v>0.166666666666667</v>
      </c>
      <c r="BA215" s="25" t="n">
        <f aca="false">IF(AND(ISNUMBER(BA214),ISNUMBER(AV214)),IFERROR(BA214/AV214-1,""),"")</f>
        <v>0.166666666666667</v>
      </c>
      <c r="BB215" s="25" t="n">
        <f aca="false">IF(AND(ISNUMBER(BB214),ISNUMBER(AW214)),IFERROR(BB214/AW214-1,""),"")</f>
        <v>0.166666666666667</v>
      </c>
      <c r="BC215" s="25" t="n">
        <f aca="false">IF(AND(ISNUMBER(BC214),ISNUMBER(AX214)),IFERROR(BC214/AX214-1,""),"")</f>
        <v>0.19047619047619</v>
      </c>
      <c r="BD215" s="25" t="n">
        <f aca="false">IF(AND(ISNUMBER(BD214),ISNUMBER(AY214)),IFERROR(BD214/AY214-1,""),"")</f>
        <v>0.19047619047619</v>
      </c>
      <c r="BE215" s="25" t="n">
        <f aca="false">IF(AND(ISNUMBER(BE214),ISNUMBER(AZ214)),IFERROR(BE214/AZ214-1,""),"")</f>
        <v>0.19047619047619</v>
      </c>
      <c r="BF215" s="25" t="n">
        <f aca="false">IF(AND(ISNUMBER(BF214),ISNUMBER(BA214)),IFERROR(BF214/BA214-1,""),"")</f>
        <v>0.19047619047619</v>
      </c>
      <c r="BG215" s="25" t="n">
        <f aca="false">IF(AND(ISNUMBER(BG214),ISNUMBER(BB214)),IFERROR(BG214/BB214-1,""),"")</f>
        <v>0.19047619047619</v>
      </c>
      <c r="BH215" s="25" t="n">
        <f aca="false">IF(AND(ISNUMBER(BH214),ISNUMBER(BC214)),IFERROR(BH214/BC214-1,""),"")</f>
        <v>0.0800000000000001</v>
      </c>
      <c r="BI215" s="25" t="n">
        <f aca="false">IF(AND(ISNUMBER(BI214),ISNUMBER(BD214)),IFERROR(BI214/BD214-1,""),"")</f>
        <v>0.0800000000000001</v>
      </c>
      <c r="BJ215" s="25" t="n">
        <f aca="false">IF(AND(ISNUMBER(BJ214),ISNUMBER(BE214)),IFERROR(BJ214/BE214-1,""),"")</f>
        <v>0.0800000000000001</v>
      </c>
      <c r="BK215" s="25" t="n">
        <f aca="false">IF(AND(ISNUMBER(BK214),ISNUMBER(BF214)),IFERROR(BK214/BF214-1,""),"")</f>
        <v>-0.04</v>
      </c>
      <c r="BL215" s="25" t="n">
        <f aca="false">IF(AND(ISNUMBER(BL214),ISNUMBER(BG214)),IFERROR(BL214/BG214-1,""),"")</f>
        <v>0.05</v>
      </c>
      <c r="BM215" s="25" t="n">
        <f aca="false">IF(AND(ISNUMBER(BM214),ISNUMBER(BH214)),IFERROR(BM214/BH214-1,""),"")</f>
        <v>0</v>
      </c>
      <c r="BN215" s="25" t="n">
        <f aca="false">IF(AND(ISNUMBER(BN214),ISNUMBER(BI214)),IFERROR(BN214/BI214-1,""),"")</f>
        <v>0</v>
      </c>
      <c r="BO215" s="25" t="n">
        <f aca="false">IF(AND(ISNUMBER(BO214),ISNUMBER(BJ214)),IFERROR(BO214/BJ214-1,""),"")</f>
        <v>0</v>
      </c>
      <c r="BP215" s="25" t="n">
        <f aca="false">IF(AND(ISNUMBER(BP214),ISNUMBER(BK214)),IFERROR(BP214/BK214-1,""),"")</f>
        <v>0.125</v>
      </c>
      <c r="BQ215" s="25" t="n">
        <f aca="false">IF(AND(ISNUMBER(BQ214),ISNUMBER(BL214)),IFERROR(BQ214/BL214-1,""),"")</f>
        <v>0.0285714285714287</v>
      </c>
      <c r="BR215" s="25" t="n">
        <f aca="false">IF(AND(ISNUMBER(BR214),ISNUMBER(BM214)),IFERROR(BR214/BM214-1,""),"")</f>
        <v>0.185185185185185</v>
      </c>
      <c r="BS215" s="25" t="n">
        <f aca="false">IF(AND(ISNUMBER(BS214),ISNUMBER(BN214)),IFERROR(BS214/BN214-1,""),"")</f>
        <v>0.185185185185185</v>
      </c>
      <c r="BT215" s="25" t="n">
        <f aca="false">IF(AND(ISNUMBER(BT214),ISNUMBER(BO214)),IFERROR(BT214/BO214-1,""),"")</f>
        <v>0.185185185185185</v>
      </c>
      <c r="BU215" s="25" t="n">
        <f aca="false">IF(AND(ISNUMBER(BU214),ISNUMBER(BP214)),IFERROR(BU214/BP214-1,""),"")</f>
        <v>0.185185185185185</v>
      </c>
      <c r="BV215" s="25" t="n">
        <f aca="false">IF(AND(ISNUMBER(BV214),ISNUMBER(BQ214)),IFERROR(BV214/BQ214-1,""),"")</f>
        <v>0.185185185185185</v>
      </c>
      <c r="BW215" s="25" t="n">
        <f aca="false">IF(AND(ISNUMBER(BW214),ISNUMBER(BR214)),IFERROR(BW214/BR214-1,""),"")</f>
        <v>0.25</v>
      </c>
      <c r="BX215" s="25" t="n">
        <f aca="false">IF(AND(ISNUMBER(BX214),ISNUMBER(BS214)),IFERROR(BX214/BS214-1,""),"")</f>
        <v>0.25</v>
      </c>
      <c r="BY215" s="31"/>
      <c r="BZ215" s="31"/>
      <c r="CA215" s="26" t="n">
        <f aca="false">IF(AND(ISNUMBER(CA214),ISNUMBER(BV214)),IFERROR(CA214/BV214-1,""),"")</f>
        <v>0.25</v>
      </c>
      <c r="CB215" s="35" t="n">
        <v>0.1</v>
      </c>
      <c r="CC215" s="35" t="n">
        <v>0.1</v>
      </c>
      <c r="CD215" s="35" t="n">
        <v>0.1</v>
      </c>
      <c r="CE215" s="35" t="n">
        <v>0.1</v>
      </c>
      <c r="CF215" s="7"/>
    </row>
    <row r="216" customFormat="false" ht="15" hidden="false" customHeight="true" outlineLevel="0" collapsed="false">
      <c r="B216" s="27" t="s">
        <v>368</v>
      </c>
      <c r="C216" s="42" t="n">
        <f aca="false">IF(AND(ISNUMBER(C214),ISNUMBER(C266)),IFERROR(C214/C266,""),"")</f>
        <v>0.0249975982396826</v>
      </c>
      <c r="D216" s="42" t="n">
        <f aca="false">IF(AND(ISNUMBER(D214),ISNUMBER(D266)),IFERROR(D214/D266,""),"")</f>
        <v>0.029019371425692</v>
      </c>
      <c r="E216" s="42" t="n">
        <f aca="false">IF(AND(ISNUMBER(E214),ISNUMBER(E266)),IFERROR(E214/E266,""),"")</f>
        <v>0.0285128210512094</v>
      </c>
      <c r="F216" s="42" t="n">
        <f aca="false">IF(AND(ISNUMBER(F214),ISNUMBER(F266)),IFERROR(F214/F266,""),"")</f>
        <v>0.0370817067247</v>
      </c>
      <c r="G216" s="42" t="n">
        <f aca="false">IF(AND(ISNUMBER(G214),ISNUMBER(G266)),IFERROR(G214/G266,""),"")</f>
        <v>0.036366055598245</v>
      </c>
      <c r="H216" s="42" t="n">
        <f aca="false">IF(AND(ISNUMBER(H214),ISNUMBER(H266)),IFERROR(H214/H266,""),"")</f>
        <v>0.0319621793648269</v>
      </c>
      <c r="I216" s="42" t="str">
        <f aca="false">IF(AND(ISNUMBER(I214),ISNUMBER(I266)),IFERROR(I214/I266,""),"")</f>
        <v/>
      </c>
      <c r="J216" s="42" t="n">
        <f aca="false">IF(AND(ISNUMBER(J214),ISNUMBER(J266)),IFERROR(J214/J266,""),"")</f>
        <v>0.0336277741489572</v>
      </c>
      <c r="K216" s="42" t="n">
        <f aca="false">IF(AND(ISNUMBER(K214),ISNUMBER(K266)),IFERROR(K214/K266,""),"")</f>
        <v>0.0287694552529183</v>
      </c>
      <c r="L216" s="42" t="str">
        <f aca="false">IF(AND(ISNUMBER(L214),ISNUMBER(L266)),IFERROR(L214/L266,""),"")</f>
        <v/>
      </c>
      <c r="M216" s="42" t="n">
        <f aca="false">IF(AND(ISNUMBER(M214),ISNUMBER(M266)),IFERROR(M214/M266,""),"")</f>
        <v>0.0261159080930777</v>
      </c>
      <c r="N216" s="42" t="n">
        <f aca="false">IF(AND(ISNUMBER(N214),ISNUMBER(N266)),IFERROR(N214/N266,""),"")</f>
        <v>0.0293356768867049</v>
      </c>
      <c r="O216" s="42" t="n">
        <f aca="false">IF(AND(ISNUMBER(O214),ISNUMBER(O266)),IFERROR(O214/O266,""),"")</f>
        <v>0.123305157840262</v>
      </c>
      <c r="P216" s="42" t="str">
        <f aca="false">IF(AND(ISNUMBER(P214),ISNUMBER(P266)),IFERROR(P214/P266,""),"")</f>
        <v/>
      </c>
      <c r="Q216" s="42" t="str">
        <f aca="false">IF(AND(ISNUMBER(Q214),ISNUMBER(Q266)),IFERROR(Q214/Q266,""),"")</f>
        <v/>
      </c>
      <c r="R216" s="42" t="n">
        <f aca="false">IF(AND(ISNUMBER(R214),ISNUMBER(R266)),IFERROR(R214/R266,""),"")</f>
        <v>0.0892857142857143</v>
      </c>
      <c r="S216" s="42" t="n">
        <f aca="false">IF(AND(ISNUMBER(S214),ISNUMBER(S266)),IFERROR(S214/S266,""),"")</f>
        <v>0.100755667506297</v>
      </c>
      <c r="T216" s="42" t="n">
        <f aca="false">IF(AND(ISNUMBER(T214),ISNUMBER(T266)),IFERROR(T214/T266,""),"")</f>
        <v>0.148351648351648</v>
      </c>
      <c r="U216" s="42" t="n">
        <f aca="false">IF(AND(ISNUMBER(U214),ISNUMBER(U266)),IFERROR(U214/U266,""),"")</f>
        <v>0.126168224299065</v>
      </c>
      <c r="V216" s="42" t="n">
        <f aca="false">IF(AND(ISNUMBER(V214),ISNUMBER(V266)),IFERROR(V214/V266,""),"")</f>
        <v>0.190140845070423</v>
      </c>
      <c r="W216" s="42" t="n">
        <f aca="false">IF(AND(ISNUMBER(W214),ISNUMBER(W266)),IFERROR(W214/W266,""),"")</f>
        <v>0.148351648351648</v>
      </c>
      <c r="X216" s="42" t="n">
        <f aca="false">IF(AND(ISNUMBER(X214),ISNUMBER(X266)),IFERROR(X214/X266,""),"")</f>
        <v>0.181208053691275</v>
      </c>
      <c r="Y216" s="42" t="n">
        <f aca="false">IF(AND(ISNUMBER(Y214),ISNUMBER(Y266)),IFERROR(Y214/Y266,""),"")</f>
        <v>0.20253164556962</v>
      </c>
      <c r="Z216" s="42" t="n">
        <f aca="false">IF(AND(ISNUMBER(Z214),ISNUMBER(Z266)),IFERROR(Z214/Z266,""),"")</f>
        <v>0.177777777777778</v>
      </c>
      <c r="AA216" s="42" t="n">
        <f aca="false">IF(AND(ISNUMBER(AA214),ISNUMBER(AA266)),IFERROR(AA214/AA266,""),"")</f>
        <v>0.142842594101352</v>
      </c>
      <c r="AB216" s="42" t="n">
        <f aca="false">IF(AND(ISNUMBER(AB214),ISNUMBER(AB266)),IFERROR(AB214/AB266,""),"")</f>
        <v>0.11947038822855</v>
      </c>
      <c r="AC216" s="42" t="n">
        <f aca="false">IF(AND(ISNUMBER(AC214),ISNUMBER(AC266)),IFERROR(AC214/AC266,""),"")</f>
        <v>0.158091985893689</v>
      </c>
      <c r="AD216" s="42" t="n">
        <f aca="false">IF(AND(ISNUMBER(AD214),ISNUMBER(AD266)),IFERROR(AD214/AD266,""),"")</f>
        <v>0.166150658645979</v>
      </c>
      <c r="AE216" s="42" t="n">
        <f aca="false">IF(AND(ISNUMBER(AE214),ISNUMBER(AE266)),IFERROR(AE214/AE266,""),"")</f>
        <v>0.140993389774853</v>
      </c>
      <c r="AF216" s="42" t="n">
        <f aca="false">IF(AND(ISNUMBER(AF214),ISNUMBER(AF266)),IFERROR(AF214/AF266,""),"")</f>
        <v>0.140397953382604</v>
      </c>
      <c r="AG216" s="42" t="n">
        <f aca="false">IF(AND(ISNUMBER(AG214),ISNUMBER(AG266)),IFERROR(AG214/AG266,""),"")</f>
        <v>0.117498031103815</v>
      </c>
      <c r="AH216" s="42" t="n">
        <f aca="false">IF(AND(ISNUMBER(AH214),ISNUMBER(AH266)),IFERROR(AH214/AH266,""),"")</f>
        <v>0.139132074767973</v>
      </c>
      <c r="AI216" s="42" t="n">
        <f aca="false">IF(AND(ISNUMBER(AI214),ISNUMBER(AI266)),IFERROR(AI214/AI266,""),"")</f>
        <v>0.161341671404207</v>
      </c>
      <c r="AJ216" s="42" t="n">
        <f aca="false">IF(AND(ISNUMBER(AJ214),ISNUMBER(AJ266)),IFERROR(AJ214/AJ266,""),"")</f>
        <v>0.138810596658128</v>
      </c>
      <c r="AK216" s="42" t="n">
        <f aca="false">IF(AND(ISNUMBER(AK214),ISNUMBER(AK266)),IFERROR(AK214/AK266,""),"")</f>
        <v>0.145487675979741</v>
      </c>
      <c r="AL216" s="42" t="n">
        <f aca="false">IF(AND(ISNUMBER(AL214),ISNUMBER(AL266)),IFERROR(AL214/AL266,""),"")</f>
        <v>0.140350877192982</v>
      </c>
      <c r="AM216" s="42" t="n">
        <f aca="false">IF(AND(ISNUMBER(AM214),ISNUMBER(AM266)),IFERROR(AM214/AM266,""),"")</f>
        <v>0.158024691358025</v>
      </c>
      <c r="AN216" s="42" t="n">
        <f aca="false">IF(AND(ISNUMBER(AN214),ISNUMBER(AN266)),IFERROR(AN214/AN266,""),"")</f>
        <v>0.171717171717172</v>
      </c>
      <c r="AO216" s="42" t="n">
        <f aca="false">IF(AND(ISNUMBER(AO214),ISNUMBER(AO266)),IFERROR(AO214/AO266,""),"")</f>
        <v>0.155963302752294</v>
      </c>
      <c r="AP216" s="42" t="n">
        <f aca="false">IF(AND(ISNUMBER(AP214),ISNUMBER(AP266)),IFERROR(AP214/AP266,""),"")</f>
        <v>0.160377358490566</v>
      </c>
      <c r="AQ216" s="42" t="n">
        <f aca="false">IF(AND(ISNUMBER(AQ214),ISNUMBER(AQ266)),IFERROR(AQ214/AQ266,""),"")</f>
        <v>0.132887830319964</v>
      </c>
      <c r="AR216" s="42" t="n">
        <f aca="false">IF(AND(ISNUMBER(AR214),ISNUMBER(AR266)),IFERROR(AR214/AR266,""),"")</f>
        <v>0.154052488512576</v>
      </c>
      <c r="AS216" s="42" t="n">
        <f aca="false">IF(AND(ISNUMBER(AS214),ISNUMBER(AS266)),IFERROR(AS214/AS266,""),"")</f>
        <v>0.171228615236178</v>
      </c>
      <c r="AT216" s="42" t="n">
        <f aca="false">IF(AND(ISNUMBER(AT214),ISNUMBER(AT266)),IFERROR(AT214/AT266,""),"")</f>
        <v>0.124667780173661</v>
      </c>
      <c r="AU216" s="42" t="n">
        <f aca="false">IF(AND(ISNUMBER(AU214),ISNUMBER(AU266)),IFERROR(AU214/AU266,""),"")</f>
        <v>0.103747925025584</v>
      </c>
      <c r="AV216" s="42" t="n">
        <f aca="false">IF(AND(ISNUMBER(AV214),ISNUMBER(AV266)),IFERROR(AV214/AV266,""),"")</f>
        <v>0.0862360265697688</v>
      </c>
      <c r="AW216" s="42" t="n">
        <f aca="false">IF(AND(ISNUMBER(AW214),ISNUMBER(AW266)),IFERROR(AW214/AW266,""),"")</f>
        <v>0.113731401149657</v>
      </c>
      <c r="AX216" s="42" t="n">
        <f aca="false">IF(AND(ISNUMBER(AX214),ISNUMBER(AX266)),IFERROR(AX214/AX266,""),"")</f>
        <v>0.0829673270902665</v>
      </c>
      <c r="AY216" s="42" t="n">
        <f aca="false">IF(AND(ISNUMBER(AY214),ISNUMBER(AY266)),IFERROR(AY214/AY266,""),"")</f>
        <v>0.0852754237288136</v>
      </c>
      <c r="AZ216" s="42" t="n">
        <f aca="false">IF(AND(ISNUMBER(AZ214),ISNUMBER(AZ266)),IFERROR(AZ214/AZ266,""),"")</f>
        <v>0.0872669280806649</v>
      </c>
      <c r="BA216" s="42" t="n">
        <f aca="false">IF(AND(ISNUMBER(BA214),ISNUMBER(BA266)),IFERROR(BA214/BA266,""),"")</f>
        <v>0.0780144413050303</v>
      </c>
      <c r="BB216" s="42" t="n">
        <f aca="false">IF(AND(ISNUMBER(BB214),ISNUMBER(BB266)),IFERROR(BB214/BB266,""),"")</f>
        <v>0.0833856083191598</v>
      </c>
      <c r="BC216" s="42" t="n">
        <f aca="false">IF(AND(ISNUMBER(BC214),ISNUMBER(BC266)),IFERROR(BC214/BC266,""),"")</f>
        <v>0.0905009016966619</v>
      </c>
      <c r="BD216" s="42" t="n">
        <f aca="false">IF(AND(ISNUMBER(BD214),ISNUMBER(BD266)),IFERROR(BD214/BD266,""),"")</f>
        <v>0.0901960784313726</v>
      </c>
      <c r="BE216" s="42" t="n">
        <f aca="false">IF(AND(ISNUMBER(BE214),ISNUMBER(BE266)),IFERROR(BE214/BE266,""),"")</f>
        <v>0.0974365750528541</v>
      </c>
      <c r="BF216" s="42" t="n">
        <f aca="false">IF(AND(ISNUMBER(BF214),ISNUMBER(BF266)),IFERROR(BF214/BF266,""),"")</f>
        <v>0.0984251968503937</v>
      </c>
      <c r="BG216" s="42" t="n">
        <f aca="false">IF(AND(ISNUMBER(BG214),ISNUMBER(BG266)),IFERROR(BG214/BG266,""),"")</f>
        <v>0.102986611740474</v>
      </c>
      <c r="BH216" s="42" t="n">
        <f aca="false">IF(AND(ISNUMBER(BH214),ISNUMBER(BH266)),IFERROR(BH214/BH266,""),"")</f>
        <v>0.131707317073171</v>
      </c>
      <c r="BI216" s="42" t="n">
        <f aca="false">IF(AND(ISNUMBER(BI214),ISNUMBER(BI266)),IFERROR(BI214/BI266,""),"")</f>
        <v>0.15606936416185</v>
      </c>
      <c r="BJ216" s="42" t="n">
        <f aca="false">IF(AND(ISNUMBER(BJ214),ISNUMBER(BJ266)),IFERROR(BJ214/BJ266,""),"")</f>
        <v>0.156976744186047</v>
      </c>
      <c r="BK216" s="42" t="n">
        <f aca="false">IF(AND(ISNUMBER(BK214),ISNUMBER(BK266)),IFERROR(BK214/BK266,""),"")</f>
        <v>0.115198888309884</v>
      </c>
      <c r="BL216" s="42" t="n">
        <f aca="false">IF(AND(ISNUMBER(BL214),ISNUMBER(BL266)),IFERROR(BL214/BL266,""),"")</f>
        <v>0.1384311017608</v>
      </c>
      <c r="BM216" s="42" t="n">
        <f aca="false">IF(AND(ISNUMBER(BM214),ISNUMBER(BM266)),IFERROR(BM214/BM266,""),"")</f>
        <v>0.140259642928519</v>
      </c>
      <c r="BN216" s="42" t="n">
        <f aca="false">IF(AND(ISNUMBER(BN214),ISNUMBER(BN266)),IFERROR(BN214/BN266,""),"")</f>
        <v>0.157143125928992</v>
      </c>
      <c r="BO216" s="42" t="n">
        <f aca="false">IF(AND(ISNUMBER(BO214),ISNUMBER(BO266)),IFERROR(BO214/BO266,""),"")</f>
        <v>0.158056179775281</v>
      </c>
      <c r="BP216" s="42" t="n">
        <f aca="false">IF(AND(ISNUMBER(BP214),ISNUMBER(BP266)),IFERROR(BP214/BP266,""),"")</f>
        <v>0.126625697647609</v>
      </c>
      <c r="BQ216" s="42" t="n">
        <f aca="false">IF(AND(ISNUMBER(BQ214),ISNUMBER(BQ266)),IFERROR(BQ214/BQ266,""),"")</f>
        <v>0.144345447451742</v>
      </c>
      <c r="BR216" s="42" t="n">
        <f aca="false">IF(AND(ISNUMBER(BR214),ISNUMBER(BR266)),IFERROR(BR214/BR266,""),"")</f>
        <v>0.169750778632786</v>
      </c>
      <c r="BS216" s="42" t="n">
        <f aca="false">IF(AND(ISNUMBER(BS214),ISNUMBER(BS266)),IFERROR(BS214/BS266,""),"")</f>
        <v>0.177177685861327</v>
      </c>
      <c r="BT216" s="42" t="n">
        <f aca="false">IF(AND(ISNUMBER(BT214),ISNUMBER(BT266)),IFERROR(BT214/BT266,""),"")</f>
        <v>0.169298739807265</v>
      </c>
      <c r="BU216" s="42" t="n">
        <f aca="false">IF(AND(ISNUMBER(BU214),ISNUMBER(BU266)),IFERROR(BU214/BU266,""),"")</f>
        <v>0.143034067405559</v>
      </c>
      <c r="BV216" s="42" t="n">
        <f aca="false">IF(AND(ISNUMBER(BV214),ISNUMBER(BV266)),IFERROR(BV214/BV266,""),"")</f>
        <v>0.164187868259642</v>
      </c>
      <c r="BW216" s="42" t="n">
        <f aca="false">IF(AND(ISNUMBER(BW214),ISNUMBER(BW266)),IFERROR(BW214/BW266,""),"")</f>
        <v>0.19444976076555</v>
      </c>
      <c r="BX216" s="42" t="n">
        <f aca="false">IF(AND(ISNUMBER(BX214),ISNUMBER(BX266)),IFERROR(BX214/BX266,""),"")</f>
        <v>0.205813145165747</v>
      </c>
      <c r="BY216" s="26" t="n">
        <f aca="false">IF(AND(ISNUMBER(BY214),ISNUMBER(BY266)),IFERROR(BY214/BY266,""),"")</f>
        <v>0.207802191155278</v>
      </c>
      <c r="BZ216" s="26" t="n">
        <f aca="false">IF(AND(ISNUMBER(BZ214),ISNUMBER(BZ266)),IFERROR(BZ214/BZ266,""),"")</f>
        <v>0.153796883205538</v>
      </c>
      <c r="CA216" s="26" t="n">
        <f aca="false">IF(AND(ISNUMBER(CA214),ISNUMBER(CA266)),IFERROR(CA214/CA266,""),"")</f>
        <v>0.187683284457478</v>
      </c>
      <c r="CB216" s="26" t="n">
        <f aca="false">IF(AND(ISNUMBER(CB214),ISNUMBER(CB266)),IFERROR(CB214/CB266,""),"")</f>
        <v>0.1876207093484</v>
      </c>
      <c r="CC216" s="26" t="n">
        <f aca="false">IF(AND(ISNUMBER(CC214),ISNUMBER(CC266)),IFERROR(CC214/CC266,""),"")</f>
        <v>0.184690953848621</v>
      </c>
      <c r="CD216" s="26" t="n">
        <f aca="false">IF(AND(ISNUMBER(CD214),ISNUMBER(CD266)),IFERROR(CD214/CD266,""),"")</f>
        <v>0.182013689531616</v>
      </c>
      <c r="CE216" s="26" t="n">
        <f aca="false">IF(AND(ISNUMBER(CE214),ISNUMBER(CE266)),IFERROR(CE214/CE266,""),"")</f>
        <v>0.178847876255549</v>
      </c>
      <c r="CF216" s="7"/>
      <c r="CH216" s="32" t="n">
        <f aca="false">IFERROR(AVERAGE(CA216,CB216,CC216,CD216,CE216),"n/m")</f>
        <v>0.184171302688333</v>
      </c>
      <c r="CI216" s="32" t="n">
        <f aca="false">IFERROR(AVERAGE(BB216,BG216,BL216,BQ216,BV216),"n/m")</f>
        <v>0.126667327506364</v>
      </c>
      <c r="CJ216" s="32" t="n">
        <f aca="false">IFERROR(AVERAGE(AC216,AH216,AM216,AR216,AW216,BB216,BG216,BL216,BQ216,BV216),"n/m")</f>
        <v>0.135636927921374</v>
      </c>
      <c r="CK216" s="32" t="n">
        <f aca="false">IFERROR(AVERAGE(C216,D216,E216,F216,G216,H216,I216,N216,S216,X216,AC216,AH216,AM216,AR216,AW216,BB216,BG216,BL216,BQ216,BV216),"n/m")</f>
        <v>0.0976636005106511</v>
      </c>
    </row>
    <row r="217" customFormat="false" ht="15" hidden="false" customHeight="true" outlineLevel="0" collapsed="false"/>
    <row r="218" customFormat="false" ht="15" hidden="false" customHeight="true" outlineLevel="0" collapsed="false">
      <c r="B218" s="12" t="s">
        <v>369</v>
      </c>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t="s">
        <v>370</v>
      </c>
    </row>
    <row r="219" customFormat="false" ht="15" hidden="false" customHeight="true" outlineLevel="0" collapsed="false">
      <c r="B219" s="18" t="s">
        <v>371</v>
      </c>
      <c r="C219" s="44" t="n">
        <f aca="false">C195</f>
        <v>1109.3</v>
      </c>
      <c r="D219" s="44" t="n">
        <f aca="false">D195</f>
        <v>1214</v>
      </c>
      <c r="E219" s="44" t="n">
        <f aca="false">E195</f>
        <v>1317.6</v>
      </c>
      <c r="F219" s="44" t="n">
        <f aca="false">F195</f>
        <v>1151.6</v>
      </c>
      <c r="G219" s="44" t="n">
        <f aca="false">G195</f>
        <v>1718.1</v>
      </c>
      <c r="H219" s="44" t="n">
        <f aca="false">H195</f>
        <v>1935.2</v>
      </c>
      <c r="I219" s="44" t="n">
        <f aca="false">I195</f>
        <v>2299.3</v>
      </c>
      <c r="J219" s="44" t="n">
        <f aca="false">J195</f>
        <v>691.9</v>
      </c>
      <c r="K219" s="44" t="n">
        <f aca="false">K195</f>
        <v>616.8</v>
      </c>
      <c r="L219" s="44" t="n">
        <f aca="false">L195</f>
        <v>597</v>
      </c>
      <c r="M219" s="44" t="n">
        <f aca="false">M195</f>
        <v>789.3</v>
      </c>
      <c r="N219" s="44" t="n">
        <f aca="false">N195</f>
        <v>2695</v>
      </c>
      <c r="O219" s="44" t="n">
        <f aca="false">O195</f>
        <v>579.7</v>
      </c>
      <c r="P219" s="44" t="n">
        <f aca="false">P195</f>
        <v>676.4</v>
      </c>
      <c r="Q219" s="44" t="n">
        <f aca="false">Q195</f>
        <v>681.3</v>
      </c>
      <c r="R219" s="44" t="n">
        <f aca="false">R195</f>
        <v>649.6</v>
      </c>
      <c r="S219" s="44" t="n">
        <f aca="false">S195</f>
        <v>2543.1</v>
      </c>
      <c r="T219" s="44" t="n">
        <f aca="false">T195</f>
        <v>558</v>
      </c>
      <c r="U219" s="44" t="n">
        <f aca="false">U195</f>
        <v>715.5</v>
      </c>
      <c r="V219" s="44" t="n">
        <f aca="false">V195</f>
        <v>379.9</v>
      </c>
      <c r="W219" s="44" t="n">
        <f aca="false">W195</f>
        <v>521</v>
      </c>
      <c r="X219" s="44" t="n">
        <f aca="false">X195</f>
        <v>1746.7</v>
      </c>
      <c r="Y219" s="44" t="n">
        <f aca="false">Y195</f>
        <v>585.8</v>
      </c>
      <c r="Z219" s="44" t="n">
        <f aca="false">Z195</f>
        <v>418</v>
      </c>
      <c r="AA219" s="44" t="n">
        <f aca="false">AA195</f>
        <v>402.600000000001</v>
      </c>
      <c r="AB219" s="44" t="n">
        <f aca="false">AB195</f>
        <v>747</v>
      </c>
      <c r="AC219" s="44" t="n">
        <f aca="false">AC195</f>
        <v>2153.4</v>
      </c>
      <c r="AD219" s="44" t="n">
        <f aca="false">AD195</f>
        <v>483.8</v>
      </c>
      <c r="AE219" s="44" t="n">
        <f aca="false">AE195</f>
        <v>557.3</v>
      </c>
      <c r="AF219" s="44" t="n">
        <f aca="false">AF195</f>
        <v>572.1</v>
      </c>
      <c r="AG219" s="44" t="n">
        <f aca="false">AG195</f>
        <v>856.6</v>
      </c>
      <c r="AH219" s="44" t="n">
        <f aca="false">AH195</f>
        <v>2469.8</v>
      </c>
      <c r="AI219" s="44" t="n">
        <f aca="false">AI195</f>
        <v>566.599999999999</v>
      </c>
      <c r="AJ219" s="44" t="n">
        <f aca="false">AJ195</f>
        <v>673.8</v>
      </c>
      <c r="AK219" s="44" t="n">
        <f aca="false">AK195</f>
        <v>663.700000000001</v>
      </c>
      <c r="AL219" s="44" t="n">
        <f aca="false">AL195</f>
        <v>683.8</v>
      </c>
      <c r="AM219" s="44" t="n">
        <f aca="false">AM195</f>
        <v>2406.3</v>
      </c>
      <c r="AN219" s="44" t="n">
        <f aca="false">AN195</f>
        <v>332.3</v>
      </c>
      <c r="AO219" s="44" t="n">
        <f aca="false">AO195</f>
        <v>676.4</v>
      </c>
      <c r="AP219" s="44" t="n">
        <f aca="false">AP195</f>
        <v>630.7</v>
      </c>
      <c r="AQ219" s="44" t="n">
        <f aca="false">AQ195</f>
        <v>792.9</v>
      </c>
      <c r="AR219" s="44" t="n">
        <f aca="false">AR195</f>
        <v>2432.3</v>
      </c>
      <c r="AS219" s="44" t="n">
        <f aca="false">AS195</f>
        <v>595.1</v>
      </c>
      <c r="AT219" s="44" t="n">
        <f aca="false">AT195</f>
        <v>927.299999999999</v>
      </c>
      <c r="AU219" s="44" t="n">
        <f aca="false">AU195</f>
        <v>883.5</v>
      </c>
      <c r="AV219" s="44" t="n">
        <f aca="false">AV195</f>
        <v>1241</v>
      </c>
      <c r="AW219" s="44" t="n">
        <f aca="false">AW195</f>
        <v>3646</v>
      </c>
      <c r="AX219" s="44" t="n">
        <f aca="false">AX195</f>
        <v>1702</v>
      </c>
      <c r="AY219" s="44" t="n">
        <f aca="false">AY195</f>
        <v>1699</v>
      </c>
      <c r="AZ219" s="44" t="n">
        <f aca="false">AZ195</f>
        <v>1158</v>
      </c>
      <c r="BA219" s="44" t="n">
        <f aca="false">BA195</f>
        <v>1788</v>
      </c>
      <c r="BB219" s="44" t="n">
        <f aca="false">BB195</f>
        <v>6347</v>
      </c>
      <c r="BC219" s="44" t="n">
        <f aca="false">BC195</f>
        <v>1725</v>
      </c>
      <c r="BD219" s="44" t="n">
        <f aca="false">BD195</f>
        <v>1680</v>
      </c>
      <c r="BE219" s="44" t="n">
        <f aca="false">BE195</f>
        <v>1572</v>
      </c>
      <c r="BF219" s="44" t="n">
        <f aca="false">BF195</f>
        <v>2012</v>
      </c>
      <c r="BG219" s="44" t="n">
        <f aca="false">BG195</f>
        <v>6328</v>
      </c>
      <c r="BH219" s="44" t="n">
        <f aca="false">BH195</f>
        <v>1240</v>
      </c>
      <c r="BI219" s="44" t="n">
        <f aca="false">BI195</f>
        <v>920</v>
      </c>
      <c r="BJ219" s="44" t="n">
        <f aca="false">BJ195</f>
        <v>940</v>
      </c>
      <c r="BK219" s="44" t="n">
        <f aca="false">BK195</f>
        <v>1121</v>
      </c>
      <c r="BL219" s="44" t="n">
        <f aca="false">BL195</f>
        <v>4221</v>
      </c>
      <c r="BM219" s="44" t="n">
        <f aca="false">BM195</f>
        <v>1088</v>
      </c>
      <c r="BN219" s="44" t="n">
        <f aca="false">BN195</f>
        <v>907</v>
      </c>
      <c r="BO219" s="44" t="n">
        <f aca="false">BO195</f>
        <v>818</v>
      </c>
      <c r="BP219" s="44" t="n">
        <f aca="false">BP195</f>
        <v>1086</v>
      </c>
      <c r="BQ219" s="44" t="n">
        <f aca="false">BQ195</f>
        <v>3899</v>
      </c>
      <c r="BR219" s="44" t="n">
        <f aca="false">BR195</f>
        <v>954</v>
      </c>
      <c r="BS219" s="44" t="n">
        <f aca="false">BS195</f>
        <v>555</v>
      </c>
      <c r="BT219" s="44" t="n">
        <f aca="false">BT195</f>
        <v>908</v>
      </c>
      <c r="BU219" s="44" t="n">
        <f aca="false">BU195</f>
        <v>1183</v>
      </c>
      <c r="BV219" s="44" t="n">
        <f aca="false">BV195</f>
        <v>3600</v>
      </c>
      <c r="BW219" s="44" t="n">
        <f aca="false">BW195</f>
        <v>1029</v>
      </c>
      <c r="BX219" s="44" t="n">
        <f aca="false">BX195</f>
        <v>870</v>
      </c>
      <c r="BY219" s="21" t="n">
        <f aca="false">BY195</f>
        <v>926.376844676305</v>
      </c>
      <c r="BZ219" s="21" t="n">
        <f aca="false">BZ195</f>
        <v>1423.48040022673</v>
      </c>
      <c r="CA219" s="21" t="n">
        <f aca="false">CA195</f>
        <v>4248.85724490303</v>
      </c>
      <c r="CB219" s="21" t="n">
        <f aca="false">CB195</f>
        <v>5014.12081287666</v>
      </c>
      <c r="CC219" s="21" t="n">
        <f aca="false">CC195</f>
        <v>5630.2452684791</v>
      </c>
      <c r="CD219" s="21" t="n">
        <f aca="false">CD195</f>
        <v>6200.81275876205</v>
      </c>
      <c r="CE219" s="21" t="n">
        <f aca="false">CE195</f>
        <v>6997.07904160914</v>
      </c>
      <c r="CF219" s="7"/>
    </row>
    <row r="220" customFormat="false" ht="15" hidden="false" customHeight="true" outlineLevel="0" collapsed="false">
      <c r="B220" s="27" t="s">
        <v>372</v>
      </c>
      <c r="C220" s="51" t="n">
        <f aca="false">C193</f>
        <v>319.6</v>
      </c>
      <c r="D220" s="51" t="n">
        <f aca="false">D193</f>
        <v>423.1</v>
      </c>
      <c r="E220" s="51" t="n">
        <f aca="false">E193</f>
        <v>431.7</v>
      </c>
      <c r="F220" s="51" t="n">
        <f aca="false">F193</f>
        <v>273.1</v>
      </c>
      <c r="G220" s="51" t="n">
        <f aca="false">G193</f>
        <v>511.4</v>
      </c>
      <c r="H220" s="51" t="n">
        <f aca="false">H193</f>
        <v>512.6</v>
      </c>
      <c r="I220" s="51" t="n">
        <f aca="false">I193</f>
        <v>711.5</v>
      </c>
      <c r="J220" s="51" t="n">
        <f aca="false">J193</f>
        <v>230.5</v>
      </c>
      <c r="K220" s="51" t="n">
        <f aca="false">K193</f>
        <v>189</v>
      </c>
      <c r="L220" s="51" t="n">
        <f aca="false">L193</f>
        <v>181.8</v>
      </c>
      <c r="M220" s="51" t="n">
        <f aca="false">M193</f>
        <v>269.7</v>
      </c>
      <c r="N220" s="51" t="n">
        <f aca="false">N193</f>
        <v>871</v>
      </c>
      <c r="O220" s="51" t="n">
        <f aca="false">O193</f>
        <v>181.6</v>
      </c>
      <c r="P220" s="51" t="n">
        <f aca="false">P193</f>
        <v>202.6</v>
      </c>
      <c r="Q220" s="51" t="n">
        <f aca="false">Q193</f>
        <v>197.1</v>
      </c>
      <c r="R220" s="51" t="n">
        <f aca="false">R193</f>
        <v>295.2</v>
      </c>
      <c r="S220" s="51" t="n">
        <f aca="false">S193</f>
        <v>857.6</v>
      </c>
      <c r="T220" s="51" t="n">
        <f aca="false">T193</f>
        <v>170.1</v>
      </c>
      <c r="U220" s="51" t="n">
        <f aca="false">U193</f>
        <v>192.2</v>
      </c>
      <c r="V220" s="51" t="n">
        <f aca="false">V193</f>
        <v>74</v>
      </c>
      <c r="W220" s="51" t="n">
        <f aca="false">W193</f>
        <v>79.9</v>
      </c>
      <c r="X220" s="51" t="n">
        <f aca="false">X193</f>
        <v>292.7</v>
      </c>
      <c r="Y220" s="51" t="n">
        <f aca="false">Y193</f>
        <v>197.8</v>
      </c>
      <c r="Z220" s="51" t="n">
        <f aca="false">Z193</f>
        <v>236.6</v>
      </c>
      <c r="AA220" s="51" t="n">
        <f aca="false">AA193</f>
        <v>74.1</v>
      </c>
      <c r="AB220" s="51" t="n">
        <f aca="false">AB193</f>
        <v>-50.6</v>
      </c>
      <c r="AC220" s="51" t="n">
        <f aca="false">AC193</f>
        <v>457.9</v>
      </c>
      <c r="AD220" s="51" t="n">
        <f aca="false">AD193</f>
        <v>101.4</v>
      </c>
      <c r="AE220" s="51" t="n">
        <f aca="false">AE193</f>
        <v>87.5</v>
      </c>
      <c r="AF220" s="51" t="n">
        <f aca="false">AF193</f>
        <v>157.7</v>
      </c>
      <c r="AG220" s="51" t="n">
        <f aca="false">AG193</f>
        <v>122.4</v>
      </c>
      <c r="AH220" s="51" t="n">
        <f aca="false">AH193</f>
        <v>469</v>
      </c>
      <c r="AI220" s="51" t="n">
        <f aca="false">AI193</f>
        <v>146.5</v>
      </c>
      <c r="AJ220" s="51" t="n">
        <f aca="false">AJ193</f>
        <v>161.3</v>
      </c>
      <c r="AK220" s="51" t="n">
        <f aca="false">AK193</f>
        <v>137.6</v>
      </c>
      <c r="AL220" s="51" t="n">
        <f aca="false">AL193</f>
        <v>163.7</v>
      </c>
      <c r="AM220" s="51" t="n">
        <f aca="false">AM193</f>
        <v>555.6</v>
      </c>
      <c r="AN220" s="51" t="n">
        <f aca="false">AN193</f>
        <v>387.7</v>
      </c>
      <c r="AO220" s="51" t="n">
        <f aca="false">AO193</f>
        <v>146.8</v>
      </c>
      <c r="AP220" s="51" t="n">
        <f aca="false">AP193</f>
        <v>155.9</v>
      </c>
      <c r="AQ220" s="51" t="n">
        <f aca="false">AQ193</f>
        <v>182.6</v>
      </c>
      <c r="AR220" s="51" t="n">
        <f aca="false">AR193</f>
        <v>873</v>
      </c>
      <c r="AS220" s="51" t="n">
        <f aca="false">AS193</f>
        <v>116</v>
      </c>
      <c r="AT220" s="51" t="n">
        <f aca="false">AT193</f>
        <v>293.6</v>
      </c>
      <c r="AU220" s="51" t="n">
        <f aca="false">AU193</f>
        <v>138</v>
      </c>
      <c r="AV220" s="51" t="n">
        <f aca="false">AV193</f>
        <v>301</v>
      </c>
      <c r="AW220" s="51" t="n">
        <f aca="false">AW193</f>
        <v>849</v>
      </c>
      <c r="AX220" s="51" t="n">
        <f aca="false">AX193</f>
        <v>381</v>
      </c>
      <c r="AY220" s="51" t="n">
        <f aca="false">AY193</f>
        <v>344</v>
      </c>
      <c r="AZ220" s="51" t="n">
        <f aca="false">AZ193</f>
        <v>229</v>
      </c>
      <c r="BA220" s="51" t="n">
        <f aca="false">BA193</f>
        <v>297</v>
      </c>
      <c r="BB220" s="51" t="n">
        <f aca="false">BB193</f>
        <v>1251</v>
      </c>
      <c r="BC220" s="51" t="n">
        <f aca="false">BC193</f>
        <v>374</v>
      </c>
      <c r="BD220" s="51" t="n">
        <f aca="false">BD193</f>
        <v>389</v>
      </c>
      <c r="BE220" s="51" t="n">
        <f aca="false">BE193</f>
        <v>359</v>
      </c>
      <c r="BF220" s="51" t="n">
        <f aca="false">BF193</f>
        <v>-117</v>
      </c>
      <c r="BG220" s="51" t="n">
        <f aca="false">BG193</f>
        <v>818</v>
      </c>
      <c r="BH220" s="51" t="n">
        <f aca="false">BH193</f>
        <v>283</v>
      </c>
      <c r="BI220" s="51" t="n">
        <f aca="false">BI193</f>
        <v>222</v>
      </c>
      <c r="BJ220" s="51" t="n">
        <f aca="false">BJ193</f>
        <v>207</v>
      </c>
      <c r="BK220" s="51" t="n">
        <f aca="false">BK193</f>
        <v>111</v>
      </c>
      <c r="BL220" s="51" t="n">
        <f aca="false">BL193</f>
        <v>823</v>
      </c>
      <c r="BM220" s="51" t="n">
        <f aca="false">BM193</f>
        <v>183</v>
      </c>
      <c r="BN220" s="51" t="n">
        <f aca="false">BN193</f>
        <v>176</v>
      </c>
      <c r="BO220" s="51" t="n">
        <f aca="false">BO193</f>
        <v>159</v>
      </c>
      <c r="BP220" s="51" t="n">
        <f aca="false">BP193</f>
        <v>229</v>
      </c>
      <c r="BQ220" s="51" t="n">
        <f aca="false">BQ193</f>
        <v>747</v>
      </c>
      <c r="BR220" s="51" t="n">
        <f aca="false">BR193</f>
        <v>175</v>
      </c>
      <c r="BS220" s="51" t="n">
        <f aca="false">BS193</f>
        <v>100</v>
      </c>
      <c r="BT220" s="51" t="n">
        <f aca="false">BT193</f>
        <v>168</v>
      </c>
      <c r="BU220" s="51" t="n">
        <f aca="false">BU193</f>
        <v>190</v>
      </c>
      <c r="BV220" s="51" t="n">
        <f aca="false">BV193</f>
        <v>633</v>
      </c>
      <c r="BW220" s="51" t="n">
        <f aca="false">BW193</f>
        <v>206</v>
      </c>
      <c r="BX220" s="51" t="n">
        <f aca="false">BX193</f>
        <v>208</v>
      </c>
      <c r="BY220" s="41" t="n">
        <f aca="false">BY193</f>
        <v>183.354293487918</v>
      </c>
      <c r="BZ220" s="41" t="n">
        <f aca="false">BZ193</f>
        <v>285.495985588607</v>
      </c>
      <c r="CA220" s="41" t="n">
        <f aca="false">CA193</f>
        <v>882.850279076525</v>
      </c>
      <c r="CB220" s="41" t="n">
        <f aca="false">CB193</f>
        <v>1003.98217452494</v>
      </c>
      <c r="CC220" s="41" t="n">
        <f aca="false">CC193</f>
        <v>1129.69441241941</v>
      </c>
      <c r="CD220" s="41" t="n">
        <f aca="false">CD193</f>
        <v>1245.83474175448</v>
      </c>
      <c r="CE220" s="41" t="n">
        <f aca="false">CE193</f>
        <v>1410.53185189585</v>
      </c>
      <c r="CF220" s="37"/>
    </row>
    <row r="221" customFormat="false" ht="15" hidden="false" customHeight="true" outlineLevel="0" collapsed="false">
      <c r="B221" s="27" t="s">
        <v>373</v>
      </c>
      <c r="C221" s="51" t="n">
        <f aca="false">IF(ISNUMBER(C190),C190-N(C191),"")</f>
        <v>71.4</v>
      </c>
      <c r="D221" s="51" t="n">
        <f aca="false">IF(ISNUMBER(D190),D190-N(D191),"")</f>
        <v>103.6</v>
      </c>
      <c r="E221" s="51" t="n">
        <f aca="false">IF(ISNUMBER(E190),E190-N(E191),"")</f>
        <v>120.2</v>
      </c>
      <c r="F221" s="51" t="n">
        <f aca="false">IF(ISNUMBER(F190),F190-N(F191),"")</f>
        <v>117.7</v>
      </c>
      <c r="G221" s="51" t="n">
        <f aca="false">IF(ISNUMBER(G190),G190-N(G191),"")</f>
        <v>111.1</v>
      </c>
      <c r="H221" s="51" t="n">
        <f aca="false">IF(ISNUMBER(H190),H190-N(H191),"")</f>
        <v>136.5</v>
      </c>
      <c r="I221" s="51" t="n">
        <f aca="false">IF(ISNUMBER(I190),I190-N(I191),"")</f>
        <v>154.3</v>
      </c>
      <c r="J221" s="51" t="n">
        <f aca="false">IF(ISNUMBER(J190),J190-N(J191),"")</f>
        <v>38.3</v>
      </c>
      <c r="K221" s="51" t="n">
        <f aca="false">IF(ISNUMBER(K190),K190-N(K191),"")</f>
        <v>37.8</v>
      </c>
      <c r="L221" s="51" t="n">
        <f aca="false">IF(ISNUMBER(L190),L190-N(L191),"")</f>
        <v>33.6</v>
      </c>
      <c r="M221" s="51" t="n">
        <f aca="false">IF(ISNUMBER(M190),M190-N(M191),"")</f>
        <v>30.5</v>
      </c>
      <c r="N221" s="51" t="n">
        <f aca="false">IF(ISNUMBER(N190),N190-N(N191),"")</f>
        <v>140.2</v>
      </c>
      <c r="O221" s="51" t="n">
        <f aca="false">IF(ISNUMBER(O190),O190-N(O191),"")</f>
        <v>27.6</v>
      </c>
      <c r="P221" s="51" t="n">
        <f aca="false">IF(ISNUMBER(P190),P190-N(P191),"")</f>
        <v>29.5</v>
      </c>
      <c r="Q221" s="51" t="n">
        <f aca="false">IF(ISNUMBER(Q190),Q190-N(Q191),"")</f>
        <v>26</v>
      </c>
      <c r="R221" s="51" t="n">
        <f aca="false">IF(ISNUMBER(R190),R190-N(R191),"")</f>
        <v>21.2</v>
      </c>
      <c r="S221" s="51" t="n">
        <f aca="false">IF(ISNUMBER(S190),S190-N(S191),"")</f>
        <v>102.4</v>
      </c>
      <c r="T221" s="51" t="n">
        <f aca="false">IF(ISNUMBER(T190),T190-N(T191),"")</f>
        <v>27</v>
      </c>
      <c r="U221" s="51" t="n">
        <f aca="false">IF(ISNUMBER(U190),U190-N(U191),"")</f>
        <v>26.7</v>
      </c>
      <c r="V221" s="51" t="n">
        <f aca="false">IF(ISNUMBER(V190),V190-N(V191),"")</f>
        <v>38.5</v>
      </c>
      <c r="W221" s="51" t="n">
        <f aca="false">IF(ISNUMBER(W190),W190-N(W191),"")</f>
        <v>50.7</v>
      </c>
      <c r="X221" s="51" t="n">
        <f aca="false">IF(ISNUMBER(X190),X190-N(X191),"")</f>
        <v>135.2</v>
      </c>
      <c r="Y221" s="51" t="n">
        <f aca="false">IF(ISNUMBER(Y190),Y190-N(Y191),"")</f>
        <v>52.9</v>
      </c>
      <c r="Z221" s="51" t="n">
        <f aca="false">IF(ISNUMBER(Z190),Z190-N(Z191),"")</f>
        <v>55.5</v>
      </c>
      <c r="AA221" s="51" t="n">
        <f aca="false">IF(ISNUMBER(AA190),AA190-N(AA191),"")</f>
        <v>43.6</v>
      </c>
      <c r="AB221" s="51" t="n">
        <f aca="false">IF(ISNUMBER(AB190),AB190-N(AB191),"")</f>
        <v>32.2</v>
      </c>
      <c r="AC221" s="51" t="n">
        <f aca="false">IF(ISNUMBER(AC190),AC190-N(AC191),"")</f>
        <v>184.2</v>
      </c>
      <c r="AD221" s="51" t="n">
        <f aca="false">IF(ISNUMBER(AD190),AD190-N(AD191),"")</f>
        <v>38.7</v>
      </c>
      <c r="AE221" s="51" t="n">
        <f aca="false">IF(ISNUMBER(AE190),AE190-N(AE191),"")</f>
        <v>38.9</v>
      </c>
      <c r="AF221" s="51" t="n">
        <f aca="false">IF(ISNUMBER(AF190),AF190-N(AF191),"")</f>
        <v>37.7</v>
      </c>
      <c r="AG221" s="51" t="n">
        <f aca="false">IF(ISNUMBER(AG190),AG190-N(AG191),"")</f>
        <v>39.9</v>
      </c>
      <c r="AH221" s="51" t="n">
        <f aca="false">IF(ISNUMBER(AH190),AH190-N(AH191),"")</f>
        <v>155.2</v>
      </c>
      <c r="AI221" s="51" t="n">
        <f aca="false">IF(ISNUMBER(AI190),AI190-N(AI191),"")</f>
        <v>37.7</v>
      </c>
      <c r="AJ221" s="51" t="n">
        <f aca="false">IF(ISNUMBER(AJ190),AJ190-N(AJ191),"")</f>
        <v>40.7</v>
      </c>
      <c r="AK221" s="51" t="n">
        <f aca="false">IF(ISNUMBER(AK190),AK190-N(AK191),"")</f>
        <v>38.5</v>
      </c>
      <c r="AL221" s="51" t="n">
        <f aca="false">IF(ISNUMBER(AL190),AL190-N(AL191),"")</f>
        <v>27.1</v>
      </c>
      <c r="AM221" s="51" t="n">
        <f aca="false">IF(ISNUMBER(AM190),AM190-N(AM191),"")</f>
        <v>127.7</v>
      </c>
      <c r="AN221" s="51" t="n">
        <f aca="false">IF(ISNUMBER(AN190),AN190-N(AN191),"")</f>
        <v>4.8</v>
      </c>
      <c r="AO221" s="51" t="n">
        <f aca="false">IF(ISNUMBER(AO190),AO190-N(AO191),"")</f>
        <v>-6.5</v>
      </c>
      <c r="AP221" s="51" t="n">
        <f aca="false">IF(ISNUMBER(AP190),AP190-N(AP191),"")</f>
        <v>-6.1</v>
      </c>
      <c r="AQ221" s="51" t="n">
        <f aca="false">IF(ISNUMBER(AQ190),AQ190-N(AQ191),"")</f>
        <v>-22.6</v>
      </c>
      <c r="AR221" s="51" t="n">
        <f aca="false">IF(ISNUMBER(AR190),AR190-N(AR191),"")</f>
        <v>-30.4</v>
      </c>
      <c r="AS221" s="51" t="n">
        <f aca="false">IF(ISNUMBER(AS190),AS190-N(AS191),"")</f>
        <v>-15.1</v>
      </c>
      <c r="AT221" s="51" t="n">
        <f aca="false">IF(ISNUMBER(AT190),AT190-N(AT191),"")</f>
        <v>77.6</v>
      </c>
      <c r="AU221" s="51" t="n">
        <f aca="false">IF(ISNUMBER(AU190),AU190-N(AU191),"")</f>
        <v>72.5</v>
      </c>
      <c r="AV221" s="51" t="n">
        <f aca="false">IF(ISNUMBER(AV190),AV190-N(AV191),"")</f>
        <v>68</v>
      </c>
      <c r="AW221" s="51" t="n">
        <f aca="false">IF(ISNUMBER(AW190),AW190-N(AW191),"")</f>
        <v>204</v>
      </c>
      <c r="AX221" s="51" t="n">
        <f aca="false">IF(ISNUMBER(AX190),AX190-N(AX191),"")</f>
        <v>54</v>
      </c>
      <c r="AY221" s="51" t="n">
        <f aca="false">IF(ISNUMBER(AY190),AY190-N(AY191),"")</f>
        <v>59</v>
      </c>
      <c r="AZ221" s="51" t="n">
        <f aca="false">IF(ISNUMBER(AZ190),AZ190-N(AZ191),"")</f>
        <v>59</v>
      </c>
      <c r="BA221" s="51" t="n">
        <f aca="false">IF(ISNUMBER(BA190),BA190-N(BA191),"")</f>
        <v>55</v>
      </c>
      <c r="BB221" s="51" t="n">
        <f aca="false">IF(ISNUMBER(BB190),BB190-N(BB191),"")</f>
        <v>227</v>
      </c>
      <c r="BC221" s="51" t="n">
        <f aca="false">IF(ISNUMBER(BC190),BC190-N(BC191),"")</f>
        <v>53</v>
      </c>
      <c r="BD221" s="51" t="n">
        <f aca="false">IF(ISNUMBER(BD190),BD190-N(BD191),"")</f>
        <v>49</v>
      </c>
      <c r="BE221" s="51" t="n">
        <f aca="false">IF(ISNUMBER(BE190),BE190-N(BE191),"")</f>
        <v>33</v>
      </c>
      <c r="BF221" s="51" t="n">
        <f aca="false">IF(ISNUMBER(BF190),BF190-N(BF191),"")</f>
        <v>33</v>
      </c>
      <c r="BG221" s="51" t="n">
        <f aca="false">IF(ISNUMBER(BG190),BG190-N(BG191),"")</f>
        <v>163</v>
      </c>
      <c r="BH221" s="51" t="n">
        <f aca="false">IF(ISNUMBER(BH190),BH190-N(BH191),"")</f>
        <v>18</v>
      </c>
      <c r="BI221" s="51" t="n">
        <f aca="false">IF(ISNUMBER(BI190),BI190-N(BI191),"")</f>
        <v>6</v>
      </c>
      <c r="BJ221" s="51" t="n">
        <f aca="false">IF(ISNUMBER(BJ190),BJ190-N(BJ191),"")</f>
        <v>-9</v>
      </c>
      <c r="BK221" s="51" t="n">
        <f aca="false">IF(ISNUMBER(BK190),BK190-N(BK191),"")</f>
        <v>-32</v>
      </c>
      <c r="BL221" s="51" t="n">
        <f aca="false">IF(ISNUMBER(BL190),BL190-N(BL191),"")</f>
        <v>-17</v>
      </c>
      <c r="BM221" s="51" t="n">
        <f aca="false">IF(ISNUMBER(BM190),BM190-N(BM191),"")</f>
        <v>5</v>
      </c>
      <c r="BN221" s="51" t="n">
        <f aca="false">IF(ISNUMBER(BN190),BN190-N(BN191),"")</f>
        <v>26</v>
      </c>
      <c r="BO221" s="51" t="n">
        <f aca="false">IF(ISNUMBER(BO190),BO190-N(BO191),"")</f>
        <v>83</v>
      </c>
      <c r="BP221" s="51" t="n">
        <f aca="false">IF(ISNUMBER(BP190),BP190-N(BP191),"")</f>
        <v>47</v>
      </c>
      <c r="BQ221" s="51" t="n">
        <f aca="false">IF(ISNUMBER(BQ190),BQ190-N(BQ191),"")</f>
        <v>161</v>
      </c>
      <c r="BR221" s="51" t="n">
        <f aca="false">IF(ISNUMBER(BR190),BR190-N(BR191),"")</f>
        <v>66</v>
      </c>
      <c r="BS221" s="51" t="n">
        <f aca="false">IF(ISNUMBER(BS190),BS190-N(BS191),"")</f>
        <v>63</v>
      </c>
      <c r="BT221" s="51" t="n">
        <f aca="false">IF(ISNUMBER(BT190),BT190-N(BT191),"")</f>
        <v>64</v>
      </c>
      <c r="BU221" s="51" t="n">
        <f aca="false">IF(ISNUMBER(BU190),BU190-N(BU191),"")</f>
        <v>42</v>
      </c>
      <c r="BV221" s="51" t="n">
        <f aca="false">IF(ISNUMBER(BV190),BV190-N(BV191),"")</f>
        <v>235</v>
      </c>
      <c r="BW221" s="51" t="n">
        <f aca="false">IF(ISNUMBER(BW190),BW190-N(BW191),"")</f>
        <v>36</v>
      </c>
      <c r="BX221" s="51" t="n">
        <f aca="false">IF(ISNUMBER(BX190),BX190-N(BX191),"")</f>
        <v>46</v>
      </c>
      <c r="BY221" s="41" t="n">
        <f aca="false">IF(ISNUMBER(BY190),BY190-N(BY191),"")</f>
        <v>114</v>
      </c>
      <c r="BZ221" s="41" t="n">
        <f aca="false">IF(ISNUMBER(BZ190),BZ190-N(BZ191),"")</f>
        <v>114</v>
      </c>
      <c r="CA221" s="41" t="n">
        <f aca="false">IF(ISNUMBER(CA190),CA190-N(CA191),"")</f>
        <v>310</v>
      </c>
      <c r="CB221" s="41" t="n">
        <f aca="false">IF(ISNUMBER(CB190),CB190-N(CB191),"")</f>
        <v>435.425192383247</v>
      </c>
      <c r="CC221" s="41" t="n">
        <f aca="false">IF(ISNUMBER(CC190),CC190-N(CC191),"")</f>
        <v>388.153210638148</v>
      </c>
      <c r="CD221" s="41" t="n">
        <f aca="false">IF(ISNUMBER(CD190),CD190-N(CD191),"")</f>
        <v>471.809388615395</v>
      </c>
      <c r="CE221" s="41" t="n">
        <f aca="false">IF(ISNUMBER(CE190),CE190-N(CE191),"")</f>
        <v>537.662717265449</v>
      </c>
      <c r="CF221" s="37"/>
    </row>
    <row r="222" customFormat="false" ht="15" hidden="false" customHeight="true" outlineLevel="0" collapsed="false">
      <c r="B222" s="27" t="s">
        <v>374</v>
      </c>
      <c r="C222" s="51" t="n">
        <f aca="false">C205</f>
        <v>217.2</v>
      </c>
      <c r="D222" s="51" t="n">
        <f aca="false">D205</f>
        <v>268.5</v>
      </c>
      <c r="E222" s="51" t="n">
        <f aca="false">E205</f>
        <v>339.3</v>
      </c>
      <c r="F222" s="51" t="n">
        <f aca="false">F205</f>
        <v>341.6</v>
      </c>
      <c r="G222" s="51" t="n">
        <f aca="false">G205</f>
        <v>397.1</v>
      </c>
      <c r="H222" s="51" t="n">
        <f aca="false">H205</f>
        <v>635</v>
      </c>
      <c r="I222" s="51" t="n">
        <f aca="false">I205</f>
        <v>839.8</v>
      </c>
      <c r="J222" s="51" t="n">
        <f aca="false">J205</f>
        <v>216.8</v>
      </c>
      <c r="K222" s="51" t="n">
        <f aca="false">K205</f>
        <v>219.6</v>
      </c>
      <c r="L222" s="51" t="n">
        <f aca="false">L205</f>
        <v>225.3</v>
      </c>
      <c r="M222" s="51" t="n">
        <f aca="false">M205</f>
        <v>233.3</v>
      </c>
      <c r="N222" s="51" t="n">
        <f aca="false">N205</f>
        <v>895</v>
      </c>
      <c r="O222" s="51" t="n">
        <f aca="false">O205</f>
        <v>224.7</v>
      </c>
      <c r="P222" s="51" t="n">
        <f aca="false">P205</f>
        <v>235.4</v>
      </c>
      <c r="Q222" s="51" t="n">
        <f aca="false">Q205</f>
        <v>232.4</v>
      </c>
      <c r="R222" s="51" t="n">
        <f aca="false">R205</f>
        <v>229.6</v>
      </c>
      <c r="S222" s="51" t="n">
        <f aca="false">S205</f>
        <v>904.6</v>
      </c>
      <c r="T222" s="51" t="n">
        <f aca="false">T205</f>
        <v>239.5</v>
      </c>
      <c r="U222" s="51" t="n">
        <f aca="false">U205</f>
        <v>240.2</v>
      </c>
      <c r="V222" s="51" t="n">
        <f aca="false">V205</f>
        <v>237</v>
      </c>
      <c r="W222" s="51" t="n">
        <f aca="false">W205</f>
        <v>294.8</v>
      </c>
      <c r="X222" s="51" t="n">
        <f aca="false">X205</f>
        <v>970.3</v>
      </c>
      <c r="Y222" s="51" t="n">
        <f aca="false">Y205</f>
        <v>289.7</v>
      </c>
      <c r="Z222" s="51" t="n">
        <f aca="false">Z205</f>
        <v>300.2</v>
      </c>
      <c r="AA222" s="51" t="n">
        <f aca="false">AA205</f>
        <v>232.6</v>
      </c>
      <c r="AB222" s="51" t="n">
        <f aca="false">AB205</f>
        <v>305.6</v>
      </c>
      <c r="AC222" s="51" t="n">
        <f aca="false">AC205</f>
        <v>1128.1</v>
      </c>
      <c r="AD222" s="51" t="n">
        <f aca="false">AD205</f>
        <v>305.6</v>
      </c>
      <c r="AE222" s="51" t="n">
        <f aca="false">AE205</f>
        <v>303.2</v>
      </c>
      <c r="AF222" s="51" t="n">
        <f aca="false">AF205</f>
        <v>311.3</v>
      </c>
      <c r="AG222" s="51" t="n">
        <f aca="false">AG205</f>
        <v>318.2</v>
      </c>
      <c r="AH222" s="51" t="n">
        <f aca="false">AH205</f>
        <v>1238.3</v>
      </c>
      <c r="AI222" s="51" t="n">
        <f aca="false">AI205</f>
        <v>320.8</v>
      </c>
      <c r="AJ222" s="51" t="n">
        <f aca="false">AJ205</f>
        <v>334.6</v>
      </c>
      <c r="AK222" s="51" t="n">
        <f aca="false">AK205</f>
        <v>321.5</v>
      </c>
      <c r="AL222" s="51" t="n">
        <f aca="false">AL205</f>
        <v>308.2</v>
      </c>
      <c r="AM222" s="51" t="n">
        <f aca="false">AM205</f>
        <v>1217.1</v>
      </c>
      <c r="AN222" s="51" t="n">
        <f aca="false">AN205</f>
        <v>305.9</v>
      </c>
      <c r="AO222" s="51" t="n">
        <f aca="false">AO205</f>
        <v>308.3</v>
      </c>
      <c r="AP222" s="51" t="n">
        <f aca="false">AP205</f>
        <v>305.4</v>
      </c>
      <c r="AQ222" s="51" t="n">
        <f aca="false">AQ205</f>
        <v>269.9</v>
      </c>
      <c r="AR222" s="51" t="n">
        <f aca="false">AR205</f>
        <v>1189.5</v>
      </c>
      <c r="AS222" s="51" t="n">
        <f aca="false">AS205</f>
        <v>297.8</v>
      </c>
      <c r="AT222" s="51" t="n">
        <f aca="false">AT205</f>
        <v>477.1</v>
      </c>
      <c r="AU222" s="51" t="n">
        <f aca="false">AU205</f>
        <v>491.5</v>
      </c>
      <c r="AV222" s="51" t="n">
        <f aca="false">AV205</f>
        <v>508.2</v>
      </c>
      <c r="AW222" s="51" t="n">
        <f aca="false">AW205</f>
        <v>1775</v>
      </c>
      <c r="AX222" s="51" t="n">
        <f aca="false">AX205</f>
        <v>502</v>
      </c>
      <c r="AY222" s="51" t="n">
        <f aca="false">AY205</f>
        <v>525</v>
      </c>
      <c r="AZ222" s="51" t="n">
        <f aca="false">AZ205</f>
        <v>554</v>
      </c>
      <c r="BA222" s="51" t="n">
        <f aca="false">BA205</f>
        <v>587</v>
      </c>
      <c r="BB222" s="51" t="n">
        <f aca="false">BB205</f>
        <v>2168</v>
      </c>
      <c r="BC222" s="51" t="n">
        <f aca="false">BC205</f>
        <v>565</v>
      </c>
      <c r="BD222" s="51" t="n">
        <f aca="false">BD205</f>
        <v>552</v>
      </c>
      <c r="BE222" s="51" t="n">
        <f aca="false">BE205</f>
        <v>540</v>
      </c>
      <c r="BF222" s="51" t="n">
        <f aca="false">BF205</f>
        <v>553</v>
      </c>
      <c r="BG222" s="51" t="n">
        <f aca="false">BG205</f>
        <v>2172</v>
      </c>
      <c r="BH222" s="51" t="n">
        <f aca="false">BH205</f>
        <v>545</v>
      </c>
      <c r="BI222" s="51" t="n">
        <f aca="false">BI205</f>
        <v>550</v>
      </c>
      <c r="BJ222" s="51" t="n">
        <f aca="false">BJ205</f>
        <v>542</v>
      </c>
      <c r="BK222" s="51" t="n">
        <f aca="false">BK205</f>
        <v>529</v>
      </c>
      <c r="BL222" s="51" t="n">
        <f aca="false">BL205</f>
        <v>2166</v>
      </c>
      <c r="BM222" s="51" t="n">
        <f aca="false">BM205</f>
        <v>586</v>
      </c>
      <c r="BN222" s="51" t="n">
        <f aca="false">BN205</f>
        <v>580</v>
      </c>
      <c r="BO222" s="51" t="n">
        <f aca="false">BO205</f>
        <v>591</v>
      </c>
      <c r="BP222" s="51" t="n">
        <f aca="false">BP205</f>
        <v>595</v>
      </c>
      <c r="BQ222" s="51" t="n">
        <f aca="false">BQ205</f>
        <v>2352</v>
      </c>
      <c r="BR222" s="51" t="n">
        <f aca="false">BR205</f>
        <v>591</v>
      </c>
      <c r="BS222" s="51" t="n">
        <f aca="false">BS205</f>
        <v>611</v>
      </c>
      <c r="BT222" s="51" t="n">
        <f aca="false">BT205</f>
        <v>622</v>
      </c>
      <c r="BU222" s="51" t="n">
        <f aca="false">BU205</f>
        <v>623</v>
      </c>
      <c r="BV222" s="51" t="n">
        <f aca="false">BV205</f>
        <v>2447</v>
      </c>
      <c r="BW222" s="51" t="n">
        <f aca="false">BW205</f>
        <v>627</v>
      </c>
      <c r="BX222" s="51" t="n">
        <f aca="false">BX205</f>
        <v>659</v>
      </c>
      <c r="BY222" s="41" t="n">
        <f aca="false">BY205</f>
        <v>710.735507020142</v>
      </c>
      <c r="BZ222" s="41" t="n">
        <f aca="false">BZ205</f>
        <v>747.066473251633</v>
      </c>
      <c r="CA222" s="41" t="n">
        <f aca="false">CA205</f>
        <v>2743.80198027177</v>
      </c>
      <c r="CB222" s="41" t="n">
        <f aca="false">CB205</f>
        <v>2808.09199751762</v>
      </c>
      <c r="CC222" s="41" t="n">
        <f aca="false">CC205</f>
        <v>2906.95488077124</v>
      </c>
      <c r="CD222" s="41" t="n">
        <f aca="false">CD205</f>
        <v>3034.79745617706</v>
      </c>
      <c r="CE222" s="41" t="n">
        <f aca="false">CE205</f>
        <v>2974.65037142325</v>
      </c>
      <c r="CF222" s="37"/>
    </row>
    <row r="223" customFormat="false" ht="15" hidden="false" customHeight="true" outlineLevel="0" collapsed="false">
      <c r="B223" s="62" t="s">
        <v>375</v>
      </c>
      <c r="C223" s="63" t="n">
        <f aca="false">IF(AND(ISNUMBER(C219),ISNUMBER(C222)),C219+C220+C221+C222,"")</f>
        <v>1717.5</v>
      </c>
      <c r="D223" s="63" t="n">
        <f aca="false">IF(AND(ISNUMBER(D219),ISNUMBER(D222)),D219+D220+D221+D222,"")</f>
        <v>2009.2</v>
      </c>
      <c r="E223" s="63" t="n">
        <f aca="false">IF(AND(ISNUMBER(E219),ISNUMBER(E222)),E219+E220+E221+E222,"")</f>
        <v>2208.8</v>
      </c>
      <c r="F223" s="63" t="n">
        <f aca="false">IF(AND(ISNUMBER(F219),ISNUMBER(F222)),F219+F220+F221+F222,"")</f>
        <v>1884</v>
      </c>
      <c r="G223" s="63" t="n">
        <f aca="false">IF(AND(ISNUMBER(G219),ISNUMBER(G222)),G219+G220+G221+G222,"")</f>
        <v>2737.7</v>
      </c>
      <c r="H223" s="63" t="n">
        <f aca="false">IF(AND(ISNUMBER(H219),ISNUMBER(H222)),H219+H220+H221+H222,"")</f>
        <v>3219.3</v>
      </c>
      <c r="I223" s="63" t="n">
        <f aca="false">IF(AND(ISNUMBER(I219),ISNUMBER(I222)),I219+I220+I221+I222,"")</f>
        <v>4004.9</v>
      </c>
      <c r="J223" s="63" t="n">
        <f aca="false">IF(AND(ISNUMBER(J219),ISNUMBER(J222)),J219+J220+J221+J222,"")</f>
        <v>1177.5</v>
      </c>
      <c r="K223" s="63" t="n">
        <f aca="false">IF(AND(ISNUMBER(K219),ISNUMBER(K222)),K219+K220+K221+K222,"")</f>
        <v>1063.2</v>
      </c>
      <c r="L223" s="63" t="n">
        <f aca="false">IF(AND(ISNUMBER(L219),ISNUMBER(L222)),L219+L220+L221+L222,"")</f>
        <v>1037.7</v>
      </c>
      <c r="M223" s="63" t="n">
        <f aca="false">IF(AND(ISNUMBER(M219),ISNUMBER(M222)),M219+M220+M221+M222,"")</f>
        <v>1322.8</v>
      </c>
      <c r="N223" s="63" t="n">
        <f aca="false">IF(AND(ISNUMBER(N219),ISNUMBER(N222)),N219+N220+N221+N222,"")</f>
        <v>4601.2</v>
      </c>
      <c r="O223" s="63" t="n">
        <f aca="false">IF(AND(ISNUMBER(O219),ISNUMBER(O222)),O219+O220+O221+O222,"")</f>
        <v>1013.6</v>
      </c>
      <c r="P223" s="63" t="n">
        <f aca="false">IF(AND(ISNUMBER(P219),ISNUMBER(P222)),P219+P220+P221+P222,"")</f>
        <v>1143.9</v>
      </c>
      <c r="Q223" s="63" t="n">
        <f aca="false">IF(AND(ISNUMBER(Q219),ISNUMBER(Q222)),Q219+Q220+Q221+Q222,"")</f>
        <v>1136.8</v>
      </c>
      <c r="R223" s="63" t="n">
        <f aca="false">IF(AND(ISNUMBER(R219),ISNUMBER(R222)),R219+R220+R221+R222,"")</f>
        <v>1195.6</v>
      </c>
      <c r="S223" s="63" t="n">
        <f aca="false">IF(AND(ISNUMBER(S219),ISNUMBER(S222)),S219+S220+S221+S222,"")</f>
        <v>4407.7</v>
      </c>
      <c r="T223" s="63" t="n">
        <f aca="false">IF(AND(ISNUMBER(T219),ISNUMBER(T222)),T219+T220+T221+T222,"")</f>
        <v>994.6</v>
      </c>
      <c r="U223" s="63" t="n">
        <f aca="false">IF(AND(ISNUMBER(U219),ISNUMBER(U222)),U219+U220+U221+U222,"")</f>
        <v>1174.6</v>
      </c>
      <c r="V223" s="63" t="n">
        <f aca="false">IF(AND(ISNUMBER(V219),ISNUMBER(V222)),V219+V220+V221+V222,"")</f>
        <v>729.4</v>
      </c>
      <c r="W223" s="63" t="n">
        <f aca="false">IF(AND(ISNUMBER(W219),ISNUMBER(W222)),W219+W220+W221+W222,"")</f>
        <v>946.4</v>
      </c>
      <c r="X223" s="63" t="n">
        <f aca="false">IF(AND(ISNUMBER(X219),ISNUMBER(X222)),X219+X220+X221+X222,"")</f>
        <v>3144.9</v>
      </c>
      <c r="Y223" s="63" t="n">
        <f aca="false">IF(AND(ISNUMBER(Y219),ISNUMBER(Y222)),Y219+Y220+Y221+Y222,"")</f>
        <v>1126.2</v>
      </c>
      <c r="Z223" s="63" t="n">
        <f aca="false">IF(AND(ISNUMBER(Z219),ISNUMBER(Z222)),Z219+Z220+Z221+Z222,"")</f>
        <v>1010.3</v>
      </c>
      <c r="AA223" s="63" t="n">
        <f aca="false">IF(AND(ISNUMBER(AA219),ISNUMBER(AA222)),AA219+AA220+AA221+AA222,"")</f>
        <v>752.900000000001</v>
      </c>
      <c r="AB223" s="63" t="n">
        <f aca="false">IF(AND(ISNUMBER(AB219),ISNUMBER(AB222)),AB219+AB220+AB221+AB222,"")</f>
        <v>1034.2</v>
      </c>
      <c r="AC223" s="63" t="n">
        <f aca="false">IF(AND(ISNUMBER(AC219),ISNUMBER(AC222)),AC219+AC220+AC221+AC222,"")</f>
        <v>3923.6</v>
      </c>
      <c r="AD223" s="63" t="n">
        <f aca="false">IF(AND(ISNUMBER(AD219),ISNUMBER(AD222)),AD219+AD220+AD221+AD222,"")</f>
        <v>929.5</v>
      </c>
      <c r="AE223" s="63" t="n">
        <f aca="false">IF(AND(ISNUMBER(AE219),ISNUMBER(AE222)),AE219+AE220+AE221+AE222,"")</f>
        <v>986.9</v>
      </c>
      <c r="AF223" s="63" t="n">
        <f aca="false">IF(AND(ISNUMBER(AF219),ISNUMBER(AF222)),AF219+AF220+AF221+AF222,"")</f>
        <v>1078.8</v>
      </c>
      <c r="AG223" s="63" t="n">
        <f aca="false">IF(AND(ISNUMBER(AG219),ISNUMBER(AG222)),AG219+AG220+AG221+AG222,"")</f>
        <v>1337.1</v>
      </c>
      <c r="AH223" s="63" t="n">
        <f aca="false">IF(AND(ISNUMBER(AH219),ISNUMBER(AH222)),AH219+AH220+AH221+AH222,"")</f>
        <v>4332.3</v>
      </c>
      <c r="AI223" s="63" t="n">
        <f aca="false">IF(AND(ISNUMBER(AI219),ISNUMBER(AI222)),AI219+AI220+AI221+AI222,"")</f>
        <v>1071.6</v>
      </c>
      <c r="AJ223" s="63" t="n">
        <f aca="false">IF(AND(ISNUMBER(AJ219),ISNUMBER(AJ222)),AJ219+AJ220+AJ221+AJ222,"")</f>
        <v>1210.4</v>
      </c>
      <c r="AK223" s="63" t="n">
        <f aca="false">IF(AND(ISNUMBER(AK219),ISNUMBER(AK222)),AK219+AK220+AK221+AK222,"")</f>
        <v>1161.3</v>
      </c>
      <c r="AL223" s="63" t="n">
        <f aca="false">IF(AND(ISNUMBER(AL219),ISNUMBER(AL222)),AL219+AL220+AL221+AL222,"")</f>
        <v>1182.8</v>
      </c>
      <c r="AM223" s="63" t="n">
        <f aca="false">IF(AND(ISNUMBER(AM219),ISNUMBER(AM222)),AM219+AM220+AM221+AM222,"")</f>
        <v>4306.7</v>
      </c>
      <c r="AN223" s="63" t="n">
        <f aca="false">IF(AND(ISNUMBER(AN219),ISNUMBER(AN222)),AN219+AN220+AN221+AN222,"")</f>
        <v>1030.7</v>
      </c>
      <c r="AO223" s="63" t="n">
        <f aca="false">IF(AND(ISNUMBER(AO219),ISNUMBER(AO222)),AO219+AO220+AO221+AO222,"")</f>
        <v>1125</v>
      </c>
      <c r="AP223" s="63" t="n">
        <f aca="false">IF(AND(ISNUMBER(AP219),ISNUMBER(AP222)),AP219+AP220+AP221+AP222,"")</f>
        <v>1085.9</v>
      </c>
      <c r="AQ223" s="63" t="n">
        <f aca="false">IF(AND(ISNUMBER(AQ219),ISNUMBER(AQ222)),AQ219+AQ220+AQ221+AQ222,"")</f>
        <v>1222.8</v>
      </c>
      <c r="AR223" s="63" t="n">
        <f aca="false">IF(AND(ISNUMBER(AR219),ISNUMBER(AR222)),AR219+AR220+AR221+AR222,"")</f>
        <v>4464.4</v>
      </c>
      <c r="AS223" s="63" t="n">
        <f aca="false">IF(AND(ISNUMBER(AS219),ISNUMBER(AS222)),AS219+AS220+AS221+AS222,"")</f>
        <v>993.8</v>
      </c>
      <c r="AT223" s="63" t="n">
        <f aca="false">IF(AND(ISNUMBER(AT219),ISNUMBER(AT222)),AT219+AT220+AT221+AT222,"")</f>
        <v>1775.6</v>
      </c>
      <c r="AU223" s="63" t="n">
        <f aca="false">IF(AND(ISNUMBER(AU219),ISNUMBER(AU222)),AU219+AU220+AU221+AU222,"")</f>
        <v>1585.5</v>
      </c>
      <c r="AV223" s="63" t="n">
        <f aca="false">IF(AND(ISNUMBER(AV219),ISNUMBER(AV222)),AV219+AV220+AV221+AV222,"")</f>
        <v>2118.2</v>
      </c>
      <c r="AW223" s="63" t="n">
        <f aca="false">IF(AND(ISNUMBER(AW219),ISNUMBER(AW222)),AW219+AW220+AW221+AW222,"")</f>
        <v>6474</v>
      </c>
      <c r="AX223" s="63" t="n">
        <f aca="false">IF(AND(ISNUMBER(AX219),ISNUMBER(AX222)),AX219+AX220+AX221+AX222,"")</f>
        <v>2639</v>
      </c>
      <c r="AY223" s="63" t="n">
        <f aca="false">IF(AND(ISNUMBER(AY219),ISNUMBER(AY222)),AY219+AY220+AY221+AY222,"")</f>
        <v>2627</v>
      </c>
      <c r="AZ223" s="63" t="n">
        <f aca="false">IF(AND(ISNUMBER(AZ219),ISNUMBER(AZ222)),AZ219+AZ220+AZ221+AZ222,"")</f>
        <v>2000</v>
      </c>
      <c r="BA223" s="63" t="n">
        <f aca="false">IF(AND(ISNUMBER(BA219),ISNUMBER(BA222)),BA219+BA220+BA221+BA222,"")</f>
        <v>2727</v>
      </c>
      <c r="BB223" s="63" t="n">
        <f aca="false">IF(AND(ISNUMBER(BB219),ISNUMBER(BB222)),BB219+BB220+BB221+BB222,"")</f>
        <v>9993</v>
      </c>
      <c r="BC223" s="63" t="n">
        <f aca="false">IF(AND(ISNUMBER(BC219),ISNUMBER(BC222)),BC219+BC220+BC221+BC222,"")</f>
        <v>2717</v>
      </c>
      <c r="BD223" s="63" t="n">
        <f aca="false">IF(AND(ISNUMBER(BD219),ISNUMBER(BD222)),BD219+BD220+BD221+BD222,"")</f>
        <v>2670</v>
      </c>
      <c r="BE223" s="63" t="n">
        <f aca="false">IF(AND(ISNUMBER(BE219),ISNUMBER(BE222)),BE219+BE220+BE221+BE222,"")</f>
        <v>2504</v>
      </c>
      <c r="BF223" s="63" t="n">
        <f aca="false">IF(AND(ISNUMBER(BF219),ISNUMBER(BF222)),BF219+BF220+BF221+BF222,"")</f>
        <v>2481</v>
      </c>
      <c r="BG223" s="63" t="n">
        <f aca="false">IF(AND(ISNUMBER(BG219),ISNUMBER(BG222)),BG219+BG220+BG221+BG222,"")</f>
        <v>9481</v>
      </c>
      <c r="BH223" s="63" t="n">
        <f aca="false">IF(AND(ISNUMBER(BH219),ISNUMBER(BH222)),BH219+BH220+BH221+BH222,"")</f>
        <v>2086</v>
      </c>
      <c r="BI223" s="63" t="n">
        <f aca="false">IF(AND(ISNUMBER(BI219),ISNUMBER(BI222)),BI219+BI220+BI221+BI222,"")</f>
        <v>1698</v>
      </c>
      <c r="BJ223" s="63" t="n">
        <f aca="false">IF(AND(ISNUMBER(BJ219),ISNUMBER(BJ222)),BJ219+BJ220+BJ221+BJ222,"")</f>
        <v>1680</v>
      </c>
      <c r="BK223" s="63" t="n">
        <f aca="false">IF(AND(ISNUMBER(BK219),ISNUMBER(BK222)),BK219+BK220+BK221+BK222,"")</f>
        <v>1729</v>
      </c>
      <c r="BL223" s="63" t="n">
        <f aca="false">IF(AND(ISNUMBER(BL219),ISNUMBER(BL222)),BL219+BL220+BL221+BL222,"")</f>
        <v>7193</v>
      </c>
      <c r="BM223" s="63" t="n">
        <f aca="false">IF(AND(ISNUMBER(BM219),ISNUMBER(BM222)),BM219+BM220+BM221+BM222,"")</f>
        <v>1862</v>
      </c>
      <c r="BN223" s="63" t="n">
        <f aca="false">IF(AND(ISNUMBER(BN219),ISNUMBER(BN222)),BN219+BN220+BN221+BN222,"")</f>
        <v>1689</v>
      </c>
      <c r="BO223" s="63" t="n">
        <f aca="false">IF(AND(ISNUMBER(BO219),ISNUMBER(BO222)),BO219+BO220+BO221+BO222,"")</f>
        <v>1651</v>
      </c>
      <c r="BP223" s="63" t="n">
        <f aca="false">IF(AND(ISNUMBER(BP219),ISNUMBER(BP222)),BP219+BP220+BP221+BP222,"")</f>
        <v>1957</v>
      </c>
      <c r="BQ223" s="63" t="n">
        <f aca="false">IF(AND(ISNUMBER(BQ219),ISNUMBER(BQ222)),BQ219+BQ220+BQ221+BQ222,"")</f>
        <v>7159</v>
      </c>
      <c r="BR223" s="63" t="n">
        <f aca="false">IF(AND(ISNUMBER(BR219),ISNUMBER(BR222)),BR219+BR220+BR221+BR222,"")</f>
        <v>1786</v>
      </c>
      <c r="BS223" s="63" t="n">
        <f aca="false">IF(AND(ISNUMBER(BS219),ISNUMBER(BS222)),BS219+BS220+BS221+BS222,"")</f>
        <v>1329</v>
      </c>
      <c r="BT223" s="63" t="n">
        <f aca="false">IF(AND(ISNUMBER(BT219),ISNUMBER(BT222)),BT219+BT220+BT221+BT222,"")</f>
        <v>1762</v>
      </c>
      <c r="BU223" s="63" t="n">
        <f aca="false">IF(AND(ISNUMBER(BU219),ISNUMBER(BU222)),BU219+BU220+BU221+BU222,"")</f>
        <v>2038</v>
      </c>
      <c r="BV223" s="63" t="n">
        <f aca="false">IF(AND(ISNUMBER(BV219),ISNUMBER(BV222)),BV219+BV220+BV221+BV222,"")</f>
        <v>6915</v>
      </c>
      <c r="BW223" s="63" t="n">
        <f aca="false">IF(AND(ISNUMBER(BW219),ISNUMBER(BW222)),BW219+BW220+BW221+BW222,"")</f>
        <v>1898</v>
      </c>
      <c r="BX223" s="63" t="n">
        <f aca="false">IF(AND(ISNUMBER(BX219),ISNUMBER(BX222)),BX219+BX220+BX221+BX222,"")</f>
        <v>1783</v>
      </c>
      <c r="BY223" s="63" t="n">
        <f aca="false">IF(AND(ISNUMBER(BY219),ISNUMBER(BY222)),BY219+BY220+BY221+BY222,"")</f>
        <v>1934.46664518436</v>
      </c>
      <c r="BZ223" s="63" t="n">
        <f aca="false">IF(AND(ISNUMBER(BZ219),ISNUMBER(BZ222)),BZ219+BZ220+BZ221+BZ222,"")</f>
        <v>2570.04285906697</v>
      </c>
      <c r="CA223" s="63" t="n">
        <f aca="false">IF(AND(ISNUMBER(CA219),ISNUMBER(CA222)),CA219+CA220+CA221+CA222,"")</f>
        <v>8185.50950425133</v>
      </c>
      <c r="CB223" s="63" t="n">
        <f aca="false">IF(AND(ISNUMBER(CB219),ISNUMBER(CB222)),CB219+CB220+CB221+CB222,"")</f>
        <v>9261.62017730247</v>
      </c>
      <c r="CC223" s="63" t="n">
        <f aca="false">IF(AND(ISNUMBER(CC219),ISNUMBER(CC222)),CC219+CC220+CC221+CC222,"")</f>
        <v>10055.0477723079</v>
      </c>
      <c r="CD223" s="63" t="n">
        <f aca="false">IF(AND(ISNUMBER(CD219),ISNUMBER(CD222)),CD219+CD220+CD221+CD222,"")</f>
        <v>10953.254345309</v>
      </c>
      <c r="CE223" s="63" t="n">
        <f aca="false">IF(AND(ISNUMBER(CE219),ISNUMBER(CE222)),CE219+CE220+CE221+CE222,"")</f>
        <v>11919.9239821937</v>
      </c>
      <c r="CF223" s="7"/>
      <c r="CH223" s="22" t="n">
        <f aca="false">IFERROR((CE223/BV223)^(1/5)-1,"n/m")</f>
        <v>0.115054925050122</v>
      </c>
      <c r="CI223" s="22" t="n">
        <f aca="false">IFERROR((BV223/AW223)^(1/5)-1,"n/m")</f>
        <v>0.0132669978128255</v>
      </c>
      <c r="CJ223" s="22" t="n">
        <f aca="false">IFERROR((BV223/X223)^(1/10)-1,"n/m")</f>
        <v>0.0819782593467335</v>
      </c>
      <c r="CK223" s="22" t="n">
        <f aca="false">IFERROR((BV223/C223)^(1/19)-1,"n/m")</f>
        <v>0.0760602830001067</v>
      </c>
    </row>
    <row r="224" customFormat="false" ht="15" hidden="false" customHeight="true" outlineLevel="0" collapsed="false">
      <c r="B224" s="27" t="s">
        <v>376</v>
      </c>
      <c r="C224" s="51" t="n">
        <f aca="false">C241</f>
        <v>-10.8</v>
      </c>
      <c r="D224" s="51" t="n">
        <f aca="false">D241</f>
        <v>57.9</v>
      </c>
      <c r="E224" s="51" t="n">
        <f aca="false">E241</f>
        <v>106</v>
      </c>
      <c r="F224" s="51" t="n">
        <f aca="false">F241</f>
        <v>122.8</v>
      </c>
      <c r="G224" s="51" t="n">
        <f aca="false">G241</f>
        <v>46.4</v>
      </c>
      <c r="H224" s="51" t="n">
        <f aca="false">H241</f>
        <v>116.6</v>
      </c>
      <c r="I224" s="51" t="n">
        <f aca="false">I241</f>
        <v>0</v>
      </c>
      <c r="J224" s="51" t="n">
        <f aca="false">J241</f>
        <v>0</v>
      </c>
      <c r="K224" s="51" t="n">
        <f aca="false">K241</f>
        <v>0</v>
      </c>
      <c r="L224" s="51" t="n">
        <f aca="false">L241</f>
        <v>0</v>
      </c>
      <c r="M224" s="51" t="n">
        <f aca="false">M241</f>
        <v>19</v>
      </c>
      <c r="N224" s="51" t="n">
        <f aca="false">N241</f>
        <v>19</v>
      </c>
      <c r="O224" s="51" t="n">
        <f aca="false">O241</f>
        <v>0</v>
      </c>
      <c r="P224" s="51" t="n">
        <f aca="false">P241</f>
        <v>0</v>
      </c>
      <c r="Q224" s="51" t="n">
        <f aca="false">Q241</f>
        <v>0</v>
      </c>
      <c r="R224" s="51" t="n">
        <f aca="false">R241</f>
        <v>85</v>
      </c>
      <c r="S224" s="51" t="n">
        <f aca="false">S241</f>
        <v>85</v>
      </c>
      <c r="T224" s="51" t="n">
        <f aca="false">T241</f>
        <v>15</v>
      </c>
      <c r="U224" s="51" t="n">
        <f aca="false">U241</f>
        <v>0</v>
      </c>
      <c r="V224" s="51" t="n">
        <f aca="false">V241</f>
        <v>59</v>
      </c>
      <c r="W224" s="51" t="n">
        <f aca="false">W241</f>
        <v>57</v>
      </c>
      <c r="X224" s="51" t="n">
        <f aca="false">X241</f>
        <v>115</v>
      </c>
      <c r="Y224" s="51" t="n">
        <f aca="false">Y241</f>
        <v>14</v>
      </c>
      <c r="Z224" s="51" t="n">
        <f aca="false">Z241</f>
        <v>17</v>
      </c>
      <c r="AA224" s="51" t="n">
        <f aca="false">AA241</f>
        <v>-18</v>
      </c>
      <c r="AB224" s="51" t="n">
        <f aca="false">AB241</f>
        <v>84</v>
      </c>
      <c r="AC224" s="51" t="n">
        <f aca="false">AC241</f>
        <v>66</v>
      </c>
      <c r="AD224" s="51" t="n">
        <f aca="false">AD241</f>
        <v>0</v>
      </c>
      <c r="AE224" s="51" t="n">
        <f aca="false">AE241</f>
        <v>76</v>
      </c>
      <c r="AF224" s="51" t="n">
        <f aca="false">AF241</f>
        <v>0</v>
      </c>
      <c r="AG224" s="51" t="n">
        <f aca="false">AG241</f>
        <v>-11</v>
      </c>
      <c r="AH224" s="51" t="n">
        <f aca="false">AH241</f>
        <v>65</v>
      </c>
      <c r="AI224" s="51" t="n">
        <f aca="false">AI241</f>
        <v>0</v>
      </c>
      <c r="AJ224" s="51" t="n">
        <f aca="false">AJ241</f>
        <v>7</v>
      </c>
      <c r="AK224" s="51" t="n">
        <f aca="false">AK241</f>
        <v>0</v>
      </c>
      <c r="AL224" s="51" t="n">
        <f aca="false">AL241</f>
        <v>15</v>
      </c>
      <c r="AM224" s="51" t="n">
        <f aca="false">AM241</f>
        <v>22</v>
      </c>
      <c r="AN224" s="51" t="n">
        <f aca="false">AN241</f>
        <v>62</v>
      </c>
      <c r="AO224" s="51" t="n">
        <f aca="false">AO241</f>
        <v>29</v>
      </c>
      <c r="AP224" s="51" t="n">
        <f aca="false">AP241</f>
        <v>55</v>
      </c>
      <c r="AQ224" s="51" t="n">
        <f aca="false">AQ241</f>
        <v>30</v>
      </c>
      <c r="AR224" s="51" t="n">
        <f aca="false">AR241</f>
        <v>93</v>
      </c>
      <c r="AS224" s="51" t="n">
        <f aca="false">AS241</f>
        <v>67</v>
      </c>
      <c r="AT224" s="51" t="n">
        <f aca="false">AT241</f>
        <v>228</v>
      </c>
      <c r="AU224" s="51" t="n">
        <f aca="false">AU241</f>
        <v>246</v>
      </c>
      <c r="AV224" s="51" t="n">
        <f aca="false">AV241</f>
        <v>49</v>
      </c>
      <c r="AW224" s="51" t="n">
        <f aca="false">AW241</f>
        <v>590</v>
      </c>
      <c r="AX224" s="51" t="n">
        <f aca="false">AX241</f>
        <v>56</v>
      </c>
      <c r="AY224" s="51" t="n">
        <f aca="false">AY241</f>
        <v>0</v>
      </c>
      <c r="AZ224" s="51" t="n">
        <f aca="false">AZ241</f>
        <v>592</v>
      </c>
      <c r="BA224" s="51" t="n">
        <f aca="false">BA241</f>
        <v>13</v>
      </c>
      <c r="BB224" s="51" t="n">
        <f aca="false">BB241</f>
        <v>661</v>
      </c>
      <c r="BC224" s="51" t="n">
        <f aca="false">BC241</f>
        <v>43</v>
      </c>
      <c r="BD224" s="51" t="n">
        <f aca="false">BD241</f>
        <v>9</v>
      </c>
      <c r="BE224" s="51" t="n">
        <f aca="false">BE241</f>
        <v>0</v>
      </c>
      <c r="BF224" s="51" t="n">
        <f aca="false">BF241</f>
        <v>9</v>
      </c>
      <c r="BG224" s="51" t="n">
        <f aca="false">BG241</f>
        <v>61</v>
      </c>
      <c r="BH224" s="51" t="n">
        <f aca="false">BH241</f>
        <v>28</v>
      </c>
      <c r="BI224" s="51" t="n">
        <f aca="false">BI241</f>
        <v>85</v>
      </c>
      <c r="BJ224" s="51" t="n">
        <f aca="false">BJ241</f>
        <v>42</v>
      </c>
      <c r="BK224" s="51" t="n">
        <f aca="false">BK241</f>
        <v>120</v>
      </c>
      <c r="BL224" s="51" t="n">
        <f aca="false">BL241</f>
        <v>162</v>
      </c>
      <c r="BM224" s="51" t="n">
        <f aca="false">BM241</f>
        <v>25</v>
      </c>
      <c r="BN224" s="51" t="n">
        <f aca="false">BN241</f>
        <v>0</v>
      </c>
      <c r="BO224" s="51" t="n">
        <f aca="false">BO241</f>
        <v>222</v>
      </c>
      <c r="BP224" s="51" t="n">
        <f aca="false">BP241</f>
        <v>99</v>
      </c>
      <c r="BQ224" s="51" t="n">
        <f aca="false">BQ241</f>
        <v>346</v>
      </c>
      <c r="BR224" s="51" t="n">
        <f aca="false">BR241</f>
        <v>15</v>
      </c>
      <c r="BS224" s="51" t="n">
        <f aca="false">BS241</f>
        <v>432</v>
      </c>
      <c r="BT224" s="51" t="n">
        <f aca="false">BT241</f>
        <v>101</v>
      </c>
      <c r="BU224" s="51" t="n">
        <f aca="false">BU241</f>
        <v>4</v>
      </c>
      <c r="BV224" s="51" t="n">
        <f aca="false">BV241</f>
        <v>552</v>
      </c>
      <c r="BW224" s="51" t="n">
        <f aca="false">BW241</f>
        <v>17</v>
      </c>
      <c r="BX224" s="51" t="n">
        <f aca="false">BX241</f>
        <v>108</v>
      </c>
      <c r="BY224" s="41" t="n">
        <f aca="false">BY241</f>
        <v>30</v>
      </c>
      <c r="BZ224" s="41" t="n">
        <f aca="false">BZ241</f>
        <v>0</v>
      </c>
      <c r="CA224" s="41" t="n">
        <f aca="false">CA241</f>
        <v>155</v>
      </c>
      <c r="CB224" s="41" t="n">
        <f aca="false">CB241</f>
        <v>0</v>
      </c>
      <c r="CC224" s="41" t="n">
        <f aca="false">CC241</f>
        <v>0</v>
      </c>
      <c r="CD224" s="41" t="n">
        <f aca="false">CD241</f>
        <v>0</v>
      </c>
      <c r="CE224" s="41" t="n">
        <f aca="false">CE241</f>
        <v>0</v>
      </c>
      <c r="CF224" s="37"/>
    </row>
    <row r="225" customFormat="false" ht="15" hidden="false" customHeight="true" outlineLevel="0" collapsed="false">
      <c r="B225" s="27" t="s">
        <v>377</v>
      </c>
      <c r="C225" s="51" t="n">
        <f aca="false">-N(C189)</f>
        <v>-0</v>
      </c>
      <c r="D225" s="51" t="n">
        <f aca="false">-N(D189)</f>
        <v>-0</v>
      </c>
      <c r="E225" s="51" t="n">
        <f aca="false">-N(E189)</f>
        <v>-0</v>
      </c>
      <c r="F225" s="51" t="n">
        <f aca="false">-N(F189)</f>
        <v>-0</v>
      </c>
      <c r="G225" s="51" t="n">
        <f aca="false">-N(G189)</f>
        <v>-291</v>
      </c>
      <c r="H225" s="51" t="n">
        <f aca="false">-N(H189)</f>
        <v>32.9</v>
      </c>
      <c r="I225" s="51" t="n">
        <f aca="false">-N(I189)</f>
        <v>-0</v>
      </c>
      <c r="J225" s="51" t="n">
        <f aca="false">-N(J189)</f>
        <v>-229.8</v>
      </c>
      <c r="K225" s="51" t="n">
        <f aca="false">-N(K189)</f>
        <v>-0</v>
      </c>
      <c r="L225" s="51" t="n">
        <f aca="false">-N(L189)</f>
        <v>-0</v>
      </c>
      <c r="M225" s="51" t="n">
        <f aca="false">-N(M189)</f>
        <v>-201.5</v>
      </c>
      <c r="N225" s="51" t="n">
        <f aca="false">-N(N189)</f>
        <v>-431.3</v>
      </c>
      <c r="O225" s="51" t="n">
        <f aca="false">-N(O189)</f>
        <v>-0</v>
      </c>
      <c r="P225" s="51" t="n">
        <f aca="false">-N(P189)</f>
        <v>-19.2</v>
      </c>
      <c r="Q225" s="51" t="n">
        <f aca="false">-N(Q189)</f>
        <v>-38.2</v>
      </c>
      <c r="R225" s="51" t="n">
        <f aca="false">-N(R189)</f>
        <v>-99.1</v>
      </c>
      <c r="S225" s="51" t="n">
        <f aca="false">-N(S189)</f>
        <v>-156.5</v>
      </c>
      <c r="T225" s="51" t="n">
        <f aca="false">-N(T189)</f>
        <v>-0</v>
      </c>
      <c r="U225" s="51" t="n">
        <f aca="false">-N(U189)</f>
        <v>-0</v>
      </c>
      <c r="V225" s="51" t="n">
        <f aca="false">-N(V189)</f>
        <v>-12.4</v>
      </c>
      <c r="W225" s="51" t="n">
        <f aca="false">-N(W189)</f>
        <v>-0</v>
      </c>
      <c r="X225" s="51" t="n">
        <f aca="false">-N(X189)</f>
        <v>-12.4</v>
      </c>
      <c r="Y225" s="51" t="n">
        <f aca="false">-N(Y189)</f>
        <v>-223.4</v>
      </c>
      <c r="Z225" s="51" t="n">
        <f aca="false">-N(Z189)</f>
        <v>-0</v>
      </c>
      <c r="AA225" s="51" t="n">
        <f aca="false">-N(AA189)</f>
        <v>178.8</v>
      </c>
      <c r="AB225" s="51" t="n">
        <f aca="false">-N(AB189)</f>
        <v>-0</v>
      </c>
      <c r="AC225" s="51" t="n">
        <f aca="false">-N(AC189)</f>
        <v>-44.6</v>
      </c>
      <c r="AD225" s="51" t="n">
        <f aca="false">-N(AD189)</f>
        <v>-6.9</v>
      </c>
      <c r="AE225" s="51" t="n">
        <f aca="false">-N(AE189)</f>
        <v>-7</v>
      </c>
      <c r="AF225" s="51" t="n">
        <f aca="false">-N(AF189)</f>
        <v>-8.3</v>
      </c>
      <c r="AG225" s="51" t="n">
        <f aca="false">-N(AG189)</f>
        <v>-81.4</v>
      </c>
      <c r="AH225" s="51" t="n">
        <f aca="false">-N(AH189)</f>
        <v>-103.6</v>
      </c>
      <c r="AI225" s="51" t="n">
        <f aca="false">-N(AI189)</f>
        <v>-7.8</v>
      </c>
      <c r="AJ225" s="51" t="n">
        <f aca="false">-N(AJ189)</f>
        <v>-8.3</v>
      </c>
      <c r="AK225" s="51" t="n">
        <f aca="false">-N(AK189)</f>
        <v>-9.1</v>
      </c>
      <c r="AL225" s="51" t="n">
        <f aca="false">-N(AL189)</f>
        <v>-11.2</v>
      </c>
      <c r="AM225" s="51" t="n">
        <f aca="false">-N(AM189)</f>
        <v>-34.5</v>
      </c>
      <c r="AN225" s="51" t="n">
        <f aca="false">-N(AN189)</f>
        <v>-5.1</v>
      </c>
      <c r="AO225" s="51" t="n">
        <f aca="false">-N(AO189)</f>
        <v>-5</v>
      </c>
      <c r="AP225" s="51" t="n">
        <f aca="false">-N(AP189)</f>
        <v>-4.2</v>
      </c>
      <c r="AQ225" s="51" t="n">
        <f aca="false">-N(AQ189)</f>
        <v>8.8</v>
      </c>
      <c r="AR225" s="51" t="n">
        <f aca="false">-N(AR189)</f>
        <v>-5.5</v>
      </c>
      <c r="AS225" s="51" t="n">
        <f aca="false">-N(AS189)</f>
        <v>1.5</v>
      </c>
      <c r="AT225" s="51" t="n">
        <f aca="false">-N(AT189)</f>
        <v>-453.9</v>
      </c>
      <c r="AU225" s="51" t="n">
        <f aca="false">-N(AU189)</f>
        <v>-6.4</v>
      </c>
      <c r="AV225" s="51" t="n">
        <f aca="false">-N(AV189)</f>
        <v>-9</v>
      </c>
      <c r="AW225" s="51" t="n">
        <f aca="false">-N(AW189)</f>
        <v>-468</v>
      </c>
      <c r="AX225" s="51" t="n">
        <f aca="false">-N(AX189)</f>
        <v>-140</v>
      </c>
      <c r="AY225" s="51" t="n">
        <f aca="false">-N(AY189)</f>
        <v>-97</v>
      </c>
      <c r="AZ225" s="51" t="n">
        <f aca="false">-N(AZ189)</f>
        <v>-137</v>
      </c>
      <c r="BA225" s="51" t="n">
        <f aca="false">-N(BA189)</f>
        <v>14</v>
      </c>
      <c r="BB225" s="51" t="n">
        <f aca="false">-N(BB189)</f>
        <v>-360</v>
      </c>
      <c r="BC225" s="51" t="n">
        <f aca="false">-N(BC189)</f>
        <v>20</v>
      </c>
      <c r="BD225" s="51" t="n">
        <f aca="false">-N(BD189)</f>
        <v>87</v>
      </c>
      <c r="BE225" s="51" t="n">
        <f aca="false">-N(BE189)</f>
        <v>51</v>
      </c>
      <c r="BF225" s="51" t="n">
        <f aca="false">-N(BF189)</f>
        <v>69</v>
      </c>
      <c r="BG225" s="51" t="n">
        <f aca="false">-N(BG189)</f>
        <v>227</v>
      </c>
      <c r="BH225" s="51" t="n">
        <f aca="false">-N(BH189)</f>
        <v>-24</v>
      </c>
      <c r="BI225" s="51" t="n">
        <f aca="false">-N(BI189)</f>
        <v>15</v>
      </c>
      <c r="BJ225" s="51" t="n">
        <f aca="false">-N(BJ189)</f>
        <v>47</v>
      </c>
      <c r="BK225" s="51" t="n">
        <f aca="false">-N(BK189)</f>
        <v>137</v>
      </c>
      <c r="BL225" s="51" t="n">
        <f aca="false">-N(BL189)</f>
        <v>175</v>
      </c>
      <c r="BM225" s="51" t="n">
        <f aca="false">-N(BM189)</f>
        <v>36</v>
      </c>
      <c r="BN225" s="51" t="n">
        <f aca="false">-N(BN189)</f>
        <v>59</v>
      </c>
      <c r="BO225" s="51" t="n">
        <f aca="false">-N(BO189)</f>
        <v>-102</v>
      </c>
      <c r="BP225" s="51" t="n">
        <f aca="false">-N(BP189)</f>
        <v>63</v>
      </c>
      <c r="BQ225" s="51" t="n">
        <f aca="false">-N(BQ189)</f>
        <v>56</v>
      </c>
      <c r="BR225" s="51" t="n">
        <f aca="false">-N(BR189)</f>
        <v>79</v>
      </c>
      <c r="BS225" s="51" t="n">
        <f aca="false">-N(BS189)</f>
        <v>42</v>
      </c>
      <c r="BT225" s="51" t="n">
        <f aca="false">-N(BT189)</f>
        <v>14</v>
      </c>
      <c r="BU225" s="51" t="n">
        <f aca="false">-N(BU189)</f>
        <v>87</v>
      </c>
      <c r="BV225" s="51" t="n">
        <f aca="false">-N(BV189)</f>
        <v>222</v>
      </c>
      <c r="BW225" s="51" t="n">
        <f aca="false">-N(BW189)</f>
        <v>73</v>
      </c>
      <c r="BX225" s="51" t="n">
        <f aca="false">-N(BX189)</f>
        <v>3</v>
      </c>
      <c r="BY225" s="41" t="n">
        <f aca="false">-N(BY189)</f>
        <v>-0</v>
      </c>
      <c r="BZ225" s="41" t="n">
        <f aca="false">-N(BZ189)</f>
        <v>-0</v>
      </c>
      <c r="CA225" s="41" t="n">
        <f aca="false">-N(CA189)</f>
        <v>76</v>
      </c>
      <c r="CB225" s="41" t="n">
        <f aca="false">-N(CB189)</f>
        <v>-0</v>
      </c>
      <c r="CC225" s="41" t="n">
        <f aca="false">-N(CC189)</f>
        <v>-0</v>
      </c>
      <c r="CD225" s="41" t="n">
        <f aca="false">-N(CD189)</f>
        <v>-0</v>
      </c>
      <c r="CE225" s="41" t="n">
        <f aca="false">-N(CE189)</f>
        <v>-0</v>
      </c>
      <c r="CF225" s="37"/>
    </row>
    <row r="226" customFormat="false" ht="15" hidden="false" customHeight="true" outlineLevel="0" collapsed="false">
      <c r="B226" s="18" t="s">
        <v>378</v>
      </c>
      <c r="C226" s="44" t="n">
        <f aca="false">N(C224)+N(C225)</f>
        <v>-10.8</v>
      </c>
      <c r="D226" s="44" t="n">
        <f aca="false">N(D224)+N(D225)</f>
        <v>57.9</v>
      </c>
      <c r="E226" s="44" t="n">
        <f aca="false">N(E224)+N(E225)</f>
        <v>106</v>
      </c>
      <c r="F226" s="44" t="n">
        <f aca="false">N(F224)+N(F225)</f>
        <v>122.8</v>
      </c>
      <c r="G226" s="44" t="n">
        <f aca="false">N(G224)+N(G225)</f>
        <v>-244.6</v>
      </c>
      <c r="H226" s="44" t="n">
        <f aca="false">N(H224)+N(H225)</f>
        <v>149.5</v>
      </c>
      <c r="I226" s="44" t="n">
        <f aca="false">N(I224)+N(I225)</f>
        <v>0</v>
      </c>
      <c r="J226" s="44" t="n">
        <f aca="false">N(J224)+N(J225)</f>
        <v>-229.8</v>
      </c>
      <c r="K226" s="44" t="n">
        <f aca="false">N(K224)+N(K225)</f>
        <v>0</v>
      </c>
      <c r="L226" s="44" t="n">
        <f aca="false">N(L224)+N(L225)</f>
        <v>0</v>
      </c>
      <c r="M226" s="44" t="n">
        <f aca="false">N(M224)+N(M225)</f>
        <v>-182.5</v>
      </c>
      <c r="N226" s="44" t="n">
        <f aca="false">N(N224)+N(N225)</f>
        <v>-412.3</v>
      </c>
      <c r="O226" s="44" t="n">
        <f aca="false">N(O224)+N(O225)</f>
        <v>0</v>
      </c>
      <c r="P226" s="44" t="n">
        <f aca="false">N(P224)+N(P225)</f>
        <v>-19.2</v>
      </c>
      <c r="Q226" s="44" t="n">
        <f aca="false">N(Q224)+N(Q225)</f>
        <v>-38.2</v>
      </c>
      <c r="R226" s="44" t="n">
        <f aca="false">N(R224)+N(R225)</f>
        <v>-14.1</v>
      </c>
      <c r="S226" s="44" t="n">
        <f aca="false">N(S224)+N(S225)</f>
        <v>-71.5</v>
      </c>
      <c r="T226" s="44" t="n">
        <f aca="false">N(T224)+N(T225)</f>
        <v>15</v>
      </c>
      <c r="U226" s="44" t="n">
        <f aca="false">N(U224)+N(U225)</f>
        <v>0</v>
      </c>
      <c r="V226" s="44" t="n">
        <f aca="false">N(V224)+N(V225)</f>
        <v>46.6</v>
      </c>
      <c r="W226" s="44" t="n">
        <f aca="false">N(W224)+N(W225)</f>
        <v>57</v>
      </c>
      <c r="X226" s="44" t="n">
        <f aca="false">N(X224)+N(X225)</f>
        <v>102.6</v>
      </c>
      <c r="Y226" s="44" t="n">
        <f aca="false">N(Y224)+N(Y225)</f>
        <v>-209.4</v>
      </c>
      <c r="Z226" s="44" t="n">
        <f aca="false">N(Z224)+N(Z225)</f>
        <v>17</v>
      </c>
      <c r="AA226" s="44" t="n">
        <f aca="false">N(AA224)+N(AA225)</f>
        <v>160.8</v>
      </c>
      <c r="AB226" s="44" t="n">
        <f aca="false">N(AB224)+N(AB225)</f>
        <v>84</v>
      </c>
      <c r="AC226" s="44" t="n">
        <f aca="false">N(AC224)+N(AC225)</f>
        <v>21.4</v>
      </c>
      <c r="AD226" s="44" t="n">
        <f aca="false">N(AD224)+N(AD225)</f>
        <v>-6.9</v>
      </c>
      <c r="AE226" s="44" t="n">
        <f aca="false">N(AE224)+N(AE225)</f>
        <v>69</v>
      </c>
      <c r="AF226" s="44" t="n">
        <f aca="false">N(AF224)+N(AF225)</f>
        <v>-8.3</v>
      </c>
      <c r="AG226" s="44" t="n">
        <f aca="false">N(AG224)+N(AG225)</f>
        <v>-92.4</v>
      </c>
      <c r="AH226" s="44" t="n">
        <f aca="false">N(AH224)+N(AH225)</f>
        <v>-38.6</v>
      </c>
      <c r="AI226" s="44" t="n">
        <f aca="false">N(AI224)+N(AI225)</f>
        <v>-7.8</v>
      </c>
      <c r="AJ226" s="44" t="n">
        <f aca="false">N(AJ224)+N(AJ225)</f>
        <v>-1.3</v>
      </c>
      <c r="AK226" s="44" t="n">
        <f aca="false">N(AK224)+N(AK225)</f>
        <v>-9.1</v>
      </c>
      <c r="AL226" s="44" t="n">
        <f aca="false">N(AL224)+N(AL225)</f>
        <v>3.8</v>
      </c>
      <c r="AM226" s="44" t="n">
        <f aca="false">N(AM224)+N(AM225)</f>
        <v>-12.5</v>
      </c>
      <c r="AN226" s="44" t="n">
        <f aca="false">N(AN224)+N(AN225)</f>
        <v>56.9</v>
      </c>
      <c r="AO226" s="44" t="n">
        <f aca="false">N(AO224)+N(AO225)</f>
        <v>24</v>
      </c>
      <c r="AP226" s="44" t="n">
        <f aca="false">N(AP224)+N(AP225)</f>
        <v>50.8</v>
      </c>
      <c r="AQ226" s="44" t="n">
        <f aca="false">N(AQ224)+N(AQ225)</f>
        <v>38.8</v>
      </c>
      <c r="AR226" s="44" t="n">
        <f aca="false">N(AR224)+N(AR225)</f>
        <v>87.5</v>
      </c>
      <c r="AS226" s="44" t="n">
        <f aca="false">N(AS224)+N(AS225)</f>
        <v>68.5</v>
      </c>
      <c r="AT226" s="44" t="n">
        <f aca="false">N(AT224)+N(AT225)</f>
        <v>-225.9</v>
      </c>
      <c r="AU226" s="44" t="n">
        <f aca="false">N(AU224)+N(AU225)</f>
        <v>239.6</v>
      </c>
      <c r="AV226" s="44" t="n">
        <f aca="false">N(AV224)+N(AV225)</f>
        <v>40</v>
      </c>
      <c r="AW226" s="44" t="n">
        <f aca="false">N(AW224)+N(AW225)</f>
        <v>122</v>
      </c>
      <c r="AX226" s="44" t="n">
        <f aca="false">N(AX224)+N(AX225)</f>
        <v>-84</v>
      </c>
      <c r="AY226" s="44" t="n">
        <f aca="false">N(AY224)+N(AY225)</f>
        <v>-97</v>
      </c>
      <c r="AZ226" s="44" t="n">
        <f aca="false">N(AZ224)+N(AZ225)</f>
        <v>455</v>
      </c>
      <c r="BA226" s="44" t="n">
        <f aca="false">N(BA224)+N(BA225)</f>
        <v>27</v>
      </c>
      <c r="BB226" s="44" t="n">
        <f aca="false">N(BB224)+N(BB225)</f>
        <v>301</v>
      </c>
      <c r="BC226" s="44" t="n">
        <f aca="false">N(BC224)+N(BC225)</f>
        <v>63</v>
      </c>
      <c r="BD226" s="44" t="n">
        <f aca="false">N(BD224)+N(BD225)</f>
        <v>96</v>
      </c>
      <c r="BE226" s="44" t="n">
        <f aca="false">N(BE224)+N(BE225)</f>
        <v>51</v>
      </c>
      <c r="BF226" s="44" t="n">
        <f aca="false">N(BF224)+N(BF225)</f>
        <v>78</v>
      </c>
      <c r="BG226" s="44" t="n">
        <f aca="false">N(BG224)+N(BG225)</f>
        <v>288</v>
      </c>
      <c r="BH226" s="44" t="n">
        <f aca="false">N(BH224)+N(BH225)</f>
        <v>4</v>
      </c>
      <c r="BI226" s="44" t="n">
        <f aca="false">N(BI224)+N(BI225)</f>
        <v>100</v>
      </c>
      <c r="BJ226" s="44" t="n">
        <f aca="false">N(BJ224)+N(BJ225)</f>
        <v>89</v>
      </c>
      <c r="BK226" s="44" t="n">
        <f aca="false">N(BK224)+N(BK225)</f>
        <v>257</v>
      </c>
      <c r="BL226" s="44" t="n">
        <f aca="false">N(BL224)+N(BL225)</f>
        <v>337</v>
      </c>
      <c r="BM226" s="44" t="n">
        <f aca="false">N(BM224)+N(BM225)</f>
        <v>61</v>
      </c>
      <c r="BN226" s="44" t="n">
        <f aca="false">N(BN224)+N(BN225)</f>
        <v>59</v>
      </c>
      <c r="BO226" s="44" t="n">
        <f aca="false">N(BO224)+N(BO225)</f>
        <v>120</v>
      </c>
      <c r="BP226" s="44" t="n">
        <f aca="false">N(BP224)+N(BP225)</f>
        <v>162</v>
      </c>
      <c r="BQ226" s="44" t="n">
        <f aca="false">N(BQ224)+N(BQ225)</f>
        <v>402</v>
      </c>
      <c r="BR226" s="44" t="n">
        <f aca="false">N(BR224)+N(BR225)</f>
        <v>94</v>
      </c>
      <c r="BS226" s="44" t="n">
        <f aca="false">N(BS224)+N(BS225)</f>
        <v>474</v>
      </c>
      <c r="BT226" s="44" t="n">
        <f aca="false">N(BT224)+N(BT225)</f>
        <v>115</v>
      </c>
      <c r="BU226" s="44" t="n">
        <f aca="false">N(BU224)+N(BU225)</f>
        <v>91</v>
      </c>
      <c r="BV226" s="44" t="n">
        <f aca="false">N(BV224)+N(BV225)</f>
        <v>774</v>
      </c>
      <c r="BW226" s="44" t="n">
        <f aca="false">N(BW224)+N(BW225)</f>
        <v>90</v>
      </c>
      <c r="BX226" s="44" t="n">
        <f aca="false">N(BX224)+N(BX225)</f>
        <v>111</v>
      </c>
      <c r="BY226" s="21" t="n">
        <f aca="false">N(BY224)+N(BY225)</f>
        <v>30</v>
      </c>
      <c r="BZ226" s="21" t="n">
        <f aca="false">N(BZ224)+N(BZ225)</f>
        <v>0</v>
      </c>
      <c r="CA226" s="21" t="n">
        <f aca="false">N(CA224)+N(CA225)</f>
        <v>231</v>
      </c>
      <c r="CB226" s="21" t="n">
        <f aca="false">N(CB224)+N(CB225)</f>
        <v>0</v>
      </c>
      <c r="CC226" s="21" t="n">
        <f aca="false">N(CC224)+N(CC225)</f>
        <v>0</v>
      </c>
      <c r="CD226" s="21" t="n">
        <f aca="false">N(CD224)+N(CD225)</f>
        <v>0</v>
      </c>
      <c r="CE226" s="21" t="n">
        <f aca="false">N(CE224)+N(CE225)</f>
        <v>0</v>
      </c>
      <c r="CF226" s="7"/>
    </row>
    <row r="227" customFormat="false" ht="15" hidden="false" customHeight="true" outlineLevel="0" collapsed="false">
      <c r="B227" s="62" t="s">
        <v>379</v>
      </c>
      <c r="C227" s="63" t="n">
        <f aca="false">IF(ISNUMBER(C223),C223+C226,"")</f>
        <v>1706.7</v>
      </c>
      <c r="D227" s="63" t="n">
        <f aca="false">IF(ISNUMBER(D223),D223+D226,"")</f>
        <v>2067.1</v>
      </c>
      <c r="E227" s="63" t="n">
        <f aca="false">IF(ISNUMBER(E223),E223+E226,"")</f>
        <v>2314.8</v>
      </c>
      <c r="F227" s="63" t="n">
        <f aca="false">IF(ISNUMBER(F223),F223+F226,"")</f>
        <v>2006.8</v>
      </c>
      <c r="G227" s="63" t="n">
        <f aca="false">IF(ISNUMBER(G223),G223+G226,"")</f>
        <v>2493.1</v>
      </c>
      <c r="H227" s="63" t="n">
        <f aca="false">IF(ISNUMBER(H223),H223+H226,"")</f>
        <v>3368.8</v>
      </c>
      <c r="I227" s="63" t="n">
        <f aca="false">IF(ISNUMBER(I223),I223+I226,"")</f>
        <v>4004.9</v>
      </c>
      <c r="J227" s="63" t="n">
        <f aca="false">IF(ISNUMBER(J223),J223+J226,"")</f>
        <v>947.7</v>
      </c>
      <c r="K227" s="63" t="n">
        <f aca="false">IF(ISNUMBER(K223),K223+K226,"")</f>
        <v>1063.2</v>
      </c>
      <c r="L227" s="63" t="n">
        <f aca="false">IF(ISNUMBER(L223),L223+L226,"")</f>
        <v>1037.7</v>
      </c>
      <c r="M227" s="63" t="n">
        <f aca="false">IF(ISNUMBER(M223),M223+M226,"")</f>
        <v>1140.3</v>
      </c>
      <c r="N227" s="63" t="n">
        <f aca="false">IF(ISNUMBER(N223),N223+N226,"")</f>
        <v>4188.9</v>
      </c>
      <c r="O227" s="63" t="n">
        <f aca="false">IF(ISNUMBER(O223),O223+O226,"")</f>
        <v>1013.6</v>
      </c>
      <c r="P227" s="63" t="n">
        <f aca="false">IF(ISNUMBER(P223),P223+P226,"")</f>
        <v>1124.7</v>
      </c>
      <c r="Q227" s="63" t="n">
        <f aca="false">IF(ISNUMBER(Q223),Q223+Q226,"")</f>
        <v>1098.6</v>
      </c>
      <c r="R227" s="63" t="n">
        <f aca="false">IF(ISNUMBER(R223),R223+R226,"")</f>
        <v>1181.5</v>
      </c>
      <c r="S227" s="63" t="n">
        <f aca="false">IF(ISNUMBER(S223),S223+S226,"")</f>
        <v>4336.2</v>
      </c>
      <c r="T227" s="63" t="n">
        <f aca="false">IF(ISNUMBER(T223),T223+T226,"")</f>
        <v>1009.6</v>
      </c>
      <c r="U227" s="63" t="n">
        <f aca="false">IF(ISNUMBER(U223),U223+U226,"")</f>
        <v>1174.6</v>
      </c>
      <c r="V227" s="63" t="n">
        <f aca="false">IF(ISNUMBER(V223),V223+V226,"")</f>
        <v>776</v>
      </c>
      <c r="W227" s="63" t="n">
        <f aca="false">IF(ISNUMBER(W223),W223+W226,"")</f>
        <v>1003.4</v>
      </c>
      <c r="X227" s="63" t="n">
        <f aca="false">IF(ISNUMBER(X223),X223+X226,"")</f>
        <v>3247.5</v>
      </c>
      <c r="Y227" s="63" t="n">
        <f aca="false">IF(ISNUMBER(Y223),Y223+Y226,"")</f>
        <v>916.8</v>
      </c>
      <c r="Z227" s="63" t="n">
        <f aca="false">IF(ISNUMBER(Z223),Z223+Z226,"")</f>
        <v>1027.3</v>
      </c>
      <c r="AA227" s="63" t="n">
        <f aca="false">IF(ISNUMBER(AA223),AA223+AA226,"")</f>
        <v>913.700000000001</v>
      </c>
      <c r="AB227" s="63" t="n">
        <f aca="false">IF(ISNUMBER(AB223),AB223+AB226,"")</f>
        <v>1118.2</v>
      </c>
      <c r="AC227" s="63" t="n">
        <f aca="false">IF(ISNUMBER(AC223),AC223+AC226,"")</f>
        <v>3945</v>
      </c>
      <c r="AD227" s="63" t="n">
        <f aca="false">IF(ISNUMBER(AD223),AD223+AD226,"")</f>
        <v>922.6</v>
      </c>
      <c r="AE227" s="63" t="n">
        <f aca="false">IF(ISNUMBER(AE223),AE223+AE226,"")</f>
        <v>1055.9</v>
      </c>
      <c r="AF227" s="63" t="n">
        <f aca="false">IF(ISNUMBER(AF223),AF223+AF226,"")</f>
        <v>1070.5</v>
      </c>
      <c r="AG227" s="63" t="n">
        <f aca="false">IF(ISNUMBER(AG223),AG223+AG226,"")</f>
        <v>1244.7</v>
      </c>
      <c r="AH227" s="63" t="n">
        <f aca="false">IF(ISNUMBER(AH223),AH223+AH226,"")</f>
        <v>4293.7</v>
      </c>
      <c r="AI227" s="63" t="n">
        <f aca="false">IF(ISNUMBER(AI223),AI223+AI226,"")</f>
        <v>1063.8</v>
      </c>
      <c r="AJ227" s="63" t="n">
        <f aca="false">IF(ISNUMBER(AJ223),AJ223+AJ226,"")</f>
        <v>1209.1</v>
      </c>
      <c r="AK227" s="63" t="n">
        <f aca="false">IF(ISNUMBER(AK223),AK223+AK226,"")</f>
        <v>1152.2</v>
      </c>
      <c r="AL227" s="63" t="n">
        <f aca="false">IF(ISNUMBER(AL223),AL223+AL226,"")</f>
        <v>1186.6</v>
      </c>
      <c r="AM227" s="63" t="n">
        <f aca="false">IF(ISNUMBER(AM223),AM223+AM226,"")</f>
        <v>4294.2</v>
      </c>
      <c r="AN227" s="63" t="n">
        <f aca="false">IF(ISNUMBER(AN223),AN223+AN226,"")</f>
        <v>1087.6</v>
      </c>
      <c r="AO227" s="63" t="n">
        <f aca="false">IF(ISNUMBER(AO223),AO223+AO226,"")</f>
        <v>1149</v>
      </c>
      <c r="AP227" s="63" t="n">
        <f aca="false">IF(ISNUMBER(AP223),AP223+AP226,"")</f>
        <v>1136.7</v>
      </c>
      <c r="AQ227" s="63" t="n">
        <f aca="false">IF(ISNUMBER(AQ223),AQ223+AQ226,"")</f>
        <v>1261.6</v>
      </c>
      <c r="AR227" s="63" t="n">
        <f aca="false">IF(ISNUMBER(AR223),AR223+AR226,"")</f>
        <v>4551.9</v>
      </c>
      <c r="AS227" s="63" t="n">
        <f aca="false">IF(ISNUMBER(AS223),AS223+AS226,"")</f>
        <v>1062.3</v>
      </c>
      <c r="AT227" s="63" t="n">
        <f aca="false">IF(ISNUMBER(AT223),AT223+AT226,"")</f>
        <v>1549.7</v>
      </c>
      <c r="AU227" s="63" t="n">
        <f aca="false">IF(ISNUMBER(AU223),AU223+AU226,"")</f>
        <v>1825.1</v>
      </c>
      <c r="AV227" s="63" t="n">
        <f aca="false">IF(ISNUMBER(AV223),AV223+AV226,"")</f>
        <v>2158.2</v>
      </c>
      <c r="AW227" s="63" t="n">
        <f aca="false">IF(ISNUMBER(AW223),AW223+AW226,"")</f>
        <v>6596</v>
      </c>
      <c r="AX227" s="63" t="n">
        <f aca="false">IF(ISNUMBER(AX223),AX223+AX226,"")</f>
        <v>2555</v>
      </c>
      <c r="AY227" s="63" t="n">
        <f aca="false">IF(ISNUMBER(AY223),AY223+AY226,"")</f>
        <v>2530</v>
      </c>
      <c r="AZ227" s="63" t="n">
        <f aca="false">IF(ISNUMBER(AZ223),AZ223+AZ226,"")</f>
        <v>2455</v>
      </c>
      <c r="BA227" s="63" t="n">
        <f aca="false">IF(ISNUMBER(BA223),BA223+BA226,"")</f>
        <v>2754</v>
      </c>
      <c r="BB227" s="63" t="n">
        <f aca="false">IF(ISNUMBER(BB223),BB223+BB226,"")</f>
        <v>10294</v>
      </c>
      <c r="BC227" s="63" t="n">
        <f aca="false">IF(ISNUMBER(BC223),BC223+BC226,"")</f>
        <v>2780</v>
      </c>
      <c r="BD227" s="63" t="n">
        <f aca="false">IF(ISNUMBER(BD223),BD223+BD226,"")</f>
        <v>2766</v>
      </c>
      <c r="BE227" s="63" t="n">
        <f aca="false">IF(ISNUMBER(BE223),BE223+BE226,"")</f>
        <v>2555</v>
      </c>
      <c r="BF227" s="63" t="n">
        <f aca="false">IF(ISNUMBER(BF223),BF223+BF226,"")</f>
        <v>2559</v>
      </c>
      <c r="BG227" s="63" t="n">
        <f aca="false">IF(ISNUMBER(BG223),BG223+BG226,"")</f>
        <v>9769</v>
      </c>
      <c r="BH227" s="63" t="n">
        <f aca="false">IF(ISNUMBER(BH223),BH223+BH226,"")</f>
        <v>2090</v>
      </c>
      <c r="BI227" s="63" t="n">
        <f aca="false">IF(ISNUMBER(BI223),BI223+BI226,"")</f>
        <v>1798</v>
      </c>
      <c r="BJ227" s="63" t="n">
        <f aca="false">IF(ISNUMBER(BJ223),BJ223+BJ226,"")</f>
        <v>1769</v>
      </c>
      <c r="BK227" s="63" t="n">
        <f aca="false">IF(ISNUMBER(BK223),BK223+BK226,"")</f>
        <v>1986</v>
      </c>
      <c r="BL227" s="63" t="n">
        <f aca="false">IF(ISNUMBER(BL223),BL223+BL226,"")</f>
        <v>7530</v>
      </c>
      <c r="BM227" s="63" t="n">
        <f aca="false">IF(ISNUMBER(BM223),BM223+BM226,"")</f>
        <v>1923</v>
      </c>
      <c r="BN227" s="63" t="n">
        <f aca="false">IF(ISNUMBER(BN223),BN223+BN226,"")</f>
        <v>1748</v>
      </c>
      <c r="BO227" s="63" t="n">
        <f aca="false">IF(ISNUMBER(BO223),BO223+BO226,"")</f>
        <v>1771</v>
      </c>
      <c r="BP227" s="63" t="n">
        <f aca="false">IF(ISNUMBER(BP223),BP223+BP226,"")</f>
        <v>2119</v>
      </c>
      <c r="BQ227" s="63" t="n">
        <f aca="false">IF(ISNUMBER(BQ223),BQ223+BQ226,"")</f>
        <v>7561</v>
      </c>
      <c r="BR227" s="63" t="n">
        <f aca="false">IF(ISNUMBER(BR223),BR223+BR226,"")</f>
        <v>1880</v>
      </c>
      <c r="BS227" s="63" t="n">
        <f aca="false">IF(ISNUMBER(BS223),BS223+BS226,"")</f>
        <v>1803</v>
      </c>
      <c r="BT227" s="63" t="n">
        <f aca="false">IF(ISNUMBER(BT223),BT223+BT226,"")</f>
        <v>1877</v>
      </c>
      <c r="BU227" s="63" t="n">
        <f aca="false">IF(ISNUMBER(BU223),BU223+BU226,"")</f>
        <v>2129</v>
      </c>
      <c r="BV227" s="63" t="n">
        <f aca="false">IF(ISNUMBER(BV223),BV223+BV226,"")</f>
        <v>7689</v>
      </c>
      <c r="BW227" s="63" t="n">
        <f aca="false">IF(ISNUMBER(BW223),BW223+BW226,"")</f>
        <v>1988</v>
      </c>
      <c r="BX227" s="63" t="n">
        <f aca="false">IF(ISNUMBER(BX223),BX223+BX226,"")</f>
        <v>1894</v>
      </c>
      <c r="BY227" s="63" t="n">
        <f aca="false">IF(ISNUMBER(BY223),BY223+BY226,"")</f>
        <v>1964.46664518436</v>
      </c>
      <c r="BZ227" s="63" t="n">
        <f aca="false">IF(ISNUMBER(BZ223),BZ223+BZ226,"")</f>
        <v>2570.04285906697</v>
      </c>
      <c r="CA227" s="63" t="n">
        <f aca="false">IF(ISNUMBER(CA223),CA223+CA226,"")</f>
        <v>8416.50950425133</v>
      </c>
      <c r="CB227" s="63" t="n">
        <f aca="false">IF(ISNUMBER(CB223),CB223+CB226,"")</f>
        <v>9261.62017730247</v>
      </c>
      <c r="CC227" s="63" t="n">
        <f aca="false">IF(ISNUMBER(CC223),CC223+CC226,"")</f>
        <v>10055.0477723079</v>
      </c>
      <c r="CD227" s="63" t="n">
        <f aca="false">IF(ISNUMBER(CD223),CD223+CD226,"")</f>
        <v>10953.254345309</v>
      </c>
      <c r="CE227" s="63" t="n">
        <f aca="false">IF(ISNUMBER(CE223),CE223+CE226,"")</f>
        <v>11919.9239821937</v>
      </c>
      <c r="CF227" s="7" t="s">
        <v>380</v>
      </c>
      <c r="CH227" s="22" t="n">
        <f aca="false">IFERROR((CE227/BV227)^(1/5)-1,"n/m")</f>
        <v>0.0916432279918746</v>
      </c>
      <c r="CI227" s="22" t="n">
        <f aca="false">IFERROR((BV227/AW227)^(1/5)-1,"n/m")</f>
        <v>0.0311404949058098</v>
      </c>
      <c r="CJ227" s="22" t="n">
        <f aca="false">IFERROR((BV227/X227)^(1/10)-1,"n/m")</f>
        <v>0.0900139852341004</v>
      </c>
      <c r="CK227" s="22" t="n">
        <f aca="false">IFERROR((BV227/C227)^(1/19)-1,"n/m")</f>
        <v>0.082445227889131</v>
      </c>
    </row>
    <row r="228" customFormat="false" ht="15" hidden="false" customHeight="true" outlineLevel="0" collapsed="false">
      <c r="B228" s="27" t="s">
        <v>381</v>
      </c>
      <c r="C228" s="42" t="n">
        <f aca="false">IF(AND(ISNUMBER(C227),ISNUMBER(C178)),IFERROR(C227/C178,""),"")</f>
        <v>0.18029600363402</v>
      </c>
      <c r="D228" s="42" t="n">
        <f aca="false">IF(AND(ISNUMBER(D227),ISNUMBER(D178)),IFERROR(D227/D178,""),"")</f>
        <v>0.187476759266817</v>
      </c>
      <c r="E228" s="42" t="n">
        <f aca="false">IF(AND(ISNUMBER(E227),ISNUMBER(E178)),IFERROR(E227/E178,""),"")</f>
        <v>0.182303603071471</v>
      </c>
      <c r="F228" s="42" t="n">
        <f aca="false">IF(AND(ISNUMBER(F227),ISNUMBER(F178)),IFERROR(F227/F178,""),"")</f>
        <v>0.179420468667579</v>
      </c>
      <c r="G228" s="42" t="n">
        <f aca="false">IF(AND(ISNUMBER(G227),ISNUMBER(G178)),IFERROR(G227/G178,""),"")</f>
        <v>0.198653386454183</v>
      </c>
      <c r="H228" s="42" t="n">
        <f aca="false">IF(AND(ISNUMBER(H227),ISNUMBER(H178)),IFERROR(H227/H178,""),"")</f>
        <v>0.209365774836083</v>
      </c>
      <c r="I228" s="42" t="n">
        <f aca="false">IF(AND(ISNUMBER(I227),ISNUMBER(I178)),IFERROR(I227/I178,""),"")</f>
        <v>0.219321592079034</v>
      </c>
      <c r="J228" s="42" t="n">
        <f aca="false">IF(AND(ISNUMBER(J227),ISNUMBER(J178)),IFERROR(J227/J178,""),"")</f>
        <v>0.213220239836209</v>
      </c>
      <c r="K228" s="42" t="n">
        <f aca="false">IF(AND(ISNUMBER(K227),ISNUMBER(K178)),IFERROR(K227/K178,""),"")</f>
        <v>0.22442216358839</v>
      </c>
      <c r="L228" s="42" t="n">
        <f aca="false">IF(AND(ISNUMBER(L227),ISNUMBER(L178)),IFERROR(L227/L178,""),"")</f>
        <v>0.222248399049067</v>
      </c>
      <c r="M228" s="42" t="n">
        <f aca="false">IF(AND(ISNUMBER(M227),ISNUMBER(M178)),IFERROR(M227/M178,""),"")</f>
        <v>0.216511287903241</v>
      </c>
      <c r="N228" s="42" t="n">
        <f aca="false">IF(AND(ISNUMBER(N227),ISNUMBER(N178)),IFERROR(N227/N178,""),"")</f>
        <v>0.219107647243435</v>
      </c>
      <c r="O228" s="42" t="n">
        <f aca="false">IF(AND(ISNUMBER(O227),ISNUMBER(O178)),IFERROR(O227/O178,""),"")</f>
        <v>0.217384777060501</v>
      </c>
      <c r="P228" s="42" t="n">
        <f aca="false">IF(AND(ISNUMBER(P227),ISNUMBER(P178)),IFERROR(P227/P178,""),"")</f>
        <v>0.226589572084777</v>
      </c>
      <c r="Q228" s="42" t="n">
        <f aca="false">IF(AND(ISNUMBER(Q227),ISNUMBER(Q178)),IFERROR(Q227/Q178,""),"")</f>
        <v>0.233392109791591</v>
      </c>
      <c r="R228" s="42" t="n">
        <f aca="false">IF(AND(ISNUMBER(R227),ISNUMBER(R178)),IFERROR(R227/R178,""),"")</f>
        <v>0.226159029133647</v>
      </c>
      <c r="S228" s="42" t="n">
        <f aca="false">IF(AND(ISNUMBER(S227),ISNUMBER(S178)),IFERROR(S227/S178,""),"")</f>
        <v>0.226386133444711</v>
      </c>
      <c r="T228" s="42" t="n">
        <f aca="false">IF(AND(ISNUMBER(T227),ISNUMBER(T178)),IFERROR(T227/T178,""),"")</f>
        <v>0.215051014974333</v>
      </c>
      <c r="U228" s="42" t="n">
        <f aca="false">IF(AND(ISNUMBER(U227),ISNUMBER(U178)),IFERROR(U227/U178,""),"")</f>
        <v>0.236804967541631</v>
      </c>
      <c r="V228" s="42" t="n">
        <f aca="false">IF(AND(ISNUMBER(V227),ISNUMBER(V178)),IFERROR(V227/V178,""),"")</f>
        <v>0.220944137577587</v>
      </c>
      <c r="W228" s="42" t="n">
        <f aca="false">IF(AND(ISNUMBER(W227),ISNUMBER(W178)),IFERROR(W227/W178,""),"")</f>
        <v>0.232107332870692</v>
      </c>
      <c r="X228" s="42" t="n">
        <f aca="false">IF(AND(ISNUMBER(X227),ISNUMBER(X178)),IFERROR(X227/X178,""),"")</f>
        <v>0.22499428420987</v>
      </c>
      <c r="Y228" s="42" t="n">
        <f aca="false">IF(AND(ISNUMBER(Y227),ISNUMBER(Y178)),IFERROR(Y227/Y178,""),"")</f>
        <v>0.233633189776</v>
      </c>
      <c r="Z228" s="42" t="n">
        <f aca="false">IF(AND(ISNUMBER(Z227),ISNUMBER(Z178)),IFERROR(Z227/Z178,""),"")</f>
        <v>0.242179212145501</v>
      </c>
      <c r="AA228" s="42" t="n">
        <f aca="false">IF(AND(ISNUMBER(AA227),ISNUMBER(AA178)),IFERROR(AA227/AA178,""),"")</f>
        <v>0.221122431693328</v>
      </c>
      <c r="AB228" s="42" t="n">
        <f aca="false">IF(AND(ISNUMBER(AB227),ISNUMBER(AB178)),IFERROR(AB227/AB178,""),"")</f>
        <v>0.243919464258447</v>
      </c>
      <c r="AC228" s="42" t="n">
        <f aca="false">IF(AND(ISNUMBER(AC227),ISNUMBER(AC178)),IFERROR(AC227/AC178,""),"")</f>
        <v>0.233675306828413</v>
      </c>
      <c r="AD228" s="42" t="n">
        <f aca="false">IF(AND(ISNUMBER(AD227),ISNUMBER(AD178)),IFERROR(AD227/AD178,""),"")</f>
        <v>0.219368951660841</v>
      </c>
      <c r="AE228" s="42" t="n">
        <f aca="false">IF(AND(ISNUMBER(AE227),ISNUMBER(AE178)),IFERROR(AE227/AE178,""),"")</f>
        <v>0.234118977406266</v>
      </c>
      <c r="AF228" s="42" t="n">
        <f aca="false">IF(AND(ISNUMBER(AF227),ISNUMBER(AF178)),IFERROR(AF227/AF178,""),"")</f>
        <v>0.23640740249989</v>
      </c>
      <c r="AG228" s="42" t="n">
        <f aca="false">IF(AND(ISNUMBER(AG227),ISNUMBER(AG178)),IFERROR(AG227/AG178,""),"")</f>
        <v>0.244745069508622</v>
      </c>
      <c r="AH228" s="42" t="n">
        <f aca="false">IF(AND(ISNUMBER(AH227),ISNUMBER(AH178)),IFERROR(AH227/AH178,""),"")</f>
        <v>0.234248241924309</v>
      </c>
      <c r="AI228" s="42" t="n">
        <f aca="false">IF(AND(ISNUMBER(AI227),ISNUMBER(AI178)),IFERROR(AI227/AI178,""),"")</f>
        <v>0.226562167227499</v>
      </c>
      <c r="AJ228" s="42" t="n">
        <f aca="false">IF(AND(ISNUMBER(AJ227),ISNUMBER(AJ178)),IFERROR(AJ227/AJ178,""),"")</f>
        <v>0.242742421200562</v>
      </c>
      <c r="AK228" s="42" t="n">
        <f aca="false">IF(AND(ISNUMBER(AK227),ISNUMBER(AK178)),IFERROR(AK227/AK178,""),"")</f>
        <v>0.237415260349055</v>
      </c>
      <c r="AL228" s="42" t="n">
        <f aca="false">IF(AND(ISNUMBER(AL227),ISNUMBER(AL178)),IFERROR(AL227/AL178,""),"")</f>
        <v>0.257704419589532</v>
      </c>
      <c r="AM228" s="42" t="n">
        <f aca="false">IF(AND(ISNUMBER(AM227),ISNUMBER(AM178)),IFERROR(AM227/AM178,""),"")</f>
        <v>0.251881397190369</v>
      </c>
      <c r="AN228" s="42" t="n">
        <f aca="false">IF(AND(ISNUMBER(AN227),ISNUMBER(AN178)),IFERROR(AN227/AN178,""),"")</f>
        <v>0.257712904601678</v>
      </c>
      <c r="AO228" s="42" t="n">
        <f aca="false">IF(AND(ISNUMBER(AO227),ISNUMBER(AO178)),IFERROR(AO227/AO178,""),"")</f>
        <v>0.258521768477894</v>
      </c>
      <c r="AP228" s="42" t="n">
        <f aca="false">IF(AND(ISNUMBER(AP227),ISNUMBER(AP178)),IFERROR(AP227/AP178,""),"")</f>
        <v>0.259639104613979</v>
      </c>
      <c r="AQ228" s="42" t="n">
        <f aca="false">IF(AND(ISNUMBER(AQ227),ISNUMBER(AQ178)),IFERROR(AQ227/AQ178,""),"")</f>
        <v>0.259140580067373</v>
      </c>
      <c r="AR228" s="42" t="n">
        <f aca="false">IF(AND(ISNUMBER(AR227),ISNUMBER(AR178)),IFERROR(AR227/AR178,""),"")</f>
        <v>0.254138495123136</v>
      </c>
      <c r="AS228" s="42" t="n">
        <f aca="false">IF(AND(ISNUMBER(AS227),ISNUMBER(AS178)),IFERROR(AS227/AS178,""),"")</f>
        <v>0.244594874628721</v>
      </c>
      <c r="AT228" s="42" t="n">
        <f aca="false">IF(AND(ISNUMBER(AT227),ISNUMBER(AT178)),IFERROR(AT227/AT178,""),"")</f>
        <v>0.292539736474497</v>
      </c>
      <c r="AU228" s="42" t="n">
        <f aca="false">IF(AND(ISNUMBER(AU227),ISNUMBER(AU178)),IFERROR(AU227/AU178,""),"")</f>
        <v>0.31022232798477</v>
      </c>
      <c r="AV228" s="42" t="n">
        <f aca="false">IF(AND(ISNUMBER(AV227),ISNUMBER(AV178)),IFERROR(AV227/AV178,""),"")</f>
        <v>0.319260355029586</v>
      </c>
      <c r="AW228" s="42" t="n">
        <f aca="false">IF(AND(ISNUMBER(AW227),ISNUMBER(AW178)),IFERROR(AW227/AW178,""),"")</f>
        <v>0.295997127984204</v>
      </c>
      <c r="AX228" s="42" t="n">
        <f aca="false">IF(AND(ISNUMBER(AX227),ISNUMBER(AX178)),IFERROR(AX227/AX178,""),"")</f>
        <v>0.372557596967046</v>
      </c>
      <c r="AY228" s="42" t="n">
        <f aca="false">IF(AND(ISNUMBER(AY227),ISNUMBER(AY178)),IFERROR(AY227/AY178,""),"")</f>
        <v>0.350512607370463</v>
      </c>
      <c r="AZ228" s="42" t="n">
        <f aca="false">IF(AND(ISNUMBER(AZ227),ISNUMBER(AZ178)),IFERROR(AZ227/AZ178,""),"")</f>
        <v>0.339604371282335</v>
      </c>
      <c r="BA228" s="42" t="n">
        <f aca="false">IF(AND(ISNUMBER(BA227),ISNUMBER(BA178)),IFERROR(BA227/BA178,""),"")</f>
        <v>0.3379970544919</v>
      </c>
      <c r="BB228" s="42" t="n">
        <f aca="false">IF(AND(ISNUMBER(BB227),ISNUMBER(BB178)),IFERROR(BB227/BB178,""),"")</f>
        <v>0.349505992598377</v>
      </c>
      <c r="BC228" s="42" t="n">
        <f aca="false">IF(AND(ISNUMBER(BC227),ISNUMBER(BC178)),IFERROR(BC227/BC178,""),"")</f>
        <v>0.361602497398543</v>
      </c>
      <c r="BD228" s="42" t="n">
        <f aca="false">IF(AND(ISNUMBER(BD227),ISNUMBER(BD178)),IFERROR(BD227/BD178,""),"")</f>
        <v>0.356857179718746</v>
      </c>
      <c r="BE228" s="42" t="n">
        <f aca="false">IF(AND(ISNUMBER(BE227),ISNUMBER(BE178)),IFERROR(BE227/BE178,""),"")</f>
        <v>0.333420331462874</v>
      </c>
      <c r="BF228" s="42" t="n">
        <f aca="false">IF(AND(ISNUMBER(BF227),ISNUMBER(BF178)),IFERROR(BF227/BF178,""),"")</f>
        <v>0.358704793944491</v>
      </c>
      <c r="BG228" s="42" t="n">
        <f aca="false">IF(AND(ISNUMBER(BG227),ISNUMBER(BG178)),IFERROR(BG227/BG178,""),"")</f>
        <v>0.366662913335585</v>
      </c>
      <c r="BH228" s="42" t="n">
        <f aca="false">IF(AND(ISNUMBER(BH227),ISNUMBER(BH178)),IFERROR(BH227/BH178,""),"")</f>
        <v>0.351319549504118</v>
      </c>
      <c r="BI228" s="42" t="n">
        <f aca="false">IF(AND(ISNUMBER(BI227),ISNUMBER(BI178)),IFERROR(BI227/BI178,""),"")</f>
        <v>0.304127198917456</v>
      </c>
      <c r="BJ228" s="42" t="n">
        <f aca="false">IF(AND(ISNUMBER(BJ227),ISNUMBER(BJ178)),IFERROR(BJ227/BJ178,""),"")</f>
        <v>0.314544807965861</v>
      </c>
      <c r="BK228" s="42" t="n">
        <f aca="false">IF(AND(ISNUMBER(BK227),ISNUMBER(BK178)),IFERROR(BK227/BK178,""),"")</f>
        <v>0.310070257611241</v>
      </c>
      <c r="BL228" s="42" t="n">
        <f aca="false">IF(AND(ISNUMBER(BL227),ISNUMBER(BL178)),IFERROR(BL227/BL178,""),"")</f>
        <v>0.315194642109669</v>
      </c>
      <c r="BM228" s="42" t="n">
        <f aca="false">IF(AND(ISNUMBER(BM227),ISNUMBER(BM178)),IFERROR(BM227/BM178,""),"")</f>
        <v>0.331780538302277</v>
      </c>
      <c r="BN228" s="42" t="n">
        <f aca="false">IF(AND(ISNUMBER(BN227),ISNUMBER(BN178)),IFERROR(BN227/BN178,""),"")</f>
        <v>0.304370538046317</v>
      </c>
      <c r="BO228" s="42" t="n">
        <f aca="false">IF(AND(ISNUMBER(BO227),ISNUMBER(BO178)),IFERROR(BO227/BO178,""),"")</f>
        <v>0.30545015522594</v>
      </c>
      <c r="BP228" s="42" t="n">
        <f aca="false">IF(AND(ISNUMBER(BP227),ISNUMBER(BP178)),IFERROR(BP227/BP178,""),"")</f>
        <v>0.324105230957479</v>
      </c>
      <c r="BQ228" s="42" t="n">
        <f aca="false">IF(AND(ISNUMBER(BQ227),ISNUMBER(BQ178)),IFERROR(BQ227/BQ178,""),"")</f>
        <v>0.31669109947644</v>
      </c>
      <c r="BR228" s="42" t="n">
        <f aca="false">IF(AND(ISNUMBER(BR227),ISNUMBER(BR178)),IFERROR(BR227/BR178,""),"")</f>
        <v>0.327469082041456</v>
      </c>
      <c r="BS228" s="42" t="n">
        <f aca="false">IF(AND(ISNUMBER(BS227),ISNUMBER(BS178)),IFERROR(BS227/BS178,""),"")</f>
        <v>0.303739892183288</v>
      </c>
      <c r="BT228" s="42" t="n">
        <f aca="false">IF(AND(ISNUMBER(BT227),ISNUMBER(BT178)),IFERROR(BT227/BT178,""),"")</f>
        <v>0.310094168181067</v>
      </c>
      <c r="BU228" s="42" t="n">
        <f aca="false">IF(AND(ISNUMBER(BU227),ISNUMBER(BU178)),IFERROR(BU227/BU178,""),"")</f>
        <v>0.311348347470021</v>
      </c>
      <c r="BV228" s="42" t="n">
        <f aca="false">IF(AND(ISNUMBER(BV227),ISNUMBER(BV178)),IFERROR(BV227/BV178,""),"")</f>
        <v>0.312968088570498</v>
      </c>
      <c r="BW228" s="42" t="n">
        <f aca="false">IF(AND(ISNUMBER(BW227),ISNUMBER(BW178)),IFERROR(BW227/BW178,""),"")</f>
        <v>0.334061502268526</v>
      </c>
      <c r="BX228" s="42" t="n">
        <f aca="false">IF(AND(ISNUMBER(BX227),ISNUMBER(BX178)),IFERROR(BX227/BX178,""),"")</f>
        <v>0.302314445331205</v>
      </c>
      <c r="BY228" s="26" t="n">
        <f aca="false">IF(AND(ISNUMBER(BY227),ISNUMBER(BY178)),IFERROR(BY227/BY178,""),"")</f>
        <v>0.296843483955468</v>
      </c>
      <c r="BZ228" s="26" t="n">
        <f aca="false">IF(AND(ISNUMBER(BZ227),ISNUMBER(BZ178)),IFERROR(BZ227/BZ178,""),"")</f>
        <v>0.335314873268924</v>
      </c>
      <c r="CA228" s="26" t="n">
        <f aca="false">IF(AND(ISNUMBER(CA227),ISNUMBER(CA178)),IFERROR(CA227/CA178,""),"")</f>
        <v>0.317623081748814</v>
      </c>
      <c r="CB228" s="26" t="n">
        <f aca="false">IF(AND(ISNUMBER(CB227),ISNUMBER(CB178)),IFERROR(CB227/CB178,""),"")</f>
        <v>0.319523072827988</v>
      </c>
      <c r="CC228" s="26" t="n">
        <f aca="false">IF(AND(ISNUMBER(CC227),ISNUMBER(CC178)),IFERROR(CC227/CC178,""),"")</f>
        <v>0.325568692051774</v>
      </c>
      <c r="CD228" s="26" t="n">
        <f aca="false">IF(AND(ISNUMBER(CD227),ISNUMBER(CD178)),IFERROR(CD227/CD178,""),"")</f>
        <v>0.331183816091001</v>
      </c>
      <c r="CE228" s="26" t="n">
        <f aca="false">IF(AND(ISNUMBER(CE227),ISNUMBER(CE178)),IFERROR(CE227/CE178,""),"")</f>
        <v>0.33639903363975</v>
      </c>
      <c r="CF228" s="7"/>
      <c r="CH228" s="32" t="n">
        <f aca="false">IFERROR(AVERAGE(CA228,CB228,CC228,CD228,CE228),"n/m")</f>
        <v>0.326059539271866</v>
      </c>
      <c r="CI228" s="32" t="n">
        <f aca="false">IFERROR(AVERAGE(BB228,BG228,BL228,BQ228,BV228),"n/m")</f>
        <v>0.332204547218114</v>
      </c>
      <c r="CJ228" s="32" t="n">
        <f aca="false">IFERROR(AVERAGE(AC228,AH228,AM228,AR228,AW228,BB228,BG228,BL228,BQ228,BV228),"n/m")</f>
        <v>0.2930963305141</v>
      </c>
      <c r="CK228" s="32" t="n">
        <f aca="false">IFERROR(AVERAGE(C228,D228,E228,F228,G228,H228,I228,N228,S228,X228,AC228,AH228,AM228,AR228,AW228,BB228,BG228,BL228,BQ228,BV228),"n/m")</f>
        <v>0.24791444790241</v>
      </c>
    </row>
    <row r="229" customFormat="false" ht="15" hidden="false" customHeight="true" outlineLevel="0" collapsed="false">
      <c r="B229" s="50" t="s">
        <v>382</v>
      </c>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c r="BV229" s="39"/>
      <c r="BW229" s="39"/>
      <c r="BX229" s="39"/>
      <c r="BY229" s="7"/>
      <c r="BZ229" s="7"/>
      <c r="CA229" s="7"/>
      <c r="CB229" s="7"/>
      <c r="CC229" s="7"/>
      <c r="CD229" s="7"/>
      <c r="CE229" s="7"/>
      <c r="CF229" s="7" t="s">
        <v>383</v>
      </c>
    </row>
    <row r="230" customFormat="false" ht="15" hidden="false" customHeight="true" outlineLevel="0" collapsed="false">
      <c r="B230" s="65" t="s">
        <v>384</v>
      </c>
      <c r="C230" s="66" t="n">
        <f aca="false">IF(AND(ISNUMBER(C227),ISNUMBER(C243)),IF(ABS(C227-C243-C170)&lt;=1,0,ROUND(C227-C243-C170,1)),"")</f>
        <v>0</v>
      </c>
      <c r="D230" s="66" t="n">
        <f aca="false">IF(AND(ISNUMBER(D227),ISNUMBER(D243)),IF(ABS(D227-D243-D170)&lt;=1,0,ROUND(D227-D243-D170,1)),"")</f>
        <v>0</v>
      </c>
      <c r="E230" s="66" t="n">
        <f aca="false">IF(AND(ISNUMBER(E227),ISNUMBER(E243)),IF(ABS(E227-E243-E170)&lt;=1,0,ROUND(E227-E243-E170,1)),"")</f>
        <v>0</v>
      </c>
      <c r="F230" s="66" t="n">
        <f aca="false">IF(AND(ISNUMBER(F227),ISNUMBER(F243)),IF(ABS(F227-F243-F170)&lt;=1,0,ROUND(F227-F243-F170,1)),"")</f>
        <v>0</v>
      </c>
      <c r="G230" s="66" t="n">
        <f aca="false">IF(AND(ISNUMBER(G227),ISNUMBER(G243)),IF(ABS(G227-G243-G170)&lt;=1,0,ROUND(G227-G243-G170,1)),"")</f>
        <v>0</v>
      </c>
      <c r="H230" s="66" t="n">
        <f aca="false">IF(AND(ISNUMBER(H227),ISNUMBER(H243)),IF(ABS(H227-H243-H170)&lt;=1,0,ROUND(H227-H243-H170,1)),"")</f>
        <v>0</v>
      </c>
      <c r="I230" s="66" t="n">
        <f aca="false">IF(AND(ISNUMBER(I227),ISNUMBER(I243)),IF(ABS(I227-I243-I170)&lt;=1,0,ROUND(I227-I243-I170,1)),"")</f>
        <v>0</v>
      </c>
      <c r="J230" s="66" t="n">
        <f aca="false">IF(AND(ISNUMBER(J227),ISNUMBER(J243)),IF(ABS(J227-J243-J170)&lt;=1,0,ROUND(J227-J243-J170,1)),"")</f>
        <v>0</v>
      </c>
      <c r="K230" s="66" t="n">
        <f aca="false">IF(AND(ISNUMBER(K227),ISNUMBER(K243)),IF(ABS(K227-K243-K170)&lt;=1,0,ROUND(K227-K243-K170,1)),"")</f>
        <v>0</v>
      </c>
      <c r="L230" s="66" t="n">
        <f aca="false">IF(AND(ISNUMBER(L227),ISNUMBER(L243)),IF(ABS(L227-L243-L170)&lt;=1,0,ROUND(L227-L243-L170,1)),"")</f>
        <v>0</v>
      </c>
      <c r="M230" s="66" t="n">
        <f aca="false">IF(AND(ISNUMBER(M227),ISNUMBER(M243)),IF(ABS(M227-M243-M170)&lt;=1,0,ROUND(M227-M243-M170,1)),"")</f>
        <v>0</v>
      </c>
      <c r="N230" s="66" t="n">
        <f aca="false">IF(AND(ISNUMBER(N227),ISNUMBER(N243)),IF(ABS(N227-N243-N170)&lt;=1,0,ROUND(N227-N243-N170,1)),"")</f>
        <v>0</v>
      </c>
      <c r="O230" s="66" t="n">
        <f aca="false">IF(AND(ISNUMBER(O227),ISNUMBER(O243)),IF(ABS(O227-O243-O170)&lt;=1,0,ROUND(O227-O243-O170,1)),"")</f>
        <v>0</v>
      </c>
      <c r="P230" s="66" t="n">
        <f aca="false">IF(AND(ISNUMBER(P227),ISNUMBER(P243)),IF(ABS(P227-P243-P170)&lt;=1,0,ROUND(P227-P243-P170,1)),"")</f>
        <v>0</v>
      </c>
      <c r="Q230" s="66" t="n">
        <f aca="false">IF(AND(ISNUMBER(Q227),ISNUMBER(Q243)),IF(ABS(Q227-Q243-Q170)&lt;=1,0,ROUND(Q227-Q243-Q170,1)),"")</f>
        <v>0</v>
      </c>
      <c r="R230" s="66" t="n">
        <f aca="false">IF(AND(ISNUMBER(R227),ISNUMBER(R243)),IF(ABS(R227-R243-R170)&lt;=1,0,ROUND(R227-R243-R170,1)),"")</f>
        <v>0</v>
      </c>
      <c r="S230" s="66" t="n">
        <f aca="false">IF(AND(ISNUMBER(S227),ISNUMBER(S243)),IF(ABS(S227-S243-S170)&lt;=1,0,ROUND(S227-S243-S170,1)),"")</f>
        <v>0</v>
      </c>
      <c r="T230" s="66" t="n">
        <f aca="false">IF(AND(ISNUMBER(T227),ISNUMBER(T243)),IF(ABS(T227-T243-T170)&lt;=1,0,ROUND(T227-T243-T170,1)),"")</f>
        <v>0</v>
      </c>
      <c r="U230" s="66" t="n">
        <f aca="false">IF(AND(ISNUMBER(U227),ISNUMBER(U243)),IF(ABS(U227-U243-U170)&lt;=1,0,ROUND(U227-U243-U170,1)),"")</f>
        <v>0</v>
      </c>
      <c r="V230" s="66" t="n">
        <f aca="false">IF(AND(ISNUMBER(V227),ISNUMBER(V243)),IF(ABS(V227-V243-V170)&lt;=1,0,ROUND(V227-V243-V170,1)),"")</f>
        <v>0</v>
      </c>
      <c r="W230" s="66" t="n">
        <f aca="false">IF(AND(ISNUMBER(W227),ISNUMBER(W243)),IF(ABS(W227-W243-W170)&lt;=1,0,ROUND(W227-W243-W170,1)),"")</f>
        <v>0</v>
      </c>
      <c r="X230" s="66" t="n">
        <f aca="false">IF(AND(ISNUMBER(X227),ISNUMBER(X243)),IF(ABS(X227-X243-X170)&lt;=1,0,ROUND(X227-X243-X170,1)),"")</f>
        <v>0</v>
      </c>
      <c r="Y230" s="66" t="n">
        <f aca="false">IF(AND(ISNUMBER(Y227),ISNUMBER(Y243)),IF(ABS(Y227-Y243-Y170)&lt;=1,0,ROUND(Y227-Y243-Y170,1)),"")</f>
        <v>0</v>
      </c>
      <c r="Z230" s="66" t="n">
        <f aca="false">IF(AND(ISNUMBER(Z227),ISNUMBER(Z243)),IF(ABS(Z227-Z243-Z170)&lt;=1,0,ROUND(Z227-Z243-Z170,1)),"")</f>
        <v>0</v>
      </c>
      <c r="AA230" s="66" t="n">
        <f aca="false">IF(AND(ISNUMBER(AA227),ISNUMBER(AA243)),IF(ABS(AA227-AA243-AA170)&lt;=1,0,ROUND(AA227-AA243-AA170,1)),"")</f>
        <v>0</v>
      </c>
      <c r="AB230" s="66" t="n">
        <f aca="false">IF(AND(ISNUMBER(AB227),ISNUMBER(AB243)),IF(ABS(AB227-AB243-AB170)&lt;=1,0,ROUND(AB227-AB243-AB170,1)),"")</f>
        <v>0</v>
      </c>
      <c r="AC230" s="66" t="n">
        <f aca="false">IF(AND(ISNUMBER(AC227),ISNUMBER(AC243)),IF(ABS(AC227-AC243-AC170)&lt;=1,0,ROUND(AC227-AC243-AC170,1)),"")</f>
        <v>0</v>
      </c>
      <c r="AD230" s="66" t="n">
        <f aca="false">IF(AND(ISNUMBER(AD227),ISNUMBER(AD243)),IF(ABS(AD227-AD243-AD170)&lt;=1,0,ROUND(AD227-AD243-AD170,1)),"")</f>
        <v>0</v>
      </c>
      <c r="AE230" s="66" t="n">
        <f aca="false">IF(AND(ISNUMBER(AE227),ISNUMBER(AE243)),IF(ABS(AE227-AE243-AE170)&lt;=1,0,ROUND(AE227-AE243-AE170,1)),"")</f>
        <v>0</v>
      </c>
      <c r="AF230" s="66" t="n">
        <f aca="false">IF(AND(ISNUMBER(AF227),ISNUMBER(AF243)),IF(ABS(AF227-AF243-AF170)&lt;=1,0,ROUND(AF227-AF243-AF170,1)),"")</f>
        <v>0</v>
      </c>
      <c r="AG230" s="66" t="n">
        <f aca="false">IF(AND(ISNUMBER(AG227),ISNUMBER(AG243)),IF(ABS(AG227-AG243-AG170)&lt;=1,0,ROUND(AG227-AG243-AG170,1)),"")</f>
        <v>0</v>
      </c>
      <c r="AH230" s="66" t="n">
        <f aca="false">IF(AND(ISNUMBER(AH227),ISNUMBER(AH243)),IF(ABS(AH227-AH243-AH170)&lt;=1,0,ROUND(AH227-AH243-AH170,1)),"")</f>
        <v>0</v>
      </c>
      <c r="AI230" s="66" t="n">
        <f aca="false">IF(AND(ISNUMBER(AI227),ISNUMBER(AI243)),IF(ABS(AI227-AI243-AI170)&lt;=1,0,ROUND(AI227-AI243-AI170,1)),"")</f>
        <v>0</v>
      </c>
      <c r="AJ230" s="66" t="n">
        <f aca="false">IF(AND(ISNUMBER(AJ227),ISNUMBER(AJ243)),IF(ABS(AJ227-AJ243-AJ170)&lt;=1,0,ROUND(AJ227-AJ243-AJ170,1)),"")</f>
        <v>0</v>
      </c>
      <c r="AK230" s="66" t="n">
        <f aca="false">IF(AND(ISNUMBER(AK227),ISNUMBER(AK243)),IF(ABS(AK227-AK243-AK170)&lt;=1,0,ROUND(AK227-AK243-AK170,1)),"")</f>
        <v>0</v>
      </c>
      <c r="AL230" s="66" t="n">
        <f aca="false">IF(AND(ISNUMBER(AL227),ISNUMBER(AL243)),IF(ABS(AL227-AL243-AL170)&lt;=1,0,ROUND(AL227-AL243-AL170,1)),"")</f>
        <v>0</v>
      </c>
      <c r="AM230" s="66" t="n">
        <f aca="false">IF(AND(ISNUMBER(AM227),ISNUMBER(AM243)),IF(ABS(AM227-AM243-AM170)&lt;=1,0,ROUND(AM227-AM243-AM170,1)),"")</f>
        <v>0</v>
      </c>
      <c r="AN230" s="66" t="n">
        <f aca="false">IF(AND(ISNUMBER(AN227),ISNUMBER(AN243)),IF(ABS(AN227-AN243-AN170)&lt;=1,0,ROUND(AN227-AN243-AN170,1)),"")</f>
        <v>0</v>
      </c>
      <c r="AO230" s="66" t="n">
        <f aca="false">IF(AND(ISNUMBER(AO227),ISNUMBER(AO243)),IF(ABS(AO227-AO243-AO170)&lt;=1,0,ROUND(AO227-AO243-AO170,1)),"")</f>
        <v>0</v>
      </c>
      <c r="AP230" s="66" t="n">
        <f aca="false">IF(AND(ISNUMBER(AP227),ISNUMBER(AP243)),IF(ABS(AP227-AP243-AP170)&lt;=1,0,ROUND(AP227-AP243-AP170,1)),"")</f>
        <v>0</v>
      </c>
      <c r="AQ230" s="66" t="n">
        <f aca="false">IF(AND(ISNUMBER(AQ227),ISNUMBER(AQ243)),IF(ABS(AQ227-AQ243-AQ170)&lt;=1,0,ROUND(AQ227-AQ243-AQ170,1)),"")</f>
        <v>0</v>
      </c>
      <c r="AR230" s="66" t="n">
        <f aca="false">IF(AND(ISNUMBER(AR227),ISNUMBER(AR243)),IF(ABS(AR227-AR243-AR170)&lt;=1,0,ROUND(AR227-AR243-AR170,1)),"")</f>
        <v>0</v>
      </c>
      <c r="AS230" s="66" t="n">
        <f aca="false">IF(AND(ISNUMBER(AS227),ISNUMBER(AS243)),IF(ABS(AS227-AS243-AS170)&lt;=1,0,ROUND(AS227-AS243-AS170,1)),"")</f>
        <v>0</v>
      </c>
      <c r="AT230" s="66" t="n">
        <f aca="false">IF(AND(ISNUMBER(AT227),ISNUMBER(AT243)),IF(ABS(AT227-AT243-AT170)&lt;=1,0,ROUND(AT227-AT243-AT170,1)),"")</f>
        <v>0</v>
      </c>
      <c r="AU230" s="66" t="n">
        <f aca="false">IF(AND(ISNUMBER(AU227),ISNUMBER(AU243)),IF(ABS(AU227-AU243-AU170)&lt;=1,0,ROUND(AU227-AU243-AU170,1)),"")</f>
        <v>0</v>
      </c>
      <c r="AV230" s="66" t="n">
        <f aca="false">IF(AND(ISNUMBER(AV227),ISNUMBER(AV243)),IF(ABS(AV227-AV243-AV170)&lt;=1,0,ROUND(AV227-AV243-AV170,1)),"")</f>
        <v>0</v>
      </c>
      <c r="AW230" s="66" t="n">
        <f aca="false">IF(AND(ISNUMBER(AW227),ISNUMBER(AW243)),IF(ABS(AW227-AW243-AW170)&lt;=1,0,ROUND(AW227-AW243-AW170,1)),"")</f>
        <v>0</v>
      </c>
      <c r="AX230" s="66" t="n">
        <f aca="false">IF(AND(ISNUMBER(AX227),ISNUMBER(AX243)),IF(ABS(AX227-AX243-AX170)&lt;=1,0,ROUND(AX227-AX243-AX170,1)),"")</f>
        <v>0</v>
      </c>
      <c r="AY230" s="66" t="n">
        <f aca="false">IF(AND(ISNUMBER(AY227),ISNUMBER(AY243)),IF(ABS(AY227-AY243-AY170)&lt;=1,0,ROUND(AY227-AY243-AY170,1)),"")</f>
        <v>0</v>
      </c>
      <c r="AZ230" s="66" t="n">
        <f aca="false">IF(AND(ISNUMBER(AZ227),ISNUMBER(AZ243)),IF(ABS(AZ227-AZ243-AZ170)&lt;=1,0,ROUND(AZ227-AZ243-AZ170,1)),"")</f>
        <v>0</v>
      </c>
      <c r="BA230" s="66" t="n">
        <f aca="false">IF(AND(ISNUMBER(BA227),ISNUMBER(BA243)),IF(ABS(BA227-BA243-BA170)&lt;=1,0,ROUND(BA227-BA243-BA170,1)),"")</f>
        <v>0</v>
      </c>
      <c r="BB230" s="66" t="n">
        <f aca="false">IF(AND(ISNUMBER(BB227),ISNUMBER(BB243)),IF(ABS(BB227-BB243-BB170)&lt;=1,0,ROUND(BB227-BB243-BB170,1)),"")</f>
        <v>0</v>
      </c>
      <c r="BC230" s="66" t="n">
        <f aca="false">IF(AND(ISNUMBER(BC227),ISNUMBER(BC243)),IF(ABS(BC227-BC243-BC170)&lt;=1,0,ROUND(BC227-BC243-BC170,1)),"")</f>
        <v>0</v>
      </c>
      <c r="BD230" s="66" t="n">
        <f aca="false">IF(AND(ISNUMBER(BD227),ISNUMBER(BD243)),IF(ABS(BD227-BD243-BD170)&lt;=1,0,ROUND(BD227-BD243-BD170,1)),"")</f>
        <v>0</v>
      </c>
      <c r="BE230" s="66" t="n">
        <f aca="false">IF(AND(ISNUMBER(BE227),ISNUMBER(BE243)),IF(ABS(BE227-BE243-BE170)&lt;=1,0,ROUND(BE227-BE243-BE170,1)),"")</f>
        <v>0</v>
      </c>
      <c r="BF230" s="66" t="n">
        <f aca="false">IF(AND(ISNUMBER(BF227),ISNUMBER(BF243)),IF(ABS(BF227-BF243-BF170)&lt;=1,0,ROUND(BF227-BF243-BF170,1)),"")</f>
        <v>0</v>
      </c>
      <c r="BG230" s="66" t="n">
        <f aca="false">IF(AND(ISNUMBER(BG227),ISNUMBER(BG243)),IF(ABS(BG227-BG243-BG170)&lt;=1,0,ROUND(BG227-BG243-BG170,1)),"")</f>
        <v>0</v>
      </c>
      <c r="BH230" s="66" t="n">
        <f aca="false">IF(AND(ISNUMBER(BH227),ISNUMBER(BH243)),IF(ABS(BH227-BH243-BH170)&lt;=1,0,ROUND(BH227-BH243-BH170,1)),"")</f>
        <v>0</v>
      </c>
      <c r="BI230" s="66" t="n">
        <f aca="false">IF(AND(ISNUMBER(BI227),ISNUMBER(BI243)),IF(ABS(BI227-BI243-BI170)&lt;=1,0,ROUND(BI227-BI243-BI170,1)),"")</f>
        <v>0</v>
      </c>
      <c r="BJ230" s="66" t="n">
        <f aca="false">IF(AND(ISNUMBER(BJ227),ISNUMBER(BJ243)),IF(ABS(BJ227-BJ243-BJ170)&lt;=1,0,ROUND(BJ227-BJ243-BJ170,1)),"")</f>
        <v>0</v>
      </c>
      <c r="BK230" s="66" t="n">
        <f aca="false">IF(AND(ISNUMBER(BK227),ISNUMBER(BK243)),IF(ABS(BK227-BK243-BK170)&lt;=1,0,ROUND(BK227-BK243-BK170,1)),"")</f>
        <v>0</v>
      </c>
      <c r="BL230" s="66" t="n">
        <f aca="false">IF(AND(ISNUMBER(BL227),ISNUMBER(BL243)),IF(ABS(BL227-BL243-BL170)&lt;=1,0,ROUND(BL227-BL243-BL170,1)),"")</f>
        <v>0</v>
      </c>
      <c r="BM230" s="66" t="n">
        <f aca="false">IF(AND(ISNUMBER(BM227),ISNUMBER(BM243)),IF(ABS(BM227-BM243-BM170)&lt;=1,0,ROUND(BM227-BM243-BM170,1)),"")</f>
        <v>0</v>
      </c>
      <c r="BN230" s="66" t="n">
        <f aca="false">IF(AND(ISNUMBER(BN227),ISNUMBER(BN243)),IF(ABS(BN227-BN243-BN170)&lt;=1,0,ROUND(BN227-BN243-BN170,1)),"")</f>
        <v>0</v>
      </c>
      <c r="BO230" s="66" t="n">
        <f aca="false">IF(AND(ISNUMBER(BO227),ISNUMBER(BO243)),IF(ABS(BO227-BO243-BO170)&lt;=1,0,ROUND(BO227-BO243-BO170,1)),"")</f>
        <v>0</v>
      </c>
      <c r="BP230" s="66" t="n">
        <f aca="false">IF(AND(ISNUMBER(BP227),ISNUMBER(BP243)),IF(ABS(BP227-BP243-BP170)&lt;=1,0,ROUND(BP227-BP243-BP170,1)),"")</f>
        <v>0</v>
      </c>
      <c r="BQ230" s="66" t="n">
        <f aca="false">IF(AND(ISNUMBER(BQ227),ISNUMBER(BQ243)),IF(ABS(BQ227-BQ243-BQ170)&lt;=1,0,ROUND(BQ227-BQ243-BQ170,1)),"")</f>
        <v>0</v>
      </c>
      <c r="BR230" s="66" t="n">
        <f aca="false">IF(AND(ISNUMBER(BR227),ISNUMBER(BR243)),IF(ABS(BR227-BR243-BR170)&lt;=1,0,ROUND(BR227-BR243-BR170,1)),"")</f>
        <v>0</v>
      </c>
      <c r="BS230" s="66" t="n">
        <f aca="false">IF(AND(ISNUMBER(BS227),ISNUMBER(BS243)),IF(ABS(BS227-BS243-BS170)&lt;=1,0,ROUND(BS227-BS243-BS170,1)),"")</f>
        <v>0</v>
      </c>
      <c r="BT230" s="66" t="n">
        <f aca="false">IF(AND(ISNUMBER(BT227),ISNUMBER(BT243)),IF(ABS(BT227-BT243-BT170)&lt;=1,0,ROUND(BT227-BT243-BT170,1)),"")</f>
        <v>0</v>
      </c>
      <c r="BU230" s="66" t="n">
        <f aca="false">IF(AND(ISNUMBER(BU227),ISNUMBER(BU243)),IF(ABS(BU227-BU243-BU170)&lt;=1,0,ROUND(BU227-BU243-BU170,1)),"")</f>
        <v>0</v>
      </c>
      <c r="BV230" s="66" t="n">
        <f aca="false">IF(AND(ISNUMBER(BV227),ISNUMBER(BV243)),IF(ABS(BV227-BV243-BV170)&lt;=1,0,ROUND(BV227-BV243-BV170,1)),"")</f>
        <v>0</v>
      </c>
      <c r="BW230" s="66" t="n">
        <f aca="false">IF(AND(ISNUMBER(BW227),ISNUMBER(BW243)),IF(ABS(BW227-BW243-BW170)&lt;=1,0,ROUND(BW227-BW243-BW170,1)),"")</f>
        <v>0</v>
      </c>
      <c r="BX230" s="66" t="n">
        <f aca="false">IF(AND(ISNUMBER(BX227),ISNUMBER(BX243)),IF(ABS(BX227-BX243-BX170)&lt;=1,0,ROUND(BX227-BX243-BX170,1)),"")</f>
        <v>0</v>
      </c>
      <c r="BY230" s="67" t="n">
        <f aca="false">IF(AND(ISNUMBER(BY227),ISNUMBER(BY243)),IF(ABS(BY227-BY243-BY170)&lt;=1,0,ROUND(BY227-BY243-BY170,1)),"")</f>
        <v>0</v>
      </c>
      <c r="BZ230" s="67" t="n">
        <f aca="false">IF(AND(ISNUMBER(BZ227),ISNUMBER(BZ243)),IF(ABS(BZ227-BZ243-BZ170)&lt;=1,0,ROUND(BZ227-BZ243-BZ170,1)),"")</f>
        <v>0</v>
      </c>
      <c r="CA230" s="67" t="n">
        <f aca="false">IF(AND(ISNUMBER(CA227),ISNUMBER(CA243)),IF(ABS(CA227-CA243-CA170)&lt;=1,0,ROUND(CA227-CA243-CA170,1)),"")</f>
        <v>0</v>
      </c>
      <c r="CB230" s="67" t="n">
        <f aca="false">IF(AND(ISNUMBER(CB227),ISNUMBER(CB243)),IF(ABS(CB227-CB243-CB170)&lt;=1,0,ROUND(CB227-CB243-CB170,1)),"")</f>
        <v>0</v>
      </c>
      <c r="CC230" s="67" t="n">
        <f aca="false">IF(AND(ISNUMBER(CC227),ISNUMBER(CC243)),IF(ABS(CC227-CC243-CC170)&lt;=1,0,ROUND(CC227-CC243-CC170,1)),"")</f>
        <v>0</v>
      </c>
      <c r="CD230" s="67" t="n">
        <f aca="false">IF(AND(ISNUMBER(CD227),ISNUMBER(CD243)),IF(ABS(CD227-CD243-CD170)&lt;=1,0,ROUND(CD227-CD243-CD170,1)),"")</f>
        <v>0</v>
      </c>
      <c r="CE230" s="67" t="n">
        <f aca="false">IF(AND(ISNUMBER(CE227),ISNUMBER(CE243)),IF(ABS(CE227-CE243-CE170)&lt;=1,0,ROUND(CE227-CE243-CE170,1)),"")</f>
        <v>0</v>
      </c>
      <c r="CF230" s="7"/>
    </row>
    <row r="231" customFormat="false" ht="15" hidden="false" customHeight="true" outlineLevel="0" collapsed="false">
      <c r="B231" s="50" t="s">
        <v>385</v>
      </c>
      <c r="C231" s="51" t="n">
        <f aca="false">C227</f>
        <v>1706.7</v>
      </c>
      <c r="D231" s="51" t="n">
        <f aca="false">D227</f>
        <v>2067.1</v>
      </c>
      <c r="E231" s="51" t="n">
        <f aca="false">E227</f>
        <v>2314.8</v>
      </c>
      <c r="F231" s="51" t="n">
        <f aca="false">F227</f>
        <v>2006.8</v>
      </c>
      <c r="G231" s="51" t="n">
        <f aca="false">G227</f>
        <v>2493.1</v>
      </c>
      <c r="H231" s="51" t="n">
        <f aca="false">H227</f>
        <v>3368.8</v>
      </c>
      <c r="I231" s="51" t="n">
        <f aca="false">I227</f>
        <v>4004.9</v>
      </c>
      <c r="J231" s="51" t="n">
        <f aca="false">J227</f>
        <v>947.7</v>
      </c>
      <c r="K231" s="51" t="n">
        <f aca="false">K227</f>
        <v>1063.2</v>
      </c>
      <c r="L231" s="51" t="n">
        <f aca="false">L227</f>
        <v>1037.7</v>
      </c>
      <c r="M231" s="51" t="n">
        <f aca="false">M227</f>
        <v>1140.3</v>
      </c>
      <c r="N231" s="51" t="n">
        <f aca="false">N227</f>
        <v>4188.9</v>
      </c>
      <c r="O231" s="51" t="n">
        <f aca="false">O227</f>
        <v>1013.6</v>
      </c>
      <c r="P231" s="51" t="n">
        <f aca="false">P227</f>
        <v>1124.7</v>
      </c>
      <c r="Q231" s="51" t="n">
        <f aca="false">Q227</f>
        <v>1098.6</v>
      </c>
      <c r="R231" s="51" t="n">
        <f aca="false">R227</f>
        <v>1181.5</v>
      </c>
      <c r="S231" s="51" t="n">
        <f aca="false">S227</f>
        <v>4336.2</v>
      </c>
      <c r="T231" s="51" t="n">
        <f aca="false">T227</f>
        <v>1009.6</v>
      </c>
      <c r="U231" s="51" t="n">
        <f aca="false">U227</f>
        <v>1174.6</v>
      </c>
      <c r="V231" s="51" t="n">
        <f aca="false">V227</f>
        <v>776</v>
      </c>
      <c r="W231" s="51" t="n">
        <f aca="false">W227</f>
        <v>1003.4</v>
      </c>
      <c r="X231" s="51" t="n">
        <f aca="false">X227</f>
        <v>3247.5</v>
      </c>
      <c r="Y231" s="51" t="n">
        <f aca="false">Y227</f>
        <v>916.8</v>
      </c>
      <c r="Z231" s="51" t="n">
        <f aca="false">Z227</f>
        <v>1027.3</v>
      </c>
      <c r="AA231" s="51" t="n">
        <f aca="false">AA227</f>
        <v>913.700000000001</v>
      </c>
      <c r="AB231" s="51" t="n">
        <f aca="false">AB227</f>
        <v>1118.2</v>
      </c>
      <c r="AC231" s="51" t="n">
        <f aca="false">AC227</f>
        <v>3945</v>
      </c>
      <c r="AD231" s="51" t="n">
        <f aca="false">AD227</f>
        <v>922.6</v>
      </c>
      <c r="AE231" s="51" t="n">
        <f aca="false">AE227</f>
        <v>1055.9</v>
      </c>
      <c r="AF231" s="51" t="n">
        <f aca="false">AF227</f>
        <v>1070.5</v>
      </c>
      <c r="AG231" s="51" t="n">
        <f aca="false">AG227</f>
        <v>1244.7</v>
      </c>
      <c r="AH231" s="51" t="n">
        <f aca="false">AH227</f>
        <v>4293.7</v>
      </c>
      <c r="AI231" s="51" t="n">
        <f aca="false">AI227</f>
        <v>1063.8</v>
      </c>
      <c r="AJ231" s="51" t="n">
        <f aca="false">AJ227</f>
        <v>1209.1</v>
      </c>
      <c r="AK231" s="51" t="n">
        <f aca="false">AK227</f>
        <v>1152.2</v>
      </c>
      <c r="AL231" s="51" t="n">
        <f aca="false">AL227</f>
        <v>1186.6</v>
      </c>
      <c r="AM231" s="51" t="n">
        <f aca="false">AM227</f>
        <v>4294.2</v>
      </c>
      <c r="AN231" s="51" t="n">
        <f aca="false">AN227</f>
        <v>1087.6</v>
      </c>
      <c r="AO231" s="51" t="n">
        <f aca="false">AO227</f>
        <v>1149</v>
      </c>
      <c r="AP231" s="51" t="n">
        <f aca="false">AP227</f>
        <v>1136.7</v>
      </c>
      <c r="AQ231" s="51" t="n">
        <f aca="false">AQ227</f>
        <v>1261.6</v>
      </c>
      <c r="AR231" s="51" t="n">
        <f aca="false">AR227</f>
        <v>4551.9</v>
      </c>
      <c r="AS231" s="51" t="n">
        <f aca="false">AS227</f>
        <v>1062.3</v>
      </c>
      <c r="AT231" s="51" t="n">
        <f aca="false">AT227</f>
        <v>1549.7</v>
      </c>
      <c r="AU231" s="51" t="n">
        <f aca="false">AU227</f>
        <v>1825.1</v>
      </c>
      <c r="AV231" s="51" t="n">
        <f aca="false">AV227</f>
        <v>2158.2</v>
      </c>
      <c r="AW231" s="51" t="n">
        <f aca="false">AW227</f>
        <v>6596</v>
      </c>
      <c r="AX231" s="51" t="n">
        <f aca="false">AX227</f>
        <v>2555</v>
      </c>
      <c r="AY231" s="51" t="n">
        <f aca="false">AY227</f>
        <v>2530</v>
      </c>
      <c r="AZ231" s="51" t="n">
        <f aca="false">AZ227</f>
        <v>2455</v>
      </c>
      <c r="BA231" s="51" t="n">
        <f aca="false">BA227</f>
        <v>2754</v>
      </c>
      <c r="BB231" s="51" t="n">
        <f aca="false">BB227</f>
        <v>10294</v>
      </c>
      <c r="BC231" s="51" t="n">
        <f aca="false">BC227</f>
        <v>2780</v>
      </c>
      <c r="BD231" s="51" t="n">
        <f aca="false">BD227</f>
        <v>2766</v>
      </c>
      <c r="BE231" s="51" t="n">
        <f aca="false">BE227</f>
        <v>2555</v>
      </c>
      <c r="BF231" s="51" t="n">
        <f aca="false">BF227</f>
        <v>2559</v>
      </c>
      <c r="BG231" s="51" t="n">
        <f aca="false">BG227</f>
        <v>9769</v>
      </c>
      <c r="BH231" s="51" t="n">
        <f aca="false">BH227</f>
        <v>2090</v>
      </c>
      <c r="BI231" s="51" t="n">
        <f aca="false">BI227</f>
        <v>1798</v>
      </c>
      <c r="BJ231" s="51" t="n">
        <f aca="false">BJ227</f>
        <v>1769</v>
      </c>
      <c r="BK231" s="51" t="n">
        <f aca="false">BK227</f>
        <v>1986</v>
      </c>
      <c r="BL231" s="51" t="n">
        <f aca="false">BL227</f>
        <v>7530</v>
      </c>
      <c r="BM231" s="51" t="n">
        <f aca="false">BM227</f>
        <v>1923</v>
      </c>
      <c r="BN231" s="51" t="n">
        <f aca="false">BN227</f>
        <v>1748</v>
      </c>
      <c r="BO231" s="51" t="n">
        <f aca="false">BO227</f>
        <v>1771</v>
      </c>
      <c r="BP231" s="51" t="n">
        <f aca="false">BP227</f>
        <v>2119</v>
      </c>
      <c r="BQ231" s="51" t="n">
        <f aca="false">BQ227</f>
        <v>7561</v>
      </c>
      <c r="BR231" s="51" t="n">
        <f aca="false">BR227</f>
        <v>1880</v>
      </c>
      <c r="BS231" s="51" t="n">
        <f aca="false">BS227</f>
        <v>1803</v>
      </c>
      <c r="BT231" s="51" t="n">
        <f aca="false">BT227</f>
        <v>1877</v>
      </c>
      <c r="BU231" s="51" t="n">
        <f aca="false">BU227</f>
        <v>2129</v>
      </c>
      <c r="BV231" s="51" t="n">
        <f aca="false">BV227</f>
        <v>7689</v>
      </c>
      <c r="BW231" s="51" t="n">
        <f aca="false">BW227</f>
        <v>1988</v>
      </c>
      <c r="BX231" s="51" t="n">
        <f aca="false">BX227</f>
        <v>1894</v>
      </c>
      <c r="BY231" s="41" t="n">
        <f aca="false">BY227</f>
        <v>1964.46664518436</v>
      </c>
      <c r="BZ231" s="41" t="n">
        <f aca="false">BZ227</f>
        <v>2570.04285906697</v>
      </c>
      <c r="CA231" s="41" t="n">
        <f aca="false">CA227+(CA69-CA73)*(CA77+CA81)</f>
        <v>8604.86113651631</v>
      </c>
      <c r="CB231" s="41" t="n">
        <f aca="false">CB227</f>
        <v>9261.62017730247</v>
      </c>
      <c r="CC231" s="41" t="n">
        <f aca="false">CC227</f>
        <v>10055.0477723079</v>
      </c>
      <c r="CD231" s="41" t="n">
        <f aca="false">CD227</f>
        <v>10953.254345309</v>
      </c>
      <c r="CE231" s="41" t="n">
        <f aca="false">CE227</f>
        <v>11919.9239821937</v>
      </c>
      <c r="CF231" s="7" t="s">
        <v>386</v>
      </c>
    </row>
    <row r="232" customFormat="false" ht="15" hidden="false" customHeight="true" outlineLevel="0" collapsed="false">
      <c r="B232" s="80" t="s">
        <v>387</v>
      </c>
      <c r="C232" s="81" t="s">
        <v>388</v>
      </c>
      <c r="J232" s="82"/>
      <c r="AJ232" s="82"/>
      <c r="AN232" s="82"/>
      <c r="BA232" s="82"/>
      <c r="BM232" s="82"/>
      <c r="BT232" s="82"/>
      <c r="BY232" s="7"/>
      <c r="BZ232" s="7"/>
      <c r="CA232" s="7"/>
      <c r="CB232" s="7"/>
      <c r="CC232" s="7"/>
      <c r="CD232" s="7"/>
      <c r="CE232" s="7"/>
      <c r="CF232" s="37"/>
    </row>
    <row r="233" customFormat="false" ht="15" hidden="false" customHeight="true" outlineLevel="0" collapsed="false">
      <c r="B233" s="27" t="s">
        <v>389</v>
      </c>
      <c r="CF233" s="7"/>
    </row>
    <row r="234" customFormat="false" ht="15" hidden="false" customHeight="true" outlineLevel="0" collapsed="false">
      <c r="B234" s="27" t="s">
        <v>390</v>
      </c>
      <c r="C234" s="51" t="n">
        <f aca="false">IF(ISNUMBER(C222),-C222,"")</f>
        <v>-217.2</v>
      </c>
      <c r="D234" s="51" t="n">
        <f aca="false">IF(ISNUMBER(D222),-D222,"")</f>
        <v>-268.5</v>
      </c>
      <c r="E234" s="51" t="n">
        <f aca="false">IF(ISNUMBER(E222),-E222,"")</f>
        <v>-339.3</v>
      </c>
      <c r="F234" s="51" t="n">
        <f aca="false">IF(ISNUMBER(F222),-F222,"")</f>
        <v>-341.6</v>
      </c>
      <c r="G234" s="51" t="n">
        <f aca="false">IF(ISNUMBER(G222),-G222,"")</f>
        <v>-397.1</v>
      </c>
      <c r="H234" s="51" t="n">
        <f aca="false">IF(ISNUMBER(H222),-H222,"")</f>
        <v>-635</v>
      </c>
      <c r="I234" s="51" t="n">
        <f aca="false">IF(ISNUMBER(I222),-I222,"")</f>
        <v>-839.8</v>
      </c>
      <c r="J234" s="51" t="n">
        <f aca="false">IF(ISNUMBER(J222),-J222,"")</f>
        <v>-216.8</v>
      </c>
      <c r="K234" s="51" t="n">
        <f aca="false">IF(ISNUMBER(K222),-K222,"")</f>
        <v>-219.6</v>
      </c>
      <c r="L234" s="51" t="n">
        <f aca="false">IF(ISNUMBER(L222),-L222,"")</f>
        <v>-225.3</v>
      </c>
      <c r="M234" s="51" t="n">
        <f aca="false">IF(ISNUMBER(M222),-M222,"")</f>
        <v>-233.3</v>
      </c>
      <c r="N234" s="51" t="n">
        <f aca="false">IF(ISNUMBER(N222),-N222,"")</f>
        <v>-895</v>
      </c>
      <c r="O234" s="51" t="n">
        <f aca="false">IF(ISNUMBER(O222),-O222,"")</f>
        <v>-224.7</v>
      </c>
      <c r="P234" s="51" t="n">
        <f aca="false">IF(ISNUMBER(P222),-P222,"")</f>
        <v>-235.4</v>
      </c>
      <c r="Q234" s="51" t="n">
        <f aca="false">IF(ISNUMBER(Q222),-Q222,"")</f>
        <v>-232.4</v>
      </c>
      <c r="R234" s="51" t="n">
        <f aca="false">IF(ISNUMBER(R222),-R222,"")</f>
        <v>-229.6</v>
      </c>
      <c r="S234" s="51" t="n">
        <f aca="false">IF(ISNUMBER(S222),-S222,"")</f>
        <v>-904.6</v>
      </c>
      <c r="T234" s="51" t="n">
        <f aca="false">IF(ISNUMBER(T222),-T222,"")</f>
        <v>-239.5</v>
      </c>
      <c r="U234" s="51" t="n">
        <f aca="false">IF(ISNUMBER(U222),-U222,"")</f>
        <v>-240.2</v>
      </c>
      <c r="V234" s="51" t="n">
        <f aca="false">IF(ISNUMBER(V222),-V222,"")</f>
        <v>-237</v>
      </c>
      <c r="W234" s="51" t="n">
        <f aca="false">IF(ISNUMBER(W222),-W222,"")</f>
        <v>-294.8</v>
      </c>
      <c r="X234" s="51" t="n">
        <f aca="false">IF(ISNUMBER(X222),-X222,"")</f>
        <v>-970.3</v>
      </c>
      <c r="Y234" s="51" t="n">
        <f aca="false">IF(ISNUMBER(Y222),-Y222,"")</f>
        <v>-289.7</v>
      </c>
      <c r="Z234" s="51" t="n">
        <f aca="false">IF(ISNUMBER(Z222),-Z222,"")</f>
        <v>-300.2</v>
      </c>
      <c r="AA234" s="51" t="n">
        <f aca="false">IF(ISNUMBER(AA222),-AA222,"")</f>
        <v>-232.6</v>
      </c>
      <c r="AB234" s="51" t="n">
        <f aca="false">IF(ISNUMBER(AB222),-AB222,"")</f>
        <v>-305.6</v>
      </c>
      <c r="AC234" s="51" t="n">
        <f aca="false">IF(ISNUMBER(AC222),-AC222,"")</f>
        <v>-1128.1</v>
      </c>
      <c r="AD234" s="51" t="n">
        <f aca="false">IF(ISNUMBER(AD222),-AD222,"")</f>
        <v>-305.6</v>
      </c>
      <c r="AE234" s="51" t="n">
        <f aca="false">IF(ISNUMBER(AE222),-AE222,"")</f>
        <v>-303.2</v>
      </c>
      <c r="AF234" s="51" t="n">
        <f aca="false">IF(ISNUMBER(AF222),-AF222,"")</f>
        <v>-311.3</v>
      </c>
      <c r="AG234" s="51" t="n">
        <f aca="false">IF(ISNUMBER(AG222),-AG222,"")</f>
        <v>-318.2</v>
      </c>
      <c r="AH234" s="51" t="n">
        <f aca="false">IF(ISNUMBER(AH222),-AH222,"")</f>
        <v>-1238.3</v>
      </c>
      <c r="AI234" s="51" t="n">
        <f aca="false">IF(ISNUMBER(AI222),-AI222,"")</f>
        <v>-320.8</v>
      </c>
      <c r="AJ234" s="51" t="n">
        <f aca="false">IF(ISNUMBER(AJ222),-AJ222,"")</f>
        <v>-334.6</v>
      </c>
      <c r="AK234" s="51" t="n">
        <f aca="false">IF(ISNUMBER(AK222),-AK222,"")</f>
        <v>-321.5</v>
      </c>
      <c r="AL234" s="51" t="n">
        <f aca="false">IF(ISNUMBER(AL222),-AL222,"")</f>
        <v>-308.2</v>
      </c>
      <c r="AM234" s="51" t="n">
        <f aca="false">IF(ISNUMBER(AM222),-AM222,"")</f>
        <v>-1217.1</v>
      </c>
      <c r="AN234" s="51" t="n">
        <f aca="false">IF(ISNUMBER(AN222),-AN222,"")</f>
        <v>-305.9</v>
      </c>
      <c r="AO234" s="51" t="n">
        <f aca="false">IF(ISNUMBER(AO222),-AO222,"")</f>
        <v>-308.3</v>
      </c>
      <c r="AP234" s="51" t="n">
        <f aca="false">IF(ISNUMBER(AP222),-AP222,"")</f>
        <v>-305.4</v>
      </c>
      <c r="AQ234" s="51" t="n">
        <f aca="false">IF(ISNUMBER(AQ222),-AQ222,"")</f>
        <v>-269.9</v>
      </c>
      <c r="AR234" s="51" t="n">
        <f aca="false">IF(ISNUMBER(AR222),-AR222,"")</f>
        <v>-1189.5</v>
      </c>
      <c r="AS234" s="51" t="n">
        <f aca="false">IF(ISNUMBER(AS222),-AS222,"")</f>
        <v>-297.8</v>
      </c>
      <c r="AT234" s="51" t="n">
        <f aca="false">IF(ISNUMBER(AT222),-AT222,"")</f>
        <v>-477.1</v>
      </c>
      <c r="AU234" s="51" t="n">
        <f aca="false">IF(ISNUMBER(AU222),-AU222,"")</f>
        <v>-491.5</v>
      </c>
      <c r="AV234" s="51" t="n">
        <f aca="false">IF(ISNUMBER(AV222),-AV222,"")</f>
        <v>-508.2</v>
      </c>
      <c r="AW234" s="51" t="n">
        <f aca="false">IF(ISNUMBER(AW222),-AW222,"")</f>
        <v>-1775</v>
      </c>
      <c r="AX234" s="51" t="n">
        <f aca="false">IF(ISNUMBER(AX222),-AX222,"")</f>
        <v>-502</v>
      </c>
      <c r="AY234" s="51" t="n">
        <f aca="false">IF(ISNUMBER(AY222),-AY222,"")</f>
        <v>-525</v>
      </c>
      <c r="AZ234" s="51" t="n">
        <f aca="false">IF(ISNUMBER(AZ222),-AZ222,"")</f>
        <v>-554</v>
      </c>
      <c r="BA234" s="51" t="n">
        <f aca="false">IF(ISNUMBER(BA222),-BA222,"")</f>
        <v>-587</v>
      </c>
      <c r="BB234" s="51" t="n">
        <f aca="false">IF(ISNUMBER(BB222),-BB222,"")</f>
        <v>-2168</v>
      </c>
      <c r="BC234" s="51" t="n">
        <f aca="false">IF(ISNUMBER(BC222),-BC222,"")</f>
        <v>-565</v>
      </c>
      <c r="BD234" s="51" t="n">
        <f aca="false">IF(ISNUMBER(BD222),-BD222,"")</f>
        <v>-552</v>
      </c>
      <c r="BE234" s="51" t="n">
        <f aca="false">IF(ISNUMBER(BE222),-BE222,"")</f>
        <v>-540</v>
      </c>
      <c r="BF234" s="51" t="n">
        <f aca="false">IF(ISNUMBER(BF222),-BF222,"")</f>
        <v>-553</v>
      </c>
      <c r="BG234" s="51" t="n">
        <f aca="false">IF(ISNUMBER(BG222),-BG222,"")</f>
        <v>-2172</v>
      </c>
      <c r="BH234" s="51" t="n">
        <f aca="false">IF(ISNUMBER(BH222),-BH222,"")</f>
        <v>-545</v>
      </c>
      <c r="BI234" s="51" t="n">
        <f aca="false">IF(ISNUMBER(BI222),-BI222,"")</f>
        <v>-550</v>
      </c>
      <c r="BJ234" s="51" t="n">
        <f aca="false">IF(ISNUMBER(BJ222),-BJ222,"")</f>
        <v>-542</v>
      </c>
      <c r="BK234" s="51" t="n">
        <f aca="false">IF(ISNUMBER(BK222),-BK222,"")</f>
        <v>-529</v>
      </c>
      <c r="BL234" s="51" t="n">
        <f aca="false">IF(ISNUMBER(BL222),-BL222,"")</f>
        <v>-2166</v>
      </c>
      <c r="BM234" s="51" t="n">
        <f aca="false">IF(ISNUMBER(BM222),-BM222,"")</f>
        <v>-586</v>
      </c>
      <c r="BN234" s="51" t="n">
        <f aca="false">IF(ISNUMBER(BN222),-BN222,"")</f>
        <v>-580</v>
      </c>
      <c r="BO234" s="51" t="n">
        <f aca="false">IF(ISNUMBER(BO222),-BO222,"")</f>
        <v>-591</v>
      </c>
      <c r="BP234" s="51" t="n">
        <f aca="false">IF(ISNUMBER(BP222),-BP222,"")</f>
        <v>-595</v>
      </c>
      <c r="BQ234" s="51" t="n">
        <f aca="false">IF(ISNUMBER(BQ222),-BQ222,"")</f>
        <v>-2352</v>
      </c>
      <c r="BR234" s="51" t="n">
        <f aca="false">IF(ISNUMBER(BR222),-BR222,"")</f>
        <v>-591</v>
      </c>
      <c r="BS234" s="51" t="n">
        <f aca="false">IF(ISNUMBER(BS222),-BS222,"")</f>
        <v>-611</v>
      </c>
      <c r="BT234" s="51" t="n">
        <f aca="false">IF(ISNUMBER(BT222),-BT222,"")</f>
        <v>-622</v>
      </c>
      <c r="BU234" s="51" t="n">
        <f aca="false">IF(ISNUMBER(BU222),-BU222,"")</f>
        <v>-623</v>
      </c>
      <c r="BV234" s="51" t="n">
        <f aca="false">IF(ISNUMBER(BV222),-BV222,"")</f>
        <v>-2447</v>
      </c>
      <c r="BW234" s="51" t="n">
        <f aca="false">IF(ISNUMBER(BW222),-BW222,"")</f>
        <v>-627</v>
      </c>
      <c r="BX234" s="51" t="n">
        <f aca="false">IF(ISNUMBER(BX222),-BX222,"")</f>
        <v>-659</v>
      </c>
      <c r="BY234" s="41" t="n">
        <f aca="false">IF(ISNUMBER(BY222),-BY222,"")</f>
        <v>-710.735507020142</v>
      </c>
      <c r="BZ234" s="41" t="n">
        <f aca="false">IF(ISNUMBER(BZ222),-BZ222,"")</f>
        <v>-747.066473251633</v>
      </c>
      <c r="CA234" s="41" t="n">
        <f aca="false">IF(ISNUMBER(CA222),-CA222,"")</f>
        <v>-2743.80198027177</v>
      </c>
      <c r="CB234" s="41" t="n">
        <f aca="false">IF(ISNUMBER(CB222),-CB222,"")</f>
        <v>-2808.09199751762</v>
      </c>
      <c r="CC234" s="41" t="n">
        <f aca="false">IF(ISNUMBER(CC222),-CC222,"")</f>
        <v>-2906.95488077124</v>
      </c>
      <c r="CD234" s="41" t="n">
        <f aca="false">IF(ISNUMBER(CD222),-CD222,"")</f>
        <v>-3034.79745617706</v>
      </c>
      <c r="CE234" s="41" t="n">
        <f aca="false">IF(ISNUMBER(CE222),-CE222,"")</f>
        <v>-2974.65037142325</v>
      </c>
      <c r="CF234" s="37"/>
    </row>
    <row r="235" customFormat="false" ht="15" hidden="false" customHeight="true" outlineLevel="0" collapsed="false">
      <c r="B235" s="62" t="s">
        <v>391</v>
      </c>
      <c r="C235" s="63" t="n">
        <f aca="false">IF(ISNUMBER(C234),C227+C234,"")</f>
        <v>1489.5</v>
      </c>
      <c r="D235" s="63" t="n">
        <f aca="false">IF(ISNUMBER(D234),D227+D234,"")</f>
        <v>1798.6</v>
      </c>
      <c r="E235" s="63" t="n">
        <f aca="false">IF(ISNUMBER(E234),E227+E234,"")</f>
        <v>1975.5</v>
      </c>
      <c r="F235" s="63" t="n">
        <f aca="false">IF(ISNUMBER(F234),F227+F234,"")</f>
        <v>1665.2</v>
      </c>
      <c r="G235" s="63" t="n">
        <f aca="false">IF(ISNUMBER(G234),G227+G234,"")</f>
        <v>2096</v>
      </c>
      <c r="H235" s="63" t="n">
        <f aca="false">IF(ISNUMBER(H234),H227+H234,"")</f>
        <v>2733.8</v>
      </c>
      <c r="I235" s="63" t="n">
        <f aca="false">IF(ISNUMBER(I234),I227+I234,"")</f>
        <v>3165.1</v>
      </c>
      <c r="J235" s="63" t="n">
        <f aca="false">IF(ISNUMBER(J234),J227+J234,"")</f>
        <v>730.9</v>
      </c>
      <c r="K235" s="63" t="n">
        <f aca="false">IF(ISNUMBER(K234),K227+K234,"")</f>
        <v>843.6</v>
      </c>
      <c r="L235" s="63" t="n">
        <f aca="false">IF(ISNUMBER(L234),L227+L234,"")</f>
        <v>812.4</v>
      </c>
      <c r="M235" s="63" t="n">
        <f aca="false">IF(ISNUMBER(M234),M227+M234,"")</f>
        <v>907</v>
      </c>
      <c r="N235" s="63" t="n">
        <f aca="false">IF(ISNUMBER(N234),N227+N234,"")</f>
        <v>3293.9</v>
      </c>
      <c r="O235" s="63" t="n">
        <f aca="false">IF(ISNUMBER(O234),O227+O234,"")</f>
        <v>788.9</v>
      </c>
      <c r="P235" s="63" t="n">
        <f aca="false">IF(ISNUMBER(P234),P227+P234,"")</f>
        <v>889.3</v>
      </c>
      <c r="Q235" s="63" t="n">
        <f aca="false">IF(ISNUMBER(Q234),Q227+Q234,"")</f>
        <v>866.2</v>
      </c>
      <c r="R235" s="63" t="n">
        <f aca="false">IF(ISNUMBER(R234),R227+R234,"")</f>
        <v>951.9</v>
      </c>
      <c r="S235" s="63" t="n">
        <f aca="false">IF(ISNUMBER(S234),S227+S234,"")</f>
        <v>3431.6</v>
      </c>
      <c r="T235" s="63" t="n">
        <f aca="false">IF(ISNUMBER(T234),T227+T234,"")</f>
        <v>770.1</v>
      </c>
      <c r="U235" s="63" t="n">
        <f aca="false">IF(ISNUMBER(U234),U227+U234,"")</f>
        <v>934.4</v>
      </c>
      <c r="V235" s="63" t="n">
        <f aca="false">IF(ISNUMBER(V234),V227+V234,"")</f>
        <v>539</v>
      </c>
      <c r="W235" s="63" t="n">
        <f aca="false">IF(ISNUMBER(W234),W227+W234,"")</f>
        <v>708.6</v>
      </c>
      <c r="X235" s="63" t="n">
        <f aca="false">IF(ISNUMBER(X234),X227+X234,"")</f>
        <v>2277.2</v>
      </c>
      <c r="Y235" s="63" t="n">
        <f aca="false">IF(ISNUMBER(Y234),Y227+Y234,"")</f>
        <v>627.1</v>
      </c>
      <c r="Z235" s="63" t="n">
        <f aca="false">IF(ISNUMBER(Z234),Z227+Z234,"")</f>
        <v>727.1</v>
      </c>
      <c r="AA235" s="63" t="n">
        <f aca="false">IF(ISNUMBER(AA234),AA227+AA234,"")</f>
        <v>681.100000000001</v>
      </c>
      <c r="AB235" s="63" t="n">
        <f aca="false">IF(ISNUMBER(AB234),AB227+AB234,"")</f>
        <v>812.6</v>
      </c>
      <c r="AC235" s="63" t="n">
        <f aca="false">IF(ISNUMBER(AC234),AC227+AC234,"")</f>
        <v>2816.9</v>
      </c>
      <c r="AD235" s="63" t="n">
        <f aca="false">IF(ISNUMBER(AD234),AD227+AD234,"")</f>
        <v>617</v>
      </c>
      <c r="AE235" s="63" t="n">
        <f aca="false">IF(ISNUMBER(AE234),AE227+AE234,"")</f>
        <v>752.7</v>
      </c>
      <c r="AF235" s="63" t="n">
        <f aca="false">IF(ISNUMBER(AF234),AF227+AF234,"")</f>
        <v>759.2</v>
      </c>
      <c r="AG235" s="63" t="n">
        <f aca="false">IF(ISNUMBER(AG234),AG227+AG234,"")</f>
        <v>926.5</v>
      </c>
      <c r="AH235" s="63" t="n">
        <f aca="false">IF(ISNUMBER(AH234),AH227+AH234,"")</f>
        <v>3055.4</v>
      </c>
      <c r="AI235" s="63" t="n">
        <f aca="false">IF(ISNUMBER(AI234),AI227+AI234,"")</f>
        <v>742.999999999999</v>
      </c>
      <c r="AJ235" s="63" t="n">
        <f aca="false">IF(ISNUMBER(AJ234),AJ227+AJ234,"")</f>
        <v>874.5</v>
      </c>
      <c r="AK235" s="63" t="n">
        <f aca="false">IF(ISNUMBER(AK234),AK227+AK234,"")</f>
        <v>830.700000000001</v>
      </c>
      <c r="AL235" s="63" t="n">
        <f aca="false">IF(ISNUMBER(AL234),AL227+AL234,"")</f>
        <v>878.4</v>
      </c>
      <c r="AM235" s="63" t="n">
        <f aca="false">IF(ISNUMBER(AM234),AM227+AM234,"")</f>
        <v>3077.1</v>
      </c>
      <c r="AN235" s="63" t="n">
        <f aca="false">IF(ISNUMBER(AN234),AN227+AN234,"")</f>
        <v>781.7</v>
      </c>
      <c r="AO235" s="63" t="n">
        <f aca="false">IF(ISNUMBER(AO234),AO227+AO234,"")</f>
        <v>840.7</v>
      </c>
      <c r="AP235" s="63" t="n">
        <f aca="false">IF(ISNUMBER(AP234),AP227+AP234,"")</f>
        <v>831.3</v>
      </c>
      <c r="AQ235" s="63" t="n">
        <f aca="false">IF(ISNUMBER(AQ234),AQ227+AQ234,"")</f>
        <v>991.7</v>
      </c>
      <c r="AR235" s="63" t="n">
        <f aca="false">IF(ISNUMBER(AR234),AR227+AR234,"")</f>
        <v>3362.4</v>
      </c>
      <c r="AS235" s="63" t="n">
        <f aca="false">IF(ISNUMBER(AS234),AS227+AS234,"")</f>
        <v>764.5</v>
      </c>
      <c r="AT235" s="63" t="n">
        <f aca="false">IF(ISNUMBER(AT234),AT227+AT234,"")</f>
        <v>1072.6</v>
      </c>
      <c r="AU235" s="63" t="n">
        <f aca="false">IF(ISNUMBER(AU234),AU227+AU234,"")</f>
        <v>1333.6</v>
      </c>
      <c r="AV235" s="63" t="n">
        <f aca="false">IF(ISNUMBER(AV234),AV227+AV234,"")</f>
        <v>1650</v>
      </c>
      <c r="AW235" s="63" t="n">
        <f aca="false">IF(ISNUMBER(AW234),AW227+AW234,"")</f>
        <v>4821</v>
      </c>
      <c r="AX235" s="63" t="n">
        <f aca="false">IF(ISNUMBER(AX234),AX227+AX234,"")</f>
        <v>2053</v>
      </c>
      <c r="AY235" s="63" t="n">
        <f aca="false">IF(ISNUMBER(AY234),AY227+AY234,"")</f>
        <v>2005</v>
      </c>
      <c r="AZ235" s="63" t="n">
        <f aca="false">IF(ISNUMBER(AZ234),AZ227+AZ234,"")</f>
        <v>1901</v>
      </c>
      <c r="BA235" s="63" t="n">
        <f aca="false">IF(ISNUMBER(BA234),BA227+BA234,"")</f>
        <v>2167</v>
      </c>
      <c r="BB235" s="63" t="n">
        <f aca="false">IF(ISNUMBER(BB234),BB227+BB234,"")</f>
        <v>8126</v>
      </c>
      <c r="BC235" s="63" t="n">
        <f aca="false">IF(ISNUMBER(BC234),BC227+BC234,"")</f>
        <v>2215</v>
      </c>
      <c r="BD235" s="63" t="n">
        <f aca="false">IF(ISNUMBER(BD234),BD227+BD234,"")</f>
        <v>2214</v>
      </c>
      <c r="BE235" s="63" t="n">
        <f aca="false">IF(ISNUMBER(BE234),BE227+BE234,"")</f>
        <v>2015</v>
      </c>
      <c r="BF235" s="63" t="n">
        <f aca="false">IF(ISNUMBER(BF234),BF227+BF234,"")</f>
        <v>2006</v>
      </c>
      <c r="BG235" s="63" t="n">
        <f aca="false">IF(ISNUMBER(BG234),BG227+BG234,"")</f>
        <v>7597</v>
      </c>
      <c r="BH235" s="63" t="n">
        <f aca="false">IF(ISNUMBER(BH234),BH227+BH234,"")</f>
        <v>1545</v>
      </c>
      <c r="BI235" s="63" t="n">
        <f aca="false">IF(ISNUMBER(BI234),BI227+BI234,"")</f>
        <v>1248</v>
      </c>
      <c r="BJ235" s="63" t="n">
        <f aca="false">IF(ISNUMBER(BJ234),BJ227+BJ234,"")</f>
        <v>1227</v>
      </c>
      <c r="BK235" s="63" t="n">
        <f aca="false">IF(ISNUMBER(BK234),BK227+BK234,"")</f>
        <v>1457</v>
      </c>
      <c r="BL235" s="63" t="n">
        <f aca="false">IF(ISNUMBER(BL234),BL227+BL234,"")</f>
        <v>5364</v>
      </c>
      <c r="BM235" s="63" t="n">
        <f aca="false">IF(ISNUMBER(BM234),BM227+BM234,"")</f>
        <v>1337</v>
      </c>
      <c r="BN235" s="63" t="n">
        <f aca="false">IF(ISNUMBER(BN234),BN227+BN234,"")</f>
        <v>1168</v>
      </c>
      <c r="BO235" s="63" t="n">
        <f aca="false">IF(ISNUMBER(BO234),BO227+BO234,"")</f>
        <v>1180</v>
      </c>
      <c r="BP235" s="63" t="n">
        <f aca="false">IF(ISNUMBER(BP234),BP227+BP234,"")</f>
        <v>1524</v>
      </c>
      <c r="BQ235" s="63" t="n">
        <f aca="false">IF(ISNUMBER(BQ234),BQ227+BQ234,"")</f>
        <v>5209</v>
      </c>
      <c r="BR235" s="63" t="n">
        <f aca="false">IF(ISNUMBER(BR234),BR227+BR234,"")</f>
        <v>1289</v>
      </c>
      <c r="BS235" s="63" t="n">
        <f aca="false">IF(ISNUMBER(BS234),BS227+BS234,"")</f>
        <v>1192</v>
      </c>
      <c r="BT235" s="63" t="n">
        <f aca="false">IF(ISNUMBER(BT234),BT227+BT234,"")</f>
        <v>1255</v>
      </c>
      <c r="BU235" s="63" t="n">
        <f aca="false">IF(ISNUMBER(BU234),BU227+BU234,"")</f>
        <v>1506</v>
      </c>
      <c r="BV235" s="63" t="n">
        <f aca="false">IF(ISNUMBER(BV234),BV227+BV234,"")</f>
        <v>5242</v>
      </c>
      <c r="BW235" s="63" t="n">
        <f aca="false">IF(ISNUMBER(BW234),BW227+BW234,"")</f>
        <v>1361</v>
      </c>
      <c r="BX235" s="63" t="n">
        <f aca="false">IF(ISNUMBER(BX234),BX227+BX234,"")</f>
        <v>1235</v>
      </c>
      <c r="BY235" s="63" t="n">
        <f aca="false">IF(ISNUMBER(BY234),BY227+BY234,"")</f>
        <v>1253.73113816422</v>
      </c>
      <c r="BZ235" s="63" t="n">
        <f aca="false">IF(ISNUMBER(BZ234),BZ227+BZ234,"")</f>
        <v>1822.97638581533</v>
      </c>
      <c r="CA235" s="63" t="n">
        <f aca="false">IF(ISNUMBER(CA234),CA227+CA234,"")</f>
        <v>5672.70752397956</v>
      </c>
      <c r="CB235" s="63" t="n">
        <f aca="false">IF(ISNUMBER(CB234),CB227+CB234,"")</f>
        <v>6453.52817978484</v>
      </c>
      <c r="CC235" s="63" t="n">
        <f aca="false">IF(ISNUMBER(CC234),CC227+CC234,"")</f>
        <v>7148.09289153666</v>
      </c>
      <c r="CD235" s="63" t="n">
        <f aca="false">IF(ISNUMBER(CD234),CD227+CD234,"")</f>
        <v>7918.45688913192</v>
      </c>
      <c r="CE235" s="63" t="n">
        <f aca="false">IF(ISNUMBER(CE234),CE227+CE234,"")</f>
        <v>8945.27361077044</v>
      </c>
      <c r="CF235" s="7" t="s">
        <v>392</v>
      </c>
      <c r="CH235" s="22" t="n">
        <f aca="false">IFERROR((CE235/BV235)^(1/5)-1,"n/m")</f>
        <v>0.112805651164466</v>
      </c>
      <c r="CI235" s="22" t="n">
        <f aca="false">IFERROR((BV235/AW235)^(1/5)-1,"n/m")</f>
        <v>0.0168853181857409</v>
      </c>
      <c r="CJ235" s="22" t="n">
        <f aca="false">IFERROR((BV235/X235)^(1/10)-1,"n/m")</f>
        <v>0.0869500432166888</v>
      </c>
      <c r="CK235" s="22" t="n">
        <f aca="false">IFERROR((BV235/C235)^(1/19)-1,"n/m")</f>
        <v>0.0684663985633709</v>
      </c>
    </row>
    <row r="236" customFormat="false" ht="15" hidden="false" customHeight="true" outlineLevel="0" collapsed="false">
      <c r="B236" s="27" t="s">
        <v>393</v>
      </c>
      <c r="C236" s="42" t="n">
        <f aca="false">IF(AND(ISNUMBER(C235),ISNUMBER(C178)),IFERROR(C235/C178,""),"")</f>
        <v>0.157350968191758</v>
      </c>
      <c r="D236" s="42" t="n">
        <f aca="false">IF(AND(ISNUMBER(D235),ISNUMBER(D178)),IFERROR(D235/D178,""),"")</f>
        <v>0.163125005668471</v>
      </c>
      <c r="E236" s="42" t="n">
        <f aca="false">IF(AND(ISNUMBER(E235),ISNUMBER(E178)),IFERROR(E235/E178,""),"")</f>
        <v>0.15558180744241</v>
      </c>
      <c r="F236" s="42" t="n">
        <f aca="false">IF(AND(ISNUMBER(F235),ISNUMBER(F178)),IFERROR(F235/F178,""),"")</f>
        <v>0.148879292617726</v>
      </c>
      <c r="G236" s="42" t="n">
        <f aca="false">IF(AND(ISNUMBER(G235),ISNUMBER(G178)),IFERROR(G235/G178,""),"")</f>
        <v>0.167011952191235</v>
      </c>
      <c r="H236" s="42" t="n">
        <f aca="false">IF(AND(ISNUMBER(H235),ISNUMBER(H178)),IFERROR(H235/H178,""),"")</f>
        <v>0.169901494670769</v>
      </c>
      <c r="I236" s="42" t="n">
        <f aca="false">IF(AND(ISNUMBER(I235),ISNUMBER(I178)),IFERROR(I235/I178,""),"")</f>
        <v>0.173331361854067</v>
      </c>
      <c r="J236" s="42" t="n">
        <f aca="false">IF(AND(ISNUMBER(J235),ISNUMBER(J178)),IFERROR(J235/J178,""),"")</f>
        <v>0.16444304452494</v>
      </c>
      <c r="K236" s="42" t="n">
        <f aca="false">IF(AND(ISNUMBER(K235),ISNUMBER(K178)),IFERROR(K235/K178,""),"")</f>
        <v>0.178068601583113</v>
      </c>
      <c r="L236" s="42" t="n">
        <f aca="false">IF(AND(ISNUMBER(L235),ISNUMBER(L178)),IFERROR(L235/L178,""),"")</f>
        <v>0.173994988327515</v>
      </c>
      <c r="M236" s="42" t="n">
        <f aca="false">IF(AND(ISNUMBER(M235),ISNUMBER(M178)),IFERROR(M235/M178,""),"")</f>
        <v>0.17221409991076</v>
      </c>
      <c r="N236" s="42" t="n">
        <f aca="false">IF(AND(ISNUMBER(N235),ISNUMBER(N178)),IFERROR(N235/N178,""),"")</f>
        <v>0.172293126896119</v>
      </c>
      <c r="O236" s="42" t="n">
        <f aca="false">IF(AND(ISNUMBER(O235),ISNUMBER(O178)),IFERROR(O235/O178,""),"")</f>
        <v>0.169193814742531</v>
      </c>
      <c r="P236" s="42" t="n">
        <f aca="false">IF(AND(ISNUMBER(P235),ISNUMBER(P178)),IFERROR(P235/P178,""),"")</f>
        <v>0.179164316222097</v>
      </c>
      <c r="Q236" s="42" t="n">
        <f aca="false">IF(AND(ISNUMBER(Q235),ISNUMBER(Q178)),IFERROR(Q235/Q178,""),"")</f>
        <v>0.184019884854794</v>
      </c>
      <c r="R236" s="42" t="n">
        <f aca="false">IF(AND(ISNUMBER(R235),ISNUMBER(R178)),IFERROR(R235/R178,""),"")</f>
        <v>0.182209716320202</v>
      </c>
      <c r="S236" s="42" t="n">
        <f aca="false">IF(AND(ISNUMBER(S235),ISNUMBER(S178)),IFERROR(S235/S178,""),"")</f>
        <v>0.179158400334134</v>
      </c>
      <c r="T236" s="42" t="n">
        <f aca="false">IF(AND(ISNUMBER(T235),ISNUMBER(T178)),IFERROR(T235/T178,""),"")</f>
        <v>0.164036040641575</v>
      </c>
      <c r="U236" s="42" t="n">
        <f aca="false">IF(AND(ISNUMBER(U235),ISNUMBER(U178)),IFERROR(U235/U178,""),"")</f>
        <v>0.18837950082658</v>
      </c>
      <c r="V236" s="42" t="n">
        <f aca="false">IF(AND(ISNUMBER(V235),ISNUMBER(V178)),IFERROR(V235/V178,""),"")</f>
        <v>0.153465064631855</v>
      </c>
      <c r="W236" s="42" t="n">
        <f aca="false">IF(AND(ISNUMBER(W235),ISNUMBER(W178)),IFERROR(W235/W178,""),"")</f>
        <v>0.163913948646773</v>
      </c>
      <c r="X236" s="42" t="n">
        <f aca="false">IF(AND(ISNUMBER(X235),ISNUMBER(X178)),IFERROR(X235/X178,""),"")</f>
        <v>0.157769664050105</v>
      </c>
      <c r="Y236" s="42" t="n">
        <f aca="false">IF(AND(ISNUMBER(Y235),ISNUMBER(Y178)),IFERROR(Y235/Y178,""),"")</f>
        <v>0.159807344359216</v>
      </c>
      <c r="Z236" s="42" t="n">
        <f aca="false">IF(AND(ISNUMBER(Z235),ISNUMBER(Z178)),IFERROR(Z235/Z178,""),"")</f>
        <v>0.171409038402603</v>
      </c>
      <c r="AA236" s="42" t="n">
        <f aca="false">IF(AND(ISNUMBER(AA235),ISNUMBER(AA178)),IFERROR(AA235/AA178,""),"")</f>
        <v>0.164831441639844</v>
      </c>
      <c r="AB236" s="42" t="n">
        <f aca="false">IF(AND(ISNUMBER(AB235),ISNUMBER(AB178)),IFERROR(AB235/AB178,""),"")</f>
        <v>0.177257160308008</v>
      </c>
      <c r="AC236" s="42" t="n">
        <f aca="false">IF(AND(ISNUMBER(AC235),ISNUMBER(AC178)),IFERROR(AC235/AC178,""),"")</f>
        <v>0.166854238733829</v>
      </c>
      <c r="AD236" s="42" t="n">
        <f aca="false">IF(AND(ISNUMBER(AD235),ISNUMBER(AD178)),IFERROR(AD235/AD178,""),"")</f>
        <v>0.146705661364339</v>
      </c>
      <c r="AE236" s="42" t="n">
        <f aca="false">IF(AND(ISNUMBER(AE235),ISNUMBER(AE178)),IFERROR(AE235/AE178,""),"")</f>
        <v>0.166892086649963</v>
      </c>
      <c r="AF236" s="42" t="n">
        <f aca="false">IF(AND(ISNUMBER(AF235),ISNUMBER(AF178)),IFERROR(AF235/AF178,""),"")</f>
        <v>0.167660439026545</v>
      </c>
      <c r="AG236" s="42" t="n">
        <f aca="false">IF(AND(ISNUMBER(AG235),ISNUMBER(AG178)),IFERROR(AG235/AG178,""),"")</f>
        <v>0.182177478026624</v>
      </c>
      <c r="AH236" s="42" t="n">
        <f aca="false">IF(AND(ISNUMBER(AH235),ISNUMBER(AH178)),IFERROR(AH235/AH178,""),"")</f>
        <v>0.166691216986639</v>
      </c>
      <c r="AI236" s="42" t="n">
        <f aca="false">IF(AND(ISNUMBER(AI235),ISNUMBER(AI178)),IFERROR(AI235/AI178,""),"")</f>
        <v>0.158239979554457</v>
      </c>
      <c r="AJ236" s="42" t="n">
        <f aca="false">IF(AND(ISNUMBER(AJ235),ISNUMBER(AJ178)),IFERROR(AJ235/AJ178,""),"")</f>
        <v>0.175567155189721</v>
      </c>
      <c r="AK236" s="42" t="n">
        <f aca="false">IF(AND(ISNUMBER(AK235),ISNUMBER(AK178)),IFERROR(AK235/AK178,""),"")</f>
        <v>0.171168943561847</v>
      </c>
      <c r="AL236" s="42" t="n">
        <f aca="false">IF(AND(ISNUMBER(AL235),ISNUMBER(AL178)),IFERROR(AL235/AL178,""),"")</f>
        <v>0.190769899011836</v>
      </c>
      <c r="AM236" s="42" t="n">
        <f aca="false">IF(AND(ISNUMBER(AM235),ISNUMBER(AM178)),IFERROR(AM235/AM178,""),"")</f>
        <v>0.180490952283192</v>
      </c>
      <c r="AN236" s="42" t="n">
        <f aca="false">IF(AND(ISNUMBER(AN235),ISNUMBER(AN178)),IFERROR(AN235/AN178,""),"")</f>
        <v>0.185228188237524</v>
      </c>
      <c r="AO236" s="42" t="n">
        <f aca="false">IF(AND(ISNUMBER(AO235),ISNUMBER(AO178)),IFERROR(AO235/AO178,""),"")</f>
        <v>0.189155135560806</v>
      </c>
      <c r="AP236" s="42" t="n">
        <f aca="false">IF(AND(ISNUMBER(AP235),ISNUMBER(AP178)),IFERROR(AP235/AP178,""),"")</f>
        <v>0.189881224303335</v>
      </c>
      <c r="AQ236" s="42" t="n">
        <f aca="false">IF(AND(ISNUMBER(AQ235),ISNUMBER(AQ178)),IFERROR(AQ235/AQ178,""),"")</f>
        <v>0.203701421411552</v>
      </c>
      <c r="AR236" s="42" t="n">
        <f aca="false">IF(AND(ISNUMBER(AR235),ISNUMBER(AR178)),IFERROR(AR235/AR178,""),"")</f>
        <v>0.187727163602459</v>
      </c>
      <c r="AS236" s="42" t="n">
        <f aca="false">IF(AND(ISNUMBER(AS235),ISNUMBER(AS178)),IFERROR(AS235/AS178,""),"")</f>
        <v>0.176026340632267</v>
      </c>
      <c r="AT236" s="42" t="n">
        <f aca="false">IF(AND(ISNUMBER(AT235),ISNUMBER(AT178)),IFERROR(AT235/AT178,""),"")</f>
        <v>0.202476686676483</v>
      </c>
      <c r="AU236" s="42" t="n">
        <f aca="false">IF(AND(ISNUMBER(AU235),ISNUMBER(AU178)),IFERROR(AU235/AU178,""),"")</f>
        <v>0.226679358172423</v>
      </c>
      <c r="AV236" s="42" t="n">
        <f aca="false">IF(AND(ISNUMBER(AV235),ISNUMBER(AV178)),IFERROR(AV235/AV178,""),"")</f>
        <v>0.244082840236686</v>
      </c>
      <c r="AW236" s="42" t="n">
        <f aca="false">IF(AND(ISNUMBER(AW235),ISNUMBER(AW178)),IFERROR(AW235/AW178,""),"")</f>
        <v>0.216343564889607</v>
      </c>
      <c r="AX236" s="42" t="n">
        <f aca="false">IF(AND(ISNUMBER(AX235),ISNUMBER(AX178)),IFERROR(AX235/AX178,""),"")</f>
        <v>0.299358413531642</v>
      </c>
      <c r="AY236" s="42" t="n">
        <f aca="false">IF(AND(ISNUMBER(AY235),ISNUMBER(AY178)),IFERROR(AY235/AY178,""),"")</f>
        <v>0.277777777777778</v>
      </c>
      <c r="AZ236" s="42" t="n">
        <f aca="false">IF(AND(ISNUMBER(AZ235),ISNUMBER(AZ178)),IFERROR(AZ235/AZ178,""),"")</f>
        <v>0.262968598699682</v>
      </c>
      <c r="BA236" s="42" t="n">
        <f aca="false">IF(AND(ISNUMBER(BA235),ISNUMBER(BA178)),IFERROR(BA235/BA178,""),"")</f>
        <v>0.265954835542464</v>
      </c>
      <c r="BB236" s="42" t="n">
        <f aca="false">IF(AND(ISNUMBER(BB235),ISNUMBER(BB178)),IFERROR(BB235/BB178,""),"")</f>
        <v>0.275897192136624</v>
      </c>
      <c r="BC236" s="42" t="n">
        <f aca="false">IF(AND(ISNUMBER(BC235),ISNUMBER(BC178)),IFERROR(BC235/BC178,""),"")</f>
        <v>0.288111342351717</v>
      </c>
      <c r="BD236" s="42" t="n">
        <f aca="false">IF(AND(ISNUMBER(BD235),ISNUMBER(BD178)),IFERROR(BD235/BD178,""),"")</f>
        <v>0.285640562508063</v>
      </c>
      <c r="BE236" s="42" t="n">
        <f aca="false">IF(AND(ISNUMBER(BE235),ISNUMBER(BE178)),IFERROR(BE235/BE178,""),"")</f>
        <v>0.2629518465353</v>
      </c>
      <c r="BF236" s="42" t="n">
        <f aca="false">IF(AND(ISNUMBER(BF235),ISNUMBER(BF178)),IFERROR(BF235/BF178,""),"")</f>
        <v>0.281188673955705</v>
      </c>
      <c r="BG236" s="42" t="n">
        <f aca="false">IF(AND(ISNUMBER(BG235),ISNUMBER(BG178)),IFERROR(BG235/BG178,""),"")</f>
        <v>0.285140562248996</v>
      </c>
      <c r="BH236" s="42" t="n">
        <f aca="false">IF(AND(ISNUMBER(BH235),ISNUMBER(BH178)),IFERROR(BH235/BH178,""),"")</f>
        <v>0.259707513867877</v>
      </c>
      <c r="BI236" s="42" t="n">
        <f aca="false">IF(AND(ISNUMBER(BI235),ISNUMBER(BI178)),IFERROR(BI235/BI178,""),"")</f>
        <v>0.211096075778078</v>
      </c>
      <c r="BJ236" s="42" t="n">
        <f aca="false">IF(AND(ISNUMBER(BJ235),ISNUMBER(BJ178)),IFERROR(BJ235/BJ178,""),"")</f>
        <v>0.218172119487909</v>
      </c>
      <c r="BK236" s="42" t="n">
        <f aca="false">IF(AND(ISNUMBER(BK235),ISNUMBER(BK178)),IFERROR(BK235/BK178,""),"")</f>
        <v>0.227478532396565</v>
      </c>
      <c r="BL236" s="42" t="n">
        <f aca="false">IF(AND(ISNUMBER(BL235),ISNUMBER(BL178)),IFERROR(BL235/BL178,""),"")</f>
        <v>0.224529091670155</v>
      </c>
      <c r="BM236" s="42" t="n">
        <f aca="false">IF(AND(ISNUMBER(BM235),ISNUMBER(BM178)),IFERROR(BM235/BM178,""),"")</f>
        <v>0.230676328502415</v>
      </c>
      <c r="BN236" s="42" t="n">
        <f aca="false">IF(AND(ISNUMBER(BN235),ISNUMBER(BN178)),IFERROR(BN235/BN178,""),"")</f>
        <v>0.203378025422253</v>
      </c>
      <c r="BO236" s="42" t="n">
        <f aca="false">IF(AND(ISNUMBER(BO235),ISNUMBER(BO178)),IFERROR(BO235/BO178,""),"")</f>
        <v>0.203518454639531</v>
      </c>
      <c r="BP236" s="42" t="n">
        <f aca="false">IF(AND(ISNUMBER(BP235),ISNUMBER(BP178)),IFERROR(BP235/BP178,""),"")</f>
        <v>0.23309880697461</v>
      </c>
      <c r="BQ236" s="42" t="n">
        <f aca="false">IF(AND(ISNUMBER(BQ235),ISNUMBER(BQ178)),IFERROR(BQ235/BQ178,""),"")</f>
        <v>0.218178010471204</v>
      </c>
      <c r="BR236" s="42" t="n">
        <f aca="false">IF(AND(ISNUMBER(BR235),ISNUMBER(BR178)),IFERROR(BR235/BR178,""),"")</f>
        <v>0.224525344016722</v>
      </c>
      <c r="BS236" s="42" t="n">
        <f aca="false">IF(AND(ISNUMBER(BS235),ISNUMBER(BS178)),IFERROR(BS235/BS178,""),"")</f>
        <v>0.200808625336927</v>
      </c>
      <c r="BT236" s="42" t="n">
        <f aca="false">IF(AND(ISNUMBER(BT235),ISNUMBER(BT178)),IFERROR(BT235/BT178,""),"")</f>
        <v>0.207335205683132</v>
      </c>
      <c r="BU236" s="42" t="n">
        <f aca="false">IF(AND(ISNUMBER(BU235),ISNUMBER(BU178)),IFERROR(BU235/BU178,""),"")</f>
        <v>0.220239836209418</v>
      </c>
      <c r="BV236" s="42" t="n">
        <f aca="false">IF(AND(ISNUMBER(BV235),ISNUMBER(BV178)),IFERROR(BV235/BV178,""),"")</f>
        <v>0.213366981439271</v>
      </c>
      <c r="BW236" s="42" t="n">
        <f aca="false">IF(AND(ISNUMBER(BW235),ISNUMBER(BW178)),IFERROR(BW235/BW178,""),"")</f>
        <v>0.228701058645606</v>
      </c>
      <c r="BX236" s="42" t="n">
        <f aca="false">IF(AND(ISNUMBER(BX235),ISNUMBER(BX178)),IFERROR(BX235/BX178,""),"")</f>
        <v>0.197126895450918</v>
      </c>
      <c r="BY236" s="26" t="n">
        <f aca="false">IF(AND(ISNUMBER(BY235),ISNUMBER(BY178)),IFERROR(BY235/BY178,""),"")</f>
        <v>0.189446799673809</v>
      </c>
      <c r="BZ236" s="26" t="n">
        <f aca="false">IF(AND(ISNUMBER(BZ235),ISNUMBER(BZ178)),IFERROR(BZ235/BZ178,""),"")</f>
        <v>0.237844708941479</v>
      </c>
      <c r="CA236" s="26" t="n">
        <f aca="false">IF(AND(ISNUMBER(CA235),ISNUMBER(CA178)),IFERROR(CA235/CA178,""),"")</f>
        <v>0.214077206794094</v>
      </c>
      <c r="CB236" s="26" t="n">
        <f aca="false">IF(AND(ISNUMBER(CB235),ISNUMBER(CB178)),IFERROR(CB235/CB178,""),"")</f>
        <v>0.222644754925316</v>
      </c>
      <c r="CC236" s="26" t="n">
        <f aca="false">IF(AND(ISNUMBER(CC235),ISNUMBER(CC178)),IFERROR(CC235/CC178,""),"")</f>
        <v>0.231445469585076</v>
      </c>
      <c r="CD236" s="26" t="n">
        <f aca="false">IF(AND(ISNUMBER(CD235),ISNUMBER(CD178)),IFERROR(CD235/CD178,""),"")</f>
        <v>0.239423342818468</v>
      </c>
      <c r="CE236" s="26" t="n">
        <f aca="false">IF(AND(ISNUMBER(CE235),ISNUMBER(CE178)),IFERROR(CE235/CE178,""),"")</f>
        <v>0.252449713840586</v>
      </c>
      <c r="CF236" s="7"/>
      <c r="CH236" s="32" t="n">
        <f aca="false">IFERROR(AVERAGE(CA236,CB236,CC236,CD236,CE236),"n/m")</f>
        <v>0.232008097592708</v>
      </c>
      <c r="CI236" s="32" t="n">
        <f aca="false">IFERROR(AVERAGE(BB236,BG236,BL236,BQ236,BV236),"n/m")</f>
        <v>0.24342236759325</v>
      </c>
      <c r="CJ236" s="32" t="n">
        <f aca="false">IFERROR(AVERAGE(AC236,AH236,AM236,AR236,AW236,BB236,BG236,BL236,BQ236,BV236),"n/m")</f>
        <v>0.213521897446198</v>
      </c>
      <c r="CK236" s="32" t="n">
        <f aca="false">IFERROR(AVERAGE(C236,D236,E236,F236,G236,H236,I236,N236,S236,X236,AC236,AH236,AM236,AR236,AW236,BB236,BG236,BL236,BQ236,BV236),"n/m")</f>
        <v>0.188981102418938</v>
      </c>
    </row>
    <row r="237" customFormat="false" ht="15" hidden="false" customHeight="true" outlineLevel="0" collapsed="false"/>
    <row r="238" customFormat="false" ht="15" hidden="false" customHeight="true" outlineLevel="0" collapsed="false">
      <c r="B238" s="12" t="s">
        <v>394</v>
      </c>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t="s">
        <v>395</v>
      </c>
    </row>
    <row r="239" customFormat="false" ht="15" hidden="false" customHeight="true" outlineLevel="0" collapsed="false">
      <c r="B239" s="18" t="s">
        <v>396</v>
      </c>
      <c r="C239" s="44" t="n">
        <f aca="false">C185</f>
        <v>1500.3</v>
      </c>
      <c r="D239" s="44" t="n">
        <f aca="false">D185</f>
        <v>1740.7</v>
      </c>
      <c r="E239" s="44" t="n">
        <f aca="false">E185</f>
        <v>1869.5</v>
      </c>
      <c r="F239" s="44" t="n">
        <f aca="false">F185</f>
        <v>1542.4</v>
      </c>
      <c r="G239" s="44" t="n">
        <f aca="false">G185</f>
        <v>2049.6</v>
      </c>
      <c r="H239" s="44" t="n">
        <f aca="false">H185</f>
        <v>2617.2</v>
      </c>
      <c r="I239" s="44" t="n">
        <f aca="false">I185</f>
        <v>3165.1</v>
      </c>
      <c r="J239" s="44" t="n">
        <f aca="false">J185</f>
        <v>730.9</v>
      </c>
      <c r="K239" s="44" t="n">
        <f aca="false">K185</f>
        <v>843.6</v>
      </c>
      <c r="L239" s="44" t="n">
        <f aca="false">L185</f>
        <v>812.4</v>
      </c>
      <c r="M239" s="44" t="n">
        <f aca="false">M185</f>
        <v>888</v>
      </c>
      <c r="N239" s="44" t="n">
        <f aca="false">N185</f>
        <v>3274.9</v>
      </c>
      <c r="O239" s="44" t="n">
        <f aca="false">O185</f>
        <v>788.9</v>
      </c>
      <c r="P239" s="44" t="n">
        <f aca="false">P185</f>
        <v>889.3</v>
      </c>
      <c r="Q239" s="44" t="n">
        <f aca="false">Q185</f>
        <v>866.2</v>
      </c>
      <c r="R239" s="44" t="n">
        <f aca="false">R185</f>
        <v>866.9</v>
      </c>
      <c r="S239" s="44" t="n">
        <f aca="false">S185</f>
        <v>3346.6</v>
      </c>
      <c r="T239" s="44" t="n">
        <f aca="false">T185</f>
        <v>755.1</v>
      </c>
      <c r="U239" s="44" t="n">
        <f aca="false">U185</f>
        <v>934.4</v>
      </c>
      <c r="V239" s="44" t="n">
        <f aca="false">V185</f>
        <v>480</v>
      </c>
      <c r="W239" s="44" t="n">
        <f aca="false">W185</f>
        <v>651.6</v>
      </c>
      <c r="X239" s="44" t="n">
        <f aca="false">X185</f>
        <v>2162.2</v>
      </c>
      <c r="Y239" s="44" t="n">
        <f aca="false">Y185</f>
        <v>613.1</v>
      </c>
      <c r="Z239" s="44" t="n">
        <f aca="false">Z185</f>
        <v>710.1</v>
      </c>
      <c r="AA239" s="44" t="n">
        <f aca="false">AA185</f>
        <v>699.100000000001</v>
      </c>
      <c r="AB239" s="44" t="n">
        <f aca="false">AB185</f>
        <v>728.6</v>
      </c>
      <c r="AC239" s="44" t="n">
        <f aca="false">AC185</f>
        <v>2750.9</v>
      </c>
      <c r="AD239" s="44" t="n">
        <f aca="false">AD185</f>
        <v>617</v>
      </c>
      <c r="AE239" s="44" t="n">
        <f aca="false">AE185</f>
        <v>676.7</v>
      </c>
      <c r="AF239" s="44" t="n">
        <f aca="false">AF185</f>
        <v>759.2</v>
      </c>
      <c r="AG239" s="44" t="n">
        <f aca="false">AG185</f>
        <v>937.5</v>
      </c>
      <c r="AH239" s="44" t="n">
        <f aca="false">AH185</f>
        <v>2990.4</v>
      </c>
      <c r="AI239" s="44" t="n">
        <f aca="false">AI185</f>
        <v>742.999999999999</v>
      </c>
      <c r="AJ239" s="44" t="n">
        <f aca="false">AJ185</f>
        <v>867.5</v>
      </c>
      <c r="AK239" s="44" t="n">
        <f aca="false">AK185</f>
        <v>830.700000000001</v>
      </c>
      <c r="AL239" s="44" t="n">
        <f aca="false">AL185</f>
        <v>863.4</v>
      </c>
      <c r="AM239" s="44" t="n">
        <f aca="false">AM185</f>
        <v>3055.1</v>
      </c>
      <c r="AN239" s="44" t="n">
        <f aca="false">AN185</f>
        <v>719.7</v>
      </c>
      <c r="AO239" s="44" t="n">
        <f aca="false">AO185</f>
        <v>811.7</v>
      </c>
      <c r="AP239" s="44" t="n">
        <f aca="false">AP185</f>
        <v>776.3</v>
      </c>
      <c r="AQ239" s="44" t="n">
        <f aca="false">AQ185</f>
        <v>961.7</v>
      </c>
      <c r="AR239" s="44" t="n">
        <f aca="false">AR185</f>
        <v>3269.4</v>
      </c>
      <c r="AS239" s="44" t="n">
        <f aca="false">AS185</f>
        <v>697.5</v>
      </c>
      <c r="AT239" s="44" t="n">
        <f aca="false">AT185</f>
        <v>844.599999999999</v>
      </c>
      <c r="AU239" s="44" t="n">
        <f aca="false">AU185</f>
        <v>1087.6</v>
      </c>
      <c r="AV239" s="44" t="n">
        <f aca="false">AV185</f>
        <v>1601</v>
      </c>
      <c r="AW239" s="44" t="n">
        <f aca="false">AW185</f>
        <v>4231</v>
      </c>
      <c r="AX239" s="44" t="n">
        <f aca="false">AX185</f>
        <v>1997</v>
      </c>
      <c r="AY239" s="44" t="n">
        <f aca="false">AY185</f>
        <v>2005</v>
      </c>
      <c r="AZ239" s="44" t="n">
        <f aca="false">AZ185</f>
        <v>1309</v>
      </c>
      <c r="BA239" s="44" t="n">
        <f aca="false">BA185</f>
        <v>2154</v>
      </c>
      <c r="BB239" s="44" t="n">
        <f aca="false">BB185</f>
        <v>7465</v>
      </c>
      <c r="BC239" s="44" t="n">
        <f aca="false">BC185</f>
        <v>2172</v>
      </c>
      <c r="BD239" s="44" t="n">
        <f aca="false">BD185</f>
        <v>2205</v>
      </c>
      <c r="BE239" s="44" t="n">
        <f aca="false">BE185</f>
        <v>2015</v>
      </c>
      <c r="BF239" s="44" t="n">
        <f aca="false">BF185</f>
        <v>1997</v>
      </c>
      <c r="BG239" s="44" t="n">
        <f aca="false">BG185</f>
        <v>7536</v>
      </c>
      <c r="BH239" s="44" t="n">
        <f aca="false">BH185</f>
        <v>1517</v>
      </c>
      <c r="BI239" s="44" t="n">
        <f aca="false">BI185</f>
        <v>1163</v>
      </c>
      <c r="BJ239" s="44" t="n">
        <f aca="false">BJ185</f>
        <v>1185</v>
      </c>
      <c r="BK239" s="44" t="n">
        <f aca="false">BK185</f>
        <v>1337</v>
      </c>
      <c r="BL239" s="44" t="n">
        <f aca="false">BL185</f>
        <v>5202</v>
      </c>
      <c r="BM239" s="44" t="n">
        <f aca="false">BM185</f>
        <v>1312</v>
      </c>
      <c r="BN239" s="44" t="n">
        <f aca="false">BN185</f>
        <v>1168</v>
      </c>
      <c r="BO239" s="44" t="n">
        <f aca="false">BO185</f>
        <v>958</v>
      </c>
      <c r="BP239" s="44" t="n">
        <f aca="false">BP185</f>
        <v>1425</v>
      </c>
      <c r="BQ239" s="44" t="n">
        <f aca="false">BQ185</f>
        <v>4863</v>
      </c>
      <c r="BR239" s="44" t="n">
        <f aca="false">BR185</f>
        <v>1274</v>
      </c>
      <c r="BS239" s="44" t="n">
        <f aca="false">BS185</f>
        <v>760</v>
      </c>
      <c r="BT239" s="44" t="n">
        <f aca="false">BT185</f>
        <v>1154</v>
      </c>
      <c r="BU239" s="44" t="n">
        <f aca="false">BU185</f>
        <v>1502</v>
      </c>
      <c r="BV239" s="44" t="n">
        <f aca="false">BV185</f>
        <v>4690</v>
      </c>
      <c r="BW239" s="44" t="n">
        <f aca="false">BW185</f>
        <v>1344</v>
      </c>
      <c r="BX239" s="44" t="n">
        <f aca="false">BX185</f>
        <v>1127</v>
      </c>
      <c r="BY239" s="21" t="n">
        <f aca="false">BY185</f>
        <v>1223.73113816422</v>
      </c>
      <c r="BZ239" s="21" t="n">
        <f aca="false">BZ185</f>
        <v>1822.97638581533</v>
      </c>
      <c r="CA239" s="21" t="n">
        <f aca="false">CA185</f>
        <v>5517.70752397956</v>
      </c>
      <c r="CB239" s="21" t="n">
        <f aca="false">CB185</f>
        <v>6453.52817978484</v>
      </c>
      <c r="CC239" s="21" t="n">
        <f aca="false">CC185</f>
        <v>7148.09289153666</v>
      </c>
      <c r="CD239" s="21" t="n">
        <f aca="false">CD185</f>
        <v>7918.45688913192</v>
      </c>
      <c r="CE239" s="21" t="n">
        <f aca="false">CE185</f>
        <v>8945.27361077044</v>
      </c>
      <c r="CF239" s="7"/>
    </row>
    <row r="240" customFormat="false" ht="15" hidden="false" customHeight="true" outlineLevel="0" collapsed="false">
      <c r="B240" s="27" t="s">
        <v>397</v>
      </c>
      <c r="C240" s="51" t="n">
        <f aca="false">C204</f>
        <v>64.2</v>
      </c>
      <c r="D240" s="51" t="n">
        <f aca="false">D204</f>
        <v>94.6</v>
      </c>
      <c r="E240" s="51" t="n">
        <f aca="false">E204</f>
        <v>145.3</v>
      </c>
      <c r="F240" s="51" t="n">
        <f aca="false">F204</f>
        <v>157.1</v>
      </c>
      <c r="G240" s="51" t="n">
        <f aca="false">G204</f>
        <v>199.1</v>
      </c>
      <c r="H240" s="51" t="n">
        <f aca="false">H204</f>
        <v>284.3</v>
      </c>
      <c r="I240" s="51" t="n">
        <f aca="false">I204</f>
        <v>342</v>
      </c>
      <c r="J240" s="51" t="n">
        <f aca="false">J204</f>
        <v>89.3</v>
      </c>
      <c r="K240" s="51" t="n">
        <f aca="false">K204</f>
        <v>90.1</v>
      </c>
      <c r="L240" s="51" t="n">
        <f aca="false">L204</f>
        <v>91.9</v>
      </c>
      <c r="M240" s="51" t="n">
        <f aca="false">M204</f>
        <v>93.8</v>
      </c>
      <c r="N240" s="51" t="n">
        <f aca="false">N204</f>
        <v>365.1</v>
      </c>
      <c r="O240" s="51" t="n">
        <f aca="false">O204</f>
        <v>92.5</v>
      </c>
      <c r="P240" s="51" t="n">
        <f aca="false">P204</f>
        <v>95</v>
      </c>
      <c r="Q240" s="51" t="n">
        <f aca="false">Q204</f>
        <v>90</v>
      </c>
      <c r="R240" s="51" t="n">
        <f aca="false">R204</f>
        <v>92</v>
      </c>
      <c r="S240" s="51" t="n">
        <f aca="false">S204</f>
        <v>352</v>
      </c>
      <c r="T240" s="51" t="n">
        <f aca="false">T204</f>
        <v>101</v>
      </c>
      <c r="U240" s="51" t="n">
        <f aca="false">U204</f>
        <v>99</v>
      </c>
      <c r="V240" s="51" t="n">
        <f aca="false">V204</f>
        <v>100.6</v>
      </c>
      <c r="W240" s="51" t="n">
        <f aca="false">W204</f>
        <v>137.4</v>
      </c>
      <c r="X240" s="51" t="n">
        <f aca="false">X204</f>
        <v>396.8</v>
      </c>
      <c r="Y240" s="51" t="n">
        <f aca="false">Y204</f>
        <v>139.2</v>
      </c>
      <c r="Z240" s="51" t="n">
        <f aca="false">Z204</f>
        <v>144.2</v>
      </c>
      <c r="AA240" s="51" t="n">
        <f aca="false">AA204</f>
        <v>143.2</v>
      </c>
      <c r="AB240" s="51" t="n">
        <f aca="false">AB204</f>
        <v>156.5</v>
      </c>
      <c r="AC240" s="51" t="n">
        <f aca="false">AC204</f>
        <v>583.1</v>
      </c>
      <c r="AD240" s="51" t="n">
        <f aca="false">AD204</f>
        <v>166.1</v>
      </c>
      <c r="AE240" s="51" t="n">
        <f aca="false">AE204</f>
        <v>160.3</v>
      </c>
      <c r="AF240" s="51" t="n">
        <f aca="false">AF204</f>
        <v>166.4</v>
      </c>
      <c r="AG240" s="51" t="n">
        <f aca="false">AG204</f>
        <v>167.7</v>
      </c>
      <c r="AH240" s="51" t="n">
        <f aca="false">AH204</f>
        <v>660.5</v>
      </c>
      <c r="AI240" s="51" t="n">
        <f aca="false">AI204</f>
        <v>172.3</v>
      </c>
      <c r="AJ240" s="51" t="n">
        <f aca="false">AJ204</f>
        <v>181.1</v>
      </c>
      <c r="AK240" s="51" t="n">
        <f aca="false">AK204</f>
        <v>174.1</v>
      </c>
      <c r="AL240" s="51" t="n">
        <f aca="false">AL204</f>
        <v>156.1</v>
      </c>
      <c r="AM240" s="51" t="n">
        <f aca="false">AM204</f>
        <v>615.6</v>
      </c>
      <c r="AN240" s="51" t="n">
        <f aca="false">AN204</f>
        <v>157.4</v>
      </c>
      <c r="AO240" s="51" t="n">
        <f aca="false">AO204</f>
        <v>156.3</v>
      </c>
      <c r="AP240" s="51" t="n">
        <f aca="false">AP204</f>
        <v>155.6</v>
      </c>
      <c r="AQ240" s="51" t="n">
        <f aca="false">AQ204</f>
        <v>155.8</v>
      </c>
      <c r="AR240" s="51" t="n">
        <f aca="false">AR204</f>
        <v>625.1</v>
      </c>
      <c r="AS240" s="51" t="n">
        <f aca="false">AS204</f>
        <v>156.4</v>
      </c>
      <c r="AT240" s="51" t="n">
        <f aca="false">AT204</f>
        <v>314.1</v>
      </c>
      <c r="AU240" s="51" t="n">
        <f aca="false">AU204</f>
        <v>331.1</v>
      </c>
      <c r="AV240" s="51" t="n">
        <f aca="false">AV204</f>
        <v>336</v>
      </c>
      <c r="AW240" s="51" t="n">
        <f aca="false">AW204</f>
        <v>1138</v>
      </c>
      <c r="AX240" s="51" t="n">
        <f aca="false">AX204</f>
        <v>344</v>
      </c>
      <c r="AY240" s="51" t="n">
        <f aca="false">AY204</f>
        <v>347</v>
      </c>
      <c r="AZ240" s="51" t="n">
        <f aca="false">AZ204</f>
        <v>365</v>
      </c>
      <c r="BA240" s="51" t="n">
        <f aca="false">BA204</f>
        <v>394</v>
      </c>
      <c r="BB240" s="51" t="n">
        <f aca="false">BB204</f>
        <v>1450</v>
      </c>
      <c r="BC240" s="51" t="n">
        <f aca="false">BC204</f>
        <v>386</v>
      </c>
      <c r="BD240" s="51" t="n">
        <f aca="false">BD204</f>
        <v>373</v>
      </c>
      <c r="BE240" s="51" t="n">
        <f aca="false">BE204</f>
        <v>361</v>
      </c>
      <c r="BF240" s="51" t="n">
        <f aca="false">BF204</f>
        <v>352</v>
      </c>
      <c r="BG240" s="51" t="n">
        <f aca="false">BG204</f>
        <v>1434</v>
      </c>
      <c r="BH240" s="51" t="n">
        <f aca="false">BH204</f>
        <v>372</v>
      </c>
      <c r="BI240" s="51" t="n">
        <f aca="false">BI204</f>
        <v>372</v>
      </c>
      <c r="BJ240" s="51" t="n">
        <f aca="false">BJ204</f>
        <v>367</v>
      </c>
      <c r="BK240" s="51" t="n">
        <f aca="false">BK204</f>
        <v>380</v>
      </c>
      <c r="BL240" s="51" t="n">
        <f aca="false">BL204</f>
        <v>1491</v>
      </c>
      <c r="BM240" s="51" t="n">
        <f aca="false">BM204</f>
        <v>407</v>
      </c>
      <c r="BN240" s="51" t="n">
        <f aca="false">BN204</f>
        <v>402</v>
      </c>
      <c r="BO240" s="51" t="n">
        <f aca="false">BO204</f>
        <v>414</v>
      </c>
      <c r="BP240" s="51" t="n">
        <f aca="false">BP204</f>
        <v>408</v>
      </c>
      <c r="BQ240" s="51" t="n">
        <f aca="false">BQ204</f>
        <v>1631</v>
      </c>
      <c r="BR240" s="51" t="n">
        <f aca="false">BR204</f>
        <v>410</v>
      </c>
      <c r="BS240" s="51" t="n">
        <f aca="false">BS204</f>
        <v>426</v>
      </c>
      <c r="BT240" s="51" t="n">
        <f aca="false">BT204</f>
        <v>433</v>
      </c>
      <c r="BU240" s="51" t="n">
        <f aca="false">BU204</f>
        <v>428</v>
      </c>
      <c r="BV240" s="51" t="n">
        <f aca="false">BV204</f>
        <v>1697</v>
      </c>
      <c r="BW240" s="51" t="n">
        <f aca="false">BW204</f>
        <v>434</v>
      </c>
      <c r="BX240" s="51" t="n">
        <f aca="false">BX204</f>
        <v>463</v>
      </c>
      <c r="BY240" s="41" t="n">
        <f aca="false">BY204</f>
        <v>500</v>
      </c>
      <c r="BZ240" s="41" t="n">
        <f aca="false">BZ204</f>
        <v>503</v>
      </c>
      <c r="CA240" s="41" t="n">
        <f aca="false">CA204</f>
        <v>1900</v>
      </c>
      <c r="CB240" s="41" t="n">
        <f aca="false">CB204</f>
        <v>1909.53333333333</v>
      </c>
      <c r="CC240" s="41" t="n">
        <f aca="false">CC204</f>
        <v>1949.53333333333</v>
      </c>
      <c r="CD240" s="41" t="n">
        <f aca="false">CD204</f>
        <v>2009.53333333333</v>
      </c>
      <c r="CE240" s="41" t="n">
        <f aca="false">CE204</f>
        <v>1876.2</v>
      </c>
      <c r="CF240" s="37"/>
    </row>
    <row r="241" customFormat="false" ht="15" hidden="false" customHeight="true" outlineLevel="0" collapsed="false">
      <c r="B241" s="27" t="s">
        <v>398</v>
      </c>
      <c r="C241" s="40" t="n">
        <v>-10.8</v>
      </c>
      <c r="D241" s="40" t="n">
        <v>57.9</v>
      </c>
      <c r="E241" s="40" t="n">
        <v>106</v>
      </c>
      <c r="F241" s="40" t="n">
        <v>122.8</v>
      </c>
      <c r="G241" s="40" t="n">
        <v>46.4</v>
      </c>
      <c r="H241" s="40" t="n">
        <v>116.6</v>
      </c>
      <c r="I241" s="39"/>
      <c r="J241" s="40" t="n">
        <v>0</v>
      </c>
      <c r="K241" s="40" t="n">
        <v>0</v>
      </c>
      <c r="L241" s="39"/>
      <c r="M241" s="40" t="n">
        <v>19</v>
      </c>
      <c r="N241" s="40" t="n">
        <v>19</v>
      </c>
      <c r="O241" s="40" t="n">
        <v>0</v>
      </c>
      <c r="P241" s="39"/>
      <c r="Q241" s="39"/>
      <c r="R241" s="40" t="n">
        <v>85</v>
      </c>
      <c r="S241" s="40" t="n">
        <v>85</v>
      </c>
      <c r="T241" s="40" t="n">
        <v>15</v>
      </c>
      <c r="U241" s="40" t="n">
        <v>0</v>
      </c>
      <c r="V241" s="40" t="n">
        <v>59</v>
      </c>
      <c r="W241" s="40" t="n">
        <v>57</v>
      </c>
      <c r="X241" s="40" t="n">
        <v>115</v>
      </c>
      <c r="Y241" s="40" t="n">
        <v>14</v>
      </c>
      <c r="Z241" s="40" t="n">
        <v>17</v>
      </c>
      <c r="AA241" s="40" t="n">
        <v>-18</v>
      </c>
      <c r="AB241" s="40" t="n">
        <v>84</v>
      </c>
      <c r="AC241" s="40" t="n">
        <v>66</v>
      </c>
      <c r="AD241" s="40" t="n">
        <v>0</v>
      </c>
      <c r="AE241" s="40" t="n">
        <v>76</v>
      </c>
      <c r="AF241" s="40" t="n">
        <v>0</v>
      </c>
      <c r="AG241" s="40" t="n">
        <v>-11</v>
      </c>
      <c r="AH241" s="40" t="n">
        <v>65</v>
      </c>
      <c r="AI241" s="40" t="n">
        <v>0</v>
      </c>
      <c r="AJ241" s="40" t="n">
        <v>7</v>
      </c>
      <c r="AK241" s="40" t="n">
        <v>0</v>
      </c>
      <c r="AL241" s="40" t="n">
        <v>15</v>
      </c>
      <c r="AM241" s="40" t="n">
        <v>22</v>
      </c>
      <c r="AN241" s="40" t="n">
        <v>62</v>
      </c>
      <c r="AO241" s="40" t="n">
        <v>29</v>
      </c>
      <c r="AP241" s="40" t="n">
        <v>55</v>
      </c>
      <c r="AQ241" s="40" t="n">
        <v>30</v>
      </c>
      <c r="AR241" s="40" t="n">
        <v>93</v>
      </c>
      <c r="AS241" s="40" t="n">
        <v>67</v>
      </c>
      <c r="AT241" s="40" t="n">
        <v>228</v>
      </c>
      <c r="AU241" s="40" t="n">
        <v>246</v>
      </c>
      <c r="AV241" s="40" t="n">
        <v>49</v>
      </c>
      <c r="AW241" s="40" t="n">
        <v>590</v>
      </c>
      <c r="AX241" s="40" t="n">
        <v>56</v>
      </c>
      <c r="AY241" s="40" t="n">
        <v>0</v>
      </c>
      <c r="AZ241" s="40" t="n">
        <v>592</v>
      </c>
      <c r="BA241" s="40" t="n">
        <v>13</v>
      </c>
      <c r="BB241" s="40" t="n">
        <v>661</v>
      </c>
      <c r="BC241" s="40" t="n">
        <v>43</v>
      </c>
      <c r="BD241" s="40" t="n">
        <v>9</v>
      </c>
      <c r="BE241" s="40" t="n">
        <v>0</v>
      </c>
      <c r="BF241" s="40" t="n">
        <v>9</v>
      </c>
      <c r="BG241" s="40" t="n">
        <v>61</v>
      </c>
      <c r="BH241" s="40" t="n">
        <v>28</v>
      </c>
      <c r="BI241" s="40" t="n">
        <v>85</v>
      </c>
      <c r="BJ241" s="40" t="n">
        <v>42</v>
      </c>
      <c r="BK241" s="40" t="n">
        <v>120</v>
      </c>
      <c r="BL241" s="40" t="n">
        <v>162</v>
      </c>
      <c r="BM241" s="40" t="n">
        <v>25</v>
      </c>
      <c r="BN241" s="40" t="n">
        <v>0</v>
      </c>
      <c r="BO241" s="40" t="n">
        <v>222</v>
      </c>
      <c r="BP241" s="40" t="n">
        <v>99</v>
      </c>
      <c r="BQ241" s="40" t="n">
        <v>346</v>
      </c>
      <c r="BR241" s="40" t="n">
        <v>15</v>
      </c>
      <c r="BS241" s="40" t="n">
        <v>432</v>
      </c>
      <c r="BT241" s="40" t="n">
        <v>101</v>
      </c>
      <c r="BU241" s="40" t="n">
        <v>4</v>
      </c>
      <c r="BV241" s="40" t="n">
        <v>552</v>
      </c>
      <c r="BW241" s="40" t="n">
        <v>17</v>
      </c>
      <c r="BX241" s="40" t="n">
        <v>108</v>
      </c>
      <c r="BY241" s="41" t="n">
        <f aca="false">BY79</f>
        <v>30</v>
      </c>
      <c r="BZ241" s="41" t="n">
        <f aca="false">BZ79</f>
        <v>0</v>
      </c>
      <c r="CA241" s="41" t="n">
        <f aca="false">SUM(BW241,BX241,BY241,BZ241)</f>
        <v>155</v>
      </c>
      <c r="CB241" s="41" t="n">
        <f aca="false">CB79</f>
        <v>0</v>
      </c>
      <c r="CC241" s="41" t="n">
        <f aca="false">CC79</f>
        <v>0</v>
      </c>
      <c r="CD241" s="41" t="n">
        <f aca="false">CD79</f>
        <v>0</v>
      </c>
      <c r="CE241" s="41" t="n">
        <f aca="false">CE79</f>
        <v>0</v>
      </c>
      <c r="CF241" s="37" t="s">
        <v>399</v>
      </c>
    </row>
    <row r="242" customFormat="false" ht="15" hidden="false" customHeight="true" outlineLevel="0" collapsed="false">
      <c r="B242" s="18" t="s">
        <v>400</v>
      </c>
      <c r="C242" s="44" t="n">
        <f aca="false">N(C240)+N(C241)</f>
        <v>53.4</v>
      </c>
      <c r="D242" s="44" t="n">
        <f aca="false">N(D240)+N(D241)</f>
        <v>152.5</v>
      </c>
      <c r="E242" s="44" t="n">
        <f aca="false">N(E240)+N(E241)</f>
        <v>251.3</v>
      </c>
      <c r="F242" s="44" t="n">
        <f aca="false">N(F240)+N(F241)</f>
        <v>279.9</v>
      </c>
      <c r="G242" s="44" t="n">
        <f aca="false">N(G240)+N(G241)</f>
        <v>245.5</v>
      </c>
      <c r="H242" s="44" t="n">
        <f aca="false">N(H240)+N(H241)</f>
        <v>400.9</v>
      </c>
      <c r="I242" s="44" t="n">
        <f aca="false">N(I240)+N(I241)</f>
        <v>342</v>
      </c>
      <c r="J242" s="44" t="n">
        <f aca="false">N(J240)+N(J241)</f>
        <v>89.3</v>
      </c>
      <c r="K242" s="44" t="n">
        <f aca="false">N(K240)+N(K241)</f>
        <v>90.1</v>
      </c>
      <c r="L242" s="44" t="n">
        <f aca="false">N(L240)+N(L241)</f>
        <v>91.9</v>
      </c>
      <c r="M242" s="44" t="n">
        <f aca="false">N(M240)+N(M241)</f>
        <v>112.8</v>
      </c>
      <c r="N242" s="44" t="n">
        <f aca="false">N(N240)+N(N241)</f>
        <v>384.1</v>
      </c>
      <c r="O242" s="44" t="n">
        <f aca="false">N(O240)+N(O241)</f>
        <v>92.5</v>
      </c>
      <c r="P242" s="44" t="n">
        <f aca="false">N(P240)+N(P241)</f>
        <v>95</v>
      </c>
      <c r="Q242" s="44" t="n">
        <f aca="false">N(Q240)+N(Q241)</f>
        <v>90</v>
      </c>
      <c r="R242" s="44" t="n">
        <f aca="false">N(R240)+N(R241)</f>
        <v>177</v>
      </c>
      <c r="S242" s="44" t="n">
        <f aca="false">N(S240)+N(S241)</f>
        <v>437</v>
      </c>
      <c r="T242" s="44" t="n">
        <f aca="false">N(T240)+N(T241)</f>
        <v>116</v>
      </c>
      <c r="U242" s="44" t="n">
        <f aca="false">N(U240)+N(U241)</f>
        <v>99</v>
      </c>
      <c r="V242" s="44" t="n">
        <f aca="false">N(V240)+N(V241)</f>
        <v>159.6</v>
      </c>
      <c r="W242" s="44" t="n">
        <f aca="false">N(W240)+N(W241)</f>
        <v>194.4</v>
      </c>
      <c r="X242" s="44" t="n">
        <f aca="false">N(X240)+N(X241)</f>
        <v>511.8</v>
      </c>
      <c r="Y242" s="44" t="n">
        <f aca="false">N(Y240)+N(Y241)</f>
        <v>153.2</v>
      </c>
      <c r="Z242" s="44" t="n">
        <f aca="false">N(Z240)+N(Z241)</f>
        <v>161.2</v>
      </c>
      <c r="AA242" s="44" t="n">
        <f aca="false">N(AA240)+N(AA241)</f>
        <v>125.2</v>
      </c>
      <c r="AB242" s="44" t="n">
        <f aca="false">N(AB240)+N(AB241)</f>
        <v>240.5</v>
      </c>
      <c r="AC242" s="44" t="n">
        <f aca="false">N(AC240)+N(AC241)</f>
        <v>649.1</v>
      </c>
      <c r="AD242" s="44" t="n">
        <f aca="false">N(AD240)+N(AD241)</f>
        <v>166.1</v>
      </c>
      <c r="AE242" s="44" t="n">
        <f aca="false">N(AE240)+N(AE241)</f>
        <v>236.3</v>
      </c>
      <c r="AF242" s="44" t="n">
        <f aca="false">N(AF240)+N(AF241)</f>
        <v>166.4</v>
      </c>
      <c r="AG242" s="44" t="n">
        <f aca="false">N(AG240)+N(AG241)</f>
        <v>156.7</v>
      </c>
      <c r="AH242" s="44" t="n">
        <f aca="false">N(AH240)+N(AH241)</f>
        <v>725.5</v>
      </c>
      <c r="AI242" s="44" t="n">
        <f aca="false">N(AI240)+N(AI241)</f>
        <v>172.3</v>
      </c>
      <c r="AJ242" s="44" t="n">
        <f aca="false">N(AJ240)+N(AJ241)</f>
        <v>188.1</v>
      </c>
      <c r="AK242" s="44" t="n">
        <f aca="false">N(AK240)+N(AK241)</f>
        <v>174.1</v>
      </c>
      <c r="AL242" s="44" t="n">
        <f aca="false">N(AL240)+N(AL241)</f>
        <v>171.1</v>
      </c>
      <c r="AM242" s="44" t="n">
        <f aca="false">N(AM240)+N(AM241)</f>
        <v>637.6</v>
      </c>
      <c r="AN242" s="44" t="n">
        <f aca="false">N(AN240)+N(AN241)</f>
        <v>219.4</v>
      </c>
      <c r="AO242" s="44" t="n">
        <f aca="false">N(AO240)+N(AO241)</f>
        <v>185.3</v>
      </c>
      <c r="AP242" s="44" t="n">
        <f aca="false">N(AP240)+N(AP241)</f>
        <v>210.6</v>
      </c>
      <c r="AQ242" s="44" t="n">
        <f aca="false">N(AQ240)+N(AQ241)</f>
        <v>185.8</v>
      </c>
      <c r="AR242" s="44" t="n">
        <f aca="false">N(AR240)+N(AR241)</f>
        <v>718.1</v>
      </c>
      <c r="AS242" s="44" t="n">
        <f aca="false">N(AS240)+N(AS241)</f>
        <v>223.4</v>
      </c>
      <c r="AT242" s="44" t="n">
        <f aca="false">N(AT240)+N(AT241)</f>
        <v>542.1</v>
      </c>
      <c r="AU242" s="44" t="n">
        <f aca="false">N(AU240)+N(AU241)</f>
        <v>577.1</v>
      </c>
      <c r="AV242" s="44" t="n">
        <f aca="false">N(AV240)+N(AV241)</f>
        <v>385</v>
      </c>
      <c r="AW242" s="44" t="n">
        <f aca="false">N(AW240)+N(AW241)</f>
        <v>1728</v>
      </c>
      <c r="AX242" s="44" t="n">
        <f aca="false">N(AX240)+N(AX241)</f>
        <v>400</v>
      </c>
      <c r="AY242" s="44" t="n">
        <f aca="false">N(AY240)+N(AY241)</f>
        <v>347</v>
      </c>
      <c r="AZ242" s="44" t="n">
        <f aca="false">N(AZ240)+N(AZ241)</f>
        <v>957</v>
      </c>
      <c r="BA242" s="44" t="n">
        <f aca="false">N(BA240)+N(BA241)</f>
        <v>407</v>
      </c>
      <c r="BB242" s="44" t="n">
        <f aca="false">N(BB240)+N(BB241)</f>
        <v>2111</v>
      </c>
      <c r="BC242" s="44" t="n">
        <f aca="false">N(BC240)+N(BC241)</f>
        <v>429</v>
      </c>
      <c r="BD242" s="44" t="n">
        <f aca="false">N(BD240)+N(BD241)</f>
        <v>382</v>
      </c>
      <c r="BE242" s="44" t="n">
        <f aca="false">N(BE240)+N(BE241)</f>
        <v>361</v>
      </c>
      <c r="BF242" s="44" t="n">
        <f aca="false">N(BF240)+N(BF241)</f>
        <v>361</v>
      </c>
      <c r="BG242" s="44" t="n">
        <f aca="false">N(BG240)+N(BG241)</f>
        <v>1495</v>
      </c>
      <c r="BH242" s="44" t="n">
        <f aca="false">N(BH240)+N(BH241)</f>
        <v>400</v>
      </c>
      <c r="BI242" s="44" t="n">
        <f aca="false">N(BI240)+N(BI241)</f>
        <v>457</v>
      </c>
      <c r="BJ242" s="44" t="n">
        <f aca="false">N(BJ240)+N(BJ241)</f>
        <v>409</v>
      </c>
      <c r="BK242" s="44" t="n">
        <f aca="false">N(BK240)+N(BK241)</f>
        <v>500</v>
      </c>
      <c r="BL242" s="44" t="n">
        <f aca="false">N(BL240)+N(BL241)</f>
        <v>1653</v>
      </c>
      <c r="BM242" s="44" t="n">
        <f aca="false">N(BM240)+N(BM241)</f>
        <v>432</v>
      </c>
      <c r="BN242" s="44" t="n">
        <f aca="false">N(BN240)+N(BN241)</f>
        <v>402</v>
      </c>
      <c r="BO242" s="44" t="n">
        <f aca="false">N(BO240)+N(BO241)</f>
        <v>636</v>
      </c>
      <c r="BP242" s="44" t="n">
        <f aca="false">N(BP240)+N(BP241)</f>
        <v>507</v>
      </c>
      <c r="BQ242" s="44" t="n">
        <f aca="false">N(BQ240)+N(BQ241)</f>
        <v>1977</v>
      </c>
      <c r="BR242" s="44" t="n">
        <f aca="false">N(BR240)+N(BR241)</f>
        <v>425</v>
      </c>
      <c r="BS242" s="44" t="n">
        <f aca="false">N(BS240)+N(BS241)</f>
        <v>858</v>
      </c>
      <c r="BT242" s="44" t="n">
        <f aca="false">N(BT240)+N(BT241)</f>
        <v>534</v>
      </c>
      <c r="BU242" s="44" t="n">
        <f aca="false">N(BU240)+N(BU241)</f>
        <v>432</v>
      </c>
      <c r="BV242" s="44" t="n">
        <f aca="false">N(BV240)+N(BV241)</f>
        <v>2249</v>
      </c>
      <c r="BW242" s="44" t="n">
        <f aca="false">N(BW240)+N(BW241)</f>
        <v>451</v>
      </c>
      <c r="BX242" s="44" t="n">
        <f aca="false">N(BX240)+N(BX241)</f>
        <v>571</v>
      </c>
      <c r="BY242" s="21" t="n">
        <f aca="false">N(BY240)+N(BY241)</f>
        <v>530</v>
      </c>
      <c r="BZ242" s="21" t="n">
        <f aca="false">N(BZ240)+N(BZ241)</f>
        <v>503</v>
      </c>
      <c r="CA242" s="21" t="n">
        <f aca="false">N(CA240)+N(CA241)</f>
        <v>2055</v>
      </c>
      <c r="CB242" s="21" t="n">
        <f aca="false">N(CB240)+N(CB241)</f>
        <v>1909.53333333333</v>
      </c>
      <c r="CC242" s="21" t="n">
        <f aca="false">N(CC240)+N(CC241)</f>
        <v>1949.53333333333</v>
      </c>
      <c r="CD242" s="21" t="n">
        <f aca="false">N(CD240)+N(CD241)</f>
        <v>2009.53333333333</v>
      </c>
      <c r="CE242" s="21" t="n">
        <f aca="false">N(CE240)+N(CE241)</f>
        <v>1876.2</v>
      </c>
      <c r="CF242" s="7"/>
    </row>
    <row r="243" customFormat="false" ht="15" hidden="false" customHeight="true" outlineLevel="0" collapsed="false">
      <c r="B243" s="62" t="s">
        <v>401</v>
      </c>
      <c r="C243" s="63" t="n">
        <f aca="false">IF(ISNUMBER(C239),C239+C242,"")</f>
        <v>1553.7</v>
      </c>
      <c r="D243" s="63" t="n">
        <f aca="false">IF(ISNUMBER(D239),D239+D242,"")</f>
        <v>1893.2</v>
      </c>
      <c r="E243" s="63" t="n">
        <f aca="false">IF(ISNUMBER(E239),E239+E242,"")</f>
        <v>2120.8</v>
      </c>
      <c r="F243" s="63" t="n">
        <f aca="false">IF(ISNUMBER(F239),F239+F242,"")</f>
        <v>1822.3</v>
      </c>
      <c r="G243" s="63" t="n">
        <f aca="false">IF(ISNUMBER(G239),G239+G242,"")</f>
        <v>2295.1</v>
      </c>
      <c r="H243" s="63" t="n">
        <f aca="false">IF(ISNUMBER(H239),H239+H242,"")</f>
        <v>3018.1</v>
      </c>
      <c r="I243" s="63" t="n">
        <f aca="false">IF(ISNUMBER(I239),I239+I242,"")</f>
        <v>3507.1</v>
      </c>
      <c r="J243" s="63" t="n">
        <f aca="false">IF(ISNUMBER(J239),J239+J242,"")</f>
        <v>820.2</v>
      </c>
      <c r="K243" s="63" t="n">
        <f aca="false">IF(ISNUMBER(K239),K239+K242,"")</f>
        <v>933.7</v>
      </c>
      <c r="L243" s="63" t="n">
        <f aca="false">IF(ISNUMBER(L239),L239+L242,"")</f>
        <v>904.3</v>
      </c>
      <c r="M243" s="63" t="n">
        <f aca="false">IF(ISNUMBER(M239),M239+M242,"")</f>
        <v>1000.8</v>
      </c>
      <c r="N243" s="63" t="n">
        <f aca="false">IF(ISNUMBER(N239),N239+N242,"")</f>
        <v>3659</v>
      </c>
      <c r="O243" s="63" t="n">
        <f aca="false">IF(ISNUMBER(O239),O239+O242,"")</f>
        <v>881.4</v>
      </c>
      <c r="P243" s="63" t="n">
        <f aca="false">IF(ISNUMBER(P239),P239+P242,"")</f>
        <v>984.3</v>
      </c>
      <c r="Q243" s="63" t="n">
        <f aca="false">IF(ISNUMBER(Q239),Q239+Q242,"")</f>
        <v>956.2</v>
      </c>
      <c r="R243" s="63" t="n">
        <f aca="false">IF(ISNUMBER(R239),R239+R242,"")</f>
        <v>1043.9</v>
      </c>
      <c r="S243" s="63" t="n">
        <f aca="false">IF(ISNUMBER(S239),S239+S242,"")</f>
        <v>3783.6</v>
      </c>
      <c r="T243" s="63" t="n">
        <f aca="false">IF(ISNUMBER(T239),T239+T242,"")</f>
        <v>871.1</v>
      </c>
      <c r="U243" s="63" t="n">
        <f aca="false">IF(ISNUMBER(U239),U239+U242,"")</f>
        <v>1033.4</v>
      </c>
      <c r="V243" s="63" t="n">
        <f aca="false">IF(ISNUMBER(V239),V239+V242,"")</f>
        <v>639.6</v>
      </c>
      <c r="W243" s="63" t="n">
        <f aca="false">IF(ISNUMBER(W239),W239+W242,"")</f>
        <v>846</v>
      </c>
      <c r="X243" s="63" t="n">
        <f aca="false">IF(ISNUMBER(X239),X239+X242,"")</f>
        <v>2674</v>
      </c>
      <c r="Y243" s="63" t="n">
        <f aca="false">IF(ISNUMBER(Y239),Y239+Y242,"")</f>
        <v>766.3</v>
      </c>
      <c r="Z243" s="63" t="n">
        <f aca="false">IF(ISNUMBER(Z239),Z239+Z242,"")</f>
        <v>871.3</v>
      </c>
      <c r="AA243" s="63" t="n">
        <f aca="false">IF(ISNUMBER(AA239),AA239+AA242,"")</f>
        <v>824.3</v>
      </c>
      <c r="AB243" s="63" t="n">
        <f aca="false">IF(ISNUMBER(AB239),AB239+AB242,"")</f>
        <v>969.1</v>
      </c>
      <c r="AC243" s="63" t="n">
        <f aca="false">IF(ISNUMBER(AC239),AC239+AC242,"")</f>
        <v>3400</v>
      </c>
      <c r="AD243" s="63" t="n">
        <f aca="false">IF(ISNUMBER(AD239),AD239+AD242,"")</f>
        <v>783.1</v>
      </c>
      <c r="AE243" s="63" t="n">
        <f aca="false">IF(ISNUMBER(AE239),AE239+AE242,"")</f>
        <v>913</v>
      </c>
      <c r="AF243" s="63" t="n">
        <f aca="false">IF(ISNUMBER(AF239),AF239+AF242,"")</f>
        <v>925.6</v>
      </c>
      <c r="AG243" s="63" t="n">
        <f aca="false">IF(ISNUMBER(AG239),AG239+AG242,"")</f>
        <v>1094.2</v>
      </c>
      <c r="AH243" s="63" t="n">
        <f aca="false">IF(ISNUMBER(AH239),AH239+AH242,"")</f>
        <v>3715.9</v>
      </c>
      <c r="AI243" s="63" t="n">
        <f aca="false">IF(ISNUMBER(AI239),AI239+AI242,"")</f>
        <v>915.299999999999</v>
      </c>
      <c r="AJ243" s="63" t="n">
        <f aca="false">IF(ISNUMBER(AJ239),AJ239+AJ242,"")</f>
        <v>1055.6</v>
      </c>
      <c r="AK243" s="63" t="n">
        <f aca="false">IF(ISNUMBER(AK239),AK239+AK242,"")</f>
        <v>1004.8</v>
      </c>
      <c r="AL243" s="63" t="n">
        <f aca="false">IF(ISNUMBER(AL239),AL239+AL242,"")</f>
        <v>1034.5</v>
      </c>
      <c r="AM243" s="63" t="n">
        <f aca="false">IF(ISNUMBER(AM239),AM239+AM242,"")</f>
        <v>3692.7</v>
      </c>
      <c r="AN243" s="63" t="n">
        <f aca="false">IF(ISNUMBER(AN239),AN239+AN242,"")</f>
        <v>939.1</v>
      </c>
      <c r="AO243" s="63" t="n">
        <f aca="false">IF(ISNUMBER(AO239),AO239+AO242,"")</f>
        <v>997</v>
      </c>
      <c r="AP243" s="63" t="n">
        <f aca="false">IF(ISNUMBER(AP239),AP239+AP242,"")</f>
        <v>986.9</v>
      </c>
      <c r="AQ243" s="63" t="n">
        <f aca="false">IF(ISNUMBER(AQ239),AQ239+AQ242,"")</f>
        <v>1147.5</v>
      </c>
      <c r="AR243" s="63" t="n">
        <f aca="false">IF(ISNUMBER(AR239),AR239+AR242,"")</f>
        <v>3987.5</v>
      </c>
      <c r="AS243" s="63" t="n">
        <f aca="false">IF(ISNUMBER(AS239),AS239+AS242,"")</f>
        <v>920.9</v>
      </c>
      <c r="AT243" s="63" t="n">
        <f aca="false">IF(ISNUMBER(AT239),AT239+AT242,"")</f>
        <v>1386.7</v>
      </c>
      <c r="AU243" s="63" t="n">
        <f aca="false">IF(ISNUMBER(AU239),AU239+AU242,"")</f>
        <v>1664.7</v>
      </c>
      <c r="AV243" s="63" t="n">
        <f aca="false">IF(ISNUMBER(AV239),AV239+AV242,"")</f>
        <v>1986</v>
      </c>
      <c r="AW243" s="63" t="n">
        <f aca="false">IF(ISNUMBER(AW239),AW239+AW242,"")</f>
        <v>5959</v>
      </c>
      <c r="AX243" s="63" t="n">
        <f aca="false">IF(ISNUMBER(AX239),AX239+AX242,"")</f>
        <v>2397</v>
      </c>
      <c r="AY243" s="63" t="n">
        <f aca="false">IF(ISNUMBER(AY239),AY239+AY242,"")</f>
        <v>2352</v>
      </c>
      <c r="AZ243" s="63" t="n">
        <f aca="false">IF(ISNUMBER(AZ239),AZ239+AZ242,"")</f>
        <v>2266</v>
      </c>
      <c r="BA243" s="63" t="n">
        <f aca="false">IF(ISNUMBER(BA239),BA239+BA242,"")</f>
        <v>2561</v>
      </c>
      <c r="BB243" s="63" t="n">
        <f aca="false">IF(ISNUMBER(BB239),BB239+BB242,"")</f>
        <v>9576</v>
      </c>
      <c r="BC243" s="63" t="n">
        <f aca="false">IF(ISNUMBER(BC239),BC239+BC242,"")</f>
        <v>2601</v>
      </c>
      <c r="BD243" s="63" t="n">
        <f aca="false">IF(ISNUMBER(BD239),BD239+BD242,"")</f>
        <v>2587</v>
      </c>
      <c r="BE243" s="63" t="n">
        <f aca="false">IF(ISNUMBER(BE239),BE239+BE242,"")</f>
        <v>2376</v>
      </c>
      <c r="BF243" s="63" t="n">
        <f aca="false">IF(ISNUMBER(BF239),BF239+BF242,"")</f>
        <v>2358</v>
      </c>
      <c r="BG243" s="63" t="n">
        <f aca="false">IF(ISNUMBER(BG239),BG239+BG242,"")</f>
        <v>9031</v>
      </c>
      <c r="BH243" s="63" t="n">
        <f aca="false">IF(ISNUMBER(BH239),BH239+BH242,"")</f>
        <v>1917</v>
      </c>
      <c r="BI243" s="63" t="n">
        <f aca="false">IF(ISNUMBER(BI239),BI239+BI242,"")</f>
        <v>1620</v>
      </c>
      <c r="BJ243" s="63" t="n">
        <f aca="false">IF(ISNUMBER(BJ239),BJ239+BJ242,"")</f>
        <v>1594</v>
      </c>
      <c r="BK243" s="63" t="n">
        <f aca="false">IF(ISNUMBER(BK239),BK239+BK242,"")</f>
        <v>1837</v>
      </c>
      <c r="BL243" s="63" t="n">
        <f aca="false">IF(ISNUMBER(BL239),BL239+BL242,"")</f>
        <v>6855</v>
      </c>
      <c r="BM243" s="63" t="n">
        <f aca="false">IF(ISNUMBER(BM239),BM239+BM242,"")</f>
        <v>1744</v>
      </c>
      <c r="BN243" s="63" t="n">
        <f aca="false">IF(ISNUMBER(BN239),BN239+BN242,"")</f>
        <v>1570</v>
      </c>
      <c r="BO243" s="63" t="n">
        <f aca="false">IF(ISNUMBER(BO239),BO239+BO242,"")</f>
        <v>1594</v>
      </c>
      <c r="BP243" s="63" t="n">
        <f aca="false">IF(ISNUMBER(BP239),BP239+BP242,"")</f>
        <v>1932</v>
      </c>
      <c r="BQ243" s="63" t="n">
        <f aca="false">IF(ISNUMBER(BQ239),BQ239+BQ242,"")</f>
        <v>6840</v>
      </c>
      <c r="BR243" s="63" t="n">
        <f aca="false">IF(ISNUMBER(BR239),BR239+BR242,"")</f>
        <v>1699</v>
      </c>
      <c r="BS243" s="63" t="n">
        <f aca="false">IF(ISNUMBER(BS239),BS239+BS242,"")</f>
        <v>1618</v>
      </c>
      <c r="BT243" s="63" t="n">
        <f aca="false">IF(ISNUMBER(BT239),BT239+BT242,"")</f>
        <v>1688</v>
      </c>
      <c r="BU243" s="63" t="n">
        <f aca="false">IF(ISNUMBER(BU239),BU239+BU242,"")</f>
        <v>1934</v>
      </c>
      <c r="BV243" s="63" t="n">
        <f aca="false">IF(ISNUMBER(BV239),BV239+BV242,"")</f>
        <v>6939</v>
      </c>
      <c r="BW243" s="63" t="n">
        <f aca="false">IF(ISNUMBER(BW239),BW239+BW242,"")</f>
        <v>1795</v>
      </c>
      <c r="BX243" s="63" t="n">
        <f aca="false">IF(ISNUMBER(BX239),BX239+BX242,"")</f>
        <v>1698</v>
      </c>
      <c r="BY243" s="63" t="n">
        <f aca="false">IF(ISNUMBER(BY239),BY239+BY242,"")</f>
        <v>1753.73113816422</v>
      </c>
      <c r="BZ243" s="63" t="n">
        <f aca="false">IF(ISNUMBER(BZ239),BZ239+BZ242,"")</f>
        <v>2325.97638581533</v>
      </c>
      <c r="CA243" s="63" t="n">
        <f aca="false">IF(ISNUMBER(CA239),CA239+CA242,"")</f>
        <v>7572.70752397956</v>
      </c>
      <c r="CB243" s="63" t="n">
        <f aca="false">IF(ISNUMBER(CB239),CB239+CB242,"")</f>
        <v>8363.06151311818</v>
      </c>
      <c r="CC243" s="63" t="n">
        <f aca="false">IF(ISNUMBER(CC239),CC239+CC242,"")</f>
        <v>9097.62622486999</v>
      </c>
      <c r="CD243" s="63" t="n">
        <f aca="false">IF(ISNUMBER(CD239),CD239+CD242,"")</f>
        <v>9927.99022246525</v>
      </c>
      <c r="CE243" s="63" t="n">
        <f aca="false">IF(ISNUMBER(CE239),CE239+CE242,"")</f>
        <v>10821.4736107704</v>
      </c>
      <c r="CF243" s="7" t="s">
        <v>402</v>
      </c>
      <c r="CH243" s="22" t="n">
        <f aca="false">IFERROR((CE243/BV243)^(1/5)-1,"n/m")</f>
        <v>0.0929439828874725</v>
      </c>
      <c r="CI243" s="22" t="n">
        <f aca="false">IFERROR((BV243/AW243)^(1/5)-1,"n/m")</f>
        <v>0.0309193717314462</v>
      </c>
      <c r="CJ243" s="22" t="n">
        <f aca="false">IFERROR((BV243/X243)^(1/10)-1,"n/m")</f>
        <v>0.100052844740693</v>
      </c>
      <c r="CK243" s="22" t="n">
        <f aca="false">IFERROR((BV243/C243)^(1/19)-1,"n/m")</f>
        <v>0.0819490937091851</v>
      </c>
    </row>
    <row r="244" customFormat="false" ht="15" hidden="false" customHeight="true" outlineLevel="0" collapsed="false">
      <c r="B244" s="27" t="s">
        <v>403</v>
      </c>
      <c r="C244" s="42" t="n">
        <f aca="false">IF(AND(ISNUMBER(C243),ISNUMBER(C178)),IFERROR(C243/C178,""),"")</f>
        <v>0.164133064303145</v>
      </c>
      <c r="D244" s="42" t="n">
        <f aca="false">IF(AND(ISNUMBER(D243),ISNUMBER(D178)),IFERROR(D243/D178,""),"")</f>
        <v>0.171704804142972</v>
      </c>
      <c r="E244" s="42" t="n">
        <f aca="false">IF(AND(ISNUMBER(E243),ISNUMBER(E178)),IFERROR(E243/E178,""),"")</f>
        <v>0.167025004922229</v>
      </c>
      <c r="F244" s="42" t="n">
        <f aca="false">IF(AND(ISNUMBER(F243),ISNUMBER(F178)),IFERROR(F243/F178,""),"")</f>
        <v>0.162925014975547</v>
      </c>
      <c r="G244" s="42" t="n">
        <f aca="false">IF(AND(ISNUMBER(G243),ISNUMBER(G178)),IFERROR(G243/G178,""),"")</f>
        <v>0.182876494023904</v>
      </c>
      <c r="H244" s="42" t="n">
        <f aca="false">IF(AND(ISNUMBER(H243),ISNUMBER(H178)),IFERROR(H243/H178,""),"")</f>
        <v>0.187570305459743</v>
      </c>
      <c r="I244" s="42" t="n">
        <f aca="false">IF(AND(ISNUMBER(I243),ISNUMBER(I178)),IFERROR(I243/I178,""),"")</f>
        <v>0.192060414886859</v>
      </c>
      <c r="J244" s="42" t="n">
        <f aca="false">IF(AND(ISNUMBER(J243),ISNUMBER(J178)),IFERROR(J243/J178,""),"")</f>
        <v>0.184534389272617</v>
      </c>
      <c r="K244" s="42" t="n">
        <f aca="false">IF(AND(ISNUMBER(K243),ISNUMBER(K178)),IFERROR(K243/K178,""),"")</f>
        <v>0.197087071240106</v>
      </c>
      <c r="L244" s="42" t="n">
        <f aca="false">IF(AND(ISNUMBER(L243),ISNUMBER(L178)),IFERROR(L243/L178,""),"")</f>
        <v>0.193677582403461</v>
      </c>
      <c r="M244" s="42" t="n">
        <f aca="false">IF(AND(ISNUMBER(M243),ISNUMBER(M178)),IFERROR(M243/M178,""),"")</f>
        <v>0.190024113771432</v>
      </c>
      <c r="N244" s="42" t="n">
        <f aca="false">IF(AND(ISNUMBER(N243),ISNUMBER(N178)),IFERROR(N243/N178,""),"")</f>
        <v>0.191390312794225</v>
      </c>
      <c r="O244" s="42" t="n">
        <f aca="false">IF(AND(ISNUMBER(O243),ISNUMBER(O178)),IFERROR(O243/O178,""),"")</f>
        <v>0.189032105861411</v>
      </c>
      <c r="P244" s="42" t="n">
        <f aca="false">IF(AND(ISNUMBER(P243),ISNUMBER(P178)),IFERROR(P243/P178,""),"")</f>
        <v>0.198303650576195</v>
      </c>
      <c r="Q244" s="42" t="n">
        <f aca="false">IF(AND(ISNUMBER(Q243),ISNUMBER(Q178)),IFERROR(Q243/Q178,""),"")</f>
        <v>0.203139937541161</v>
      </c>
      <c r="R244" s="42" t="n">
        <f aca="false">IF(AND(ISNUMBER(R243),ISNUMBER(R178)),IFERROR(R243/R178,""),"")</f>
        <v>0.199820068144405</v>
      </c>
      <c r="S244" s="42" t="n">
        <f aca="false">IF(AND(ISNUMBER(S243),ISNUMBER(S178)),IFERROR(S243/S178,""),"")</f>
        <v>0.197535762764958</v>
      </c>
      <c r="T244" s="42" t="n">
        <f aca="false">IF(AND(ISNUMBER(T243),ISNUMBER(T178)),IFERROR(T243/T178,""),"")</f>
        <v>0.185549662385243</v>
      </c>
      <c r="U244" s="42" t="n">
        <f aca="false">IF(AND(ISNUMBER(U243),ISNUMBER(U178)),IFERROR(U243/U178,""),"")</f>
        <v>0.208338373452683</v>
      </c>
      <c r="V244" s="42" t="n">
        <f aca="false">IF(AND(ISNUMBER(V243),ISNUMBER(V178)),IFERROR(V243/V178,""),"")</f>
        <v>0.182108080405444</v>
      </c>
      <c r="W244" s="42" t="n">
        <f aca="false">IF(AND(ISNUMBER(W243),ISNUMBER(W178)),IFERROR(W243/W178,""),"")</f>
        <v>0.195697432338654</v>
      </c>
      <c r="X244" s="42" t="n">
        <f aca="false">IF(AND(ISNUMBER(X243),ISNUMBER(X178)),IFERROR(X243/X178,""),"")</f>
        <v>0.185260882517996</v>
      </c>
      <c r="Y244" s="42" t="n">
        <f aca="false">IF(AND(ISNUMBER(Y243),ISNUMBER(Y178)),IFERROR(Y243/Y178,""),"")</f>
        <v>0.195280446471803</v>
      </c>
      <c r="Z244" s="42" t="n">
        <f aca="false">IF(AND(ISNUMBER(Z243),ISNUMBER(Z178)),IFERROR(Z243/Z178,""),"")</f>
        <v>0.205403239114548</v>
      </c>
      <c r="AA244" s="42" t="n">
        <f aca="false">IF(AND(ISNUMBER(AA243),ISNUMBER(AA178)),IFERROR(AA243/AA178,""),"")</f>
        <v>0.199486943684809</v>
      </c>
      <c r="AB244" s="42" t="n">
        <f aca="false">IF(AND(ISNUMBER(AB243),ISNUMBER(AB178)),IFERROR(AB243/AB178,""),"")</f>
        <v>0.211395414785245</v>
      </c>
      <c r="AC244" s="42" t="n">
        <f aca="false">IF(AND(ISNUMBER(AC243),ISNUMBER(AC178)),IFERROR(AC243/AC178,""),"")</f>
        <v>0.201393166848315</v>
      </c>
      <c r="AD244" s="42" t="n">
        <f aca="false">IF(AND(ISNUMBER(AD243),ISNUMBER(AD178)),IFERROR(AD243/AD178,""),"")</f>
        <v>0.186199681384787</v>
      </c>
      <c r="AE244" s="42" t="n">
        <f aca="false">IF(AND(ISNUMBER(AE243),ISNUMBER(AE178)),IFERROR(AE243/AE178,""),"")</f>
        <v>0.202434535819605</v>
      </c>
      <c r="AF244" s="42" t="n">
        <f aca="false">IF(AND(ISNUMBER(AF243),ISNUMBER(AF178)),IFERROR(AF243/AF178,""),"")</f>
        <v>0.204407932511815</v>
      </c>
      <c r="AG244" s="42" t="n">
        <f aca="false">IF(AND(ISNUMBER(AG243),ISNUMBER(AG178)),IFERROR(AG243/AG178,""),"")</f>
        <v>0.215152289753623</v>
      </c>
      <c r="AH244" s="42" t="n">
        <f aca="false">IF(AND(ISNUMBER(AH243),ISNUMBER(AH178)),IFERROR(AH243/AH178,""),"")</f>
        <v>0.202725631079614</v>
      </c>
      <c r="AI244" s="42" t="n">
        <f aca="false">IF(AND(ISNUMBER(AI243),ISNUMBER(AI178)),IFERROR(AI243/AI178,""),"")</f>
        <v>0.194935468756655</v>
      </c>
      <c r="AJ244" s="42" t="n">
        <f aca="false">IF(AND(ISNUMBER(AJ243),ISNUMBER(AJ178)),IFERROR(AJ243/AJ178,""),"")</f>
        <v>0.211925316201566</v>
      </c>
      <c r="AK244" s="42" t="n">
        <f aca="false">IF(AND(ISNUMBER(AK243),ISNUMBER(AK178)),IFERROR(AK243/AK178,""),"")</f>
        <v>0.207042921019555</v>
      </c>
      <c r="AL244" s="42" t="n">
        <f aca="false">IF(AND(ISNUMBER(AL243),ISNUMBER(AL178)),IFERROR(AL243/AL178,""),"")</f>
        <v>0.224671516994245</v>
      </c>
      <c r="AM244" s="42" t="n">
        <f aca="false">IF(AND(ISNUMBER(AM243),ISNUMBER(AM178)),IFERROR(AM243/AM178,""),"")</f>
        <v>0.216599700853447</v>
      </c>
      <c r="AN244" s="42" t="n">
        <f aca="false">IF(AND(ISNUMBER(AN243),ISNUMBER(AN178)),IFERROR(AN243/AN178,""),"")</f>
        <v>0.222524998815222</v>
      </c>
      <c r="AO244" s="42" t="n">
        <f aca="false">IF(AND(ISNUMBER(AO243),ISNUMBER(AO178)),IFERROR(AO243/AO178,""),"")</f>
        <v>0.22432219597255</v>
      </c>
      <c r="AP244" s="42" t="n">
        <f aca="false">IF(AND(ISNUMBER(AP243),ISNUMBER(AP178)),IFERROR(AP243/AP178,""),"")</f>
        <v>0.225422567382366</v>
      </c>
      <c r="AQ244" s="42" t="n">
        <f aca="false">IF(AND(ISNUMBER(AQ243),ISNUMBER(AQ178)),IFERROR(AQ243/AQ178,""),"")</f>
        <v>0.235703721962041</v>
      </c>
      <c r="AR244" s="42" t="n">
        <f aca="false">IF(AND(ISNUMBER(AR243),ISNUMBER(AR178)),IFERROR(AR243/AR178,""),"")</f>
        <v>0.222627309322152</v>
      </c>
      <c r="AS244" s="42" t="n">
        <f aca="false">IF(AND(ISNUMBER(AS243),ISNUMBER(AS178)),IFERROR(AS243/AS178,""),"")</f>
        <v>0.212037484745919</v>
      </c>
      <c r="AT244" s="42" t="n">
        <f aca="false">IF(AND(ISNUMBER(AT243),ISNUMBER(AT178)),IFERROR(AT243/AT178,""),"")</f>
        <v>0.261769924868803</v>
      </c>
      <c r="AU244" s="42" t="n">
        <f aca="false">IF(AND(ISNUMBER(AU243),ISNUMBER(AU178)),IFERROR(AU243/AU178,""),"")</f>
        <v>0.282958254011422</v>
      </c>
      <c r="AV244" s="42" t="n">
        <f aca="false">IF(AND(ISNUMBER(AV243),ISNUMBER(AV178)),IFERROR(AV243/AV178,""),"")</f>
        <v>0.293786982248521</v>
      </c>
      <c r="AW244" s="42" t="n">
        <f aca="false">IF(AND(ISNUMBER(AW243),ISNUMBER(AW178)),IFERROR(AW243/AW178,""),"")</f>
        <v>0.267411595763777</v>
      </c>
      <c r="AX244" s="42" t="n">
        <f aca="false">IF(AND(ISNUMBER(AX243),ISNUMBER(AX178)),IFERROR(AX243/AX178,""),"")</f>
        <v>0.349518810148731</v>
      </c>
      <c r="AY244" s="42" t="n">
        <f aca="false">IF(AND(ISNUMBER(AY243),ISNUMBER(AY178)),IFERROR(AY243/AY178,""),"")</f>
        <v>0.325852036575229</v>
      </c>
      <c r="AZ244" s="42" t="n">
        <f aca="false">IF(AND(ISNUMBER(AZ243),ISNUMBER(AZ178)),IFERROR(AZ243/AZ178,""),"")</f>
        <v>0.313459676303776</v>
      </c>
      <c r="BA244" s="42" t="n">
        <f aca="false">IF(AND(ISNUMBER(BA243),ISNUMBER(BA178)),IFERROR(BA243/BA178,""),"")</f>
        <v>0.314310260186549</v>
      </c>
      <c r="BB244" s="42" t="n">
        <f aca="false">IF(AND(ISNUMBER(BB243),ISNUMBER(BB178)),IFERROR(BB243/BB178,""),"")</f>
        <v>0.325128170305232</v>
      </c>
      <c r="BC244" s="42" t="n">
        <f aca="false">IF(AND(ISNUMBER(BC243),ISNUMBER(BC178)),IFERROR(BC243/BC178,""),"")</f>
        <v>0.338319458896982</v>
      </c>
      <c r="BD244" s="42" t="n">
        <f aca="false">IF(AND(ISNUMBER(BD243),ISNUMBER(BD178)),IFERROR(BD243/BD178,""),"")</f>
        <v>0.33376338536963</v>
      </c>
      <c r="BE244" s="42" t="n">
        <f aca="false">IF(AND(ISNUMBER(BE243),ISNUMBER(BE178)),IFERROR(BE243/BE178,""),"")</f>
        <v>0.310061333681326</v>
      </c>
      <c r="BF244" s="42" t="n">
        <f aca="false">IF(AND(ISNUMBER(BF243),ISNUMBER(BF178)),IFERROR(BF243/BF178,""),"")</f>
        <v>0.330529857022708</v>
      </c>
      <c r="BG244" s="42" t="n">
        <f aca="false">IF(AND(ISNUMBER(BG243),ISNUMBER(BG178)),IFERROR(BG243/BG178,""),"")</f>
        <v>0.338963329955335</v>
      </c>
      <c r="BH244" s="42" t="n">
        <f aca="false">IF(AND(ISNUMBER(BH243),ISNUMBER(BH178)),IFERROR(BH243/BH178,""),"")</f>
        <v>0.322239031770045</v>
      </c>
      <c r="BI244" s="42" t="n">
        <f aca="false">IF(AND(ISNUMBER(BI243),ISNUMBER(BI178)),IFERROR(BI243/BI178,""),"")</f>
        <v>0.274018944519621</v>
      </c>
      <c r="BJ244" s="42" t="n">
        <f aca="false">IF(AND(ISNUMBER(BJ243),ISNUMBER(BJ178)),IFERROR(BJ243/BJ178,""),"")</f>
        <v>0.283428165007112</v>
      </c>
      <c r="BK244" s="42" t="n">
        <f aca="false">IF(AND(ISNUMBER(BK243),ISNUMBER(BK178)),IFERROR(BK243/BK178,""),"")</f>
        <v>0.286807181889149</v>
      </c>
      <c r="BL244" s="42" t="n">
        <f aca="false">IF(AND(ISNUMBER(BL243),ISNUMBER(BL178)),IFERROR(BL243/BL178,""),"")</f>
        <v>0.286940142318962</v>
      </c>
      <c r="BM244" s="42" t="n">
        <f aca="false">IF(AND(ISNUMBER(BM243),ISNUMBER(BM178)),IFERROR(BM243/BM178,""),"")</f>
        <v>0.300897170462388</v>
      </c>
      <c r="BN244" s="42" t="n">
        <f aca="false">IF(AND(ISNUMBER(BN243),ISNUMBER(BN178)),IFERROR(BN243/BN178,""),"")</f>
        <v>0.273376284172036</v>
      </c>
      <c r="BO244" s="42" t="n">
        <f aca="false">IF(AND(ISNUMBER(BO243),ISNUMBER(BO178)),IFERROR(BO243/BO178,""),"")</f>
        <v>0.27492238703001</v>
      </c>
      <c r="BP244" s="42" t="n">
        <f aca="false">IF(AND(ISNUMBER(BP243),ISNUMBER(BP178)),IFERROR(BP243/BP178,""),"")</f>
        <v>0.295503211991435</v>
      </c>
      <c r="BQ244" s="42" t="n">
        <f aca="false">IF(AND(ISNUMBER(BQ243),ISNUMBER(BQ178)),IFERROR(BQ243/BQ178,""),"")</f>
        <v>0.286492146596859</v>
      </c>
      <c r="BR244" s="42" t="n">
        <f aca="false">IF(AND(ISNUMBER(BR243),ISNUMBER(BR178)),IFERROR(BR243/BR178,""),"")</f>
        <v>0.295941473610869</v>
      </c>
      <c r="BS244" s="42" t="n">
        <f aca="false">IF(AND(ISNUMBER(BS243),ISNUMBER(BS178)),IFERROR(BS243/BS178,""),"")</f>
        <v>0.272574123989218</v>
      </c>
      <c r="BT244" s="42" t="n">
        <f aca="false">IF(AND(ISNUMBER(BT243),ISNUMBER(BT178)),IFERROR(BT243/BT178,""),"")</f>
        <v>0.278869981827193</v>
      </c>
      <c r="BU244" s="42" t="n">
        <f aca="false">IF(AND(ISNUMBER(BU243),ISNUMBER(BU178)),IFERROR(BU243/BU178,""),"")</f>
        <v>0.282831237203861</v>
      </c>
      <c r="BV244" s="42" t="n">
        <f aca="false">IF(AND(ISNUMBER(BV243),ISNUMBER(BV178)),IFERROR(BV243/BV178,""),"")</f>
        <v>0.282440573103224</v>
      </c>
      <c r="BW244" s="42" t="n">
        <f aca="false">IF(AND(ISNUMBER(BW243),ISNUMBER(BW178)),IFERROR(BW243/BW178,""),"")</f>
        <v>0.301629978154932</v>
      </c>
      <c r="BX244" s="42" t="n">
        <f aca="false">IF(AND(ISNUMBER(BX243),ISNUMBER(BX178)),IFERROR(BX243/BX178,""),"")</f>
        <v>0.271029529130088</v>
      </c>
      <c r="BY244" s="26" t="n">
        <f aca="false">IF(AND(ISNUMBER(BY243),ISNUMBER(BY178)),IFERROR(BY243/BY178,""),"")</f>
        <v>0.265</v>
      </c>
      <c r="BZ244" s="26" t="n">
        <f aca="false">IF(AND(ISNUMBER(BZ243),ISNUMBER(BZ178)),IFERROR(BZ243/BZ178,""),"")</f>
        <v>0.303471389313456</v>
      </c>
      <c r="CA244" s="26" t="n">
        <f aca="false">IF(AND(ISNUMBER(CA243),ISNUMBER(CA178)),IFERROR(CA243/CA178,""),"")</f>
        <v>0.285779597793346</v>
      </c>
      <c r="CB244" s="26" t="n">
        <f aca="false">IF(AND(ISNUMBER(CB243),ISNUMBER(CB178)),IFERROR(CB243/CB178,""),"")</f>
        <v>0.288523072827988</v>
      </c>
      <c r="CC244" s="26" t="n">
        <f aca="false">IF(AND(ISNUMBER(CC243),ISNUMBER(CC178)),IFERROR(CC243/CC178,""),"")</f>
        <v>0.294568692051774</v>
      </c>
      <c r="CD244" s="26" t="n">
        <f aca="false">IF(AND(ISNUMBER(CD243),ISNUMBER(CD178)),IFERROR(CD243/CD178,""),"")</f>
        <v>0.300183816091001</v>
      </c>
      <c r="CE244" s="26" t="n">
        <f aca="false">IF(AND(ISNUMBER(CE243),ISNUMBER(CE178)),IFERROR(CE243/CE178,""),"")</f>
        <v>0.30539903363975</v>
      </c>
      <c r="CF244" s="7"/>
      <c r="CH244" s="32" t="n">
        <f aca="false">IFERROR(AVERAGE(CA244,CB244,CC244,CD244,CE244),"n/m")</f>
        <v>0.294890842480772</v>
      </c>
      <c r="CI244" s="32" t="n">
        <f aca="false">IFERROR(AVERAGE(BB244,BG244,BL244,BQ244,BV244),"n/m")</f>
        <v>0.303992872455922</v>
      </c>
      <c r="CJ244" s="32" t="n">
        <f aca="false">IFERROR(AVERAGE(AC244,AH244,AM244,AR244,AW244,BB244,BG244,BL244,BQ244,BV244),"n/m")</f>
        <v>0.263072176614692</v>
      </c>
      <c r="CK244" s="32" t="n">
        <f aca="false">IFERROR(AVERAGE(C244,D244,E244,F244,G244,H244,I244,N244,S244,X244,AC244,AH244,AM244,AR244,AW244,BB244,BG244,BL244,BQ244,BV244),"n/m")</f>
        <v>0.221660191346925</v>
      </c>
    </row>
    <row r="245" customFormat="false" ht="15" hidden="false" customHeight="true" outlineLevel="0" collapsed="false">
      <c r="B245" s="50" t="s">
        <v>404</v>
      </c>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40" t="n">
        <v>1932</v>
      </c>
      <c r="BQ245" s="40" t="n">
        <v>6840</v>
      </c>
      <c r="BR245" s="39"/>
      <c r="BS245" s="39"/>
      <c r="BT245" s="39"/>
      <c r="BU245" s="40" t="n">
        <v>1934</v>
      </c>
      <c r="BV245" s="40" t="n">
        <v>6939</v>
      </c>
      <c r="BW245" s="39"/>
      <c r="BX245" s="39"/>
      <c r="BY245" s="7"/>
      <c r="BZ245" s="7"/>
      <c r="CA245" s="7"/>
      <c r="CB245" s="7"/>
      <c r="CC245" s="7"/>
      <c r="CD245" s="7"/>
      <c r="CE245" s="7"/>
      <c r="CF245" s="7"/>
    </row>
    <row r="246" customFormat="false" ht="15" hidden="false" customHeight="true" outlineLevel="0" collapsed="false">
      <c r="B246" s="65" t="s">
        <v>405</v>
      </c>
      <c r="C246" s="66" t="str">
        <f aca="false">IF(ISNUMBER(C245),IF(ABS(C243-C245)&lt;=1,0,ROUND(C243-C245,0)),"n/p")</f>
        <v>n/p</v>
      </c>
      <c r="D246" s="66" t="str">
        <f aca="false">IF(ISNUMBER(D245),IF(ABS(D243-D245)&lt;=1,0,ROUND(D243-D245,0)),"n/p")</f>
        <v>n/p</v>
      </c>
      <c r="E246" s="66" t="str">
        <f aca="false">IF(ISNUMBER(E245),IF(ABS(E243-E245)&lt;=1,0,ROUND(E243-E245,0)),"n/p")</f>
        <v>n/p</v>
      </c>
      <c r="F246" s="66" t="str">
        <f aca="false">IF(ISNUMBER(F245),IF(ABS(F243-F245)&lt;=1,0,ROUND(F243-F245,0)),"n/p")</f>
        <v>n/p</v>
      </c>
      <c r="G246" s="66" t="str">
        <f aca="false">IF(ISNUMBER(G245),IF(ABS(G243-G245)&lt;=1,0,ROUND(G243-G245,0)),"n/p")</f>
        <v>n/p</v>
      </c>
      <c r="H246" s="66" t="str">
        <f aca="false">IF(ISNUMBER(H245),IF(ABS(H243-H245)&lt;=1,0,ROUND(H243-H245,0)),"n/p")</f>
        <v>n/p</v>
      </c>
      <c r="I246" s="66" t="str">
        <f aca="false">IF(ISNUMBER(I245),IF(ABS(I243-I245)&lt;=1,0,ROUND(I243-I245,0)),"n/p")</f>
        <v>n/p</v>
      </c>
      <c r="J246" s="66" t="str">
        <f aca="false">IF(ISNUMBER(J245),IF(ABS(J243-J245)&lt;=1,0,ROUND(J243-J245,0)),"n/p")</f>
        <v>n/p</v>
      </c>
      <c r="K246" s="66" t="str">
        <f aca="false">IF(ISNUMBER(K245),IF(ABS(K243-K245)&lt;=1,0,ROUND(K243-K245,0)),"n/p")</f>
        <v>n/p</v>
      </c>
      <c r="L246" s="66" t="str">
        <f aca="false">IF(ISNUMBER(L245),IF(ABS(L243-L245)&lt;=1,0,ROUND(L243-L245,0)),"n/p")</f>
        <v>n/p</v>
      </c>
      <c r="M246" s="66" t="str">
        <f aca="false">IF(ISNUMBER(M245),IF(ABS(M243-M245)&lt;=1,0,ROUND(M243-M245,0)),"n/p")</f>
        <v>n/p</v>
      </c>
      <c r="N246" s="66" t="str">
        <f aca="false">IF(ISNUMBER(N245),IF(ABS(N243-N245)&lt;=1,0,ROUND(N243-N245,0)),"n/p")</f>
        <v>n/p</v>
      </c>
      <c r="O246" s="66" t="str">
        <f aca="false">IF(ISNUMBER(O245),IF(ABS(O243-O245)&lt;=1,0,ROUND(O243-O245,0)),"n/p")</f>
        <v>n/p</v>
      </c>
      <c r="P246" s="66" t="str">
        <f aca="false">IF(ISNUMBER(P245),IF(ABS(P243-P245)&lt;=1,0,ROUND(P243-P245,0)),"n/p")</f>
        <v>n/p</v>
      </c>
      <c r="Q246" s="66" t="str">
        <f aca="false">IF(ISNUMBER(Q245),IF(ABS(Q243-Q245)&lt;=1,0,ROUND(Q243-Q245,0)),"n/p")</f>
        <v>n/p</v>
      </c>
      <c r="R246" s="66" t="str">
        <f aca="false">IF(ISNUMBER(R245),IF(ABS(R243-R245)&lt;=1,0,ROUND(R243-R245,0)),"n/p")</f>
        <v>n/p</v>
      </c>
      <c r="S246" s="66" t="str">
        <f aca="false">IF(ISNUMBER(S245),IF(ABS(S243-S245)&lt;=1,0,ROUND(S243-S245,0)),"n/p")</f>
        <v>n/p</v>
      </c>
      <c r="T246" s="66" t="str">
        <f aca="false">IF(ISNUMBER(T245),IF(ABS(T243-T245)&lt;=1,0,ROUND(T243-T245,0)),"n/p")</f>
        <v>n/p</v>
      </c>
      <c r="U246" s="66" t="str">
        <f aca="false">IF(ISNUMBER(U245),IF(ABS(U243-U245)&lt;=1,0,ROUND(U243-U245,0)),"n/p")</f>
        <v>n/p</v>
      </c>
      <c r="V246" s="66" t="str">
        <f aca="false">IF(ISNUMBER(V245),IF(ABS(V243-V245)&lt;=1,0,ROUND(V243-V245,0)),"n/p")</f>
        <v>n/p</v>
      </c>
      <c r="W246" s="66" t="str">
        <f aca="false">IF(ISNUMBER(W245),IF(ABS(W243-W245)&lt;=1,0,ROUND(W243-W245,0)),"n/p")</f>
        <v>n/p</v>
      </c>
      <c r="X246" s="66" t="str">
        <f aca="false">IF(ISNUMBER(X245),IF(ABS(X243-X245)&lt;=1,0,ROUND(X243-X245,0)),"n/p")</f>
        <v>n/p</v>
      </c>
      <c r="Y246" s="66" t="str">
        <f aca="false">IF(ISNUMBER(Y245),IF(ABS(Y243-Y245)&lt;=1,0,ROUND(Y243-Y245,0)),"n/p")</f>
        <v>n/p</v>
      </c>
      <c r="Z246" s="66" t="str">
        <f aca="false">IF(ISNUMBER(Z245),IF(ABS(Z243-Z245)&lt;=1,0,ROUND(Z243-Z245,0)),"n/p")</f>
        <v>n/p</v>
      </c>
      <c r="AA246" s="66" t="str">
        <f aca="false">IF(ISNUMBER(AA245),IF(ABS(AA243-AA245)&lt;=1,0,ROUND(AA243-AA245,0)),"n/p")</f>
        <v>n/p</v>
      </c>
      <c r="AB246" s="66" t="str">
        <f aca="false">IF(ISNUMBER(AB245),IF(ABS(AB243-AB245)&lt;=1,0,ROUND(AB243-AB245,0)),"n/p")</f>
        <v>n/p</v>
      </c>
      <c r="AC246" s="66" t="str">
        <f aca="false">IF(ISNUMBER(AC245),IF(ABS(AC243-AC245)&lt;=1,0,ROUND(AC243-AC245,0)),"n/p")</f>
        <v>n/p</v>
      </c>
      <c r="AD246" s="66" t="str">
        <f aca="false">IF(ISNUMBER(AD245),IF(ABS(AD243-AD245)&lt;=1,0,ROUND(AD243-AD245,0)),"n/p")</f>
        <v>n/p</v>
      </c>
      <c r="AE246" s="66" t="str">
        <f aca="false">IF(ISNUMBER(AE245),IF(ABS(AE243-AE245)&lt;=1,0,ROUND(AE243-AE245,0)),"n/p")</f>
        <v>n/p</v>
      </c>
      <c r="AF246" s="66" t="str">
        <f aca="false">IF(ISNUMBER(AF245),IF(ABS(AF243-AF245)&lt;=1,0,ROUND(AF243-AF245,0)),"n/p")</f>
        <v>n/p</v>
      </c>
      <c r="AG246" s="66" t="str">
        <f aca="false">IF(ISNUMBER(AG245),IF(ABS(AG243-AG245)&lt;=1,0,ROUND(AG243-AG245,0)),"n/p")</f>
        <v>n/p</v>
      </c>
      <c r="AH246" s="66" t="str">
        <f aca="false">IF(ISNUMBER(AH245),IF(ABS(AH243-AH245)&lt;=1,0,ROUND(AH243-AH245,0)),"n/p")</f>
        <v>n/p</v>
      </c>
      <c r="AI246" s="66" t="str">
        <f aca="false">IF(ISNUMBER(AI245),IF(ABS(AI243-AI245)&lt;=1,0,ROUND(AI243-AI245,0)),"n/p")</f>
        <v>n/p</v>
      </c>
      <c r="AJ246" s="66" t="str">
        <f aca="false">IF(ISNUMBER(AJ245),IF(ABS(AJ243-AJ245)&lt;=1,0,ROUND(AJ243-AJ245,0)),"n/p")</f>
        <v>n/p</v>
      </c>
      <c r="AK246" s="66" t="str">
        <f aca="false">IF(ISNUMBER(AK245),IF(ABS(AK243-AK245)&lt;=1,0,ROUND(AK243-AK245,0)),"n/p")</f>
        <v>n/p</v>
      </c>
      <c r="AL246" s="66" t="str">
        <f aca="false">IF(ISNUMBER(AL245),IF(ABS(AL243-AL245)&lt;=1,0,ROUND(AL243-AL245,0)),"n/p")</f>
        <v>n/p</v>
      </c>
      <c r="AM246" s="66" t="str">
        <f aca="false">IF(ISNUMBER(AM245),IF(ABS(AM243-AM245)&lt;=1,0,ROUND(AM243-AM245,0)),"n/p")</f>
        <v>n/p</v>
      </c>
      <c r="AN246" s="66" t="str">
        <f aca="false">IF(ISNUMBER(AN245),IF(ABS(AN243-AN245)&lt;=1,0,ROUND(AN243-AN245,0)),"n/p")</f>
        <v>n/p</v>
      </c>
      <c r="AO246" s="66" t="str">
        <f aca="false">IF(ISNUMBER(AO245),IF(ABS(AO243-AO245)&lt;=1,0,ROUND(AO243-AO245,0)),"n/p")</f>
        <v>n/p</v>
      </c>
      <c r="AP246" s="66" t="str">
        <f aca="false">IF(ISNUMBER(AP245),IF(ABS(AP243-AP245)&lt;=1,0,ROUND(AP243-AP245,0)),"n/p")</f>
        <v>n/p</v>
      </c>
      <c r="AQ246" s="66" t="str">
        <f aca="false">IF(ISNUMBER(AQ245),IF(ABS(AQ243-AQ245)&lt;=1,0,ROUND(AQ243-AQ245,0)),"n/p")</f>
        <v>n/p</v>
      </c>
      <c r="AR246" s="66" t="str">
        <f aca="false">IF(ISNUMBER(AR245),IF(ABS(AR243-AR245)&lt;=1,0,ROUND(AR243-AR245,0)),"n/p")</f>
        <v>n/p</v>
      </c>
      <c r="AS246" s="66" t="str">
        <f aca="false">IF(ISNUMBER(AS245),IF(ABS(AS243-AS245)&lt;=1,0,ROUND(AS243-AS245,0)),"n/p")</f>
        <v>n/p</v>
      </c>
      <c r="AT246" s="66" t="str">
        <f aca="false">IF(ISNUMBER(AT245),IF(ABS(AT243-AT245)&lt;=1,0,ROUND(AT243-AT245,0)),"n/p")</f>
        <v>n/p</v>
      </c>
      <c r="AU246" s="66" t="str">
        <f aca="false">IF(ISNUMBER(AU245),IF(ABS(AU243-AU245)&lt;=1,0,ROUND(AU243-AU245,0)),"n/p")</f>
        <v>n/p</v>
      </c>
      <c r="AV246" s="66" t="str">
        <f aca="false">IF(ISNUMBER(AV245),IF(ABS(AV243-AV245)&lt;=1,0,ROUND(AV243-AV245,0)),"n/p")</f>
        <v>n/p</v>
      </c>
      <c r="AW246" s="66" t="str">
        <f aca="false">IF(ISNUMBER(AW245),IF(ABS(AW243-AW245)&lt;=1,0,ROUND(AW243-AW245,0)),"n/p")</f>
        <v>n/p</v>
      </c>
      <c r="AX246" s="66" t="str">
        <f aca="false">IF(ISNUMBER(AX245),IF(ABS(AX243-AX245)&lt;=1,0,ROUND(AX243-AX245,0)),"n/p")</f>
        <v>n/p</v>
      </c>
      <c r="AY246" s="66" t="str">
        <f aca="false">IF(ISNUMBER(AY245),IF(ABS(AY243-AY245)&lt;=1,0,ROUND(AY243-AY245,0)),"n/p")</f>
        <v>n/p</v>
      </c>
      <c r="AZ246" s="66" t="str">
        <f aca="false">IF(ISNUMBER(AZ245),IF(ABS(AZ243-AZ245)&lt;=1,0,ROUND(AZ243-AZ245,0)),"n/p")</f>
        <v>n/p</v>
      </c>
      <c r="BA246" s="66" t="str">
        <f aca="false">IF(ISNUMBER(BA245),IF(ABS(BA243-BA245)&lt;=1,0,ROUND(BA243-BA245,0)),"n/p")</f>
        <v>n/p</v>
      </c>
      <c r="BB246" s="66" t="str">
        <f aca="false">IF(ISNUMBER(BB245),IF(ABS(BB243-BB245)&lt;=1,0,ROUND(BB243-BB245,0)),"n/p")</f>
        <v>n/p</v>
      </c>
      <c r="BC246" s="66" t="str">
        <f aca="false">IF(ISNUMBER(BC245),IF(ABS(BC243-BC245)&lt;=1,0,ROUND(BC243-BC245,0)),"n/p")</f>
        <v>n/p</v>
      </c>
      <c r="BD246" s="66" t="str">
        <f aca="false">IF(ISNUMBER(BD245),IF(ABS(BD243-BD245)&lt;=1,0,ROUND(BD243-BD245,0)),"n/p")</f>
        <v>n/p</v>
      </c>
      <c r="BE246" s="66" t="str">
        <f aca="false">IF(ISNUMBER(BE245),IF(ABS(BE243-BE245)&lt;=1,0,ROUND(BE243-BE245,0)),"n/p")</f>
        <v>n/p</v>
      </c>
      <c r="BF246" s="66" t="str">
        <f aca="false">IF(ISNUMBER(BF245),IF(ABS(BF243-BF245)&lt;=1,0,ROUND(BF243-BF245,0)),"n/p")</f>
        <v>n/p</v>
      </c>
      <c r="BG246" s="66" t="str">
        <f aca="false">IF(ISNUMBER(BG245),IF(ABS(BG243-BG245)&lt;=1,0,ROUND(BG243-BG245,0)),"n/p")</f>
        <v>n/p</v>
      </c>
      <c r="BH246" s="66" t="str">
        <f aca="false">IF(ISNUMBER(BH245),IF(ABS(BH243-BH245)&lt;=1,0,ROUND(BH243-BH245,0)),"n/p")</f>
        <v>n/p</v>
      </c>
      <c r="BI246" s="66" t="str">
        <f aca="false">IF(ISNUMBER(BI245),IF(ABS(BI243-BI245)&lt;=1,0,ROUND(BI243-BI245,0)),"n/p")</f>
        <v>n/p</v>
      </c>
      <c r="BJ246" s="66" t="str">
        <f aca="false">IF(ISNUMBER(BJ245),IF(ABS(BJ243-BJ245)&lt;=1,0,ROUND(BJ243-BJ245,0)),"n/p")</f>
        <v>n/p</v>
      </c>
      <c r="BK246" s="66" t="str">
        <f aca="false">IF(ISNUMBER(BK245),IF(ABS(BK243-BK245)&lt;=1,0,ROUND(BK243-BK245,0)),"n/p")</f>
        <v>n/p</v>
      </c>
      <c r="BL246" s="66" t="str">
        <f aca="false">IF(ISNUMBER(BL245),IF(ABS(BL243-BL245)&lt;=1,0,ROUND(BL243-BL245,0)),"n/p")</f>
        <v>n/p</v>
      </c>
      <c r="BM246" s="66" t="str">
        <f aca="false">IF(ISNUMBER(BM245),IF(ABS(BM243-BM245)&lt;=1,0,ROUND(BM243-BM245,0)),"n/p")</f>
        <v>n/p</v>
      </c>
      <c r="BN246" s="66" t="str">
        <f aca="false">IF(ISNUMBER(BN245),IF(ABS(BN243-BN245)&lt;=1,0,ROUND(BN243-BN245,0)),"n/p")</f>
        <v>n/p</v>
      </c>
      <c r="BO246" s="66" t="str">
        <f aca="false">IF(ISNUMBER(BO245),IF(ABS(BO243-BO245)&lt;=1,0,ROUND(BO243-BO245,0)),"n/p")</f>
        <v>n/p</v>
      </c>
      <c r="BP246" s="66" t="n">
        <f aca="false">IF(ISNUMBER(BP245),IF(ABS(BP243-BP245)&lt;=1,0,ROUND(BP243-BP245,0)),"n/p")</f>
        <v>0</v>
      </c>
      <c r="BQ246" s="66" t="n">
        <f aca="false">IF(ISNUMBER(BQ245),IF(ABS(BQ243-BQ245)&lt;=1,0,ROUND(BQ243-BQ245,0)),"n/p")</f>
        <v>0</v>
      </c>
      <c r="BR246" s="66" t="str">
        <f aca="false">IF(ISNUMBER(BR245),IF(ABS(BR243-BR245)&lt;=1,0,ROUND(BR243-BR245,0)),"n/p")</f>
        <v>n/p</v>
      </c>
      <c r="BS246" s="66" t="str">
        <f aca="false">IF(ISNUMBER(BS245),IF(ABS(BS243-BS245)&lt;=1,0,ROUND(BS243-BS245,0)),"n/p")</f>
        <v>n/p</v>
      </c>
      <c r="BT246" s="66" t="str">
        <f aca="false">IF(ISNUMBER(BT245),IF(ABS(BT243-BT245)&lt;=1,0,ROUND(BT243-BT245,0)),"n/p")</f>
        <v>n/p</v>
      </c>
      <c r="BU246" s="66" t="n">
        <f aca="false">IF(ISNUMBER(BU245),IF(ABS(BU243-BU245)&lt;=1,0,ROUND(BU243-BU245,0)),"n/p")</f>
        <v>0</v>
      </c>
      <c r="BV246" s="66" t="n">
        <f aca="false">IF(ISNUMBER(BV245),IF(ABS(BV243-BV245)&lt;=1,0,ROUND(BV243-BV245,0)),"n/p")</f>
        <v>0</v>
      </c>
      <c r="BW246" s="66" t="str">
        <f aca="false">IF(ISNUMBER(BW245),IF(ABS(BW243-BW245)&lt;=1,0,ROUND(BW243-BW245,0)),"n/p")</f>
        <v>n/p</v>
      </c>
      <c r="BX246" s="66" t="str">
        <f aca="false">IF(ISNUMBER(BX245),IF(ABS(BX243-BX245)&lt;=1,0,ROUND(BX243-BX245,0)),"n/p")</f>
        <v>n/p</v>
      </c>
      <c r="BY246" s="7"/>
      <c r="BZ246" s="7"/>
      <c r="CA246" s="7"/>
      <c r="CB246" s="7"/>
      <c r="CC246" s="7"/>
      <c r="CD246" s="7"/>
      <c r="CE246" s="7"/>
      <c r="CF246" s="7"/>
    </row>
    <row r="247" customFormat="false" ht="15" hidden="false" customHeight="true" outlineLevel="0" collapsed="false">
      <c r="B247" s="80" t="s">
        <v>406</v>
      </c>
      <c r="C247" s="81" t="s">
        <v>407</v>
      </c>
      <c r="J247" s="82"/>
      <c r="AJ247" s="82"/>
      <c r="AN247" s="82"/>
      <c r="BA247" s="82"/>
      <c r="BM247" s="82"/>
      <c r="BT247" s="82"/>
      <c r="BY247" s="7"/>
      <c r="BZ247" s="7"/>
      <c r="CA247" s="7"/>
      <c r="CB247" s="7"/>
      <c r="CC247" s="7"/>
      <c r="CD247" s="7"/>
      <c r="CE247" s="7"/>
      <c r="CF247" s="37"/>
    </row>
    <row r="248" customFormat="false" ht="15" hidden="false" customHeight="true" outlineLevel="0" collapsed="false">
      <c r="B248" s="24" t="s">
        <v>408</v>
      </c>
      <c r="D248" s="25" t="n">
        <f aca="false">IF(AND(ISNUMBER(D243),ISNUMBER(C243)),IFERROR(D243/C243-1,""),"")</f>
        <v>0.218510651992018</v>
      </c>
      <c r="E248" s="25" t="n">
        <f aca="false">IF(AND(ISNUMBER(E243),ISNUMBER(D243)),IFERROR(E243/D243-1,""),"")</f>
        <v>0.120219733784069</v>
      </c>
      <c r="F248" s="25" t="n">
        <f aca="false">IF(AND(ISNUMBER(F243),ISNUMBER(E243)),IFERROR(F243/E243-1,""),"")</f>
        <v>-0.140748774047529</v>
      </c>
      <c r="G248" s="25" t="n">
        <f aca="false">IF(AND(ISNUMBER(G243),ISNUMBER(F243)),IFERROR(G243/F243-1,""),"")</f>
        <v>0.259452340448884</v>
      </c>
      <c r="H248" s="25" t="n">
        <f aca="false">IF(AND(ISNUMBER(H243),ISNUMBER(G243)),IFERROR(H243/G243-1,""),"")</f>
        <v>0.315018953422509</v>
      </c>
      <c r="I248" s="25" t="n">
        <f aca="false">IF(AND(ISNUMBER(I243),ISNUMBER(H243)),IFERROR(I243/H243-1,""),"")</f>
        <v>0.162022464464398</v>
      </c>
      <c r="N248" s="25" t="n">
        <f aca="false">IF(AND(ISNUMBER(N243),ISNUMBER(I243)),IFERROR(N243/I243-1,""),"")</f>
        <v>0.0433121382338682</v>
      </c>
      <c r="O248" s="25" t="n">
        <f aca="false">IF(AND(ISNUMBER(O243),ISNUMBER(J243)),IFERROR(O243/J243-1,""),"")</f>
        <v>0.0746159473299197</v>
      </c>
      <c r="P248" s="25" t="n">
        <f aca="false">IF(AND(ISNUMBER(P243),ISNUMBER(K243)),IFERROR(P243/K243-1,""),"")</f>
        <v>0.0541929956088683</v>
      </c>
      <c r="Q248" s="25" t="n">
        <f aca="false">IF(AND(ISNUMBER(Q243),ISNUMBER(L243)),IFERROR(Q243/L243-1,""),"")</f>
        <v>0.0573924582550038</v>
      </c>
      <c r="R248" s="25" t="n">
        <f aca="false">IF(AND(ISNUMBER(R243),ISNUMBER(M243)),IFERROR(R243/M243-1,""),"")</f>
        <v>0.0430655475619506</v>
      </c>
      <c r="S248" s="25" t="n">
        <f aca="false">IF(AND(ISNUMBER(S243),ISNUMBER(N243)),IFERROR(S243/N243-1,""),"")</f>
        <v>0.0340530199508062</v>
      </c>
      <c r="T248" s="25" t="n">
        <f aca="false">IF(AND(ISNUMBER(T243),ISNUMBER(O243)),IFERROR(T243/O243-1,""),"")</f>
        <v>-0.0116859541638302</v>
      </c>
      <c r="U248" s="25" t="n">
        <f aca="false">IF(AND(ISNUMBER(U243),ISNUMBER(P243)),IFERROR(U243/P243-1,""),"")</f>
        <v>0.0498831657015135</v>
      </c>
      <c r="V248" s="25" t="n">
        <f aca="false">IF(AND(ISNUMBER(V243),ISNUMBER(Q243)),IFERROR(V243/Q243-1,""),"")</f>
        <v>-0.331102279857771</v>
      </c>
      <c r="W248" s="25" t="n">
        <f aca="false">IF(AND(ISNUMBER(W243),ISNUMBER(R243)),IFERROR(W243/R243-1,""),"")</f>
        <v>-0.189577545741929</v>
      </c>
      <c r="X248" s="25" t="n">
        <f aca="false">IF(AND(ISNUMBER(X243),ISNUMBER(S243)),IFERROR(X243/S243-1,""),"")</f>
        <v>-0.293265672904112</v>
      </c>
      <c r="Y248" s="25" t="n">
        <f aca="false">IF(AND(ISNUMBER(Y243),ISNUMBER(T243)),IFERROR(Y243/T243-1,""),"")</f>
        <v>-0.12030765698542</v>
      </c>
      <c r="Z248" s="25" t="n">
        <f aca="false">IF(AND(ISNUMBER(Z243),ISNUMBER(U243)),IFERROR(Z243/U243-1,""),"")</f>
        <v>-0.156860847687246</v>
      </c>
      <c r="AA248" s="25" t="n">
        <f aca="false">IF(AND(ISNUMBER(AA243),ISNUMBER(V243)),IFERROR(AA243/V243-1,""),"")</f>
        <v>0.288774233896186</v>
      </c>
      <c r="AB248" s="25" t="n">
        <f aca="false">IF(AND(ISNUMBER(AB243),ISNUMBER(W243)),IFERROR(AB243/W243-1,""),"")</f>
        <v>0.145508274231679</v>
      </c>
      <c r="AC248" s="25" t="n">
        <f aca="false">IF(AND(ISNUMBER(AC243),ISNUMBER(X243)),IFERROR(AC243/X243-1,""),"")</f>
        <v>0.271503365744204</v>
      </c>
      <c r="AD248" s="25" t="n">
        <f aca="false">IF(AND(ISNUMBER(AD243),ISNUMBER(Y243)),IFERROR(AD243/Y243-1,""),"")</f>
        <v>0.0219235286441335</v>
      </c>
      <c r="AE248" s="25" t="n">
        <f aca="false">IF(AND(ISNUMBER(AE243),ISNUMBER(Z243)),IFERROR(AE243/Z243-1,""),"")</f>
        <v>0.0478595202570877</v>
      </c>
      <c r="AF248" s="25" t="n">
        <f aca="false">IF(AND(ISNUMBER(AF243),ISNUMBER(AA243)),IFERROR(AF243/AA243-1,""),"")</f>
        <v>0.122892150915928</v>
      </c>
      <c r="AG248" s="25" t="n">
        <f aca="false">IF(AND(ISNUMBER(AG243),ISNUMBER(AB243)),IFERROR(AG243/AB243-1,""),"")</f>
        <v>0.1290888453204</v>
      </c>
      <c r="AH248" s="25" t="n">
        <f aca="false">IF(AND(ISNUMBER(AH243),ISNUMBER(AC243)),IFERROR(AH243/AC243-1,""),"")</f>
        <v>0.0929117647058817</v>
      </c>
      <c r="AI248" s="25" t="n">
        <f aca="false">IF(AND(ISNUMBER(AI243),ISNUMBER(AD243)),IFERROR(AI243/AD243-1,""),"")</f>
        <v>0.168816243136253</v>
      </c>
      <c r="AJ248" s="25" t="n">
        <f aca="false">IF(AND(ISNUMBER(AJ243),ISNUMBER(AE243)),IFERROR(AJ243/AE243-1,""),"")</f>
        <v>0.156188389923329</v>
      </c>
      <c r="AK248" s="25" t="n">
        <f aca="false">IF(AND(ISNUMBER(AK243),ISNUMBER(AF243)),IFERROR(AK243/AF243-1,""),"")</f>
        <v>0.0855661192739856</v>
      </c>
      <c r="AL248" s="25" t="n">
        <f aca="false">IF(AND(ISNUMBER(AL243),ISNUMBER(AG243)),IFERROR(AL243/AG243-1,""),"")</f>
        <v>-0.0545604094315482</v>
      </c>
      <c r="AM248" s="25" t="n">
        <f aca="false">IF(AND(ISNUMBER(AM243),ISNUMBER(AH243)),IFERROR(AM243/AH243-1,""),"")</f>
        <v>-0.0062434403509245</v>
      </c>
      <c r="AN248" s="25" t="n">
        <f aca="false">IF(AND(ISNUMBER(AN243),ISNUMBER(AI243)),IFERROR(AN243/AI243-1,""),"")</f>
        <v>0.0260024035835249</v>
      </c>
      <c r="AO248" s="25" t="n">
        <f aca="false">IF(AND(ISNUMBER(AO243),ISNUMBER(AJ243)),IFERROR(AO243/AJ243-1,""),"")</f>
        <v>-0.0555134520651757</v>
      </c>
      <c r="AP248" s="25" t="n">
        <f aca="false">IF(AND(ISNUMBER(AP243),ISNUMBER(AK243)),IFERROR(AP243/AK243-1,""),"")</f>
        <v>-0.0178144904458603</v>
      </c>
      <c r="AQ248" s="25" t="n">
        <f aca="false">IF(AND(ISNUMBER(AQ243),ISNUMBER(AL243)),IFERROR(AQ243/AL243-1,""),"")</f>
        <v>0.10923151280812</v>
      </c>
      <c r="AR248" s="25" t="n">
        <f aca="false">IF(AND(ISNUMBER(AR243),ISNUMBER(AM243)),IFERROR(AR243/AM243-1,""),"")</f>
        <v>0.0798331843908249</v>
      </c>
      <c r="AS248" s="25" t="n">
        <f aca="false">IF(AND(ISNUMBER(AS243),ISNUMBER(AN243)),IFERROR(AS243/AN243-1,""),"")</f>
        <v>-0.0193802576935357</v>
      </c>
      <c r="AT248" s="25" t="n">
        <f aca="false">IF(AND(ISNUMBER(AT243),ISNUMBER(AO243)),IFERROR(AT243/AO243-1,""),"")</f>
        <v>0.39087261785356</v>
      </c>
      <c r="AU248" s="25" t="n">
        <f aca="false">IF(AND(ISNUMBER(AU243),ISNUMBER(AP243)),IFERROR(AU243/AP243-1,""),"")</f>
        <v>0.686797041240247</v>
      </c>
      <c r="AV248" s="25" t="n">
        <f aca="false">IF(AND(ISNUMBER(AV243),ISNUMBER(AQ243)),IFERROR(AV243/AQ243-1,""),"")</f>
        <v>0.730718954248367</v>
      </c>
      <c r="AW248" s="25" t="n">
        <f aca="false">IF(AND(ISNUMBER(AW243),ISNUMBER(AR243)),IFERROR(AW243/AR243-1,""),"")</f>
        <v>0.494420062695925</v>
      </c>
      <c r="AX248" s="25" t="n">
        <f aca="false">IF(AND(ISNUMBER(AX243),ISNUMBER(AS243)),IFERROR(AX243/AS243-1,""),"")</f>
        <v>1.60288847866218</v>
      </c>
      <c r="AY248" s="25" t="n">
        <f aca="false">IF(AND(ISNUMBER(AY243),ISNUMBER(AT243)),IFERROR(AY243/AT243-1,""),"")</f>
        <v>0.696113074204948</v>
      </c>
      <c r="AZ248" s="25" t="n">
        <f aca="false">IF(AND(ISNUMBER(AZ243),ISNUMBER(AU243)),IFERROR(AZ243/AU243-1,""),"")</f>
        <v>0.361206223343546</v>
      </c>
      <c r="BA248" s="25" t="n">
        <f aca="false">IF(AND(ISNUMBER(BA243),ISNUMBER(AV243)),IFERROR(BA243/AV243-1,""),"")</f>
        <v>0.289526686807654</v>
      </c>
      <c r="BB248" s="25" t="n">
        <f aca="false">IF(AND(ISNUMBER(BB243),ISNUMBER(AW243)),IFERROR(BB243/AW243-1,""),"")</f>
        <v>0.606981037086759</v>
      </c>
      <c r="BC248" s="25" t="n">
        <f aca="false">IF(AND(ISNUMBER(BC243),ISNUMBER(AX243)),IFERROR(BC243/AX243-1,""),"")</f>
        <v>0.0851063829787233</v>
      </c>
      <c r="BD248" s="25" t="n">
        <f aca="false">IF(AND(ISNUMBER(BD243),ISNUMBER(AY243)),IFERROR(BD243/AY243-1,""),"")</f>
        <v>0.0999149659863945</v>
      </c>
      <c r="BE248" s="25" t="n">
        <f aca="false">IF(AND(ISNUMBER(BE243),ISNUMBER(AZ243)),IFERROR(BE243/AZ243-1,""),"")</f>
        <v>0.0485436893203883</v>
      </c>
      <c r="BF248" s="25" t="n">
        <f aca="false">IF(AND(ISNUMBER(BF243),ISNUMBER(BA243)),IFERROR(BF243/BA243-1,""),"")</f>
        <v>-0.0792659117532214</v>
      </c>
      <c r="BG248" s="25" t="n">
        <f aca="false">IF(AND(ISNUMBER(BG243),ISNUMBER(BB243)),IFERROR(BG243/BB243-1,""),"")</f>
        <v>-0.0569131161236425</v>
      </c>
      <c r="BH248" s="25" t="n">
        <f aca="false">IF(AND(ISNUMBER(BH243),ISNUMBER(BC243)),IFERROR(BH243/BC243-1,""),"")</f>
        <v>-0.262975778546713</v>
      </c>
      <c r="BI248" s="25" t="n">
        <f aca="false">IF(AND(ISNUMBER(BI243),ISNUMBER(BD243)),IFERROR(BI243/BD243-1,""),"")</f>
        <v>-0.37379203710862</v>
      </c>
      <c r="BJ248" s="25" t="n">
        <f aca="false">IF(AND(ISNUMBER(BJ243),ISNUMBER(BE243)),IFERROR(BJ243/BE243-1,""),"")</f>
        <v>-0.329124579124579</v>
      </c>
      <c r="BK248" s="25" t="n">
        <f aca="false">IF(AND(ISNUMBER(BK243),ISNUMBER(BF243)),IFERROR(BK243/BF243-1,""),"")</f>
        <v>-0.220949957591179</v>
      </c>
      <c r="BL248" s="25" t="n">
        <f aca="false">IF(AND(ISNUMBER(BL243),ISNUMBER(BG243)),IFERROR(BL243/BG243-1,""),"")</f>
        <v>-0.240947846307164</v>
      </c>
      <c r="BM248" s="25" t="n">
        <f aca="false">IF(AND(ISNUMBER(BM243),ISNUMBER(BH243)),IFERROR(BM243/BH243-1,""),"")</f>
        <v>-0.0902451747522171</v>
      </c>
      <c r="BN248" s="25" t="n">
        <f aca="false">IF(AND(ISNUMBER(BN243),ISNUMBER(BI243)),IFERROR(BN243/BI243-1,""),"")</f>
        <v>-0.0308641975308642</v>
      </c>
      <c r="BO248" s="25" t="n">
        <f aca="false">IF(AND(ISNUMBER(BO243),ISNUMBER(BJ243)),IFERROR(BO243/BJ243-1,""),"")</f>
        <v>0</v>
      </c>
      <c r="BP248" s="25" t="n">
        <f aca="false">IF(AND(ISNUMBER(BP243),ISNUMBER(BK243)),IFERROR(BP243/BK243-1,""),"")</f>
        <v>0.0517147523135546</v>
      </c>
      <c r="BQ248" s="25" t="n">
        <f aca="false">IF(AND(ISNUMBER(BQ243),ISNUMBER(BL243)),IFERROR(BQ243/BL243-1,""),"")</f>
        <v>-0.00218818380743979</v>
      </c>
      <c r="BR248" s="25" t="n">
        <f aca="false">IF(AND(ISNUMBER(BR243),ISNUMBER(BM243)),IFERROR(BR243/BM243-1,""),"")</f>
        <v>-0.025802752293578</v>
      </c>
      <c r="BS248" s="25" t="n">
        <f aca="false">IF(AND(ISNUMBER(BS243),ISNUMBER(BN243)),IFERROR(BS243/BN243-1,""),"")</f>
        <v>0.0305732484076433</v>
      </c>
      <c r="BT248" s="25" t="n">
        <f aca="false">IF(AND(ISNUMBER(BT243),ISNUMBER(BO243)),IFERROR(BT243/BO243-1,""),"")</f>
        <v>0.0589711417816814</v>
      </c>
      <c r="BU248" s="25" t="n">
        <f aca="false">IF(AND(ISNUMBER(BU243),ISNUMBER(BP243)),IFERROR(BU243/BP243-1,""),"")</f>
        <v>0.00103519668737051</v>
      </c>
      <c r="BV248" s="25" t="n">
        <f aca="false">IF(AND(ISNUMBER(BV243),ISNUMBER(BQ243)),IFERROR(BV243/BQ243-1,""),"")</f>
        <v>0.0144736842105264</v>
      </c>
      <c r="BW248" s="25" t="n">
        <f aca="false">IF(AND(ISNUMBER(BW243),ISNUMBER(BR243)),IFERROR(BW243/BR243-1,""),"")</f>
        <v>0.0565038257798705</v>
      </c>
      <c r="BX248" s="25" t="n">
        <f aca="false">IF(AND(ISNUMBER(BX243),ISNUMBER(BS243)),IFERROR(BX243/BS243-1,""),"")</f>
        <v>0.0494437577255871</v>
      </c>
      <c r="BY248" s="26" t="n">
        <f aca="false">IF(AND(ISNUMBER(BY243),ISNUMBER(BT243)),IFERROR(BY243/BT243-1,""),"")</f>
        <v>0.0389402477276204</v>
      </c>
      <c r="BZ248" s="26" t="n">
        <f aca="false">IF(AND(ISNUMBER(BZ243),ISNUMBER(BU243)),IFERROR(BZ243/BU243-1,""),"")</f>
        <v>0.202676518001724</v>
      </c>
      <c r="CA248" s="26" t="n">
        <f aca="false">IF(AND(ISNUMBER(CA243),ISNUMBER(BV243)),IFERROR(CA243/BV243-1,""),"")</f>
        <v>0.0913254826314391</v>
      </c>
      <c r="CB248" s="26" t="n">
        <f aca="false">IF(AND(ISNUMBER(CB243),ISNUMBER(CA243)),IFERROR(CB243/CA243-1,""),"")</f>
        <v>0.104368746136821</v>
      </c>
      <c r="CC248" s="26" t="n">
        <f aca="false">IF(AND(ISNUMBER(CC243),ISNUMBER(CB243)),IFERROR(CC243/CB243-1,""),"")</f>
        <v>0.0878344264955593</v>
      </c>
      <c r="CD248" s="26" t="n">
        <f aca="false">IF(AND(ISNUMBER(CD243),ISNUMBER(CC243)),IFERROR(CD243/CC243-1,""),"")</f>
        <v>0.0912725998046955</v>
      </c>
      <c r="CE248" s="26" t="n">
        <f aca="false">IF(AND(ISNUMBER(CE243),ISNUMBER(CD243)),IFERROR(CE243/CD243-1,""),"")</f>
        <v>0.0899964009113741</v>
      </c>
      <c r="CF248" s="7"/>
    </row>
    <row r="249" customFormat="false" ht="15" hidden="false" customHeight="true" outlineLevel="0" collapsed="false">
      <c r="B249" s="27" t="s">
        <v>409</v>
      </c>
      <c r="C249" s="34"/>
      <c r="D249" s="42" t="n">
        <f aca="false">IFERROR((D243-C243)/(D178-C178),"")</f>
        <v>0.217656109757661</v>
      </c>
      <c r="E249" s="42" t="n">
        <f aca="false">IFERROR((E243-D243)/(E178-D178),"")</f>
        <v>0.136156975352955</v>
      </c>
      <c r="F249" s="42" t="n">
        <f aca="false">IFERROR((F243-E243)/(F178-E178),"")</f>
        <v>0.197342324474415</v>
      </c>
      <c r="G249" s="42" t="n">
        <f aca="false">IFERROR((G243-F243)/(G178-F178),"")</f>
        <v>0.346348252875248</v>
      </c>
      <c r="H249" s="42" t="n">
        <f aca="false">IFERROR((H243-G243)/(H178-G178),"")</f>
        <v>0.204208445134868</v>
      </c>
      <c r="I249" s="42" t="n">
        <f aca="false">IFERROR((I243-H243)/(I178-H178),"")</f>
        <v>0.225356007189271</v>
      </c>
      <c r="J249" s="34"/>
      <c r="K249" s="34"/>
      <c r="L249" s="34"/>
      <c r="M249" s="34"/>
      <c r="N249" s="42" t="n">
        <f aca="false">IFERROR((N243-I243)/(N178-I178),"")</f>
        <v>0.177122201492536</v>
      </c>
      <c r="O249" s="42" t="n">
        <f aca="false">IFERROR((O243-J243)/(O178-J178),"")</f>
        <v>0.280733944954129</v>
      </c>
      <c r="P249" s="42" t="n">
        <f aca="false">IFERROR((P243-K243)/(P178-K178),"")</f>
        <v>0.223794781070324</v>
      </c>
      <c r="Q249" s="42" t="n">
        <f aca="false">IFERROR((Q243-L243)/(Q178-L178),"")</f>
        <v>1.36578947368421</v>
      </c>
      <c r="R249" s="42" t="n">
        <f aca="false">IFERROR((R243-M243)/(R178-M178),"")</f>
        <v>-1.01411764705883</v>
      </c>
      <c r="S249" s="42" t="n">
        <f aca="false">IFERROR((S243-N243)/(S178-N178),"")</f>
        <v>3.46111111111112</v>
      </c>
      <c r="T249" s="42" t="n">
        <f aca="false">IFERROR((T243-O243)/(T178-O178),"")</f>
        <v>-0.321874999999999</v>
      </c>
      <c r="U249" s="42" t="n">
        <f aca="false">IFERROR((U243-P243)/(U178-P178),"")</f>
        <v>-14.4411764705859</v>
      </c>
      <c r="V249" s="42" t="n">
        <f aca="false">IFERROR((V243-Q243)/(V178-Q178),"")</f>
        <v>0.264959410829358</v>
      </c>
      <c r="W249" s="42" t="n">
        <f aca="false">IFERROR((W243-R243)/(W178-R178),"")</f>
        <v>0.21959609409676</v>
      </c>
      <c r="X249" s="42" t="n">
        <f aca="false">IFERROR((X243-S243)/(X178-S178),"")</f>
        <v>0.235069804885283</v>
      </c>
      <c r="Y249" s="42" t="n">
        <f aca="false">IFERROR((Y243-T243)/(Y178-T178),"")</f>
        <v>0.135997923695821</v>
      </c>
      <c r="Z249" s="42" t="n">
        <f aca="false">IFERROR((Z243-U243)/(Z178-U178),"")</f>
        <v>0.225671724906029</v>
      </c>
      <c r="AA249" s="42" t="n">
        <f aca="false">IFERROR((AA243-V243)/(AA178-V178),"")</f>
        <v>0.297951282464914</v>
      </c>
      <c r="AB249" s="42" t="n">
        <f aca="false">IFERROR((AB243-W243)/(AB178-W178),"")</f>
        <v>0.471106008419441</v>
      </c>
      <c r="AC249" s="42" t="n">
        <f aca="false">IFERROR((AC243-X243)/(AC178-X178),"")</f>
        <v>0.296483848572713</v>
      </c>
      <c r="AD249" s="42" t="n">
        <f aca="false">IFERROR((AD243-Y243)/(AD178-Y178),"")</f>
        <v>0.0596590909090892</v>
      </c>
      <c r="AE249" s="42" t="n">
        <f aca="false">IFERROR((AE243-Z243)/(AE178-Z178),"")</f>
        <v>0.155480984340046</v>
      </c>
      <c r="AF249" s="42" t="n">
        <f aca="false">IFERROR((AF243-AA243)/(AF178-AA178),"")</f>
        <v>0.255743499116383</v>
      </c>
      <c r="AG249" s="42" t="n">
        <f aca="false">IFERROR((AG243-AB243)/(AG178-AB178),"")</f>
        <v>0.249501396090945</v>
      </c>
      <c r="AH249" s="42" t="n">
        <f aca="false">IFERROR((AH243-AC243)/(AH178-AC178),"")</f>
        <v>0.218268499965452</v>
      </c>
      <c r="AI249" s="42" t="n">
        <f aca="false">IFERROR((AI243-AD243)/(AI178-AD178),"")</f>
        <v>0.269961200735143</v>
      </c>
      <c r="AJ249" s="42" t="n">
        <f aca="false">IFERROR((AJ243-AE243)/(AJ178-AE178),"")</f>
        <v>0.302824378849012</v>
      </c>
      <c r="AK249" s="42" t="n">
        <f aca="false">IFERROR((AK243-AF243)/(AK178-AF178),"")</f>
        <v>0.243767313019393</v>
      </c>
      <c r="AL249" s="42" t="n">
        <f aca="false">IFERROR((AL243-AG243)/(AL178-AG178),"")</f>
        <v>0.124064837905237</v>
      </c>
      <c r="AM249" s="42" t="n">
        <f aca="false">IFERROR((AM243-AH243)/(AM178-AH178),"")</f>
        <v>0.0181080237277554</v>
      </c>
      <c r="AN249" s="42" t="n">
        <f aca="false">IFERROR((AN243-AI243)/(AN178-AI178),"")</f>
        <v>-0.0500841750841757</v>
      </c>
      <c r="AO249" s="42" t="n">
        <f aca="false">IFERROR((AO243-AJ243)/(AO178-AJ178),"")</f>
        <v>0.109226467847156</v>
      </c>
      <c r="AP249" s="42" t="n">
        <f aca="false">IFERROR((AP243-AK243)/(AP178-AK178),"")</f>
        <v>0.0376762786781739</v>
      </c>
      <c r="AQ249" s="42" t="n">
        <f aca="false">IFERROR((AQ243-AL243)/(AQ178-AL178),"")</f>
        <v>0.428192497158014</v>
      </c>
      <c r="AR249" s="42" t="n">
        <f aca="false">IFERROR((AR243-AM243)/(AR178-AM178),"")</f>
        <v>0.341757477393925</v>
      </c>
      <c r="AS249" s="42" t="n">
        <f aca="false">IFERROR((AS243-AN243)/(AS178-AN178),"")</f>
        <v>-0.148087876322207</v>
      </c>
      <c r="AT249" s="42" t="n">
        <f aca="false">IFERROR((AT243-AO243)/(AT178-AO178),"")</f>
        <v>0.456911712979246</v>
      </c>
      <c r="AU249" s="42" t="n">
        <f aca="false">IFERROR((AU243-AP243)/(AU178-AP178),"")</f>
        <v>0.450305607228275</v>
      </c>
      <c r="AV249" s="42" t="n">
        <f aca="false">IFERROR((AV243-AQ243)/(AV178-AQ178),"")</f>
        <v>0.443275533939522</v>
      </c>
      <c r="AW249" s="42" t="n">
        <f aca="false">IFERROR((AW243-AR243)/(AW178-AR178),"")</f>
        <v>0.45084497701754</v>
      </c>
      <c r="AX249" s="42" t="n">
        <f aca="false">IFERROR((AX243-AS243)/(AX178-AS178),"")</f>
        <v>0.586941826712792</v>
      </c>
      <c r="AY249" s="42" t="n">
        <f aca="false">IFERROR((AY243-AT243)/(AY178-AT178),"")</f>
        <v>0.502603353118817</v>
      </c>
      <c r="AZ249" s="42" t="n">
        <f aca="false">IFERROR((AZ243-AU243)/(AZ178-AU178),"")</f>
        <v>0.446797443899539</v>
      </c>
      <c r="BA249" s="42" t="n">
        <f aca="false">IFERROR((BA243-AV243)/(BA178-AV178),"")</f>
        <v>0.414265129682997</v>
      </c>
      <c r="BB249" s="42" t="n">
        <f aca="false">IFERROR((BB243-AW243)/(BB178-AW178),"")</f>
        <v>0.504533407727717</v>
      </c>
      <c r="BC249" s="42" t="n">
        <f aca="false">IFERROR((BC243-AX243)/(BC178-AX178),"")</f>
        <v>0.245783132530121</v>
      </c>
      <c r="BD249" s="42" t="n">
        <f aca="false">IFERROR((BD243-AY243)/(BD178-AY178),"")</f>
        <v>0.440900562851782</v>
      </c>
      <c r="BE249" s="42" t="n">
        <f aca="false">IFERROR((BE243-AZ243)/(BE178-AZ178),"")</f>
        <v>0.253456221198157</v>
      </c>
      <c r="BF249" s="42" t="n">
        <f aca="false">IFERROR((BF243-BA243)/(BF178-BA178),"")</f>
        <v>0.200197238658777</v>
      </c>
      <c r="BG249" s="42" t="n">
        <f aca="false">IFERROR((BG243-BB243)/(BG178-BB178),"")</f>
        <v>0.193950177935943</v>
      </c>
      <c r="BH249" s="42" t="n">
        <f aca="false">IFERROR((BH243-BC243)/(BH178-BC178),"")</f>
        <v>0.393329499712478</v>
      </c>
      <c r="BI249" s="42" t="n">
        <f aca="false">IFERROR((BI243-BD243)/(BI178-BD178),"")</f>
        <v>0.525829255029908</v>
      </c>
      <c r="BJ249" s="42" t="n">
        <f aca="false">IFERROR((BJ243-BE243)/(BJ178-BE178),"")</f>
        <v>0.383521333987249</v>
      </c>
      <c r="BK249" s="42" t="n">
        <f aca="false">IFERROR((BK243-BF243)/(BK178-BF178),"")</f>
        <v>0.714677640603567</v>
      </c>
      <c r="BL249" s="42" t="n">
        <f aca="false">IFERROR((BL243-BG243)/(BL178-BG178),"")</f>
        <v>0.790410461314929</v>
      </c>
      <c r="BM249" s="42" t="n">
        <f aca="false">IFERROR((BM243-BH243)/(BM178-BH178),"")</f>
        <v>1.13071895424837</v>
      </c>
      <c r="BN249" s="42" t="n">
        <f aca="false">IFERROR((BN243-BI243)/(BN178-BI178),"")</f>
        <v>0.295857988165681</v>
      </c>
      <c r="BO249" s="42" t="n">
        <f aca="false">IFERROR((BO243-BJ243)/(BO178-BJ178),"")</f>
        <v>0</v>
      </c>
      <c r="BP249" s="42" t="n">
        <f aca="false">IFERROR((BP243-BK243)/(BP178-BK178),"")</f>
        <v>0.714285714285714</v>
      </c>
      <c r="BQ249" s="42" t="n">
        <f aca="false">IFERROR((BQ243-BL243)/(BQ178-BL178),"")</f>
        <v>1</v>
      </c>
      <c r="BR249" s="42" t="n">
        <f aca="false">IFERROR((BR243-BM243)/(BR178-BM178),"")</f>
        <v>0.818181818181818</v>
      </c>
      <c r="BS249" s="42" t="n">
        <f aca="false">IFERROR((BS243-BN243)/(BS178-BN178),"")</f>
        <v>0.248704663212435</v>
      </c>
      <c r="BT249" s="42" t="n">
        <f aca="false">IFERROR((BT243-BO243)/(BT178-BO178),"")</f>
        <v>0.368627450980392</v>
      </c>
      <c r="BU249" s="42" t="n">
        <f aca="false">IFERROR((BU243-BP243)/(BU178-BP178),"")</f>
        <v>0.00666666666666667</v>
      </c>
      <c r="BV249" s="42" t="n">
        <f aca="false">IFERROR((BV243-BQ243)/(BV178-BQ178),"")</f>
        <v>0.142857142857143</v>
      </c>
      <c r="BW249" s="42" t="n">
        <f aca="false">IFERROR((BW243-BR243)/(BW178-BR178),"")</f>
        <v>0.457142857142857</v>
      </c>
      <c r="BX249" s="42" t="n">
        <f aca="false">IFERROR((BX243-BS243)/(BX178-BS178),"")</f>
        <v>0.243161094224924</v>
      </c>
      <c r="BY249" s="26" t="n">
        <f aca="false">IFERROR((BY243-BT243)/(BY178-BT178),"")</f>
        <v>0.11636850163379</v>
      </c>
      <c r="BZ249" s="26" t="n">
        <f aca="false">IFERROR((BZ243-BU243)/(BZ178-BU178),"")</f>
        <v>0.474222932632871</v>
      </c>
      <c r="CA249" s="26" t="n">
        <f aca="false">IFERROR((CA243-BV243)/(CA178-BV178),"")</f>
        <v>0.328274599441653</v>
      </c>
      <c r="CB249" s="26" t="n">
        <f aca="false">IFERROR((CB243-CA243)/(CB178-CA178),"")</f>
        <v>0.317750128048071</v>
      </c>
      <c r="CC249" s="26" t="n">
        <f aca="false">IFERROR((CC243-CB243)/(CC178-CB178),"")</f>
        <v>0.386856789977364</v>
      </c>
      <c r="CD249" s="26" t="n">
        <f aca="false">IFERROR((CD243-CC243)/(CD178-CC178),"")</f>
        <v>0.37942669144669</v>
      </c>
      <c r="CE249" s="26" t="n">
        <f aca="false">IFERROR((CE243-CD243)/(CE178-CD178),"")</f>
        <v>0.378458871373441</v>
      </c>
      <c r="CF249" s="7"/>
    </row>
    <row r="250" customFormat="false" ht="15" hidden="false" customHeight="true" outlineLevel="0" collapsed="false"/>
    <row r="251" customFormat="false" ht="15" hidden="false" customHeight="true" outlineLevel="0" collapsed="false">
      <c r="B251" s="12" t="s">
        <v>410</v>
      </c>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c r="CA251" s="12"/>
      <c r="CB251" s="12"/>
      <c r="CC251" s="12"/>
      <c r="CD251" s="12"/>
      <c r="CE251" s="12"/>
      <c r="CF251" s="12" t="s">
        <v>411</v>
      </c>
    </row>
    <row r="252" customFormat="false" ht="15" hidden="false" customHeight="true" outlineLevel="0" collapsed="false">
      <c r="B252" s="18" t="s">
        <v>412</v>
      </c>
      <c r="C252" s="44" t="n">
        <f aca="false">C203</f>
        <v>1109.3</v>
      </c>
      <c r="D252" s="44" t="n">
        <f aca="false">D203</f>
        <v>1214</v>
      </c>
      <c r="E252" s="44" t="n">
        <f aca="false">E203</f>
        <v>1317.6</v>
      </c>
      <c r="F252" s="44" t="n">
        <f aca="false">F203</f>
        <v>1151.6</v>
      </c>
      <c r="G252" s="44" t="n">
        <f aca="false">G203</f>
        <v>1718.1</v>
      </c>
      <c r="H252" s="44" t="n">
        <f aca="false">H203</f>
        <v>1935.2</v>
      </c>
      <c r="I252" s="44" t="n">
        <f aca="false">I203</f>
        <v>2299.3</v>
      </c>
      <c r="J252" s="44" t="n">
        <f aca="false">J203</f>
        <v>691.9</v>
      </c>
      <c r="K252" s="44" t="n">
        <f aca="false">K203</f>
        <v>616.8</v>
      </c>
      <c r="L252" s="44" t="n">
        <f aca="false">L203</f>
        <v>597</v>
      </c>
      <c r="M252" s="44" t="n">
        <f aca="false">M203</f>
        <v>789.3</v>
      </c>
      <c r="N252" s="44" t="n">
        <f aca="false">N203</f>
        <v>2695</v>
      </c>
      <c r="O252" s="44" t="n">
        <f aca="false">O203</f>
        <v>579.7</v>
      </c>
      <c r="P252" s="44" t="n">
        <f aca="false">P203</f>
        <v>676.4</v>
      </c>
      <c r="Q252" s="44" t="n">
        <f aca="false">Q203</f>
        <v>681.3</v>
      </c>
      <c r="R252" s="44" t="n">
        <f aca="false">R203</f>
        <v>649.6</v>
      </c>
      <c r="S252" s="44" t="n">
        <f aca="false">S203</f>
        <v>2543.1</v>
      </c>
      <c r="T252" s="44" t="n">
        <f aca="false">T203</f>
        <v>558</v>
      </c>
      <c r="U252" s="44" t="n">
        <f aca="false">U203</f>
        <v>715.5</v>
      </c>
      <c r="V252" s="44" t="n">
        <f aca="false">V203</f>
        <v>379.9</v>
      </c>
      <c r="W252" s="44" t="n">
        <f aca="false">W203</f>
        <v>521</v>
      </c>
      <c r="X252" s="44" t="n">
        <f aca="false">X203</f>
        <v>1746.7</v>
      </c>
      <c r="Y252" s="44" t="n">
        <f aca="false">Y203</f>
        <v>585.8</v>
      </c>
      <c r="Z252" s="44" t="n">
        <f aca="false">Z203</f>
        <v>418</v>
      </c>
      <c r="AA252" s="44" t="n">
        <f aca="false">AA203</f>
        <v>402.600000000001</v>
      </c>
      <c r="AB252" s="44" t="n">
        <f aca="false">AB203</f>
        <v>747</v>
      </c>
      <c r="AC252" s="44" t="n">
        <f aca="false">AC203</f>
        <v>2153.4</v>
      </c>
      <c r="AD252" s="44" t="n">
        <f aca="false">AD203</f>
        <v>483.8</v>
      </c>
      <c r="AE252" s="44" t="n">
        <f aca="false">AE203</f>
        <v>557.3</v>
      </c>
      <c r="AF252" s="44" t="n">
        <f aca="false">AF203</f>
        <v>572.1</v>
      </c>
      <c r="AG252" s="44" t="n">
        <f aca="false">AG203</f>
        <v>856.6</v>
      </c>
      <c r="AH252" s="44" t="n">
        <f aca="false">AH203</f>
        <v>2469.8</v>
      </c>
      <c r="AI252" s="44" t="n">
        <f aca="false">AI203</f>
        <v>566.599999999999</v>
      </c>
      <c r="AJ252" s="44" t="n">
        <f aca="false">AJ203</f>
        <v>673.8</v>
      </c>
      <c r="AK252" s="44" t="n">
        <f aca="false">AK203</f>
        <v>663.700000000001</v>
      </c>
      <c r="AL252" s="44" t="n">
        <f aca="false">AL203</f>
        <v>683.8</v>
      </c>
      <c r="AM252" s="44" t="n">
        <f aca="false">AM203</f>
        <v>2406.3</v>
      </c>
      <c r="AN252" s="44" t="n">
        <f aca="false">AN203</f>
        <v>325.8</v>
      </c>
      <c r="AO252" s="44" t="n">
        <f aca="false">AO203</f>
        <v>653.7</v>
      </c>
      <c r="AP252" s="44" t="n">
        <f aca="false">AP203</f>
        <v>605.2</v>
      </c>
      <c r="AQ252" s="44" t="n">
        <f aca="false">AQ203</f>
        <v>773.3</v>
      </c>
      <c r="AR252" s="44" t="n">
        <f aca="false">AR203</f>
        <v>2363.9</v>
      </c>
      <c r="AS252" s="44" t="n">
        <f aca="false">AS203</f>
        <v>575.5</v>
      </c>
      <c r="AT252" s="44" t="n">
        <f aca="false">AT203</f>
        <v>892.699999999999</v>
      </c>
      <c r="AU252" s="44" t="n">
        <f aca="false">AU203</f>
        <v>842.4</v>
      </c>
      <c r="AV252" s="44" t="n">
        <f aca="false">AV203</f>
        <v>1200</v>
      </c>
      <c r="AW252" s="44" t="n">
        <f aca="false">AW203</f>
        <v>3510</v>
      </c>
      <c r="AX252" s="44" t="n">
        <f aca="false">AX203</f>
        <v>1661</v>
      </c>
      <c r="AY252" s="44" t="n">
        <f aca="false">AY203</f>
        <v>1658</v>
      </c>
      <c r="AZ252" s="44" t="n">
        <f aca="false">AZ203</f>
        <v>1117</v>
      </c>
      <c r="BA252" s="44" t="n">
        <f aca="false">BA203</f>
        <v>1747</v>
      </c>
      <c r="BB252" s="44" t="n">
        <f aca="false">BB203</f>
        <v>6183</v>
      </c>
      <c r="BC252" s="44" t="n">
        <f aca="false">BC203</f>
        <v>1684</v>
      </c>
      <c r="BD252" s="44" t="n">
        <f aca="false">BD203</f>
        <v>1658</v>
      </c>
      <c r="BE252" s="44" t="n">
        <f aca="false">BE203</f>
        <v>1551</v>
      </c>
      <c r="BF252" s="44" t="n">
        <f aca="false">BF203</f>
        <v>1990</v>
      </c>
      <c r="BG252" s="44" t="n">
        <f aca="false">BG203</f>
        <v>6222</v>
      </c>
      <c r="BH252" s="44" t="n">
        <f aca="false">BH203</f>
        <v>1219</v>
      </c>
      <c r="BI252" s="44" t="n">
        <f aca="false">BI203</f>
        <v>920</v>
      </c>
      <c r="BJ252" s="44" t="n">
        <f aca="false">BJ203</f>
        <v>940</v>
      </c>
      <c r="BK252" s="44" t="n">
        <f aca="false">BK203</f>
        <v>1121</v>
      </c>
      <c r="BL252" s="44" t="n">
        <f aca="false">BL203</f>
        <v>4200</v>
      </c>
      <c r="BM252" s="44" t="n">
        <f aca="false">BM203</f>
        <v>1088</v>
      </c>
      <c r="BN252" s="44" t="n">
        <f aca="false">BN203</f>
        <v>907</v>
      </c>
      <c r="BO252" s="44" t="n">
        <f aca="false">BO203</f>
        <v>818</v>
      </c>
      <c r="BP252" s="44" t="n">
        <f aca="false">BP203</f>
        <v>1086</v>
      </c>
      <c r="BQ252" s="44" t="n">
        <f aca="false">BQ203</f>
        <v>3899</v>
      </c>
      <c r="BR252" s="44" t="n">
        <f aca="false">BR203</f>
        <v>954</v>
      </c>
      <c r="BS252" s="44" t="n">
        <f aca="false">BS203</f>
        <v>555</v>
      </c>
      <c r="BT252" s="44" t="n">
        <f aca="false">BT203</f>
        <v>908</v>
      </c>
      <c r="BU252" s="44" t="n">
        <f aca="false">BU203</f>
        <v>1183</v>
      </c>
      <c r="BV252" s="44" t="n">
        <f aca="false">BV203</f>
        <v>3600</v>
      </c>
      <c r="BW252" s="44" t="n">
        <f aca="false">BW203</f>
        <v>1029</v>
      </c>
      <c r="BX252" s="44" t="n">
        <f aca="false">BX203</f>
        <v>870</v>
      </c>
      <c r="BY252" s="21" t="n">
        <f aca="false">BY203</f>
        <v>926.376844676305</v>
      </c>
      <c r="BZ252" s="21" t="n">
        <f aca="false">BZ203</f>
        <v>1423.48040022673</v>
      </c>
      <c r="CA252" s="21" t="n">
        <f aca="false">CA203</f>
        <v>4248.85724490303</v>
      </c>
      <c r="CB252" s="21" t="n">
        <f aca="false">CB203</f>
        <v>5014.12081287666</v>
      </c>
      <c r="CC252" s="21" t="n">
        <f aca="false">CC203</f>
        <v>5630.2452684791</v>
      </c>
      <c r="CD252" s="21" t="n">
        <f aca="false">CD203</f>
        <v>6200.81275876205</v>
      </c>
      <c r="CE252" s="21" t="n">
        <f aca="false">CE203</f>
        <v>6997.07904160914</v>
      </c>
      <c r="CF252" s="7"/>
    </row>
    <row r="253" customFormat="false" ht="15" hidden="false" customHeight="true" outlineLevel="0" collapsed="false">
      <c r="B253" s="27" t="s">
        <v>413</v>
      </c>
      <c r="C253" s="40" t="n">
        <v>0</v>
      </c>
      <c r="D253" s="40" t="n">
        <v>0</v>
      </c>
      <c r="E253" s="40" t="n">
        <v>0</v>
      </c>
      <c r="F253" s="40" t="n">
        <v>0</v>
      </c>
      <c r="G253" s="40" t="n">
        <v>0</v>
      </c>
      <c r="H253" s="40" t="n">
        <v>0</v>
      </c>
      <c r="I253" s="39"/>
      <c r="J253" s="40" t="n">
        <v>0</v>
      </c>
      <c r="K253" s="40" t="n">
        <v>0</v>
      </c>
      <c r="L253" s="39"/>
      <c r="M253" s="40" t="n">
        <v>0</v>
      </c>
      <c r="N253" s="40" t="n">
        <v>0</v>
      </c>
      <c r="O253" s="40" t="n">
        <v>0</v>
      </c>
      <c r="P253" s="39"/>
      <c r="Q253" s="39"/>
      <c r="R253" s="40" t="n">
        <v>0</v>
      </c>
      <c r="S253" s="40" t="n">
        <v>0</v>
      </c>
      <c r="T253" s="40" t="n">
        <v>83</v>
      </c>
      <c r="U253" s="40" t="n">
        <v>82</v>
      </c>
      <c r="V253" s="40" t="n">
        <v>92</v>
      </c>
      <c r="W253" s="40" t="n">
        <v>121</v>
      </c>
      <c r="X253" s="40" t="n">
        <v>365</v>
      </c>
      <c r="Y253" s="40" t="n">
        <v>121</v>
      </c>
      <c r="Z253" s="40" t="n">
        <v>165</v>
      </c>
      <c r="AA253" s="40" t="n">
        <v>143.2</v>
      </c>
      <c r="AB253" s="40" t="n">
        <v>156.5</v>
      </c>
      <c r="AC253" s="40" t="n">
        <v>583.1</v>
      </c>
      <c r="AD253" s="40" t="n">
        <v>166.1</v>
      </c>
      <c r="AE253" s="40" t="n">
        <v>160.3</v>
      </c>
      <c r="AF253" s="40" t="n">
        <v>166.4</v>
      </c>
      <c r="AG253" s="40" t="n">
        <v>167.7</v>
      </c>
      <c r="AH253" s="40" t="n">
        <v>660.5</v>
      </c>
      <c r="AI253" s="40" t="n">
        <v>172.3</v>
      </c>
      <c r="AJ253" s="40" t="n">
        <v>181.1</v>
      </c>
      <c r="AK253" s="40" t="n">
        <v>174.1</v>
      </c>
      <c r="AL253" s="40" t="n">
        <v>178.7</v>
      </c>
      <c r="AM253" s="40" t="n">
        <v>706.2</v>
      </c>
      <c r="AN253" s="40" t="n">
        <v>179.9</v>
      </c>
      <c r="AO253" s="40" t="n">
        <v>178.8</v>
      </c>
      <c r="AP253" s="40" t="n">
        <v>177.9</v>
      </c>
      <c r="AQ253" s="40" t="n">
        <v>155.8</v>
      </c>
      <c r="AR253" s="40" t="n">
        <v>625.1</v>
      </c>
      <c r="AS253" s="40" t="n">
        <v>156.4</v>
      </c>
      <c r="AT253" s="40" t="n">
        <v>314.1</v>
      </c>
      <c r="AU253" s="40" t="n">
        <v>331.1</v>
      </c>
      <c r="AV253" s="40" t="n">
        <v>336</v>
      </c>
      <c r="AW253" s="40" t="n">
        <v>1138</v>
      </c>
      <c r="AX253" s="40" t="n">
        <v>344</v>
      </c>
      <c r="AY253" s="40" t="n">
        <v>347</v>
      </c>
      <c r="AZ253" s="40" t="n">
        <v>365</v>
      </c>
      <c r="BA253" s="40" t="n">
        <v>394</v>
      </c>
      <c r="BB253" s="40" t="n">
        <v>1450</v>
      </c>
      <c r="BC253" s="40" t="n">
        <v>386</v>
      </c>
      <c r="BD253" s="40" t="n">
        <v>373</v>
      </c>
      <c r="BE253" s="40" t="n">
        <v>361</v>
      </c>
      <c r="BF253" s="40" t="n">
        <v>364</v>
      </c>
      <c r="BG253" s="40" t="n">
        <v>1484</v>
      </c>
      <c r="BH253" s="40" t="n">
        <v>384</v>
      </c>
      <c r="BI253" s="40" t="n">
        <v>384</v>
      </c>
      <c r="BJ253" s="40" t="n">
        <v>379</v>
      </c>
      <c r="BK253" s="40" t="n">
        <v>380</v>
      </c>
      <c r="BL253" s="40" t="n">
        <v>1491</v>
      </c>
      <c r="BM253" s="40" t="n">
        <v>407</v>
      </c>
      <c r="BN253" s="40" t="n">
        <v>402</v>
      </c>
      <c r="BO253" s="40" t="n">
        <v>414</v>
      </c>
      <c r="BP253" s="40" t="n">
        <v>408</v>
      </c>
      <c r="BQ253" s="40" t="n">
        <v>1631</v>
      </c>
      <c r="BR253" s="40" t="n">
        <v>410</v>
      </c>
      <c r="BS253" s="40" t="n">
        <v>426</v>
      </c>
      <c r="BT253" s="40" t="n">
        <v>433</v>
      </c>
      <c r="BU253" s="40" t="n">
        <v>428</v>
      </c>
      <c r="BV253" s="40" t="n">
        <v>1697</v>
      </c>
      <c r="BW253" s="40" t="n">
        <v>434</v>
      </c>
      <c r="BX253" s="40" t="n">
        <v>463</v>
      </c>
      <c r="BY253" s="41" t="n">
        <f aca="false">BY240</f>
        <v>500</v>
      </c>
      <c r="BZ253" s="41" t="n">
        <f aca="false">BZ240</f>
        <v>503</v>
      </c>
      <c r="CA253" s="41" t="n">
        <f aca="false">SUM(BW253,BX253,BY253,BZ253)</f>
        <v>1900</v>
      </c>
      <c r="CB253" s="41" t="n">
        <f aca="false">CB240</f>
        <v>1909.53333333333</v>
      </c>
      <c r="CC253" s="41" t="n">
        <f aca="false">CC240</f>
        <v>1949.53333333333</v>
      </c>
      <c r="CD253" s="41" t="n">
        <f aca="false">CD240</f>
        <v>2009.53333333333</v>
      </c>
      <c r="CE253" s="41" t="n">
        <f aca="false">CE240</f>
        <v>1876.2</v>
      </c>
      <c r="CF253" s="37" t="s">
        <v>414</v>
      </c>
    </row>
    <row r="254" customFormat="false" ht="15" hidden="false" customHeight="true" outlineLevel="0" collapsed="false">
      <c r="B254" s="27" t="s">
        <v>415</v>
      </c>
      <c r="C254" s="40" t="n">
        <v>-10.8</v>
      </c>
      <c r="D254" s="40" t="n">
        <v>57.9</v>
      </c>
      <c r="E254" s="40" t="n">
        <v>106</v>
      </c>
      <c r="F254" s="40" t="n">
        <v>122.8</v>
      </c>
      <c r="G254" s="40" t="n">
        <v>46.4</v>
      </c>
      <c r="H254" s="40" t="n">
        <v>116.6</v>
      </c>
      <c r="I254" s="39"/>
      <c r="J254" s="40" t="n">
        <v>0</v>
      </c>
      <c r="K254" s="40" t="n">
        <v>0</v>
      </c>
      <c r="L254" s="39"/>
      <c r="M254" s="40" t="n">
        <v>19</v>
      </c>
      <c r="N254" s="40" t="n">
        <v>19</v>
      </c>
      <c r="O254" s="40" t="n">
        <v>0</v>
      </c>
      <c r="P254" s="39"/>
      <c r="Q254" s="39"/>
      <c r="R254" s="40" t="n">
        <v>85</v>
      </c>
      <c r="S254" s="40" t="n">
        <v>85</v>
      </c>
      <c r="T254" s="40" t="n">
        <v>15</v>
      </c>
      <c r="U254" s="40" t="n">
        <v>0</v>
      </c>
      <c r="V254" s="40" t="n">
        <v>59</v>
      </c>
      <c r="W254" s="40" t="n">
        <v>57</v>
      </c>
      <c r="X254" s="40" t="n">
        <v>115</v>
      </c>
      <c r="Y254" s="40" t="n">
        <v>14</v>
      </c>
      <c r="Z254" s="40" t="n">
        <v>17</v>
      </c>
      <c r="AA254" s="40" t="n">
        <v>-18</v>
      </c>
      <c r="AB254" s="40" t="n">
        <v>84</v>
      </c>
      <c r="AC254" s="40" t="n">
        <v>66</v>
      </c>
      <c r="AD254" s="40" t="n">
        <v>0</v>
      </c>
      <c r="AE254" s="40" t="n">
        <v>76</v>
      </c>
      <c r="AF254" s="40" t="n">
        <v>0</v>
      </c>
      <c r="AG254" s="40" t="n">
        <v>-11</v>
      </c>
      <c r="AH254" s="40" t="n">
        <v>65</v>
      </c>
      <c r="AI254" s="40" t="n">
        <v>0</v>
      </c>
      <c r="AJ254" s="40" t="n">
        <v>7</v>
      </c>
      <c r="AK254" s="40" t="n">
        <v>0</v>
      </c>
      <c r="AL254" s="40" t="n">
        <v>15</v>
      </c>
      <c r="AM254" s="40" t="n">
        <v>22</v>
      </c>
      <c r="AN254" s="40" t="n">
        <v>62</v>
      </c>
      <c r="AO254" s="40" t="n">
        <v>29</v>
      </c>
      <c r="AP254" s="40" t="n">
        <v>55</v>
      </c>
      <c r="AQ254" s="40" t="n">
        <v>30</v>
      </c>
      <c r="AR254" s="40" t="n">
        <v>93</v>
      </c>
      <c r="AS254" s="40" t="n">
        <v>67</v>
      </c>
      <c r="AT254" s="40" t="n">
        <v>228</v>
      </c>
      <c r="AU254" s="40" t="n">
        <v>246</v>
      </c>
      <c r="AV254" s="40" t="n">
        <v>49</v>
      </c>
      <c r="AW254" s="40" t="n">
        <v>590</v>
      </c>
      <c r="AX254" s="40" t="n">
        <v>56</v>
      </c>
      <c r="AY254" s="40" t="n">
        <v>0</v>
      </c>
      <c r="AZ254" s="40" t="n">
        <v>592</v>
      </c>
      <c r="BA254" s="40" t="n">
        <v>13</v>
      </c>
      <c r="BB254" s="40" t="n">
        <v>661</v>
      </c>
      <c r="BC254" s="40" t="n">
        <v>43</v>
      </c>
      <c r="BD254" s="40" t="n">
        <v>9</v>
      </c>
      <c r="BE254" s="40" t="n">
        <v>0</v>
      </c>
      <c r="BF254" s="40" t="n">
        <v>9</v>
      </c>
      <c r="BG254" s="40" t="n">
        <v>61</v>
      </c>
      <c r="BH254" s="40" t="n">
        <v>28</v>
      </c>
      <c r="BI254" s="40" t="n">
        <v>85</v>
      </c>
      <c r="BJ254" s="40" t="n">
        <v>42</v>
      </c>
      <c r="BK254" s="40" t="n">
        <v>120</v>
      </c>
      <c r="BL254" s="40" t="n">
        <v>162</v>
      </c>
      <c r="BM254" s="40" t="n">
        <v>25</v>
      </c>
      <c r="BN254" s="40" t="n">
        <v>0</v>
      </c>
      <c r="BO254" s="40" t="n">
        <v>222</v>
      </c>
      <c r="BP254" s="40" t="n">
        <v>99</v>
      </c>
      <c r="BQ254" s="40" t="n">
        <v>346</v>
      </c>
      <c r="BR254" s="40" t="n">
        <v>15</v>
      </c>
      <c r="BS254" s="40" t="n">
        <v>432</v>
      </c>
      <c r="BT254" s="40" t="n">
        <v>101</v>
      </c>
      <c r="BU254" s="40" t="n">
        <v>4</v>
      </c>
      <c r="BV254" s="40" t="n">
        <v>552</v>
      </c>
      <c r="BW254" s="40" t="n">
        <v>17</v>
      </c>
      <c r="BX254" s="40" t="n">
        <v>108</v>
      </c>
      <c r="BY254" s="41" t="n">
        <f aca="false">BY241</f>
        <v>30</v>
      </c>
      <c r="BZ254" s="41" t="n">
        <f aca="false">BZ241</f>
        <v>0</v>
      </c>
      <c r="CA254" s="41" t="n">
        <f aca="false">SUM(BW254,BX254,BY254,BZ254)</f>
        <v>155</v>
      </c>
      <c r="CB254" s="41" t="n">
        <f aca="false">CB241</f>
        <v>0</v>
      </c>
      <c r="CC254" s="41" t="n">
        <f aca="false">CC241</f>
        <v>0</v>
      </c>
      <c r="CD254" s="41" t="n">
        <f aca="false">CD241</f>
        <v>0</v>
      </c>
      <c r="CE254" s="41" t="n">
        <f aca="false">CE241</f>
        <v>0</v>
      </c>
      <c r="CF254" s="37"/>
    </row>
    <row r="255" customFormat="false" ht="15" hidden="false" customHeight="true" outlineLevel="0" collapsed="false">
      <c r="B255" s="27" t="s">
        <v>416</v>
      </c>
      <c r="C255" s="51" t="n">
        <f aca="false">N(C253)+N(C254)</f>
        <v>-10.8</v>
      </c>
      <c r="D255" s="51" t="n">
        <f aca="false">N(D253)+N(D254)</f>
        <v>57.9</v>
      </c>
      <c r="E255" s="51" t="n">
        <f aca="false">N(E253)+N(E254)</f>
        <v>106</v>
      </c>
      <c r="F255" s="51" t="n">
        <f aca="false">N(F253)+N(F254)</f>
        <v>122.8</v>
      </c>
      <c r="G255" s="51" t="n">
        <f aca="false">N(G253)+N(G254)</f>
        <v>46.4</v>
      </c>
      <c r="H255" s="51" t="n">
        <f aca="false">N(H253)+N(H254)</f>
        <v>116.6</v>
      </c>
      <c r="I255" s="51" t="n">
        <f aca="false">N(I253)+N(I254)</f>
        <v>0</v>
      </c>
      <c r="J255" s="51" t="n">
        <f aca="false">N(J253)+N(J254)</f>
        <v>0</v>
      </c>
      <c r="K255" s="51" t="n">
        <f aca="false">N(K253)+N(K254)</f>
        <v>0</v>
      </c>
      <c r="L255" s="51" t="n">
        <f aca="false">N(L253)+N(L254)</f>
        <v>0</v>
      </c>
      <c r="M255" s="51" t="n">
        <f aca="false">N(M253)+N(M254)</f>
        <v>19</v>
      </c>
      <c r="N255" s="51" t="n">
        <f aca="false">N(N253)+N(N254)</f>
        <v>19</v>
      </c>
      <c r="O255" s="51" t="n">
        <f aca="false">N(O253)+N(O254)</f>
        <v>0</v>
      </c>
      <c r="P255" s="51" t="n">
        <f aca="false">N(P253)+N(P254)</f>
        <v>0</v>
      </c>
      <c r="Q255" s="51" t="n">
        <f aca="false">N(Q253)+N(Q254)</f>
        <v>0</v>
      </c>
      <c r="R255" s="51" t="n">
        <f aca="false">N(R253)+N(R254)</f>
        <v>85</v>
      </c>
      <c r="S255" s="51" t="n">
        <f aca="false">N(S253)+N(S254)</f>
        <v>85</v>
      </c>
      <c r="T255" s="51" t="n">
        <f aca="false">N(T253)+N(T254)</f>
        <v>98</v>
      </c>
      <c r="U255" s="51" t="n">
        <f aca="false">N(U253)+N(U254)</f>
        <v>82</v>
      </c>
      <c r="V255" s="51" t="n">
        <f aca="false">N(V253)+N(V254)</f>
        <v>151</v>
      </c>
      <c r="W255" s="51" t="n">
        <f aca="false">N(W253)+N(W254)</f>
        <v>178</v>
      </c>
      <c r="X255" s="51" t="n">
        <f aca="false">N(X253)+N(X254)</f>
        <v>480</v>
      </c>
      <c r="Y255" s="51" t="n">
        <f aca="false">N(Y253)+N(Y254)</f>
        <v>135</v>
      </c>
      <c r="Z255" s="51" t="n">
        <f aca="false">N(Z253)+N(Z254)</f>
        <v>182</v>
      </c>
      <c r="AA255" s="51" t="n">
        <f aca="false">N(AA253)+N(AA254)</f>
        <v>125.2</v>
      </c>
      <c r="AB255" s="51" t="n">
        <f aca="false">N(AB253)+N(AB254)</f>
        <v>240.5</v>
      </c>
      <c r="AC255" s="51" t="n">
        <f aca="false">N(AC253)+N(AC254)</f>
        <v>649.1</v>
      </c>
      <c r="AD255" s="51" t="n">
        <f aca="false">N(AD253)+N(AD254)</f>
        <v>166.1</v>
      </c>
      <c r="AE255" s="51" t="n">
        <f aca="false">N(AE253)+N(AE254)</f>
        <v>236.3</v>
      </c>
      <c r="AF255" s="51" t="n">
        <f aca="false">N(AF253)+N(AF254)</f>
        <v>166.4</v>
      </c>
      <c r="AG255" s="51" t="n">
        <f aca="false">N(AG253)+N(AG254)</f>
        <v>156.7</v>
      </c>
      <c r="AH255" s="51" t="n">
        <f aca="false">N(AH253)+N(AH254)</f>
        <v>725.5</v>
      </c>
      <c r="AI255" s="51" t="n">
        <f aca="false">N(AI253)+N(AI254)</f>
        <v>172.3</v>
      </c>
      <c r="AJ255" s="51" t="n">
        <f aca="false">N(AJ253)+N(AJ254)</f>
        <v>188.1</v>
      </c>
      <c r="AK255" s="51" t="n">
        <f aca="false">N(AK253)+N(AK254)</f>
        <v>174.1</v>
      </c>
      <c r="AL255" s="51" t="n">
        <f aca="false">N(AL253)+N(AL254)</f>
        <v>193.7</v>
      </c>
      <c r="AM255" s="51" t="n">
        <f aca="false">N(AM253)+N(AM254)</f>
        <v>728.2</v>
      </c>
      <c r="AN255" s="51" t="n">
        <f aca="false">N(AN253)+N(AN254)</f>
        <v>241.9</v>
      </c>
      <c r="AO255" s="51" t="n">
        <f aca="false">N(AO253)+N(AO254)</f>
        <v>207.8</v>
      </c>
      <c r="AP255" s="51" t="n">
        <f aca="false">N(AP253)+N(AP254)</f>
        <v>232.9</v>
      </c>
      <c r="AQ255" s="51" t="n">
        <f aca="false">N(AQ253)+N(AQ254)</f>
        <v>185.8</v>
      </c>
      <c r="AR255" s="51" t="n">
        <f aca="false">N(AR253)+N(AR254)</f>
        <v>718.1</v>
      </c>
      <c r="AS255" s="51" t="n">
        <f aca="false">N(AS253)+N(AS254)</f>
        <v>223.4</v>
      </c>
      <c r="AT255" s="51" t="n">
        <f aca="false">N(AT253)+N(AT254)</f>
        <v>542.1</v>
      </c>
      <c r="AU255" s="51" t="n">
        <f aca="false">N(AU253)+N(AU254)</f>
        <v>577.1</v>
      </c>
      <c r="AV255" s="51" t="n">
        <f aca="false">N(AV253)+N(AV254)</f>
        <v>385</v>
      </c>
      <c r="AW255" s="51" t="n">
        <f aca="false">N(AW253)+N(AW254)</f>
        <v>1728</v>
      </c>
      <c r="AX255" s="51" t="n">
        <f aca="false">N(AX253)+N(AX254)</f>
        <v>400</v>
      </c>
      <c r="AY255" s="51" t="n">
        <f aca="false">N(AY253)+N(AY254)</f>
        <v>347</v>
      </c>
      <c r="AZ255" s="51" t="n">
        <f aca="false">N(AZ253)+N(AZ254)</f>
        <v>957</v>
      </c>
      <c r="BA255" s="51" t="n">
        <f aca="false">N(BA253)+N(BA254)</f>
        <v>407</v>
      </c>
      <c r="BB255" s="51" t="n">
        <f aca="false">N(BB253)+N(BB254)</f>
        <v>2111</v>
      </c>
      <c r="BC255" s="51" t="n">
        <f aca="false">N(BC253)+N(BC254)</f>
        <v>429</v>
      </c>
      <c r="BD255" s="51" t="n">
        <f aca="false">N(BD253)+N(BD254)</f>
        <v>382</v>
      </c>
      <c r="BE255" s="51" t="n">
        <f aca="false">N(BE253)+N(BE254)</f>
        <v>361</v>
      </c>
      <c r="BF255" s="51" t="n">
        <f aca="false">N(BF253)+N(BF254)</f>
        <v>373</v>
      </c>
      <c r="BG255" s="51" t="n">
        <f aca="false">N(BG253)+N(BG254)</f>
        <v>1545</v>
      </c>
      <c r="BH255" s="51" t="n">
        <f aca="false">N(BH253)+N(BH254)</f>
        <v>412</v>
      </c>
      <c r="BI255" s="51" t="n">
        <f aca="false">N(BI253)+N(BI254)</f>
        <v>469</v>
      </c>
      <c r="BJ255" s="51" t="n">
        <f aca="false">N(BJ253)+N(BJ254)</f>
        <v>421</v>
      </c>
      <c r="BK255" s="51" t="n">
        <f aca="false">N(BK253)+N(BK254)</f>
        <v>500</v>
      </c>
      <c r="BL255" s="51" t="n">
        <f aca="false">N(BL253)+N(BL254)</f>
        <v>1653</v>
      </c>
      <c r="BM255" s="51" t="n">
        <f aca="false">N(BM253)+N(BM254)</f>
        <v>432</v>
      </c>
      <c r="BN255" s="51" t="n">
        <f aca="false">N(BN253)+N(BN254)</f>
        <v>402</v>
      </c>
      <c r="BO255" s="51" t="n">
        <f aca="false">N(BO253)+N(BO254)</f>
        <v>636</v>
      </c>
      <c r="BP255" s="51" t="n">
        <f aca="false">N(BP253)+N(BP254)</f>
        <v>507</v>
      </c>
      <c r="BQ255" s="51" t="n">
        <f aca="false">N(BQ253)+N(BQ254)</f>
        <v>1977</v>
      </c>
      <c r="BR255" s="51" t="n">
        <f aca="false">N(BR253)+N(BR254)</f>
        <v>425</v>
      </c>
      <c r="BS255" s="51" t="n">
        <f aca="false">N(BS253)+N(BS254)</f>
        <v>858</v>
      </c>
      <c r="BT255" s="51" t="n">
        <f aca="false">N(BT253)+N(BT254)</f>
        <v>534</v>
      </c>
      <c r="BU255" s="51" t="n">
        <f aca="false">N(BU253)+N(BU254)</f>
        <v>432</v>
      </c>
      <c r="BV255" s="51" t="n">
        <f aca="false">N(BV253)+N(BV254)</f>
        <v>2249</v>
      </c>
      <c r="BW255" s="51" t="n">
        <f aca="false">N(BW253)+N(BW254)</f>
        <v>451</v>
      </c>
      <c r="BX255" s="51" t="n">
        <f aca="false">N(BX253)+N(BX254)</f>
        <v>571</v>
      </c>
      <c r="BY255" s="41" t="n">
        <f aca="false">N(BY253)+N(BY254)</f>
        <v>530</v>
      </c>
      <c r="BZ255" s="41" t="n">
        <f aca="false">N(BZ253)+N(BZ254)</f>
        <v>503</v>
      </c>
      <c r="CA255" s="41" t="n">
        <f aca="false">N(CA253)+N(CA254)</f>
        <v>2055</v>
      </c>
      <c r="CB255" s="41" t="n">
        <f aca="false">N(CB253)+N(CB254)</f>
        <v>1909.53333333333</v>
      </c>
      <c r="CC255" s="41" t="n">
        <f aca="false">N(CC253)+N(CC254)</f>
        <v>1949.53333333333</v>
      </c>
      <c r="CD255" s="41" t="n">
        <f aca="false">N(CD253)+N(CD254)</f>
        <v>2009.53333333333</v>
      </c>
      <c r="CE255" s="41" t="n">
        <f aca="false">N(CE253)+N(CE254)</f>
        <v>1876.2</v>
      </c>
      <c r="CF255" s="37"/>
    </row>
    <row r="256" customFormat="false" ht="15" hidden="false" customHeight="true" outlineLevel="0" collapsed="false">
      <c r="B256" s="27" t="s">
        <v>417</v>
      </c>
      <c r="C256" s="40" t="n">
        <v>0</v>
      </c>
      <c r="D256" s="40" t="n">
        <v>0</v>
      </c>
      <c r="E256" s="40" t="n">
        <v>0</v>
      </c>
      <c r="F256" s="40" t="n">
        <v>0</v>
      </c>
      <c r="G256" s="40" t="n">
        <v>-232.2</v>
      </c>
      <c r="H256" s="40" t="n">
        <v>20.8</v>
      </c>
      <c r="I256" s="39"/>
      <c r="J256" s="40" t="n">
        <v>-144</v>
      </c>
      <c r="K256" s="40" t="n">
        <v>0</v>
      </c>
      <c r="L256" s="39"/>
      <c r="M256" s="40" t="n">
        <v>-125</v>
      </c>
      <c r="N256" s="40" t="n">
        <v>-269</v>
      </c>
      <c r="O256" s="40" t="n">
        <v>0</v>
      </c>
      <c r="P256" s="39"/>
      <c r="Q256" s="39"/>
      <c r="R256" s="40" t="n">
        <v>-62</v>
      </c>
      <c r="S256" s="40" t="n">
        <v>-103</v>
      </c>
      <c r="T256" s="40" t="n">
        <v>0</v>
      </c>
      <c r="U256" s="40" t="n">
        <v>0</v>
      </c>
      <c r="V256" s="40" t="n">
        <v>-8</v>
      </c>
      <c r="W256" s="40" t="n">
        <v>0</v>
      </c>
      <c r="X256" s="40" t="n">
        <v>-8</v>
      </c>
      <c r="Y256" s="40" t="n">
        <v>-140</v>
      </c>
      <c r="Z256" s="40" t="n">
        <v>0</v>
      </c>
      <c r="AA256" s="40" t="n">
        <v>179</v>
      </c>
      <c r="AB256" s="40" t="n">
        <v>0</v>
      </c>
      <c r="AC256" s="40" t="n">
        <v>-44</v>
      </c>
      <c r="AD256" s="40" t="n">
        <v>0</v>
      </c>
      <c r="AE256" s="40" t="n">
        <v>0</v>
      </c>
      <c r="AF256" s="40" t="n">
        <v>0</v>
      </c>
      <c r="AG256" s="40" t="n">
        <v>-73</v>
      </c>
      <c r="AH256" s="40" t="n">
        <v>-73</v>
      </c>
      <c r="AI256" s="40" t="n">
        <v>0</v>
      </c>
      <c r="AJ256" s="40" t="n">
        <v>0</v>
      </c>
      <c r="AK256" s="40" t="n">
        <v>0</v>
      </c>
      <c r="AL256" s="40" t="n">
        <v>0</v>
      </c>
      <c r="AM256" s="40" t="n">
        <v>0</v>
      </c>
      <c r="AN256" s="40" t="n">
        <v>0</v>
      </c>
      <c r="AO256" s="40" t="n">
        <v>0</v>
      </c>
      <c r="AP256" s="40" t="n">
        <v>0</v>
      </c>
      <c r="AQ256" s="40" t="n">
        <v>14</v>
      </c>
      <c r="AR256" s="40" t="n">
        <v>14</v>
      </c>
      <c r="AS256" s="40" t="n">
        <v>7</v>
      </c>
      <c r="AT256" s="40" t="n">
        <v>-449</v>
      </c>
      <c r="AU256" s="40" t="n">
        <v>0</v>
      </c>
      <c r="AV256" s="40" t="n">
        <v>-5</v>
      </c>
      <c r="AW256" s="40" t="n">
        <v>-447</v>
      </c>
      <c r="AX256" s="40" t="n">
        <v>-129</v>
      </c>
      <c r="AY256" s="40" t="n">
        <v>-86</v>
      </c>
      <c r="AZ256" s="40" t="n">
        <v>-128</v>
      </c>
      <c r="BA256" s="40" t="n">
        <v>25</v>
      </c>
      <c r="BB256" s="40" t="n">
        <v>-318</v>
      </c>
      <c r="BC256" s="40" t="n">
        <v>34</v>
      </c>
      <c r="BD256" s="40" t="n">
        <v>98</v>
      </c>
      <c r="BE256" s="40" t="n">
        <v>64</v>
      </c>
      <c r="BF256" s="40" t="n">
        <v>85</v>
      </c>
      <c r="BG256" s="40" t="n">
        <v>281</v>
      </c>
      <c r="BH256" s="40" t="n">
        <v>-22</v>
      </c>
      <c r="BI256" s="40" t="n">
        <v>32</v>
      </c>
      <c r="BJ256" s="40" t="n">
        <v>48</v>
      </c>
      <c r="BK256" s="40" t="n">
        <v>139</v>
      </c>
      <c r="BL256" s="40" t="n">
        <v>182</v>
      </c>
      <c r="BM256" s="40" t="n">
        <v>37</v>
      </c>
      <c r="BN256" s="40" t="n">
        <v>59</v>
      </c>
      <c r="BO256" s="40" t="n">
        <v>-103</v>
      </c>
      <c r="BP256" s="40" t="n">
        <v>64</v>
      </c>
      <c r="BQ256" s="40" t="n">
        <v>57</v>
      </c>
      <c r="BR256" s="40" t="n">
        <v>81</v>
      </c>
      <c r="BS256" s="40" t="n">
        <v>44</v>
      </c>
      <c r="BT256" s="40" t="n">
        <v>15</v>
      </c>
      <c r="BU256" s="40" t="n">
        <v>88</v>
      </c>
      <c r="BV256" s="40" t="n">
        <v>228</v>
      </c>
      <c r="BW256" s="40" t="n">
        <v>77</v>
      </c>
      <c r="BX256" s="40" t="n">
        <v>7</v>
      </c>
      <c r="BY256" s="43" t="n">
        <v>0</v>
      </c>
      <c r="BZ256" s="43" t="n">
        <v>0</v>
      </c>
      <c r="CA256" s="41" t="n">
        <f aca="false">SUM(BW256,BX256,BY256,BZ256)</f>
        <v>84</v>
      </c>
      <c r="CB256" s="43" t="n">
        <v>0</v>
      </c>
      <c r="CC256" s="43" t="n">
        <v>0</v>
      </c>
      <c r="CD256" s="43" t="n">
        <v>0</v>
      </c>
      <c r="CE256" s="43" t="n">
        <v>0</v>
      </c>
      <c r="CF256" s="37"/>
    </row>
    <row r="257" customFormat="false" ht="15" hidden="false" customHeight="true" outlineLevel="0" collapsed="false">
      <c r="B257" s="50" t="s">
        <v>418</v>
      </c>
      <c r="C257" s="51" t="n">
        <f aca="false">IF(ISNUMBER(C189),C189+C256,"")</f>
        <v>0</v>
      </c>
      <c r="D257" s="51" t="n">
        <f aca="false">IF(ISNUMBER(D189),D189+D256,"")</f>
        <v>0</v>
      </c>
      <c r="E257" s="51" t="n">
        <f aca="false">IF(ISNUMBER(E189),E189+E256,"")</f>
        <v>0</v>
      </c>
      <c r="F257" s="51" t="n">
        <f aca="false">IF(ISNUMBER(F189),F189+F256,"")</f>
        <v>0</v>
      </c>
      <c r="G257" s="51" t="n">
        <f aca="false">IF(ISNUMBER(G189),G189+G256,"")</f>
        <v>58.8</v>
      </c>
      <c r="H257" s="51" t="n">
        <f aca="false">IF(ISNUMBER(H189),H189+H256,"")</f>
        <v>-12.1</v>
      </c>
      <c r="I257" s="51" t="n">
        <f aca="false">IF(ISNUMBER(I189),I189+I256,"")</f>
        <v>0</v>
      </c>
      <c r="J257" s="51" t="n">
        <f aca="false">IF(ISNUMBER(J189),J189+J256,"")</f>
        <v>85.8</v>
      </c>
      <c r="K257" s="51" t="n">
        <f aca="false">IF(ISNUMBER(K189),K189+K256,"")</f>
        <v>0</v>
      </c>
      <c r="L257" s="51" t="n">
        <f aca="false">IF(ISNUMBER(L189),L189+L256,"")</f>
        <v>0</v>
      </c>
      <c r="M257" s="51" t="n">
        <f aca="false">IF(ISNUMBER(M189),M189+M256,"")</f>
        <v>76.5</v>
      </c>
      <c r="N257" s="51" t="n">
        <f aca="false">IF(ISNUMBER(N189),N189+N256,"")</f>
        <v>162.3</v>
      </c>
      <c r="O257" s="51" t="n">
        <f aca="false">IF(ISNUMBER(O189),O189+O256,"")</f>
        <v>0</v>
      </c>
      <c r="P257" s="51" t="n">
        <f aca="false">IF(ISNUMBER(P189),P189+P256,"")</f>
        <v>19.2</v>
      </c>
      <c r="Q257" s="51" t="n">
        <f aca="false">IF(ISNUMBER(Q189),Q189+Q256,"")</f>
        <v>38.2</v>
      </c>
      <c r="R257" s="51" t="n">
        <f aca="false">IF(ISNUMBER(R189),R189+R256,"")</f>
        <v>37.1</v>
      </c>
      <c r="S257" s="51" t="n">
        <f aca="false">IF(ISNUMBER(S189),S189+S256,"")</f>
        <v>53.5</v>
      </c>
      <c r="T257" s="51" t="n">
        <f aca="false">IF(ISNUMBER(T189),T189+T256,"")</f>
        <v>0</v>
      </c>
      <c r="U257" s="51" t="n">
        <f aca="false">IF(ISNUMBER(U189),U189+U256,"")</f>
        <v>0</v>
      </c>
      <c r="V257" s="51" t="n">
        <f aca="false">IF(ISNUMBER(V189),V189+V256,"")</f>
        <v>4.4</v>
      </c>
      <c r="W257" s="51" t="n">
        <f aca="false">IF(ISNUMBER(W189),W189+W256,"")</f>
        <v>0</v>
      </c>
      <c r="X257" s="51" t="n">
        <f aca="false">IF(ISNUMBER(X189),X189+X256,"")</f>
        <v>4.4</v>
      </c>
      <c r="Y257" s="51" t="n">
        <f aca="false">IF(ISNUMBER(Y189),Y189+Y256,"")</f>
        <v>83.4</v>
      </c>
      <c r="Z257" s="51" t="n">
        <f aca="false">IF(ISNUMBER(Z189),Z189+Z256,"")</f>
        <v>0</v>
      </c>
      <c r="AA257" s="51" t="n">
        <f aca="false">IF(ISNUMBER(AA189),AA189+AA256,"")</f>
        <v>0.199999999999989</v>
      </c>
      <c r="AB257" s="51" t="n">
        <f aca="false">IF(ISNUMBER(AB189),AB189+AB256,"")</f>
        <v>0</v>
      </c>
      <c r="AC257" s="51" t="n">
        <f aca="false">IF(ISNUMBER(AC189),AC189+AC256,"")</f>
        <v>0.599999999999987</v>
      </c>
      <c r="AD257" s="51" t="n">
        <f aca="false">IF(ISNUMBER(AD189),AD189+AD256,"")</f>
        <v>6.9</v>
      </c>
      <c r="AE257" s="51" t="n">
        <f aca="false">IF(ISNUMBER(AE189),AE189+AE256,"")</f>
        <v>7</v>
      </c>
      <c r="AF257" s="51" t="n">
        <f aca="false">IF(ISNUMBER(AF189),AF189+AF256,"")</f>
        <v>8.3</v>
      </c>
      <c r="AG257" s="51" t="n">
        <f aca="false">IF(ISNUMBER(AG189),AG189+AG256,"")</f>
        <v>8.40000000000001</v>
      </c>
      <c r="AH257" s="51" t="n">
        <f aca="false">IF(ISNUMBER(AH189),AH189+AH256,"")</f>
        <v>30.6</v>
      </c>
      <c r="AI257" s="51" t="n">
        <f aca="false">IF(ISNUMBER(AI189),AI189+AI256,"")</f>
        <v>7.8</v>
      </c>
      <c r="AJ257" s="51" t="n">
        <f aca="false">IF(ISNUMBER(AJ189),AJ189+AJ256,"")</f>
        <v>8.3</v>
      </c>
      <c r="AK257" s="51" t="n">
        <f aca="false">IF(ISNUMBER(AK189),AK189+AK256,"")</f>
        <v>9.1</v>
      </c>
      <c r="AL257" s="51" t="n">
        <f aca="false">IF(ISNUMBER(AL189),AL189+AL256,"")</f>
        <v>11.2</v>
      </c>
      <c r="AM257" s="51" t="n">
        <f aca="false">IF(ISNUMBER(AM189),AM189+AM256,"")</f>
        <v>34.5</v>
      </c>
      <c r="AN257" s="51" t="n">
        <f aca="false">IF(ISNUMBER(AN189),AN189+AN256,"")</f>
        <v>5.1</v>
      </c>
      <c r="AO257" s="51" t="n">
        <f aca="false">IF(ISNUMBER(AO189),AO189+AO256,"")</f>
        <v>5</v>
      </c>
      <c r="AP257" s="51" t="n">
        <f aca="false">IF(ISNUMBER(AP189),AP189+AP256,"")</f>
        <v>4.2</v>
      </c>
      <c r="AQ257" s="51" t="n">
        <f aca="false">IF(ISNUMBER(AQ189),AQ189+AQ256,"")</f>
        <v>5.2</v>
      </c>
      <c r="AR257" s="51" t="n">
        <f aca="false">IF(ISNUMBER(AR189),AR189+AR256,"")</f>
        <v>19.5</v>
      </c>
      <c r="AS257" s="51" t="n">
        <f aca="false">IF(ISNUMBER(AS189),AS189+AS256,"")</f>
        <v>5.5</v>
      </c>
      <c r="AT257" s="51" t="n">
        <f aca="false">IF(ISNUMBER(AT189),AT189+AT256,"")</f>
        <v>4.89999999999998</v>
      </c>
      <c r="AU257" s="51" t="n">
        <f aca="false">IF(ISNUMBER(AU189),AU189+AU256,"")</f>
        <v>6.4</v>
      </c>
      <c r="AV257" s="51" t="n">
        <f aca="false">IF(ISNUMBER(AV189),AV189+AV256,"")</f>
        <v>4</v>
      </c>
      <c r="AW257" s="51" t="n">
        <f aca="false">IF(ISNUMBER(AW189),AW189+AW256,"")</f>
        <v>21</v>
      </c>
      <c r="AX257" s="51" t="n">
        <f aca="false">IF(ISNUMBER(AX189),AX189+AX256,"")</f>
        <v>11</v>
      </c>
      <c r="AY257" s="51" t="n">
        <f aca="false">IF(ISNUMBER(AY189),AY189+AY256,"")</f>
        <v>11</v>
      </c>
      <c r="AZ257" s="51" t="n">
        <f aca="false">IF(ISNUMBER(AZ189),AZ189+AZ256,"")</f>
        <v>9</v>
      </c>
      <c r="BA257" s="51" t="n">
        <f aca="false">IF(ISNUMBER(BA189),BA189+BA256,"")</f>
        <v>11</v>
      </c>
      <c r="BB257" s="51" t="n">
        <f aca="false">IF(ISNUMBER(BB189),BB189+BB256,"")</f>
        <v>42</v>
      </c>
      <c r="BC257" s="51" t="n">
        <f aca="false">IF(ISNUMBER(BC189),BC189+BC256,"")</f>
        <v>14</v>
      </c>
      <c r="BD257" s="51" t="n">
        <f aca="false">IF(ISNUMBER(BD189),BD189+BD256,"")</f>
        <v>11</v>
      </c>
      <c r="BE257" s="51" t="n">
        <f aca="false">IF(ISNUMBER(BE189),BE189+BE256,"")</f>
        <v>13</v>
      </c>
      <c r="BF257" s="51" t="n">
        <f aca="false">IF(ISNUMBER(BF189),BF189+BF256,"")</f>
        <v>16</v>
      </c>
      <c r="BG257" s="51" t="n">
        <f aca="false">IF(ISNUMBER(BG189),BG189+BG256,"")</f>
        <v>54</v>
      </c>
      <c r="BH257" s="51" t="n">
        <f aca="false">IF(ISNUMBER(BH189),BH189+BH256,"")</f>
        <v>2</v>
      </c>
      <c r="BI257" s="51" t="n">
        <f aca="false">IF(ISNUMBER(BI189),BI189+BI256,"")</f>
        <v>17</v>
      </c>
      <c r="BJ257" s="51" t="n">
        <f aca="false">IF(ISNUMBER(BJ189),BJ189+BJ256,"")</f>
        <v>1</v>
      </c>
      <c r="BK257" s="51" t="n">
        <f aca="false">IF(ISNUMBER(BK189),BK189+BK256,"")</f>
        <v>2</v>
      </c>
      <c r="BL257" s="51" t="n">
        <f aca="false">IF(ISNUMBER(BL189),BL189+BL256,"")</f>
        <v>7</v>
      </c>
      <c r="BM257" s="51" t="n">
        <f aca="false">IF(ISNUMBER(BM189),BM189+BM256,"")</f>
        <v>1</v>
      </c>
      <c r="BN257" s="51" t="n">
        <f aca="false">IF(ISNUMBER(BN189),BN189+BN256,"")</f>
        <v>0</v>
      </c>
      <c r="BO257" s="51" t="n">
        <f aca="false">IF(ISNUMBER(BO189),BO189+BO256,"")</f>
        <v>-1</v>
      </c>
      <c r="BP257" s="51" t="n">
        <f aca="false">IF(ISNUMBER(BP189),BP189+BP256,"")</f>
        <v>1</v>
      </c>
      <c r="BQ257" s="51" t="n">
        <f aca="false">IF(ISNUMBER(BQ189),BQ189+BQ256,"")</f>
        <v>1</v>
      </c>
      <c r="BR257" s="51" t="n">
        <f aca="false">IF(ISNUMBER(BR189),BR189+BR256,"")</f>
        <v>2</v>
      </c>
      <c r="BS257" s="51" t="n">
        <f aca="false">IF(ISNUMBER(BS189),BS189+BS256,"")</f>
        <v>2</v>
      </c>
      <c r="BT257" s="51" t="n">
        <f aca="false">IF(ISNUMBER(BT189),BT189+BT256,"")</f>
        <v>1</v>
      </c>
      <c r="BU257" s="51" t="n">
        <f aca="false">IF(ISNUMBER(BU189),BU189+BU256,"")</f>
        <v>1</v>
      </c>
      <c r="BV257" s="51" t="n">
        <f aca="false">IF(ISNUMBER(BV189),BV189+BV256,"")</f>
        <v>6</v>
      </c>
      <c r="BW257" s="51" t="n">
        <f aca="false">IF(ISNUMBER(BW189),BW189+BW256,"")</f>
        <v>4</v>
      </c>
      <c r="BX257" s="51" t="n">
        <f aca="false">IF(ISNUMBER(BX189),BX189+BX256,"")</f>
        <v>4</v>
      </c>
      <c r="BY257" s="41" t="n">
        <f aca="false">IF(ISNUMBER(BY189),BY189+BY256,"")</f>
        <v>0</v>
      </c>
      <c r="BZ257" s="41" t="n">
        <f aca="false">IF(ISNUMBER(BZ189),BZ189+BZ256,"")</f>
        <v>0</v>
      </c>
      <c r="CA257" s="41" t="n">
        <f aca="false">IF(ISNUMBER(CA189),CA189+CA256,"")</f>
        <v>8</v>
      </c>
      <c r="CB257" s="41" t="n">
        <f aca="false">IF(ISNUMBER(CB189),CB189+CB256,"")</f>
        <v>0</v>
      </c>
      <c r="CC257" s="41" t="n">
        <f aca="false">IF(ISNUMBER(CC189),CC189+CC256,"")</f>
        <v>0</v>
      </c>
      <c r="CD257" s="41" t="n">
        <f aca="false">IF(ISNUMBER(CD189),CD189+CD256,"")</f>
        <v>0</v>
      </c>
      <c r="CE257" s="41" t="n">
        <f aca="false">IF(ISNUMBER(CE189),CE189+CE256,"")</f>
        <v>0</v>
      </c>
      <c r="CF257" s="7"/>
    </row>
    <row r="258" customFormat="false" ht="15" hidden="false" customHeight="true" outlineLevel="0" collapsed="false">
      <c r="B258" s="27" t="s">
        <v>419</v>
      </c>
      <c r="C258" s="40" t="n">
        <v>0</v>
      </c>
      <c r="D258" s="40" t="n">
        <v>0</v>
      </c>
      <c r="E258" s="40" t="n">
        <v>0</v>
      </c>
      <c r="F258" s="40" t="n">
        <v>0</v>
      </c>
      <c r="G258" s="40" t="n">
        <v>0</v>
      </c>
      <c r="H258" s="40" t="n">
        <v>0</v>
      </c>
      <c r="I258" s="39"/>
      <c r="J258" s="40" t="n">
        <v>0</v>
      </c>
      <c r="K258" s="40" t="n">
        <v>0</v>
      </c>
      <c r="L258" s="39"/>
      <c r="M258" s="40" t="n">
        <v>0</v>
      </c>
      <c r="N258" s="40" t="n">
        <v>0</v>
      </c>
      <c r="O258" s="40" t="n">
        <v>0</v>
      </c>
      <c r="P258" s="39"/>
      <c r="Q258" s="39"/>
      <c r="R258" s="40" t="n">
        <v>0</v>
      </c>
      <c r="S258" s="40" t="n">
        <v>0</v>
      </c>
      <c r="T258" s="40" t="n">
        <v>0</v>
      </c>
      <c r="U258" s="40" t="n">
        <v>0</v>
      </c>
      <c r="V258" s="40" t="n">
        <v>0</v>
      </c>
      <c r="W258" s="40" t="n">
        <v>0</v>
      </c>
      <c r="X258" s="40" t="n">
        <v>0</v>
      </c>
      <c r="Y258" s="40" t="n">
        <v>0</v>
      </c>
      <c r="Z258" s="40" t="n">
        <v>-42</v>
      </c>
      <c r="AA258" s="40" t="n">
        <v>-93.1</v>
      </c>
      <c r="AB258" s="40" t="n">
        <v>-63.6</v>
      </c>
      <c r="AC258" s="40" t="n">
        <v>-144.4</v>
      </c>
      <c r="AD258" s="40" t="n">
        <v>-34.1</v>
      </c>
      <c r="AE258" s="40" t="n">
        <v>-57.9</v>
      </c>
      <c r="AF258" s="40" t="n">
        <v>-34.9</v>
      </c>
      <c r="AG258" s="40" t="n">
        <v>-5.19999999999999</v>
      </c>
      <c r="AH258" s="40" t="n">
        <v>-132</v>
      </c>
      <c r="AI258" s="40" t="n">
        <v>-35.3</v>
      </c>
      <c r="AJ258" s="40" t="n">
        <v>-37</v>
      </c>
      <c r="AK258" s="40" t="n">
        <v>-35</v>
      </c>
      <c r="AL258" s="40" t="n">
        <v>-36.7</v>
      </c>
      <c r="AM258" s="40" t="n">
        <v>-144</v>
      </c>
      <c r="AN258" s="40" t="n">
        <v>-45.6</v>
      </c>
      <c r="AO258" s="40" t="n">
        <v>-39.4</v>
      </c>
      <c r="AP258" s="40" t="n">
        <v>-39.7</v>
      </c>
      <c r="AQ258" s="40" t="n">
        <v>-36.7</v>
      </c>
      <c r="AR258" s="40" t="n">
        <v>-133</v>
      </c>
      <c r="AS258" s="40" t="n">
        <v>-40.5</v>
      </c>
      <c r="AT258" s="40" t="n">
        <v>36.8</v>
      </c>
      <c r="AU258" s="40" t="n">
        <v>-119.4</v>
      </c>
      <c r="AV258" s="40" t="n">
        <v>-75</v>
      </c>
      <c r="AW258" s="40" t="n">
        <v>-198</v>
      </c>
      <c r="AX258" s="40" t="n">
        <v>-57</v>
      </c>
      <c r="AY258" s="40" t="n">
        <v>-53</v>
      </c>
      <c r="AZ258" s="40" t="n">
        <v>-182</v>
      </c>
      <c r="BA258" s="40" t="n">
        <v>-91</v>
      </c>
      <c r="BB258" s="40" t="n">
        <v>-383</v>
      </c>
      <c r="BC258" s="40" t="n">
        <v>-85</v>
      </c>
      <c r="BD258" s="40" t="n">
        <v>-98</v>
      </c>
      <c r="BE258" s="40" t="n">
        <v>-84</v>
      </c>
      <c r="BF258" s="40" t="n">
        <v>-99</v>
      </c>
      <c r="BG258" s="40" t="n">
        <v>-366</v>
      </c>
      <c r="BH258" s="40" t="n">
        <v>-72</v>
      </c>
      <c r="BI258" s="40" t="n">
        <v>-95</v>
      </c>
      <c r="BJ258" s="40" t="n">
        <v>-92</v>
      </c>
      <c r="BK258" s="40" t="n">
        <v>-131</v>
      </c>
      <c r="BL258" s="40" t="n">
        <v>-354</v>
      </c>
      <c r="BM258" s="40" t="n">
        <v>-86</v>
      </c>
      <c r="BN258" s="40" t="n">
        <v>-85</v>
      </c>
      <c r="BO258" s="40" t="n">
        <v>-105</v>
      </c>
      <c r="BP258" s="40" t="n">
        <v>-97</v>
      </c>
      <c r="BQ258" s="40" t="n">
        <v>-373</v>
      </c>
      <c r="BR258" s="40" t="n">
        <v>-94</v>
      </c>
      <c r="BS258" s="40" t="n">
        <v>-187</v>
      </c>
      <c r="BT258" s="40" t="n">
        <v>-108</v>
      </c>
      <c r="BU258" s="40" t="n">
        <v>-91</v>
      </c>
      <c r="BV258" s="40" t="n">
        <v>-480</v>
      </c>
      <c r="BW258" s="40" t="n">
        <v>-94</v>
      </c>
      <c r="BX258" s="40" t="n">
        <v>-94</v>
      </c>
      <c r="BY258" s="41" t="n">
        <f aca="false">-(BY255+BY256)*BY263</f>
        <v>-95.4</v>
      </c>
      <c r="BZ258" s="41" t="n">
        <f aca="false">-(BZ255+BZ256)*BZ263</f>
        <v>-90.54</v>
      </c>
      <c r="CA258" s="41" t="n">
        <f aca="false">SUM(BW258,BX258,BY258,BZ258)</f>
        <v>-373.94</v>
      </c>
      <c r="CB258" s="41" t="n">
        <f aca="false">-(CB255+CB256)*CB263</f>
        <v>-343.716</v>
      </c>
      <c r="CC258" s="41" t="n">
        <f aca="false">-(CC255+CC256)*CC263</f>
        <v>-350.916</v>
      </c>
      <c r="CD258" s="41" t="n">
        <f aca="false">-(CD255+CD256)*CD263</f>
        <v>-361.716</v>
      </c>
      <c r="CE258" s="41" t="n">
        <f aca="false">-(CE255+CE256)*CE263</f>
        <v>-337.716</v>
      </c>
      <c r="CF258" s="37"/>
    </row>
    <row r="259" customFormat="false" ht="15" hidden="false" customHeight="true" outlineLevel="0" collapsed="false">
      <c r="B259" s="27" t="s">
        <v>420</v>
      </c>
      <c r="C259" s="40" t="n">
        <v>-68.30271</v>
      </c>
      <c r="D259" s="40" t="n">
        <v>-23.06213</v>
      </c>
      <c r="E259" s="40" t="n">
        <v>-10.07589</v>
      </c>
      <c r="F259" s="40" t="n">
        <v>-97.36518</v>
      </c>
      <c r="G259" s="40" t="n">
        <v>-40.9965</v>
      </c>
      <c r="H259" s="40" t="n">
        <v>-98.16674</v>
      </c>
      <c r="I259" s="39"/>
      <c r="J259" s="40" t="n">
        <v>-21.252</v>
      </c>
      <c r="K259" s="40" t="n">
        <v>0</v>
      </c>
      <c r="L259" s="39"/>
      <c r="M259" s="40" t="n">
        <v>0</v>
      </c>
      <c r="N259" s="40" t="n">
        <v>-21.33</v>
      </c>
      <c r="O259" s="40" t="n">
        <v>0</v>
      </c>
      <c r="P259" s="39"/>
      <c r="Q259" s="39"/>
      <c r="R259" s="40" t="n">
        <v>64.584</v>
      </c>
      <c r="S259" s="40" t="n">
        <v>57.288</v>
      </c>
      <c r="T259" s="40" t="n">
        <v>0</v>
      </c>
      <c r="U259" s="40" t="n">
        <v>0</v>
      </c>
      <c r="V259" s="40" t="n">
        <v>0</v>
      </c>
      <c r="W259" s="40" t="n">
        <v>-27.884</v>
      </c>
      <c r="X259" s="40" t="n">
        <v>-42.51</v>
      </c>
      <c r="Y259" s="40" t="n">
        <v>13.942</v>
      </c>
      <c r="Z259" s="40" t="n">
        <v>76.879</v>
      </c>
      <c r="AA259" s="40" t="n">
        <v>0</v>
      </c>
      <c r="AB259" s="40" t="n">
        <v>-189.513</v>
      </c>
      <c r="AC259" s="40" t="n">
        <v>-90.974</v>
      </c>
      <c r="AD259" s="40" t="n">
        <v>-21.171</v>
      </c>
      <c r="AE259" s="40" t="n">
        <v>-35.27</v>
      </c>
      <c r="AF259" s="40" t="n">
        <v>0</v>
      </c>
      <c r="AG259" s="40" t="n">
        <v>-91.988</v>
      </c>
      <c r="AH259" s="40" t="n">
        <v>-148.281</v>
      </c>
      <c r="AI259" s="40" t="n">
        <v>0</v>
      </c>
      <c r="AJ259" s="40" t="n">
        <v>-7.095</v>
      </c>
      <c r="AK259" s="40" t="n">
        <v>-21.318</v>
      </c>
      <c r="AL259" s="40" t="n">
        <v>7.112</v>
      </c>
      <c r="AM259" s="40" t="n">
        <v>-21.306</v>
      </c>
      <c r="AN259" s="40" t="n">
        <v>244.29</v>
      </c>
      <c r="AO259" s="40" t="n">
        <v>-14.558</v>
      </c>
      <c r="AP259" s="40" t="n">
        <v>0</v>
      </c>
      <c r="AQ259" s="40" t="n">
        <v>-14.526</v>
      </c>
      <c r="AR259" s="40" t="n">
        <v>210.395</v>
      </c>
      <c r="AS259" s="40" t="n">
        <v>-28.316</v>
      </c>
      <c r="AT259" s="40" t="n">
        <v>0</v>
      </c>
      <c r="AU259" s="40" t="n">
        <v>-57.944</v>
      </c>
      <c r="AV259" s="40" t="n">
        <v>0</v>
      </c>
      <c r="AW259" s="40" t="n">
        <v>-86.244</v>
      </c>
      <c r="AX259" s="40" t="n">
        <v>-44.106</v>
      </c>
      <c r="AY259" s="40" t="n">
        <v>-73.6</v>
      </c>
      <c r="AZ259" s="40" t="n">
        <v>-21.81</v>
      </c>
      <c r="BA259" s="40" t="n">
        <v>-118.144</v>
      </c>
      <c r="BB259" s="40" t="n">
        <v>-257.88</v>
      </c>
      <c r="BC259" s="40" t="n">
        <v>-44.262</v>
      </c>
      <c r="BD259" s="40" t="n">
        <v>-7.36</v>
      </c>
      <c r="BE259" s="40" t="n">
        <v>0</v>
      </c>
      <c r="BF259" s="40" t="n">
        <v>-454.877</v>
      </c>
      <c r="BG259" s="40" t="n">
        <v>-501.228</v>
      </c>
      <c r="BH259" s="40" t="n">
        <v>-7.372</v>
      </c>
      <c r="BI259" s="40" t="n">
        <v>14.894</v>
      </c>
      <c r="BJ259" s="40" t="n">
        <v>0</v>
      </c>
      <c r="BK259" s="40" t="n">
        <v>-74.61</v>
      </c>
      <c r="BL259" s="40" t="n">
        <v>-44.586</v>
      </c>
      <c r="BM259" s="40" t="n">
        <v>-37.43</v>
      </c>
      <c r="BN259" s="40" t="n">
        <v>-7.424</v>
      </c>
      <c r="BO259" s="40" t="n">
        <v>0</v>
      </c>
      <c r="BP259" s="40" t="n">
        <v>-7.282</v>
      </c>
      <c r="BQ259" s="40" t="n">
        <v>-51.604</v>
      </c>
      <c r="BR259" s="40" t="n">
        <v>-7.208</v>
      </c>
      <c r="BS259" s="40" t="n">
        <v>21.573</v>
      </c>
      <c r="BT259" s="40" t="n">
        <v>0</v>
      </c>
      <c r="BU259" s="40" t="n">
        <v>-28.44</v>
      </c>
      <c r="BV259" s="40" t="n">
        <v>-14.322</v>
      </c>
      <c r="BW259" s="40" t="n">
        <v>0</v>
      </c>
      <c r="BX259" s="40" t="n">
        <v>21.228</v>
      </c>
      <c r="BY259" s="43" t="n">
        <v>0</v>
      </c>
      <c r="BZ259" s="43" t="n">
        <v>0</v>
      </c>
      <c r="CA259" s="41" t="n">
        <f aca="false">SUM(BW259,BX259,BY259,BZ259)</f>
        <v>21.228</v>
      </c>
      <c r="CB259" s="43" t="n">
        <v>0</v>
      </c>
      <c r="CC259" s="43" t="n">
        <v>0</v>
      </c>
      <c r="CD259" s="43" t="n">
        <v>0</v>
      </c>
      <c r="CE259" s="43" t="n">
        <v>0</v>
      </c>
      <c r="CF259" s="37"/>
    </row>
    <row r="260" customFormat="false" ht="15" hidden="false" customHeight="true" outlineLevel="0" collapsed="false">
      <c r="B260" s="27" t="s">
        <v>421</v>
      </c>
      <c r="C260" s="40" t="n">
        <v>0</v>
      </c>
      <c r="D260" s="40" t="n">
        <v>0</v>
      </c>
      <c r="E260" s="40" t="n">
        <v>0</v>
      </c>
      <c r="F260" s="40" t="n">
        <v>0</v>
      </c>
      <c r="G260" s="40" t="n">
        <v>0</v>
      </c>
      <c r="H260" s="40" t="n">
        <v>0</v>
      </c>
      <c r="I260" s="39"/>
      <c r="J260" s="40" t="n">
        <v>0</v>
      </c>
      <c r="K260" s="40" t="n">
        <v>0</v>
      </c>
      <c r="L260" s="39"/>
      <c r="M260" s="40" t="n">
        <v>0</v>
      </c>
      <c r="N260" s="40" t="n">
        <v>0</v>
      </c>
      <c r="O260" s="40" t="n">
        <v>0</v>
      </c>
      <c r="P260" s="39"/>
      <c r="Q260" s="39"/>
      <c r="R260" s="40" t="n">
        <v>0</v>
      </c>
      <c r="S260" s="40" t="n">
        <v>0</v>
      </c>
      <c r="T260" s="40" t="n">
        <v>0</v>
      </c>
      <c r="U260" s="40" t="n">
        <v>0</v>
      </c>
      <c r="V260" s="40" t="n">
        <v>0</v>
      </c>
      <c r="W260" s="40" t="n">
        <v>0</v>
      </c>
      <c r="X260" s="40" t="n">
        <v>0</v>
      </c>
      <c r="Y260" s="40" t="n">
        <v>0</v>
      </c>
      <c r="Z260" s="40" t="n">
        <v>0</v>
      </c>
      <c r="AA260" s="40" t="n">
        <v>0</v>
      </c>
      <c r="AB260" s="40" t="n">
        <v>0</v>
      </c>
      <c r="AC260" s="40" t="n">
        <v>0</v>
      </c>
      <c r="AD260" s="40" t="n">
        <v>0</v>
      </c>
      <c r="AE260" s="40" t="n">
        <v>0</v>
      </c>
      <c r="AF260" s="40" t="n">
        <v>0</v>
      </c>
      <c r="AG260" s="40" t="n">
        <v>0</v>
      </c>
      <c r="AH260" s="40" t="n">
        <v>0</v>
      </c>
      <c r="AI260" s="40" t="n">
        <v>0</v>
      </c>
      <c r="AJ260" s="40" t="n">
        <v>0</v>
      </c>
      <c r="AK260" s="40" t="n">
        <v>0</v>
      </c>
      <c r="AL260" s="40" t="n">
        <v>0</v>
      </c>
      <c r="AM260" s="40" t="n">
        <v>0</v>
      </c>
      <c r="AN260" s="40" t="n">
        <v>0</v>
      </c>
      <c r="AO260" s="40" t="n">
        <v>7.279</v>
      </c>
      <c r="AP260" s="40" t="n">
        <v>7.293</v>
      </c>
      <c r="AQ260" s="40" t="n">
        <v>7.263</v>
      </c>
      <c r="AR260" s="40" t="n">
        <v>29.02</v>
      </c>
      <c r="AS260" s="40" t="n">
        <v>7.079</v>
      </c>
      <c r="AT260" s="40" t="n">
        <v>14.364</v>
      </c>
      <c r="AU260" s="40" t="n">
        <v>14.486</v>
      </c>
      <c r="AV260" s="40" t="n">
        <v>7.245</v>
      </c>
      <c r="AW260" s="40" t="n">
        <v>43.122</v>
      </c>
      <c r="AX260" s="40" t="n">
        <v>22.3790000000001</v>
      </c>
      <c r="AY260" s="40" t="n">
        <v>20.0799999999999</v>
      </c>
      <c r="AZ260" s="40" t="n">
        <v>7.27</v>
      </c>
      <c r="BA260" s="40" t="n">
        <v>17.7760000000001</v>
      </c>
      <c r="BB260" s="40" t="n">
        <v>87.1679999999993</v>
      </c>
      <c r="BC260" s="40" t="n">
        <v>20.0870000000002</v>
      </c>
      <c r="BD260" s="40" t="n">
        <v>0</v>
      </c>
      <c r="BE260" s="40" t="n">
        <v>0</v>
      </c>
      <c r="BF260" s="40" t="n">
        <v>0</v>
      </c>
      <c r="BG260" s="40" t="n">
        <v>0</v>
      </c>
      <c r="BH260" s="40" t="n">
        <v>0</v>
      </c>
      <c r="BI260" s="40" t="n">
        <v>0</v>
      </c>
      <c r="BJ260" s="40" t="n">
        <v>0</v>
      </c>
      <c r="BK260" s="40" t="n">
        <v>0</v>
      </c>
      <c r="BL260" s="40" t="n">
        <v>7.431</v>
      </c>
      <c r="BM260" s="40" t="n">
        <v>0</v>
      </c>
      <c r="BN260" s="40" t="n">
        <v>0</v>
      </c>
      <c r="BO260" s="40" t="n">
        <v>0</v>
      </c>
      <c r="BP260" s="40" t="n">
        <v>0</v>
      </c>
      <c r="BQ260" s="40" t="n">
        <v>0</v>
      </c>
      <c r="BR260" s="40" t="n">
        <v>0</v>
      </c>
      <c r="BS260" s="40" t="n">
        <v>0</v>
      </c>
      <c r="BT260" s="40" t="n">
        <v>0</v>
      </c>
      <c r="BU260" s="40" t="n">
        <v>0</v>
      </c>
      <c r="BV260" s="40" t="n">
        <v>0</v>
      </c>
      <c r="BW260" s="40" t="n">
        <v>0</v>
      </c>
      <c r="BX260" s="40" t="n">
        <v>0</v>
      </c>
      <c r="BY260" s="43" t="n">
        <v>0</v>
      </c>
      <c r="BZ260" s="43" t="n">
        <v>0</v>
      </c>
      <c r="CA260" s="41" t="n">
        <f aca="false">SUM(BW260,BX260,BY260,BZ260)</f>
        <v>0</v>
      </c>
      <c r="CB260" s="43" t="n">
        <v>0</v>
      </c>
      <c r="CC260" s="43" t="n">
        <v>0</v>
      </c>
      <c r="CD260" s="43" t="n">
        <v>0</v>
      </c>
      <c r="CE260" s="43" t="n">
        <v>0</v>
      </c>
      <c r="CF260" s="37"/>
    </row>
    <row r="261" customFormat="false" ht="15" hidden="false" customHeight="true" outlineLevel="0" collapsed="false">
      <c r="B261" s="27" t="s">
        <v>422</v>
      </c>
      <c r="C261" s="40" t="n">
        <v>10.7059099999999</v>
      </c>
      <c r="D261" s="40" t="n">
        <v>0</v>
      </c>
      <c r="E261" s="40" t="n">
        <v>0</v>
      </c>
      <c r="F261" s="40" t="n">
        <v>0</v>
      </c>
      <c r="G261" s="40" t="n">
        <v>11.8015</v>
      </c>
      <c r="H261" s="40" t="n">
        <v>0</v>
      </c>
      <c r="I261" s="39"/>
      <c r="J261" s="40" t="n">
        <v>0</v>
      </c>
      <c r="K261" s="40" t="n">
        <v>0</v>
      </c>
      <c r="L261" s="39"/>
      <c r="M261" s="40" t="n">
        <v>0</v>
      </c>
      <c r="N261" s="40" t="n">
        <v>0</v>
      </c>
      <c r="O261" s="40" t="n">
        <v>0</v>
      </c>
      <c r="P261" s="39"/>
      <c r="Q261" s="39"/>
      <c r="R261" s="40" t="n">
        <v>66.5280000000001</v>
      </c>
      <c r="S261" s="40" t="n">
        <v>260.529000000001</v>
      </c>
      <c r="T261" s="40" t="n">
        <v>-1.98299999999995</v>
      </c>
      <c r="U261" s="40" t="n">
        <v>-27.5279999999999</v>
      </c>
      <c r="V261" s="40" t="n">
        <v>-26.823</v>
      </c>
      <c r="W261" s="40" t="n">
        <v>-36.755</v>
      </c>
      <c r="X261" s="40" t="n">
        <v>-64.8599999999997</v>
      </c>
      <c r="Y261" s="40" t="n">
        <v>-44.0329999999999</v>
      </c>
      <c r="Z261" s="40" t="n">
        <v>-5.86900000000003</v>
      </c>
      <c r="AA261" s="40" t="n">
        <v>0</v>
      </c>
      <c r="AB261" s="40" t="n">
        <v>0</v>
      </c>
      <c r="AC261" s="40" t="n">
        <v>0</v>
      </c>
      <c r="AD261" s="40" t="n">
        <v>0</v>
      </c>
      <c r="AE261" s="40" t="n">
        <v>0</v>
      </c>
      <c r="AF261" s="40" t="n">
        <v>0</v>
      </c>
      <c r="AG261" s="40" t="n">
        <v>0</v>
      </c>
      <c r="AH261" s="40" t="n">
        <v>0</v>
      </c>
      <c r="AI261" s="40" t="n">
        <v>0</v>
      </c>
      <c r="AJ261" s="40" t="n">
        <v>0</v>
      </c>
      <c r="AK261" s="40" t="n">
        <v>0</v>
      </c>
      <c r="AL261" s="40" t="n">
        <v>-37.1439999999999</v>
      </c>
      <c r="AM261" s="40" t="n">
        <v>-92.884</v>
      </c>
      <c r="AN261" s="40" t="n">
        <v>-55.0750000000002</v>
      </c>
      <c r="AO261" s="40" t="n">
        <v>-21.41</v>
      </c>
      <c r="AP261" s="40" t="n">
        <v>-32.635</v>
      </c>
      <c r="AQ261" s="40" t="n">
        <v>0</v>
      </c>
      <c r="AR261" s="40" t="n">
        <v>0</v>
      </c>
      <c r="AS261" s="40" t="n">
        <v>0</v>
      </c>
      <c r="AT261" s="40" t="n">
        <v>0</v>
      </c>
      <c r="AU261" s="40" t="n">
        <v>0</v>
      </c>
      <c r="AV261" s="40" t="n">
        <v>0</v>
      </c>
      <c r="AW261" s="40" t="n">
        <v>0</v>
      </c>
      <c r="AX261" s="40" t="n">
        <v>7.351</v>
      </c>
      <c r="AY261" s="40" t="n">
        <v>0</v>
      </c>
      <c r="AZ261" s="40" t="n">
        <v>0</v>
      </c>
      <c r="BA261" s="40" t="n">
        <v>0</v>
      </c>
      <c r="BB261" s="40" t="n">
        <v>0</v>
      </c>
      <c r="BC261" s="40" t="n">
        <v>0</v>
      </c>
      <c r="BD261" s="40" t="n">
        <v>7.36</v>
      </c>
      <c r="BE261" s="40" t="n">
        <v>0</v>
      </c>
      <c r="BF261" s="40" t="n">
        <v>-0.0449999999998454</v>
      </c>
      <c r="BG261" s="40" t="n">
        <v>-23.530999999999</v>
      </c>
      <c r="BH261" s="40" t="n">
        <v>-18.3679999999999</v>
      </c>
      <c r="BI261" s="40" t="n">
        <v>-52.5629999999999</v>
      </c>
      <c r="BJ261" s="40" t="n">
        <v>-34.0520000000001</v>
      </c>
      <c r="BK261" s="40" t="n">
        <v>0</v>
      </c>
      <c r="BL261" s="40" t="n">
        <v>-7.431</v>
      </c>
      <c r="BM261" s="40" t="n">
        <v>7.486</v>
      </c>
      <c r="BN261" s="40" t="n">
        <v>0</v>
      </c>
      <c r="BO261" s="40" t="n">
        <v>0</v>
      </c>
      <c r="BP261" s="40" t="n">
        <v>0</v>
      </c>
      <c r="BQ261" s="40" t="n">
        <v>7.372</v>
      </c>
      <c r="BR261" s="40" t="n">
        <v>0</v>
      </c>
      <c r="BS261" s="40" t="n">
        <v>7.191</v>
      </c>
      <c r="BT261" s="40" t="n">
        <v>0</v>
      </c>
      <c r="BU261" s="40" t="n">
        <v>7.11</v>
      </c>
      <c r="BV261" s="40" t="n">
        <v>0</v>
      </c>
      <c r="BW261" s="40" t="n">
        <v>0</v>
      </c>
      <c r="BX261" s="40" t="n">
        <v>0</v>
      </c>
      <c r="BY261" s="43" t="n">
        <v>0</v>
      </c>
      <c r="BZ261" s="43" t="n">
        <v>0</v>
      </c>
      <c r="CA261" s="41" t="n">
        <f aca="false">SUM(BW261,BX261,BY261,BZ261)</f>
        <v>0</v>
      </c>
      <c r="CB261" s="43" t="n">
        <v>0</v>
      </c>
      <c r="CC261" s="43" t="n">
        <v>0</v>
      </c>
      <c r="CD261" s="43" t="n">
        <v>0</v>
      </c>
      <c r="CE261" s="43" t="n">
        <v>0</v>
      </c>
      <c r="CF261" s="37"/>
    </row>
    <row r="262" customFormat="false" ht="15" hidden="false" customHeight="true" outlineLevel="0" collapsed="false">
      <c r="B262" s="62" t="s">
        <v>423</v>
      </c>
      <c r="C262" s="63" t="n">
        <f aca="false">IF(ISNUMBER(C267),C252+N(C255)+N(C256)+N(C258)+N(C259)+N(C260)+N(C261),"")</f>
        <v>1040.9032</v>
      </c>
      <c r="D262" s="63" t="n">
        <f aca="false">IF(ISNUMBER(D267),D252+N(D255)+N(D256)+N(D258)+N(D259)+N(D260)+N(D261),"")</f>
        <v>1248.83787</v>
      </c>
      <c r="E262" s="63" t="n">
        <f aca="false">IF(ISNUMBER(E267),E252+N(E255)+N(E256)+N(E258)+N(E259)+N(E260)+N(E261),"")</f>
        <v>1413.52411</v>
      </c>
      <c r="F262" s="63" t="n">
        <f aca="false">IF(ISNUMBER(F267),F252+N(F255)+N(F256)+N(F258)+N(F259)+N(F260)+N(F261),"")</f>
        <v>1177.03482</v>
      </c>
      <c r="G262" s="63" t="n">
        <f aca="false">IF(ISNUMBER(G267),G252+N(G255)+N(G256)+N(G258)+N(G259)+N(G260)+N(G261),"")</f>
        <v>1503.105</v>
      </c>
      <c r="H262" s="63" t="n">
        <f aca="false">IF(ISNUMBER(H267),H252+N(H255)+N(H256)+N(H258)+N(H259)+N(H260)+N(H261),"")</f>
        <v>1974.43326</v>
      </c>
      <c r="I262" s="63" t="str">
        <f aca="false">IF(ISNUMBER(I267),I252+N(I255)+N(I256)+N(I258)+N(I259)+N(I260)+N(I261),"")</f>
        <v/>
      </c>
      <c r="J262" s="63" t="n">
        <f aca="false">IF(ISNUMBER(J267),J252+N(J255)+N(J256)+N(J258)+N(J259)+N(J260)+N(J261),"")</f>
        <v>526.648</v>
      </c>
      <c r="K262" s="63" t="n">
        <f aca="false">IF(ISNUMBER(K267),K252+N(K255)+N(K256)+N(K258)+N(K259)+N(K260)+N(K261),"")</f>
        <v>616.8</v>
      </c>
      <c r="L262" s="63" t="str">
        <f aca="false">IF(ISNUMBER(L267),L252+N(L255)+N(L256)+N(L258)+N(L259)+N(L260)+N(L261),"")</f>
        <v/>
      </c>
      <c r="M262" s="63" t="n">
        <f aca="false">IF(ISNUMBER(M267),M252+N(M255)+N(M256)+N(M258)+N(M259)+N(M260)+N(M261),"")</f>
        <v>683.3</v>
      </c>
      <c r="N262" s="63" t="n">
        <f aca="false">IF(ISNUMBER(N267),N252+N(N255)+N(N256)+N(N258)+N(N259)+N(N260)+N(N261),"")</f>
        <v>2423.67</v>
      </c>
      <c r="O262" s="63" t="n">
        <f aca="false">IF(ISNUMBER(O267),O252+N(O255)+N(O256)+N(O258)+N(O259)+N(O260)+N(O261),"")</f>
        <v>579.7</v>
      </c>
      <c r="P262" s="63" t="str">
        <f aca="false">IF(ISNUMBER(P267),P252+N(P255)+N(P256)+N(P258)+N(P259)+N(P260)+N(P261),"")</f>
        <v/>
      </c>
      <c r="Q262" s="63" t="str">
        <f aca="false">IF(ISNUMBER(Q267),Q252+N(Q255)+N(Q256)+N(Q258)+N(Q259)+N(Q260)+N(Q261),"")</f>
        <v/>
      </c>
      <c r="R262" s="63" t="n">
        <f aca="false">IF(ISNUMBER(R267),R252+N(R255)+N(R256)+N(R258)+N(R259)+N(R260)+N(R261),"")</f>
        <v>803.712</v>
      </c>
      <c r="S262" s="63" t="n">
        <f aca="false">IF(ISNUMBER(S267),S252+N(S255)+N(S256)+N(S258)+N(S259)+N(S260)+N(S261),"")</f>
        <v>2842.917</v>
      </c>
      <c r="T262" s="63" t="n">
        <f aca="false">IF(ISNUMBER(T267),T252+N(T255)+N(T256)+N(T258)+N(T259)+N(T260)+N(T261),"")</f>
        <v>654.017</v>
      </c>
      <c r="U262" s="63" t="n">
        <f aca="false">IF(ISNUMBER(U267),U252+N(U255)+N(U256)+N(U258)+N(U259)+N(U260)+N(U261),"")</f>
        <v>769.972</v>
      </c>
      <c r="V262" s="63" t="n">
        <f aca="false">IF(ISNUMBER(V267),V252+N(V255)+N(V256)+N(V258)+N(V259)+N(V260)+N(V261),"")</f>
        <v>496.077</v>
      </c>
      <c r="W262" s="63" t="n">
        <f aca="false">IF(ISNUMBER(W267),W252+N(W255)+N(W256)+N(W258)+N(W259)+N(W260)+N(W261),"")</f>
        <v>634.361</v>
      </c>
      <c r="X262" s="63" t="n">
        <f aca="false">IF(ISNUMBER(X267),X252+N(X255)+N(X256)+N(X258)+N(X259)+N(X260)+N(X261),"")</f>
        <v>2111.33</v>
      </c>
      <c r="Y262" s="63" t="n">
        <f aca="false">IF(ISNUMBER(Y267),Y252+N(Y255)+N(Y256)+N(Y258)+N(Y259)+N(Y260)+N(Y261),"")</f>
        <v>550.709</v>
      </c>
      <c r="Z262" s="63" t="n">
        <f aca="false">IF(ISNUMBER(Z267),Z252+N(Z255)+N(Z256)+N(Z258)+N(Z259)+N(Z260)+N(Z261),"")</f>
        <v>629.01</v>
      </c>
      <c r="AA262" s="63" t="n">
        <f aca="false">IF(ISNUMBER(AA267),AA252+N(AA255)+N(AA256)+N(AA258)+N(AA259)+N(AA260)+N(AA261),"")</f>
        <v>613.7</v>
      </c>
      <c r="AB262" s="63" t="n">
        <f aca="false">IF(ISNUMBER(AB267),AB252+N(AB255)+N(AB256)+N(AB258)+N(AB259)+N(AB260)+N(AB261),"")</f>
        <v>734.387</v>
      </c>
      <c r="AC262" s="63" t="n">
        <f aca="false">IF(ISNUMBER(AC267),AC252+N(AC255)+N(AC256)+N(AC258)+N(AC259)+N(AC260)+N(AC261),"")</f>
        <v>2523.126</v>
      </c>
      <c r="AD262" s="63" t="n">
        <f aca="false">IF(ISNUMBER(AD267),AD252+N(AD255)+N(AD256)+N(AD258)+N(AD259)+N(AD260)+N(AD261),"")</f>
        <v>594.629</v>
      </c>
      <c r="AE262" s="63" t="n">
        <f aca="false">IF(ISNUMBER(AE267),AE252+N(AE255)+N(AE256)+N(AE258)+N(AE259)+N(AE260)+N(AE261),"")</f>
        <v>700.43</v>
      </c>
      <c r="AF262" s="63" t="n">
        <f aca="false">IF(ISNUMBER(AF267),AF252+N(AF255)+N(AF256)+N(AF258)+N(AF259)+N(AF260)+N(AF261),"")</f>
        <v>703.6</v>
      </c>
      <c r="AG262" s="63" t="n">
        <f aca="false">IF(ISNUMBER(AG267),AG252+N(AG255)+N(AG256)+N(AG258)+N(AG259)+N(AG260)+N(AG261),"")</f>
        <v>843.112</v>
      </c>
      <c r="AH262" s="63" t="n">
        <f aca="false">IF(ISNUMBER(AH267),AH252+N(AH255)+N(AH256)+N(AH258)+N(AH259)+N(AH260)+N(AH261),"")</f>
        <v>2842.019</v>
      </c>
      <c r="AI262" s="63" t="n">
        <f aca="false">IF(ISNUMBER(AI267),AI252+N(AI255)+N(AI256)+N(AI258)+N(AI259)+N(AI260)+N(AI261),"")</f>
        <v>703.599999999999</v>
      </c>
      <c r="AJ262" s="63" t="n">
        <f aca="false">IF(ISNUMBER(AJ267),AJ252+N(AJ255)+N(AJ256)+N(AJ258)+N(AJ259)+N(AJ260)+N(AJ261),"")</f>
        <v>817.805</v>
      </c>
      <c r="AK262" s="63" t="n">
        <f aca="false">IF(ISNUMBER(AK267),AK252+N(AK255)+N(AK256)+N(AK258)+N(AK259)+N(AK260)+N(AK261),"")</f>
        <v>781.482000000001</v>
      </c>
      <c r="AL262" s="63" t="n">
        <f aca="false">IF(ISNUMBER(AL267),AL252+N(AL255)+N(AL256)+N(AL258)+N(AL259)+N(AL260)+N(AL261),"")</f>
        <v>810.768</v>
      </c>
      <c r="AM262" s="63" t="n">
        <f aca="false">IF(ISNUMBER(AM267),AM252+N(AM255)+N(AM256)+N(AM258)+N(AM259)+N(AM260)+N(AM261),"")</f>
        <v>2876.31</v>
      </c>
      <c r="AN262" s="63" t="n">
        <f aca="false">IF(ISNUMBER(AN267),AN252+N(AN255)+N(AN256)+N(AN258)+N(AN259)+N(AN260)+N(AN261),"")</f>
        <v>711.315</v>
      </c>
      <c r="AO262" s="63" t="n">
        <f aca="false">IF(ISNUMBER(AO267),AO252+N(AO255)+N(AO256)+N(AO258)+N(AO259)+N(AO260)+N(AO261),"")</f>
        <v>793.411</v>
      </c>
      <c r="AP262" s="63" t="n">
        <f aca="false">IF(ISNUMBER(AP267),AP252+N(AP255)+N(AP256)+N(AP258)+N(AP259)+N(AP260)+N(AP261),"")</f>
        <v>773.058</v>
      </c>
      <c r="AQ262" s="63" t="n">
        <f aca="false">IF(ISNUMBER(AQ267),AQ252+N(AQ255)+N(AQ256)+N(AQ258)+N(AQ259)+N(AQ260)+N(AQ261),"")</f>
        <v>929.137</v>
      </c>
      <c r="AR262" s="63" t="n">
        <f aca="false">IF(ISNUMBER(AR267),AR252+N(AR255)+N(AR256)+N(AR258)+N(AR259)+N(AR260)+N(AR261),"")</f>
        <v>3202.415</v>
      </c>
      <c r="AS262" s="63" t="n">
        <f aca="false">IF(ISNUMBER(AS267),AS252+N(AS255)+N(AS256)+N(AS258)+N(AS259)+N(AS260)+N(AS261),"")</f>
        <v>744.163</v>
      </c>
      <c r="AT262" s="63" t="n">
        <f aca="false">IF(ISNUMBER(AT267),AT252+N(AT255)+N(AT256)+N(AT258)+N(AT259)+N(AT260)+N(AT261),"")</f>
        <v>1036.964</v>
      </c>
      <c r="AU262" s="63" t="n">
        <f aca="false">IF(ISNUMBER(AU267),AU252+N(AU255)+N(AU256)+N(AU258)+N(AU259)+N(AU260)+N(AU261),"")</f>
        <v>1256.642</v>
      </c>
      <c r="AV262" s="63" t="n">
        <f aca="false">IF(ISNUMBER(AV267),AV252+N(AV255)+N(AV256)+N(AV258)+N(AV259)+N(AV260)+N(AV261),"")</f>
        <v>1512.245</v>
      </c>
      <c r="AW262" s="63" t="n">
        <f aca="false">IF(ISNUMBER(AW267),AW252+N(AW255)+N(AW256)+N(AW258)+N(AW259)+N(AW260)+N(AW261),"")</f>
        <v>4549.878</v>
      </c>
      <c r="AX262" s="63" t="n">
        <f aca="false">IF(ISNUMBER(AX267),AX252+N(AX255)+N(AX256)+N(AX258)+N(AX259)+N(AX260)+N(AX261),"")</f>
        <v>1860.624</v>
      </c>
      <c r="AY262" s="63" t="n">
        <f aca="false">IF(ISNUMBER(AY267),AY252+N(AY255)+N(AY256)+N(AY258)+N(AY259)+N(AY260)+N(AY261),"")</f>
        <v>1812.48</v>
      </c>
      <c r="AZ262" s="63" t="n">
        <f aca="false">IF(ISNUMBER(AZ267),AZ252+N(AZ255)+N(AZ256)+N(AZ258)+N(AZ259)+N(AZ260)+N(AZ261),"")</f>
        <v>1749.46</v>
      </c>
      <c r="BA262" s="63" t="n">
        <f aca="false">IF(ISNUMBER(BA267),BA252+N(BA255)+N(BA256)+N(BA258)+N(BA259)+N(BA260)+N(BA261),"")</f>
        <v>1987.632</v>
      </c>
      <c r="BB262" s="63" t="n">
        <f aca="false">IF(ISNUMBER(BB267),BB252+N(BB255)+N(BB256)+N(BB258)+N(BB259)+N(BB260)+N(BB261),"")</f>
        <v>7422.288</v>
      </c>
      <c r="BC262" s="63" t="n">
        <f aca="false">IF(ISNUMBER(BC267),BC252+N(BC255)+N(BC256)+N(BC258)+N(BC259)+N(BC260)+N(BC261),"")</f>
        <v>2037.825</v>
      </c>
      <c r="BD262" s="63" t="n">
        <f aca="false">IF(ISNUMBER(BD267),BD252+N(BD255)+N(BD256)+N(BD258)+N(BD259)+N(BD260)+N(BD261),"")</f>
        <v>2040</v>
      </c>
      <c r="BE262" s="63" t="n">
        <f aca="false">IF(ISNUMBER(BE267),BE252+N(BE255)+N(BE256)+N(BE258)+N(BE259)+N(BE260)+N(BE261),"")</f>
        <v>1892</v>
      </c>
      <c r="BF262" s="63" t="n">
        <f aca="false">IF(ISNUMBER(BF267),BF252+N(BF255)+N(BF256)+N(BF258)+N(BF259)+N(BF260)+N(BF261),"")</f>
        <v>1894.078</v>
      </c>
      <c r="BG262" s="63" t="n">
        <f aca="false">IF(ISNUMBER(BG267),BG252+N(BG255)+N(BG256)+N(BG258)+N(BG259)+N(BG260)+N(BG261),"")</f>
        <v>7157.241</v>
      </c>
      <c r="BH262" s="63" t="n">
        <f aca="false">IF(ISNUMBER(BH267),BH252+N(BH255)+N(BH256)+N(BH258)+N(BH259)+N(BH260)+N(BH261),"")</f>
        <v>1511.26</v>
      </c>
      <c r="BI262" s="63" t="n">
        <f aca="false">IF(ISNUMBER(BI267),BI252+N(BI255)+N(BI256)+N(BI258)+N(BI259)+N(BI260)+N(BI261),"")</f>
        <v>1288.331</v>
      </c>
      <c r="BJ262" s="63" t="n">
        <f aca="false">IF(ISNUMBER(BJ267),BJ252+N(BJ255)+N(BJ256)+N(BJ258)+N(BJ259)+N(BJ260)+N(BJ261),"")</f>
        <v>1282.948</v>
      </c>
      <c r="BK262" s="63" t="n">
        <f aca="false">IF(ISNUMBER(BK267),BK252+N(BK255)+N(BK256)+N(BK258)+N(BK259)+N(BK260)+N(BK261),"")</f>
        <v>1554.39</v>
      </c>
      <c r="BL262" s="63" t="n">
        <f aca="false">IF(ISNUMBER(BL267),BL252+N(BL255)+N(BL256)+N(BL258)+N(BL259)+N(BL260)+N(BL261),"")</f>
        <v>5636.414</v>
      </c>
      <c r="BM262" s="63" t="n">
        <f aca="false">IF(ISNUMBER(BM267),BM252+N(BM255)+N(BM256)+N(BM258)+N(BM259)+N(BM260)+N(BM261),"")</f>
        <v>1441.056</v>
      </c>
      <c r="BN262" s="63" t="n">
        <f aca="false">IF(ISNUMBER(BN267),BN252+N(BN255)+N(BN256)+N(BN258)+N(BN259)+N(BN260)+N(BN261),"")</f>
        <v>1275.576</v>
      </c>
      <c r="BO262" s="63" t="n">
        <f aca="false">IF(ISNUMBER(BO267),BO252+N(BO255)+N(BO256)+N(BO258)+N(BO259)+N(BO260)+N(BO261),"")</f>
        <v>1246</v>
      </c>
      <c r="BP262" s="63" t="n">
        <f aca="false">IF(ISNUMBER(BP267),BP252+N(BP255)+N(BP256)+N(BP258)+N(BP259)+N(BP260)+N(BP261),"")</f>
        <v>1552.718</v>
      </c>
      <c r="BQ262" s="63" t="n">
        <f aca="false">IF(ISNUMBER(BQ267),BQ252+N(BQ255)+N(BQ256)+N(BQ258)+N(BQ259)+N(BQ260)+N(BQ261),"")</f>
        <v>5515.768</v>
      </c>
      <c r="BR262" s="63" t="n">
        <f aca="false">IF(ISNUMBER(BR267),BR252+N(BR255)+N(BR256)+N(BR258)+N(BR259)+N(BR260)+N(BR261),"")</f>
        <v>1358.792</v>
      </c>
      <c r="BS262" s="63" t="n">
        <f aca="false">IF(ISNUMBER(BS267),BS252+N(BS255)+N(BS256)+N(BS258)+N(BS259)+N(BS260)+N(BS261),"")</f>
        <v>1298.764</v>
      </c>
      <c r="BT262" s="63" t="n">
        <f aca="false">IF(ISNUMBER(BT267),BT252+N(BT255)+N(BT256)+N(BT258)+N(BT259)+N(BT260)+N(BT261),"")</f>
        <v>1349</v>
      </c>
      <c r="BU262" s="63" t="n">
        <f aca="false">IF(ISNUMBER(BU267),BU252+N(BU255)+N(BU256)+N(BU258)+N(BU259)+N(BU260)+N(BU261),"")</f>
        <v>1590.67</v>
      </c>
      <c r="BV262" s="63" t="n">
        <f aca="false">IF(ISNUMBER(BV267),BV252+N(BV255)+N(BV256)+N(BV258)+N(BV259)+N(BV260)+N(BV261),"")</f>
        <v>5582.678</v>
      </c>
      <c r="BW262" s="63" t="n">
        <f aca="false">IF(ISNUMBER(BW267),BW252+N(BW255)+N(BW256)+N(BW258)+N(BW259)+N(BW260)+N(BW261),"")</f>
        <v>1463</v>
      </c>
      <c r="BX262" s="63" t="n">
        <f aca="false">IF(ISNUMBER(BX267),BX252+N(BX255)+N(BX256)+N(BX258)+N(BX259)+N(BX260)+N(BX261),"")</f>
        <v>1375.228</v>
      </c>
      <c r="BY262" s="63" t="n">
        <f aca="false">BY252+N(BY255)+N(BY256)+N(BY258)+N(BY259)+N(BY260)+N(BY261)</f>
        <v>1360.97684467631</v>
      </c>
      <c r="BZ262" s="63" t="n">
        <f aca="false">BZ252+N(BZ255)+N(BZ256)+N(BZ258)+N(BZ259)+N(BZ260)+N(BZ261)</f>
        <v>1835.94040022673</v>
      </c>
      <c r="CA262" s="63" t="n">
        <f aca="false">CA252+N(CA255)+N(CA256)+N(CA258)+N(CA259)+N(CA260)+N(CA261)</f>
        <v>6035.14524490303</v>
      </c>
      <c r="CB262" s="63" t="n">
        <f aca="false">CB252+N(CB255)+N(CB256)+N(CB258)+N(CB259)+N(CB260)+N(CB261)</f>
        <v>6579.93814620999</v>
      </c>
      <c r="CC262" s="63" t="n">
        <f aca="false">CC252+N(CC255)+N(CC256)+N(CC258)+N(CC259)+N(CC260)+N(CC261)</f>
        <v>7228.86260181243</v>
      </c>
      <c r="CD262" s="63" t="n">
        <f aca="false">CD252+N(CD255)+N(CD256)+N(CD258)+N(CD259)+N(CD260)+N(CD261)</f>
        <v>7848.63009209538</v>
      </c>
      <c r="CE262" s="63" t="n">
        <f aca="false">CE252+N(CE255)+N(CE256)+N(CE258)+N(CE259)+N(CE260)+N(CE261)</f>
        <v>8535.56304160914</v>
      </c>
      <c r="CF262" s="7" t="s">
        <v>424</v>
      </c>
      <c r="CH262" s="22" t="n">
        <f aca="false">IFERROR((CE262/BV262)^(1/5)-1,"n/m")</f>
        <v>0.0886240361081105</v>
      </c>
      <c r="CI262" s="22" t="n">
        <f aca="false">IFERROR((BV262/AW262)^(1/5)-1,"n/m")</f>
        <v>0.0417621288660774</v>
      </c>
      <c r="CJ262" s="22" t="n">
        <f aca="false">IFERROR((BV262/X262)^(1/10)-1,"n/m")</f>
        <v>0.102119397324708</v>
      </c>
      <c r="CK262" s="22" t="n">
        <f aca="false">IFERROR((BV262/C262)^(1/19)-1,"n/m")</f>
        <v>0.0924238427555923</v>
      </c>
    </row>
    <row r="263" customFormat="false" ht="15" hidden="false" customHeight="true" outlineLevel="0" collapsed="false">
      <c r="B263" s="27" t="s">
        <v>425</v>
      </c>
      <c r="C263" s="42" t="n">
        <f aca="false">IFERROR(-C258/(C255+N(C256)),"")</f>
        <v>0</v>
      </c>
      <c r="D263" s="42" t="n">
        <f aca="false">IFERROR(-D258/(D255+N(D256)),"")</f>
        <v>-0</v>
      </c>
      <c r="E263" s="42" t="n">
        <f aca="false">IFERROR(-E258/(E255+N(E256)),"")</f>
        <v>-0</v>
      </c>
      <c r="F263" s="42" t="n">
        <f aca="false">IFERROR(-F258/(F255+N(F256)),"")</f>
        <v>-0</v>
      </c>
      <c r="G263" s="42" t="n">
        <f aca="false">IFERROR(-G258/(G255+N(G256)),"")</f>
        <v>0</v>
      </c>
      <c r="H263" s="42" t="n">
        <f aca="false">IFERROR(-H258/(H255+N(H256)),"")</f>
        <v>-0</v>
      </c>
      <c r="I263" s="42" t="str">
        <f aca="false">IFERROR(-I258/(I255+N(I256)),"")</f>
        <v/>
      </c>
      <c r="J263" s="42" t="n">
        <f aca="false">IFERROR(-J258/(J255+N(J256)),"")</f>
        <v>0</v>
      </c>
      <c r="K263" s="42" t="str">
        <f aca="false">IFERROR(-K258/(K255+N(K256)),"")</f>
        <v/>
      </c>
      <c r="L263" s="42" t="str">
        <f aca="false">IFERROR(-L258/(L255+N(L256)),"")</f>
        <v/>
      </c>
      <c r="M263" s="42" t="n">
        <f aca="false">IFERROR(-M258/(M255+N(M256)),"")</f>
        <v>0</v>
      </c>
      <c r="N263" s="42" t="n">
        <f aca="false">IFERROR(-N258/(N255+N(N256)),"")</f>
        <v>0</v>
      </c>
      <c r="O263" s="42" t="str">
        <f aca="false">IFERROR(-O258/(O255+N(O256)),"")</f>
        <v/>
      </c>
      <c r="P263" s="42" t="str">
        <f aca="false">IFERROR(-P258/(P255+N(P256)),"")</f>
        <v/>
      </c>
      <c r="Q263" s="42" t="str">
        <f aca="false">IFERROR(-Q258/(Q255+N(Q256)),"")</f>
        <v/>
      </c>
      <c r="R263" s="42" t="n">
        <f aca="false">IFERROR(-R258/(R255+N(R256)),"")</f>
        <v>-0</v>
      </c>
      <c r="S263" s="42" t="n">
        <f aca="false">IFERROR(-S258/(S255+N(S256)),"")</f>
        <v>0</v>
      </c>
      <c r="T263" s="42" t="n">
        <f aca="false">IFERROR(-T258/(T255+N(T256)),"")</f>
        <v>-0</v>
      </c>
      <c r="U263" s="42" t="n">
        <f aca="false">IFERROR(-U258/(U255+N(U256)),"")</f>
        <v>-0</v>
      </c>
      <c r="V263" s="42" t="n">
        <f aca="false">IFERROR(-V258/(V255+N(V256)),"")</f>
        <v>-0</v>
      </c>
      <c r="W263" s="42" t="n">
        <f aca="false">IFERROR(-W258/(W255+N(W256)),"")</f>
        <v>-0</v>
      </c>
      <c r="X263" s="42" t="n">
        <f aca="false">IFERROR(-X258/(X255+N(X256)),"")</f>
        <v>-0</v>
      </c>
      <c r="Y263" s="42" t="n">
        <f aca="false">IFERROR(-Y258/(Y255+N(Y256)),"")</f>
        <v>0</v>
      </c>
      <c r="Z263" s="42" t="n">
        <f aca="false">IFERROR(-Z258/(Z255+N(Z256)),"")</f>
        <v>0.230769230769231</v>
      </c>
      <c r="AA263" s="42" t="n">
        <f aca="false">IFERROR(-AA258/(AA255+N(AA256)),"")</f>
        <v>0.306048652202498</v>
      </c>
      <c r="AB263" s="42" t="n">
        <f aca="false">IFERROR(-AB258/(AB255+N(AB256)),"")</f>
        <v>0.264449064449064</v>
      </c>
      <c r="AC263" s="42" t="n">
        <f aca="false">IFERROR(-AC258/(AC255+N(AC256)),"")</f>
        <v>0.238638241612957</v>
      </c>
      <c r="AD263" s="42" t="n">
        <f aca="false">IFERROR(-AD258/(AD255+N(AD256)),"")</f>
        <v>0.205298013245033</v>
      </c>
      <c r="AE263" s="42" t="n">
        <f aca="false">IFERROR(-AE258/(AE255+N(AE256)),"")</f>
        <v>0.24502750740584</v>
      </c>
      <c r="AF263" s="42" t="n">
        <f aca="false">IFERROR(-AF258/(AF255+N(AF256)),"")</f>
        <v>0.209735576923077</v>
      </c>
      <c r="AG263" s="42" t="n">
        <f aca="false">IFERROR(-AG258/(AG255+N(AG256)),"")</f>
        <v>0.0621266427718039</v>
      </c>
      <c r="AH263" s="42" t="n">
        <f aca="false">IFERROR(-AH258/(AH255+N(AH256)),"")</f>
        <v>0.202298850574713</v>
      </c>
      <c r="AI263" s="42" t="n">
        <f aca="false">IFERROR(-AI258/(AI255+N(AI256)),"")</f>
        <v>0.204875217643645</v>
      </c>
      <c r="AJ263" s="42" t="n">
        <f aca="false">IFERROR(-AJ258/(AJ255+N(AJ256)),"")</f>
        <v>0.196703880914407</v>
      </c>
      <c r="AK263" s="42" t="n">
        <f aca="false">IFERROR(-AK258/(AK255+N(AK256)),"")</f>
        <v>0.201033888569788</v>
      </c>
      <c r="AL263" s="42" t="n">
        <f aca="false">IFERROR(-AL258/(AL255+N(AL256)),"")</f>
        <v>0.189468249870934</v>
      </c>
      <c r="AM263" s="42" t="n">
        <f aca="false">IFERROR(-AM258/(AM255+N(AM256)),"")</f>
        <v>0.197747871463884</v>
      </c>
      <c r="AN263" s="42" t="n">
        <f aca="false">IFERROR(-AN258/(AN255+N(AN256)),"")</f>
        <v>0.188507647788342</v>
      </c>
      <c r="AO263" s="42" t="n">
        <f aca="false">IFERROR(-AO258/(AO255+N(AO256)),"")</f>
        <v>0.189605389797883</v>
      </c>
      <c r="AP263" s="42" t="n">
        <f aca="false">IFERROR(-AP258/(AP255+N(AP256)),"")</f>
        <v>0.170459424645771</v>
      </c>
      <c r="AQ263" s="42" t="n">
        <f aca="false">IFERROR(-AQ258/(AQ255+N(AQ256)),"")</f>
        <v>0.183683683683684</v>
      </c>
      <c r="AR263" s="42" t="n">
        <f aca="false">IFERROR(-AR258/(AR255+N(AR256)),"")</f>
        <v>0.181669170878295</v>
      </c>
      <c r="AS263" s="42" t="n">
        <f aca="false">IFERROR(-AS258/(AS255+N(AS256)),"")</f>
        <v>0.17578125</v>
      </c>
      <c r="AT263" s="42" t="n">
        <f aca="false">IFERROR(-AT258/(AT255+N(AT256)),"")</f>
        <v>-0.395273899033297</v>
      </c>
      <c r="AU263" s="42" t="n">
        <f aca="false">IFERROR(-AU258/(AU255+N(AU256)),"")</f>
        <v>0.206896551724138</v>
      </c>
      <c r="AV263" s="42" t="n">
        <f aca="false">IFERROR(-AV258/(AV255+N(AV256)),"")</f>
        <v>0.197368421052632</v>
      </c>
      <c r="AW263" s="42" t="n">
        <f aca="false">IFERROR(-AW258/(AW255+N(AW256)),"")</f>
        <v>0.154566744730679</v>
      </c>
      <c r="AX263" s="42" t="n">
        <f aca="false">IFERROR(-AX258/(AX255+N(AX256)),"")</f>
        <v>0.210332103321033</v>
      </c>
      <c r="AY263" s="42" t="n">
        <f aca="false">IFERROR(-AY258/(AY255+N(AY256)),"")</f>
        <v>0.203065134099617</v>
      </c>
      <c r="AZ263" s="42" t="n">
        <f aca="false">IFERROR(-AZ258/(AZ255+N(AZ256)),"")</f>
        <v>0.219541616405308</v>
      </c>
      <c r="BA263" s="42" t="n">
        <f aca="false">IFERROR(-BA258/(BA255+N(BA256)),"")</f>
        <v>0.210648148148148</v>
      </c>
      <c r="BB263" s="42" t="n">
        <f aca="false">IFERROR(-BB258/(BB255+N(BB256)),"")</f>
        <v>0.213608477412158</v>
      </c>
      <c r="BC263" s="42" t="n">
        <f aca="false">IFERROR(-BC258/(BC255+N(BC256)),"")</f>
        <v>0.183585313174946</v>
      </c>
      <c r="BD263" s="42" t="n">
        <f aca="false">IFERROR(-BD258/(BD255+N(BD256)),"")</f>
        <v>0.204166666666667</v>
      </c>
      <c r="BE263" s="42" t="n">
        <f aca="false">IFERROR(-BE258/(BE255+N(BE256)),"")</f>
        <v>0.197647058823529</v>
      </c>
      <c r="BF263" s="42" t="n">
        <f aca="false">IFERROR(-BF258/(BF255+N(BF256)),"")</f>
        <v>0.216157205240175</v>
      </c>
      <c r="BG263" s="42" t="n">
        <f aca="false">IFERROR(-BG258/(BG255+N(BG256)),"")</f>
        <v>0.200438116100767</v>
      </c>
      <c r="BH263" s="42" t="n">
        <f aca="false">IFERROR(-BH258/(BH255+N(BH256)),"")</f>
        <v>0.184615384615385</v>
      </c>
      <c r="BI263" s="42" t="n">
        <f aca="false">IFERROR(-BI258/(BI255+N(BI256)),"")</f>
        <v>0.189620758483034</v>
      </c>
      <c r="BJ263" s="42" t="n">
        <f aca="false">IFERROR(-BJ258/(BJ255+N(BJ256)),"")</f>
        <v>0.196162046908316</v>
      </c>
      <c r="BK263" s="42" t="n">
        <f aca="false">IFERROR(-BK258/(BK255+N(BK256)),"")</f>
        <v>0.205007824726135</v>
      </c>
      <c r="BL263" s="42" t="n">
        <f aca="false">IFERROR(-BL258/(BL255+N(BL256)),"")</f>
        <v>0.19291553133515</v>
      </c>
      <c r="BM263" s="42" t="n">
        <f aca="false">IFERROR(-BM258/(BM255+N(BM256)),"")</f>
        <v>0.183368869936034</v>
      </c>
      <c r="BN263" s="42" t="n">
        <f aca="false">IFERROR(-BN258/(BN255+N(BN256)),"")</f>
        <v>0.184381778741866</v>
      </c>
      <c r="BO263" s="42" t="n">
        <f aca="false">IFERROR(-BO258/(BO255+N(BO256)),"")</f>
        <v>0.196998123827392</v>
      </c>
      <c r="BP263" s="42" t="n">
        <f aca="false">IFERROR(-BP258/(BP255+N(BP256)),"")</f>
        <v>0.169877408056042</v>
      </c>
      <c r="BQ263" s="42" t="n">
        <f aca="false">IFERROR(-BQ258/(BQ255+N(BQ256)),"")</f>
        <v>0.18338249754179</v>
      </c>
      <c r="BR263" s="42" t="n">
        <f aca="false">IFERROR(-BR258/(BR255+N(BR256)),"")</f>
        <v>0.185770750988142</v>
      </c>
      <c r="BS263" s="42" t="n">
        <f aca="false">IFERROR(-BS258/(BS255+N(BS256)),"")</f>
        <v>0.207317073170732</v>
      </c>
      <c r="BT263" s="42" t="n">
        <f aca="false">IFERROR(-BT258/(BT255+N(BT256)),"")</f>
        <v>0.19672131147541</v>
      </c>
      <c r="BU263" s="42" t="n">
        <f aca="false">IFERROR(-BU258/(BU255+N(BU256)),"")</f>
        <v>0.175</v>
      </c>
      <c r="BV263" s="42" t="n">
        <f aca="false">IFERROR(-BV258/(BV255+N(BV256)),"")</f>
        <v>0.193782801776342</v>
      </c>
      <c r="BW263" s="42" t="n">
        <f aca="false">IFERROR(-BW258/(BW255+N(BW256)),"")</f>
        <v>0.178030303030303</v>
      </c>
      <c r="BX263" s="42" t="n">
        <f aca="false">IFERROR(-BX258/(BX255+N(BX256)),"")</f>
        <v>0.162629757785467</v>
      </c>
      <c r="BY263" s="35" t="n">
        <v>0.18</v>
      </c>
      <c r="BZ263" s="35" t="n">
        <v>0.18</v>
      </c>
      <c r="CA263" s="31"/>
      <c r="CB263" s="35" t="n">
        <v>0.18</v>
      </c>
      <c r="CC263" s="35" t="n">
        <v>0.18</v>
      </c>
      <c r="CD263" s="35" t="n">
        <v>0.18</v>
      </c>
      <c r="CE263" s="35" t="n">
        <v>0.18</v>
      </c>
      <c r="CF263" s="7" t="s">
        <v>426</v>
      </c>
    </row>
    <row r="264" customFormat="false" ht="15" hidden="false" customHeight="true" outlineLevel="0" collapsed="false">
      <c r="B264" s="27" t="s">
        <v>427</v>
      </c>
      <c r="C264" s="42" t="n">
        <f aca="false">IFERROR((C193-C258-N(C259))/(C192+C255+N(C256)),"")</f>
        <v>0.273536922642973</v>
      </c>
      <c r="D264" s="42" t="n">
        <f aca="false">IFERROR((D193-D258-N(D259))/(D192+D255+N(D256)),"")</f>
        <v>0.263222495575221</v>
      </c>
      <c r="E264" s="42" t="n">
        <f aca="false">IFERROR((E193-E258-N(E259))/(E192+E255+N(E256)),"")</f>
        <v>0.238115609335418</v>
      </c>
      <c r="F264" s="42" t="n">
        <f aca="false">IFERROR((F193-F258-N(F259))/(F192+F255+N(F256)),"")</f>
        <v>0.239395915993538</v>
      </c>
      <c r="G264" s="42" t="n">
        <f aca="false">IFERROR((G193-G258-N(G259))/(G192+G255+N(G256)),"")</f>
        <v>0.270292361892646</v>
      </c>
      <c r="H264" s="42" t="n">
        <f aca="false">IFERROR((H193-H258-N(H259))/(H192+H255+N(H256)),"")</f>
        <v>0.236255121460622</v>
      </c>
      <c r="I264" s="42" t="n">
        <f aca="false">IFERROR((I193-I258-N(I259))/(I192+I255+N(I256)),"")</f>
        <v>0.236315929321111</v>
      </c>
      <c r="J264" s="42" t="n">
        <f aca="false">IFERROR((J193-J258-N(J259))/(J192+J255+N(J256)),"")</f>
        <v>0.323422404933196</v>
      </c>
      <c r="K264" s="42" t="n">
        <f aca="false">IFERROR((K193-K258-N(K259))/(K192+K255+N(K256)),"")</f>
        <v>0.234549516008935</v>
      </c>
      <c r="L264" s="42" t="n">
        <f aca="false">IFERROR((L193-L258-N(L259))/(L192+L255+N(L256)),"")</f>
        <v>0.233436055469954</v>
      </c>
      <c r="M264" s="42" t="n">
        <f aca="false">IFERROR((M193-M258-N(M259))/(M192+M255+N(M256)),"")</f>
        <v>0.283001049317943</v>
      </c>
      <c r="N264" s="42" t="n">
        <f aca="false">IFERROR((N193-N258-N(N259))/(N192+N255+N(N256)),"")</f>
        <v>0.269098311218335</v>
      </c>
      <c r="O264" s="42" t="n">
        <f aca="false">IFERROR((O193-O258-N(O259))/(O192+O255+N(O256)),"")</f>
        <v>0.238539340601603</v>
      </c>
      <c r="P264" s="42" t="n">
        <f aca="false">IFERROR((P193-P258-N(P259))/(P192+P255+N(P256)),"")</f>
        <v>0.230489192263936</v>
      </c>
      <c r="Q264" s="42" t="n">
        <f aca="false">IFERROR((Q193-Q258-N(Q259))/(Q192+Q255+N(Q256)),"")</f>
        <v>0.224385245901639</v>
      </c>
      <c r="R264" s="42" t="n">
        <f aca="false">IFERROR((R193-R258-N(R259))/(R192+R255+N(R256)),"")</f>
        <v>0.23828890266584</v>
      </c>
      <c r="S264" s="42" t="n">
        <f aca="false">IFERROR((S193-S258-N(S259))/(S192+S255+N(S256)),"")</f>
        <v>0.236589706447512</v>
      </c>
      <c r="T264" s="42" t="n">
        <f aca="false">IFERROR((T193-T258-N(T259))/(T192+T255+N(T256)),"")</f>
        <v>0.205907275148287</v>
      </c>
      <c r="U264" s="42" t="n">
        <f aca="false">IFERROR((U193-U258-N(U259))/(U192+U255+N(U256)),"")</f>
        <v>0.19420026270587</v>
      </c>
      <c r="V264" s="42" t="n">
        <f aca="false">IFERROR((V193-V258-N(V259))/(V192+V255+N(V256)),"")</f>
        <v>0.123973864969007</v>
      </c>
      <c r="W264" s="42" t="n">
        <f aca="false">IFERROR((W193-W258-N(W259))/(W192+W255+N(W256)),"")</f>
        <v>0.138379766337142</v>
      </c>
      <c r="X264" s="42" t="n">
        <f aca="false">IFERROR((X193-X258-N(X259))/(X192+X255+N(X256)),"")</f>
        <v>0.133475352393087</v>
      </c>
      <c r="Y264" s="42" t="n">
        <f aca="false">IFERROR((Y193-Y258-N(Y259))/(Y192+Y255+N(Y256)),"")</f>
        <v>0.236139224248651</v>
      </c>
      <c r="Z264" s="42" t="n">
        <f aca="false">IFERROR((Z193-Z258-N(Z259))/(Z192+Z255+N(Z256)),"")</f>
        <v>0.241120009562515</v>
      </c>
      <c r="AA264" s="42" t="n">
        <f aca="false">IFERROR((AA193-AA258-N(AA259))/(AA192+AA255+N(AA256)),"")</f>
        <v>0.214111922141119</v>
      </c>
      <c r="AB264" s="42" t="n">
        <f aca="false">IFERROR((AB193-AB258-N(AB259))/(AB192+AB255+N(AB256)),"")</f>
        <v>0.216152204077276</v>
      </c>
      <c r="AC264" s="42" t="n">
        <f aca="false">IFERROR((AC193-AC258-N(AC259))/(AC192+AC255+N(AC256)),"")</f>
        <v>0.215543464743191</v>
      </c>
      <c r="AD264" s="42" t="n">
        <f aca="false">IFERROR((AD193-AD258-N(AD259))/(AD192+AD255+N(AD256)),"")</f>
        <v>0.208533209104219</v>
      </c>
      <c r="AE264" s="42" t="n">
        <f aca="false">IFERROR((AE193-AE258-N(AE259))/(AE192+AE255+N(AE256)),"")</f>
        <v>0.205050505050505</v>
      </c>
      <c r="AF264" s="42" t="n">
        <f aca="false">IFERROR((AF193-AF258-N(AF259))/(AF192+AF255+N(AF256)),"")</f>
        <v>0.21490738674403</v>
      </c>
      <c r="AG264" s="42" t="n">
        <f aca="false">IFERROR((AG193-AG258-N(AG259))/(AG192+AG255+N(AG256)),"")</f>
        <v>0.206632163357486</v>
      </c>
      <c r="AH264" s="42" t="n">
        <f aca="false">IFERROR((AH193-AH258-N(AH259))/(AH192+AH255+N(AH256)),"")</f>
        <v>0.208637819174115</v>
      </c>
      <c r="AI264" s="42" t="n">
        <f aca="false">IFERROR((AI193-AI258-N(AI259))/(AI192+AI255+N(AI256)),"")</f>
        <v>0.205330923876214</v>
      </c>
      <c r="AJ264" s="42" t="n">
        <f aca="false">IFERROR((AJ193-AJ258-N(AJ259))/(AJ192+AJ255+N(AJ256)),"")</f>
        <v>0.200737881157154</v>
      </c>
      <c r="AK264" s="42" t="n">
        <f aca="false">IFERROR((AK193-AK258-N(AK259))/(AK192+AK255+N(AK256)),"")</f>
        <v>0.198808693869182</v>
      </c>
      <c r="AL264" s="42" t="n">
        <f aca="false">IFERROR((AL193-AL258-N(AL259))/(AL192+AL255+N(AL256)),"")</f>
        <v>0.18563964656166</v>
      </c>
      <c r="AM264" s="42" t="n">
        <f aca="false">IFERROR((AM193-AM258-N(AM259))/(AM192+AM255+N(AM256)),"")</f>
        <v>0.195362185306631</v>
      </c>
      <c r="AN264" s="42" t="n">
        <f aca="false">IFERROR((AN193-AN258-N(AN259))/(AN192+AN255+N(AN256)),"")</f>
        <v>0.196496517309492</v>
      </c>
      <c r="AO264" s="42" t="n">
        <f aca="false">IFERROR((AO193-AO258-N(AO259))/(AO192+AO255+N(AO256)),"")</f>
        <v>0.194721629485936</v>
      </c>
      <c r="AP264" s="42" t="n">
        <f aca="false">IFERROR((AP193-AP258-N(AP259))/(AP192+AP255+N(AP256)),"")</f>
        <v>0.191858754291319</v>
      </c>
      <c r="AQ264" s="42" t="n">
        <f aca="false">IFERROR((AQ193-AQ258-N(AQ259))/(AQ192+AQ255+N(AQ256)),"")</f>
        <v>0.198950055305029</v>
      </c>
      <c r="AR264" s="42" t="n">
        <f aca="false">IFERROR((AR193-AR258-N(AR259))/(AR192+AR255+N(AR256)),"")</f>
        <v>0.197058750681132</v>
      </c>
      <c r="AS264" s="42" t="n">
        <f aca="false">IFERROR((AS193-AS258-N(AS259))/(AS192+AS255+N(AS256)),"")</f>
        <v>0.196299522039299</v>
      </c>
      <c r="AT264" s="42" t="n">
        <f aca="false">IFERROR((AT193-AT258-N(AT259))/(AT192+AT255+N(AT256)),"")</f>
        <v>0.195433789954338</v>
      </c>
      <c r="AU264" s="42" t="n">
        <f aca="false">IFERROR((AU193-AU258-N(AU259))/(AU192+AU255+N(AU256)),"")</f>
        <v>0.197262604779182</v>
      </c>
      <c r="AV264" s="42" t="n">
        <f aca="false">IFERROR((AV193-AV258-N(AV259))/(AV192+AV255+N(AV256)),"")</f>
        <v>0.195629552549428</v>
      </c>
      <c r="AW264" s="42" t="n">
        <f aca="false">IFERROR((AW193-AW258-N(AW259))/(AW192+AW255+N(AW256)),"")</f>
        <v>0.196198753462604</v>
      </c>
      <c r="AX264" s="42" t="n">
        <f aca="false">IFERROR((AX193-AX258-N(AX259))/(AX192+AX255+N(AX256)),"")</f>
        <v>0.204802888700085</v>
      </c>
      <c r="AY264" s="42" t="n">
        <f aca="false">IFERROR((AY193-AY258-N(AY259))/(AY192+AY255+N(AY256)),"")</f>
        <v>0.204253472222222</v>
      </c>
      <c r="AZ264" s="42" t="n">
        <f aca="false">IFERROR((AZ193-AZ258-N(AZ259))/(AZ192+AZ255+N(AZ256)),"")</f>
        <v>0.195311371841155</v>
      </c>
      <c r="BA264" s="42" t="n">
        <f aca="false">IFERROR((BA193-BA258-N(BA259))/(BA192+BA255+N(BA256)),"")</f>
        <v>0.201090186730234</v>
      </c>
      <c r="BB264" s="42" t="n">
        <f aca="false">IFERROR((BB193-BB258-N(BB259))/(BB192+BB255+N(BB256)),"")</f>
        <v>0.201456713874987</v>
      </c>
      <c r="BC264" s="42" t="n">
        <f aca="false">IFERROR((BC193-BC258-N(BC259))/(BC192+BC255+N(BC256)),"")</f>
        <v>0.196433255269321</v>
      </c>
      <c r="BD264" s="42" t="n">
        <f aca="false">IFERROR((BD193-BD258-N(BD259))/(BD192+BD255+N(BD256)),"")</f>
        <v>0.193942722636328</v>
      </c>
      <c r="BE264" s="42" t="n">
        <f aca="false">IFERROR((BE193-BE258-N(BE259))/(BE192+BE255+N(BE256)),"")</f>
        <v>0.188030560271647</v>
      </c>
      <c r="BF264" s="42" t="n">
        <f aca="false">IFERROR((BF193-BF258-N(BF259))/(BF192+BF255+N(BF256)),"")</f>
        <v>0.185668083297918</v>
      </c>
      <c r="BG264" s="42" t="n">
        <f aca="false">IFERROR((BG193-BG258-N(BG259))/(BG192+BG255+N(BG256)),"")</f>
        <v>0.18783192153366</v>
      </c>
      <c r="BH264" s="42" t="n">
        <f aca="false">IFERROR((BH193-BH258-N(BH259))/(BH192+BH255+N(BH256)),"")</f>
        <v>0.189426032409828</v>
      </c>
      <c r="BI264" s="42" t="n">
        <f aca="false">IFERROR((BI193-BI258-N(BI259))/(BI192+BI255+N(BI256)),"")</f>
        <v>0.183874619598296</v>
      </c>
      <c r="BJ264" s="42" t="n">
        <f aca="false">IFERROR((BJ193-BJ258-N(BJ259))/(BJ192+BJ255+N(BJ256)),"")</f>
        <v>0.185024752475248</v>
      </c>
      <c r="BK264" s="42" t="n">
        <f aca="false">IFERROR((BK193-BK258-N(BK259))/(BK192+BK255+N(BK256)),"")</f>
        <v>0.169219668626403</v>
      </c>
      <c r="BL264" s="42" t="n">
        <f aca="false">IFERROR((BL193-BL258-N(BL259))/(BL192+BL255+N(BL256)),"")</f>
        <v>0.177581915976159</v>
      </c>
      <c r="BM264" s="42" t="n">
        <f aca="false">IFERROR((BM193-BM258-N(BM259))/(BM192+BM255+N(BM256)),"")</f>
        <v>0.176109195402299</v>
      </c>
      <c r="BN264" s="42" t="n">
        <f aca="false">IFERROR((BN193-BN258-N(BN259))/(BN192+BN255+N(BN256)),"")</f>
        <v>0.173849740932642</v>
      </c>
      <c r="BO264" s="42" t="n">
        <f aca="false">IFERROR((BO193-BO258-N(BO259))/(BO192+BO255+N(BO256)),"")</f>
        <v>0.174834437086093</v>
      </c>
      <c r="BP264" s="42" t="n">
        <f aca="false">IFERROR((BP193-BP258-N(BP259))/(BP192+BP255+N(BP256)),"")</f>
        <v>0.176713679745493</v>
      </c>
      <c r="BQ264" s="42" t="n">
        <f aca="false">IFERROR((BQ193-BQ258-N(BQ259))/(BQ192+BQ255+N(BQ256)),"")</f>
        <v>0.175389820359281</v>
      </c>
      <c r="BR264" s="42" t="n">
        <f aca="false">IFERROR((BR193-BR258-N(BR259))/(BR192+BR255+N(BR256)),"")</f>
        <v>0.168934556574924</v>
      </c>
      <c r="BS264" s="42" t="n">
        <f aca="false">IFERROR((BS193-BS258-N(BS259))/(BS192+BS255+N(BS256)),"")</f>
        <v>0.170473346178549</v>
      </c>
      <c r="BT264" s="42" t="n">
        <f aca="false">IFERROR((BT193-BT258-N(BT259))/(BT192+BT255+N(BT256)),"")</f>
        <v>0.169846153846154</v>
      </c>
      <c r="BU264" s="42" t="n">
        <f aca="false">IFERROR((BU193-BU258-N(BU259))/(BU192+BU255+N(BU256)),"")</f>
        <v>0.163465398837824</v>
      </c>
      <c r="BV264" s="42" t="n">
        <f aca="false">IFERROR((BV193-BV258-N(BV259))/(BV192+BV255+N(BV256)),"")</f>
        <v>0.168006259314456</v>
      </c>
      <c r="BW264" s="42" t="n">
        <f aca="false">IFERROR((BW193-BW258-N(BW259))/(BW192+BW255+N(BW256)),"")</f>
        <v>0.170164492342598</v>
      </c>
      <c r="BX264" s="42" t="n">
        <f aca="false">IFERROR((BX193-BX258-N(BX259))/(BX192+BX255+N(BX256)),"")</f>
        <v>0.169548309178744</v>
      </c>
      <c r="BY264" s="26" t="n">
        <f aca="false">$CP$18</f>
        <v>0.17</v>
      </c>
      <c r="BZ264" s="26" t="n">
        <f aca="false">$CP$18</f>
        <v>0.17</v>
      </c>
      <c r="CA264" s="26" t="n">
        <f aca="false">IFERROR((CA193-CA258-N(CA259))/(CA192+CA255+N(CA256)),"")</f>
        <v>0.169937007506011</v>
      </c>
      <c r="CB264" s="35" t="n">
        <v>0.17</v>
      </c>
      <c r="CC264" s="35" t="n">
        <v>0.17</v>
      </c>
      <c r="CD264" s="35" t="n">
        <v>0.17</v>
      </c>
      <c r="CE264" s="35" t="n">
        <v>0.17</v>
      </c>
      <c r="CF264" s="7" t="s">
        <v>428</v>
      </c>
      <c r="CH264" s="32" t="n">
        <f aca="false">IFERROR(AVERAGE(CA264,CB264,CC264,CD264,CE264),"n/m")</f>
        <v>0.169987401501202</v>
      </c>
      <c r="CI264" s="32" t="n">
        <f aca="false">IFERROR(AVERAGE(BB264,BG264,BL264,BQ264,BV264),"n/m")</f>
        <v>0.182053326211709</v>
      </c>
      <c r="CJ264" s="32" t="n">
        <f aca="false">IFERROR(AVERAGE(AC264,AH264,AM264,AR264,AW264,BB264,BG264,BL264,BQ264,BV264),"n/m")</f>
        <v>0.192306760442622</v>
      </c>
      <c r="CK264" s="32" t="n">
        <f aca="false">IFERROR(AVERAGE(C264,D264,E264,F264,G264,H264,I264,N264,S264,X264,AC264,AH264,AM264,AR264,AW264,BB264,BG264,BL264,BQ264,BV264),"n/m")</f>
        <v>0.215968266535334</v>
      </c>
    </row>
    <row r="265" customFormat="false" ht="15" hidden="false" customHeight="true" outlineLevel="0" collapsed="false">
      <c r="B265" s="27" t="s">
        <v>429</v>
      </c>
      <c r="C265" s="66" t="n">
        <f aca="false">C209</f>
        <v>650.502</v>
      </c>
      <c r="D265" s="66" t="n">
        <f aca="false">D209</f>
        <v>658.918</v>
      </c>
      <c r="E265" s="66" t="n">
        <f aca="false">E209</f>
        <v>671.726</v>
      </c>
      <c r="F265" s="66" t="n">
        <f aca="false">F209</f>
        <v>671.484</v>
      </c>
      <c r="G265" s="66" t="n">
        <f aca="false">G209</f>
        <v>683.275</v>
      </c>
      <c r="H265" s="66" t="n">
        <f aca="false">H209</f>
        <v>701.191</v>
      </c>
      <c r="I265" s="66" t="n">
        <f aca="false">I209</f>
        <v>713.1</v>
      </c>
      <c r="J265" s="66" t="n">
        <f aca="false">J209</f>
        <v>708.4</v>
      </c>
      <c r="K265" s="66" t="n">
        <f aca="false">K209</f>
        <v>709.8</v>
      </c>
      <c r="L265" s="66" t="n">
        <f aca="false">L209</f>
        <v>711.9</v>
      </c>
      <c r="M265" s="66" t="n">
        <f aca="false">M209</f>
        <v>713.8</v>
      </c>
      <c r="N265" s="66" t="n">
        <f aca="false">N209</f>
        <v>711</v>
      </c>
      <c r="O265" s="66" t="n">
        <f aca="false">O209</f>
        <v>714.8</v>
      </c>
      <c r="P265" s="66" t="n">
        <f aca="false">P209</f>
        <v>715.6</v>
      </c>
      <c r="Q265" s="66" t="n">
        <f aca="false">Q209</f>
        <v>716.2</v>
      </c>
      <c r="R265" s="66" t="n">
        <f aca="false">R209</f>
        <v>717.6</v>
      </c>
      <c r="S265" s="66" t="n">
        <f aca="false">S209</f>
        <v>716.1</v>
      </c>
      <c r="T265" s="66" t="n">
        <f aca="false">T209</f>
        <v>718.7</v>
      </c>
      <c r="U265" s="66" t="n">
        <f aca="false">U209</f>
        <v>719.6</v>
      </c>
      <c r="V265" s="66" t="n">
        <f aca="false">V209</f>
        <v>698.7</v>
      </c>
      <c r="W265" s="66" t="n">
        <f aca="false">W209</f>
        <v>697.1</v>
      </c>
      <c r="X265" s="66" t="n">
        <f aca="false">X209</f>
        <v>708.5</v>
      </c>
      <c r="Y265" s="66" t="n">
        <f aca="false">Y209</f>
        <v>697.1</v>
      </c>
      <c r="Z265" s="66" t="n">
        <f aca="false">Z209</f>
        <v>698.9</v>
      </c>
      <c r="AA265" s="66" t="n">
        <f aca="false">AA209</f>
        <v>701.3</v>
      </c>
      <c r="AB265" s="66" t="n">
        <f aca="false">AB209</f>
        <v>701.9</v>
      </c>
      <c r="AC265" s="66" t="n">
        <f aca="false">AC209</f>
        <v>699.8</v>
      </c>
      <c r="AD265" s="66" t="n">
        <f aca="false">AD209</f>
        <v>705.7</v>
      </c>
      <c r="AE265" s="66" t="n">
        <f aca="false">AE209</f>
        <v>705.4</v>
      </c>
      <c r="AF265" s="66" t="n">
        <f aca="false">AF209</f>
        <v>705.6</v>
      </c>
      <c r="AG265" s="66" t="n">
        <f aca="false">AG209</f>
        <v>707.6</v>
      </c>
      <c r="AH265" s="66" t="n">
        <f aca="false">AH209</f>
        <v>706.1</v>
      </c>
      <c r="AI265" s="66" t="n">
        <f aca="false">AI209</f>
        <v>709.5</v>
      </c>
      <c r="AJ265" s="66" t="n">
        <f aca="false">AJ209</f>
        <v>709.5</v>
      </c>
      <c r="AK265" s="66" t="n">
        <f aca="false">AK209</f>
        <v>710.6</v>
      </c>
      <c r="AL265" s="66" t="n">
        <f aca="false">AL209</f>
        <v>711.2</v>
      </c>
      <c r="AM265" s="66" t="n">
        <f aca="false">AM209</f>
        <v>710.2</v>
      </c>
      <c r="AN265" s="66" t="n">
        <f aca="false">AN209</f>
        <v>718.5</v>
      </c>
      <c r="AO265" s="66" t="n">
        <f aca="false">AO209</f>
        <v>727.9</v>
      </c>
      <c r="AP265" s="66" t="n">
        <f aca="false">AP209</f>
        <v>729.3</v>
      </c>
      <c r="AQ265" s="66" t="n">
        <f aca="false">AQ209</f>
        <v>726.3</v>
      </c>
      <c r="AR265" s="66" t="n">
        <f aca="false">AR209</f>
        <v>725.5</v>
      </c>
      <c r="AS265" s="66" t="n">
        <f aca="false">AS209</f>
        <v>707.9</v>
      </c>
      <c r="AT265" s="66" t="n">
        <f aca="false">AT209</f>
        <v>718.2</v>
      </c>
      <c r="AU265" s="66" t="n">
        <f aca="false">AU209</f>
        <v>724.3</v>
      </c>
      <c r="AV265" s="66" t="n">
        <f aca="false">AV209</f>
        <v>724.5</v>
      </c>
      <c r="AW265" s="66" t="n">
        <f aca="false">AW209</f>
        <v>718.7</v>
      </c>
      <c r="AX265" s="66" t="n">
        <f aca="false">AX209</f>
        <v>735.1</v>
      </c>
      <c r="AY265" s="66" t="n">
        <f aca="false">AY209</f>
        <v>736</v>
      </c>
      <c r="AZ265" s="66" t="n">
        <f aca="false">AZ209</f>
        <v>727</v>
      </c>
      <c r="BA265" s="66" t="n">
        <f aca="false">BA209</f>
        <v>738.4</v>
      </c>
      <c r="BB265" s="66" t="n">
        <f aca="false">BB209</f>
        <v>736.8</v>
      </c>
      <c r="BC265" s="66" t="n">
        <f aca="false">BC209</f>
        <v>737.7</v>
      </c>
      <c r="BD265" s="66" t="n">
        <f aca="false">BD209</f>
        <v>736</v>
      </c>
      <c r="BE265" s="66" t="n">
        <f aca="false">BE209</f>
        <v>737.4</v>
      </c>
      <c r="BF265" s="66" t="n">
        <f aca="false">BF209</f>
        <v>745.7</v>
      </c>
      <c r="BG265" s="66" t="n">
        <f aca="false">BG209</f>
        <v>737.1</v>
      </c>
      <c r="BH265" s="66" t="n">
        <f aca="false">BH209</f>
        <v>737.2</v>
      </c>
      <c r="BI265" s="66" t="n">
        <f aca="false">BI209</f>
        <v>744.7</v>
      </c>
      <c r="BJ265" s="66" t="n">
        <f aca="false">BJ209</f>
        <v>745.9</v>
      </c>
      <c r="BK265" s="66" t="n">
        <f aca="false">BK209</f>
        <v>746.1</v>
      </c>
      <c r="BL265" s="66" t="n">
        <f aca="false">BL209</f>
        <v>743.1</v>
      </c>
      <c r="BM265" s="66" t="n">
        <f aca="false">BM209</f>
        <v>748.6</v>
      </c>
      <c r="BN265" s="66" t="n">
        <f aca="false">BN209</f>
        <v>742.4</v>
      </c>
      <c r="BO265" s="66" t="n">
        <f aca="false">BO209</f>
        <v>729.4</v>
      </c>
      <c r="BP265" s="66" t="n">
        <f aca="false">BP209</f>
        <v>728.2</v>
      </c>
      <c r="BQ265" s="66" t="n">
        <f aca="false">BQ209</f>
        <v>737.2</v>
      </c>
      <c r="BR265" s="66" t="n">
        <f aca="false">BR209</f>
        <v>720.8</v>
      </c>
      <c r="BS265" s="66" t="n">
        <f aca="false">BS209</f>
        <v>719.1</v>
      </c>
      <c r="BT265" s="66" t="n">
        <f aca="false">BT209</f>
        <v>713.7</v>
      </c>
      <c r="BU265" s="66" t="n">
        <f aca="false">BU209</f>
        <v>711</v>
      </c>
      <c r="BV265" s="66" t="n">
        <f aca="false">BV209</f>
        <v>716.1</v>
      </c>
      <c r="BW265" s="66" t="n">
        <f aca="false">BW209</f>
        <v>711.2</v>
      </c>
      <c r="BX265" s="66" t="n">
        <f aca="false">BX209</f>
        <v>707.6</v>
      </c>
      <c r="BY265" s="75" t="n">
        <f aca="false">BY209</f>
        <v>707.034926088332</v>
      </c>
      <c r="BZ265" s="75" t="n">
        <f aca="false">BZ209</f>
        <v>705.904778264997</v>
      </c>
      <c r="CA265" s="75" t="n">
        <f aca="false">CA209</f>
        <v>707.934926088332</v>
      </c>
      <c r="CB265" s="75" t="n">
        <f aca="false">CB209</f>
        <v>701.439012761656</v>
      </c>
      <c r="CC265" s="75" t="n">
        <f aca="false">CC209</f>
        <v>689.620624570953</v>
      </c>
      <c r="CD265" s="75" t="n">
        <f aca="false">CD209</f>
        <v>670.810537580367</v>
      </c>
      <c r="CE265" s="75" t="n">
        <f aca="false">CE209</f>
        <v>651.666263676127</v>
      </c>
      <c r="CF265" s="37" t="s">
        <v>430</v>
      </c>
    </row>
    <row r="266" customFormat="false" ht="15" hidden="false" customHeight="true" outlineLevel="0" collapsed="false">
      <c r="B266" s="62" t="s">
        <v>431</v>
      </c>
      <c r="C266" s="76" t="n">
        <f aca="false">IF(AND(ISNUMBER(C262),ISNUMBER(C265)),IFERROR(C262/C265,""),"")</f>
        <v>1.60015372742897</v>
      </c>
      <c r="D266" s="76" t="n">
        <f aca="false">IF(AND(ISNUMBER(D262),ISNUMBER(D265)),IFERROR(D262/D265,""),"")</f>
        <v>1.89528571081682</v>
      </c>
      <c r="E266" s="76" t="n">
        <f aca="false">IF(AND(ISNUMBER(E262),ISNUMBER(E265)),IFERROR(E262/E265,""),"")</f>
        <v>2.10431650702816</v>
      </c>
      <c r="F266" s="76" t="n">
        <f aca="false">IF(AND(ISNUMBER(F262),ISNUMBER(F265)),IFERROR(F262/F265,""),"")</f>
        <v>1.75288587665529</v>
      </c>
      <c r="G266" s="76" t="n">
        <f aca="false">IF(AND(ISNUMBER(G262),ISNUMBER(G265)),IFERROR(G262/G265,""),"")</f>
        <v>2.19985364604296</v>
      </c>
      <c r="H266" s="76" t="n">
        <f aca="false">IF(AND(ISNUMBER(H262),ISNUMBER(H265)),IFERROR(H262/H265,""),"")</f>
        <v>2.81582801262424</v>
      </c>
      <c r="I266" s="76" t="str">
        <f aca="false">IF(AND(ISNUMBER(I262),ISNUMBER(I265)),IFERROR(I262/I265,""),"")</f>
        <v/>
      </c>
      <c r="J266" s="76" t="n">
        <f aca="false">IF(AND(ISNUMBER(J262),ISNUMBER(J265)),IFERROR(J262/J265,""),"")</f>
        <v>0.74343308865048</v>
      </c>
      <c r="K266" s="76" t="n">
        <f aca="false">IF(AND(ISNUMBER(K262),ISNUMBER(K265)),IFERROR(K262/K265,""),"")</f>
        <v>0.868977176669484</v>
      </c>
      <c r="L266" s="76" t="str">
        <f aca="false">IF(AND(ISNUMBER(L262),ISNUMBER(L265)),IFERROR(L262/L265,""),"")</f>
        <v/>
      </c>
      <c r="M266" s="76" t="n">
        <f aca="false">IF(AND(ISNUMBER(M262),ISNUMBER(M265)),IFERROR(M262/M265,""),"")</f>
        <v>0.957270944242084</v>
      </c>
      <c r="N266" s="76" t="n">
        <f aca="false">IF(AND(ISNUMBER(N262),ISNUMBER(N265)),IFERROR(N262/N265,""),"")</f>
        <v>3.40881856540084</v>
      </c>
      <c r="O266" s="76" t="n">
        <f aca="false">IF(AND(ISNUMBER(O262),ISNUMBER(O265)),IFERROR(O262/O265,""),"")</f>
        <v>0.810996082820369</v>
      </c>
      <c r="P266" s="76" t="str">
        <f aca="false">IF(AND(ISNUMBER(P262),ISNUMBER(P265)),IFERROR(P262/P265,""),"")</f>
        <v/>
      </c>
      <c r="Q266" s="76" t="str">
        <f aca="false">IF(AND(ISNUMBER(Q262),ISNUMBER(Q265)),IFERROR(Q262/Q265,""),"")</f>
        <v/>
      </c>
      <c r="R266" s="76" t="n">
        <f aca="false">IF(AND(ISNUMBER(R262),ISNUMBER(R265)),IFERROR(R262/R265,""),"")</f>
        <v>1.12</v>
      </c>
      <c r="S266" s="76" t="n">
        <f aca="false">IF(AND(ISNUMBER(S262),ISNUMBER(S265)),IFERROR(S262/S265,""),"")</f>
        <v>3.97</v>
      </c>
      <c r="T266" s="76" t="n">
        <f aca="false">IF(AND(ISNUMBER(T262),ISNUMBER(T265)),IFERROR(T262/T265,""),"")</f>
        <v>0.91</v>
      </c>
      <c r="U266" s="76" t="n">
        <f aca="false">IF(AND(ISNUMBER(U262),ISNUMBER(U265)),IFERROR(U262/U265,""),"")</f>
        <v>1.07</v>
      </c>
      <c r="V266" s="76" t="n">
        <f aca="false">IF(AND(ISNUMBER(V262),ISNUMBER(V265)),IFERROR(V262/V265,""),"")</f>
        <v>0.71</v>
      </c>
      <c r="W266" s="76" t="n">
        <f aca="false">IF(AND(ISNUMBER(W262),ISNUMBER(W265)),IFERROR(W262/W265,""),"")</f>
        <v>0.91</v>
      </c>
      <c r="X266" s="76" t="n">
        <f aca="false">IF(AND(ISNUMBER(X262),ISNUMBER(X265)),IFERROR(X262/X265,""),"")</f>
        <v>2.98</v>
      </c>
      <c r="Y266" s="76" t="n">
        <f aca="false">IF(AND(ISNUMBER(Y262),ISNUMBER(Y265)),IFERROR(Y262/Y265,""),"")</f>
        <v>0.79</v>
      </c>
      <c r="Z266" s="76" t="n">
        <f aca="false">IF(AND(ISNUMBER(Z262),ISNUMBER(Z265)),IFERROR(Z262/Z265,""),"")</f>
        <v>0.9</v>
      </c>
      <c r="AA266" s="76" t="n">
        <f aca="false">IF(AND(ISNUMBER(AA262),ISNUMBER(AA265)),IFERROR(AA262/AA265,""),"")</f>
        <v>0.875089120205334</v>
      </c>
      <c r="AB266" s="76" t="n">
        <f aca="false">IF(AND(ISNUMBER(AB262),ISNUMBER(AB265)),IFERROR(AB262/AB265,""),"")</f>
        <v>1.04628437099302</v>
      </c>
      <c r="AC266" s="76" t="n">
        <f aca="false">IF(AND(ISNUMBER(AC262),ISNUMBER(AC265)),IFERROR(AC262/AC265,""),"")</f>
        <v>3.60549585595885</v>
      </c>
      <c r="AD266" s="76" t="n">
        <f aca="false">IF(AND(ISNUMBER(AD262),ISNUMBER(AD265)),IFERROR(AD262/AD265,""),"")</f>
        <v>0.842608757262292</v>
      </c>
      <c r="AE266" s="76" t="n">
        <f aca="false">IF(AND(ISNUMBER(AE262),ISNUMBER(AE265)),IFERROR(AE262/AE265,""),"")</f>
        <v>0.99295435214063</v>
      </c>
      <c r="AF266" s="76" t="n">
        <f aca="false">IF(AND(ISNUMBER(AF262),ISNUMBER(AF265)),IFERROR(AF262/AF265,""),"")</f>
        <v>0.997165532879818</v>
      </c>
      <c r="AG266" s="76" t="n">
        <f aca="false">IF(AND(ISNUMBER(AG262),ISNUMBER(AG265)),IFERROR(AG262/AG265,""),"")</f>
        <v>1.19150932730356</v>
      </c>
      <c r="AH266" s="76" t="n">
        <f aca="false">IF(AND(ISNUMBER(AH262),ISNUMBER(AH265)),IFERROR(AH262/AH265,""),"")</f>
        <v>4.02495255629514</v>
      </c>
      <c r="AI266" s="76" t="n">
        <f aca="false">IF(AND(ISNUMBER(AI262),ISNUMBER(AI265)),IFERROR(AI262/AI265,""),"")</f>
        <v>0.991684284707539</v>
      </c>
      <c r="AJ266" s="76" t="n">
        <f aca="false">IF(AND(ISNUMBER(AJ262),ISNUMBER(AJ265)),IFERROR(AJ262/AJ265,""),"")</f>
        <v>1.15264975334743</v>
      </c>
      <c r="AK266" s="76" t="n">
        <f aca="false">IF(AND(ISNUMBER(AK262),ISNUMBER(AK265)),IFERROR(AK262/AK265,""),"")</f>
        <v>1.09974950745849</v>
      </c>
      <c r="AL266" s="76" t="n">
        <f aca="false">IF(AND(ISNUMBER(AL262),ISNUMBER(AL265)),IFERROR(AL262/AL265,""),"")</f>
        <v>1.14</v>
      </c>
      <c r="AM266" s="76" t="n">
        <f aca="false">IF(AND(ISNUMBER(AM262),ISNUMBER(AM265)),IFERROR(AM262/AM265,""),"")</f>
        <v>4.05</v>
      </c>
      <c r="AN266" s="76" t="n">
        <f aca="false">IF(AND(ISNUMBER(AN262),ISNUMBER(AN265)),IFERROR(AN262/AN265,""),"")</f>
        <v>0.989999999999999</v>
      </c>
      <c r="AO266" s="76" t="n">
        <f aca="false">IF(AND(ISNUMBER(AO262),ISNUMBER(AO265)),IFERROR(AO262/AO265,""),"")</f>
        <v>1.09</v>
      </c>
      <c r="AP266" s="76" t="n">
        <f aca="false">IF(AND(ISNUMBER(AP262),ISNUMBER(AP265)),IFERROR(AP262/AP265,""),"")</f>
        <v>1.06</v>
      </c>
      <c r="AQ266" s="76" t="n">
        <f aca="false">IF(AND(ISNUMBER(AQ262),ISNUMBER(AQ265)),IFERROR(AQ262/AQ265,""),"")</f>
        <v>1.27927440451604</v>
      </c>
      <c r="AR266" s="76" t="n">
        <f aca="false">IF(AND(ISNUMBER(AR262),ISNUMBER(AR265)),IFERROR(AR262/AR265,""),"")</f>
        <v>4.41407994486561</v>
      </c>
      <c r="AS266" s="76" t="n">
        <f aca="false">IF(AND(ISNUMBER(AS262),ISNUMBER(AS265)),IFERROR(AS262/AS265,""),"")</f>
        <v>1.05122616188727</v>
      </c>
      <c r="AT266" s="76" t="n">
        <f aca="false">IF(AND(ISNUMBER(AT262),ISNUMBER(AT265)),IFERROR(AT262/AT265,""),"")</f>
        <v>1.44383737120579</v>
      </c>
      <c r="AU266" s="76" t="n">
        <f aca="false">IF(AND(ISNUMBER(AU262),ISNUMBER(AU265)),IFERROR(AU262/AU265,""),"")</f>
        <v>1.73497445809747</v>
      </c>
      <c r="AV266" s="76" t="n">
        <f aca="false">IF(AND(ISNUMBER(AV262),ISNUMBER(AV265)),IFERROR(AV262/AV265,""),"")</f>
        <v>2.08729468599034</v>
      </c>
      <c r="AW266" s="76" t="n">
        <f aca="false">IF(AND(ISNUMBER(AW262),ISNUMBER(AW265)),IFERROR(AW262/AW265,""),"")</f>
        <v>6.33070544037846</v>
      </c>
      <c r="AX266" s="76" t="n">
        <f aca="false">IF(AND(ISNUMBER(AX262),ISNUMBER(AX265)),IFERROR(AX262/AX265,""),"")</f>
        <v>2.53111685484968</v>
      </c>
      <c r="AY266" s="76" t="n">
        <f aca="false">IF(AND(ISNUMBER(AY262),ISNUMBER(AY265)),IFERROR(AY262/AY265,""),"")</f>
        <v>2.46260869565217</v>
      </c>
      <c r="AZ266" s="76" t="n">
        <f aca="false">IF(AND(ISNUMBER(AZ262),ISNUMBER(AZ265)),IFERROR(AZ262/AZ265,""),"")</f>
        <v>2.40640990371389</v>
      </c>
      <c r="BA266" s="76" t="n">
        <f aca="false">IF(AND(ISNUMBER(BA262),ISNUMBER(BA265)),IFERROR(BA262/BA265,""),"")</f>
        <v>2.69180931744312</v>
      </c>
      <c r="BB266" s="76" t="n">
        <f aca="false">IF(AND(ISNUMBER(BB262),ISNUMBER(BB265)),IFERROR(BB262/BB265,""),"")</f>
        <v>10.073680781759</v>
      </c>
      <c r="BC266" s="76" t="n">
        <f aca="false">IF(AND(ISNUMBER(BC262),ISNUMBER(BC265)),IFERROR(BC262/BC265,""),"")</f>
        <v>2.76240341602277</v>
      </c>
      <c r="BD266" s="76" t="n">
        <f aca="false">IF(AND(ISNUMBER(BD262),ISNUMBER(BD265)),IFERROR(BD262/BD265,""),"")</f>
        <v>2.77173913043478</v>
      </c>
      <c r="BE266" s="76" t="n">
        <f aca="false">IF(AND(ISNUMBER(BE262),ISNUMBER(BE265)),IFERROR(BE262/BE265,""),"")</f>
        <v>2.56577163005153</v>
      </c>
      <c r="BF266" s="76" t="n">
        <f aca="false">IF(AND(ISNUMBER(BF262),ISNUMBER(BF265)),IFERROR(BF262/BF265,""),"")</f>
        <v>2.54</v>
      </c>
      <c r="BG266" s="76" t="n">
        <f aca="false">IF(AND(ISNUMBER(BG262),ISNUMBER(BG265)),IFERROR(BG262/BG265,""),"")</f>
        <v>9.71</v>
      </c>
      <c r="BH266" s="76" t="n">
        <f aca="false">IF(AND(ISNUMBER(BH262),ISNUMBER(BH265)),IFERROR(BH262/BH265,""),"")</f>
        <v>2.05</v>
      </c>
      <c r="BI266" s="76" t="n">
        <f aca="false">IF(AND(ISNUMBER(BI262),ISNUMBER(BI265)),IFERROR(BI262/BI265,""),"")</f>
        <v>1.73</v>
      </c>
      <c r="BJ266" s="76" t="n">
        <f aca="false">IF(AND(ISNUMBER(BJ262),ISNUMBER(BJ265)),IFERROR(BJ262/BJ265,""),"")</f>
        <v>1.72</v>
      </c>
      <c r="BK266" s="76" t="n">
        <f aca="false">IF(AND(ISNUMBER(BK262),ISNUMBER(BK265)),IFERROR(BK262/BK265,""),"")</f>
        <v>2.08335343787696</v>
      </c>
      <c r="BL266" s="76" t="n">
        <f aca="false">IF(AND(ISNUMBER(BL262),ISNUMBER(BL265)),IFERROR(BL262/BL265,""),"")</f>
        <v>7.58500067285695</v>
      </c>
      <c r="BM266" s="76" t="n">
        <f aca="false">IF(AND(ISNUMBER(BM262),ISNUMBER(BM265)),IFERROR(BM262/BM265,""),"")</f>
        <v>1.92500133582688</v>
      </c>
      <c r="BN266" s="76" t="n">
        <f aca="false">IF(AND(ISNUMBER(BN262),ISNUMBER(BN265)),IFERROR(BN262/BN265,""),"")</f>
        <v>1.71817887931035</v>
      </c>
      <c r="BO266" s="76" t="n">
        <f aca="false">IF(AND(ISNUMBER(BO262),ISNUMBER(BO265)),IFERROR(BO262/BO265,""),"")</f>
        <v>1.70825335892514</v>
      </c>
      <c r="BP266" s="76" t="n">
        <f aca="false">IF(AND(ISNUMBER(BP262),ISNUMBER(BP265)),IFERROR(BP262/BP265,""),"")</f>
        <v>2.13226860752541</v>
      </c>
      <c r="BQ266" s="76" t="n">
        <f aca="false">IF(AND(ISNUMBER(BQ262),ISNUMBER(BQ265)),IFERROR(BQ262/BQ265,""),"")</f>
        <v>7.48205100379816</v>
      </c>
      <c r="BR266" s="76" t="n">
        <f aca="false">IF(AND(ISNUMBER(BR262),ISNUMBER(BR265)),IFERROR(BR262/BR265,""),"")</f>
        <v>1.88511653718091</v>
      </c>
      <c r="BS266" s="76" t="n">
        <f aca="false">IF(AND(ISNUMBER(BS262),ISNUMBER(BS265)),IFERROR(BS262/BS265,""),"")</f>
        <v>1.8060965095258</v>
      </c>
      <c r="BT266" s="76" t="n">
        <f aca="false">IF(AND(ISNUMBER(BT262),ISNUMBER(BT265)),IFERROR(BT262/BT265,""),"")</f>
        <v>1.89014992293681</v>
      </c>
      <c r="BU266" s="76" t="n">
        <f aca="false">IF(AND(ISNUMBER(BU262),ISNUMBER(BU265)),IFERROR(BU262/BU265,""),"")</f>
        <v>2.23722925457103</v>
      </c>
      <c r="BV266" s="76" t="n">
        <f aca="false">IF(AND(ISNUMBER(BV262),ISNUMBER(BV265)),IFERROR(BV262/BV265,""),"")</f>
        <v>7.79594749336685</v>
      </c>
      <c r="BW266" s="76" t="n">
        <f aca="false">IF(AND(ISNUMBER(BW262),ISNUMBER(BW265)),IFERROR(BW262/BW265,""),"")</f>
        <v>2.05708661417323</v>
      </c>
      <c r="BX266" s="76" t="n">
        <f aca="false">IF(AND(ISNUMBER(BX262),ISNUMBER(BX265)),IFERROR(BX262/BX265,""),"")</f>
        <v>1.94351045788581</v>
      </c>
      <c r="BY266" s="76" t="n">
        <f aca="false">IF(AND(ISNUMBER(BY262),ISNUMBER(BY265)),IFERROR(BY262/BY265,""),"")</f>
        <v>1.92490751794385</v>
      </c>
      <c r="BZ266" s="76" t="n">
        <f aca="false">IF(AND(ISNUMBER(BZ262),ISNUMBER(BZ265)),IFERROR(BZ262/BZ265,""),"")</f>
        <v>2.60083294058326</v>
      </c>
      <c r="CA266" s="76" t="n">
        <f aca="false">IF(AND(ISNUMBER(CA262),ISNUMBER(CA265)),IFERROR(CA262/CA265,""),"")</f>
        <v>8.525</v>
      </c>
      <c r="CB266" s="76" t="n">
        <f aca="false">IF(AND(ISNUMBER(CB262),ISNUMBER(CB265)),IFERROR(CB262/CB265,""),"")</f>
        <v>9.38062757630764</v>
      </c>
      <c r="CC266" s="76" t="n">
        <f aca="false">IF(AND(ISNUMBER(CC262),ISNUMBER(CC265)),IFERROR(CC262/CC265,""),"")</f>
        <v>10.4823758806661</v>
      </c>
      <c r="CD266" s="76" t="n">
        <f aca="false">IF(AND(ISNUMBER(CD262),ISNUMBER(CD265)),IFERROR(CD262/CD265,""),"")</f>
        <v>11.7002188433199</v>
      </c>
      <c r="CE266" s="76" t="n">
        <f aca="false">IF(AND(ISNUMBER(CE262),ISNUMBER(CE265)),IFERROR(CE262/CE265,""),"")</f>
        <v>13.0980588030735</v>
      </c>
      <c r="CF266" s="37"/>
      <c r="CH266" s="22" t="n">
        <f aca="false">IFERROR((CE266/BV266)^(1/5)-1,"n/m")</f>
        <v>0.109347492566553</v>
      </c>
      <c r="CI266" s="22" t="n">
        <f aca="false">IFERROR((BV266/AW266)^(1/5)-1,"n/m")</f>
        <v>0.0425175139742089</v>
      </c>
      <c r="CJ266" s="22" t="n">
        <f aca="false">IFERROR((BV266/X266)^(1/10)-1,"n/m")</f>
        <v>0.100944089185439</v>
      </c>
      <c r="CK266" s="22" t="n">
        <f aca="false">IFERROR((BV266/C266)^(1/19)-1,"n/m")</f>
        <v>0.086913832213247</v>
      </c>
    </row>
    <row r="267" customFormat="false" ht="15" hidden="false" customHeight="true" outlineLevel="0" collapsed="false">
      <c r="B267" s="50" t="s">
        <v>432</v>
      </c>
      <c r="C267" s="79" t="n">
        <v>1.6</v>
      </c>
      <c r="D267" s="79" t="n">
        <v>1.915</v>
      </c>
      <c r="E267" s="79" t="n">
        <v>2.115</v>
      </c>
      <c r="F267" s="79" t="n">
        <v>1.765</v>
      </c>
      <c r="G267" s="79" t="n">
        <v>2.2</v>
      </c>
      <c r="H267" s="79" t="n">
        <v>2.83</v>
      </c>
      <c r="I267" s="71"/>
      <c r="J267" s="79" t="n">
        <v>0.75</v>
      </c>
      <c r="K267" s="79" t="n">
        <v>0.87</v>
      </c>
      <c r="L267" s="71"/>
      <c r="M267" s="79" t="n">
        <v>0.96</v>
      </c>
      <c r="N267" s="79" t="n">
        <v>3.42</v>
      </c>
      <c r="O267" s="79" t="n">
        <v>0.81</v>
      </c>
      <c r="P267" s="71"/>
      <c r="Q267" s="71"/>
      <c r="R267" s="79" t="n">
        <v>1.12</v>
      </c>
      <c r="S267" s="79" t="n">
        <v>3.97</v>
      </c>
      <c r="T267" s="79" t="n">
        <v>0.91</v>
      </c>
      <c r="U267" s="79" t="n">
        <v>1.07</v>
      </c>
      <c r="V267" s="79" t="n">
        <v>0.71</v>
      </c>
      <c r="W267" s="79" t="n">
        <v>0.91</v>
      </c>
      <c r="X267" s="79" t="n">
        <v>2.98</v>
      </c>
      <c r="Y267" s="79" t="n">
        <v>0.79</v>
      </c>
      <c r="Z267" s="79" t="n">
        <v>0.9</v>
      </c>
      <c r="AA267" s="79" t="n">
        <v>0.87</v>
      </c>
      <c r="AB267" s="79" t="n">
        <v>1.05</v>
      </c>
      <c r="AC267" s="79" t="n">
        <v>3.61</v>
      </c>
      <c r="AD267" s="79" t="n">
        <v>0.85</v>
      </c>
      <c r="AE267" s="79" t="n">
        <v>0.99</v>
      </c>
      <c r="AF267" s="79" t="n">
        <v>1</v>
      </c>
      <c r="AG267" s="79" t="n">
        <v>1.19</v>
      </c>
      <c r="AH267" s="79" t="n">
        <v>4.03</v>
      </c>
      <c r="AI267" s="79" t="n">
        <v>0.99</v>
      </c>
      <c r="AJ267" s="79" t="n">
        <v>1.15</v>
      </c>
      <c r="AK267" s="79" t="n">
        <v>1.1</v>
      </c>
      <c r="AL267" s="79" t="n">
        <v>1.14</v>
      </c>
      <c r="AM267" s="79" t="n">
        <v>4.05</v>
      </c>
      <c r="AN267" s="79" t="n">
        <v>0.99</v>
      </c>
      <c r="AO267" s="79" t="n">
        <v>1.09</v>
      </c>
      <c r="AP267" s="79" t="n">
        <v>1.06</v>
      </c>
      <c r="AQ267" s="79" t="n">
        <v>1.28</v>
      </c>
      <c r="AR267" s="79" t="n">
        <v>4.42</v>
      </c>
      <c r="AS267" s="79" t="n">
        <v>1.05</v>
      </c>
      <c r="AT267" s="79" t="n">
        <v>1.44</v>
      </c>
      <c r="AU267" s="79" t="n">
        <v>1.72</v>
      </c>
      <c r="AV267" s="79" t="n">
        <v>2.08</v>
      </c>
      <c r="AW267" s="79" t="n">
        <v>6.31</v>
      </c>
      <c r="AX267" s="79" t="n">
        <v>2.52</v>
      </c>
      <c r="AY267" s="79" t="n">
        <v>2.46</v>
      </c>
      <c r="AZ267" s="79" t="n">
        <v>2.39</v>
      </c>
      <c r="BA267" s="79" t="n">
        <v>2.69</v>
      </c>
      <c r="BB267" s="79" t="n">
        <v>10.05</v>
      </c>
      <c r="BC267" s="79" t="n">
        <v>2.76</v>
      </c>
      <c r="BD267" s="79" t="n">
        <v>2.76</v>
      </c>
      <c r="BE267" s="79" t="n">
        <v>2.56</v>
      </c>
      <c r="BF267" s="79" t="n">
        <v>2.54</v>
      </c>
      <c r="BG267" s="79" t="n">
        <v>9.71</v>
      </c>
      <c r="BH267" s="79" t="n">
        <v>2.05</v>
      </c>
      <c r="BI267" s="79" t="n">
        <v>1.73</v>
      </c>
      <c r="BJ267" s="79" t="n">
        <v>1.72</v>
      </c>
      <c r="BK267" s="79" t="n">
        <v>2.09</v>
      </c>
      <c r="BL267" s="79" t="n">
        <v>7.58</v>
      </c>
      <c r="BM267" s="79" t="n">
        <v>1.92</v>
      </c>
      <c r="BN267" s="79" t="n">
        <v>1.72</v>
      </c>
      <c r="BO267" s="79" t="n">
        <v>1.71</v>
      </c>
      <c r="BP267" s="79" t="n">
        <v>2.14</v>
      </c>
      <c r="BQ267" s="79" t="n">
        <v>7.48</v>
      </c>
      <c r="BR267" s="79" t="n">
        <v>1.88</v>
      </c>
      <c r="BS267" s="79" t="n">
        <v>1.8</v>
      </c>
      <c r="BT267" s="79" t="n">
        <v>1.89</v>
      </c>
      <c r="BU267" s="79" t="n">
        <v>2.23</v>
      </c>
      <c r="BV267" s="79" t="n">
        <v>7.8</v>
      </c>
      <c r="BW267" s="79" t="n">
        <v>2.06</v>
      </c>
      <c r="BX267" s="79" t="n">
        <v>1.94</v>
      </c>
      <c r="BY267" s="7"/>
      <c r="BZ267" s="7"/>
      <c r="CA267" s="7"/>
      <c r="CB267" s="7"/>
      <c r="CC267" s="7"/>
      <c r="CD267" s="7"/>
      <c r="CE267" s="7"/>
      <c r="CF267" s="7"/>
    </row>
    <row r="268" customFormat="false" ht="15" hidden="false" customHeight="true" outlineLevel="0" collapsed="false">
      <c r="B268" s="65" t="s">
        <v>433</v>
      </c>
      <c r="C268" s="77" t="n">
        <f aca="false">IF(ISNUMBER(C267),IF(ABS(C266-C267)&lt;=0.025,0,ROUND(C266-C267,2)),"n/p")</f>
        <v>0</v>
      </c>
      <c r="D268" s="77" t="n">
        <f aca="false">IF(ISNUMBER(D267),IF(ABS(D266-D267)&lt;=0.025,0,ROUND(D266-D267,2)),"n/p")</f>
        <v>0</v>
      </c>
      <c r="E268" s="77" t="n">
        <f aca="false">IF(ISNUMBER(E267),IF(ABS(E266-E267)&lt;=0.025,0,ROUND(E266-E267,2)),"n/p")</f>
        <v>0</v>
      </c>
      <c r="F268" s="77" t="n">
        <f aca="false">IF(ISNUMBER(F267),IF(ABS(F266-F267)&lt;=0.025,0,ROUND(F266-F267,2)),"n/p")</f>
        <v>0</v>
      </c>
      <c r="G268" s="77" t="n">
        <f aca="false">IF(ISNUMBER(G267),IF(ABS(G266-G267)&lt;=0.025,0,ROUND(G266-G267,2)),"n/p")</f>
        <v>0</v>
      </c>
      <c r="H268" s="77" t="n">
        <f aca="false">IF(ISNUMBER(H267),IF(ABS(H266-H267)&lt;=0.025,0,ROUND(H266-H267,2)),"n/p")</f>
        <v>0</v>
      </c>
      <c r="I268" s="77" t="str">
        <f aca="false">IF(ISNUMBER(I267),IF(ABS(I266-I267)&lt;=0.025,0,ROUND(I266-I267,2)),"n/p")</f>
        <v>n/p</v>
      </c>
      <c r="J268" s="77" t="n">
        <f aca="false">IF(ISNUMBER(J267),IF(ABS(J266-J267)&lt;=0.025,0,ROUND(J266-J267,2)),"n/p")</f>
        <v>0</v>
      </c>
      <c r="K268" s="77" t="n">
        <f aca="false">IF(ISNUMBER(K267),IF(ABS(K266-K267)&lt;=0.025,0,ROUND(K266-K267,2)),"n/p")</f>
        <v>0</v>
      </c>
      <c r="L268" s="77" t="str">
        <f aca="false">IF(ISNUMBER(L267),IF(ABS(L266-L267)&lt;=0.025,0,ROUND(L266-L267,2)),"n/p")</f>
        <v>n/p</v>
      </c>
      <c r="M268" s="77" t="n">
        <f aca="false">IF(ISNUMBER(M267),IF(ABS(M266-M267)&lt;=0.025,0,ROUND(M266-M267,2)),"n/p")</f>
        <v>0</v>
      </c>
      <c r="N268" s="77" t="n">
        <f aca="false">IF(ISNUMBER(N267),IF(ABS(N266-N267)&lt;=0.025,0,ROUND(N266-N267,2)),"n/p")</f>
        <v>0</v>
      </c>
      <c r="O268" s="77" t="n">
        <f aca="false">IF(ISNUMBER(O267),IF(ABS(O266-O267)&lt;=0.025,0,ROUND(O266-O267,2)),"n/p")</f>
        <v>0</v>
      </c>
      <c r="P268" s="77" t="str">
        <f aca="false">IF(ISNUMBER(P267),IF(ABS(P266-P267)&lt;=0.025,0,ROUND(P266-P267,2)),"n/p")</f>
        <v>n/p</v>
      </c>
      <c r="Q268" s="77" t="str">
        <f aca="false">IF(ISNUMBER(Q267),IF(ABS(Q266-Q267)&lt;=0.025,0,ROUND(Q266-Q267,2)),"n/p")</f>
        <v>n/p</v>
      </c>
      <c r="R268" s="77" t="n">
        <f aca="false">IF(ISNUMBER(R267),IF(ABS(R266-R267)&lt;=0.025,0,ROUND(R266-R267,2)),"n/p")</f>
        <v>0</v>
      </c>
      <c r="S268" s="77" t="n">
        <f aca="false">IF(ISNUMBER(S267),IF(ABS(S266-S267)&lt;=0.025,0,ROUND(S266-S267,2)),"n/p")</f>
        <v>0</v>
      </c>
      <c r="T268" s="77" t="n">
        <f aca="false">IF(ISNUMBER(T267),IF(ABS(T266-T267)&lt;=0.025,0,ROUND(T266-T267,2)),"n/p")</f>
        <v>0</v>
      </c>
      <c r="U268" s="77" t="n">
        <f aca="false">IF(ISNUMBER(U267),IF(ABS(U266-U267)&lt;=0.025,0,ROUND(U266-U267,2)),"n/p")</f>
        <v>0</v>
      </c>
      <c r="V268" s="77" t="n">
        <f aca="false">IF(ISNUMBER(V267),IF(ABS(V266-V267)&lt;=0.025,0,ROUND(V266-V267,2)),"n/p")</f>
        <v>0</v>
      </c>
      <c r="W268" s="77" t="n">
        <f aca="false">IF(ISNUMBER(W267),IF(ABS(W266-W267)&lt;=0.025,0,ROUND(W266-W267,2)),"n/p")</f>
        <v>0</v>
      </c>
      <c r="X268" s="77" t="n">
        <f aca="false">IF(ISNUMBER(X267),IF(ABS(X266-X267)&lt;=0.025,0,ROUND(X266-X267,2)),"n/p")</f>
        <v>0</v>
      </c>
      <c r="Y268" s="77" t="n">
        <f aca="false">IF(ISNUMBER(Y267),IF(ABS(Y266-Y267)&lt;=0.025,0,ROUND(Y266-Y267,2)),"n/p")</f>
        <v>0</v>
      </c>
      <c r="Z268" s="77" t="n">
        <f aca="false">IF(ISNUMBER(Z267),IF(ABS(Z266-Z267)&lt;=0.025,0,ROUND(Z266-Z267,2)),"n/p")</f>
        <v>0</v>
      </c>
      <c r="AA268" s="77" t="n">
        <f aca="false">IF(ISNUMBER(AA267),IF(ABS(AA266-AA267)&lt;=0.025,0,ROUND(AA266-AA267,2)),"n/p")</f>
        <v>0</v>
      </c>
      <c r="AB268" s="77" t="n">
        <f aca="false">IF(ISNUMBER(AB267),IF(ABS(AB266-AB267)&lt;=0.025,0,ROUND(AB266-AB267,2)),"n/p")</f>
        <v>0</v>
      </c>
      <c r="AC268" s="77" t="n">
        <f aca="false">IF(ISNUMBER(AC267),IF(ABS(AC266-AC267)&lt;=0.025,0,ROUND(AC266-AC267,2)),"n/p")</f>
        <v>0</v>
      </c>
      <c r="AD268" s="77" t="n">
        <f aca="false">IF(ISNUMBER(AD267),IF(ABS(AD266-AD267)&lt;=0.025,0,ROUND(AD266-AD267,2)),"n/p")</f>
        <v>0</v>
      </c>
      <c r="AE268" s="77" t="n">
        <f aca="false">IF(ISNUMBER(AE267),IF(ABS(AE266-AE267)&lt;=0.025,0,ROUND(AE266-AE267,2)),"n/p")</f>
        <v>0</v>
      </c>
      <c r="AF268" s="77" t="n">
        <f aca="false">IF(ISNUMBER(AF267),IF(ABS(AF266-AF267)&lt;=0.025,0,ROUND(AF266-AF267,2)),"n/p")</f>
        <v>0</v>
      </c>
      <c r="AG268" s="77" t="n">
        <f aca="false">IF(ISNUMBER(AG267),IF(ABS(AG266-AG267)&lt;=0.025,0,ROUND(AG266-AG267,2)),"n/p")</f>
        <v>0</v>
      </c>
      <c r="AH268" s="77" t="n">
        <f aca="false">IF(ISNUMBER(AH267),IF(ABS(AH266-AH267)&lt;=0.025,0,ROUND(AH266-AH267,2)),"n/p")</f>
        <v>0</v>
      </c>
      <c r="AI268" s="77" t="n">
        <f aca="false">IF(ISNUMBER(AI267),IF(ABS(AI266-AI267)&lt;=0.025,0,ROUND(AI266-AI267,2)),"n/p")</f>
        <v>0</v>
      </c>
      <c r="AJ268" s="77" t="n">
        <f aca="false">IF(ISNUMBER(AJ267),IF(ABS(AJ266-AJ267)&lt;=0.025,0,ROUND(AJ266-AJ267,2)),"n/p")</f>
        <v>0</v>
      </c>
      <c r="AK268" s="77" t="n">
        <f aca="false">IF(ISNUMBER(AK267),IF(ABS(AK266-AK267)&lt;=0.025,0,ROUND(AK266-AK267,2)),"n/p")</f>
        <v>0</v>
      </c>
      <c r="AL268" s="77" t="n">
        <f aca="false">IF(ISNUMBER(AL267),IF(ABS(AL266-AL267)&lt;=0.025,0,ROUND(AL266-AL267,2)),"n/p")</f>
        <v>0</v>
      </c>
      <c r="AM268" s="77" t="n">
        <f aca="false">IF(ISNUMBER(AM267),IF(ABS(AM266-AM267)&lt;=0.025,0,ROUND(AM266-AM267,2)),"n/p")</f>
        <v>0</v>
      </c>
      <c r="AN268" s="77" t="n">
        <f aca="false">IF(ISNUMBER(AN267),IF(ABS(AN266-AN267)&lt;=0.025,0,ROUND(AN266-AN267,2)),"n/p")</f>
        <v>0</v>
      </c>
      <c r="AO268" s="77" t="n">
        <f aca="false">IF(ISNUMBER(AO267),IF(ABS(AO266-AO267)&lt;=0.025,0,ROUND(AO266-AO267,2)),"n/p")</f>
        <v>0</v>
      </c>
      <c r="AP268" s="77" t="n">
        <f aca="false">IF(ISNUMBER(AP267),IF(ABS(AP266-AP267)&lt;=0.025,0,ROUND(AP266-AP267,2)),"n/p")</f>
        <v>0</v>
      </c>
      <c r="AQ268" s="77" t="n">
        <f aca="false">IF(ISNUMBER(AQ267),IF(ABS(AQ266-AQ267)&lt;=0.025,0,ROUND(AQ266-AQ267,2)),"n/p")</f>
        <v>0</v>
      </c>
      <c r="AR268" s="77" t="n">
        <f aca="false">IF(ISNUMBER(AR267),IF(ABS(AR266-AR267)&lt;=0.025,0,ROUND(AR266-AR267,2)),"n/p")</f>
        <v>0</v>
      </c>
      <c r="AS268" s="77" t="n">
        <f aca="false">IF(ISNUMBER(AS267),IF(ABS(AS266-AS267)&lt;=0.025,0,ROUND(AS266-AS267,2)),"n/p")</f>
        <v>0</v>
      </c>
      <c r="AT268" s="77" t="n">
        <f aca="false">IF(ISNUMBER(AT267),IF(ABS(AT266-AT267)&lt;=0.025,0,ROUND(AT266-AT267,2)),"n/p")</f>
        <v>0</v>
      </c>
      <c r="AU268" s="77" t="n">
        <f aca="false">IF(ISNUMBER(AU267),IF(ABS(AU266-AU267)&lt;=0.025,0,ROUND(AU266-AU267,2)),"n/p")</f>
        <v>0</v>
      </c>
      <c r="AV268" s="77" t="n">
        <f aca="false">IF(ISNUMBER(AV267),IF(ABS(AV266-AV267)&lt;=0.025,0,ROUND(AV266-AV267,2)),"n/p")</f>
        <v>0</v>
      </c>
      <c r="AW268" s="77" t="n">
        <f aca="false">IF(ISNUMBER(AW267),IF(ABS(AW266-AW267)&lt;=0.025,0,ROUND(AW266-AW267,2)),"n/p")</f>
        <v>0</v>
      </c>
      <c r="AX268" s="77" t="n">
        <f aca="false">IF(ISNUMBER(AX267),IF(ABS(AX266-AX267)&lt;=0.025,0,ROUND(AX266-AX267,2)),"n/p")</f>
        <v>0</v>
      </c>
      <c r="AY268" s="77" t="n">
        <f aca="false">IF(ISNUMBER(AY267),IF(ABS(AY266-AY267)&lt;=0.025,0,ROUND(AY266-AY267,2)),"n/p")</f>
        <v>0</v>
      </c>
      <c r="AZ268" s="77" t="n">
        <f aca="false">IF(ISNUMBER(AZ267),IF(ABS(AZ266-AZ267)&lt;=0.025,0,ROUND(AZ266-AZ267,2)),"n/p")</f>
        <v>0</v>
      </c>
      <c r="BA268" s="77" t="n">
        <f aca="false">IF(ISNUMBER(BA267),IF(ABS(BA266-BA267)&lt;=0.025,0,ROUND(BA266-BA267,2)),"n/p")</f>
        <v>0</v>
      </c>
      <c r="BB268" s="77" t="n">
        <f aca="false">IF(ISNUMBER(BB267),IF(ABS(BB266-BB267)&lt;=0.025,0,ROUND(BB266-BB267,2)),"n/p")</f>
        <v>0</v>
      </c>
      <c r="BC268" s="77" t="n">
        <f aca="false">IF(ISNUMBER(BC267),IF(ABS(BC266-BC267)&lt;=0.025,0,ROUND(BC266-BC267,2)),"n/p")</f>
        <v>0</v>
      </c>
      <c r="BD268" s="77" t="n">
        <f aca="false">IF(ISNUMBER(BD267),IF(ABS(BD266-BD267)&lt;=0.025,0,ROUND(BD266-BD267,2)),"n/p")</f>
        <v>0</v>
      </c>
      <c r="BE268" s="77" t="n">
        <f aca="false">IF(ISNUMBER(BE267),IF(ABS(BE266-BE267)&lt;=0.025,0,ROUND(BE266-BE267,2)),"n/p")</f>
        <v>0</v>
      </c>
      <c r="BF268" s="77" t="n">
        <f aca="false">IF(ISNUMBER(BF267),IF(ABS(BF266-BF267)&lt;=0.025,0,ROUND(BF266-BF267,2)),"n/p")</f>
        <v>0</v>
      </c>
      <c r="BG268" s="77" t="n">
        <f aca="false">IF(ISNUMBER(BG267),IF(ABS(BG266-BG267)&lt;=0.025,0,ROUND(BG266-BG267,2)),"n/p")</f>
        <v>0</v>
      </c>
      <c r="BH268" s="77" t="n">
        <f aca="false">IF(ISNUMBER(BH267),IF(ABS(BH266-BH267)&lt;=0.025,0,ROUND(BH266-BH267,2)),"n/p")</f>
        <v>0</v>
      </c>
      <c r="BI268" s="77" t="n">
        <f aca="false">IF(ISNUMBER(BI267),IF(ABS(BI266-BI267)&lt;=0.025,0,ROUND(BI266-BI267,2)),"n/p")</f>
        <v>0</v>
      </c>
      <c r="BJ268" s="77" t="n">
        <f aca="false">IF(ISNUMBER(BJ267),IF(ABS(BJ266-BJ267)&lt;=0.025,0,ROUND(BJ266-BJ267,2)),"n/p")</f>
        <v>0</v>
      </c>
      <c r="BK268" s="77" t="n">
        <f aca="false">IF(ISNUMBER(BK267),IF(ABS(BK266-BK267)&lt;=0.025,0,ROUND(BK266-BK267,2)),"n/p")</f>
        <v>0</v>
      </c>
      <c r="BL268" s="77" t="n">
        <f aca="false">IF(ISNUMBER(BL267),IF(ABS(BL266-BL267)&lt;=0.025,0,ROUND(BL266-BL267,2)),"n/p")</f>
        <v>0</v>
      </c>
      <c r="BM268" s="77" t="n">
        <f aca="false">IF(ISNUMBER(BM267),IF(ABS(BM266-BM267)&lt;=0.025,0,ROUND(BM266-BM267,2)),"n/p")</f>
        <v>0</v>
      </c>
      <c r="BN268" s="77" t="n">
        <f aca="false">IF(ISNUMBER(BN267),IF(ABS(BN266-BN267)&lt;=0.025,0,ROUND(BN266-BN267,2)),"n/p")</f>
        <v>0</v>
      </c>
      <c r="BO268" s="77" t="n">
        <f aca="false">IF(ISNUMBER(BO267),IF(ABS(BO266-BO267)&lt;=0.025,0,ROUND(BO266-BO267,2)),"n/p")</f>
        <v>0</v>
      </c>
      <c r="BP268" s="77" t="n">
        <f aca="false">IF(ISNUMBER(BP267),IF(ABS(BP266-BP267)&lt;=0.025,0,ROUND(BP266-BP267,2)),"n/p")</f>
        <v>0</v>
      </c>
      <c r="BQ268" s="77" t="n">
        <f aca="false">IF(ISNUMBER(BQ267),IF(ABS(BQ266-BQ267)&lt;=0.025,0,ROUND(BQ266-BQ267,2)),"n/p")</f>
        <v>0</v>
      </c>
      <c r="BR268" s="77" t="n">
        <f aca="false">IF(ISNUMBER(BR267),IF(ABS(BR266-BR267)&lt;=0.025,0,ROUND(BR266-BR267,2)),"n/p")</f>
        <v>0</v>
      </c>
      <c r="BS268" s="77" t="n">
        <f aca="false">IF(ISNUMBER(BS267),IF(ABS(BS266-BS267)&lt;=0.025,0,ROUND(BS266-BS267,2)),"n/p")</f>
        <v>0</v>
      </c>
      <c r="BT268" s="77" t="n">
        <f aca="false">IF(ISNUMBER(BT267),IF(ABS(BT266-BT267)&lt;=0.025,0,ROUND(BT266-BT267,2)),"n/p")</f>
        <v>0</v>
      </c>
      <c r="BU268" s="77" t="n">
        <f aca="false">IF(ISNUMBER(BU267),IF(ABS(BU266-BU267)&lt;=0.025,0,ROUND(BU266-BU267,2)),"n/p")</f>
        <v>0</v>
      </c>
      <c r="BV268" s="77" t="n">
        <f aca="false">IF(ISNUMBER(BV267),IF(ABS(BV266-BV267)&lt;=0.025,0,ROUND(BV266-BV267,2)),"n/p")</f>
        <v>0</v>
      </c>
      <c r="BW268" s="77" t="n">
        <f aca="false">IF(ISNUMBER(BW267),IF(ABS(BW266-BW267)&lt;=0.025,0,ROUND(BW266-BW267,2)),"n/p")</f>
        <v>0</v>
      </c>
      <c r="BX268" s="77" t="n">
        <f aca="false">IF(ISNUMBER(BX267),IF(ABS(BX266-BX267)&lt;=0.025,0,ROUND(BX266-BX267,2)),"n/p")</f>
        <v>0</v>
      </c>
      <c r="BY268" s="7"/>
      <c r="BZ268" s="7"/>
      <c r="CA268" s="7"/>
      <c r="CB268" s="7"/>
      <c r="CC268" s="7"/>
      <c r="CD268" s="7"/>
      <c r="CE268" s="7"/>
      <c r="CF268" s="7"/>
    </row>
    <row r="269" customFormat="false" ht="15" hidden="false" customHeight="true" outlineLevel="0" collapsed="false">
      <c r="B269" s="50" t="s">
        <v>434</v>
      </c>
      <c r="C269" s="79" t="n">
        <v>1.62</v>
      </c>
      <c r="D269" s="71"/>
      <c r="E269" s="71"/>
      <c r="F269" s="71"/>
      <c r="G269" s="79" t="n">
        <v>2.31</v>
      </c>
      <c r="H269" s="71"/>
      <c r="I269" s="71"/>
      <c r="J269" s="71"/>
      <c r="K269" s="71"/>
      <c r="L269" s="71"/>
      <c r="M269" s="71"/>
      <c r="N269" s="71"/>
      <c r="O269" s="71"/>
      <c r="P269" s="71"/>
      <c r="Q269" s="71"/>
      <c r="R269" s="79" t="n">
        <v>1.04</v>
      </c>
      <c r="S269" s="79" t="n">
        <v>3.68</v>
      </c>
      <c r="T269" s="79" t="n">
        <v>0.93</v>
      </c>
      <c r="U269" s="79" t="n">
        <v>1.08</v>
      </c>
      <c r="V269" s="79" t="n">
        <v>1.05</v>
      </c>
      <c r="W269" s="79" t="n">
        <v>1.27</v>
      </c>
      <c r="X269" s="79" t="n">
        <v>4.3</v>
      </c>
      <c r="Y269" s="79" t="n">
        <v>1.08</v>
      </c>
      <c r="Z269" s="79" t="n">
        <v>1.25</v>
      </c>
      <c r="AA269" s="71"/>
      <c r="AB269" s="71"/>
      <c r="AC269" s="71"/>
      <c r="AD269" s="79" t="n">
        <v>0.85</v>
      </c>
      <c r="AE269" s="79" t="n">
        <v>0.99</v>
      </c>
      <c r="AF269" s="79" t="n">
        <v>1</v>
      </c>
      <c r="AG269" s="79" t="n">
        <v>1.19</v>
      </c>
      <c r="AH269" s="79" t="n">
        <v>4.03</v>
      </c>
      <c r="AI269" s="71"/>
      <c r="AJ269" s="71"/>
      <c r="AK269" s="71"/>
      <c r="AL269" s="79" t="n">
        <v>1.28</v>
      </c>
      <c r="AM269" s="79" t="n">
        <v>4.52</v>
      </c>
      <c r="AN269" s="79" t="n">
        <v>1.07</v>
      </c>
      <c r="AO269" s="79" t="n">
        <v>1.19</v>
      </c>
      <c r="AP269" s="79" t="n">
        <v>1.16</v>
      </c>
      <c r="AQ269" s="71"/>
      <c r="AR269" s="71"/>
      <c r="AS269" s="71"/>
      <c r="AT269" s="71"/>
      <c r="AU269" s="71"/>
      <c r="AV269" s="71"/>
      <c r="AW269" s="71"/>
      <c r="AX269" s="71"/>
      <c r="AY269" s="71"/>
      <c r="AZ269" s="71"/>
      <c r="BA269" s="71"/>
      <c r="BB269" s="71"/>
      <c r="BC269" s="71"/>
      <c r="BD269" s="71"/>
      <c r="BE269" s="71"/>
      <c r="BF269" s="79" t="n">
        <v>2.87</v>
      </c>
      <c r="BG269" s="79" t="n">
        <v>10.95</v>
      </c>
      <c r="BH269" s="79" t="n">
        <v>2.36</v>
      </c>
      <c r="BI269" s="79" t="n">
        <v>2.05</v>
      </c>
      <c r="BJ269" s="79" t="n">
        <v>2.02</v>
      </c>
      <c r="BK269" s="71"/>
      <c r="BL269" s="71"/>
      <c r="BM269" s="71"/>
      <c r="BN269" s="71"/>
      <c r="BO269" s="71"/>
      <c r="BP269" s="71"/>
      <c r="BQ269" s="71"/>
      <c r="BR269" s="71"/>
      <c r="BS269" s="71"/>
      <c r="BT269" s="71"/>
      <c r="BU269" s="71"/>
      <c r="BV269" s="71"/>
      <c r="BW269" s="71"/>
      <c r="BX269" s="71"/>
      <c r="BY269" s="7"/>
      <c r="BZ269" s="7"/>
      <c r="CA269" s="7"/>
      <c r="CB269" s="7"/>
      <c r="CC269" s="7"/>
      <c r="CD269" s="7"/>
      <c r="CE269" s="7"/>
      <c r="CF269" s="7"/>
    </row>
    <row r="270" customFormat="false" ht="15" hidden="false" customHeight="true" outlineLevel="0" collapsed="false">
      <c r="B270" s="80" t="s">
        <v>435</v>
      </c>
      <c r="C270" s="81" t="s">
        <v>436</v>
      </c>
      <c r="J270" s="82"/>
      <c r="T270" s="81" t="s">
        <v>437</v>
      </c>
      <c r="Z270" s="81" t="s">
        <v>438</v>
      </c>
      <c r="AJ270" s="82"/>
      <c r="AN270" s="81" t="s">
        <v>439</v>
      </c>
      <c r="BA270" s="82"/>
      <c r="BK270" s="81" t="s">
        <v>440</v>
      </c>
      <c r="BM270" s="82"/>
      <c r="BT270" s="82"/>
      <c r="BY270" s="7"/>
      <c r="BZ270" s="7"/>
      <c r="CA270" s="7"/>
      <c r="CB270" s="7"/>
      <c r="CC270" s="7"/>
      <c r="CD270" s="7"/>
      <c r="CE270" s="7"/>
      <c r="CF270" s="37"/>
    </row>
    <row r="271" customFormat="false" ht="15" hidden="false" customHeight="true" outlineLevel="0" collapsed="false">
      <c r="B271" s="24" t="s">
        <v>441</v>
      </c>
      <c r="D271" s="25" t="n">
        <f aca="false">IF(AND(ISNUMBER(D266),ISNUMBER(C266)),IFERROR(D266/C266-1,""),"")</f>
        <v>0.184439768710255</v>
      </c>
      <c r="E271" s="25" t="n">
        <f aca="false">IF(AND(ISNUMBER(E266),ISNUMBER(D266)),IFERROR(E266/D266-1,""),"")</f>
        <v>0.110289860266636</v>
      </c>
      <c r="F271" s="25" t="n">
        <f aca="false">IF(AND(ISNUMBER(F266),ISNUMBER(E266)),IFERROR(F266/E266-1,""),"")</f>
        <v>-0.167004644595591</v>
      </c>
      <c r="G271" s="25" t="n">
        <f aca="false">IF(AND(ISNUMBER(G266),ISNUMBER(F266)),IFERROR(G266/F266-1,""),"")</f>
        <v>0.254989657535797</v>
      </c>
      <c r="H271" s="25" t="n">
        <f aca="false">IF(AND(ISNUMBER(H266),ISNUMBER(G266)),IFERROR(H266/G266-1,""),"")</f>
        <v>0.280006975777357</v>
      </c>
      <c r="I271" s="25" t="str">
        <f aca="false">IF(AND(ISNUMBER(I266),ISNUMBER(H266)),IFERROR(I266/H266-1,""),"")</f>
        <v/>
      </c>
      <c r="N271" s="25" t="str">
        <f aca="false">IF(AND(ISNUMBER(N266),ISNUMBER(I266)),IFERROR(N266/I266-1,""),"")</f>
        <v/>
      </c>
      <c r="O271" s="25" t="n">
        <f aca="false">IF(AND(ISNUMBER(O266),ISNUMBER(J266)),IFERROR(O266/J266-1,""),"")</f>
        <v>0.0908797243508939</v>
      </c>
      <c r="P271" s="25" t="str">
        <f aca="false">IF(AND(ISNUMBER(P266),ISNUMBER(K266)),IFERROR(P266/K266-1,""),"")</f>
        <v/>
      </c>
      <c r="Q271" s="25" t="str">
        <f aca="false">IF(AND(ISNUMBER(Q266),ISNUMBER(L266)),IFERROR(Q266/L266-1,""),"")</f>
        <v/>
      </c>
      <c r="R271" s="25" t="n">
        <f aca="false">IF(AND(ISNUMBER(R266),ISNUMBER(M266)),IFERROR(R266/M266-1,""),"")</f>
        <v>0.169992682569882</v>
      </c>
      <c r="S271" s="25" t="n">
        <f aca="false">IF(AND(ISNUMBER(S266),ISNUMBER(N266)),IFERROR(S266/N266-1,""),"")</f>
        <v>0.164626372402184</v>
      </c>
      <c r="T271" s="25" t="n">
        <f aca="false">IF(AND(ISNUMBER(T266),ISNUMBER(O266)),IFERROR(T266/O266-1,""),"")</f>
        <v>0.122076936346386</v>
      </c>
      <c r="U271" s="25" t="str">
        <f aca="false">IF(AND(ISNUMBER(U266),ISNUMBER(P266)),IFERROR(U266/P266-1,""),"")</f>
        <v/>
      </c>
      <c r="V271" s="25" t="str">
        <f aca="false">IF(AND(ISNUMBER(V266),ISNUMBER(Q266)),IFERROR(V266/Q266-1,""),"")</f>
        <v/>
      </c>
      <c r="W271" s="25" t="n">
        <f aca="false">IF(AND(ISNUMBER(W266),ISNUMBER(R266)),IFERROR(W266/R266-1,""),"")</f>
        <v>-0.1875</v>
      </c>
      <c r="X271" s="25" t="n">
        <f aca="false">IF(AND(ISNUMBER(X266),ISNUMBER(S266)),IFERROR(X266/S266-1,""),"")</f>
        <v>-0.249370277078086</v>
      </c>
      <c r="Y271" s="25" t="n">
        <f aca="false">IF(AND(ISNUMBER(Y266),ISNUMBER(T266)),IFERROR(Y266/T266-1,""),"")</f>
        <v>-0.131868131868131</v>
      </c>
      <c r="Z271" s="25" t="n">
        <f aca="false">IF(AND(ISNUMBER(Z266),ISNUMBER(U266)),IFERROR(Z266/U266-1,""),"")</f>
        <v>-0.158878504672898</v>
      </c>
      <c r="AA271" s="25" t="n">
        <f aca="false">IF(AND(ISNUMBER(AA266),ISNUMBER(V266)),IFERROR(AA266/V266-1,""),"")</f>
        <v>0.232519887613146</v>
      </c>
      <c r="AB271" s="25" t="n">
        <f aca="false">IF(AND(ISNUMBER(AB266),ISNUMBER(W266)),IFERROR(AB266/W266-1,""),"")</f>
        <v>0.149763045047274</v>
      </c>
      <c r="AC271" s="25" t="n">
        <f aca="false">IF(AND(ISNUMBER(AC266),ISNUMBER(X266)),IFERROR(AC266/X266-1,""),"")</f>
        <v>0.209897938241224</v>
      </c>
      <c r="AD271" s="25" t="n">
        <f aca="false">IF(AND(ISNUMBER(AD266),ISNUMBER(Y266)),IFERROR(AD266/Y266-1,""),"")</f>
        <v>0.0665933636231542</v>
      </c>
      <c r="AE271" s="25" t="n">
        <f aca="false">IF(AND(ISNUMBER(AE266),ISNUMBER(Z266)),IFERROR(AE266/Z266-1,""),"")</f>
        <v>0.103282613489589</v>
      </c>
      <c r="AF271" s="25" t="n">
        <f aca="false">IF(AND(ISNUMBER(AF266),ISNUMBER(AA266)),IFERROR(AF266/AA266-1,""),"")</f>
        <v>0.139501691720085</v>
      </c>
      <c r="AG271" s="25" t="n">
        <f aca="false">IF(AND(ISNUMBER(AG266),ISNUMBER(AB266)),IFERROR(AG266/AB266-1,""),"")</f>
        <v>0.138800655287157</v>
      </c>
      <c r="AH271" s="25" t="n">
        <f aca="false">IF(AND(ISNUMBER(AH266),ISNUMBER(AC266)),IFERROR(AH266/AC266-1,""),"")</f>
        <v>0.116338145179963</v>
      </c>
      <c r="AI271" s="25" t="n">
        <f aca="false">IF(AND(ISNUMBER(AI266),ISNUMBER(AD266)),IFERROR(AI266/AD266-1,""),"")</f>
        <v>0.176921407664461</v>
      </c>
      <c r="AJ271" s="25" t="n">
        <f aca="false">IF(AND(ISNUMBER(AJ266),ISNUMBER(AE266)),IFERROR(AJ266/AE266-1,""),"")</f>
        <v>0.160828542482868</v>
      </c>
      <c r="AK271" s="25" t="n">
        <f aca="false">IF(AND(ISNUMBER(AK266),ISNUMBER(AF266)),IFERROR(AK266/AF266-1,""),"")</f>
        <v>0.102875572004986</v>
      </c>
      <c r="AL271" s="25" t="n">
        <f aca="false">IF(AND(ISNUMBER(AL266),ISNUMBER(AG266)),IFERROR(AL266/AG266-1,""),"")</f>
        <v>-0.043230318154646</v>
      </c>
      <c r="AM271" s="25" t="n">
        <f aca="false">IF(AND(ISNUMBER(AM266),ISNUMBER(AH266)),IFERROR(AM266/AH266-1,""),"")</f>
        <v>0.00622304073266178</v>
      </c>
      <c r="AN271" s="25" t="n">
        <f aca="false">IF(AND(ISNUMBER(AN266),ISNUMBER(AI266)),IFERROR(AN266/AI266-1,""),"")</f>
        <v>-0.00169840818646916</v>
      </c>
      <c r="AO271" s="25" t="n">
        <f aca="false">IF(AND(ISNUMBER(AO266),ISNUMBER(AJ266)),IFERROR(AO266/AJ266-1,""),"")</f>
        <v>-0.0543528102665056</v>
      </c>
      <c r="AP271" s="25" t="n">
        <f aca="false">IF(AND(ISNUMBER(AP266),ISNUMBER(AK266)),IFERROR(AP266/AK266-1,""),"")</f>
        <v>-0.0361441466342158</v>
      </c>
      <c r="AQ271" s="25" t="n">
        <f aca="false">IF(AND(ISNUMBER(AQ266),ISNUMBER(AL266)),IFERROR(AQ266/AL266-1,""),"")</f>
        <v>0.122170530277228</v>
      </c>
      <c r="AR271" s="25" t="n">
        <f aca="false">IF(AND(ISNUMBER(AR266),ISNUMBER(AM266)),IFERROR(AR266/AM266-1,""),"")</f>
        <v>0.0898962826828667</v>
      </c>
      <c r="AS271" s="25" t="n">
        <f aca="false">IF(AND(ISNUMBER(AS266),ISNUMBER(AN266)),IFERROR(AS266/AN266-1,""),"")</f>
        <v>0.0618446079669426</v>
      </c>
      <c r="AT271" s="25" t="n">
        <f aca="false">IF(AND(ISNUMBER(AT266),ISNUMBER(AO266)),IFERROR(AT266/AO266-1,""),"")</f>
        <v>0.324621441473203</v>
      </c>
      <c r="AU271" s="25" t="n">
        <f aca="false">IF(AND(ISNUMBER(AU266),ISNUMBER(AP266)),IFERROR(AU266/AP266-1,""),"")</f>
        <v>0.636768356695729</v>
      </c>
      <c r="AV271" s="25" t="n">
        <f aca="false">IF(AND(ISNUMBER(AV266),ISNUMBER(AQ266)),IFERROR(AV266/AQ266-1,""),"")</f>
        <v>0.631623894468504</v>
      </c>
      <c r="AW271" s="25" t="n">
        <f aca="false">IF(AND(ISNUMBER(AW266),ISNUMBER(AR266)),IFERROR(AW266/AR266-1,""),"")</f>
        <v>0.434207245780005</v>
      </c>
      <c r="AX271" s="25" t="n">
        <f aca="false">IF(AND(ISNUMBER(AX266),ISNUMBER(AS266)),IFERROR(AX266/AS266-1,""),"")</f>
        <v>1.40777574476034</v>
      </c>
      <c r="AY271" s="25" t="n">
        <f aca="false">IF(AND(ISNUMBER(AY266),ISNUMBER(AT266)),IFERROR(AY266/AT266-1,""),"")</f>
        <v>0.705599775129506</v>
      </c>
      <c r="AZ271" s="25" t="n">
        <f aca="false">IF(AND(ISNUMBER(AZ266),ISNUMBER(AU266)),IFERROR(AZ266/AU266-1,""),"")</f>
        <v>0.387000190396288</v>
      </c>
      <c r="BA271" s="25" t="n">
        <f aca="false">IF(AND(ISNUMBER(BA266),ISNUMBER(AV266)),IFERROR(BA266/AV266-1,""),"")</f>
        <v>0.28961633233209</v>
      </c>
      <c r="BB271" s="25" t="n">
        <f aca="false">IF(AND(ISNUMBER(BB266),ISNUMBER(AW266)),IFERROR(BB266/AW266-1,""),"")</f>
        <v>0.591241430616417</v>
      </c>
      <c r="BC271" s="25" t="n">
        <f aca="false">IF(AND(ISNUMBER(BC266),ISNUMBER(AX266)),IFERROR(BC266/AX266-1,""),"")</f>
        <v>0.0913772751068138</v>
      </c>
      <c r="BD271" s="25" t="n">
        <f aca="false">IF(AND(ISNUMBER(BD266),ISNUMBER(AY266)),IFERROR(BD266/AY266-1,""),"")</f>
        <v>0.125529661016949</v>
      </c>
      <c r="BE271" s="25" t="n">
        <f aca="false">IF(AND(ISNUMBER(BE266),ISNUMBER(AZ266)),IFERROR(BE266/AZ266-1,""),"")</f>
        <v>0.0662238491005591</v>
      </c>
      <c r="BF271" s="25" t="n">
        <f aca="false">IF(AND(ISNUMBER(BF266),ISNUMBER(BA266)),IFERROR(BF266/BA266-1,""),"")</f>
        <v>-0.056396757548681</v>
      </c>
      <c r="BG271" s="25" t="n">
        <f aca="false">IF(AND(ISNUMBER(BG266),ISNUMBER(BB266)),IFERROR(BG266/BB266-1,""),"")</f>
        <v>-0.0361020752630454</v>
      </c>
      <c r="BH271" s="25" t="n">
        <f aca="false">IF(AND(ISNUMBER(BH266),ISNUMBER(BC266)),IFERROR(BH266/BC266-1,""),"")</f>
        <v>-0.257892606087373</v>
      </c>
      <c r="BI271" s="25" t="n">
        <f aca="false">IF(AND(ISNUMBER(BI266),ISNUMBER(BD266)),IFERROR(BI266/BD266-1,""),"")</f>
        <v>-0.375843137254902</v>
      </c>
      <c r="BJ271" s="25" t="n">
        <f aca="false">IF(AND(ISNUMBER(BJ266),ISNUMBER(BE266)),IFERROR(BJ266/BE266-1,""),"")</f>
        <v>-0.329636363636364</v>
      </c>
      <c r="BK271" s="25" t="n">
        <f aca="false">IF(AND(ISNUMBER(BK266),ISNUMBER(BF266)),IFERROR(BK266/BF266-1,""),"")</f>
        <v>-0.179782111072063</v>
      </c>
      <c r="BL271" s="25" t="n">
        <f aca="false">IF(AND(ISNUMBER(BL266),ISNUMBER(BG266)),IFERROR(BL266/BG266-1,""),"")</f>
        <v>-0.218846480653249</v>
      </c>
      <c r="BM271" s="25" t="n">
        <f aca="false">IF(AND(ISNUMBER(BM266),ISNUMBER(BH266)),IFERROR(BM266/BH266-1,""),"")</f>
        <v>-0.0609749581332307</v>
      </c>
      <c r="BN271" s="25" t="n">
        <f aca="false">IF(AND(ISNUMBER(BN266),ISNUMBER(BI266)),IFERROR(BN266/BI266-1,""),"")</f>
        <v>-0.00683301773968503</v>
      </c>
      <c r="BO271" s="25" t="n">
        <f aca="false">IF(AND(ISNUMBER(BO266),ISNUMBER(BJ266)),IFERROR(BO266/BJ266-1,""),"")</f>
        <v>-0.00682944248538131</v>
      </c>
      <c r="BP271" s="25" t="n">
        <f aca="false">IF(AND(ISNUMBER(BP266),ISNUMBER(BK266)),IFERROR(BP266/BK266-1,""),"")</f>
        <v>0.0234790548541257</v>
      </c>
      <c r="BQ271" s="25" t="n">
        <f aca="false">IF(AND(ISNUMBER(BQ266),ISNUMBER(BL266)),IFERROR(BQ266/BL266-1,""),"")</f>
        <v>-0.0135727962987797</v>
      </c>
      <c r="BR271" s="25" t="n">
        <f aca="false">IF(AND(ISNUMBER(BR266),ISNUMBER(BM266)),IFERROR(BR266/BM266-1,""),"")</f>
        <v>-0.020719361542071</v>
      </c>
      <c r="BS271" s="25" t="n">
        <f aca="false">IF(AND(ISNUMBER(BS266),ISNUMBER(BN266)),IFERROR(BS266/BN266-1,""),"")</f>
        <v>0.0511690786530563</v>
      </c>
      <c r="BT271" s="25" t="n">
        <f aca="false">IF(AND(ISNUMBER(BT266),ISNUMBER(BO266)),IFERROR(BT266/BO266-1,""),"")</f>
        <v>0.106481022303457</v>
      </c>
      <c r="BU271" s="25" t="n">
        <f aca="false">IF(AND(ISNUMBER(BU266),ISNUMBER(BP266)),IFERROR(BU266/BP266-1,""),"")</f>
        <v>0.0492248709544307</v>
      </c>
      <c r="BV271" s="25" t="n">
        <f aca="false">IF(AND(ISNUMBER(BV266),ISNUMBER(BQ266)),IFERROR(BV266/BQ266-1,""),"")</f>
        <v>0.0419532678151149</v>
      </c>
      <c r="BW271" s="25" t="n">
        <f aca="false">IF(AND(ISNUMBER(BW266),ISNUMBER(BR266)),IFERROR(BW266/BR266-1,""),"")</f>
        <v>0.0912251702218314</v>
      </c>
      <c r="BX271" s="25" t="n">
        <f aca="false">IF(AND(ISNUMBER(BX266),ISNUMBER(BS266)),IFERROR(BX266/BS266-1,""),"")</f>
        <v>0.0760833917984227</v>
      </c>
      <c r="BY271" s="26" t="n">
        <f aca="false">IF(AND(ISNUMBER(BY266),ISNUMBER(BT266)),IFERROR(BY266/BT266-1,""),"")</f>
        <v>0.0183888032294481</v>
      </c>
      <c r="BZ271" s="26" t="n">
        <f aca="false">IF(AND(ISNUMBER(BZ266),ISNUMBER(BU266)),IFERROR(BZ266/BU266-1,""),"")</f>
        <v>0.162524106668699</v>
      </c>
      <c r="CA271" s="26" t="n">
        <f aca="false">IF(AND(ISNUMBER(CA266),ISNUMBER(BV266)),IFERROR(CA266/BV266-1,""),"")</f>
        <v>0.0935168569636291</v>
      </c>
      <c r="CB271" s="26" t="n">
        <f aca="false">IF(AND(ISNUMBER(CB266),ISNUMBER(CA266)),IFERROR(CB266/CA266-1,""),"")</f>
        <v>0.100366871121131</v>
      </c>
      <c r="CC271" s="26" t="n">
        <f aca="false">IF(AND(ISNUMBER(CC266),ISNUMBER(CB266)),IFERROR(CC266/CB266-1,""),"")</f>
        <v>0.117449317265413</v>
      </c>
      <c r="CD271" s="26" t="n">
        <f aca="false">IF(AND(ISNUMBER(CD266),ISNUMBER(CC266)),IFERROR(CD266/CC266-1,""),"")</f>
        <v>0.116180050831804</v>
      </c>
      <c r="CE271" s="26" t="n">
        <f aca="false">IF(AND(ISNUMBER(CE266),ISNUMBER(CD266)),IFERROR(CE266/CD266-1,""),"")</f>
        <v>0.119471266176503</v>
      </c>
      <c r="CF271" s="7"/>
    </row>
    <row r="272" customFormat="false" ht="15" hidden="false" customHeight="true" outlineLevel="0" collapsed="false"/>
    <row r="273" customFormat="false" ht="15" hidden="false" customHeight="true" outlineLevel="0" collapsed="false">
      <c r="B273" s="12" t="s">
        <v>442</v>
      </c>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t="s">
        <v>443</v>
      </c>
    </row>
    <row r="274" customFormat="false" ht="15" hidden="false" customHeight="true" outlineLevel="0" collapsed="false">
      <c r="B274" s="24" t="s">
        <v>248</v>
      </c>
      <c r="D274" s="25" t="n">
        <f aca="false">IF(AND(ISNUMBER(D178),ISNUMBER(C178)),IFERROR(D178/C178-1,""),"")</f>
        <v>0.164777469073853</v>
      </c>
      <c r="E274" s="25" t="n">
        <f aca="false">IF(AND(ISNUMBER(E178),ISNUMBER(D178)),IFERROR(E178/D178-1,""),"")</f>
        <v>0.151606671564226</v>
      </c>
      <c r="F274" s="25" t="n">
        <f aca="false">IF(AND(ISNUMBER(F178),ISNUMBER(E178)),IFERROR(F178/E178-1,""),"")</f>
        <v>-0.11912581216775</v>
      </c>
      <c r="G274" s="25" t="n">
        <f aca="false">IF(AND(ISNUMBER(G178),ISNUMBER(F178)),IFERROR(G178/F178-1,""),"")</f>
        <v>0.122048476070416</v>
      </c>
      <c r="H274" s="25" t="n">
        <f aca="false">IF(AND(ISNUMBER(H178),ISNUMBER(G178)),IFERROR(H178/G178-1,""),"")</f>
        <v>0.282111553784861</v>
      </c>
      <c r="I274" s="25" t="n">
        <f aca="false">IF(AND(ISNUMBER(I178),ISNUMBER(H178)),IFERROR(I178/H178-1,""),"")</f>
        <v>0.134855970914515</v>
      </c>
      <c r="N274" s="25" t="n">
        <f aca="false">IF(AND(ISNUMBER(N178),ISNUMBER(I178)),IFERROR(N178/I178-1,""),"")</f>
        <v>0.0469650171956801</v>
      </c>
      <c r="O274" s="25" t="n">
        <f aca="false">IF(AND(ISNUMBER(O178),ISNUMBER(J178)),IFERROR(O178/J178-1,""),"")</f>
        <v>0.0490471797871623</v>
      </c>
      <c r="P274" s="25" t="n">
        <f aca="false">IF(AND(ISNUMBER(P178),ISNUMBER(K178)),IFERROR(P178/K178-1,""),"")</f>
        <v>0.0477255936675463</v>
      </c>
      <c r="Q274" s="25" t="n">
        <f aca="false">IF(AND(ISNUMBER(Q178),ISNUMBER(L178)),IFERROR(Q178/L178-1,""),"")</f>
        <v>0.00813861343727917</v>
      </c>
      <c r="R274" s="25" t="n">
        <f aca="false">IF(AND(ISNUMBER(R178),ISNUMBER(M178)),IFERROR(R178/M178-1,""),"")</f>
        <v>-0.00806956917994195</v>
      </c>
      <c r="S274" s="25" t="n">
        <f aca="false">IF(AND(ISNUMBER(S178),ISNUMBER(N178)),IFERROR(S178/N178-1,""),"")</f>
        <v>0.00188304215922175</v>
      </c>
      <c r="T274" s="25" t="n">
        <f aca="false">IF(AND(ISNUMBER(T178),ISNUMBER(O178)),IFERROR(T178/O178-1,""),"")</f>
        <v>0.00686297638707178</v>
      </c>
      <c r="U274" s="25" t="n">
        <f aca="false">IF(AND(ISNUMBER(U178),ISNUMBER(P178)),IFERROR(U178/P178-1,""),"")</f>
        <v>-0.000684986703199386</v>
      </c>
      <c r="V274" s="25" t="n">
        <f aca="false">IF(AND(ISNUMBER(V178),ISNUMBER(Q178)),IFERROR(V178/Q178-1,""),"")</f>
        <v>-0.253850566166005</v>
      </c>
      <c r="W274" s="25" t="n">
        <f aca="false">IF(AND(ISNUMBER(W178),ISNUMBER(R178)),IFERROR(W178/R178-1,""),"")</f>
        <v>-0.172504881130125</v>
      </c>
      <c r="X274" s="25" t="n">
        <f aca="false">IF(AND(ISNUMBER(X178),ISNUMBER(S178)),IFERROR(X178/S178-1,""),"")</f>
        <v>-0.246439386029028</v>
      </c>
      <c r="Y274" s="25" t="n">
        <f aca="false">IF(AND(ISNUMBER(Y178),ISNUMBER(T178)),IFERROR(Y178/T178-1,""),"")</f>
        <v>-0.164142543719514</v>
      </c>
      <c r="Z274" s="25" t="n">
        <f aca="false">IF(AND(ISNUMBER(Z178),ISNUMBER(U178)),IFERROR(Z178/U178-1,""),"")</f>
        <v>-0.144812709164953</v>
      </c>
      <c r="AA274" s="25" t="n">
        <f aca="false">IF(AND(ISNUMBER(AA178),ISNUMBER(V178)),IFERROR(AA178/V178-1,""),"")</f>
        <v>0.176499060417972</v>
      </c>
      <c r="AB274" s="25" t="n">
        <f aca="false">IF(AND(ISNUMBER(AB178),ISNUMBER(W178)),IFERROR(AB178/W178-1,""),"")</f>
        <v>0.0604441360166552</v>
      </c>
      <c r="AC274" s="25" t="n">
        <f aca="false">IF(AND(ISNUMBER(AC178),ISNUMBER(X178)),IFERROR(AC178/X178-1,""),"")</f>
        <v>0.169651579290134</v>
      </c>
      <c r="AD274" s="25" t="n">
        <f aca="false">IF(AND(ISNUMBER(AD178),ISNUMBER(Y178)),IFERROR(AD178/Y178-1,""),"")</f>
        <v>0.0717616778369563</v>
      </c>
      <c r="AE274" s="25" t="n">
        <f aca="false">IF(AND(ISNUMBER(AE178),ISNUMBER(Z178)),IFERROR(AE178/Z178-1,""),"")</f>
        <v>0.0632263844032157</v>
      </c>
      <c r="AF274" s="25" t="n">
        <f aca="false">IF(AND(ISNUMBER(AF178),ISNUMBER(AA178)),IFERROR(AF178/AA178-1,""),"")</f>
        <v>0.0958592483240965</v>
      </c>
      <c r="AG274" s="25" t="n">
        <f aca="false">IF(AND(ISNUMBER(AG178),ISNUMBER(AB178)),IFERROR(AG178/AB178-1,""),"")</f>
        <v>0.109373295813974</v>
      </c>
      <c r="AH274" s="25" t="n">
        <f aca="false">IF(AND(ISNUMBER(AH178),ISNUMBER(AC178)),IFERROR(AH178/AC178-1,""),"")</f>
        <v>0.0857283324645783</v>
      </c>
      <c r="AI274" s="25" t="n">
        <f aca="false">IF(AND(ISNUMBER(AI178),ISNUMBER(AD178)),IFERROR(AI178/AD178-1,""),"")</f>
        <v>0.116437216159022</v>
      </c>
      <c r="AJ274" s="25" t="n">
        <f aca="false">IF(AND(ISNUMBER(AJ178),ISNUMBER(AE178)),IFERROR(AJ178/AE178-1,""),"")</f>
        <v>0.104410101771579</v>
      </c>
      <c r="AK274" s="25" t="n">
        <f aca="false">IF(AND(ISNUMBER(AK178),ISNUMBER(AF178)),IFERROR(AK178/AF178-1,""),"")</f>
        <v>0.0717503643831987</v>
      </c>
      <c r="AL274" s="25" t="n">
        <f aca="false">IF(AND(ISNUMBER(AL178),ISNUMBER(AG178)),IFERROR(AL178/AG178-1,""),"")</f>
        <v>-0.0946182433096722</v>
      </c>
      <c r="AM274" s="25" t="n">
        <f aca="false">IF(AND(ISNUMBER(AM178),ISNUMBER(AH178)),IFERROR(AM178/AH178-1,""),"")</f>
        <v>-0.0698974887750482</v>
      </c>
      <c r="AN274" s="25" t="n">
        <f aca="false">IF(AND(ISNUMBER(AN178),ISNUMBER(AI178)),IFERROR(AN178/AI178-1,""),"")</f>
        <v>-0.1012054351067</v>
      </c>
      <c r="AO274" s="25" t="n">
        <f aca="false">IF(AND(ISNUMBER(AO178),ISNUMBER(AJ178)),IFERROR(AO178/AJ178-1,""),"")</f>
        <v>-0.107709295322225</v>
      </c>
      <c r="AP274" s="25" t="n">
        <f aca="false">IF(AND(ISNUMBER(AP178),ISNUMBER(AK178)),IFERROR(AP178/AK178-1,""),"")</f>
        <v>-0.0978961900640828</v>
      </c>
      <c r="AQ274" s="25" t="n">
        <f aca="false">IF(AND(ISNUMBER(AQ178),ISNUMBER(AL178)),IFERROR(AQ178/AL178-1,""),"")</f>
        <v>0.0573134976653273</v>
      </c>
      <c r="AR274" s="25" t="n">
        <f aca="false">IF(AND(ISNUMBER(AR178),ISNUMBER(AM178)),IFERROR(AR178/AM178-1,""),"")</f>
        <v>0.0505968267002961</v>
      </c>
      <c r="AS274" s="25" t="n">
        <f aca="false">IF(AND(ISNUMBER(AS178),ISNUMBER(AN178)),IFERROR(AS178/AN178-1,""),"")</f>
        <v>0.029121842566703</v>
      </c>
      <c r="AT274" s="25" t="n">
        <f aca="false">IF(AND(ISNUMBER(AT178),ISNUMBER(AO178)),IFERROR(AT178/AO178-1,""),"")</f>
        <v>0.191900101248734</v>
      </c>
      <c r="AU274" s="25" t="n">
        <f aca="false">IF(AND(ISNUMBER(AU178),ISNUMBER(AP178)),IFERROR(AU178/AP178-1,""),"")</f>
        <v>0.343809958885336</v>
      </c>
      <c r="AV274" s="25" t="n">
        <f aca="false">IF(AND(ISNUMBER(AV178),ISNUMBER(AQ178)),IFERROR(AV178/AQ178-1,""),"")</f>
        <v>0.388546545066141</v>
      </c>
      <c r="AW274" s="25" t="n">
        <f aca="false">IF(AND(ISNUMBER(AW178),ISNUMBER(AR178)),IFERROR(AW178/AR178-1,""),"")</f>
        <v>0.244144692397452</v>
      </c>
      <c r="AX274" s="25" t="n">
        <f aca="false">IF(AND(ISNUMBER(AX178),ISNUMBER(AS178)),IFERROR(AX178/AS178-1,""),"")</f>
        <v>0.579056434344132</v>
      </c>
      <c r="AY274" s="25" t="n">
        <f aca="false">IF(AND(ISNUMBER(AY178),ISNUMBER(AT178)),IFERROR(AY178/AT178-1,""),"")</f>
        <v>0.362555215766225</v>
      </c>
      <c r="AZ274" s="25" t="n">
        <f aca="false">IF(AND(ISNUMBER(AZ178),ISNUMBER(AU178)),IFERROR(AZ178/AU178-1,""),"")</f>
        <v>0.228753059559423</v>
      </c>
      <c r="BA274" s="25" t="n">
        <f aca="false">IF(AND(ISNUMBER(BA178),ISNUMBER(AV178)),IFERROR(BA178/AV178-1,""),"")</f>
        <v>0.205325443786982</v>
      </c>
      <c r="BB274" s="25" t="n">
        <f aca="false">IF(AND(ISNUMBER(BB178),ISNUMBER(AW178)),IFERROR(BB178/AW178-1,""),"")</f>
        <v>0.321710644408544</v>
      </c>
      <c r="BC274" s="25" t="n">
        <f aca="false">IF(AND(ISNUMBER(BC178),ISNUMBER(AX178)),IFERROR(BC178/AX178-1,""),"")</f>
        <v>0.121026538349373</v>
      </c>
      <c r="BD274" s="25" t="n">
        <f aca="false">IF(AND(ISNUMBER(BD178),ISNUMBER(AY178)),IFERROR(BD178/AY178-1,""),"")</f>
        <v>0.073843169853145</v>
      </c>
      <c r="BE274" s="25" t="n">
        <f aca="false">IF(AND(ISNUMBER(BE178),ISNUMBER(AZ178)),IFERROR(BE178/AZ178-1,""),"")</f>
        <v>0.0600359662470604</v>
      </c>
      <c r="BF274" s="25" t="n">
        <f aca="false">IF(AND(ISNUMBER(BF178),ISNUMBER(BA178)),IFERROR(BF178/BA178-1,""),"")</f>
        <v>-0.124447717231222</v>
      </c>
      <c r="BG274" s="25" t="n">
        <f aca="false">IF(AND(ISNUMBER(BG178),ISNUMBER(BB178)),IFERROR(BG178/BB178-1,""),"")</f>
        <v>-0.0954062404508879</v>
      </c>
      <c r="BH274" s="25" t="n">
        <f aca="false">IF(AND(ISNUMBER(BH178),ISNUMBER(BC178)),IFERROR(BH178/BC178-1,""),"")</f>
        <v>-0.226196670135276</v>
      </c>
      <c r="BI274" s="25" t="n">
        <f aca="false">IF(AND(ISNUMBER(BI178),ISNUMBER(BD178)),IFERROR(BI178/BD178-1,""),"")</f>
        <v>-0.237259708424719</v>
      </c>
      <c r="BJ274" s="25" t="n">
        <f aca="false">IF(AND(ISNUMBER(BJ178),ISNUMBER(BE178)),IFERROR(BJ178/BE178-1,""),"")</f>
        <v>-0.266083779198747</v>
      </c>
      <c r="BK274" s="25" t="n">
        <f aca="false">IF(AND(ISNUMBER(BK178),ISNUMBER(BF178)),IFERROR(BK178/BF178-1,""),"")</f>
        <v>-0.102186711522288</v>
      </c>
      <c r="BL274" s="25" t="n">
        <f aca="false">IF(AND(ISNUMBER(BL178),ISNUMBER(BG178)),IFERROR(BL178/BG178-1,""),"")</f>
        <v>-0.103329204669144</v>
      </c>
      <c r="BM274" s="25" t="n">
        <f aca="false">IF(AND(ISNUMBER(BM178),ISNUMBER(BH178)),IFERROR(BM178/BH178-1,""),"")</f>
        <v>-0.0257186081694403</v>
      </c>
      <c r="BN274" s="25" t="n">
        <f aca="false">IF(AND(ISNUMBER(BN178),ISNUMBER(BI178)),IFERROR(BN178/BI178-1,""),"")</f>
        <v>-0.0285859269282814</v>
      </c>
      <c r="BO274" s="25" t="n">
        <f aca="false">IF(AND(ISNUMBER(BO178),ISNUMBER(BJ178)),IFERROR(BO178/BJ178-1,""),"")</f>
        <v>0.0309388335704126</v>
      </c>
      <c r="BP274" s="25" t="n">
        <f aca="false">IF(AND(ISNUMBER(BP178),ISNUMBER(BK178)),IFERROR(BP178/BK178-1,""),"")</f>
        <v>0.0207650273224043</v>
      </c>
      <c r="BQ274" s="25" t="n">
        <f aca="false">IF(AND(ISNUMBER(BQ178),ISNUMBER(BL178)),IFERROR(BQ178/BL178-1,""),"")</f>
        <v>-0.000627877773126784</v>
      </c>
      <c r="BR274" s="25" t="n">
        <f aca="false">IF(AND(ISNUMBER(BR178),ISNUMBER(BM178)),IFERROR(BR178/BM178-1,""),"")</f>
        <v>-0.00948930296756378</v>
      </c>
      <c r="BS274" s="25" t="n">
        <f aca="false">IF(AND(ISNUMBER(BS178),ISNUMBER(BN178)),IFERROR(BS178/BN178-1,""),"")</f>
        <v>0.0336061292007661</v>
      </c>
      <c r="BT274" s="25" t="n">
        <f aca="false">IF(AND(ISNUMBER(BT178),ISNUMBER(BO178)),IFERROR(BT178/BO178-1,""),"")</f>
        <v>0.0439806829941358</v>
      </c>
      <c r="BU274" s="25" t="n">
        <f aca="false">IF(AND(ISNUMBER(BU178),ISNUMBER(BP178)),IFERROR(BU178/BP178-1,""),"")</f>
        <v>0.0458855919241359</v>
      </c>
      <c r="BV274" s="25" t="n">
        <f aca="false">IF(AND(ISNUMBER(BV178),ISNUMBER(BQ178)),IFERROR(BV178/BQ178-1,""),"")</f>
        <v>0.0290261780104713</v>
      </c>
      <c r="BW274" s="25" t="n">
        <f aca="false">IF(AND(ISNUMBER(BW178),ISNUMBER(BR178)),IFERROR(BW178/BR178-1,""),"")</f>
        <v>0.0365789932067584</v>
      </c>
      <c r="BX274" s="25" t="n">
        <f aca="false">IF(AND(ISNUMBER(BX178),ISNUMBER(BS178)),IFERROR(BX178/BS178-1,""),"")</f>
        <v>0.0554245283018868</v>
      </c>
      <c r="BY274" s="26" t="n">
        <f aca="false">IF(AND(ISNUMBER(BY178),ISNUMBER(BT178)),IFERROR(BY178/BT178-1,""),"")</f>
        <v>0.0933179169937397</v>
      </c>
      <c r="BZ274" s="26" t="n">
        <f aca="false">IF(AND(ISNUMBER(BZ178),ISNUMBER(BU178)),IFERROR(BZ178/BU178-1,""),"")</f>
        <v>0.12087827558305</v>
      </c>
      <c r="CA274" s="26" t="n">
        <f aca="false">IF(AND(ISNUMBER(CA178),ISNUMBER(BV178)),IFERROR(CA178/BV178-1,""),"")</f>
        <v>0.0785745278410941</v>
      </c>
      <c r="CB274" s="26" t="n">
        <f aca="false">IF(AND(ISNUMBER(CB178),ISNUMBER(CA178)),IFERROR(CB178/CA178-1,""),"")</f>
        <v>0.0938676515298342</v>
      </c>
      <c r="CC274" s="26" t="n">
        <f aca="false">IF(AND(ISNUMBER(CC178),ISNUMBER(CB178)),IFERROR(CC178/CB178-1,""),"")</f>
        <v>0.0655081138269944</v>
      </c>
      <c r="CD274" s="26" t="n">
        <f aca="false">IF(AND(ISNUMBER(CD178),ISNUMBER(CC178)),IFERROR(CD178/CC178-1,""),"")</f>
        <v>0.0708596705258719</v>
      </c>
      <c r="CE274" s="26" t="n">
        <f aca="false">IF(AND(ISNUMBER(CE178),ISNUMBER(CD178)),IFERROR(CE178/CD178-1,""),"")</f>
        <v>0.0713828241414765</v>
      </c>
      <c r="CF274" s="7"/>
      <c r="CH274" s="32" t="n">
        <f aca="false">IFERROR(AVERAGE(CA274,CB274,CC274,CD274,CE274),"n/m")</f>
        <v>0.0760385575730542</v>
      </c>
      <c r="CI274" s="32" t="n">
        <f aca="false">IFERROR(AVERAGE(BB274,BG274,BL274,BQ274,BV274),"n/m")</f>
        <v>0.0302746999051714</v>
      </c>
      <c r="CJ274" s="32" t="n">
        <f aca="false">IFERROR(AVERAGE(AC274,AH274,AM274,AR274,AW274,BB274,BG274,BL274,BQ274,BV274),"n/m")</f>
        <v>0.0631597441603269</v>
      </c>
      <c r="CK274" s="32" t="n">
        <f aca="false">IFERROR(AVERAGE(C274,D274,E274,F274,G274,H274,I274,N274,S274,X274,AC274,AH274,AM274,AR274,AW274,BB274,BG274,BL274,BQ274,BV274),"n/m")</f>
        <v>0.061593707587856</v>
      </c>
    </row>
    <row r="275" customFormat="false" ht="15" hidden="false" customHeight="true" outlineLevel="0" collapsed="false">
      <c r="B275" s="24" t="s">
        <v>444</v>
      </c>
      <c r="D275" s="25" t="n">
        <f aca="false">D122</f>
        <v>0.045</v>
      </c>
      <c r="E275" s="25" t="n">
        <f aca="false">E122</f>
        <v>0.025</v>
      </c>
      <c r="F275" s="25" t="n">
        <f aca="false">F122</f>
        <v>-0.12</v>
      </c>
      <c r="G275" s="25" t="n">
        <f aca="false">G122</f>
        <v>0.115</v>
      </c>
      <c r="H275" s="25" t="n">
        <f aca="false">H122</f>
        <v>0.07</v>
      </c>
      <c r="I275" s="25" t="n">
        <f aca="false">I122</f>
        <v>0.025</v>
      </c>
      <c r="N275" s="25" t="n">
        <f aca="false">N122</f>
        <v>0.025</v>
      </c>
      <c r="O275" s="25" t="n">
        <f aca="false">O122</f>
        <v>0.035</v>
      </c>
      <c r="P275" s="25" t="n">
        <f aca="false">P122</f>
        <v>0.03</v>
      </c>
      <c r="Q275" s="25" t="n">
        <f aca="false">Q122</f>
        <v>0.03</v>
      </c>
      <c r="R275" s="25" t="n">
        <f aca="false">R122</f>
        <v>0.04</v>
      </c>
      <c r="S275" s="25" t="n">
        <f aca="false">S122</f>
        <v>0.035</v>
      </c>
      <c r="T275" s="25" t="n">
        <f aca="false">T122</f>
        <v>0.05</v>
      </c>
      <c r="U275" s="25" t="n">
        <f aca="false">U122</f>
        <v>0.035</v>
      </c>
      <c r="V275" s="25" t="n">
        <f aca="false">V122</f>
        <v>0.03</v>
      </c>
      <c r="W275" s="25" t="n">
        <f aca="false">W122</f>
        <v>0</v>
      </c>
      <c r="X275" s="25" t="n">
        <f aca="false">X122</f>
        <v>0.03</v>
      </c>
      <c r="Y275" s="25" t="n">
        <f aca="false">Y122</f>
        <v>0.005</v>
      </c>
      <c r="Z275" s="25" t="n">
        <f aca="false">Z122</f>
        <v>0.02</v>
      </c>
      <c r="AA275" s="25" t="n">
        <f aca="false">AA122</f>
        <v>0.03</v>
      </c>
      <c r="AB275" s="25" t="n">
        <f aca="false">AB122</f>
        <v>0.035</v>
      </c>
      <c r="AC275" s="25" t="n">
        <f aca="false">AC122</f>
        <v>0.03</v>
      </c>
      <c r="AD275" s="25" t="n">
        <f aca="false">AD122</f>
        <v>0.025</v>
      </c>
      <c r="AE275" s="25" t="n">
        <f aca="false">AE122</f>
        <v>0.02</v>
      </c>
      <c r="AF275" s="25" t="n">
        <f aca="false">AF122</f>
        <v>0.03</v>
      </c>
      <c r="AG275" s="25" t="n">
        <f aca="false">AG122</f>
        <v>0.055</v>
      </c>
      <c r="AH275" s="25" t="n">
        <f aca="false">AH122</f>
        <v>0.035</v>
      </c>
      <c r="AI275" s="25" t="n">
        <f aca="false">AI122</f>
        <v>0.055</v>
      </c>
      <c r="AJ275" s="25" t="n">
        <f aca="false">AJ122</f>
        <v>0.06</v>
      </c>
      <c r="AK275" s="25" t="n">
        <f aca="false">AK122</f>
        <v>0.065</v>
      </c>
      <c r="AL275" s="25" t="n">
        <f aca="false">AL122</f>
        <v>0.055</v>
      </c>
      <c r="AM275" s="25" t="n">
        <f aca="false">AM122</f>
        <v>0.06</v>
      </c>
      <c r="AN275" s="25" t="n">
        <f aca="false">AN122</f>
        <v>0.055</v>
      </c>
      <c r="AO275" s="25" t="n">
        <f aca="false">AO122</f>
        <v>0.055</v>
      </c>
      <c r="AP275" s="25" t="n">
        <f aca="false">AP122</f>
        <v>0.05</v>
      </c>
      <c r="AQ275" s="25" t="n">
        <f aca="false">AQ122</f>
        <v>0.06</v>
      </c>
      <c r="AR275" s="25" t="n">
        <f aca="false">AR122</f>
        <v>0.06</v>
      </c>
      <c r="AS275" s="25" t="n">
        <f aca="false">AS122</f>
        <v>0.045</v>
      </c>
      <c r="AT275" s="25" t="n">
        <f aca="false">AT122</f>
        <v>-0.005</v>
      </c>
      <c r="AU275" s="25" t="n">
        <f aca="false">AU122</f>
        <v>0.09</v>
      </c>
      <c r="AV275" s="25" t="n">
        <f aca="false">AV122</f>
        <v>0.12</v>
      </c>
      <c r="AW275" s="25" t="n">
        <f aca="false">AW122</f>
        <v>0.065</v>
      </c>
      <c r="AX275" s="25" t="n">
        <f aca="false">AX122</f>
        <v>0.2</v>
      </c>
      <c r="AY275" s="25" t="n">
        <f aca="false">AY122</f>
        <v>0.315</v>
      </c>
      <c r="AZ275" s="25" t="n">
        <f aca="false">AZ122</f>
        <v>0.205</v>
      </c>
      <c r="BA275" s="25" t="n">
        <f aca="false">BA122</f>
        <v>0.195</v>
      </c>
      <c r="BB275" s="25" t="n">
        <f aca="false">BB122</f>
        <v>0.23</v>
      </c>
      <c r="BC275" s="25" t="n">
        <f aca="false">BC122</f>
        <v>0.12</v>
      </c>
      <c r="BD275" s="25" t="n">
        <f aca="false">BD122</f>
        <v>0.095</v>
      </c>
      <c r="BE275" s="25" t="n">
        <f aca="false">BE122</f>
        <v>0.1</v>
      </c>
      <c r="BF275" s="25" t="n">
        <f aca="false">BF122</f>
        <v>0.075</v>
      </c>
      <c r="BG275" s="25" t="n">
        <f aca="false">BG122</f>
        <v>0.095</v>
      </c>
      <c r="BH275" s="25" t="n">
        <f aca="false">BH122</f>
        <v>-0.04</v>
      </c>
      <c r="BI275" s="25" t="n">
        <f aca="false">BI122</f>
        <v>-0.07</v>
      </c>
      <c r="BJ275" s="25" t="n">
        <f aca="false">BJ122</f>
        <v>-0.115</v>
      </c>
      <c r="BK275" s="25" t="n">
        <f aca="false">BK122</f>
        <v>-0.115</v>
      </c>
      <c r="BL275" s="25" t="n">
        <f aca="false">BL122</f>
        <v>-0.1</v>
      </c>
      <c r="BM275" s="25" t="n">
        <f aca="false">BM122</f>
        <v>-0.04</v>
      </c>
      <c r="BN275" s="25" t="n">
        <f aca="false">BN122</f>
        <v>-0.035</v>
      </c>
      <c r="BO275" s="25" t="n">
        <f aca="false">BO122</f>
        <v>0.005</v>
      </c>
      <c r="BP275" s="25" t="n">
        <f aca="false">BP122</f>
        <v>0.01</v>
      </c>
      <c r="BQ275" s="25" t="n">
        <f aca="false">BQ122</f>
        <v>-0.015</v>
      </c>
      <c r="BR275" s="25" t="n">
        <f aca="false">BR122</f>
        <v>0</v>
      </c>
      <c r="BS275" s="25" t="n">
        <f aca="false">BS122</f>
        <v>0.015</v>
      </c>
      <c r="BT275" s="25" t="n">
        <f aca="false">BT122</f>
        <v>0.03</v>
      </c>
      <c r="BU275" s="25" t="n">
        <f aca="false">BU122</f>
        <v>0.025</v>
      </c>
      <c r="BV275" s="25" t="n">
        <f aca="false">BV122</f>
        <v>0.02</v>
      </c>
      <c r="BW275" s="25" t="n">
        <f aca="false">BW122</f>
        <v>0.005</v>
      </c>
      <c r="BX275" s="25" t="n">
        <f aca="false">BX122</f>
        <v>0.03</v>
      </c>
      <c r="BY275" s="26" t="n">
        <f aca="false">BY122</f>
        <v>0.0370334299625155</v>
      </c>
      <c r="BZ275" s="26" t="n">
        <f aca="false">BZ122</f>
        <v>0.062727646744208</v>
      </c>
      <c r="CA275" s="26" t="n">
        <f aca="false">CA122</f>
        <v>0.035</v>
      </c>
      <c r="CB275" s="26" t="n">
        <f aca="false">CB122</f>
        <v>0.0474060865132837</v>
      </c>
      <c r="CC275" s="26" t="n">
        <f aca="false">CC122</f>
        <v>0.0560206976573011</v>
      </c>
      <c r="CD275" s="26" t="n">
        <f aca="false">CD122</f>
        <v>0.0572412178861838</v>
      </c>
      <c r="CE275" s="26" t="n">
        <f aca="false">CE122</f>
        <v>0.0567454420929929</v>
      </c>
      <c r="CF275" s="7"/>
      <c r="CH275" s="32" t="n">
        <f aca="false">IFERROR(AVERAGE(CA275,CB275,CC275,CD275,CE275),"n/m")</f>
        <v>0.0504826888299523</v>
      </c>
      <c r="CI275" s="32" t="n">
        <f aca="false">IFERROR(AVERAGE(BB275,BG275,BL275,BQ275,BV275),"n/m")</f>
        <v>0.046</v>
      </c>
      <c r="CJ275" s="32" t="n">
        <f aca="false">IFERROR(AVERAGE(AC275,AH275,AM275,AR275,AW275,BB275,BG275,BL275,BQ275,BV275),"n/m")</f>
        <v>0.048</v>
      </c>
      <c r="CK275" s="32" t="n">
        <f aca="false">IFERROR(AVERAGE(C275,D275,E275,F275,G275,H275,I275,N275,S275,X275,AC275,AH275,AM275,AR275,AW275,BB275,BG275,BL275,BQ275,BV275),"n/m")</f>
        <v>0.0384210526315789</v>
      </c>
    </row>
    <row r="276" customFormat="false" ht="15" hidden="false" customHeight="true" outlineLevel="0" collapsed="false">
      <c r="B276" s="24" t="s">
        <v>445</v>
      </c>
      <c r="D276" s="25" t="str">
        <f aca="false">D12</f>
        <v/>
      </c>
      <c r="E276" s="25" t="str">
        <f aca="false">E12</f>
        <v/>
      </c>
      <c r="F276" s="25" t="str">
        <f aca="false">F12</f>
        <v/>
      </c>
      <c r="G276" s="25" t="str">
        <f aca="false">G12</f>
        <v/>
      </c>
      <c r="H276" s="25" t="str">
        <f aca="false">H12</f>
        <v/>
      </c>
      <c r="I276" s="25" t="str">
        <f aca="false">I12</f>
        <v/>
      </c>
      <c r="N276" s="25" t="str">
        <f aca="false">N12</f>
        <v/>
      </c>
      <c r="O276" s="25" t="str">
        <f aca="false">O12</f>
        <v/>
      </c>
      <c r="P276" s="25" t="str">
        <f aca="false">P12</f>
        <v/>
      </c>
      <c r="Q276" s="25" t="str">
        <f aca="false">Q12</f>
        <v/>
      </c>
      <c r="R276" s="25" t="str">
        <f aca="false">R12</f>
        <v/>
      </c>
      <c r="S276" s="25" t="str">
        <f aca="false">S12</f>
        <v/>
      </c>
      <c r="T276" s="25" t="str">
        <f aca="false">T12</f>
        <v/>
      </c>
      <c r="U276" s="25" t="str">
        <f aca="false">U12</f>
        <v/>
      </c>
      <c r="V276" s="25" t="str">
        <f aca="false">V12</f>
        <v/>
      </c>
      <c r="W276" s="25" t="str">
        <f aca="false">W12</f>
        <v/>
      </c>
      <c r="X276" s="25" t="str">
        <f aca="false">X12</f>
        <v/>
      </c>
      <c r="Y276" s="25" t="str">
        <f aca="false">Y12</f>
        <v/>
      </c>
      <c r="Z276" s="25" t="str">
        <f aca="false">Z12</f>
        <v/>
      </c>
      <c r="AA276" s="25" t="str">
        <f aca="false">AA12</f>
        <v/>
      </c>
      <c r="AB276" s="25" t="str">
        <f aca="false">AB12</f>
        <v/>
      </c>
      <c r="AC276" s="25" t="str">
        <f aca="false">AC12</f>
        <v/>
      </c>
      <c r="AD276" s="25" t="str">
        <f aca="false">AD12</f>
        <v/>
      </c>
      <c r="AE276" s="25" t="str">
        <f aca="false">AE12</f>
        <v/>
      </c>
      <c r="AF276" s="25" t="str">
        <f aca="false">AF12</f>
        <v/>
      </c>
      <c r="AG276" s="25" t="str">
        <f aca="false">AG12</f>
        <v/>
      </c>
      <c r="AH276" s="25" t="str">
        <f aca="false">AH12</f>
        <v/>
      </c>
      <c r="AI276" s="25" t="str">
        <f aca="false">AI12</f>
        <v/>
      </c>
      <c r="AJ276" s="25" t="str">
        <f aca="false">AJ12</f>
        <v/>
      </c>
      <c r="AK276" s="25" t="str">
        <f aca="false">AK12</f>
        <v/>
      </c>
      <c r="AL276" s="25" t="str">
        <f aca="false">AL12</f>
        <v/>
      </c>
      <c r="AM276" s="25" t="str">
        <f aca="false">AM12</f>
        <v/>
      </c>
      <c r="AN276" s="25" t="str">
        <f aca="false">AN12</f>
        <v/>
      </c>
      <c r="AO276" s="25" t="str">
        <f aca="false">AO12</f>
        <v/>
      </c>
      <c r="AP276" s="25" t="str">
        <f aca="false">AP12</f>
        <v/>
      </c>
      <c r="AQ276" s="25" t="str">
        <f aca="false">AQ12</f>
        <v/>
      </c>
      <c r="AR276" s="25" t="str">
        <f aca="false">AR12</f>
        <v/>
      </c>
      <c r="AS276" s="25" t="str">
        <f aca="false">AS12</f>
        <v/>
      </c>
      <c r="AT276" s="25" t="str">
        <f aca="false">AT12</f>
        <v/>
      </c>
      <c r="AU276" s="25" t="str">
        <f aca="false">AU12</f>
        <v/>
      </c>
      <c r="AV276" s="25" t="str">
        <f aca="false">AV12</f>
        <v/>
      </c>
      <c r="AW276" s="25" t="str">
        <f aca="false">AW12</f>
        <v/>
      </c>
      <c r="AX276" s="25" t="str">
        <f aca="false">AX12</f>
        <v/>
      </c>
      <c r="AY276" s="25" t="str">
        <f aca="false">AY12</f>
        <v/>
      </c>
      <c r="AZ276" s="25" t="str">
        <f aca="false">AZ12</f>
        <v/>
      </c>
      <c r="BA276" s="25" t="str">
        <f aca="false">BA12</f>
        <v/>
      </c>
      <c r="BB276" s="25" t="str">
        <f aca="false">BB12</f>
        <v/>
      </c>
      <c r="BC276" s="25" t="str">
        <f aca="false">BC12</f>
        <v/>
      </c>
      <c r="BD276" s="25" t="str">
        <f aca="false">BD12</f>
        <v/>
      </c>
      <c r="BE276" s="25" t="str">
        <f aca="false">BE12</f>
        <v/>
      </c>
      <c r="BF276" s="25" t="str">
        <f aca="false">BF12</f>
        <v/>
      </c>
      <c r="BG276" s="25" t="n">
        <f aca="false">BG12</f>
        <v>0.0219369894982497</v>
      </c>
      <c r="BH276" s="25" t="str">
        <f aca="false">BH12</f>
        <v/>
      </c>
      <c r="BI276" s="25" t="str">
        <f aca="false">BI12</f>
        <v/>
      </c>
      <c r="BJ276" s="25" t="str">
        <f aca="false">BJ12</f>
        <v/>
      </c>
      <c r="BK276" s="25" t="n">
        <f aca="false">BK12</f>
        <v>-0.208726945569051</v>
      </c>
      <c r="BL276" s="25" t="n">
        <f aca="false">BL12</f>
        <v>-0.181091573418589</v>
      </c>
      <c r="BM276" s="25" t="n">
        <f aca="false">BM12</f>
        <v>-0.182403433476395</v>
      </c>
      <c r="BN276" s="25" t="n">
        <f aca="false">BN12</f>
        <v>-0.0912466843501326</v>
      </c>
      <c r="BO276" s="25" t="n">
        <f aca="false">BO12</f>
        <v>-0.00661057692307687</v>
      </c>
      <c r="BP276" s="25" t="n">
        <f aca="false">BP12</f>
        <v>0.0625355315520182</v>
      </c>
      <c r="BQ276" s="25" t="n">
        <f aca="false">BQ12</f>
        <v>-0.057585052983826</v>
      </c>
      <c r="BR276" s="25" t="n">
        <f aca="false">BR12</f>
        <v>0.0577427821522309</v>
      </c>
      <c r="BS276" s="25" t="n">
        <f aca="false">BS12</f>
        <v>0.0799766491535319</v>
      </c>
      <c r="BT276" s="25" t="n">
        <f aca="false">BT12</f>
        <v>0.0877192982456141</v>
      </c>
      <c r="BU276" s="25" t="n">
        <f aca="false">BU12</f>
        <v>0.0877474585339755</v>
      </c>
      <c r="BV276" s="25" t="n">
        <f aca="false">BV12</f>
        <v>0.0790057700843321</v>
      </c>
      <c r="BW276" s="25" t="n">
        <f aca="false">BW12</f>
        <v>0.114764267990074</v>
      </c>
      <c r="BX276" s="25" t="n">
        <f aca="false">BX12</f>
        <v>0.0378378378378379</v>
      </c>
      <c r="BY276" s="26" t="n">
        <f aca="false">BY12</f>
        <v>0.0518194864634241</v>
      </c>
      <c r="BZ276" s="26" t="n">
        <f aca="false">BZ12</f>
        <v>0.0748194864634242</v>
      </c>
      <c r="CA276" s="26" t="n">
        <f aca="false">CA12</f>
        <v>0.0685972100152719</v>
      </c>
      <c r="CB276" s="26" t="n">
        <f aca="false">CB12</f>
        <v>0.0700000000000001</v>
      </c>
      <c r="CC276" s="26" t="n">
        <f aca="false">CC12</f>
        <v>0.075</v>
      </c>
      <c r="CD276" s="26" t="n">
        <f aca="false">CD12</f>
        <v>0.075</v>
      </c>
      <c r="CE276" s="26" t="n">
        <f aca="false">CE12</f>
        <v>0.075</v>
      </c>
      <c r="CF276" s="7"/>
    </row>
    <row r="277" customFormat="false" ht="15" hidden="false" customHeight="true" outlineLevel="0" collapsed="false">
      <c r="B277" s="24" t="s">
        <v>446</v>
      </c>
      <c r="D277" s="25" t="str">
        <f aca="false">D30</f>
        <v/>
      </c>
      <c r="E277" s="25" t="str">
        <f aca="false">E30</f>
        <v/>
      </c>
      <c r="F277" s="25" t="str">
        <f aca="false">F30</f>
        <v/>
      </c>
      <c r="G277" s="25" t="str">
        <f aca="false">G30</f>
        <v/>
      </c>
      <c r="H277" s="25" t="str">
        <f aca="false">H30</f>
        <v/>
      </c>
      <c r="I277" s="25" t="str">
        <f aca="false">I30</f>
        <v/>
      </c>
      <c r="N277" s="25" t="str">
        <f aca="false">N30</f>
        <v/>
      </c>
      <c r="O277" s="25" t="str">
        <f aca="false">O30</f>
        <v/>
      </c>
      <c r="P277" s="25" t="str">
        <f aca="false">P30</f>
        <v/>
      </c>
      <c r="Q277" s="25" t="str">
        <f aca="false">Q30</f>
        <v/>
      </c>
      <c r="R277" s="25" t="str">
        <f aca="false">R30</f>
        <v/>
      </c>
      <c r="S277" s="25" t="str">
        <f aca="false">S30</f>
        <v/>
      </c>
      <c r="T277" s="25" t="str">
        <f aca="false">T30</f>
        <v/>
      </c>
      <c r="U277" s="25" t="str">
        <f aca="false">U30</f>
        <v/>
      </c>
      <c r="V277" s="25" t="str">
        <f aca="false">V30</f>
        <v/>
      </c>
      <c r="W277" s="25" t="str">
        <f aca="false">W30</f>
        <v/>
      </c>
      <c r="X277" s="25" t="str">
        <f aca="false">X30</f>
        <v/>
      </c>
      <c r="Y277" s="25" t="str">
        <f aca="false">Y30</f>
        <v/>
      </c>
      <c r="Z277" s="25" t="str">
        <f aca="false">Z30</f>
        <v/>
      </c>
      <c r="AA277" s="25" t="n">
        <f aca="false">AA30</f>
        <v>0.647482908638906</v>
      </c>
      <c r="AB277" s="25" t="n">
        <f aca="false">AB30</f>
        <v>0.0582199257695946</v>
      </c>
      <c r="AC277" s="25" t="n">
        <f aca="false">AC30</f>
        <v>0.618868038375671</v>
      </c>
      <c r="AD277" s="25" t="n">
        <f aca="false">AD30</f>
        <v>0.0397424688021619</v>
      </c>
      <c r="AE277" s="25" t="n">
        <f aca="false">AE30</f>
        <v>0.0421591507942483</v>
      </c>
      <c r="AF277" s="25" t="n">
        <f aca="false">AF30</f>
        <v>0.0507016749660478</v>
      </c>
      <c r="AG277" s="25" t="n">
        <f aca="false">AG30</f>
        <v>0.11759851454508</v>
      </c>
      <c r="AH277" s="25" t="n">
        <f aca="false">AH30</f>
        <v>0.064145809649826</v>
      </c>
      <c r="AI277" s="25" t="n">
        <f aca="false">AI30</f>
        <v>0.128354101368397</v>
      </c>
      <c r="AJ277" s="25" t="n">
        <f aca="false">AJ30</f>
        <v>0.159575236581666</v>
      </c>
      <c r="AK277" s="25" t="n">
        <f aca="false">AK30</f>
        <v>0.14656039063622</v>
      </c>
      <c r="AL277" s="25" t="n">
        <f aca="false">AL30</f>
        <v>0.103624392345087</v>
      </c>
      <c r="AM277" s="25" t="n">
        <f aca="false">AM30</f>
        <v>0.133325160680198</v>
      </c>
      <c r="AN277" s="25" t="n">
        <f aca="false">AN30</f>
        <v>0.102235772357724</v>
      </c>
      <c r="AO277" s="25" t="n">
        <f aca="false">AO30</f>
        <v>0.0669075504610017</v>
      </c>
      <c r="AP277" s="25" t="n">
        <f aca="false">AP30</f>
        <v>0.061940251769274</v>
      </c>
      <c r="AQ277" s="25" t="n">
        <f aca="false">AQ30</f>
        <v>0.0683022023975468</v>
      </c>
      <c r="AR277" s="25" t="n">
        <f aca="false">AR30</f>
        <v>0.0741261550823624</v>
      </c>
      <c r="AS277" s="25" t="n">
        <f aca="false">AS30</f>
        <v>0.0144446493330874</v>
      </c>
      <c r="AT277" s="25" t="n">
        <f aca="false">AT30</f>
        <v>0.542917201915217</v>
      </c>
      <c r="AU277" s="25" t="n">
        <f aca="false">AU30</f>
        <v>0.723578674215617</v>
      </c>
      <c r="AV277" s="25" t="n">
        <f aca="false">AV30</f>
        <v>0.754175365344468</v>
      </c>
      <c r="AW277" s="25" t="n">
        <f aca="false">AW30</f>
        <v>0.521485808001611</v>
      </c>
      <c r="AX277" s="25" t="n">
        <f aca="false">AX30</f>
        <v>1.14857004362579</v>
      </c>
      <c r="AY277" s="25" t="n">
        <f aca="false">AY30</f>
        <v>0.413109294580684</v>
      </c>
      <c r="AZ277" s="25" t="n">
        <f aca="false">AZ30</f>
        <v>0.242771599657827</v>
      </c>
      <c r="BA277" s="25" t="n">
        <f aca="false">BA30</f>
        <v>0.203808390360012</v>
      </c>
      <c r="BB277" s="25" t="n">
        <f aca="false">BB30</f>
        <v>-0.395990922844176</v>
      </c>
      <c r="BC277" s="25" t="n">
        <f aca="false">BC30</f>
        <v>0.0947546531302876</v>
      </c>
      <c r="BD277" s="25" t="n">
        <f aca="false">BD30</f>
        <v>0.0623995715050885</v>
      </c>
      <c r="BE277" s="25" t="n">
        <f aca="false">BE30</f>
        <v>0.0396475770925111</v>
      </c>
      <c r="BF277" s="25" t="n">
        <f aca="false">BF30</f>
        <v>-0.519031141868512</v>
      </c>
      <c r="BG277" s="25" t="n">
        <f aca="false">BG30</f>
        <v>0.101440200375704</v>
      </c>
      <c r="BH277" s="25" t="n">
        <f aca="false">BH30</f>
        <v>-0.559763008758372</v>
      </c>
      <c r="BI277" s="25" t="n">
        <f aca="false">BI30</f>
        <v>-0.547264935719688</v>
      </c>
      <c r="BJ277" s="25" t="n">
        <f aca="false">BJ30</f>
        <v>-0.548199152542373</v>
      </c>
      <c r="BK277" s="25" t="n">
        <f aca="false">BK30</f>
        <v>-0.00822199383350464</v>
      </c>
      <c r="BL277" s="25" t="n">
        <f aca="false">BL30</f>
        <v>0.0149232518476408</v>
      </c>
      <c r="BM277" s="25" t="n">
        <f aca="false">BM30</f>
        <v>0.0210649502633118</v>
      </c>
      <c r="BN277" s="25" t="n">
        <f aca="false">BN30</f>
        <v>-0.0144766146993318</v>
      </c>
      <c r="BO277" s="25" t="n">
        <f aca="false">BO30</f>
        <v>0.0445486518171161</v>
      </c>
      <c r="BP277" s="25" t="n">
        <f aca="false">BP30</f>
        <v>0.0528497409326425</v>
      </c>
      <c r="BQ277" s="25" t="n">
        <f aca="false">BQ30</f>
        <v>0.0263268449796947</v>
      </c>
      <c r="BR277" s="25" t="n">
        <f aca="false">BR30</f>
        <v>-0.0372492836676218</v>
      </c>
      <c r="BS277" s="25" t="n">
        <f aca="false">BS30</f>
        <v>0.00395480225988698</v>
      </c>
      <c r="BT277" s="25" t="n">
        <f aca="false">BT30</f>
        <v>0.00561167227833903</v>
      </c>
      <c r="BU277" s="25" t="n">
        <f aca="false">BU30</f>
        <v>0.0260826771653544</v>
      </c>
      <c r="BV277" s="25" t="n">
        <f aca="false">BV30</f>
        <v>0.000682221312593878</v>
      </c>
      <c r="BW277" s="25" t="n">
        <f aca="false">BW30</f>
        <v>0.0339285714285715</v>
      </c>
      <c r="BX277" s="25" t="n">
        <f aca="false">BX30</f>
        <v>0.0574001125492403</v>
      </c>
      <c r="BY277" s="26" t="n">
        <f aca="false">BY30</f>
        <v>0.0368194864634241</v>
      </c>
      <c r="BZ277" s="26" t="n">
        <f aca="false">BZ30</f>
        <v>0.0448194864634242</v>
      </c>
      <c r="CA277" s="26" t="n">
        <f aca="false">CA30</f>
        <v>0.0434182095744062</v>
      </c>
      <c r="CB277" s="26" t="n">
        <f aca="false">CB30</f>
        <v>0.04</v>
      </c>
      <c r="CC277" s="26" t="n">
        <f aca="false">CC30</f>
        <v>0.0449999999999999</v>
      </c>
      <c r="CD277" s="26" t="n">
        <f aca="false">CD30</f>
        <v>0.0449999999999999</v>
      </c>
      <c r="CE277" s="26" t="n">
        <f aca="false">CE30</f>
        <v>0.0449999999999999</v>
      </c>
      <c r="CF277" s="7"/>
    </row>
    <row r="278" customFormat="false" ht="15" hidden="false" customHeight="true" outlineLevel="0" collapsed="false">
      <c r="B278" s="24" t="s">
        <v>447</v>
      </c>
      <c r="D278" s="25" t="str">
        <f aca="false">D48</f>
        <v/>
      </c>
      <c r="E278" s="25" t="str">
        <f aca="false">E48</f>
        <v/>
      </c>
      <c r="F278" s="25" t="str">
        <f aca="false">F48</f>
        <v/>
      </c>
      <c r="G278" s="25" t="str">
        <f aca="false">G48</f>
        <v/>
      </c>
      <c r="H278" s="25" t="str">
        <f aca="false">H48</f>
        <v/>
      </c>
      <c r="I278" s="25" t="str">
        <f aca="false">I48</f>
        <v/>
      </c>
      <c r="N278" s="25" t="str">
        <f aca="false">N48</f>
        <v/>
      </c>
      <c r="O278" s="25" t="str">
        <f aca="false">O48</f>
        <v/>
      </c>
      <c r="P278" s="25" t="str">
        <f aca="false">P48</f>
        <v/>
      </c>
      <c r="Q278" s="25" t="str">
        <f aca="false">Q48</f>
        <v/>
      </c>
      <c r="R278" s="25" t="str">
        <f aca="false">R48</f>
        <v/>
      </c>
      <c r="S278" s="25" t="str">
        <f aca="false">S48</f>
        <v/>
      </c>
      <c r="T278" s="25" t="str">
        <f aca="false">T48</f>
        <v/>
      </c>
      <c r="U278" s="25" t="str">
        <f aca="false">U48</f>
        <v/>
      </c>
      <c r="V278" s="25" t="str">
        <f aca="false">V48</f>
        <v/>
      </c>
      <c r="W278" s="25" t="str">
        <f aca="false">W48</f>
        <v/>
      </c>
      <c r="X278" s="25" t="str">
        <f aca="false">X48</f>
        <v/>
      </c>
      <c r="Y278" s="25" t="str">
        <f aca="false">Y48</f>
        <v/>
      </c>
      <c r="Z278" s="25" t="str">
        <f aca="false">Z48</f>
        <v/>
      </c>
      <c r="AA278" s="25" t="n">
        <f aca="false">AA48</f>
        <v>0.0313828882463005</v>
      </c>
      <c r="AB278" s="25" t="n">
        <f aca="false">AB48</f>
        <v>0.112077669902913</v>
      </c>
      <c r="AC278" s="25" t="n">
        <f aca="false">AC48</f>
        <v>0.0425866528711847</v>
      </c>
      <c r="AD278" s="25" t="n">
        <f aca="false">AD48</f>
        <v>0.168192219679634</v>
      </c>
      <c r="AE278" s="25" t="n">
        <f aca="false">AE48</f>
        <v>0.145038167938931</v>
      </c>
      <c r="AF278" s="25" t="n">
        <f aca="false">AF48</f>
        <v>0.194607075121629</v>
      </c>
      <c r="AG278" s="25" t="n">
        <f aca="false">AG48</f>
        <v>0.134166783070261</v>
      </c>
      <c r="AH278" s="25" t="n">
        <f aca="false">AH48</f>
        <v>0.159101284163309</v>
      </c>
      <c r="AI278" s="25" t="n">
        <f aca="false">AI48</f>
        <v>0.144955925563173</v>
      </c>
      <c r="AJ278" s="25" t="n">
        <f aca="false">AJ48</f>
        <v>0.0770138888888889</v>
      </c>
      <c r="AK278" s="25" t="n">
        <f aca="false">AK48</f>
        <v>0.0371367432870851</v>
      </c>
      <c r="AL278" s="25" t="n">
        <f aca="false">AL48</f>
        <v>0.0373175688158138</v>
      </c>
      <c r="AM278" s="25" t="n">
        <f aca="false">AM48</f>
        <v>0.0715251973492699</v>
      </c>
      <c r="AN278" s="25" t="n">
        <f aca="false">AN48</f>
        <v>0.011252220833059</v>
      </c>
      <c r="AO278" s="25" t="n">
        <f aca="false">AO48</f>
        <v>0.0434586369204977</v>
      </c>
      <c r="AP278" s="25" t="n">
        <f aca="false">AP48</f>
        <v>0.0661564059900166</v>
      </c>
      <c r="AQ278" s="25" t="n">
        <f aca="false">AQ48</f>
        <v>0.0712377560106856</v>
      </c>
      <c r="AR278" s="25" t="n">
        <f aca="false">AR48</f>
        <v>0.0485649450268473</v>
      </c>
      <c r="AS278" s="25" t="n">
        <f aca="false">AS48</f>
        <v>0.0586933888599688</v>
      </c>
      <c r="AT278" s="25" t="n">
        <f aca="false">AT48</f>
        <v>0.0258913674843972</v>
      </c>
      <c r="AU278" s="25" t="n">
        <f aca="false">AU48</f>
        <v>0.17928709657282</v>
      </c>
      <c r="AV278" s="25" t="n">
        <f aca="false">AV48</f>
        <v>0.234136880022167</v>
      </c>
      <c r="AW278" s="25" t="n">
        <f aca="false">AW48</f>
        <v>0.128248113998324</v>
      </c>
      <c r="AX278" s="25" t="n">
        <f aca="false">AX48</f>
        <v>0.338660110633067</v>
      </c>
      <c r="AY278" s="25" t="n">
        <f aca="false">AY48</f>
        <v>0.407059390434887</v>
      </c>
      <c r="AZ278" s="25" t="n">
        <f aca="false">AZ48</f>
        <v>0.296384521729924</v>
      </c>
      <c r="BA278" s="25" t="n">
        <f aca="false">BA48</f>
        <v>0.293668612483161</v>
      </c>
      <c r="BB278" s="25" t="n">
        <f aca="false">BB48</f>
        <v>0.329731190058085</v>
      </c>
      <c r="BC278" s="25" t="n">
        <f aca="false">BC48</f>
        <v>0.213957759412305</v>
      </c>
      <c r="BD278" s="25" t="n">
        <f aca="false">BD48</f>
        <v>0.0963184931506849</v>
      </c>
      <c r="BE278" s="25" t="n">
        <f aca="false">BE48</f>
        <v>0.0939158840342997</v>
      </c>
      <c r="BF278" s="25" t="n">
        <f aca="false">BF48</f>
        <v>0.0291565428670602</v>
      </c>
      <c r="BG278" s="25" t="n">
        <f aca="false">BG48</f>
        <v>0.102092645266152</v>
      </c>
      <c r="BH278" s="25" t="n">
        <f aca="false">BH48</f>
        <v>-0.101361573373676</v>
      </c>
      <c r="BI278" s="25" t="n">
        <f aca="false">BI48</f>
        <v>-0.128855915657946</v>
      </c>
      <c r="BJ278" s="25" t="n">
        <f aca="false">BJ48</f>
        <v>-0.158641284061217</v>
      </c>
      <c r="BK278" s="25" t="n">
        <f aca="false">BK48</f>
        <v>-0.0839797639123103</v>
      </c>
      <c r="BL278" s="25" t="n">
        <f aca="false">BL48</f>
        <v>-0.117245829108674</v>
      </c>
      <c r="BM278" s="25" t="n">
        <f aca="false">BM48</f>
        <v>0.0635521885521886</v>
      </c>
      <c r="BN278" s="25" t="n">
        <f aca="false">BN48</f>
        <v>0.0129986553115196</v>
      </c>
      <c r="BO278" s="25" t="n">
        <f aca="false">BO48</f>
        <v>0.0483584738243124</v>
      </c>
      <c r="BP278" s="25" t="n">
        <f aca="false">BP48</f>
        <v>-0.0290868924889544</v>
      </c>
      <c r="BQ278" s="25" t="n">
        <f aca="false">BQ48</f>
        <v>0.0219275347185965</v>
      </c>
      <c r="BR278" s="25" t="n">
        <f aca="false">BR48</f>
        <v>-0.0308666402849228</v>
      </c>
      <c r="BS278" s="25" t="n">
        <f aca="false">BS48</f>
        <v>0.0216814159292036</v>
      </c>
      <c r="BT278" s="25" t="n">
        <f aca="false">BT48</f>
        <v>0.0423190859077445</v>
      </c>
      <c r="BU278" s="25" t="n">
        <f aca="false">BU48</f>
        <v>0.031475161167994</v>
      </c>
      <c r="BV278" s="25" t="n">
        <f aca="false">BV48</f>
        <v>0.0157351588842343</v>
      </c>
      <c r="BW278" s="25" t="n">
        <f aca="false">BW48</f>
        <v>-0.0130665577786852</v>
      </c>
      <c r="BX278" s="25" t="n">
        <f aca="false">BX48</f>
        <v>0.0281507145950628</v>
      </c>
      <c r="BY278" s="26" t="n">
        <f aca="false">BY48</f>
        <v>0.001819486463424</v>
      </c>
      <c r="BZ278" s="26" t="n">
        <f aca="false">BZ48</f>
        <v>0.0498194864634243</v>
      </c>
      <c r="CA278" s="26" t="n">
        <f aca="false">CA48</f>
        <v>0.0174017099225356</v>
      </c>
      <c r="CB278" s="26" t="n">
        <f aca="false">CB48</f>
        <v>0.04</v>
      </c>
      <c r="CC278" s="26" t="n">
        <f aca="false">CC48</f>
        <v>0.0449999999999999</v>
      </c>
      <c r="CD278" s="26" t="n">
        <f aca="false">CD48</f>
        <v>0.05</v>
      </c>
      <c r="CE278" s="26" t="n">
        <f aca="false">CE48</f>
        <v>0.05</v>
      </c>
      <c r="CF278" s="7"/>
    </row>
    <row r="279" customFormat="false" ht="15" hidden="false" customHeight="true" outlineLevel="0" collapsed="false">
      <c r="B279" s="24" t="s">
        <v>408</v>
      </c>
      <c r="D279" s="25" t="n">
        <f aca="false">IF(AND(ISNUMBER(D243),ISNUMBER(C243)),IFERROR(D243/C243-1,""),"")</f>
        <v>0.218510651992018</v>
      </c>
      <c r="E279" s="25" t="n">
        <f aca="false">IF(AND(ISNUMBER(E243),ISNUMBER(D243)),IFERROR(E243/D243-1,""),"")</f>
        <v>0.120219733784069</v>
      </c>
      <c r="F279" s="25" t="n">
        <f aca="false">IF(AND(ISNUMBER(F243),ISNUMBER(E243)),IFERROR(F243/E243-1,""),"")</f>
        <v>-0.140748774047529</v>
      </c>
      <c r="G279" s="25" t="n">
        <f aca="false">IF(AND(ISNUMBER(G243),ISNUMBER(F243)),IFERROR(G243/F243-1,""),"")</f>
        <v>0.259452340448884</v>
      </c>
      <c r="H279" s="25" t="n">
        <f aca="false">IF(AND(ISNUMBER(H243),ISNUMBER(G243)),IFERROR(H243/G243-1,""),"")</f>
        <v>0.315018953422509</v>
      </c>
      <c r="I279" s="25" t="n">
        <f aca="false">IF(AND(ISNUMBER(I243),ISNUMBER(H243)),IFERROR(I243/H243-1,""),"")</f>
        <v>0.162022464464398</v>
      </c>
      <c r="N279" s="25" t="n">
        <f aca="false">IF(AND(ISNUMBER(N243),ISNUMBER(I243)),IFERROR(N243/I243-1,""),"")</f>
        <v>0.0433121382338682</v>
      </c>
      <c r="O279" s="25" t="n">
        <f aca="false">IF(AND(ISNUMBER(O243),ISNUMBER(J243)),IFERROR(O243/J243-1,""),"")</f>
        <v>0.0746159473299197</v>
      </c>
      <c r="P279" s="25" t="n">
        <f aca="false">IF(AND(ISNUMBER(P243),ISNUMBER(K243)),IFERROR(P243/K243-1,""),"")</f>
        <v>0.0541929956088683</v>
      </c>
      <c r="Q279" s="25" t="n">
        <f aca="false">IF(AND(ISNUMBER(Q243),ISNUMBER(L243)),IFERROR(Q243/L243-1,""),"")</f>
        <v>0.0573924582550038</v>
      </c>
      <c r="R279" s="25" t="n">
        <f aca="false">IF(AND(ISNUMBER(R243),ISNUMBER(M243)),IFERROR(R243/M243-1,""),"")</f>
        <v>0.0430655475619506</v>
      </c>
      <c r="S279" s="25" t="n">
        <f aca="false">IF(AND(ISNUMBER(S243),ISNUMBER(N243)),IFERROR(S243/N243-1,""),"")</f>
        <v>0.0340530199508062</v>
      </c>
      <c r="T279" s="25" t="n">
        <f aca="false">IF(AND(ISNUMBER(T243),ISNUMBER(O243)),IFERROR(T243/O243-1,""),"")</f>
        <v>-0.0116859541638302</v>
      </c>
      <c r="U279" s="25" t="n">
        <f aca="false">IF(AND(ISNUMBER(U243),ISNUMBER(P243)),IFERROR(U243/P243-1,""),"")</f>
        <v>0.0498831657015135</v>
      </c>
      <c r="V279" s="25" t="n">
        <f aca="false">IF(AND(ISNUMBER(V243),ISNUMBER(Q243)),IFERROR(V243/Q243-1,""),"")</f>
        <v>-0.331102279857771</v>
      </c>
      <c r="W279" s="25" t="n">
        <f aca="false">IF(AND(ISNUMBER(W243),ISNUMBER(R243)),IFERROR(W243/R243-1,""),"")</f>
        <v>-0.189577545741929</v>
      </c>
      <c r="X279" s="25" t="n">
        <f aca="false">IF(AND(ISNUMBER(X243),ISNUMBER(S243)),IFERROR(X243/S243-1,""),"")</f>
        <v>-0.293265672904112</v>
      </c>
      <c r="Y279" s="25" t="n">
        <f aca="false">IF(AND(ISNUMBER(Y243),ISNUMBER(T243)),IFERROR(Y243/T243-1,""),"")</f>
        <v>-0.12030765698542</v>
      </c>
      <c r="Z279" s="25" t="n">
        <f aca="false">IF(AND(ISNUMBER(Z243),ISNUMBER(U243)),IFERROR(Z243/U243-1,""),"")</f>
        <v>-0.156860847687246</v>
      </c>
      <c r="AA279" s="25" t="n">
        <f aca="false">IF(AND(ISNUMBER(AA243),ISNUMBER(V243)),IFERROR(AA243/V243-1,""),"")</f>
        <v>0.288774233896186</v>
      </c>
      <c r="AB279" s="25" t="n">
        <f aca="false">IF(AND(ISNUMBER(AB243),ISNUMBER(W243)),IFERROR(AB243/W243-1,""),"")</f>
        <v>0.145508274231679</v>
      </c>
      <c r="AC279" s="25" t="n">
        <f aca="false">IF(AND(ISNUMBER(AC243),ISNUMBER(X243)),IFERROR(AC243/X243-1,""),"")</f>
        <v>0.271503365744204</v>
      </c>
      <c r="AD279" s="25" t="n">
        <f aca="false">IF(AND(ISNUMBER(AD243),ISNUMBER(Y243)),IFERROR(AD243/Y243-1,""),"")</f>
        <v>0.0219235286441335</v>
      </c>
      <c r="AE279" s="25" t="n">
        <f aca="false">IF(AND(ISNUMBER(AE243),ISNUMBER(Z243)),IFERROR(AE243/Z243-1,""),"")</f>
        <v>0.0478595202570877</v>
      </c>
      <c r="AF279" s="25" t="n">
        <f aca="false">IF(AND(ISNUMBER(AF243),ISNUMBER(AA243)),IFERROR(AF243/AA243-1,""),"")</f>
        <v>0.122892150915928</v>
      </c>
      <c r="AG279" s="25" t="n">
        <f aca="false">IF(AND(ISNUMBER(AG243),ISNUMBER(AB243)),IFERROR(AG243/AB243-1,""),"")</f>
        <v>0.1290888453204</v>
      </c>
      <c r="AH279" s="25" t="n">
        <f aca="false">IF(AND(ISNUMBER(AH243),ISNUMBER(AC243)),IFERROR(AH243/AC243-1,""),"")</f>
        <v>0.0929117647058817</v>
      </c>
      <c r="AI279" s="25" t="n">
        <f aca="false">IF(AND(ISNUMBER(AI243),ISNUMBER(AD243)),IFERROR(AI243/AD243-1,""),"")</f>
        <v>0.168816243136253</v>
      </c>
      <c r="AJ279" s="25" t="n">
        <f aca="false">IF(AND(ISNUMBER(AJ243),ISNUMBER(AE243)),IFERROR(AJ243/AE243-1,""),"")</f>
        <v>0.156188389923329</v>
      </c>
      <c r="AK279" s="25" t="n">
        <f aca="false">IF(AND(ISNUMBER(AK243),ISNUMBER(AF243)),IFERROR(AK243/AF243-1,""),"")</f>
        <v>0.0855661192739856</v>
      </c>
      <c r="AL279" s="25" t="n">
        <f aca="false">IF(AND(ISNUMBER(AL243),ISNUMBER(AG243)),IFERROR(AL243/AG243-1,""),"")</f>
        <v>-0.0545604094315482</v>
      </c>
      <c r="AM279" s="25" t="n">
        <f aca="false">IF(AND(ISNUMBER(AM243),ISNUMBER(AH243)),IFERROR(AM243/AH243-1,""),"")</f>
        <v>-0.0062434403509245</v>
      </c>
      <c r="AN279" s="25" t="n">
        <f aca="false">IF(AND(ISNUMBER(AN243),ISNUMBER(AI243)),IFERROR(AN243/AI243-1,""),"")</f>
        <v>0.0260024035835249</v>
      </c>
      <c r="AO279" s="25" t="n">
        <f aca="false">IF(AND(ISNUMBER(AO243),ISNUMBER(AJ243)),IFERROR(AO243/AJ243-1,""),"")</f>
        <v>-0.0555134520651757</v>
      </c>
      <c r="AP279" s="25" t="n">
        <f aca="false">IF(AND(ISNUMBER(AP243),ISNUMBER(AK243)),IFERROR(AP243/AK243-1,""),"")</f>
        <v>-0.0178144904458603</v>
      </c>
      <c r="AQ279" s="25" t="n">
        <f aca="false">IF(AND(ISNUMBER(AQ243),ISNUMBER(AL243)),IFERROR(AQ243/AL243-1,""),"")</f>
        <v>0.10923151280812</v>
      </c>
      <c r="AR279" s="25" t="n">
        <f aca="false">IF(AND(ISNUMBER(AR243),ISNUMBER(AM243)),IFERROR(AR243/AM243-1,""),"")</f>
        <v>0.0798331843908249</v>
      </c>
      <c r="AS279" s="25" t="n">
        <f aca="false">IF(AND(ISNUMBER(AS243),ISNUMBER(AN243)),IFERROR(AS243/AN243-1,""),"")</f>
        <v>-0.0193802576935357</v>
      </c>
      <c r="AT279" s="25" t="n">
        <f aca="false">IF(AND(ISNUMBER(AT243),ISNUMBER(AO243)),IFERROR(AT243/AO243-1,""),"")</f>
        <v>0.39087261785356</v>
      </c>
      <c r="AU279" s="25" t="n">
        <f aca="false">IF(AND(ISNUMBER(AU243),ISNUMBER(AP243)),IFERROR(AU243/AP243-1,""),"")</f>
        <v>0.686797041240247</v>
      </c>
      <c r="AV279" s="25" t="n">
        <f aca="false">IF(AND(ISNUMBER(AV243),ISNUMBER(AQ243)),IFERROR(AV243/AQ243-1,""),"")</f>
        <v>0.730718954248367</v>
      </c>
      <c r="AW279" s="25" t="n">
        <f aca="false">IF(AND(ISNUMBER(AW243),ISNUMBER(AR243)),IFERROR(AW243/AR243-1,""),"")</f>
        <v>0.494420062695925</v>
      </c>
      <c r="AX279" s="25" t="n">
        <f aca="false">IF(AND(ISNUMBER(AX243),ISNUMBER(AS243)),IFERROR(AX243/AS243-1,""),"")</f>
        <v>1.60288847866218</v>
      </c>
      <c r="AY279" s="25" t="n">
        <f aca="false">IF(AND(ISNUMBER(AY243),ISNUMBER(AT243)),IFERROR(AY243/AT243-1,""),"")</f>
        <v>0.696113074204948</v>
      </c>
      <c r="AZ279" s="25" t="n">
        <f aca="false">IF(AND(ISNUMBER(AZ243),ISNUMBER(AU243)),IFERROR(AZ243/AU243-1,""),"")</f>
        <v>0.361206223343546</v>
      </c>
      <c r="BA279" s="25" t="n">
        <f aca="false">IF(AND(ISNUMBER(BA243),ISNUMBER(AV243)),IFERROR(BA243/AV243-1,""),"")</f>
        <v>0.289526686807654</v>
      </c>
      <c r="BB279" s="25" t="n">
        <f aca="false">IF(AND(ISNUMBER(BB243),ISNUMBER(AW243)),IFERROR(BB243/AW243-1,""),"")</f>
        <v>0.606981037086759</v>
      </c>
      <c r="BC279" s="25" t="n">
        <f aca="false">IF(AND(ISNUMBER(BC243),ISNUMBER(AX243)),IFERROR(BC243/AX243-1,""),"")</f>
        <v>0.0851063829787233</v>
      </c>
      <c r="BD279" s="25" t="n">
        <f aca="false">IF(AND(ISNUMBER(BD243),ISNUMBER(AY243)),IFERROR(BD243/AY243-1,""),"")</f>
        <v>0.0999149659863945</v>
      </c>
      <c r="BE279" s="25" t="n">
        <f aca="false">IF(AND(ISNUMBER(BE243),ISNUMBER(AZ243)),IFERROR(BE243/AZ243-1,""),"")</f>
        <v>0.0485436893203883</v>
      </c>
      <c r="BF279" s="25" t="n">
        <f aca="false">IF(AND(ISNUMBER(BF243),ISNUMBER(BA243)),IFERROR(BF243/BA243-1,""),"")</f>
        <v>-0.0792659117532214</v>
      </c>
      <c r="BG279" s="25" t="n">
        <f aca="false">IF(AND(ISNUMBER(BG243),ISNUMBER(BB243)),IFERROR(BG243/BB243-1,""),"")</f>
        <v>-0.0569131161236425</v>
      </c>
      <c r="BH279" s="25" t="n">
        <f aca="false">IF(AND(ISNUMBER(BH243),ISNUMBER(BC243)),IFERROR(BH243/BC243-1,""),"")</f>
        <v>-0.262975778546713</v>
      </c>
      <c r="BI279" s="25" t="n">
        <f aca="false">IF(AND(ISNUMBER(BI243),ISNUMBER(BD243)),IFERROR(BI243/BD243-1,""),"")</f>
        <v>-0.37379203710862</v>
      </c>
      <c r="BJ279" s="25" t="n">
        <f aca="false">IF(AND(ISNUMBER(BJ243),ISNUMBER(BE243)),IFERROR(BJ243/BE243-1,""),"")</f>
        <v>-0.329124579124579</v>
      </c>
      <c r="BK279" s="25" t="n">
        <f aca="false">IF(AND(ISNUMBER(BK243),ISNUMBER(BF243)),IFERROR(BK243/BF243-1,""),"")</f>
        <v>-0.220949957591179</v>
      </c>
      <c r="BL279" s="25" t="n">
        <f aca="false">IF(AND(ISNUMBER(BL243),ISNUMBER(BG243)),IFERROR(BL243/BG243-1,""),"")</f>
        <v>-0.240947846307164</v>
      </c>
      <c r="BM279" s="25" t="n">
        <f aca="false">IF(AND(ISNUMBER(BM243),ISNUMBER(BH243)),IFERROR(BM243/BH243-1,""),"")</f>
        <v>-0.0902451747522171</v>
      </c>
      <c r="BN279" s="25" t="n">
        <f aca="false">IF(AND(ISNUMBER(BN243),ISNUMBER(BI243)),IFERROR(BN243/BI243-1,""),"")</f>
        <v>-0.0308641975308642</v>
      </c>
      <c r="BO279" s="25" t="n">
        <f aca="false">IF(AND(ISNUMBER(BO243),ISNUMBER(BJ243)),IFERROR(BO243/BJ243-1,""),"")</f>
        <v>0</v>
      </c>
      <c r="BP279" s="25" t="n">
        <f aca="false">IF(AND(ISNUMBER(BP243),ISNUMBER(BK243)),IFERROR(BP243/BK243-1,""),"")</f>
        <v>0.0517147523135546</v>
      </c>
      <c r="BQ279" s="25" t="n">
        <f aca="false">IF(AND(ISNUMBER(BQ243),ISNUMBER(BL243)),IFERROR(BQ243/BL243-1,""),"")</f>
        <v>-0.00218818380743979</v>
      </c>
      <c r="BR279" s="25" t="n">
        <f aca="false">IF(AND(ISNUMBER(BR243),ISNUMBER(BM243)),IFERROR(BR243/BM243-1,""),"")</f>
        <v>-0.025802752293578</v>
      </c>
      <c r="BS279" s="25" t="n">
        <f aca="false">IF(AND(ISNUMBER(BS243),ISNUMBER(BN243)),IFERROR(BS243/BN243-1,""),"")</f>
        <v>0.0305732484076433</v>
      </c>
      <c r="BT279" s="25" t="n">
        <f aca="false">IF(AND(ISNUMBER(BT243),ISNUMBER(BO243)),IFERROR(BT243/BO243-1,""),"")</f>
        <v>0.0589711417816814</v>
      </c>
      <c r="BU279" s="25" t="n">
        <f aca="false">IF(AND(ISNUMBER(BU243),ISNUMBER(BP243)),IFERROR(BU243/BP243-1,""),"")</f>
        <v>0.00103519668737051</v>
      </c>
      <c r="BV279" s="25" t="n">
        <f aca="false">IF(AND(ISNUMBER(BV243),ISNUMBER(BQ243)),IFERROR(BV243/BQ243-1,""),"")</f>
        <v>0.0144736842105264</v>
      </c>
      <c r="BW279" s="25" t="n">
        <f aca="false">IF(AND(ISNUMBER(BW243),ISNUMBER(BR243)),IFERROR(BW243/BR243-1,""),"")</f>
        <v>0.0565038257798705</v>
      </c>
      <c r="BX279" s="25" t="n">
        <f aca="false">IF(AND(ISNUMBER(BX243),ISNUMBER(BS243)),IFERROR(BX243/BS243-1,""),"")</f>
        <v>0.0494437577255871</v>
      </c>
      <c r="BY279" s="26" t="n">
        <f aca="false">IF(AND(ISNUMBER(BY243),ISNUMBER(BT243)),IFERROR(BY243/BT243-1,""),"")</f>
        <v>0.0389402477276204</v>
      </c>
      <c r="BZ279" s="26" t="n">
        <f aca="false">IF(AND(ISNUMBER(BZ243),ISNUMBER(BU243)),IFERROR(BZ243/BU243-1,""),"")</f>
        <v>0.202676518001724</v>
      </c>
      <c r="CA279" s="26" t="n">
        <f aca="false">IF(AND(ISNUMBER(CA243),ISNUMBER(BV243)),IFERROR(CA243/BV243-1,""),"")</f>
        <v>0.0913254826314391</v>
      </c>
      <c r="CB279" s="26" t="n">
        <f aca="false">IF(AND(ISNUMBER(CB243),ISNUMBER(CA243)),IFERROR(CB243/CA243-1,""),"")</f>
        <v>0.104368746136821</v>
      </c>
      <c r="CC279" s="26" t="n">
        <f aca="false">IF(AND(ISNUMBER(CC243),ISNUMBER(CB243)),IFERROR(CC243/CB243-1,""),"")</f>
        <v>0.0878344264955593</v>
      </c>
      <c r="CD279" s="26" t="n">
        <f aca="false">IF(AND(ISNUMBER(CD243),ISNUMBER(CC243)),IFERROR(CD243/CC243-1,""),"")</f>
        <v>0.0912725998046955</v>
      </c>
      <c r="CE279" s="26" t="n">
        <f aca="false">IF(AND(ISNUMBER(CE243),ISNUMBER(CD243)),IFERROR(CE243/CD243-1,""),"")</f>
        <v>0.0899964009113741</v>
      </c>
      <c r="CF279" s="7"/>
    </row>
    <row r="280" customFormat="false" ht="15" hidden="false" customHeight="true" outlineLevel="0" collapsed="false">
      <c r="B280" s="24" t="s">
        <v>448</v>
      </c>
      <c r="D280" s="25" t="n">
        <f aca="false">IF(AND(ISNUMBER(D227),ISNUMBER(C227)),IFERROR(D227/C227-1,""),"")</f>
        <v>0.21116775062987</v>
      </c>
      <c r="E280" s="25" t="n">
        <f aca="false">IF(AND(ISNUMBER(E227),ISNUMBER(D227)),IFERROR(E227/D227-1,""),"")</f>
        <v>0.119829713124668</v>
      </c>
      <c r="F280" s="25" t="n">
        <f aca="false">IF(AND(ISNUMBER(F227),ISNUMBER(E227)),IFERROR(F227/E227-1,""),"")</f>
        <v>-0.13305685156385</v>
      </c>
      <c r="G280" s="25" t="n">
        <f aca="false">IF(AND(ISNUMBER(G227),ISNUMBER(F227)),IFERROR(G227/F227-1,""),"")</f>
        <v>0.242326091289615</v>
      </c>
      <c r="H280" s="25" t="n">
        <f aca="false">IF(AND(ISNUMBER(H227),ISNUMBER(G227)),IFERROR(H227/G227-1,""),"")</f>
        <v>0.351249448477799</v>
      </c>
      <c r="I280" s="25" t="n">
        <f aca="false">IF(AND(ISNUMBER(I227),ISNUMBER(H227)),IFERROR(I227/H227-1,""),"")</f>
        <v>0.188820945143672</v>
      </c>
      <c r="N280" s="25" t="n">
        <f aca="false">IF(AND(ISNUMBER(N227),ISNUMBER(I227)),IFERROR(N227/I227-1,""),"")</f>
        <v>0.0459437189442928</v>
      </c>
      <c r="O280" s="25" t="n">
        <f aca="false">IF(AND(ISNUMBER(O227),ISNUMBER(J227)),IFERROR(O227/J227-1,""),"")</f>
        <v>0.0695367732404768</v>
      </c>
      <c r="P280" s="25" t="n">
        <f aca="false">IF(AND(ISNUMBER(P227),ISNUMBER(K227)),IFERROR(P227/K227-1,""),"")</f>
        <v>0.0578442437923254</v>
      </c>
      <c r="Q280" s="25" t="n">
        <f aca="false">IF(AND(ISNUMBER(Q227),ISNUMBER(L227)),IFERROR(Q227/L227-1,""),"")</f>
        <v>0.0586874819311938</v>
      </c>
      <c r="R280" s="25" t="n">
        <f aca="false">IF(AND(ISNUMBER(R227),ISNUMBER(M227)),IFERROR(R227/M227-1,""),"")</f>
        <v>0.0361308427606772</v>
      </c>
      <c r="S280" s="25" t="n">
        <f aca="false">IF(AND(ISNUMBER(S227),ISNUMBER(N227)),IFERROR(S227/N227-1,""),"")</f>
        <v>0.0351643629592497</v>
      </c>
      <c r="T280" s="25" t="n">
        <f aca="false">IF(AND(ISNUMBER(T227),ISNUMBER(O227)),IFERROR(T227/O227-1,""),"")</f>
        <v>-0.00394632991318067</v>
      </c>
      <c r="U280" s="25" t="n">
        <f aca="false">IF(AND(ISNUMBER(U227),ISNUMBER(P227)),IFERROR(U227/P227-1,""),"")</f>
        <v>0.0443673868587178</v>
      </c>
      <c r="V280" s="25" t="n">
        <f aca="false">IF(AND(ISNUMBER(V227),ISNUMBER(Q227)),IFERROR(V227/Q227-1,""),"")</f>
        <v>-0.293646459129802</v>
      </c>
      <c r="W280" s="25" t="n">
        <f aca="false">IF(AND(ISNUMBER(W227),ISNUMBER(R227)),IFERROR(W227/R227-1,""),"")</f>
        <v>-0.150740584003386</v>
      </c>
      <c r="X280" s="25" t="n">
        <f aca="false">IF(AND(ISNUMBER(X227),ISNUMBER(S227)),IFERROR(X227/S227-1,""),"")</f>
        <v>-0.251072367510724</v>
      </c>
      <c r="Y280" s="25" t="n">
        <f aca="false">IF(AND(ISNUMBER(Y227),ISNUMBER(T227)),IFERROR(Y227/T227-1,""),"")</f>
        <v>-0.0919175911251978</v>
      </c>
      <c r="Z280" s="25" t="n">
        <f aca="false">IF(AND(ISNUMBER(Z227),ISNUMBER(U227)),IFERROR(Z227/U227-1,""),"")</f>
        <v>-0.125404392984846</v>
      </c>
      <c r="AA280" s="25" t="n">
        <f aca="false">IF(AND(ISNUMBER(AA227),ISNUMBER(V227)),IFERROR(AA227/V227-1,""),"")</f>
        <v>0.177448453608248</v>
      </c>
      <c r="AB280" s="25" t="n">
        <f aca="false">IF(AND(ISNUMBER(AB227),ISNUMBER(W227)),IFERROR(AB227/W227-1,""),"")</f>
        <v>0.11441100259119</v>
      </c>
      <c r="AC280" s="25" t="n">
        <f aca="false">IF(AND(ISNUMBER(AC227),ISNUMBER(X227)),IFERROR(AC227/X227-1,""),"")</f>
        <v>0.214780600461894</v>
      </c>
      <c r="AD280" s="25" t="n">
        <f aca="false">IF(AND(ISNUMBER(AD227),ISNUMBER(Y227)),IFERROR(AD227/Y227-1,""),"")</f>
        <v>0.00632635253054081</v>
      </c>
      <c r="AE280" s="25" t="n">
        <f aca="false">IF(AND(ISNUMBER(AE227),ISNUMBER(Z227)),IFERROR(AE227/Z227-1,""),"")</f>
        <v>0.0278399688503848</v>
      </c>
      <c r="AF280" s="25" t="n">
        <f aca="false">IF(AND(ISNUMBER(AF227),ISNUMBER(AA227)),IFERROR(AF227/AA227-1,""),"")</f>
        <v>0.171609937616285</v>
      </c>
      <c r="AG280" s="25" t="n">
        <f aca="false">IF(AND(ISNUMBER(AG227),ISNUMBER(AB227)),IFERROR(AG227/AB227-1,""),"")</f>
        <v>0.113128241817206</v>
      </c>
      <c r="AH280" s="25" t="n">
        <f aca="false">IF(AND(ISNUMBER(AH227),ISNUMBER(AC227)),IFERROR(AH227/AC227-1,""),"")</f>
        <v>0.0883903675538651</v>
      </c>
      <c r="AI280" s="25" t="n">
        <f aca="false">IF(AND(ISNUMBER(AI227),ISNUMBER(AD227)),IFERROR(AI227/AD227-1,""),"")</f>
        <v>0.153045740299154</v>
      </c>
      <c r="AJ280" s="25" t="n">
        <f aca="false">IF(AND(ISNUMBER(AJ227),ISNUMBER(AE227)),IFERROR(AJ227/AE227-1,""),"")</f>
        <v>0.145089497111468</v>
      </c>
      <c r="AK280" s="25" t="n">
        <f aca="false">IF(AND(ISNUMBER(AK227),ISNUMBER(AF227)),IFERROR(AK227/AF227-1,""),"")</f>
        <v>0.0763194768799635</v>
      </c>
      <c r="AL280" s="25" t="n">
        <f aca="false">IF(AND(ISNUMBER(AL227),ISNUMBER(AG227)),IFERROR(AL227/AG227-1,""),"")</f>
        <v>-0.0466779143568729</v>
      </c>
      <c r="AM280" s="25" t="n">
        <f aca="false">IF(AND(ISNUMBER(AM227),ISNUMBER(AH227)),IFERROR(AM227/AH227-1,""),"")</f>
        <v>0.000116449682092457</v>
      </c>
      <c r="AN280" s="25" t="n">
        <f aca="false">IF(AND(ISNUMBER(AN227),ISNUMBER(AI227)),IFERROR(AN227/AI227-1,""),"")</f>
        <v>0.0223726264335404</v>
      </c>
      <c r="AO280" s="25" t="n">
        <f aca="false">IF(AND(ISNUMBER(AO227),ISNUMBER(AJ227)),IFERROR(AO227/AJ227-1,""),"")</f>
        <v>-0.0497063931850134</v>
      </c>
      <c r="AP280" s="25" t="n">
        <f aca="false">IF(AND(ISNUMBER(AP227),ISNUMBER(AK227)),IFERROR(AP227/AK227-1,""),"")</f>
        <v>-0.0134525256031944</v>
      </c>
      <c r="AQ280" s="25" t="n">
        <f aca="false">IF(AND(ISNUMBER(AQ227),ISNUMBER(AL227)),IFERROR(AQ227/AL227-1,""),"")</f>
        <v>0.0632057980785437</v>
      </c>
      <c r="AR280" s="25" t="n">
        <f aca="false">IF(AND(ISNUMBER(AR227),ISNUMBER(AM227)),IFERROR(AR227/AM227-1,""),"")</f>
        <v>0.0600111778678216</v>
      </c>
      <c r="AS280" s="25" t="n">
        <f aca="false">IF(AND(ISNUMBER(AS227),ISNUMBER(AN227)),IFERROR(AS227/AN227-1,""),"")</f>
        <v>-0.0232622287605733</v>
      </c>
      <c r="AT280" s="25" t="n">
        <f aca="false">IF(AND(ISNUMBER(AT227),ISNUMBER(AO227)),IFERROR(AT227/AO227-1,""),"")</f>
        <v>0.348738033072236</v>
      </c>
      <c r="AU280" s="25" t="n">
        <f aca="false">IF(AND(ISNUMBER(AU227),ISNUMBER(AP227)),IFERROR(AU227/AP227-1,""),"")</f>
        <v>0.605612738629366</v>
      </c>
      <c r="AV280" s="25" t="n">
        <f aca="false">IF(AND(ISNUMBER(AV227),ISNUMBER(AQ227)),IFERROR(AV227/AQ227-1,""),"")</f>
        <v>0.710684844641725</v>
      </c>
      <c r="AW280" s="25" t="n">
        <f aca="false">IF(AND(ISNUMBER(AW227),ISNUMBER(AR227)),IFERROR(AW227/AR227-1,""),"")</f>
        <v>0.449065225510227</v>
      </c>
      <c r="AX280" s="25" t="n">
        <f aca="false">IF(AND(ISNUMBER(AX227),ISNUMBER(AS227)),IFERROR(AX227/AS227-1,""),"")</f>
        <v>1.40515861809282</v>
      </c>
      <c r="AY280" s="25" t="n">
        <f aca="false">IF(AND(ISNUMBER(AY227),ISNUMBER(AT227)),IFERROR(AY227/AT227-1,""),"")</f>
        <v>0.632574046589663</v>
      </c>
      <c r="AZ280" s="25" t="n">
        <f aca="false">IF(AND(ISNUMBER(AZ227),ISNUMBER(AU227)),IFERROR(AZ227/AU227-1,""),"")</f>
        <v>0.345131773601447</v>
      </c>
      <c r="BA280" s="25" t="n">
        <f aca="false">IF(AND(ISNUMBER(BA227),ISNUMBER(AV227)),IFERROR(BA227/AV227-1,""),"")</f>
        <v>0.276063386155129</v>
      </c>
      <c r="BB280" s="25" t="n">
        <f aca="false">IF(AND(ISNUMBER(BB227),ISNUMBER(AW227)),IFERROR(BB227/AW227-1,""),"")</f>
        <v>0.560642813826562</v>
      </c>
      <c r="BC280" s="25" t="n">
        <f aca="false">IF(AND(ISNUMBER(BC227),ISNUMBER(AX227)),IFERROR(BC227/AX227-1,""),"")</f>
        <v>0.0880626223091976</v>
      </c>
      <c r="BD280" s="25" t="n">
        <f aca="false">IF(AND(ISNUMBER(BD227),ISNUMBER(AY227)),IFERROR(BD227/AY227-1,""),"")</f>
        <v>0.0932806324110671</v>
      </c>
      <c r="BE280" s="25" t="n">
        <f aca="false">IF(AND(ISNUMBER(BE227),ISNUMBER(AZ227)),IFERROR(BE227/AZ227-1,""),"")</f>
        <v>0.0407331975560081</v>
      </c>
      <c r="BF280" s="25" t="n">
        <f aca="false">IF(AND(ISNUMBER(BF227),ISNUMBER(BA227)),IFERROR(BF227/BA227-1,""),"")</f>
        <v>-0.0708061002178649</v>
      </c>
      <c r="BG280" s="25" t="n">
        <f aca="false">IF(AND(ISNUMBER(BG227),ISNUMBER(BB227)),IFERROR(BG227/BB227-1,""),"")</f>
        <v>-0.0510005828638042</v>
      </c>
      <c r="BH280" s="25" t="n">
        <f aca="false">IF(AND(ISNUMBER(BH227),ISNUMBER(BC227)),IFERROR(BH227/BC227-1,""),"")</f>
        <v>-0.248201438848921</v>
      </c>
      <c r="BI280" s="25" t="n">
        <f aca="false">IF(AND(ISNUMBER(BI227),ISNUMBER(BD227)),IFERROR(BI227/BD227-1,""),"")</f>
        <v>-0.349963846710051</v>
      </c>
      <c r="BJ280" s="25" t="n">
        <f aca="false">IF(AND(ISNUMBER(BJ227),ISNUMBER(BE227)),IFERROR(BJ227/BE227-1,""),"")</f>
        <v>-0.307632093933464</v>
      </c>
      <c r="BK280" s="25" t="n">
        <f aca="false">IF(AND(ISNUMBER(BK227),ISNUMBER(BF227)),IFERROR(BK227/BF227-1,""),"")</f>
        <v>-0.223915592028136</v>
      </c>
      <c r="BL280" s="25" t="n">
        <f aca="false">IF(AND(ISNUMBER(BL227),ISNUMBER(BG227)),IFERROR(BL227/BG227-1,""),"")</f>
        <v>-0.229194390418671</v>
      </c>
      <c r="BM280" s="25" t="n">
        <f aca="false">IF(AND(ISNUMBER(BM227),ISNUMBER(BH227)),IFERROR(BM227/BH227-1,""),"")</f>
        <v>-0.0799043062200957</v>
      </c>
      <c r="BN280" s="25" t="n">
        <f aca="false">IF(AND(ISNUMBER(BN227),ISNUMBER(BI227)),IFERROR(BN227/BI227-1,""),"")</f>
        <v>-0.0278086763070078</v>
      </c>
      <c r="BO280" s="25" t="n">
        <f aca="false">IF(AND(ISNUMBER(BO227),ISNUMBER(BJ227)),IFERROR(BO227/BJ227-1,""),"")</f>
        <v>0.00113058224985862</v>
      </c>
      <c r="BP280" s="25" t="n">
        <f aca="false">IF(AND(ISNUMBER(BP227),ISNUMBER(BK227)),IFERROR(BP227/BK227-1,""),"")</f>
        <v>0.066968781470292</v>
      </c>
      <c r="BQ280" s="25" t="n">
        <f aca="false">IF(AND(ISNUMBER(BQ227),ISNUMBER(BL227)),IFERROR(BQ227/BL227-1,""),"")</f>
        <v>0.00411686586985383</v>
      </c>
      <c r="BR280" s="25" t="n">
        <f aca="false">IF(AND(ISNUMBER(BR227),ISNUMBER(BM227)),IFERROR(BR227/BM227-1,""),"")</f>
        <v>-0.0223608944357774</v>
      </c>
      <c r="BS280" s="25" t="n">
        <f aca="false">IF(AND(ISNUMBER(BS227),ISNUMBER(BN227)),IFERROR(BS227/BN227-1,""),"")</f>
        <v>0.0314645308924486</v>
      </c>
      <c r="BT280" s="25" t="n">
        <f aca="false">IF(AND(ISNUMBER(BT227),ISNUMBER(BO227)),IFERROR(BT227/BO227-1,""),"")</f>
        <v>0.0598531902879729</v>
      </c>
      <c r="BU280" s="25" t="n">
        <f aca="false">IF(AND(ISNUMBER(BU227),ISNUMBER(BP227)),IFERROR(BU227/BP227-1,""),"")</f>
        <v>0.00471920717319496</v>
      </c>
      <c r="BV280" s="25" t="n">
        <f aca="false">IF(AND(ISNUMBER(BV227),ISNUMBER(BQ227)),IFERROR(BV227/BQ227-1,""),"")</f>
        <v>0.0169289776484591</v>
      </c>
      <c r="BW280" s="25" t="n">
        <f aca="false">IF(AND(ISNUMBER(BW227),ISNUMBER(BR227)),IFERROR(BW227/BR227-1,""),"")</f>
        <v>0.0574468085106383</v>
      </c>
      <c r="BX280" s="25" t="n">
        <f aca="false">IF(AND(ISNUMBER(BX227),ISNUMBER(BS227)),IFERROR(BX227/BS227-1,""),"")</f>
        <v>0.050471436494731</v>
      </c>
      <c r="BY280" s="26" t="n">
        <f aca="false">IF(AND(ISNUMBER(BY227),ISNUMBER(BT227)),IFERROR(BY227/BT227-1,""),"")</f>
        <v>0.0465991716485694</v>
      </c>
      <c r="BZ280" s="26" t="n">
        <f aca="false">IF(AND(ISNUMBER(BZ227),ISNUMBER(BU227)),IFERROR(BZ227/BU227-1,""),"")</f>
        <v>0.207159633192564</v>
      </c>
      <c r="CA280" s="26" t="n">
        <f aca="false">IF(AND(ISNUMBER(CA227),ISNUMBER(BV227)),IFERROR(CA227/BV227-1,""),"")</f>
        <v>0.0946169208286294</v>
      </c>
      <c r="CB280" s="26" t="n">
        <f aca="false">IF(AND(ISNUMBER(CB227),ISNUMBER(CA227)),IFERROR(CB227/CA227-1,""),"")</f>
        <v>0.100411063829281</v>
      </c>
      <c r="CC280" s="26" t="n">
        <f aca="false">IF(AND(ISNUMBER(CC227),ISNUMBER(CB227)),IFERROR(CC227/CB227-1,""),"")</f>
        <v>0.0856683366210476</v>
      </c>
      <c r="CD280" s="26" t="n">
        <f aca="false">IF(AND(ISNUMBER(CD227),ISNUMBER(CC227)),IFERROR(CD227/CC227-1,""),"")</f>
        <v>0.0893289214870552</v>
      </c>
      <c r="CE280" s="26" t="n">
        <f aca="false">IF(AND(ISNUMBER(CE227),ISNUMBER(CD227)),IFERROR(CE227/CD227-1,""),"")</f>
        <v>0.0882541029733965</v>
      </c>
      <c r="CF280" s="7"/>
    </row>
    <row r="281" customFormat="false" ht="15" hidden="false" customHeight="true" outlineLevel="0" collapsed="false">
      <c r="B281" s="24" t="s">
        <v>449</v>
      </c>
      <c r="D281" s="25" t="n">
        <f aca="false">IF(AND(ISNUMBER(D185),ISNUMBER(C185)),IFERROR(D185/C185-1,""),"")</f>
        <v>0.160234619742717</v>
      </c>
      <c r="E281" s="25" t="n">
        <f aca="false">IF(AND(ISNUMBER(E185),ISNUMBER(D185)),IFERROR(E185/D185-1,""),"")</f>
        <v>0.073993221117941</v>
      </c>
      <c r="F281" s="25" t="n">
        <f aca="false">IF(AND(ISNUMBER(F185),ISNUMBER(E185)),IFERROR(F185/E185-1,""),"")</f>
        <v>-0.17496656860123</v>
      </c>
      <c r="G281" s="25" t="n">
        <f aca="false">IF(AND(ISNUMBER(G185),ISNUMBER(F185)),IFERROR(G185/F185-1,""),"")</f>
        <v>0.328838174273859</v>
      </c>
      <c r="H281" s="25" t="n">
        <f aca="false">IF(AND(ISNUMBER(H185),ISNUMBER(G185)),IFERROR(H185/G185-1,""),"")</f>
        <v>0.276932084309134</v>
      </c>
      <c r="I281" s="25" t="n">
        <f aca="false">IF(AND(ISNUMBER(I185),ISNUMBER(H185)),IFERROR(I185/H185-1,""),"")</f>
        <v>0.20934586581079</v>
      </c>
      <c r="N281" s="25" t="n">
        <f aca="false">IF(AND(ISNUMBER(N185),ISNUMBER(I185)),IFERROR(N185/I185-1,""),"")</f>
        <v>0.0346908470506457</v>
      </c>
      <c r="O281" s="25" t="n">
        <f aca="false">IF(AND(ISNUMBER(O185),ISNUMBER(J185)),IFERROR(O185/J185-1,""),"")</f>
        <v>0.0793542208236422</v>
      </c>
      <c r="P281" s="25" t="n">
        <f aca="false">IF(AND(ISNUMBER(P185),ISNUMBER(K185)),IFERROR(P185/K185-1,""),"")</f>
        <v>0.0541725936462782</v>
      </c>
      <c r="Q281" s="25" t="n">
        <f aca="false">IF(AND(ISNUMBER(Q185),ISNUMBER(L185)),IFERROR(Q185/L185-1,""),"")</f>
        <v>0.0662235352043328</v>
      </c>
      <c r="R281" s="25" t="n">
        <f aca="false">IF(AND(ISNUMBER(R185),ISNUMBER(M185)),IFERROR(R185/M185-1,""),"")</f>
        <v>-0.0237612612612612</v>
      </c>
      <c r="S281" s="25" t="n">
        <f aca="false">IF(AND(ISNUMBER(S185),ISNUMBER(N185)),IFERROR(S185/N185-1,""),"")</f>
        <v>0.0218937982839171</v>
      </c>
      <c r="T281" s="25" t="n">
        <f aca="false">IF(AND(ISNUMBER(T185),ISNUMBER(O185)),IFERROR(T185/O185-1,""),"")</f>
        <v>-0.0428444669793383</v>
      </c>
      <c r="U281" s="25" t="n">
        <f aca="false">IF(AND(ISNUMBER(U185),ISNUMBER(P185)),IFERROR(U185/P185-1,""),"")</f>
        <v>0.0507140447543009</v>
      </c>
      <c r="V281" s="25" t="n">
        <f aca="false">IF(AND(ISNUMBER(V185),ISNUMBER(Q185)),IFERROR(V185/Q185-1,""),"")</f>
        <v>-0.445855460632649</v>
      </c>
      <c r="W281" s="25" t="n">
        <f aca="false">IF(AND(ISNUMBER(W185),ISNUMBER(R185)),IFERROR(W185/R185-1,""),"")</f>
        <v>-0.248356211789134</v>
      </c>
      <c r="X281" s="25" t="n">
        <f aca="false">IF(AND(ISNUMBER(X185),ISNUMBER(S185)),IFERROR(X185/S185-1,""),"")</f>
        <v>-0.353911432498655</v>
      </c>
      <c r="Y281" s="25" t="n">
        <f aca="false">IF(AND(ISNUMBER(Y185),ISNUMBER(T185)),IFERROR(Y185/T185-1,""),"")</f>
        <v>-0.188054562309627</v>
      </c>
      <c r="Z281" s="25" t="n">
        <f aca="false">IF(AND(ISNUMBER(Z185),ISNUMBER(U185)),IFERROR(Z185/U185-1,""),"")</f>
        <v>-0.240047089041096</v>
      </c>
      <c r="AA281" s="25" t="n">
        <f aca="false">IF(AND(ISNUMBER(AA185),ISNUMBER(V185)),IFERROR(AA185/V185-1,""),"")</f>
        <v>0.456458333333335</v>
      </c>
      <c r="AB281" s="25" t="n">
        <f aca="false">IF(AND(ISNUMBER(AB185),ISNUMBER(W185)),IFERROR(AB185/W185-1,""),"")</f>
        <v>0.11817065684469</v>
      </c>
      <c r="AC281" s="25" t="n">
        <f aca="false">IF(AND(ISNUMBER(AC185),ISNUMBER(X185)),IFERROR(AC185/X185-1,""),"")</f>
        <v>0.272268985292758</v>
      </c>
      <c r="AD281" s="25" t="n">
        <f aca="false">IF(AND(ISNUMBER(AD185),ISNUMBER(Y185)),IFERROR(AD185/Y185-1,""),"")</f>
        <v>0.00636111564181929</v>
      </c>
      <c r="AE281" s="25" t="n">
        <f aca="false">IF(AND(ISNUMBER(AE185),ISNUMBER(Z185)),IFERROR(AE185/Z185-1,""),"")</f>
        <v>-0.0470356287846776</v>
      </c>
      <c r="AF281" s="25" t="n">
        <f aca="false">IF(AND(ISNUMBER(AF185),ISNUMBER(AA185)),IFERROR(AF185/AA185-1,""),"")</f>
        <v>0.08596767272207</v>
      </c>
      <c r="AG281" s="25" t="n">
        <f aca="false">IF(AND(ISNUMBER(AG185),ISNUMBER(AB185)),IFERROR(AG185/AB185-1,""),"")</f>
        <v>0.286714246500137</v>
      </c>
      <c r="AH281" s="25" t="n">
        <f aca="false">IF(AND(ISNUMBER(AH185),ISNUMBER(AC185)),IFERROR(AH185/AC185-1,""),"")</f>
        <v>0.0870624159366016</v>
      </c>
      <c r="AI281" s="25" t="n">
        <f aca="false">IF(AND(ISNUMBER(AI185),ISNUMBER(AD185)),IFERROR(AI185/AD185-1,""),"")</f>
        <v>0.204213938411669</v>
      </c>
      <c r="AJ281" s="25" t="n">
        <f aca="false">IF(AND(ISNUMBER(AJ185),ISNUMBER(AE185)),IFERROR(AJ185/AE185-1,""),"")</f>
        <v>0.281956553864341</v>
      </c>
      <c r="AK281" s="25" t="n">
        <f aca="false">IF(AND(ISNUMBER(AK185),ISNUMBER(AF185)),IFERROR(AK185/AF185-1,""),"")</f>
        <v>0.0941780821917821</v>
      </c>
      <c r="AL281" s="25" t="n">
        <f aca="false">IF(AND(ISNUMBER(AL185),ISNUMBER(AG185)),IFERROR(AL185/AG185-1,""),"")</f>
        <v>-0.07904</v>
      </c>
      <c r="AM281" s="25" t="n">
        <f aca="false">IF(AND(ISNUMBER(AM185),ISNUMBER(AH185)),IFERROR(AM185/AH185-1,""),"")</f>
        <v>0.0216359015516319</v>
      </c>
      <c r="AN281" s="25" t="n">
        <f aca="false">IF(AND(ISNUMBER(AN185),ISNUMBER(AI185)),IFERROR(AN185/AI185-1,""),"")</f>
        <v>-0.03135935397039</v>
      </c>
      <c r="AO281" s="25" t="n">
        <f aca="false">IF(AND(ISNUMBER(AO185),ISNUMBER(AJ185)),IFERROR(AO185/AJ185-1,""),"")</f>
        <v>-0.0643227665706048</v>
      </c>
      <c r="AP281" s="25" t="n">
        <f aca="false">IF(AND(ISNUMBER(AP185),ISNUMBER(AK185)),IFERROR(AP185/AK185-1,""),"")</f>
        <v>-0.0654869387263758</v>
      </c>
      <c r="AQ281" s="25" t="n">
        <f aca="false">IF(AND(ISNUMBER(AQ185),ISNUMBER(AL185)),IFERROR(AQ185/AL185-1,""),"")</f>
        <v>0.113852212184387</v>
      </c>
      <c r="AR281" s="25" t="n">
        <f aca="false">IF(AND(ISNUMBER(AR185),ISNUMBER(AM185)),IFERROR(AR185/AM185-1,""),"")</f>
        <v>0.0701450034368758</v>
      </c>
      <c r="AS281" s="25" t="n">
        <f aca="false">IF(AND(ISNUMBER(AS185),ISNUMBER(AN185)),IFERROR(AS185/AN185-1,""),"")</f>
        <v>-0.0308461859107952</v>
      </c>
      <c r="AT281" s="25" t="n">
        <f aca="false">IF(AND(ISNUMBER(AT185),ISNUMBER(AO185)),IFERROR(AT185/AO185-1,""),"")</f>
        <v>0.0405322163360837</v>
      </c>
      <c r="AU281" s="25" t="n">
        <f aca="false">IF(AND(ISNUMBER(AU185),ISNUMBER(AP185)),IFERROR(AU185/AP185-1,""),"")</f>
        <v>0.401004766198634</v>
      </c>
      <c r="AV281" s="25" t="n">
        <f aca="false">IF(AND(ISNUMBER(AV185),ISNUMBER(AQ185)),IFERROR(AV185/AQ185-1,""),"")</f>
        <v>0.664760320266196</v>
      </c>
      <c r="AW281" s="25" t="n">
        <f aca="false">IF(AND(ISNUMBER(AW185),ISNUMBER(AR185)),IFERROR(AW185/AR185-1,""),"")</f>
        <v>0.294121245488469</v>
      </c>
      <c r="AX281" s="25" t="n">
        <f aca="false">IF(AND(ISNUMBER(AX185),ISNUMBER(AS185)),IFERROR(AX185/AS185-1,""),"")</f>
        <v>1.86308243727598</v>
      </c>
      <c r="AY281" s="25" t="n">
        <f aca="false">IF(AND(ISNUMBER(AY185),ISNUMBER(AT185)),IFERROR(AY185/AT185-1,""),"")</f>
        <v>1.37390480700924</v>
      </c>
      <c r="AZ281" s="25" t="n">
        <f aca="false">IF(AND(ISNUMBER(AZ185),ISNUMBER(AU185)),IFERROR(AZ185/AU185-1,""),"")</f>
        <v>0.203567488047076</v>
      </c>
      <c r="BA281" s="25" t="n">
        <f aca="false">IF(AND(ISNUMBER(BA185),ISNUMBER(AV185)),IFERROR(BA185/AV185-1,""),"")</f>
        <v>0.345409119300437</v>
      </c>
      <c r="BB281" s="25" t="n">
        <f aca="false">IF(AND(ISNUMBER(BB185),ISNUMBER(AW185)),IFERROR(BB185/AW185-1,""),"")</f>
        <v>0.764358307728669</v>
      </c>
      <c r="BC281" s="25" t="n">
        <f aca="false">IF(AND(ISNUMBER(BC185),ISNUMBER(AX185)),IFERROR(BC185/AX185-1,""),"")</f>
        <v>0.0876314471707562</v>
      </c>
      <c r="BD281" s="25" t="n">
        <f aca="false">IF(AND(ISNUMBER(BD185),ISNUMBER(AY185)),IFERROR(BD185/AY185-1,""),"")</f>
        <v>0.0997506234413965</v>
      </c>
      <c r="BE281" s="25" t="n">
        <f aca="false">IF(AND(ISNUMBER(BE185),ISNUMBER(AZ185)),IFERROR(BE185/AZ185-1,""),"")</f>
        <v>0.539343009931245</v>
      </c>
      <c r="BF281" s="25" t="n">
        <f aca="false">IF(AND(ISNUMBER(BF185),ISNUMBER(BA185)),IFERROR(BF185/BA185-1,""),"")</f>
        <v>-0.0728876508820798</v>
      </c>
      <c r="BG281" s="25" t="n">
        <f aca="false">IF(AND(ISNUMBER(BG185),ISNUMBER(BB185)),IFERROR(BG185/BB185-1,""),"")</f>
        <v>0.009511051574012</v>
      </c>
      <c r="BH281" s="25" t="n">
        <f aca="false">IF(AND(ISNUMBER(BH185),ISNUMBER(BC185)),IFERROR(BH185/BC185-1,""),"")</f>
        <v>-0.301565377532228</v>
      </c>
      <c r="BI281" s="25" t="n">
        <f aca="false">IF(AND(ISNUMBER(BI185),ISNUMBER(BD185)),IFERROR(BI185/BD185-1,""),"")</f>
        <v>-0.472562358276644</v>
      </c>
      <c r="BJ281" s="25" t="n">
        <f aca="false">IF(AND(ISNUMBER(BJ185),ISNUMBER(BE185)),IFERROR(BJ185/BE185-1,""),"")</f>
        <v>-0.411910669975186</v>
      </c>
      <c r="BK281" s="25" t="n">
        <f aca="false">IF(AND(ISNUMBER(BK185),ISNUMBER(BF185)),IFERROR(BK185/BF185-1,""),"")</f>
        <v>-0.330495743615423</v>
      </c>
      <c r="BL281" s="25" t="n">
        <f aca="false">IF(AND(ISNUMBER(BL185),ISNUMBER(BG185)),IFERROR(BL185/BG185-1,""),"")</f>
        <v>-0.309713375796178</v>
      </c>
      <c r="BM281" s="25" t="n">
        <f aca="false">IF(AND(ISNUMBER(BM185),ISNUMBER(BH185)),IFERROR(BM185/BH185-1,""),"")</f>
        <v>-0.135135135135135</v>
      </c>
      <c r="BN281" s="25" t="n">
        <f aca="false">IF(AND(ISNUMBER(BN185),ISNUMBER(BI185)),IFERROR(BN185/BI185-1,""),"")</f>
        <v>0.0042992261392949</v>
      </c>
      <c r="BO281" s="25" t="n">
        <f aca="false">IF(AND(ISNUMBER(BO185),ISNUMBER(BJ185)),IFERROR(BO185/BJ185-1,""),"")</f>
        <v>-0.191561181434599</v>
      </c>
      <c r="BP281" s="25" t="n">
        <f aca="false">IF(AND(ISNUMBER(BP185),ISNUMBER(BK185)),IFERROR(BP185/BK185-1,""),"")</f>
        <v>0.0658189977561705</v>
      </c>
      <c r="BQ281" s="25" t="n">
        <f aca="false">IF(AND(ISNUMBER(BQ185),ISNUMBER(BL185)),IFERROR(BQ185/BL185-1,""),"")</f>
        <v>-0.0651672433679355</v>
      </c>
      <c r="BR281" s="25" t="n">
        <f aca="false">IF(AND(ISNUMBER(BR185),ISNUMBER(BM185)),IFERROR(BR185/BM185-1,""),"")</f>
        <v>-0.0289634146341463</v>
      </c>
      <c r="BS281" s="25" t="n">
        <f aca="false">IF(AND(ISNUMBER(BS185),ISNUMBER(BN185)),IFERROR(BS185/BN185-1,""),"")</f>
        <v>-0.349315068493151</v>
      </c>
      <c r="BT281" s="25" t="n">
        <f aca="false">IF(AND(ISNUMBER(BT185),ISNUMBER(BO185)),IFERROR(BT185/BO185-1,""),"")</f>
        <v>0.204592901878914</v>
      </c>
      <c r="BU281" s="25" t="n">
        <f aca="false">IF(AND(ISNUMBER(BU185),ISNUMBER(BP185)),IFERROR(BU185/BP185-1,""),"")</f>
        <v>0.0540350877192983</v>
      </c>
      <c r="BV281" s="25" t="n">
        <f aca="false">IF(AND(ISNUMBER(BV185),ISNUMBER(BQ185)),IFERROR(BV185/BQ185-1,""),"")</f>
        <v>-0.035574748097882</v>
      </c>
      <c r="BW281" s="25" t="n">
        <f aca="false">IF(AND(ISNUMBER(BW185),ISNUMBER(BR185)),IFERROR(BW185/BR185-1,""),"")</f>
        <v>0.054945054945055</v>
      </c>
      <c r="BX281" s="25" t="n">
        <f aca="false">IF(AND(ISNUMBER(BX185),ISNUMBER(BS185)),IFERROR(BX185/BS185-1,""),"")</f>
        <v>0.482894736842105</v>
      </c>
      <c r="BY281" s="26" t="n">
        <f aca="false">IF(AND(ISNUMBER(BY185),ISNUMBER(BT185)),IFERROR(BY185/BT185-1,""),"")</f>
        <v>0.0604255963294829</v>
      </c>
      <c r="BZ281" s="26" t="n">
        <f aca="false">IF(AND(ISNUMBER(BZ185),ISNUMBER(BU185)),IFERROR(BZ185/BU185-1,""),"")</f>
        <v>0.213699324777187</v>
      </c>
      <c r="CA281" s="26" t="n">
        <f aca="false">IF(AND(ISNUMBER(CA185),ISNUMBER(BV185)),IFERROR(CA185/BV185-1,""),"")</f>
        <v>0.176483480592656</v>
      </c>
      <c r="CB281" s="26" t="n">
        <f aca="false">IF(AND(ISNUMBER(CB185),ISNUMBER(CA185)),IFERROR(CB185/CA185-1,""),"")</f>
        <v>0.169603164310228</v>
      </c>
      <c r="CC281" s="26" t="n">
        <f aca="false">IF(AND(ISNUMBER(CC185),ISNUMBER(CB185)),IFERROR(CC185/CB185-1,""),"")</f>
        <v>0.107625579745276</v>
      </c>
      <c r="CD281" s="26" t="n">
        <f aca="false">IF(AND(ISNUMBER(CD185),ISNUMBER(CC185)),IFERROR(CD185/CC185-1,""),"")</f>
        <v>0.107771962296037</v>
      </c>
      <c r="CE281" s="26" t="n">
        <f aca="false">IF(AND(ISNUMBER(CE185),ISNUMBER(CD185)),IFERROR(CE185/CD185-1,""),"")</f>
        <v>0.129673841256599</v>
      </c>
      <c r="CF281" s="7"/>
    </row>
    <row r="282" customFormat="false" ht="15" hidden="false" customHeight="true" outlineLevel="0" collapsed="false">
      <c r="B282" s="24" t="s">
        <v>450</v>
      </c>
      <c r="D282" s="25" t="n">
        <f aca="false">IF(AND(ISNUMBER(D203),ISNUMBER(C203)),IFERROR(D203/C203-1,""),"")</f>
        <v>0.0943838456684385</v>
      </c>
      <c r="E282" s="25" t="n">
        <f aca="false">IF(AND(ISNUMBER(E203),ISNUMBER(D203)),IFERROR(E203/D203-1,""),"")</f>
        <v>0.0853377265238879</v>
      </c>
      <c r="F282" s="25" t="n">
        <f aca="false">IF(AND(ISNUMBER(F203),ISNUMBER(E203)),IFERROR(F203/E203-1,""),"")</f>
        <v>-0.125986642380085</v>
      </c>
      <c r="G282" s="25" t="n">
        <f aca="false">IF(AND(ISNUMBER(G203),ISNUMBER(F203)),IFERROR(G203/F203-1,""),"")</f>
        <v>0.491924279263634</v>
      </c>
      <c r="H282" s="25" t="n">
        <f aca="false">IF(AND(ISNUMBER(H203),ISNUMBER(G203)),IFERROR(H203/G203-1,""),"")</f>
        <v>0.126360514521856</v>
      </c>
      <c r="I282" s="25" t="n">
        <f aca="false">IF(AND(ISNUMBER(I203),ISNUMBER(H203)),IFERROR(I203/H203-1,""),"")</f>
        <v>0.18814592806945</v>
      </c>
      <c r="N282" s="25" t="n">
        <f aca="false">IF(AND(ISNUMBER(N203),ISNUMBER(I203)),IFERROR(N203/I203-1,""),"")</f>
        <v>0.172095855260296</v>
      </c>
      <c r="O282" s="25" t="n">
        <f aca="false">IF(AND(ISNUMBER(O203),ISNUMBER(J203)),IFERROR(O203/J203-1,""),"")</f>
        <v>-0.162162162162162</v>
      </c>
      <c r="P282" s="25" t="n">
        <f aca="false">IF(AND(ISNUMBER(P203),ISNUMBER(K203)),IFERROR(P203/K203-1,""),"")</f>
        <v>0.0966277561608306</v>
      </c>
      <c r="Q282" s="25" t="n">
        <f aca="false">IF(AND(ISNUMBER(Q203),ISNUMBER(L203)),IFERROR(Q203/L203-1,""),"")</f>
        <v>0.141206030150754</v>
      </c>
      <c r="R282" s="25" t="n">
        <f aca="false">IF(AND(ISNUMBER(R203),ISNUMBER(M203)),IFERROR(R203/M203-1,""),"")</f>
        <v>-0.176992271633092</v>
      </c>
      <c r="S282" s="25" t="n">
        <f aca="false">IF(AND(ISNUMBER(S203),ISNUMBER(N203)),IFERROR(S203/N203-1,""),"")</f>
        <v>-0.0563636363636363</v>
      </c>
      <c r="T282" s="25" t="n">
        <f aca="false">IF(AND(ISNUMBER(T203),ISNUMBER(O203)),IFERROR(T203/O203-1,""),"")</f>
        <v>-0.0374331550802138</v>
      </c>
      <c r="U282" s="25" t="n">
        <f aca="false">IF(AND(ISNUMBER(U203),ISNUMBER(P203)),IFERROR(U203/P203-1,""),"")</f>
        <v>0.0578060319337665</v>
      </c>
      <c r="V282" s="25" t="n">
        <f aca="false">IF(AND(ISNUMBER(V203),ISNUMBER(Q203)),IFERROR(V203/Q203-1,""),"")</f>
        <v>-0.442389549390871</v>
      </c>
      <c r="W282" s="25" t="n">
        <f aca="false">IF(AND(ISNUMBER(W203),ISNUMBER(R203)),IFERROR(W203/R203-1,""),"")</f>
        <v>-0.197967980295567</v>
      </c>
      <c r="X282" s="25" t="n">
        <f aca="false">IF(AND(ISNUMBER(X203),ISNUMBER(S203)),IFERROR(X203/S203-1,""),"")</f>
        <v>-0.313161102591326</v>
      </c>
      <c r="Y282" s="25" t="n">
        <f aca="false">IF(AND(ISNUMBER(Y203),ISNUMBER(T203)),IFERROR(Y203/T203-1,""),"")</f>
        <v>0.0498207885304667</v>
      </c>
      <c r="Z282" s="25" t="n">
        <f aca="false">IF(AND(ISNUMBER(Z203),ISNUMBER(U203)),IFERROR(Z203/U203-1,""),"")</f>
        <v>-0.415793151642209</v>
      </c>
      <c r="AA282" s="25" t="n">
        <f aca="false">IF(AND(ISNUMBER(AA203),ISNUMBER(V203)),IFERROR(AA203/V203-1,""),"")</f>
        <v>0.059752566464861</v>
      </c>
      <c r="AB282" s="25" t="n">
        <f aca="false">IF(AND(ISNUMBER(AB203),ISNUMBER(W203)),IFERROR(AB203/W203-1,""),"")</f>
        <v>0.433781190019195</v>
      </c>
      <c r="AC282" s="25" t="n">
        <f aca="false">IF(AND(ISNUMBER(AC203),ISNUMBER(X203)),IFERROR(AC203/X203-1,""),"")</f>
        <v>0.232839067956719</v>
      </c>
      <c r="AD282" s="25" t="n">
        <f aca="false">IF(AND(ISNUMBER(AD203),ISNUMBER(Y203)),IFERROR(AD203/Y203-1,""),"")</f>
        <v>-0.174120860361899</v>
      </c>
      <c r="AE282" s="25" t="n">
        <f aca="false">IF(AND(ISNUMBER(AE203),ISNUMBER(Z203)),IFERROR(AE203/Z203-1,""),"")</f>
        <v>0.333253588516748</v>
      </c>
      <c r="AF282" s="25" t="n">
        <f aca="false">IF(AND(ISNUMBER(AF203),ISNUMBER(AA203)),IFERROR(AF203/AA203-1,""),"")</f>
        <v>0.421013412816689</v>
      </c>
      <c r="AG282" s="25" t="n">
        <f aca="false">IF(AND(ISNUMBER(AG203),ISNUMBER(AB203)),IFERROR(AG203/AB203-1,""),"")</f>
        <v>0.146720214190094</v>
      </c>
      <c r="AH282" s="25" t="n">
        <f aca="false">IF(AND(ISNUMBER(AH203),ISNUMBER(AC203)),IFERROR(AH203/AC203-1,""),"")</f>
        <v>0.146930435590229</v>
      </c>
      <c r="AI282" s="25" t="n">
        <f aca="false">IF(AND(ISNUMBER(AI203),ISNUMBER(AD203)),IFERROR(AI203/AD203-1,""),"")</f>
        <v>0.17114510128152</v>
      </c>
      <c r="AJ282" s="25" t="n">
        <f aca="false">IF(AND(ISNUMBER(AJ203),ISNUMBER(AE203)),IFERROR(AJ203/AE203-1,""),"")</f>
        <v>0.209043603086308</v>
      </c>
      <c r="AK282" s="25" t="n">
        <f aca="false">IF(AND(ISNUMBER(AK203),ISNUMBER(AF203)),IFERROR(AK203/AF203-1,""),"")</f>
        <v>0.16011186855445</v>
      </c>
      <c r="AL282" s="25" t="n">
        <f aca="false">IF(AND(ISNUMBER(AL203),ISNUMBER(AG203)),IFERROR(AL203/AG203-1,""),"")</f>
        <v>-0.201727760915246</v>
      </c>
      <c r="AM282" s="25" t="n">
        <f aca="false">IF(AND(ISNUMBER(AM203),ISNUMBER(AH203)),IFERROR(AM203/AH203-1,""),"")</f>
        <v>-0.0257105838529438</v>
      </c>
      <c r="AN282" s="25" t="n">
        <f aca="false">IF(AND(ISNUMBER(AN203),ISNUMBER(AI203)),IFERROR(AN203/AI203-1,""),"")</f>
        <v>-0.424991175432404</v>
      </c>
      <c r="AO282" s="25" t="n">
        <f aca="false">IF(AND(ISNUMBER(AO203),ISNUMBER(AJ203)),IFERROR(AO203/AJ203-1,""),"")</f>
        <v>-0.0298308103294742</v>
      </c>
      <c r="AP282" s="25" t="n">
        <f aca="false">IF(AND(ISNUMBER(AP203),ISNUMBER(AK203)),IFERROR(AP203/AK203-1,""),"")</f>
        <v>-0.0881422329365682</v>
      </c>
      <c r="AQ282" s="25" t="n">
        <f aca="false">IF(AND(ISNUMBER(AQ203),ISNUMBER(AL203)),IFERROR(AQ203/AL203-1,""),"")</f>
        <v>0.130886224042117</v>
      </c>
      <c r="AR282" s="25" t="n">
        <f aca="false">IF(AND(ISNUMBER(AR203),ISNUMBER(AM203)),IFERROR(AR203/AM203-1,""),"")</f>
        <v>-0.0176204130823258</v>
      </c>
      <c r="AS282" s="25" t="n">
        <f aca="false">IF(AND(ISNUMBER(AS203),ISNUMBER(AN203)),IFERROR(AS203/AN203-1,""),"")</f>
        <v>0.766421117249849</v>
      </c>
      <c r="AT282" s="25" t="n">
        <f aca="false">IF(AND(ISNUMBER(AT203),ISNUMBER(AO203)),IFERROR(AT203/AO203-1,""),"")</f>
        <v>0.365611136607005</v>
      </c>
      <c r="AU282" s="25" t="n">
        <f aca="false">IF(AND(ISNUMBER(AU203),ISNUMBER(AP203)),IFERROR(AU203/AP203-1,""),"")</f>
        <v>0.391936549900859</v>
      </c>
      <c r="AV282" s="25" t="n">
        <f aca="false">IF(AND(ISNUMBER(AV203),ISNUMBER(AQ203)),IFERROR(AV203/AQ203-1,""),"")</f>
        <v>0.551791025475237</v>
      </c>
      <c r="AW282" s="25" t="n">
        <f aca="false">IF(AND(ISNUMBER(AW203),ISNUMBER(AR203)),IFERROR(AW203/AR203-1,""),"")</f>
        <v>0.484834383857186</v>
      </c>
      <c r="AX282" s="25" t="n">
        <f aca="false">IF(AND(ISNUMBER(AX203),ISNUMBER(AS203)),IFERROR(AX203/AS203-1,""),"")</f>
        <v>1.88618592528236</v>
      </c>
      <c r="AY282" s="25" t="n">
        <f aca="false">IF(AND(ISNUMBER(AY203),ISNUMBER(AT203)),IFERROR(AY203/AT203-1,""),"")</f>
        <v>0.85728688249132</v>
      </c>
      <c r="AZ282" s="25" t="n">
        <f aca="false">IF(AND(ISNUMBER(AZ203),ISNUMBER(AU203)),IFERROR(AZ203/AU203-1,""),"")</f>
        <v>0.325973409306743</v>
      </c>
      <c r="BA282" s="25" t="n">
        <f aca="false">IF(AND(ISNUMBER(BA203),ISNUMBER(AV203)),IFERROR(BA203/AV203-1,""),"")</f>
        <v>0.455833333333333</v>
      </c>
      <c r="BB282" s="25" t="n">
        <f aca="false">IF(AND(ISNUMBER(BB203),ISNUMBER(AW203)),IFERROR(BB203/AW203-1,""),"")</f>
        <v>0.761538461538462</v>
      </c>
      <c r="BC282" s="25" t="n">
        <f aca="false">IF(AND(ISNUMBER(BC203),ISNUMBER(AX203)),IFERROR(BC203/AX203-1,""),"")</f>
        <v>0.0138470800722457</v>
      </c>
      <c r="BD282" s="25" t="n">
        <f aca="false">IF(AND(ISNUMBER(BD203),ISNUMBER(AY203)),IFERROR(BD203/AY203-1,""),"")</f>
        <v>0</v>
      </c>
      <c r="BE282" s="25" t="n">
        <f aca="false">IF(AND(ISNUMBER(BE203),ISNUMBER(AZ203)),IFERROR(BE203/AZ203-1,""),"")</f>
        <v>0.388540734109221</v>
      </c>
      <c r="BF282" s="25" t="n">
        <f aca="false">IF(AND(ISNUMBER(BF203),ISNUMBER(BA203)),IFERROR(BF203/BA203-1,""),"")</f>
        <v>0.13909559244419</v>
      </c>
      <c r="BG282" s="25" t="n">
        <f aca="false">IF(AND(ISNUMBER(BG203),ISNUMBER(BB203)),IFERROR(BG203/BB203-1,""),"")</f>
        <v>0.00630761766132948</v>
      </c>
      <c r="BH282" s="25" t="n">
        <f aca="false">IF(AND(ISNUMBER(BH203),ISNUMBER(BC203)),IFERROR(BH203/BC203-1,""),"")</f>
        <v>-0.276128266033254</v>
      </c>
      <c r="BI282" s="25" t="n">
        <f aca="false">IF(AND(ISNUMBER(BI203),ISNUMBER(BD203)),IFERROR(BI203/BD203-1,""),"")</f>
        <v>-0.445114595898673</v>
      </c>
      <c r="BJ282" s="25" t="n">
        <f aca="false">IF(AND(ISNUMBER(BJ203),ISNUMBER(BE203)),IFERROR(BJ203/BE203-1,""),"")</f>
        <v>-0.393939393939394</v>
      </c>
      <c r="BK282" s="25" t="n">
        <f aca="false">IF(AND(ISNUMBER(BK203),ISNUMBER(BF203)),IFERROR(BK203/BF203-1,""),"")</f>
        <v>-0.436683417085427</v>
      </c>
      <c r="BL282" s="25" t="n">
        <f aca="false">IF(AND(ISNUMBER(BL203),ISNUMBER(BG203)),IFERROR(BL203/BG203-1,""),"")</f>
        <v>-0.324975891996143</v>
      </c>
      <c r="BM282" s="25" t="n">
        <f aca="false">IF(AND(ISNUMBER(BM203),ISNUMBER(BH203)),IFERROR(BM203/BH203-1,""),"")</f>
        <v>-0.10746513535685</v>
      </c>
      <c r="BN282" s="25" t="n">
        <f aca="false">IF(AND(ISNUMBER(BN203),ISNUMBER(BI203)),IFERROR(BN203/BI203-1,""),"")</f>
        <v>-0.0141304347826087</v>
      </c>
      <c r="BO282" s="25" t="n">
        <f aca="false">IF(AND(ISNUMBER(BO203),ISNUMBER(BJ203)),IFERROR(BO203/BJ203-1,""),"")</f>
        <v>-0.129787234042553</v>
      </c>
      <c r="BP282" s="25" t="n">
        <f aca="false">IF(AND(ISNUMBER(BP203),ISNUMBER(BK203)),IFERROR(BP203/BK203-1,""),"")</f>
        <v>-0.0312221231043711</v>
      </c>
      <c r="BQ282" s="25" t="n">
        <f aca="false">IF(AND(ISNUMBER(BQ203),ISNUMBER(BL203)),IFERROR(BQ203/BL203-1,""),"")</f>
        <v>-0.0716666666666667</v>
      </c>
      <c r="BR282" s="25" t="n">
        <f aca="false">IF(AND(ISNUMBER(BR203),ISNUMBER(BM203)),IFERROR(BR203/BM203-1,""),"")</f>
        <v>-0.123161764705882</v>
      </c>
      <c r="BS282" s="25" t="n">
        <f aca="false">IF(AND(ISNUMBER(BS203),ISNUMBER(BN203)),IFERROR(BS203/BN203-1,""),"")</f>
        <v>-0.388092613009923</v>
      </c>
      <c r="BT282" s="25" t="n">
        <f aca="false">IF(AND(ISNUMBER(BT203),ISNUMBER(BO203)),IFERROR(BT203/BO203-1,""),"")</f>
        <v>0.110024449877751</v>
      </c>
      <c r="BU282" s="25" t="n">
        <f aca="false">IF(AND(ISNUMBER(BU203),ISNUMBER(BP203)),IFERROR(BU203/BP203-1,""),"")</f>
        <v>0.0893186003683242</v>
      </c>
      <c r="BV282" s="25" t="n">
        <f aca="false">IF(AND(ISNUMBER(BV203),ISNUMBER(BQ203)),IFERROR(BV203/BQ203-1,""),"")</f>
        <v>-0.076686329828161</v>
      </c>
      <c r="BW282" s="25" t="n">
        <f aca="false">IF(AND(ISNUMBER(BW203),ISNUMBER(BR203)),IFERROR(BW203/BR203-1,""),"")</f>
        <v>0.078616352201258</v>
      </c>
      <c r="BX282" s="25" t="n">
        <f aca="false">IF(AND(ISNUMBER(BX203),ISNUMBER(BS203)),IFERROR(BX203/BS203-1,""),"")</f>
        <v>0.567567567567568</v>
      </c>
      <c r="BY282" s="26" t="n">
        <f aca="false">IF(AND(ISNUMBER(BY203),ISNUMBER(BT203)),IFERROR(BY203/BT203-1,""),"")</f>
        <v>0.0202388157228031</v>
      </c>
      <c r="BZ282" s="26" t="n">
        <f aca="false">IF(AND(ISNUMBER(BZ203),ISNUMBER(BU203)),IFERROR(BZ203/BU203-1,""),"")</f>
        <v>0.203280135441021</v>
      </c>
      <c r="CA282" s="26" t="n">
        <f aca="false">IF(AND(ISNUMBER(CA203),ISNUMBER(BV203)),IFERROR(CA203/BV203-1,""),"")</f>
        <v>0.180238123584175</v>
      </c>
      <c r="CB282" s="26" t="n">
        <f aca="false">IF(AND(ISNUMBER(CB203),ISNUMBER(CA203)),IFERROR(CB203/CA203-1,""),"")</f>
        <v>0.180110444729967</v>
      </c>
      <c r="CC282" s="26" t="n">
        <f aca="false">IF(AND(ISNUMBER(CC203),ISNUMBER(CB203)),IFERROR(CC203/CB203-1,""),"")</f>
        <v>0.122877864055486</v>
      </c>
      <c r="CD282" s="26" t="n">
        <f aca="false">IF(AND(ISNUMBER(CD203),ISNUMBER(CC203)),IFERROR(CD203/CC203-1,""),"")</f>
        <v>0.101339721997063</v>
      </c>
      <c r="CE282" s="26" t="n">
        <f aca="false">IF(AND(ISNUMBER(CE203),ISNUMBER(CD203)),IFERROR(CE203/CD203-1,""),"")</f>
        <v>0.128413211916765</v>
      </c>
      <c r="CF282" s="7"/>
    </row>
    <row r="283" customFormat="false" ht="15" hidden="false" customHeight="true" outlineLevel="0" collapsed="false">
      <c r="B283" s="24" t="s">
        <v>441</v>
      </c>
      <c r="D283" s="25" t="n">
        <f aca="false">IF(AND(ISNUMBER(D266),ISNUMBER(C266)),IFERROR(D266/C266-1,""),"")</f>
        <v>0.184439768710255</v>
      </c>
      <c r="E283" s="25" t="n">
        <f aca="false">IF(AND(ISNUMBER(E266),ISNUMBER(D266)),IFERROR(E266/D266-1,""),"")</f>
        <v>0.110289860266636</v>
      </c>
      <c r="F283" s="25" t="n">
        <f aca="false">IF(AND(ISNUMBER(F266),ISNUMBER(E266)),IFERROR(F266/E266-1,""),"")</f>
        <v>-0.167004644595591</v>
      </c>
      <c r="G283" s="25" t="n">
        <f aca="false">IF(AND(ISNUMBER(G266),ISNUMBER(F266)),IFERROR(G266/F266-1,""),"")</f>
        <v>0.254989657535797</v>
      </c>
      <c r="H283" s="25" t="n">
        <f aca="false">IF(AND(ISNUMBER(H266),ISNUMBER(G266)),IFERROR(H266/G266-1,""),"")</f>
        <v>0.280006975777357</v>
      </c>
      <c r="I283" s="25" t="str">
        <f aca="false">IF(AND(ISNUMBER(I266),ISNUMBER(H266)),IFERROR(I266/H266-1,""),"")</f>
        <v/>
      </c>
      <c r="N283" s="25" t="str">
        <f aca="false">IF(AND(ISNUMBER(N266),ISNUMBER(I266)),IFERROR(N266/I266-1,""),"")</f>
        <v/>
      </c>
      <c r="O283" s="25" t="n">
        <f aca="false">IF(AND(ISNUMBER(O266),ISNUMBER(J266)),IFERROR(O266/J266-1,""),"")</f>
        <v>0.0908797243508939</v>
      </c>
      <c r="P283" s="25" t="str">
        <f aca="false">IF(AND(ISNUMBER(P266),ISNUMBER(K266)),IFERROR(P266/K266-1,""),"")</f>
        <v/>
      </c>
      <c r="Q283" s="25" t="str">
        <f aca="false">IF(AND(ISNUMBER(Q266),ISNUMBER(L266)),IFERROR(Q266/L266-1,""),"")</f>
        <v/>
      </c>
      <c r="R283" s="25" t="n">
        <f aca="false">IF(AND(ISNUMBER(R266),ISNUMBER(M266)),IFERROR(R266/M266-1,""),"")</f>
        <v>0.169992682569882</v>
      </c>
      <c r="S283" s="25" t="n">
        <f aca="false">IF(AND(ISNUMBER(S266),ISNUMBER(N266)),IFERROR(S266/N266-1,""),"")</f>
        <v>0.164626372402184</v>
      </c>
      <c r="T283" s="25" t="n">
        <f aca="false">IF(AND(ISNUMBER(T266),ISNUMBER(O266)),IFERROR(T266/O266-1,""),"")</f>
        <v>0.122076936346386</v>
      </c>
      <c r="U283" s="25" t="str">
        <f aca="false">IF(AND(ISNUMBER(U266),ISNUMBER(P266)),IFERROR(U266/P266-1,""),"")</f>
        <v/>
      </c>
      <c r="V283" s="25" t="str">
        <f aca="false">IF(AND(ISNUMBER(V266),ISNUMBER(Q266)),IFERROR(V266/Q266-1,""),"")</f>
        <v/>
      </c>
      <c r="W283" s="25" t="n">
        <f aca="false">IF(AND(ISNUMBER(W266),ISNUMBER(R266)),IFERROR(W266/R266-1,""),"")</f>
        <v>-0.1875</v>
      </c>
      <c r="X283" s="25" t="n">
        <f aca="false">IF(AND(ISNUMBER(X266),ISNUMBER(S266)),IFERROR(X266/S266-1,""),"")</f>
        <v>-0.249370277078086</v>
      </c>
      <c r="Y283" s="25" t="n">
        <f aca="false">IF(AND(ISNUMBER(Y266),ISNUMBER(T266)),IFERROR(Y266/T266-1,""),"")</f>
        <v>-0.131868131868131</v>
      </c>
      <c r="Z283" s="25" t="n">
        <f aca="false">IF(AND(ISNUMBER(Z266),ISNUMBER(U266)),IFERROR(Z266/U266-1,""),"")</f>
        <v>-0.158878504672898</v>
      </c>
      <c r="AA283" s="25" t="n">
        <f aca="false">IF(AND(ISNUMBER(AA266),ISNUMBER(V266)),IFERROR(AA266/V266-1,""),"")</f>
        <v>0.232519887613146</v>
      </c>
      <c r="AB283" s="25" t="n">
        <f aca="false">IF(AND(ISNUMBER(AB266),ISNUMBER(W266)),IFERROR(AB266/W266-1,""),"")</f>
        <v>0.149763045047274</v>
      </c>
      <c r="AC283" s="25" t="n">
        <f aca="false">IF(AND(ISNUMBER(AC266),ISNUMBER(X266)),IFERROR(AC266/X266-1,""),"")</f>
        <v>0.209897938241224</v>
      </c>
      <c r="AD283" s="25" t="n">
        <f aca="false">IF(AND(ISNUMBER(AD266),ISNUMBER(Y266)),IFERROR(AD266/Y266-1,""),"")</f>
        <v>0.0665933636231542</v>
      </c>
      <c r="AE283" s="25" t="n">
        <f aca="false">IF(AND(ISNUMBER(AE266),ISNUMBER(Z266)),IFERROR(AE266/Z266-1,""),"")</f>
        <v>0.103282613489589</v>
      </c>
      <c r="AF283" s="25" t="n">
        <f aca="false">IF(AND(ISNUMBER(AF266),ISNUMBER(AA266)),IFERROR(AF266/AA266-1,""),"")</f>
        <v>0.139501691720085</v>
      </c>
      <c r="AG283" s="25" t="n">
        <f aca="false">IF(AND(ISNUMBER(AG266),ISNUMBER(AB266)),IFERROR(AG266/AB266-1,""),"")</f>
        <v>0.138800655287157</v>
      </c>
      <c r="AH283" s="25" t="n">
        <f aca="false">IF(AND(ISNUMBER(AH266),ISNUMBER(AC266)),IFERROR(AH266/AC266-1,""),"")</f>
        <v>0.116338145179963</v>
      </c>
      <c r="AI283" s="25" t="n">
        <f aca="false">IF(AND(ISNUMBER(AI266),ISNUMBER(AD266)),IFERROR(AI266/AD266-1,""),"")</f>
        <v>0.176921407664461</v>
      </c>
      <c r="AJ283" s="25" t="n">
        <f aca="false">IF(AND(ISNUMBER(AJ266),ISNUMBER(AE266)),IFERROR(AJ266/AE266-1,""),"")</f>
        <v>0.160828542482868</v>
      </c>
      <c r="AK283" s="25" t="n">
        <f aca="false">IF(AND(ISNUMBER(AK266),ISNUMBER(AF266)),IFERROR(AK266/AF266-1,""),"")</f>
        <v>0.102875572004986</v>
      </c>
      <c r="AL283" s="25" t="n">
        <f aca="false">IF(AND(ISNUMBER(AL266),ISNUMBER(AG266)),IFERROR(AL266/AG266-1,""),"")</f>
        <v>-0.043230318154646</v>
      </c>
      <c r="AM283" s="25" t="n">
        <f aca="false">IF(AND(ISNUMBER(AM266),ISNUMBER(AH266)),IFERROR(AM266/AH266-1,""),"")</f>
        <v>0.00622304073266178</v>
      </c>
      <c r="AN283" s="25" t="n">
        <f aca="false">IF(AND(ISNUMBER(AN266),ISNUMBER(AI266)),IFERROR(AN266/AI266-1,""),"")</f>
        <v>-0.00169840818646916</v>
      </c>
      <c r="AO283" s="25" t="n">
        <f aca="false">IF(AND(ISNUMBER(AO266),ISNUMBER(AJ266)),IFERROR(AO266/AJ266-1,""),"")</f>
        <v>-0.0543528102665056</v>
      </c>
      <c r="AP283" s="25" t="n">
        <f aca="false">IF(AND(ISNUMBER(AP266),ISNUMBER(AK266)),IFERROR(AP266/AK266-1,""),"")</f>
        <v>-0.0361441466342158</v>
      </c>
      <c r="AQ283" s="25" t="n">
        <f aca="false">IF(AND(ISNUMBER(AQ266),ISNUMBER(AL266)),IFERROR(AQ266/AL266-1,""),"")</f>
        <v>0.122170530277228</v>
      </c>
      <c r="AR283" s="25" t="n">
        <f aca="false">IF(AND(ISNUMBER(AR266),ISNUMBER(AM266)),IFERROR(AR266/AM266-1,""),"")</f>
        <v>0.0898962826828667</v>
      </c>
      <c r="AS283" s="25" t="n">
        <f aca="false">IF(AND(ISNUMBER(AS266),ISNUMBER(AN266)),IFERROR(AS266/AN266-1,""),"")</f>
        <v>0.0618446079669426</v>
      </c>
      <c r="AT283" s="25" t="n">
        <f aca="false">IF(AND(ISNUMBER(AT266),ISNUMBER(AO266)),IFERROR(AT266/AO266-1,""),"")</f>
        <v>0.324621441473203</v>
      </c>
      <c r="AU283" s="25" t="n">
        <f aca="false">IF(AND(ISNUMBER(AU266),ISNUMBER(AP266)),IFERROR(AU266/AP266-1,""),"")</f>
        <v>0.636768356695729</v>
      </c>
      <c r="AV283" s="25" t="n">
        <f aca="false">IF(AND(ISNUMBER(AV266),ISNUMBER(AQ266)),IFERROR(AV266/AQ266-1,""),"")</f>
        <v>0.631623894468504</v>
      </c>
      <c r="AW283" s="25" t="n">
        <f aca="false">IF(AND(ISNUMBER(AW266),ISNUMBER(AR266)),IFERROR(AW266/AR266-1,""),"")</f>
        <v>0.434207245780005</v>
      </c>
      <c r="AX283" s="25" t="n">
        <f aca="false">IF(AND(ISNUMBER(AX266),ISNUMBER(AS266)),IFERROR(AX266/AS266-1,""),"")</f>
        <v>1.40777574476034</v>
      </c>
      <c r="AY283" s="25" t="n">
        <f aca="false">IF(AND(ISNUMBER(AY266),ISNUMBER(AT266)),IFERROR(AY266/AT266-1,""),"")</f>
        <v>0.705599775129506</v>
      </c>
      <c r="AZ283" s="25" t="n">
        <f aca="false">IF(AND(ISNUMBER(AZ266),ISNUMBER(AU266)),IFERROR(AZ266/AU266-1,""),"")</f>
        <v>0.387000190396288</v>
      </c>
      <c r="BA283" s="25" t="n">
        <f aca="false">IF(AND(ISNUMBER(BA266),ISNUMBER(AV266)),IFERROR(BA266/AV266-1,""),"")</f>
        <v>0.28961633233209</v>
      </c>
      <c r="BB283" s="25" t="n">
        <f aca="false">IF(AND(ISNUMBER(BB266),ISNUMBER(AW266)),IFERROR(BB266/AW266-1,""),"")</f>
        <v>0.591241430616417</v>
      </c>
      <c r="BC283" s="25" t="n">
        <f aca="false">IF(AND(ISNUMBER(BC266),ISNUMBER(AX266)),IFERROR(BC266/AX266-1,""),"")</f>
        <v>0.0913772751068138</v>
      </c>
      <c r="BD283" s="25" t="n">
        <f aca="false">IF(AND(ISNUMBER(BD266),ISNUMBER(AY266)),IFERROR(BD266/AY266-1,""),"")</f>
        <v>0.125529661016949</v>
      </c>
      <c r="BE283" s="25" t="n">
        <f aca="false">IF(AND(ISNUMBER(BE266),ISNUMBER(AZ266)),IFERROR(BE266/AZ266-1,""),"")</f>
        <v>0.0662238491005591</v>
      </c>
      <c r="BF283" s="25" t="n">
        <f aca="false">IF(AND(ISNUMBER(BF266),ISNUMBER(BA266)),IFERROR(BF266/BA266-1,""),"")</f>
        <v>-0.056396757548681</v>
      </c>
      <c r="BG283" s="25" t="n">
        <f aca="false">IF(AND(ISNUMBER(BG266),ISNUMBER(BB266)),IFERROR(BG266/BB266-1,""),"")</f>
        <v>-0.0361020752630454</v>
      </c>
      <c r="BH283" s="25" t="n">
        <f aca="false">IF(AND(ISNUMBER(BH266),ISNUMBER(BC266)),IFERROR(BH266/BC266-1,""),"")</f>
        <v>-0.257892606087373</v>
      </c>
      <c r="BI283" s="25" t="n">
        <f aca="false">IF(AND(ISNUMBER(BI266),ISNUMBER(BD266)),IFERROR(BI266/BD266-1,""),"")</f>
        <v>-0.375843137254902</v>
      </c>
      <c r="BJ283" s="25" t="n">
        <f aca="false">IF(AND(ISNUMBER(BJ266),ISNUMBER(BE266)),IFERROR(BJ266/BE266-1,""),"")</f>
        <v>-0.329636363636364</v>
      </c>
      <c r="BK283" s="25" t="n">
        <f aca="false">IF(AND(ISNUMBER(BK266),ISNUMBER(BF266)),IFERROR(BK266/BF266-1,""),"")</f>
        <v>-0.179782111072063</v>
      </c>
      <c r="BL283" s="25" t="n">
        <f aca="false">IF(AND(ISNUMBER(BL266),ISNUMBER(BG266)),IFERROR(BL266/BG266-1,""),"")</f>
        <v>-0.218846480653249</v>
      </c>
      <c r="BM283" s="25" t="n">
        <f aca="false">IF(AND(ISNUMBER(BM266),ISNUMBER(BH266)),IFERROR(BM266/BH266-1,""),"")</f>
        <v>-0.0609749581332307</v>
      </c>
      <c r="BN283" s="25" t="n">
        <f aca="false">IF(AND(ISNUMBER(BN266),ISNUMBER(BI266)),IFERROR(BN266/BI266-1,""),"")</f>
        <v>-0.00683301773968503</v>
      </c>
      <c r="BO283" s="25" t="n">
        <f aca="false">IF(AND(ISNUMBER(BO266),ISNUMBER(BJ266)),IFERROR(BO266/BJ266-1,""),"")</f>
        <v>-0.00682944248538131</v>
      </c>
      <c r="BP283" s="25" t="n">
        <f aca="false">IF(AND(ISNUMBER(BP266),ISNUMBER(BK266)),IFERROR(BP266/BK266-1,""),"")</f>
        <v>0.0234790548541257</v>
      </c>
      <c r="BQ283" s="25" t="n">
        <f aca="false">IF(AND(ISNUMBER(BQ266),ISNUMBER(BL266)),IFERROR(BQ266/BL266-1,""),"")</f>
        <v>-0.0135727962987797</v>
      </c>
      <c r="BR283" s="25" t="n">
        <f aca="false">IF(AND(ISNUMBER(BR266),ISNUMBER(BM266)),IFERROR(BR266/BM266-1,""),"")</f>
        <v>-0.020719361542071</v>
      </c>
      <c r="BS283" s="25" t="n">
        <f aca="false">IF(AND(ISNUMBER(BS266),ISNUMBER(BN266)),IFERROR(BS266/BN266-1,""),"")</f>
        <v>0.0511690786530563</v>
      </c>
      <c r="BT283" s="25" t="n">
        <f aca="false">IF(AND(ISNUMBER(BT266),ISNUMBER(BO266)),IFERROR(BT266/BO266-1,""),"")</f>
        <v>0.106481022303457</v>
      </c>
      <c r="BU283" s="25" t="n">
        <f aca="false">IF(AND(ISNUMBER(BU266),ISNUMBER(BP266)),IFERROR(BU266/BP266-1,""),"")</f>
        <v>0.0492248709544307</v>
      </c>
      <c r="BV283" s="25" t="n">
        <f aca="false">IF(AND(ISNUMBER(BV266),ISNUMBER(BQ266)),IFERROR(BV266/BQ266-1,""),"")</f>
        <v>0.0419532678151149</v>
      </c>
      <c r="BW283" s="25" t="n">
        <f aca="false">IF(AND(ISNUMBER(BW266),ISNUMBER(BR266)),IFERROR(BW266/BR266-1,""),"")</f>
        <v>0.0912251702218314</v>
      </c>
      <c r="BX283" s="25" t="n">
        <f aca="false">IF(AND(ISNUMBER(BX266),ISNUMBER(BS266)),IFERROR(BX266/BS266-1,""),"")</f>
        <v>0.0760833917984227</v>
      </c>
      <c r="BY283" s="26" t="n">
        <f aca="false">IF(AND(ISNUMBER(BY266),ISNUMBER(BT266)),IFERROR(BY266/BT266-1,""),"")</f>
        <v>0.0183888032294481</v>
      </c>
      <c r="BZ283" s="26" t="n">
        <f aca="false">IF(AND(ISNUMBER(BZ266),ISNUMBER(BU266)),IFERROR(BZ266/BU266-1,""),"")</f>
        <v>0.162524106668699</v>
      </c>
      <c r="CA283" s="26" t="n">
        <f aca="false">IF(AND(ISNUMBER(CA266),ISNUMBER(BV266)),IFERROR(CA266/BV266-1,""),"")</f>
        <v>0.0935168569636291</v>
      </c>
      <c r="CB283" s="26" t="n">
        <f aca="false">IF(AND(ISNUMBER(CB266),ISNUMBER(CA266)),IFERROR(CB266/CA266-1,""),"")</f>
        <v>0.100366871121131</v>
      </c>
      <c r="CC283" s="26" t="n">
        <f aca="false">IF(AND(ISNUMBER(CC266),ISNUMBER(CB266)),IFERROR(CC266/CB266-1,""),"")</f>
        <v>0.117449317265413</v>
      </c>
      <c r="CD283" s="26" t="n">
        <f aca="false">IF(AND(ISNUMBER(CD266),ISNUMBER(CC266)),IFERROR(CD266/CC266-1,""),"")</f>
        <v>0.116180050831804</v>
      </c>
      <c r="CE283" s="26" t="n">
        <f aca="false">IF(AND(ISNUMBER(CE266),ISNUMBER(CD266)),IFERROR(CE266/CD266-1,""),"")</f>
        <v>0.119471266176503</v>
      </c>
      <c r="CF283" s="7"/>
    </row>
    <row r="284" customFormat="false" ht="15" hidden="false" customHeight="true" outlineLevel="0" collapsed="false">
      <c r="B284" s="27" t="s">
        <v>322</v>
      </c>
      <c r="C284" s="42" t="n">
        <f aca="false">IF(AND(ISNUMBER(C180),ISNUMBER(C178)),IFERROR(C180/C178,""),"")</f>
        <v>0.443382174285081</v>
      </c>
      <c r="D284" s="42" t="n">
        <f aca="false">IF(AND(ISNUMBER(D180),ISNUMBER(D178)),IFERROR(D180/D178,""),"")</f>
        <v>0.457187168394417</v>
      </c>
      <c r="E284" s="42" t="n">
        <f aca="false">IF(AND(ISNUMBER(E180),ISNUMBER(E178)),IFERROR(E180/E178,""),"")</f>
        <v>0.467824374876944</v>
      </c>
      <c r="F284" s="42" t="n">
        <f aca="false">IF(AND(ISNUMBER(F180),ISNUMBER(F178)),IFERROR(F180/F178,""),"")</f>
        <v>0.47208289747785</v>
      </c>
      <c r="G284" s="42" t="n">
        <f aca="false">IF(AND(ISNUMBER(G180),ISNUMBER(G178)),IFERROR(G180/G178,""),"")</f>
        <v>0.510318725099602</v>
      </c>
      <c r="H284" s="42" t="n">
        <f aca="false">IF(AND(ISNUMBER(H180),ISNUMBER(H178)),IFERROR(H180/H178,""),"")</f>
        <v>0.508163201889314</v>
      </c>
      <c r="I284" s="42" t="n">
        <f aca="false">IF(AND(ISNUMBER(I180),ISNUMBER(I178)),IFERROR(I180/I178,""),"")</f>
        <v>0.515558257212328</v>
      </c>
      <c r="J284" s="42" t="n">
        <f aca="false">IF(AND(ISNUMBER(J180),ISNUMBER(J178)),IFERROR(J180/J178,""),"")</f>
        <v>0.523252412986253</v>
      </c>
      <c r="K284" s="42" t="n">
        <f aca="false">IF(AND(ISNUMBER(K180),ISNUMBER(K178)),IFERROR(K180/K178,""),"")</f>
        <v>0.526754617414248</v>
      </c>
      <c r="L284" s="42" t="n">
        <f aca="false">IF(AND(ISNUMBER(L180),ISNUMBER(L178)),IFERROR(L180/L178,""),"")</f>
        <v>0.519307789509756</v>
      </c>
      <c r="M284" s="42" t="n">
        <f aca="false">IF(AND(ISNUMBER(M180),ISNUMBER(M178)),IFERROR(M180/M178,""),"")</f>
        <v>0.514876488123493</v>
      </c>
      <c r="N284" s="42" t="n">
        <f aca="false">IF(AND(ISNUMBER(N180),ISNUMBER(N178)),IFERROR(N180/N178,""),"")</f>
        <v>0.520849461240716</v>
      </c>
      <c r="O284" s="42" t="n">
        <f aca="false">IF(AND(ISNUMBER(O180),ISNUMBER(O178)),IFERROR(O180/O178,""),"")</f>
        <v>0.526068586870268</v>
      </c>
      <c r="P284" s="42" t="n">
        <f aca="false">IF(AND(ISNUMBER(P180),ISNUMBER(P178)),IFERROR(P180/P178,""),"")</f>
        <v>0.527882988153759</v>
      </c>
      <c r="Q284" s="42" t="n">
        <f aca="false">IF(AND(ISNUMBER(Q180),ISNUMBER(Q178)),IFERROR(Q180/Q178,""),"")</f>
        <v>0.520978946697542</v>
      </c>
      <c r="R284" s="42" t="n">
        <f aca="false">IF(AND(ISNUMBER(R180),ISNUMBER(R178)),IFERROR(R180/R178,""),"")</f>
        <v>0.509647410129781</v>
      </c>
      <c r="S284" s="42" t="n">
        <f aca="false">IF(AND(ISNUMBER(S180),ISNUMBER(S178)),IFERROR(S180/S178,""),"")</f>
        <v>0.516476976088546</v>
      </c>
      <c r="T284" s="42" t="n">
        <f aca="false">IF(AND(ISNUMBER(T180),ISNUMBER(T178)),IFERROR(T180/T178,""),"")</f>
        <v>0.525741793937845</v>
      </c>
      <c r="U284" s="42" t="n">
        <f aca="false">IF(AND(ISNUMBER(U180),ISNUMBER(U178)),IFERROR(U180/U178,""),"")</f>
        <v>0.533043022458772</v>
      </c>
      <c r="V284" s="42" t="n">
        <f aca="false">IF(AND(ISNUMBER(V180),ISNUMBER(V178)),IFERROR(V180/V178,""),"")</f>
        <v>0.539092306816241</v>
      </c>
      <c r="W284" s="42" t="n">
        <f aca="false">IF(AND(ISNUMBER(W180),ISNUMBER(W178)),IFERROR(W180/W178,""),"")</f>
        <v>0.522137404580153</v>
      </c>
      <c r="X284" s="42" t="n">
        <f aca="false">IF(AND(ISNUMBER(X180),ISNUMBER(X178)),IFERROR(X180/X178,""),"")</f>
        <v>0.538399717328197</v>
      </c>
      <c r="Y284" s="42" t="n">
        <f aca="false">IF(AND(ISNUMBER(Y180),ISNUMBER(Y178)),IFERROR(Y180/Y178,""),"")</f>
        <v>0.552304987130807</v>
      </c>
      <c r="Z284" s="42" t="n">
        <f aca="false">IF(AND(ISNUMBER(Z180),ISNUMBER(Z178)),IFERROR(Z180/Z178,""),"")</f>
        <v>0.561375798580825</v>
      </c>
      <c r="AA284" s="42" t="n">
        <f aca="false">IF(AND(ISNUMBER(AA180),ISNUMBER(AA178)),IFERROR(AA180/AA178,""),"")</f>
        <v>0.553229592701048</v>
      </c>
      <c r="AB284" s="42" t="n">
        <f aca="false">IF(AND(ISNUMBER(AB180),ISNUMBER(AB178)),IFERROR(AB180/AB178,""),"")</f>
        <v>0.545339528390376</v>
      </c>
      <c r="AC284" s="42" t="n">
        <f aca="false">IF(AND(ISNUMBER(AC180),ISNUMBER(AC178)),IFERROR(AC180/AC178,""),"")</f>
        <v>0.552919016253613</v>
      </c>
      <c r="AD284" s="42" t="n">
        <f aca="false">IF(AND(ISNUMBER(AD180),ISNUMBER(AD178)),IFERROR(AD180/AD178,""),"")</f>
        <v>0.555032455952636</v>
      </c>
      <c r="AE284" s="42" t="n">
        <f aca="false">IF(AND(ISNUMBER(AE180),ISNUMBER(AE178)),IFERROR(AE180/AE178,""),"")</f>
        <v>0.550386909381167</v>
      </c>
      <c r="AF284" s="42" t="n">
        <f aca="false">IF(AND(ISNUMBER(AF180),ISNUMBER(AF178)),IFERROR(AF180/AF178,""),"")</f>
        <v>0.560222605008613</v>
      </c>
      <c r="AG284" s="42" t="n">
        <f aca="false">IF(AND(ISNUMBER(AG180),ISNUMBER(AG178)),IFERROR(AG180/AG178,""),"")</f>
        <v>0.558251568122382</v>
      </c>
      <c r="AH284" s="42" t="n">
        <f aca="false">IF(AND(ISNUMBER(AH180),ISNUMBER(AH178)),IFERROR(AH180/AH178,""),"")</f>
        <v>0.556064747377208</v>
      </c>
      <c r="AI284" s="42" t="n">
        <f aca="false">IF(AND(ISNUMBER(AI180),ISNUMBER(AI178)),IFERROR(AI180/AI178,""),"")</f>
        <v>0.563019125101163</v>
      </c>
      <c r="AJ284" s="42" t="n">
        <f aca="false">IF(AND(ISNUMBER(AJ180),ISNUMBER(AJ178)),IFERROR(AJ180/AJ178,""),"")</f>
        <v>0.565569162818711</v>
      </c>
      <c r="AK284" s="42" t="n">
        <f aca="false">IF(AND(ISNUMBER(AK180),ISNUMBER(AK178)),IFERROR(AK180/AK178,""),"")</f>
        <v>0.554387917001504</v>
      </c>
      <c r="AL284" s="42" t="n">
        <f aca="false">IF(AND(ISNUMBER(AL180),ISNUMBER(AL178)),IFERROR(AL180/AL178,""),"")</f>
        <v>0.550266044087306</v>
      </c>
      <c r="AM284" s="42" t="n">
        <f aca="false">IF(AND(ISNUMBER(AM180),ISNUMBER(AM178)),IFERROR(AM180/AM178,""),"")</f>
        <v>0.557544652022172</v>
      </c>
      <c r="AN284" s="42" t="n">
        <f aca="false">IF(AND(ISNUMBER(AN180),ISNUMBER(AN178)),IFERROR(AN180/AN178,""),"")</f>
        <v>0.558006729538884</v>
      </c>
      <c r="AO284" s="42" t="n">
        <f aca="false">IF(AND(ISNUMBER(AO180),ISNUMBER(AO178)),IFERROR(AO180/AO178,""),"")</f>
        <v>0.55884801439982</v>
      </c>
      <c r="AP284" s="42" t="n">
        <f aca="false">IF(AND(ISNUMBER(AP180),ISNUMBER(AP178)),IFERROR(AP180/AP178,""),"")</f>
        <v>0.557651895842851</v>
      </c>
      <c r="AQ284" s="42" t="n">
        <f aca="false">IF(AND(ISNUMBER(AQ180),ISNUMBER(AQ178)),IFERROR(AQ180/AQ178,""),"")</f>
        <v>0.555336455508997</v>
      </c>
      <c r="AR284" s="42" t="n">
        <f aca="false">IF(AND(ISNUMBER(AR180),ISNUMBER(AR178)),IFERROR(AR180/AR178,""),"")</f>
        <v>0.557402951242526</v>
      </c>
      <c r="AS284" s="42" t="n">
        <f aca="false">IF(AND(ISNUMBER(AS180),ISNUMBER(AS178)),IFERROR(AS180/AS178,""),"")</f>
        <v>0.562455389007852</v>
      </c>
      <c r="AT284" s="42" t="n">
        <f aca="false">IF(AND(ISNUMBER(AT180),ISNUMBER(AT178)),IFERROR(AT180/AT178,""),"")</f>
        <v>0.538490580284668</v>
      </c>
      <c r="AU284" s="42" t="n">
        <f aca="false">IF(AND(ISNUMBER(AU180),ISNUMBER(AU178)),IFERROR(AU180/AU178,""),"")</f>
        <v>0.548256051128638</v>
      </c>
      <c r="AV284" s="42" t="n">
        <f aca="false">IF(AND(ISNUMBER(AV180),ISNUMBER(AV178)),IFERROR(AV180/AV178,""),"")</f>
        <v>0.58491124260355</v>
      </c>
      <c r="AW284" s="42" t="n">
        <f aca="false">IF(AND(ISNUMBER(AW180),ISNUMBER(AW178)),IFERROR(AW180/AW178,""),"")</f>
        <v>0.559818704002872</v>
      </c>
      <c r="AX284" s="42" t="n">
        <f aca="false">IF(AND(ISNUMBER(AX180),ISNUMBER(AX178)),IFERROR(AX180/AX178,""),"")</f>
        <v>0.620151647710703</v>
      </c>
      <c r="AY284" s="42" t="n">
        <f aca="false">IF(AND(ISNUMBER(AY180),ISNUMBER(AY178)),IFERROR(AY180/AY178,""),"")</f>
        <v>0.609171515655306</v>
      </c>
      <c r="AZ284" s="42" t="n">
        <f aca="false">IF(AND(ISNUMBER(AZ180),ISNUMBER(AZ178)),IFERROR(AZ180/AZ178,""),"")</f>
        <v>0.602987965140407</v>
      </c>
      <c r="BA284" s="42" t="n">
        <f aca="false">IF(AND(ISNUMBER(BA180),ISNUMBER(BA178)),IFERROR(BA180/BA178,""),"")</f>
        <v>0.606651939126166</v>
      </c>
      <c r="BB284" s="42" t="n">
        <f aca="false">IF(AND(ISNUMBER(BB180),ISNUMBER(BB178)),IFERROR(BB180/BB178,""),"")</f>
        <v>0.609513462126099</v>
      </c>
      <c r="BC284" s="42" t="n">
        <f aca="false">IF(AND(ISNUMBER(BC180),ISNUMBER(BC178)),IFERROR(BC180/BC178,""),"")</f>
        <v>0.611992715920916</v>
      </c>
      <c r="BD284" s="42" t="n">
        <f aca="false">IF(AND(ISNUMBER(BD180),ISNUMBER(BD178)),IFERROR(BD180/BD178,""),"")</f>
        <v>0.60908269900658</v>
      </c>
      <c r="BE284" s="42" t="n">
        <f aca="false">IF(AND(ISNUMBER(BE180),ISNUMBER(BE178)),IFERROR(BE180/BE178,""),"")</f>
        <v>0.598199138718518</v>
      </c>
      <c r="BF284" s="42" t="n">
        <f aca="false">IF(AND(ISNUMBER(BF180),ISNUMBER(BF178)),IFERROR(BF180/BF178,""),"")</f>
        <v>0.5923745444351</v>
      </c>
      <c r="BG284" s="42" t="n">
        <f aca="false">IF(AND(ISNUMBER(BG180),ISNUMBER(BG178)),IFERROR(BG180/BG178,""),"")</f>
        <v>0.607589235446459</v>
      </c>
      <c r="BH284" s="42" t="n">
        <f aca="false">IF(AND(ISNUMBER(BH180),ISNUMBER(BH178)),IFERROR(BH180/BH178,""),"")</f>
        <v>0.615565641284249</v>
      </c>
      <c r="BI284" s="42" t="n">
        <f aca="false">IF(AND(ISNUMBER(BI180),ISNUMBER(BI178)),IFERROR(BI180/BI178,""),"")</f>
        <v>0.561231393775372</v>
      </c>
      <c r="BJ284" s="42" t="n">
        <f aca="false">IF(AND(ISNUMBER(BJ180),ISNUMBER(BJ178)),IFERROR(BJ180/BJ178,""),"")</f>
        <v>0.582325746799431</v>
      </c>
      <c r="BK284" s="42" t="n">
        <f aca="false">IF(AND(ISNUMBER(BK180),ISNUMBER(BK178)),IFERROR(BK180/BK178,""),"")</f>
        <v>0.590007806401249</v>
      </c>
      <c r="BL284" s="42" t="n">
        <f aca="false">IF(AND(ISNUMBER(BL180),ISNUMBER(BL178)),IFERROR(BL180/BL178,""),"")</f>
        <v>0.587442444537463</v>
      </c>
      <c r="BM284" s="42" t="n">
        <f aca="false">IF(AND(ISNUMBER(BM180),ISNUMBER(BM178)),IFERROR(BM180/BM178,""),"")</f>
        <v>0.601621808143547</v>
      </c>
      <c r="BN284" s="42" t="n">
        <f aca="false">IF(AND(ISNUMBER(BN180),ISNUMBER(BN178)),IFERROR(BN180/BN178,""),"")</f>
        <v>0.596900574612572</v>
      </c>
      <c r="BO284" s="42" t="n">
        <f aca="false">IF(AND(ISNUMBER(BO180),ISNUMBER(BO178)),IFERROR(BO180/BO178,""),"")</f>
        <v>0.586581579855123</v>
      </c>
      <c r="BP284" s="42" t="n">
        <f aca="false">IF(AND(ISNUMBER(BP180),ISNUMBER(BP178)),IFERROR(BP180/BP178,""),"")</f>
        <v>0.594983175282961</v>
      </c>
      <c r="BQ284" s="42" t="n">
        <f aca="false">IF(AND(ISNUMBER(BQ180),ISNUMBER(BQ178)),IFERROR(BQ180/BQ178,""),"")</f>
        <v>0.595015706806283</v>
      </c>
      <c r="BR284" s="42" t="n">
        <f aca="false">IF(AND(ISNUMBER(BR180),ISNUMBER(BR178)),IFERROR(BR180/BR178,""),"")</f>
        <v>0.611565929280613</v>
      </c>
      <c r="BS284" s="42" t="n">
        <f aca="false">IF(AND(ISNUMBER(BS180),ISNUMBER(BS178)),IFERROR(BS180/BS178,""),"")</f>
        <v>0.59349730458221</v>
      </c>
      <c r="BT284" s="42" t="n">
        <f aca="false">IF(AND(ISNUMBER(BT180),ISNUMBER(BT178)),IFERROR(BT180/BT178,""),"")</f>
        <v>0.582025441929622</v>
      </c>
      <c r="BU284" s="42" t="n">
        <f aca="false">IF(AND(ISNUMBER(BU180),ISNUMBER(BU178)),IFERROR(BU180/BU178,""),"")</f>
        <v>0.579994150336356</v>
      </c>
      <c r="BV284" s="42" t="n">
        <f aca="false">IF(AND(ISNUMBER(BV180),ISNUMBER(BV178)),IFERROR(BV180/BV178,""),"")</f>
        <v>0.591134809508303</v>
      </c>
      <c r="BW284" s="42" t="n">
        <f aca="false">IF(AND(ISNUMBER(BW180),ISNUMBER(BW178)),IFERROR(BW180/BW178,""),"")</f>
        <v>0.603427995294908</v>
      </c>
      <c r="BX284" s="42" t="n">
        <f aca="false">IF(AND(ISNUMBER(BX180),ISNUMBER(BX178)),IFERROR(BX180/BX178,""),"")</f>
        <v>0.576376695929769</v>
      </c>
      <c r="BY284" s="26" t="n">
        <f aca="false">IF(AND(ISNUMBER(BY180),ISNUMBER(BY178)),IFERROR(BY180/BY178,""),"")</f>
        <v>0.566493296071976</v>
      </c>
      <c r="BZ284" s="26" t="n">
        <f aca="false">IF(AND(ISNUMBER(BZ180),ISNUMBER(BZ178)),IFERROR(BZ180/BZ178,""),"")</f>
        <v>0.614891205339646</v>
      </c>
      <c r="CA284" s="26" t="n">
        <f aca="false">IF(AND(ISNUMBER(CA180),ISNUMBER(CA178)),IFERROR(CA180/CA178,""),"")</f>
        <v>0.591123703192261</v>
      </c>
      <c r="CB284" s="26" t="n">
        <f aca="false">IF(AND(ISNUMBER(CB180),ISNUMBER(CB178)),IFERROR(CB180/CB178,""),"")</f>
        <v>0.599644754925316</v>
      </c>
      <c r="CC284" s="26" t="n">
        <f aca="false">IF(AND(ISNUMBER(CC180),ISNUMBER(CC178)),IFERROR(CC180/CC178,""),"")</f>
        <v>0.608445469585076</v>
      </c>
      <c r="CD284" s="26" t="n">
        <f aca="false">IF(AND(ISNUMBER(CD180),ISNUMBER(CD178)),IFERROR(CD180/CD178,""),"")</f>
        <v>0.616423342818468</v>
      </c>
      <c r="CE284" s="26" t="n">
        <f aca="false">IF(AND(ISNUMBER(CE180),ISNUMBER(CE178)),IFERROR(CE180/CE178,""),"")</f>
        <v>0.629449713840586</v>
      </c>
      <c r="CF284" s="7"/>
      <c r="CH284" s="32" t="n">
        <f aca="false">IFERROR(AVERAGE(CA284,CB284,CC284,CD284,CE284),"n/m")</f>
        <v>0.609017396872341</v>
      </c>
      <c r="CI284" s="32" t="n">
        <f aca="false">IFERROR(AVERAGE(BB284,BG284,BL284,BQ284,BV284),"n/m")</f>
        <v>0.598139131684922</v>
      </c>
      <c r="CJ284" s="32" t="n">
        <f aca="false">IFERROR(AVERAGE(AC284,AH284,AM284,AR284,AW284,BB284,BG284,BL284,BQ284,BV284),"n/m")</f>
        <v>0.5774445729323</v>
      </c>
      <c r="CK284" s="32" t="n">
        <f aca="false">IFERROR(AVERAGE(C284,D284,E284,F284,G284,H284,I284,N284,S284,X284,AC284,AH284,AM284,AR284,AW284,BB284,BG284,BL284,BQ284,BV284),"n/m")</f>
        <v>0.5362344341608</v>
      </c>
    </row>
    <row r="285" customFormat="false" ht="15" hidden="false" customHeight="true" outlineLevel="0" collapsed="false">
      <c r="B285" s="27" t="s">
        <v>403</v>
      </c>
      <c r="C285" s="42" t="n">
        <f aca="false">IF(AND(ISNUMBER(C243),ISNUMBER(C178)),IFERROR(C243/C178,""),"")</f>
        <v>0.164133064303145</v>
      </c>
      <c r="D285" s="42" t="n">
        <f aca="false">IF(AND(ISNUMBER(D243),ISNUMBER(D178)),IFERROR(D243/D178,""),"")</f>
        <v>0.171704804142972</v>
      </c>
      <c r="E285" s="42" t="n">
        <f aca="false">IF(AND(ISNUMBER(E243),ISNUMBER(E178)),IFERROR(E243/E178,""),"")</f>
        <v>0.167025004922229</v>
      </c>
      <c r="F285" s="42" t="n">
        <f aca="false">IF(AND(ISNUMBER(F243),ISNUMBER(F178)),IFERROR(F243/F178,""),"")</f>
        <v>0.162925014975547</v>
      </c>
      <c r="G285" s="42" t="n">
        <f aca="false">IF(AND(ISNUMBER(G243),ISNUMBER(G178)),IFERROR(G243/G178,""),"")</f>
        <v>0.182876494023904</v>
      </c>
      <c r="H285" s="42" t="n">
        <f aca="false">IF(AND(ISNUMBER(H243),ISNUMBER(H178)),IFERROR(H243/H178,""),"")</f>
        <v>0.187570305459743</v>
      </c>
      <c r="I285" s="42" t="n">
        <f aca="false">IF(AND(ISNUMBER(I243),ISNUMBER(I178)),IFERROR(I243/I178,""),"")</f>
        <v>0.192060414886859</v>
      </c>
      <c r="J285" s="42" t="n">
        <f aca="false">IF(AND(ISNUMBER(J243),ISNUMBER(J178)),IFERROR(J243/J178,""),"")</f>
        <v>0.184534389272617</v>
      </c>
      <c r="K285" s="42" t="n">
        <f aca="false">IF(AND(ISNUMBER(K243),ISNUMBER(K178)),IFERROR(K243/K178,""),"")</f>
        <v>0.197087071240106</v>
      </c>
      <c r="L285" s="42" t="n">
        <f aca="false">IF(AND(ISNUMBER(L243),ISNUMBER(L178)),IFERROR(L243/L178,""),"")</f>
        <v>0.193677582403461</v>
      </c>
      <c r="M285" s="42" t="n">
        <f aca="false">IF(AND(ISNUMBER(M243),ISNUMBER(M178)),IFERROR(M243/M178,""),"")</f>
        <v>0.190024113771432</v>
      </c>
      <c r="N285" s="42" t="n">
        <f aca="false">IF(AND(ISNUMBER(N243),ISNUMBER(N178)),IFERROR(N243/N178,""),"")</f>
        <v>0.191390312794225</v>
      </c>
      <c r="O285" s="42" t="n">
        <f aca="false">IF(AND(ISNUMBER(O243),ISNUMBER(O178)),IFERROR(O243/O178,""),"")</f>
        <v>0.189032105861411</v>
      </c>
      <c r="P285" s="42" t="n">
        <f aca="false">IF(AND(ISNUMBER(P243),ISNUMBER(P178)),IFERROR(P243/P178,""),"")</f>
        <v>0.198303650576195</v>
      </c>
      <c r="Q285" s="42" t="n">
        <f aca="false">IF(AND(ISNUMBER(Q243),ISNUMBER(Q178)),IFERROR(Q243/Q178,""),"")</f>
        <v>0.203139937541161</v>
      </c>
      <c r="R285" s="42" t="n">
        <f aca="false">IF(AND(ISNUMBER(R243),ISNUMBER(R178)),IFERROR(R243/R178,""),"")</f>
        <v>0.199820068144405</v>
      </c>
      <c r="S285" s="42" t="n">
        <f aca="false">IF(AND(ISNUMBER(S243),ISNUMBER(S178)),IFERROR(S243/S178,""),"")</f>
        <v>0.197535762764958</v>
      </c>
      <c r="T285" s="42" t="n">
        <f aca="false">IF(AND(ISNUMBER(T243),ISNUMBER(T178)),IFERROR(T243/T178,""),"")</f>
        <v>0.185549662385243</v>
      </c>
      <c r="U285" s="42" t="n">
        <f aca="false">IF(AND(ISNUMBER(U243),ISNUMBER(U178)),IFERROR(U243/U178,""),"")</f>
        <v>0.208338373452683</v>
      </c>
      <c r="V285" s="42" t="n">
        <f aca="false">IF(AND(ISNUMBER(V243),ISNUMBER(V178)),IFERROR(V243/V178,""),"")</f>
        <v>0.182108080405444</v>
      </c>
      <c r="W285" s="42" t="n">
        <f aca="false">IF(AND(ISNUMBER(W243),ISNUMBER(W178)),IFERROR(W243/W178,""),"")</f>
        <v>0.195697432338654</v>
      </c>
      <c r="X285" s="42" t="n">
        <f aca="false">IF(AND(ISNUMBER(X243),ISNUMBER(X178)),IFERROR(X243/X178,""),"")</f>
        <v>0.185260882517996</v>
      </c>
      <c r="Y285" s="42" t="n">
        <f aca="false">IF(AND(ISNUMBER(Y243),ISNUMBER(Y178)),IFERROR(Y243/Y178,""),"")</f>
        <v>0.195280446471803</v>
      </c>
      <c r="Z285" s="42" t="n">
        <f aca="false">IF(AND(ISNUMBER(Z243),ISNUMBER(Z178)),IFERROR(Z243/Z178,""),"")</f>
        <v>0.205403239114548</v>
      </c>
      <c r="AA285" s="42" t="n">
        <f aca="false">IF(AND(ISNUMBER(AA243),ISNUMBER(AA178)),IFERROR(AA243/AA178,""),"")</f>
        <v>0.199486943684809</v>
      </c>
      <c r="AB285" s="42" t="n">
        <f aca="false">IF(AND(ISNUMBER(AB243),ISNUMBER(AB178)),IFERROR(AB243/AB178,""),"")</f>
        <v>0.211395414785245</v>
      </c>
      <c r="AC285" s="42" t="n">
        <f aca="false">IF(AND(ISNUMBER(AC243),ISNUMBER(AC178)),IFERROR(AC243/AC178,""),"")</f>
        <v>0.201393166848315</v>
      </c>
      <c r="AD285" s="42" t="n">
        <f aca="false">IF(AND(ISNUMBER(AD243),ISNUMBER(AD178)),IFERROR(AD243/AD178,""),"")</f>
        <v>0.186199681384787</v>
      </c>
      <c r="AE285" s="42" t="n">
        <f aca="false">IF(AND(ISNUMBER(AE243),ISNUMBER(AE178)),IFERROR(AE243/AE178,""),"")</f>
        <v>0.202434535819605</v>
      </c>
      <c r="AF285" s="42" t="n">
        <f aca="false">IF(AND(ISNUMBER(AF243),ISNUMBER(AF178)),IFERROR(AF243/AF178,""),"")</f>
        <v>0.204407932511815</v>
      </c>
      <c r="AG285" s="42" t="n">
        <f aca="false">IF(AND(ISNUMBER(AG243),ISNUMBER(AG178)),IFERROR(AG243/AG178,""),"")</f>
        <v>0.215152289753623</v>
      </c>
      <c r="AH285" s="42" t="n">
        <f aca="false">IF(AND(ISNUMBER(AH243),ISNUMBER(AH178)),IFERROR(AH243/AH178,""),"")</f>
        <v>0.202725631079614</v>
      </c>
      <c r="AI285" s="42" t="n">
        <f aca="false">IF(AND(ISNUMBER(AI243),ISNUMBER(AI178)),IFERROR(AI243/AI178,""),"")</f>
        <v>0.194935468756655</v>
      </c>
      <c r="AJ285" s="42" t="n">
        <f aca="false">IF(AND(ISNUMBER(AJ243),ISNUMBER(AJ178)),IFERROR(AJ243/AJ178,""),"")</f>
        <v>0.211925316201566</v>
      </c>
      <c r="AK285" s="42" t="n">
        <f aca="false">IF(AND(ISNUMBER(AK243),ISNUMBER(AK178)),IFERROR(AK243/AK178,""),"")</f>
        <v>0.207042921019555</v>
      </c>
      <c r="AL285" s="42" t="n">
        <f aca="false">IF(AND(ISNUMBER(AL243),ISNUMBER(AL178)),IFERROR(AL243/AL178,""),"")</f>
        <v>0.224671516994245</v>
      </c>
      <c r="AM285" s="42" t="n">
        <f aca="false">IF(AND(ISNUMBER(AM243),ISNUMBER(AM178)),IFERROR(AM243/AM178,""),"")</f>
        <v>0.216599700853447</v>
      </c>
      <c r="AN285" s="42" t="n">
        <f aca="false">IF(AND(ISNUMBER(AN243),ISNUMBER(AN178)),IFERROR(AN243/AN178,""),"")</f>
        <v>0.222524998815222</v>
      </c>
      <c r="AO285" s="42" t="n">
        <f aca="false">IF(AND(ISNUMBER(AO243),ISNUMBER(AO178)),IFERROR(AO243/AO178,""),"")</f>
        <v>0.22432219597255</v>
      </c>
      <c r="AP285" s="42" t="n">
        <f aca="false">IF(AND(ISNUMBER(AP243),ISNUMBER(AP178)),IFERROR(AP243/AP178,""),"")</f>
        <v>0.225422567382366</v>
      </c>
      <c r="AQ285" s="42" t="n">
        <f aca="false">IF(AND(ISNUMBER(AQ243),ISNUMBER(AQ178)),IFERROR(AQ243/AQ178,""),"")</f>
        <v>0.235703721962041</v>
      </c>
      <c r="AR285" s="42" t="n">
        <f aca="false">IF(AND(ISNUMBER(AR243),ISNUMBER(AR178)),IFERROR(AR243/AR178,""),"")</f>
        <v>0.222627309322152</v>
      </c>
      <c r="AS285" s="42" t="n">
        <f aca="false">IF(AND(ISNUMBER(AS243),ISNUMBER(AS178)),IFERROR(AS243/AS178,""),"")</f>
        <v>0.212037484745919</v>
      </c>
      <c r="AT285" s="42" t="n">
        <f aca="false">IF(AND(ISNUMBER(AT243),ISNUMBER(AT178)),IFERROR(AT243/AT178,""),"")</f>
        <v>0.261769924868803</v>
      </c>
      <c r="AU285" s="42" t="n">
        <f aca="false">IF(AND(ISNUMBER(AU243),ISNUMBER(AU178)),IFERROR(AU243/AU178,""),"")</f>
        <v>0.282958254011422</v>
      </c>
      <c r="AV285" s="42" t="n">
        <f aca="false">IF(AND(ISNUMBER(AV243),ISNUMBER(AV178)),IFERROR(AV243/AV178,""),"")</f>
        <v>0.293786982248521</v>
      </c>
      <c r="AW285" s="42" t="n">
        <f aca="false">IF(AND(ISNUMBER(AW243),ISNUMBER(AW178)),IFERROR(AW243/AW178,""),"")</f>
        <v>0.267411595763777</v>
      </c>
      <c r="AX285" s="42" t="n">
        <f aca="false">IF(AND(ISNUMBER(AX243),ISNUMBER(AX178)),IFERROR(AX243/AX178,""),"")</f>
        <v>0.349518810148731</v>
      </c>
      <c r="AY285" s="42" t="n">
        <f aca="false">IF(AND(ISNUMBER(AY243),ISNUMBER(AY178)),IFERROR(AY243/AY178,""),"")</f>
        <v>0.325852036575229</v>
      </c>
      <c r="AZ285" s="42" t="n">
        <f aca="false">IF(AND(ISNUMBER(AZ243),ISNUMBER(AZ178)),IFERROR(AZ243/AZ178,""),"")</f>
        <v>0.313459676303776</v>
      </c>
      <c r="BA285" s="42" t="n">
        <f aca="false">IF(AND(ISNUMBER(BA243),ISNUMBER(BA178)),IFERROR(BA243/BA178,""),"")</f>
        <v>0.314310260186549</v>
      </c>
      <c r="BB285" s="42" t="n">
        <f aca="false">IF(AND(ISNUMBER(BB243),ISNUMBER(BB178)),IFERROR(BB243/BB178,""),"")</f>
        <v>0.325128170305232</v>
      </c>
      <c r="BC285" s="42" t="n">
        <f aca="false">IF(AND(ISNUMBER(BC243),ISNUMBER(BC178)),IFERROR(BC243/BC178,""),"")</f>
        <v>0.338319458896982</v>
      </c>
      <c r="BD285" s="42" t="n">
        <f aca="false">IF(AND(ISNUMBER(BD243),ISNUMBER(BD178)),IFERROR(BD243/BD178,""),"")</f>
        <v>0.33376338536963</v>
      </c>
      <c r="BE285" s="42" t="n">
        <f aca="false">IF(AND(ISNUMBER(BE243),ISNUMBER(BE178)),IFERROR(BE243/BE178,""),"")</f>
        <v>0.310061333681326</v>
      </c>
      <c r="BF285" s="42" t="n">
        <f aca="false">IF(AND(ISNUMBER(BF243),ISNUMBER(BF178)),IFERROR(BF243/BF178,""),"")</f>
        <v>0.330529857022708</v>
      </c>
      <c r="BG285" s="42" t="n">
        <f aca="false">IF(AND(ISNUMBER(BG243),ISNUMBER(BG178)),IFERROR(BG243/BG178,""),"")</f>
        <v>0.338963329955335</v>
      </c>
      <c r="BH285" s="42" t="n">
        <f aca="false">IF(AND(ISNUMBER(BH243),ISNUMBER(BH178)),IFERROR(BH243/BH178,""),"")</f>
        <v>0.322239031770045</v>
      </c>
      <c r="BI285" s="42" t="n">
        <f aca="false">IF(AND(ISNUMBER(BI243),ISNUMBER(BI178)),IFERROR(BI243/BI178,""),"")</f>
        <v>0.274018944519621</v>
      </c>
      <c r="BJ285" s="42" t="n">
        <f aca="false">IF(AND(ISNUMBER(BJ243),ISNUMBER(BJ178)),IFERROR(BJ243/BJ178,""),"")</f>
        <v>0.283428165007112</v>
      </c>
      <c r="BK285" s="42" t="n">
        <f aca="false">IF(AND(ISNUMBER(BK243),ISNUMBER(BK178)),IFERROR(BK243/BK178,""),"")</f>
        <v>0.286807181889149</v>
      </c>
      <c r="BL285" s="42" t="n">
        <f aca="false">IF(AND(ISNUMBER(BL243),ISNUMBER(BL178)),IFERROR(BL243/BL178,""),"")</f>
        <v>0.286940142318962</v>
      </c>
      <c r="BM285" s="42" t="n">
        <f aca="false">IF(AND(ISNUMBER(BM243),ISNUMBER(BM178)),IFERROR(BM243/BM178,""),"")</f>
        <v>0.300897170462388</v>
      </c>
      <c r="BN285" s="42" t="n">
        <f aca="false">IF(AND(ISNUMBER(BN243),ISNUMBER(BN178)),IFERROR(BN243/BN178,""),"")</f>
        <v>0.273376284172036</v>
      </c>
      <c r="BO285" s="42" t="n">
        <f aca="false">IF(AND(ISNUMBER(BO243),ISNUMBER(BO178)),IFERROR(BO243/BO178,""),"")</f>
        <v>0.27492238703001</v>
      </c>
      <c r="BP285" s="42" t="n">
        <f aca="false">IF(AND(ISNUMBER(BP243),ISNUMBER(BP178)),IFERROR(BP243/BP178,""),"")</f>
        <v>0.295503211991435</v>
      </c>
      <c r="BQ285" s="42" t="n">
        <f aca="false">IF(AND(ISNUMBER(BQ243),ISNUMBER(BQ178)),IFERROR(BQ243/BQ178,""),"")</f>
        <v>0.286492146596859</v>
      </c>
      <c r="BR285" s="42" t="n">
        <f aca="false">IF(AND(ISNUMBER(BR243),ISNUMBER(BR178)),IFERROR(BR243/BR178,""),"")</f>
        <v>0.295941473610869</v>
      </c>
      <c r="BS285" s="42" t="n">
        <f aca="false">IF(AND(ISNUMBER(BS243),ISNUMBER(BS178)),IFERROR(BS243/BS178,""),"")</f>
        <v>0.272574123989218</v>
      </c>
      <c r="BT285" s="42" t="n">
        <f aca="false">IF(AND(ISNUMBER(BT243),ISNUMBER(BT178)),IFERROR(BT243/BT178,""),"")</f>
        <v>0.278869981827193</v>
      </c>
      <c r="BU285" s="42" t="n">
        <f aca="false">IF(AND(ISNUMBER(BU243),ISNUMBER(BU178)),IFERROR(BU243/BU178,""),"")</f>
        <v>0.282831237203861</v>
      </c>
      <c r="BV285" s="42" t="n">
        <f aca="false">IF(AND(ISNUMBER(BV243),ISNUMBER(BV178)),IFERROR(BV243/BV178,""),"")</f>
        <v>0.282440573103224</v>
      </c>
      <c r="BW285" s="42" t="n">
        <f aca="false">IF(AND(ISNUMBER(BW243),ISNUMBER(BW178)),IFERROR(BW243/BW178,""),"")</f>
        <v>0.301629978154932</v>
      </c>
      <c r="BX285" s="42" t="n">
        <f aca="false">IF(AND(ISNUMBER(BX243),ISNUMBER(BX178)),IFERROR(BX243/BX178,""),"")</f>
        <v>0.271029529130088</v>
      </c>
      <c r="BY285" s="26" t="n">
        <f aca="false">IF(AND(ISNUMBER(BY243),ISNUMBER(BY178)),IFERROR(BY243/BY178,""),"")</f>
        <v>0.265</v>
      </c>
      <c r="BZ285" s="26" t="n">
        <f aca="false">IF(AND(ISNUMBER(BZ243),ISNUMBER(BZ178)),IFERROR(BZ243/BZ178,""),"")</f>
        <v>0.303471389313456</v>
      </c>
      <c r="CA285" s="26" t="n">
        <f aca="false">IF(AND(ISNUMBER(CA243),ISNUMBER(CA178)),IFERROR(CA243/CA178,""),"")</f>
        <v>0.285779597793346</v>
      </c>
      <c r="CB285" s="26" t="n">
        <f aca="false">IF(AND(ISNUMBER(CB243),ISNUMBER(CB178)),IFERROR(CB243/CB178,""),"")</f>
        <v>0.288523072827988</v>
      </c>
      <c r="CC285" s="26" t="n">
        <f aca="false">IF(AND(ISNUMBER(CC243),ISNUMBER(CC178)),IFERROR(CC243/CC178,""),"")</f>
        <v>0.294568692051774</v>
      </c>
      <c r="CD285" s="26" t="n">
        <f aca="false">IF(AND(ISNUMBER(CD243),ISNUMBER(CD178)),IFERROR(CD243/CD178,""),"")</f>
        <v>0.300183816091001</v>
      </c>
      <c r="CE285" s="26" t="n">
        <f aca="false">IF(AND(ISNUMBER(CE243),ISNUMBER(CE178)),IFERROR(CE243/CE178,""),"")</f>
        <v>0.30539903363975</v>
      </c>
      <c r="CF285" s="7"/>
      <c r="CH285" s="32" t="n">
        <f aca="false">IFERROR(AVERAGE(CA285,CB285,CC285,CD285,CE285),"n/m")</f>
        <v>0.294890842480772</v>
      </c>
      <c r="CI285" s="32" t="n">
        <f aca="false">IFERROR(AVERAGE(BB285,BG285,BL285,BQ285,BV285),"n/m")</f>
        <v>0.303992872455922</v>
      </c>
      <c r="CJ285" s="32" t="n">
        <f aca="false">IFERROR(AVERAGE(AC285,AH285,AM285,AR285,AW285,BB285,BG285,BL285,BQ285,BV285),"n/m")</f>
        <v>0.263072176614692</v>
      </c>
      <c r="CK285" s="32" t="n">
        <f aca="false">IFERROR(AVERAGE(C285,D285,E285,F285,G285,H285,I285,N285,S285,X285,AC285,AH285,AM285,AR285,AW285,BB285,BG285,BL285,BQ285,BV285),"n/m")</f>
        <v>0.221660191346925</v>
      </c>
    </row>
    <row r="286" customFormat="false" ht="15" hidden="false" customHeight="true" outlineLevel="0" collapsed="false">
      <c r="B286" s="27" t="s">
        <v>381</v>
      </c>
      <c r="C286" s="42" t="n">
        <f aca="false">IF(AND(ISNUMBER(C227),ISNUMBER(C178)),IFERROR(C227/C178,""),"")</f>
        <v>0.18029600363402</v>
      </c>
      <c r="D286" s="42" t="n">
        <f aca="false">IF(AND(ISNUMBER(D227),ISNUMBER(D178)),IFERROR(D227/D178,""),"")</f>
        <v>0.187476759266817</v>
      </c>
      <c r="E286" s="42" t="n">
        <f aca="false">IF(AND(ISNUMBER(E227),ISNUMBER(E178)),IFERROR(E227/E178,""),"")</f>
        <v>0.182303603071471</v>
      </c>
      <c r="F286" s="42" t="n">
        <f aca="false">IF(AND(ISNUMBER(F227),ISNUMBER(F178)),IFERROR(F227/F178,""),"")</f>
        <v>0.179420468667579</v>
      </c>
      <c r="G286" s="42" t="n">
        <f aca="false">IF(AND(ISNUMBER(G227),ISNUMBER(G178)),IFERROR(G227/G178,""),"")</f>
        <v>0.198653386454183</v>
      </c>
      <c r="H286" s="42" t="n">
        <f aca="false">IF(AND(ISNUMBER(H227),ISNUMBER(H178)),IFERROR(H227/H178,""),"")</f>
        <v>0.209365774836083</v>
      </c>
      <c r="I286" s="42" t="n">
        <f aca="false">IF(AND(ISNUMBER(I227),ISNUMBER(I178)),IFERROR(I227/I178,""),"")</f>
        <v>0.219321592079034</v>
      </c>
      <c r="J286" s="42" t="n">
        <f aca="false">IF(AND(ISNUMBER(J227),ISNUMBER(J178)),IFERROR(J227/J178,""),"")</f>
        <v>0.213220239836209</v>
      </c>
      <c r="K286" s="42" t="n">
        <f aca="false">IF(AND(ISNUMBER(K227),ISNUMBER(K178)),IFERROR(K227/K178,""),"")</f>
        <v>0.22442216358839</v>
      </c>
      <c r="L286" s="42" t="n">
        <f aca="false">IF(AND(ISNUMBER(L227),ISNUMBER(L178)),IFERROR(L227/L178,""),"")</f>
        <v>0.222248399049067</v>
      </c>
      <c r="M286" s="42" t="n">
        <f aca="false">IF(AND(ISNUMBER(M227),ISNUMBER(M178)),IFERROR(M227/M178,""),"")</f>
        <v>0.216511287903241</v>
      </c>
      <c r="N286" s="42" t="n">
        <f aca="false">IF(AND(ISNUMBER(N227),ISNUMBER(N178)),IFERROR(N227/N178,""),"")</f>
        <v>0.219107647243435</v>
      </c>
      <c r="O286" s="42" t="n">
        <f aca="false">IF(AND(ISNUMBER(O227),ISNUMBER(O178)),IFERROR(O227/O178,""),"")</f>
        <v>0.217384777060501</v>
      </c>
      <c r="P286" s="42" t="n">
        <f aca="false">IF(AND(ISNUMBER(P227),ISNUMBER(P178)),IFERROR(P227/P178,""),"")</f>
        <v>0.226589572084777</v>
      </c>
      <c r="Q286" s="42" t="n">
        <f aca="false">IF(AND(ISNUMBER(Q227),ISNUMBER(Q178)),IFERROR(Q227/Q178,""),"")</f>
        <v>0.233392109791591</v>
      </c>
      <c r="R286" s="42" t="n">
        <f aca="false">IF(AND(ISNUMBER(R227),ISNUMBER(R178)),IFERROR(R227/R178,""),"")</f>
        <v>0.226159029133647</v>
      </c>
      <c r="S286" s="42" t="n">
        <f aca="false">IF(AND(ISNUMBER(S227),ISNUMBER(S178)),IFERROR(S227/S178,""),"")</f>
        <v>0.226386133444711</v>
      </c>
      <c r="T286" s="42" t="n">
        <f aca="false">IF(AND(ISNUMBER(T227),ISNUMBER(T178)),IFERROR(T227/T178,""),"")</f>
        <v>0.215051014974333</v>
      </c>
      <c r="U286" s="42" t="n">
        <f aca="false">IF(AND(ISNUMBER(U227),ISNUMBER(U178)),IFERROR(U227/U178,""),"")</f>
        <v>0.236804967541631</v>
      </c>
      <c r="V286" s="42" t="n">
        <f aca="false">IF(AND(ISNUMBER(V227),ISNUMBER(V178)),IFERROR(V227/V178,""),"")</f>
        <v>0.220944137577587</v>
      </c>
      <c r="W286" s="42" t="n">
        <f aca="false">IF(AND(ISNUMBER(W227),ISNUMBER(W178)),IFERROR(W227/W178,""),"")</f>
        <v>0.232107332870692</v>
      </c>
      <c r="X286" s="42" t="n">
        <f aca="false">IF(AND(ISNUMBER(X227),ISNUMBER(X178)),IFERROR(X227/X178,""),"")</f>
        <v>0.22499428420987</v>
      </c>
      <c r="Y286" s="42" t="n">
        <f aca="false">IF(AND(ISNUMBER(Y227),ISNUMBER(Y178)),IFERROR(Y227/Y178,""),"")</f>
        <v>0.233633189776</v>
      </c>
      <c r="Z286" s="42" t="n">
        <f aca="false">IF(AND(ISNUMBER(Z227),ISNUMBER(Z178)),IFERROR(Z227/Z178,""),"")</f>
        <v>0.242179212145501</v>
      </c>
      <c r="AA286" s="42" t="n">
        <f aca="false">IF(AND(ISNUMBER(AA227),ISNUMBER(AA178)),IFERROR(AA227/AA178,""),"")</f>
        <v>0.221122431693328</v>
      </c>
      <c r="AB286" s="42" t="n">
        <f aca="false">IF(AND(ISNUMBER(AB227),ISNUMBER(AB178)),IFERROR(AB227/AB178,""),"")</f>
        <v>0.243919464258447</v>
      </c>
      <c r="AC286" s="42" t="n">
        <f aca="false">IF(AND(ISNUMBER(AC227),ISNUMBER(AC178)),IFERROR(AC227/AC178,""),"")</f>
        <v>0.233675306828413</v>
      </c>
      <c r="AD286" s="42" t="n">
        <f aca="false">IF(AND(ISNUMBER(AD227),ISNUMBER(AD178)),IFERROR(AD227/AD178,""),"")</f>
        <v>0.219368951660841</v>
      </c>
      <c r="AE286" s="42" t="n">
        <f aca="false">IF(AND(ISNUMBER(AE227),ISNUMBER(AE178)),IFERROR(AE227/AE178,""),"")</f>
        <v>0.234118977406266</v>
      </c>
      <c r="AF286" s="42" t="n">
        <f aca="false">IF(AND(ISNUMBER(AF227),ISNUMBER(AF178)),IFERROR(AF227/AF178,""),"")</f>
        <v>0.23640740249989</v>
      </c>
      <c r="AG286" s="42" t="n">
        <f aca="false">IF(AND(ISNUMBER(AG227),ISNUMBER(AG178)),IFERROR(AG227/AG178,""),"")</f>
        <v>0.244745069508622</v>
      </c>
      <c r="AH286" s="42" t="n">
        <f aca="false">IF(AND(ISNUMBER(AH227),ISNUMBER(AH178)),IFERROR(AH227/AH178,""),"")</f>
        <v>0.234248241924309</v>
      </c>
      <c r="AI286" s="42" t="n">
        <f aca="false">IF(AND(ISNUMBER(AI227),ISNUMBER(AI178)),IFERROR(AI227/AI178,""),"")</f>
        <v>0.226562167227499</v>
      </c>
      <c r="AJ286" s="42" t="n">
        <f aca="false">IF(AND(ISNUMBER(AJ227),ISNUMBER(AJ178)),IFERROR(AJ227/AJ178,""),"")</f>
        <v>0.242742421200562</v>
      </c>
      <c r="AK286" s="42" t="n">
        <f aca="false">IF(AND(ISNUMBER(AK227),ISNUMBER(AK178)),IFERROR(AK227/AK178,""),"")</f>
        <v>0.237415260349055</v>
      </c>
      <c r="AL286" s="42" t="n">
        <f aca="false">IF(AND(ISNUMBER(AL227),ISNUMBER(AL178)),IFERROR(AL227/AL178,""),"")</f>
        <v>0.257704419589532</v>
      </c>
      <c r="AM286" s="42" t="n">
        <f aca="false">IF(AND(ISNUMBER(AM227),ISNUMBER(AM178)),IFERROR(AM227/AM178,""),"")</f>
        <v>0.251881397190369</v>
      </c>
      <c r="AN286" s="42" t="n">
        <f aca="false">IF(AND(ISNUMBER(AN227),ISNUMBER(AN178)),IFERROR(AN227/AN178,""),"")</f>
        <v>0.257712904601678</v>
      </c>
      <c r="AO286" s="42" t="n">
        <f aca="false">IF(AND(ISNUMBER(AO227),ISNUMBER(AO178)),IFERROR(AO227/AO178,""),"")</f>
        <v>0.258521768477894</v>
      </c>
      <c r="AP286" s="42" t="n">
        <f aca="false">IF(AND(ISNUMBER(AP227),ISNUMBER(AP178)),IFERROR(AP227/AP178,""),"")</f>
        <v>0.259639104613979</v>
      </c>
      <c r="AQ286" s="42" t="n">
        <f aca="false">IF(AND(ISNUMBER(AQ227),ISNUMBER(AQ178)),IFERROR(AQ227/AQ178,""),"")</f>
        <v>0.259140580067373</v>
      </c>
      <c r="AR286" s="42" t="n">
        <f aca="false">IF(AND(ISNUMBER(AR227),ISNUMBER(AR178)),IFERROR(AR227/AR178,""),"")</f>
        <v>0.254138495123136</v>
      </c>
      <c r="AS286" s="42" t="n">
        <f aca="false">IF(AND(ISNUMBER(AS227),ISNUMBER(AS178)),IFERROR(AS227/AS178,""),"")</f>
        <v>0.244594874628721</v>
      </c>
      <c r="AT286" s="42" t="n">
        <f aca="false">IF(AND(ISNUMBER(AT227),ISNUMBER(AT178)),IFERROR(AT227/AT178,""),"")</f>
        <v>0.292539736474497</v>
      </c>
      <c r="AU286" s="42" t="n">
        <f aca="false">IF(AND(ISNUMBER(AU227),ISNUMBER(AU178)),IFERROR(AU227/AU178,""),"")</f>
        <v>0.31022232798477</v>
      </c>
      <c r="AV286" s="42" t="n">
        <f aca="false">IF(AND(ISNUMBER(AV227),ISNUMBER(AV178)),IFERROR(AV227/AV178,""),"")</f>
        <v>0.319260355029586</v>
      </c>
      <c r="AW286" s="42" t="n">
        <f aca="false">IF(AND(ISNUMBER(AW227),ISNUMBER(AW178)),IFERROR(AW227/AW178,""),"")</f>
        <v>0.295997127984204</v>
      </c>
      <c r="AX286" s="42" t="n">
        <f aca="false">IF(AND(ISNUMBER(AX227),ISNUMBER(AX178)),IFERROR(AX227/AX178,""),"")</f>
        <v>0.372557596967046</v>
      </c>
      <c r="AY286" s="42" t="n">
        <f aca="false">IF(AND(ISNUMBER(AY227),ISNUMBER(AY178)),IFERROR(AY227/AY178,""),"")</f>
        <v>0.350512607370463</v>
      </c>
      <c r="AZ286" s="42" t="n">
        <f aca="false">IF(AND(ISNUMBER(AZ227),ISNUMBER(AZ178)),IFERROR(AZ227/AZ178,""),"")</f>
        <v>0.339604371282335</v>
      </c>
      <c r="BA286" s="42" t="n">
        <f aca="false">IF(AND(ISNUMBER(BA227),ISNUMBER(BA178)),IFERROR(BA227/BA178,""),"")</f>
        <v>0.3379970544919</v>
      </c>
      <c r="BB286" s="42" t="n">
        <f aca="false">IF(AND(ISNUMBER(BB227),ISNUMBER(BB178)),IFERROR(BB227/BB178,""),"")</f>
        <v>0.349505992598377</v>
      </c>
      <c r="BC286" s="42" t="n">
        <f aca="false">IF(AND(ISNUMBER(BC227),ISNUMBER(BC178)),IFERROR(BC227/BC178,""),"")</f>
        <v>0.361602497398543</v>
      </c>
      <c r="BD286" s="42" t="n">
        <f aca="false">IF(AND(ISNUMBER(BD227),ISNUMBER(BD178)),IFERROR(BD227/BD178,""),"")</f>
        <v>0.356857179718746</v>
      </c>
      <c r="BE286" s="42" t="n">
        <f aca="false">IF(AND(ISNUMBER(BE227),ISNUMBER(BE178)),IFERROR(BE227/BE178,""),"")</f>
        <v>0.333420331462874</v>
      </c>
      <c r="BF286" s="42" t="n">
        <f aca="false">IF(AND(ISNUMBER(BF227),ISNUMBER(BF178)),IFERROR(BF227/BF178,""),"")</f>
        <v>0.358704793944491</v>
      </c>
      <c r="BG286" s="42" t="n">
        <f aca="false">IF(AND(ISNUMBER(BG227),ISNUMBER(BG178)),IFERROR(BG227/BG178,""),"")</f>
        <v>0.366662913335585</v>
      </c>
      <c r="BH286" s="42" t="n">
        <f aca="false">IF(AND(ISNUMBER(BH227),ISNUMBER(BH178)),IFERROR(BH227/BH178,""),"")</f>
        <v>0.351319549504118</v>
      </c>
      <c r="BI286" s="42" t="n">
        <f aca="false">IF(AND(ISNUMBER(BI227),ISNUMBER(BI178)),IFERROR(BI227/BI178,""),"")</f>
        <v>0.304127198917456</v>
      </c>
      <c r="BJ286" s="42" t="n">
        <f aca="false">IF(AND(ISNUMBER(BJ227),ISNUMBER(BJ178)),IFERROR(BJ227/BJ178,""),"")</f>
        <v>0.314544807965861</v>
      </c>
      <c r="BK286" s="42" t="n">
        <f aca="false">IF(AND(ISNUMBER(BK227),ISNUMBER(BK178)),IFERROR(BK227/BK178,""),"")</f>
        <v>0.310070257611241</v>
      </c>
      <c r="BL286" s="42" t="n">
        <f aca="false">IF(AND(ISNUMBER(BL227),ISNUMBER(BL178)),IFERROR(BL227/BL178,""),"")</f>
        <v>0.315194642109669</v>
      </c>
      <c r="BM286" s="42" t="n">
        <f aca="false">IF(AND(ISNUMBER(BM227),ISNUMBER(BM178)),IFERROR(BM227/BM178,""),"")</f>
        <v>0.331780538302277</v>
      </c>
      <c r="BN286" s="42" t="n">
        <f aca="false">IF(AND(ISNUMBER(BN227),ISNUMBER(BN178)),IFERROR(BN227/BN178,""),"")</f>
        <v>0.304370538046317</v>
      </c>
      <c r="BO286" s="42" t="n">
        <f aca="false">IF(AND(ISNUMBER(BO227),ISNUMBER(BO178)),IFERROR(BO227/BO178,""),"")</f>
        <v>0.30545015522594</v>
      </c>
      <c r="BP286" s="42" t="n">
        <f aca="false">IF(AND(ISNUMBER(BP227),ISNUMBER(BP178)),IFERROR(BP227/BP178,""),"")</f>
        <v>0.324105230957479</v>
      </c>
      <c r="BQ286" s="42" t="n">
        <f aca="false">IF(AND(ISNUMBER(BQ227),ISNUMBER(BQ178)),IFERROR(BQ227/BQ178,""),"")</f>
        <v>0.31669109947644</v>
      </c>
      <c r="BR286" s="42" t="n">
        <f aca="false">IF(AND(ISNUMBER(BR227),ISNUMBER(BR178)),IFERROR(BR227/BR178,""),"")</f>
        <v>0.327469082041456</v>
      </c>
      <c r="BS286" s="42" t="n">
        <f aca="false">IF(AND(ISNUMBER(BS227),ISNUMBER(BS178)),IFERROR(BS227/BS178,""),"")</f>
        <v>0.303739892183288</v>
      </c>
      <c r="BT286" s="42" t="n">
        <f aca="false">IF(AND(ISNUMBER(BT227),ISNUMBER(BT178)),IFERROR(BT227/BT178,""),"")</f>
        <v>0.310094168181067</v>
      </c>
      <c r="BU286" s="42" t="n">
        <f aca="false">IF(AND(ISNUMBER(BU227),ISNUMBER(BU178)),IFERROR(BU227/BU178,""),"")</f>
        <v>0.311348347470021</v>
      </c>
      <c r="BV286" s="42" t="n">
        <f aca="false">IF(AND(ISNUMBER(BV227),ISNUMBER(BV178)),IFERROR(BV227/BV178,""),"")</f>
        <v>0.312968088570498</v>
      </c>
      <c r="BW286" s="42" t="n">
        <f aca="false">IF(AND(ISNUMBER(BW227),ISNUMBER(BW178)),IFERROR(BW227/BW178,""),"")</f>
        <v>0.334061502268526</v>
      </c>
      <c r="BX286" s="42" t="n">
        <f aca="false">IF(AND(ISNUMBER(BX227),ISNUMBER(BX178)),IFERROR(BX227/BX178,""),"")</f>
        <v>0.302314445331205</v>
      </c>
      <c r="BY286" s="26" t="n">
        <f aca="false">IF(AND(ISNUMBER(BY227),ISNUMBER(BY178)),IFERROR(BY227/BY178,""),"")</f>
        <v>0.296843483955468</v>
      </c>
      <c r="BZ286" s="26" t="n">
        <f aca="false">IF(AND(ISNUMBER(BZ227),ISNUMBER(BZ178)),IFERROR(BZ227/BZ178,""),"")</f>
        <v>0.335314873268924</v>
      </c>
      <c r="CA286" s="26" t="n">
        <f aca="false">IF(AND(ISNUMBER(CA227),ISNUMBER(CA178)),IFERROR(CA227/CA178,""),"")</f>
        <v>0.317623081748814</v>
      </c>
      <c r="CB286" s="26" t="n">
        <f aca="false">IF(AND(ISNUMBER(CB227),ISNUMBER(CB178)),IFERROR(CB227/CB178,""),"")</f>
        <v>0.319523072827988</v>
      </c>
      <c r="CC286" s="26" t="n">
        <f aca="false">IF(AND(ISNUMBER(CC227),ISNUMBER(CC178)),IFERROR(CC227/CC178,""),"")</f>
        <v>0.325568692051774</v>
      </c>
      <c r="CD286" s="26" t="n">
        <f aca="false">IF(AND(ISNUMBER(CD227),ISNUMBER(CD178)),IFERROR(CD227/CD178,""),"")</f>
        <v>0.331183816091001</v>
      </c>
      <c r="CE286" s="26" t="n">
        <f aca="false">IF(AND(ISNUMBER(CE227),ISNUMBER(CE178)),IFERROR(CE227/CE178,""),"")</f>
        <v>0.33639903363975</v>
      </c>
      <c r="CF286" s="7"/>
      <c r="CH286" s="32" t="n">
        <f aca="false">IFERROR(AVERAGE(CA286,CB286,CC286,CD286,CE286),"n/m")</f>
        <v>0.326059539271866</v>
      </c>
      <c r="CI286" s="32" t="n">
        <f aca="false">IFERROR(AVERAGE(BB286,BG286,BL286,BQ286,BV286),"n/m")</f>
        <v>0.332204547218114</v>
      </c>
      <c r="CJ286" s="32" t="n">
        <f aca="false">IFERROR(AVERAGE(AC286,AH286,AM286,AR286,AW286,BB286,BG286,BL286,BQ286,BV286),"n/m")</f>
        <v>0.2930963305141</v>
      </c>
      <c r="CK286" s="32" t="n">
        <f aca="false">IFERROR(AVERAGE(C286,D286,E286,F286,G286,H286,I286,N286,S286,X286,AC286,AH286,AM286,AR286,AW286,BB286,BG286,BL286,BQ286,BV286),"n/m")</f>
        <v>0.24791444790241</v>
      </c>
    </row>
    <row r="287" customFormat="false" ht="15" hidden="false" customHeight="true" outlineLevel="0" collapsed="false">
      <c r="B287" s="27" t="s">
        <v>451</v>
      </c>
      <c r="C287" s="34"/>
      <c r="D287" s="42" t="n">
        <f aca="false">IFERROR((D227-C227)/(D178-C178),"")</f>
        <v>0.231055263495319</v>
      </c>
      <c r="E287" s="42" t="n">
        <f aca="false">IFERROR((E227-D227)/(E178-D178),"")</f>
        <v>0.148181383106006</v>
      </c>
      <c r="F287" s="42" t="n">
        <f aca="false">IFERROR((F227-E227)/(F178-E178),"")</f>
        <v>0.203622900965225</v>
      </c>
      <c r="G287" s="42" t="n">
        <f aca="false">IFERROR((G227-F227)/(G178-F178),"")</f>
        <v>0.356237638268259</v>
      </c>
      <c r="H287" s="42" t="n">
        <f aca="false">IFERROR((H227-G227)/(H178-G178),"")</f>
        <v>0.247337946617709</v>
      </c>
      <c r="I287" s="42" t="n">
        <f aca="false">IFERROR((I227-H227)/(I178-H178),"")</f>
        <v>0.293147149638232</v>
      </c>
      <c r="J287" s="34"/>
      <c r="K287" s="34"/>
      <c r="L287" s="34"/>
      <c r="M287" s="34"/>
      <c r="N287" s="42" t="n">
        <f aca="false">IFERROR((N227-I227)/(N178-I178),"")</f>
        <v>0.214552238805968</v>
      </c>
      <c r="O287" s="42" t="n">
        <f aca="false">IFERROR((O227-J227)/(O178-J178),"")</f>
        <v>0.302293577981651</v>
      </c>
      <c r="P287" s="42" t="n">
        <f aca="false">IFERROR((P227-K227)/(P178-K178),"")</f>
        <v>0.27200353825741</v>
      </c>
      <c r="Q287" s="42" t="n">
        <f aca="false">IFERROR((Q227-L227)/(Q178-L178),"")</f>
        <v>1.60263157894736</v>
      </c>
      <c r="R287" s="42" t="n">
        <f aca="false">IFERROR((R227-M227)/(R178-M178),"")</f>
        <v>-0.969411764705889</v>
      </c>
      <c r="S287" s="42" t="n">
        <f aca="false">IFERROR((S227-N227)/(S178-N178),"")</f>
        <v>4.0916666666667</v>
      </c>
      <c r="T287" s="42" t="n">
        <f aca="false">IFERROR((T227-O227)/(T178-O178),"")</f>
        <v>-0.124999999999996</v>
      </c>
      <c r="U287" s="42" t="n">
        <f aca="false">IFERROR((U227-P227)/(U178-P178),"")</f>
        <v>-14.6764705882329</v>
      </c>
      <c r="V287" s="42" t="n">
        <f aca="false">IFERROR((V227-Q227)/(V178-Q178),"")</f>
        <v>0.269980751527325</v>
      </c>
      <c r="W287" s="42" t="n">
        <f aca="false">IFERROR((W227-R227)/(W178-R178),"")</f>
        <v>0.197625388371061</v>
      </c>
      <c r="X287" s="42" t="n">
        <f aca="false">IFERROR((X227-S227)/(X178-S178),"")</f>
        <v>0.230642120204224</v>
      </c>
      <c r="Y287" s="42" t="n">
        <f aca="false">IFERROR((Y227-T227)/(Y178-T178),"")</f>
        <v>0.120425642356605</v>
      </c>
      <c r="Z287" s="42" t="n">
        <f aca="false">IFERROR((Z227-U227)/(Z178-U178),"")</f>
        <v>0.205067520534596</v>
      </c>
      <c r="AA287" s="42" t="n">
        <f aca="false">IFERROR((AA227-V227)/(AA178-V178),"")</f>
        <v>0.222132602032587</v>
      </c>
      <c r="AB287" s="42" t="n">
        <f aca="false">IFERROR((AB227-W227)/(AB178-W178),"")</f>
        <v>0.439341752774589</v>
      </c>
      <c r="AC287" s="42" t="n">
        <f aca="false">IFERROR((AC227-X227)/(AC178-X178),"")</f>
        <v>0.284845019806428</v>
      </c>
      <c r="AD287" s="42" t="n">
        <f aca="false">IFERROR((AD227-Y227)/(AD178-Y178),"")</f>
        <v>0.0205965909090899</v>
      </c>
      <c r="AE287" s="42" t="n">
        <f aca="false">IFERROR((AE227-Z227)/(AE178-Z178),"")</f>
        <v>0.106636838180463</v>
      </c>
      <c r="AF287" s="42" t="n">
        <f aca="false">IFERROR((AF227-AA227)/(AF178-AA178),"")</f>
        <v>0.395859631406209</v>
      </c>
      <c r="AG287" s="42" t="n">
        <f aca="false">IFERROR((AG227-AB227)/(AG178-AB178),"")</f>
        <v>0.252293577981651</v>
      </c>
      <c r="AH287" s="42" t="n">
        <f aca="false">IFERROR((AH227-AC227)/(AH178-AC178),"")</f>
        <v>0.240931389483865</v>
      </c>
      <c r="AI287" s="42" t="n">
        <f aca="false">IFERROR((AI227-AD227)/(AI178-AD178),"")</f>
        <v>0.288339799877475</v>
      </c>
      <c r="AJ287" s="42" t="n">
        <f aca="false">IFERROR((AJ227-AE227)/(AJ178-AE178),"")</f>
        <v>0.32533446591633</v>
      </c>
      <c r="AK287" s="42" t="n">
        <f aca="false">IFERROR((AK227-AF227)/(AK178-AF178),"")</f>
        <v>0.251461988304096</v>
      </c>
      <c r="AL287" s="42" t="n">
        <f aca="false">IFERROR((AL227-AG227)/(AL178-AG178),"")</f>
        <v>0.120739817123856</v>
      </c>
      <c r="AM287" s="42" t="n">
        <f aca="false">IFERROR((AM227-AH227)/(AM178-AH178),"")</f>
        <v>-0.00039025913206369</v>
      </c>
      <c r="AN287" s="42" t="n">
        <f aca="false">IFERROR((AN227-AI227)/(AN178-AI178),"")</f>
        <v>-0.050084175084176</v>
      </c>
      <c r="AO287" s="42" t="n">
        <f aca="false">IFERROR((AO227-AJ227)/(AO178-AJ178),"")</f>
        <v>0.11202236719478</v>
      </c>
      <c r="AP287" s="42" t="n">
        <f aca="false">IFERROR((AP227-AK227)/(AP178-AK178),"")</f>
        <v>0.0326247105872462</v>
      </c>
      <c r="AQ287" s="42" t="n">
        <f aca="false">IFERROR((AQ227-AL227)/(AQ178-AL178),"")</f>
        <v>0.284198560060629</v>
      </c>
      <c r="AR287" s="42" t="n">
        <f aca="false">IFERROR((AR227-AM227)/(AR178-AM178),"")</f>
        <v>0.298747971249711</v>
      </c>
      <c r="AS287" s="42" t="n">
        <f aca="false">IFERROR((AS227-AN227)/(AS178-AN178),"")</f>
        <v>-0.205858421480874</v>
      </c>
      <c r="AT287" s="42" t="n">
        <f aca="false">IFERROR((AT227-AO227)/(AT178-AO178),"")</f>
        <v>0.469808887325595</v>
      </c>
      <c r="AU287" s="42" t="n">
        <f aca="false">IFERROR((AU227-AP227)/(AU178-AP178),"")</f>
        <v>0.457347860749402</v>
      </c>
      <c r="AV287" s="42" t="n">
        <f aca="false">IFERROR((AV227-AQ227)/(AV178-AQ178),"")</f>
        <v>0.473990272784944</v>
      </c>
      <c r="AW287" s="42" t="n">
        <f aca="false">IFERROR((AW227-AR227)/(AW178-AR178),"")</f>
        <v>0.467447231814128</v>
      </c>
      <c r="AX287" s="42" t="n">
        <f aca="false">IFERROR((AX227-AS227)/(AX178-AS178),"")</f>
        <v>0.593542486778798</v>
      </c>
      <c r="AY287" s="42" t="n">
        <f aca="false">IFERROR((AY227-AT227)/(AY178-AT178),"")</f>
        <v>0.510413412475268</v>
      </c>
      <c r="AZ287" s="42" t="n">
        <f aca="false">IFERROR((AZ227-AU227)/(AZ178-AU178),"")</f>
        <v>0.468048744241343</v>
      </c>
      <c r="BA287" s="42" t="n">
        <f aca="false">IFERROR((BA227-AV227)/(BA178-AV178),"")</f>
        <v>0.429250720461095</v>
      </c>
      <c r="BB287" s="42" t="n">
        <f aca="false">IFERROR((BB227-AW227)/(BB178-AW178),"")</f>
        <v>0.515832054679872</v>
      </c>
      <c r="BC287" s="42" t="n">
        <f aca="false">IFERROR((BC227-AX227)/(BC178-AX178),"")</f>
        <v>0.271084337349398</v>
      </c>
      <c r="BD287" s="42" t="n">
        <f aca="false">IFERROR((BD227-AY227)/(BD178-AY178),"")</f>
        <v>0.442776735459662</v>
      </c>
      <c r="BE287" s="42" t="n">
        <f aca="false">IFERROR((BE227-AZ227)/(BE178-AZ178),"")</f>
        <v>0.230414746543779</v>
      </c>
      <c r="BF287" s="42" t="n">
        <f aca="false">IFERROR((BF227-BA227)/(BF178-BA178),"")</f>
        <v>0.192307692307692</v>
      </c>
      <c r="BG287" s="42" t="n">
        <f aca="false">IFERROR((BG227-BB227)/(BG178-BB178),"")</f>
        <v>0.186832740213523</v>
      </c>
      <c r="BH287" s="42" t="n">
        <f aca="false">IFERROR((BH227-BC227)/(BH178-BC178),"")</f>
        <v>0.396779758481886</v>
      </c>
      <c r="BI287" s="42" t="n">
        <f aca="false">IFERROR((BI227-BD227)/(BI178-BD178),"")</f>
        <v>0.526373028820011</v>
      </c>
      <c r="BJ287" s="42" t="n">
        <f aca="false">IFERROR((BJ227-BE227)/(BJ178-BE178),"")</f>
        <v>0.385483079941148</v>
      </c>
      <c r="BK287" s="42" t="n">
        <f aca="false">IFERROR((BK227-BF227)/(BK178-BF178),"")</f>
        <v>0.786008230452675</v>
      </c>
      <c r="BL287" s="42" t="n">
        <f aca="false">IFERROR((BL227-BG227)/(BL178-BG178),"")</f>
        <v>0.813294587722485</v>
      </c>
      <c r="BM287" s="42" t="n">
        <f aca="false">IFERROR((BM227-BH227)/(BM178-BH178),"")</f>
        <v>1.09150326797386</v>
      </c>
      <c r="BN287" s="42" t="n">
        <f aca="false">IFERROR((BN227-BI227)/(BN178-BI178),"")</f>
        <v>0.295857988165681</v>
      </c>
      <c r="BO287" s="42" t="n">
        <f aca="false">IFERROR((BO227-BJ227)/(BO178-BJ178),"")</f>
        <v>0.0114942528735632</v>
      </c>
      <c r="BP287" s="42" t="n">
        <f aca="false">IFERROR((BP227-BK227)/(BP178-BK178),"")</f>
        <v>1</v>
      </c>
      <c r="BQ287" s="42" t="n">
        <f aca="false">IFERROR((BQ227-BL227)/(BQ178-BL178),"")</f>
        <v>-2.06666666666667</v>
      </c>
      <c r="BR287" s="42" t="n">
        <f aca="false">IFERROR((BR227-BM227)/(BR178-BM178),"")</f>
        <v>0.781818181818182</v>
      </c>
      <c r="BS287" s="42" t="n">
        <f aca="false">IFERROR((BS227-BN227)/(BS178-BN178),"")</f>
        <v>0.284974093264249</v>
      </c>
      <c r="BT287" s="42" t="n">
        <f aca="false">IFERROR((BT227-BO227)/(BT178-BO178),"")</f>
        <v>0.415686274509804</v>
      </c>
      <c r="BU287" s="42" t="n">
        <f aca="false">IFERROR((BU227-BP227)/(BU178-BP178),"")</f>
        <v>0.0333333333333333</v>
      </c>
      <c r="BV287" s="42" t="n">
        <f aca="false">IFERROR((BV227-BQ227)/(BV178-BQ178),"")</f>
        <v>0.184704184704185</v>
      </c>
      <c r="BW287" s="42" t="n">
        <f aca="false">IFERROR((BW227-BR227)/(BW178-BR178),"")</f>
        <v>0.514285714285714</v>
      </c>
      <c r="BX287" s="42" t="n">
        <f aca="false">IFERROR((BX227-BS227)/(BX178-BS178),"")</f>
        <v>0.276595744680851</v>
      </c>
      <c r="BY287" s="26" t="n">
        <f aca="false">IFERROR((BY227-BT227)/(BY178-BT178),"")</f>
        <v>0.154848413207287</v>
      </c>
      <c r="BZ287" s="26" t="n">
        <f aca="false">IFERROR((BZ227-BU227)/(BZ178-BU178),"")</f>
        <v>0.533584791360514</v>
      </c>
      <c r="CA287" s="26" t="n">
        <f aca="false">IFERROR((CA227-BV227)/(CA178-BV178),"")</f>
        <v>0.376866112616655</v>
      </c>
      <c r="CB287" s="26" t="n">
        <f aca="false">IFERROR((CB227-CA227)/(CB178-CA178),"")</f>
        <v>0.33976424269011</v>
      </c>
      <c r="CC287" s="26" t="n">
        <f aca="false">IFERROR((CC227-CB227)/(CC178-CB178),"")</f>
        <v>0.417856789977363</v>
      </c>
      <c r="CD287" s="26" t="n">
        <f aca="false">IFERROR((CD227-CC227)/(CD178-CC178),"")</f>
        <v>0.41042669144669</v>
      </c>
      <c r="CE287" s="26" t="n">
        <f aca="false">IFERROR((CE227-CD227)/(CE178-CD178),"")</f>
        <v>0.40945887137344</v>
      </c>
      <c r="CF287" s="7"/>
    </row>
    <row r="288" customFormat="false" ht="15" hidden="false" customHeight="true" outlineLevel="0" collapsed="false">
      <c r="B288" s="27" t="s">
        <v>329</v>
      </c>
      <c r="C288" s="42" t="n">
        <f aca="false">IF(AND(ISNUMBER(C185),ISNUMBER(C178)),IFERROR(C185/C178,""),"")</f>
        <v>0.15849188155629</v>
      </c>
      <c r="D288" s="42" t="n">
        <f aca="false">IF(AND(ISNUMBER(D185),ISNUMBER(D178)),IFERROR(D185/D178,""),"")</f>
        <v>0.157873733663465</v>
      </c>
      <c r="E288" s="42" t="n">
        <f aca="false">IF(AND(ISNUMBER(E185),ISNUMBER(E178)),IFERROR(E185/E178,""),"")</f>
        <v>0.147233707422721</v>
      </c>
      <c r="F288" s="42" t="n">
        <f aca="false">IF(AND(ISNUMBER(F185),ISNUMBER(F178)),IFERROR(F185/F178,""),"")</f>
        <v>0.13790020474032</v>
      </c>
      <c r="G288" s="42" t="n">
        <f aca="false">IF(AND(ISNUMBER(G185),ISNUMBER(G178)),IFERROR(G185/G178,""),"")</f>
        <v>0.163314741035857</v>
      </c>
      <c r="H288" s="42" t="n">
        <f aca="false">IF(AND(ISNUMBER(H185),ISNUMBER(H178)),IFERROR(H185/H178,""),"")</f>
        <v>0.162654982753799</v>
      </c>
      <c r="I288" s="42" t="n">
        <f aca="false">IF(AND(ISNUMBER(I185),ISNUMBER(I178)),IFERROR(I185/I178,""),"")</f>
        <v>0.173331361854067</v>
      </c>
      <c r="J288" s="42" t="n">
        <f aca="false">IF(AND(ISNUMBER(J185),ISNUMBER(J178)),IFERROR(J185/J178,""),"")</f>
        <v>0.16444304452494</v>
      </c>
      <c r="K288" s="42" t="n">
        <f aca="false">IF(AND(ISNUMBER(K185),ISNUMBER(K178)),IFERROR(K185/K178,""),"")</f>
        <v>0.178068601583113</v>
      </c>
      <c r="L288" s="42" t="n">
        <f aca="false">IF(AND(ISNUMBER(L185),ISNUMBER(L178)),IFERROR(L185/L178,""),"")</f>
        <v>0.173994988327515</v>
      </c>
      <c r="M288" s="42" t="n">
        <f aca="false">IF(AND(ISNUMBER(M185),ISNUMBER(M178)),IFERROR(M185/M178,""),"")</f>
        <v>0.168606527806786</v>
      </c>
      <c r="N288" s="42" t="n">
        <f aca="false">IF(AND(ISNUMBER(N185),ISNUMBER(N178)),IFERROR(N185/N178,""),"")</f>
        <v>0.171299299089863</v>
      </c>
      <c r="O288" s="42" t="n">
        <f aca="false">IF(AND(ISNUMBER(O185),ISNUMBER(O178)),IFERROR(O185/O178,""),"")</f>
        <v>0.169193814742531</v>
      </c>
      <c r="P288" s="42" t="n">
        <f aca="false">IF(AND(ISNUMBER(P185),ISNUMBER(P178)),IFERROR(P185/P178,""),"")</f>
        <v>0.179164316222097</v>
      </c>
      <c r="Q288" s="42" t="n">
        <f aca="false">IF(AND(ISNUMBER(Q185),ISNUMBER(Q178)),IFERROR(Q185/Q178,""),"")</f>
        <v>0.184019884854794</v>
      </c>
      <c r="R288" s="42" t="n">
        <f aca="false">IF(AND(ISNUMBER(R185),ISNUMBER(R178)),IFERROR(R185/R178,""),"")</f>
        <v>0.16593928256958</v>
      </c>
      <c r="S288" s="42" t="n">
        <f aca="false">IF(AND(ISNUMBER(S185),ISNUMBER(S178)),IFERROR(S185/S178,""),"")</f>
        <v>0.174720684974418</v>
      </c>
      <c r="T288" s="42" t="n">
        <f aca="false">IF(AND(ISNUMBER(T185),ISNUMBER(T178)),IFERROR(T185/T178,""),"")</f>
        <v>0.160840948303406</v>
      </c>
      <c r="U288" s="42" t="n">
        <f aca="false">IF(AND(ISNUMBER(U185),ISNUMBER(U178)),IFERROR(U185/U178,""),"")</f>
        <v>0.18837950082658</v>
      </c>
      <c r="V288" s="42" t="n">
        <f aca="false">IF(AND(ISNUMBER(V185),ISNUMBER(V178)),IFERROR(V185/V178,""),"")</f>
        <v>0.136666476852115</v>
      </c>
      <c r="W288" s="42" t="n">
        <f aca="false">IF(AND(ISNUMBER(W185),ISNUMBER(W178)),IFERROR(W185/W178,""),"")</f>
        <v>0.150728660652325</v>
      </c>
      <c r="X288" s="42" t="n">
        <f aca="false">IF(AND(ISNUMBER(X185),ISNUMBER(X178)),IFERROR(X185/X178,""),"")</f>
        <v>0.149802199020348</v>
      </c>
      <c r="Y288" s="42" t="n">
        <f aca="false">IF(AND(ISNUMBER(Y185),ISNUMBER(Y178)),IFERROR(Y185/Y178,""),"")</f>
        <v>0.156239647307663</v>
      </c>
      <c r="Z288" s="42" t="n">
        <f aca="false">IF(AND(ISNUMBER(Z185),ISNUMBER(Z178)),IFERROR(Z185/Z178,""),"")</f>
        <v>0.167401400315896</v>
      </c>
      <c r="AA288" s="42" t="n">
        <f aca="false">IF(AND(ISNUMBER(AA185),ISNUMBER(AA178)),IFERROR(AA185/AA178,""),"")</f>
        <v>0.169187580165049</v>
      </c>
      <c r="AB288" s="42" t="n">
        <f aca="false">IF(AND(ISNUMBER(AB185),ISNUMBER(AB178)),IFERROR(AB185/AB178,""),"")</f>
        <v>0.158933752154091</v>
      </c>
      <c r="AC288" s="42" t="n">
        <f aca="false">IF(AND(ISNUMBER(AC185),ISNUMBER(AC178)),IFERROR(AC185/AC178,""),"")</f>
        <v>0.162944841965597</v>
      </c>
      <c r="AD288" s="42" t="n">
        <f aca="false">IF(AND(ISNUMBER(AD185),ISNUMBER(AD178)),IFERROR(AD185/AD178,""),"")</f>
        <v>0.146705661364339</v>
      </c>
      <c r="AE288" s="42" t="n">
        <f aca="false">IF(AND(ISNUMBER(AE185),ISNUMBER(AE178)),IFERROR(AE185/AE178,""),"")</f>
        <v>0.150041019046141</v>
      </c>
      <c r="AF288" s="42" t="n">
        <f aca="false">IF(AND(ISNUMBER(AF185),ISNUMBER(AF178)),IFERROR(AF185/AF178,""),"")</f>
        <v>0.167660439026545</v>
      </c>
      <c r="AG288" s="42" t="n">
        <f aca="false">IF(AND(ISNUMBER(AG185),ISNUMBER(AG178)),IFERROR(AG185/AG178,""),"")</f>
        <v>0.184340405450577</v>
      </c>
      <c r="AH288" s="42" t="n">
        <f aca="false">IF(AND(ISNUMBER(AH185),ISNUMBER(AH178)),IFERROR(AH185/AH178,""),"")</f>
        <v>0.163145059657278</v>
      </c>
      <c r="AI288" s="42" t="n">
        <f aca="false">IF(AND(ISNUMBER(AI185),ISNUMBER(AI178)),IFERROR(AI185/AI178,""),"")</f>
        <v>0.158239979554457</v>
      </c>
      <c r="AJ288" s="42" t="n">
        <f aca="false">IF(AND(ISNUMBER(AJ185),ISNUMBER(AJ178)),IFERROR(AJ185/AJ178,""),"")</f>
        <v>0.174161814896607</v>
      </c>
      <c r="AK288" s="42" t="n">
        <f aca="false">IF(AND(ISNUMBER(AK185),ISNUMBER(AK178)),IFERROR(AK185/AK178,""),"")</f>
        <v>0.171168943561847</v>
      </c>
      <c r="AL288" s="42" t="n">
        <f aca="false">IF(AND(ISNUMBER(AL185),ISNUMBER(AL178)),IFERROR(AL185/AL178,""),"")</f>
        <v>0.187512216310131</v>
      </c>
      <c r="AM288" s="42" t="n">
        <f aca="false">IF(AND(ISNUMBER(AM185),ISNUMBER(AM178)),IFERROR(AM185/AM178,""),"")</f>
        <v>0.179200516174443</v>
      </c>
      <c r="AN288" s="42" t="n">
        <f aca="false">IF(AND(ISNUMBER(AN185),ISNUMBER(AN178)),IFERROR(AN185/AN178,""),"")</f>
        <v>0.170536941377186</v>
      </c>
      <c r="AO288" s="42" t="n">
        <f aca="false">IF(AND(ISNUMBER(AO185),ISNUMBER(AO178)),IFERROR(AO185/AO178,""),"")</f>
        <v>0.182630217122286</v>
      </c>
      <c r="AP288" s="42" t="n">
        <f aca="false">IF(AND(ISNUMBER(AP185),ISNUMBER(AP178)),IFERROR(AP185/AP178,""),"")</f>
        <v>0.177318410232983</v>
      </c>
      <c r="AQ288" s="42" t="n">
        <f aca="false">IF(AND(ISNUMBER(AQ185),ISNUMBER(AQ178)),IFERROR(AQ185/AQ178,""),"")</f>
        <v>0.197539232602087</v>
      </c>
      <c r="AR288" s="42" t="n">
        <f aca="false">IF(AND(ISNUMBER(AR185),ISNUMBER(AR178)),IFERROR(AR185/AR178,""),"")</f>
        <v>0.182534852689115</v>
      </c>
      <c r="AS288" s="42" t="n">
        <f aca="false">IF(AND(ISNUMBER(AS185),ISNUMBER(AS178)),IFERROR(AS185/AS178,""),"")</f>
        <v>0.160599571734475</v>
      </c>
      <c r="AT288" s="42" t="n">
        <f aca="false">IF(AND(ISNUMBER(AT185),ISNUMBER(AT178)),IFERROR(AT185/AT178,""),"")</f>
        <v>0.15943670479858</v>
      </c>
      <c r="AU288" s="42" t="n">
        <f aca="false">IF(AND(ISNUMBER(AU185),ISNUMBER(AU178)),IFERROR(AU185/AU178,""),"")</f>
        <v>0.184865379385368</v>
      </c>
      <c r="AV288" s="42" t="n">
        <f aca="false">IF(AND(ISNUMBER(AV185),ISNUMBER(AV178)),IFERROR(AV185/AV178,""),"")</f>
        <v>0.236834319526627</v>
      </c>
      <c r="AW288" s="42" t="n">
        <f aca="false">IF(AND(ISNUMBER(AW185),ISNUMBER(AW178)),IFERROR(AW185/AW178,""),"")</f>
        <v>0.189867169269431</v>
      </c>
      <c r="AX288" s="42" t="n">
        <f aca="false">IF(AND(ISNUMBER(AX185),ISNUMBER(AX178)),IFERROR(AX185/AX178,""),"")</f>
        <v>0.29119276757072</v>
      </c>
      <c r="AY288" s="42" t="n">
        <f aca="false">IF(AND(ISNUMBER(AY185),ISNUMBER(AY178)),IFERROR(AY185/AY178,""),"")</f>
        <v>0.277777777777778</v>
      </c>
      <c r="AZ288" s="42" t="n">
        <f aca="false">IF(AND(ISNUMBER(AZ185),ISNUMBER(AZ178)),IFERROR(AZ185/AZ178,""),"")</f>
        <v>0.181076220777424</v>
      </c>
      <c r="BA288" s="42" t="n">
        <f aca="false">IF(AND(ISNUMBER(BA185),ISNUMBER(BA178)),IFERROR(BA185/BA178,""),"")</f>
        <v>0.264359351988218</v>
      </c>
      <c r="BB288" s="42" t="n">
        <f aca="false">IF(AND(ISNUMBER(BB185),ISNUMBER(BB178)),IFERROR(BB185/BB178,""),"")</f>
        <v>0.253454656571487</v>
      </c>
      <c r="BC288" s="42" t="n">
        <f aca="false">IF(AND(ISNUMBER(BC185),ISNUMBER(BC178)),IFERROR(BC185/BC178,""),"")</f>
        <v>0.282518210197711</v>
      </c>
      <c r="BD288" s="42" t="n">
        <f aca="false">IF(AND(ISNUMBER(BD185),ISNUMBER(BD178)),IFERROR(BD185/BD178,""),"")</f>
        <v>0.284479422010063</v>
      </c>
      <c r="BE288" s="42" t="n">
        <f aca="false">IF(AND(ISNUMBER(BE185),ISNUMBER(BE178)),IFERROR(BE185/BE178,""),"")</f>
        <v>0.2629518465353</v>
      </c>
      <c r="BF288" s="42" t="n">
        <f aca="false">IF(AND(ISNUMBER(BF185),ISNUMBER(BF178)),IFERROR(BF185/BF178,""),"")</f>
        <v>0.279927109615924</v>
      </c>
      <c r="BG288" s="42" t="n">
        <f aca="false">IF(AND(ISNUMBER(BG185),ISNUMBER(BG178)),IFERROR(BG185/BG178,""),"")</f>
        <v>0.282851030289382</v>
      </c>
      <c r="BH288" s="42" t="n">
        <f aca="false">IF(AND(ISNUMBER(BH185),ISNUMBER(BH178)),IFERROR(BH185/BH178,""),"")</f>
        <v>0.255000840477391</v>
      </c>
      <c r="BI288" s="42" t="n">
        <f aca="false">IF(AND(ISNUMBER(BI185),ISNUMBER(BI178)),IFERROR(BI185/BI178,""),"")</f>
        <v>0.196718538565629</v>
      </c>
      <c r="BJ288" s="42" t="n">
        <f aca="false">IF(AND(ISNUMBER(BJ185),ISNUMBER(BJ178)),IFERROR(BJ185/BJ178,""),"")</f>
        <v>0.210704125177809</v>
      </c>
      <c r="BK288" s="42" t="n">
        <f aca="false">IF(AND(ISNUMBER(BK185),ISNUMBER(BK178)),IFERROR(BK185/BK178,""),"")</f>
        <v>0.208743169398907</v>
      </c>
      <c r="BL288" s="42" t="n">
        <f aca="false">IF(AND(ISNUMBER(BL185),ISNUMBER(BL178)),IFERROR(BL185/BL178,""),"")</f>
        <v>0.217748011720385</v>
      </c>
      <c r="BM288" s="42" t="n">
        <f aca="false">IF(AND(ISNUMBER(BM185),ISNUMBER(BM178)),IFERROR(BM185/BM178,""),"")</f>
        <v>0.226363008971705</v>
      </c>
      <c r="BN288" s="42" t="n">
        <f aca="false">IF(AND(ISNUMBER(BN185),ISNUMBER(BN178)),IFERROR(BN185/BN178,""),"")</f>
        <v>0.203378025422253</v>
      </c>
      <c r="BO288" s="42" t="n">
        <f aca="false">IF(AND(ISNUMBER(BO185),ISNUMBER(BO178)),IFERROR(BO185/BO178,""),"")</f>
        <v>0.165229389444636</v>
      </c>
      <c r="BP288" s="42" t="n">
        <f aca="false">IF(AND(ISNUMBER(BP185),ISNUMBER(BP178)),IFERROR(BP185/BP178,""),"")</f>
        <v>0.217956561639645</v>
      </c>
      <c r="BQ288" s="42" t="n">
        <f aca="false">IF(AND(ISNUMBER(BQ185),ISNUMBER(BQ178)),IFERROR(BQ185/BQ178,""),"")</f>
        <v>0.203685863874346</v>
      </c>
      <c r="BR288" s="42" t="n">
        <f aca="false">IF(AND(ISNUMBER(BR185),ISNUMBER(BR178)),IFERROR(BR185/BR178,""),"")</f>
        <v>0.221912558787668</v>
      </c>
      <c r="BS288" s="42" t="n">
        <f aca="false">IF(AND(ISNUMBER(BS185),ISNUMBER(BS178)),IFERROR(BS185/BS178,""),"")</f>
        <v>0.128032345013477</v>
      </c>
      <c r="BT288" s="42" t="n">
        <f aca="false">IF(AND(ISNUMBER(BT185),ISNUMBER(BT178)),IFERROR(BT185/BT178,""),"")</f>
        <v>0.190649264827358</v>
      </c>
      <c r="BU288" s="42" t="n">
        <f aca="false">IF(AND(ISNUMBER(BU185),ISNUMBER(BU178)),IFERROR(BU185/BU178,""),"")</f>
        <v>0.219654869844984</v>
      </c>
      <c r="BV288" s="42" t="n">
        <f aca="false">IF(AND(ISNUMBER(BV185),ISNUMBER(BV178)),IFERROR(BV185/BV178,""),"")</f>
        <v>0.190898730055357</v>
      </c>
      <c r="BW288" s="42" t="n">
        <f aca="false">IF(AND(ISNUMBER(BW185),ISNUMBER(BW178)),IFERROR(BW185/BW178,""),"")</f>
        <v>0.225844395899849</v>
      </c>
      <c r="BX288" s="42" t="n">
        <f aca="false">IF(AND(ISNUMBER(BX185),ISNUMBER(BX178)),IFERROR(BX185/BX178,""),"")</f>
        <v>0.179888268156425</v>
      </c>
      <c r="BY288" s="26" t="n">
        <f aca="false">IF(AND(ISNUMBER(BY185),ISNUMBER(BY178)),IFERROR(BY185/BY178,""),"")</f>
        <v>0.184913607654238</v>
      </c>
      <c r="BZ288" s="26" t="n">
        <f aca="false">IF(AND(ISNUMBER(BZ185),ISNUMBER(BZ178)),IFERROR(BZ185/BZ178,""),"")</f>
        <v>0.237844708941479</v>
      </c>
      <c r="CA288" s="26" t="n">
        <f aca="false">IF(AND(ISNUMBER(CA185),ISNUMBER(CA178)),IFERROR(CA185/CA178,""),"")</f>
        <v>0.208227801212576</v>
      </c>
      <c r="CB288" s="26" t="n">
        <f aca="false">IF(AND(ISNUMBER(CB185),ISNUMBER(CB178)),IFERROR(CB185/CB178,""),"")</f>
        <v>0.222644754925316</v>
      </c>
      <c r="CC288" s="26" t="n">
        <f aca="false">IF(AND(ISNUMBER(CC185),ISNUMBER(CC178)),IFERROR(CC185/CC178,""),"")</f>
        <v>0.231445469585076</v>
      </c>
      <c r="CD288" s="26" t="n">
        <f aca="false">IF(AND(ISNUMBER(CD185),ISNUMBER(CD178)),IFERROR(CD185/CD178,""),"")</f>
        <v>0.239423342818468</v>
      </c>
      <c r="CE288" s="26" t="n">
        <f aca="false">IF(AND(ISNUMBER(CE185),ISNUMBER(CE178)),IFERROR(CE185/CE178,""),"")</f>
        <v>0.252449713840586</v>
      </c>
      <c r="CF288" s="7"/>
      <c r="CH288" s="32" t="n">
        <f aca="false">IFERROR(AVERAGE(CA288,CB288,CC288,CD288,CE288),"n/m")</f>
        <v>0.230838216476404</v>
      </c>
      <c r="CI288" s="32" t="n">
        <f aca="false">IFERROR(AVERAGE(BB288,BG288,BL288,BQ288,BV288),"n/m")</f>
        <v>0.229727658502191</v>
      </c>
      <c r="CJ288" s="32" t="n">
        <f aca="false">IFERROR(AVERAGE(AC288,AH288,AM288,AR288,AW288,BB288,BG288,BL288,BQ288,BV288),"n/m")</f>
        <v>0.202633073226682</v>
      </c>
      <c r="CK288" s="32" t="n">
        <f aca="false">IFERROR(AVERAGE(C288,D288,E288,F288,G288,H288,I288,N288,S288,X288,AC288,AH288,AM288,AR288,AW288,BB288,BG288,BL288,BQ288,BV288),"n/m")</f>
        <v>0.181147676418898</v>
      </c>
    </row>
    <row r="289" customFormat="false" ht="15" hidden="false" customHeight="true" outlineLevel="0" collapsed="false">
      <c r="B289" s="27" t="s">
        <v>452</v>
      </c>
      <c r="C289" s="42" t="n">
        <f aca="false">IF(AND(ISNUMBER(C203),ISNUMBER(C178)),IFERROR(C203/C178,""),"")</f>
        <v>0.117186592155164</v>
      </c>
      <c r="D289" s="42" t="n">
        <f aca="false">IF(AND(ISNUMBER(D203),ISNUMBER(D178)),IFERROR(D203/D178,""),"")</f>
        <v>0.110104390571291</v>
      </c>
      <c r="E289" s="42" t="n">
        <f aca="false">IF(AND(ISNUMBER(E203),ISNUMBER(E178)),IFERROR(E203/E178,""),"")</f>
        <v>0.103768458357944</v>
      </c>
      <c r="F289" s="42" t="n">
        <f aca="false">IF(AND(ISNUMBER(F203),ISNUMBER(F178)),IFERROR(F203/F178,""),"")</f>
        <v>0.102960241039258</v>
      </c>
      <c r="G289" s="42" t="n">
        <f aca="false">IF(AND(ISNUMBER(G203),ISNUMBER(G178)),IFERROR(G203/G178,""),"")</f>
        <v>0.136900398406375</v>
      </c>
      <c r="H289" s="42" t="n">
        <f aca="false">IF(AND(ISNUMBER(H203),ISNUMBER(H178)),IFERROR(H203/H178,""),"")</f>
        <v>0.120269724371524</v>
      </c>
      <c r="I289" s="42" t="n">
        <f aca="false">IF(AND(ISNUMBER(I203),ISNUMBER(I178)),IFERROR(I203/I178,""),"")</f>
        <v>0.125917285492103</v>
      </c>
      <c r="J289" s="42" t="n">
        <f aca="false">IF(AND(ISNUMBER(J203),ISNUMBER(J178)),IFERROR(J203/J178,""),"")</f>
        <v>0.155668549058429</v>
      </c>
      <c r="K289" s="42" t="n">
        <f aca="false">IF(AND(ISNUMBER(K203),ISNUMBER(K178)),IFERROR(K203/K178,""),"")</f>
        <v>0.130195250659631</v>
      </c>
      <c r="L289" s="42" t="n">
        <f aca="false">IF(AND(ISNUMBER(L203),ISNUMBER(L178)),IFERROR(L203/L178,""),"")</f>
        <v>0.127861900580412</v>
      </c>
      <c r="M289" s="42" t="n">
        <f aca="false">IF(AND(ISNUMBER(M203),ISNUMBER(M178)),IFERROR(M203/M178,""),"")</f>
        <v>0.149866140087721</v>
      </c>
      <c r="N289" s="42" t="n">
        <f aca="false">IF(AND(ISNUMBER(N203),ISNUMBER(N178)),IFERROR(N203/N178,""),"")</f>
        <v>0.1409666283084</v>
      </c>
      <c r="O289" s="42" t="n">
        <f aca="false">IF(AND(ISNUMBER(O203),ISNUMBER(O178)),IFERROR(O203/O178,""),"")</f>
        <v>0.124327106612049</v>
      </c>
      <c r="P289" s="42" t="n">
        <f aca="false">IF(AND(ISNUMBER(P203),ISNUMBER(P178)),IFERROR(P203/P178,""),"")</f>
        <v>0.136272060601177</v>
      </c>
      <c r="Q289" s="42" t="n">
        <f aca="false">IF(AND(ISNUMBER(Q203),ISNUMBER(Q178)),IFERROR(Q203/Q178,""),"")</f>
        <v>0.144738798835801</v>
      </c>
      <c r="R289" s="42" t="n">
        <f aca="false">IF(AND(ISNUMBER(R203),ISNUMBER(R178)),IFERROR(R203/R178,""),"")</f>
        <v>0.124344397228284</v>
      </c>
      <c r="S289" s="42" t="n">
        <f aca="false">IF(AND(ISNUMBER(S203),ISNUMBER(S178)),IFERROR(S203/S178,""),"")</f>
        <v>0.132771222721103</v>
      </c>
      <c r="T289" s="42" t="n">
        <f aca="false">IF(AND(ISNUMBER(T203),ISNUMBER(T178)),IFERROR(T203/T178,""),"")</f>
        <v>0.118857434979871</v>
      </c>
      <c r="U289" s="42" t="n">
        <f aca="false">IF(AND(ISNUMBER(U203),ISNUMBER(U178)),IFERROR(U203/U178,""),"")</f>
        <v>0.14424821579775</v>
      </c>
      <c r="V289" s="42" t="n">
        <f aca="false">IF(AND(ISNUMBER(V203),ISNUMBER(V178)),IFERROR(V203/V178,""),"")</f>
        <v>0.108165821991914</v>
      </c>
      <c r="W289" s="42" t="n">
        <f aca="false">IF(AND(ISNUMBER(W203),ISNUMBER(W178)),IFERROR(W203/W178,""),"")</f>
        <v>0.120518158686098</v>
      </c>
      <c r="X289" s="42" t="n">
        <f aca="false">IF(AND(ISNUMBER(X203),ISNUMBER(X178)),IFERROR(X203/X178,""),"")</f>
        <v>0.121015401456314</v>
      </c>
      <c r="Y289" s="42" t="n">
        <f aca="false">IF(AND(ISNUMBER(Y203),ISNUMBER(Y178)),IFERROR(Y203/Y178,""),"")</f>
        <v>0.149282638057134</v>
      </c>
      <c r="Z289" s="42" t="n">
        <f aca="false">IF(AND(ISNUMBER(Z203),ISNUMBER(Z178)),IFERROR(Z203/Z178,""),"")</f>
        <v>0.0985407482496051</v>
      </c>
      <c r="AA289" s="42" t="n">
        <f aca="false">IF(AND(ISNUMBER(AA203),ISNUMBER(AA178)),IFERROR(AA203/AA178,""),"")</f>
        <v>0.0974322983470875</v>
      </c>
      <c r="AB289" s="42" t="n">
        <f aca="false">IF(AND(ISNUMBER(AB203),ISNUMBER(AB178)),IFERROR(AB203/AB178,""),"")</f>
        <v>0.162947451083044</v>
      </c>
      <c r="AC289" s="42" t="n">
        <f aca="false">IF(AND(ISNUMBER(AC203),ISNUMBER(AC178)),IFERROR(AC203/AC178,""),"")</f>
        <v>0.127552954556224</v>
      </c>
      <c r="AD289" s="42" t="n">
        <f aca="false">IF(AND(ISNUMBER(AD203),ISNUMBER(AD178)),IFERROR(AD203/AD178,""),"")</f>
        <v>0.11503435813301</v>
      </c>
      <c r="AE289" s="42" t="n">
        <f aca="false">IF(AND(ISNUMBER(AE203),ISNUMBER(AE178)),IFERROR(AE203/AE178,""),"")</f>
        <v>0.123567104942241</v>
      </c>
      <c r="AF289" s="42" t="n">
        <f aca="false">IF(AND(ISNUMBER(AF203),ISNUMBER(AF178)),IFERROR(AF203/AF178,""),"")</f>
        <v>0.126341592685835</v>
      </c>
      <c r="AG289" s="42" t="n">
        <f aca="false">IF(AND(ISNUMBER(AG203),ISNUMBER(AG178)),IFERROR(AG203/AG178,""),"")</f>
        <v>0.168433057396229</v>
      </c>
      <c r="AH289" s="42" t="n">
        <f aca="false">IF(AND(ISNUMBER(AH203),ISNUMBER(AH178)),IFERROR(AH203/AH178,""),"")</f>
        <v>0.134743067262421</v>
      </c>
      <c r="AI289" s="42" t="n">
        <f aca="false">IF(AND(ISNUMBER(AI203),ISNUMBER(AI178)),IFERROR(AI203/AI178,""),"")</f>
        <v>0.120671295310304</v>
      </c>
      <c r="AJ289" s="42" t="n">
        <f aca="false">IF(AND(ISNUMBER(AJ203),ISNUMBER(AJ178)),IFERROR(AJ203/AJ178,""),"")</f>
        <v>0.135274041357157</v>
      </c>
      <c r="AK289" s="42" t="n">
        <f aca="false">IF(AND(ISNUMBER(AK203),ISNUMBER(AK178)),IFERROR(AK203/AK178,""),"")</f>
        <v>0.136757948527745</v>
      </c>
      <c r="AL289" s="42" t="n">
        <f aca="false">IF(AND(ISNUMBER(AL203),ISNUMBER(AL178)),IFERROR(AL203/AL178,""),"")</f>
        <v>0.148506895428385</v>
      </c>
      <c r="AM289" s="42" t="n">
        <f aca="false">IF(AND(ISNUMBER(AM203),ISNUMBER(AM178)),IFERROR(AM203/AM178,""),"")</f>
        <v>0.141144382203713</v>
      </c>
      <c r="AN289" s="42" t="n">
        <f aca="false">IF(AND(ISNUMBER(AN203),ISNUMBER(AN178)),IFERROR(AN203/AN178,""),"")</f>
        <v>0.0772001326951329</v>
      </c>
      <c r="AO289" s="42" t="n">
        <f aca="false">IF(AND(ISNUMBER(AO203),ISNUMBER(AO178)),IFERROR(AO203/AO178,""),"")</f>
        <v>0.147080661491731</v>
      </c>
      <c r="AP289" s="42" t="n">
        <f aca="false">IF(AND(ISNUMBER(AP203),ISNUMBER(AP178)),IFERROR(AP203/AP178,""),"")</f>
        <v>0.138236637734125</v>
      </c>
      <c r="AQ289" s="42" t="n">
        <f aca="false">IF(AND(ISNUMBER(AQ203),ISNUMBER(AQ178)),IFERROR(AQ203/AQ178,""),"")</f>
        <v>0.158840686878646</v>
      </c>
      <c r="AR289" s="42" t="n">
        <f aca="false">IF(AND(ISNUMBER(AR203),ISNUMBER(AR178)),IFERROR(AR203/AR178,""),"")</f>
        <v>0.131979610409188</v>
      </c>
      <c r="AS289" s="42" t="n">
        <f aca="false">IF(AND(ISNUMBER(AS203),ISNUMBER(AS178)),IFERROR(AS203/AS178,""),"")</f>
        <v>0.132509037323571</v>
      </c>
      <c r="AT289" s="42" t="n">
        <f aca="false">IF(AND(ISNUMBER(AT203),ISNUMBER(AT178)),IFERROR(AT203/AT178,""),"")</f>
        <v>0.168516630800015</v>
      </c>
      <c r="AU289" s="42" t="n">
        <f aca="false">IF(AND(ISNUMBER(AU203),ISNUMBER(AU178)),IFERROR(AU203/AU178,""),"")</f>
        <v>0.143187381017134</v>
      </c>
      <c r="AV289" s="42" t="n">
        <f aca="false">IF(AND(ISNUMBER(AV203),ISNUMBER(AV178)),IFERROR(AV203/AV178,""),"")</f>
        <v>0.177514792899408</v>
      </c>
      <c r="AW289" s="42" t="n">
        <f aca="false">IF(AND(ISNUMBER(AW203),ISNUMBER(AW178)),IFERROR(AW203/AW178,""),"")</f>
        <v>0.15751211631664</v>
      </c>
      <c r="AX289" s="42" t="n">
        <f aca="false">IF(AND(ISNUMBER(AX203),ISNUMBER(AX178)),IFERROR(AX203/AX178,""),"")</f>
        <v>0.242198891805191</v>
      </c>
      <c r="AY289" s="42" t="n">
        <f aca="false">IF(AND(ISNUMBER(AY203),ISNUMBER(AY178)),IFERROR(AY203/AY178,""),"")</f>
        <v>0.229703518980327</v>
      </c>
      <c r="AZ289" s="42" t="n">
        <f aca="false">IF(AND(ISNUMBER(AZ203),ISNUMBER(AZ178)),IFERROR(AZ203/AZ178,""),"")</f>
        <v>0.154516530640476</v>
      </c>
      <c r="BA289" s="42" t="n">
        <f aca="false">IF(AND(ISNUMBER(BA203),ISNUMBER(BA178)),IFERROR(BA203/BA178,""),"")</f>
        <v>0.214408443789887</v>
      </c>
      <c r="BB289" s="42" t="n">
        <f aca="false">IF(AND(ISNUMBER(BB203),ISNUMBER(BB178)),IFERROR(BB203/BB178,""),"")</f>
        <v>0.20992768139069</v>
      </c>
      <c r="BC289" s="42" t="n">
        <f aca="false">IF(AND(ISNUMBER(BC203),ISNUMBER(BC178)),IFERROR(BC203/BC178,""),"")</f>
        <v>0.219042663891779</v>
      </c>
      <c r="BD289" s="42" t="n">
        <f aca="false">IF(AND(ISNUMBER(BD203),ISNUMBER(BD178)),IFERROR(BD203/BD178,""),"")</f>
        <v>0.213907882853825</v>
      </c>
      <c r="BE289" s="42" t="n">
        <f aca="false">IF(AND(ISNUMBER(BE203),ISNUMBER(BE178)),IFERROR(BE203/BE178,""),"")</f>
        <v>0.20240114837531</v>
      </c>
      <c r="BF289" s="42" t="n">
        <f aca="false">IF(AND(ISNUMBER(BF203),ISNUMBER(BF178)),IFERROR(BF203/BF178,""),"")</f>
        <v>0.278945892907205</v>
      </c>
      <c r="BG289" s="42" t="n">
        <f aca="false">IF(AND(ISNUMBER(BG203),ISNUMBER(BG178)),IFERROR(BG203/BG178,""),"")</f>
        <v>0.233532259880644</v>
      </c>
      <c r="BH289" s="42" t="n">
        <f aca="false">IF(AND(ISNUMBER(BH203),ISNUMBER(BH178)),IFERROR(BH203/BH178,""),"")</f>
        <v>0.204908387964364</v>
      </c>
      <c r="BI289" s="42" t="n">
        <f aca="false">IF(AND(ISNUMBER(BI203),ISNUMBER(BI178)),IFERROR(BI203/BI178,""),"")</f>
        <v>0.155615696887686</v>
      </c>
      <c r="BJ289" s="42" t="n">
        <f aca="false">IF(AND(ISNUMBER(BJ203),ISNUMBER(BJ178)),IFERROR(BJ203/BJ178,""),"")</f>
        <v>0.167140825035562</v>
      </c>
      <c r="BK289" s="42" t="n">
        <f aca="false">IF(AND(ISNUMBER(BK203),ISNUMBER(BK178)),IFERROR(BK203/BK178,""),"")</f>
        <v>0.175019516003123</v>
      </c>
      <c r="BL289" s="42" t="n">
        <f aca="false">IF(AND(ISNUMBER(BL203),ISNUMBER(BL178)),IFERROR(BL203/BL178,""),"")</f>
        <v>0.175805776475513</v>
      </c>
      <c r="BM289" s="42" t="n">
        <f aca="false">IF(AND(ISNUMBER(BM203),ISNUMBER(BM178)),IFERROR(BM203/BM178,""),"")</f>
        <v>0.187715665976536</v>
      </c>
      <c r="BN289" s="42" t="n">
        <f aca="false">IF(AND(ISNUMBER(BN203),ISNUMBER(BN178)),IFERROR(BN203/BN178,""),"")</f>
        <v>0.157931394741424</v>
      </c>
      <c r="BO289" s="42" t="n">
        <f aca="false">IF(AND(ISNUMBER(BO203),ISNUMBER(BO178)),IFERROR(BO203/BO178,""),"")</f>
        <v>0.141083132114522</v>
      </c>
      <c r="BP289" s="42" t="n">
        <f aca="false">IF(AND(ISNUMBER(BP203),ISNUMBER(BP178)),IFERROR(BP203/BP178,""),"")</f>
        <v>0.166105842765372</v>
      </c>
      <c r="BQ289" s="42" t="n">
        <f aca="false">IF(AND(ISNUMBER(BQ203),ISNUMBER(BQ178)),IFERROR(BQ203/BQ178,""),"")</f>
        <v>0.16330890052356</v>
      </c>
      <c r="BR289" s="42" t="n">
        <f aca="false">IF(AND(ISNUMBER(BR203),ISNUMBER(BR178)),IFERROR(BR203/BR178,""),"")</f>
        <v>0.166173140567845</v>
      </c>
      <c r="BS289" s="42" t="n">
        <f aca="false">IF(AND(ISNUMBER(BS203),ISNUMBER(BS178)),IFERROR(BS203/BS178,""),"")</f>
        <v>0.0934973045822102</v>
      </c>
      <c r="BT289" s="42" t="n">
        <f aca="false">IF(AND(ISNUMBER(BT203),ISNUMBER(BT178)),IFERROR(BT203/BT178,""),"")</f>
        <v>0.15000826036676</v>
      </c>
      <c r="BU289" s="42" t="n">
        <f aca="false">IF(AND(ISNUMBER(BU203),ISNUMBER(BU178)),IFERROR(BU203/BU178,""),"")</f>
        <v>0.173003802281369</v>
      </c>
      <c r="BV289" s="42" t="n">
        <f aca="false">IF(AND(ISNUMBER(BV203),ISNUMBER(BV178)),IFERROR(BV203/BV178,""),"")</f>
        <v>0.146532074242918</v>
      </c>
      <c r="BW289" s="42" t="n">
        <f aca="false">IF(AND(ISNUMBER(BW203),ISNUMBER(BW178)),IFERROR(BW203/BW178,""),"")</f>
        <v>0.172912115610822</v>
      </c>
      <c r="BX289" s="42" t="n">
        <f aca="false">IF(AND(ISNUMBER(BX203),ISNUMBER(BX178)),IFERROR(BX203/BX178,""),"")</f>
        <v>0.138866719872306</v>
      </c>
      <c r="BY289" s="26" t="n">
        <f aca="false">IF(AND(ISNUMBER(BY203),ISNUMBER(BY178)),IFERROR(BY203/BY178,""),"")</f>
        <v>0.139981470646747</v>
      </c>
      <c r="BZ289" s="26" t="n">
        <f aca="false">IF(AND(ISNUMBER(BZ203),ISNUMBER(BZ178)),IFERROR(BZ203/BZ178,""),"")</f>
        <v>0.185722252965115</v>
      </c>
      <c r="CA289" s="26" t="n">
        <f aca="false">IF(AND(ISNUMBER(CA203),ISNUMBER(CA178)),IFERROR(CA203/CA178,""),"")</f>
        <v>0.160343801828442</v>
      </c>
      <c r="CB289" s="26" t="n">
        <f aca="false">IF(AND(ISNUMBER(CB203),ISNUMBER(CB178)),IFERROR(CB203/CB178,""),"")</f>
        <v>0.172985639552296</v>
      </c>
      <c r="CC289" s="26" t="n">
        <f aca="false">IF(AND(ISNUMBER(CC203),ISNUMBER(CC178)),IFERROR(CC203/CC178,""),"")</f>
        <v>0.182299639892084</v>
      </c>
      <c r="CD289" s="26" t="n">
        <f aca="false">IF(AND(ISNUMBER(CD203),ISNUMBER(CD178)),IFERROR(CD203/CD178,""),"")</f>
        <v>0.187488463936939</v>
      </c>
      <c r="CE289" s="26" t="n">
        <f aca="false">IF(AND(ISNUMBER(CE203),ISNUMBER(CE178)),IFERROR(CE203/CE178,""),"")</f>
        <v>0.197468593878153</v>
      </c>
      <c r="CF289" s="7"/>
      <c r="CH289" s="32" t="n">
        <f aca="false">IFERROR(AVERAGE(CA289,CB289,CC289,CD289,CE289),"n/m")</f>
        <v>0.180117227817583</v>
      </c>
      <c r="CI289" s="32" t="n">
        <f aca="false">IFERROR(AVERAGE(BB289,BG289,BL289,BQ289,BV289),"n/m")</f>
        <v>0.185821338502665</v>
      </c>
      <c r="CJ289" s="32" t="n">
        <f aca="false">IFERROR(AVERAGE(AC289,AH289,AM289,AR289,AW289,BB289,BG289,BL289,BQ289,BV289),"n/m")</f>
        <v>0.162203882326151</v>
      </c>
      <c r="CK289" s="32" t="n">
        <f aca="false">IFERROR(AVERAGE(C289,D289,E289,F289,G289,H289,I289,N289,S289,X289,AC289,AH289,AM289,AR289,AW289,BB289,BG289,BL289,BQ289,BV289),"n/m")</f>
        <v>0.141694958307049</v>
      </c>
    </row>
    <row r="290" customFormat="false" ht="15" hidden="false" customHeight="true" outlineLevel="0" collapsed="false">
      <c r="B290" s="27" t="s">
        <v>453</v>
      </c>
      <c r="C290" s="42" t="n">
        <f aca="false">IF(AND(ISNUMBER(C182),ISNUMBER(C178)),IFERROR(C182/C178,""),"")</f>
        <v>0.240141135208798</v>
      </c>
      <c r="D290" s="42" t="n">
        <f aca="false">IF(AND(ISNUMBER(D182),ISNUMBER(D178)),IFERROR(D182/D178,""),"")</f>
        <v>0.246066080773452</v>
      </c>
      <c r="E290" s="42" t="n">
        <f aca="false">IF(AND(ISNUMBER(E182),ISNUMBER(E178)),IFERROR(E182/E178,""),"")</f>
        <v>0.263461311281748</v>
      </c>
      <c r="F290" s="42" t="n">
        <f aca="false">IF(AND(ISNUMBER(F182),ISNUMBER(F178)),IFERROR(F182/F178,""),"")</f>
        <v>0.285223828554569</v>
      </c>
      <c r="G290" s="42" t="n">
        <f aca="false">IF(AND(ISNUMBER(G182),ISNUMBER(G178)),IFERROR(G182/G178,""),"")</f>
        <v>0.287147410358566</v>
      </c>
      <c r="H290" s="42" t="n">
        <f aca="false">IF(AND(ISNUMBER(H182),ISNUMBER(H178)),IFERROR(H182/H178,""),"")</f>
        <v>0.286361517665703</v>
      </c>
      <c r="I290" s="42" t="n">
        <f aca="false">IF(AND(ISNUMBER(I182),ISNUMBER(I178)),IFERROR(I182/I178,""),"")</f>
        <v>0.283739677115507</v>
      </c>
      <c r="J290" s="42" t="n">
        <f aca="false">IF(AND(ISNUMBER(J182),ISNUMBER(J178)),IFERROR(J182/J178,""),"")</f>
        <v>0.292123202915832</v>
      </c>
      <c r="K290" s="42" t="n">
        <f aca="false">IF(AND(ISNUMBER(K182),ISNUMBER(K178)),IFERROR(K182/K178,""),"")</f>
        <v>0.282786279683377</v>
      </c>
      <c r="L290" s="42" t="n">
        <f aca="false">IF(AND(ISNUMBER(L182),ISNUMBER(L178)),IFERROR(L182/L178,""),"")</f>
        <v>0.27911160609111</v>
      </c>
      <c r="M290" s="42" t="n">
        <f aca="false">IF(AND(ISNUMBER(M182),ISNUMBER(M178)),IFERROR(M182/M178,""),"")</f>
        <v>0.283194410161961</v>
      </c>
      <c r="N290" s="42" t="n">
        <f aca="false">IF(AND(ISNUMBER(N182),ISNUMBER(N178)),IFERROR(N182/N178,""),"")</f>
        <v>0.284171984517209</v>
      </c>
      <c r="O290" s="42" t="n">
        <f aca="false">IF(AND(ISNUMBER(O182),ISNUMBER(O178)),IFERROR(O182/O178,""),"")</f>
        <v>0.289660497136852</v>
      </c>
      <c r="P290" s="42" t="n">
        <f aca="false">IF(AND(ISNUMBER(P182),ISNUMBER(P178)),IFERROR(P182/P178,""),"")</f>
        <v>0.280945281650415</v>
      </c>
      <c r="Q290" s="42" t="n">
        <f aca="false">IF(AND(ISNUMBER(Q182),ISNUMBER(Q178)),IFERROR(Q182/Q178,""),"")</f>
        <v>0.275753648743388</v>
      </c>
      <c r="R290" s="42" t="n">
        <f aca="false">IF(AND(ISNUMBER(R182),ISNUMBER(R178)),IFERROR(R182/R178,""),"")</f>
        <v>0.286149075456529</v>
      </c>
      <c r="S290" s="42" t="n">
        <f aca="false">IF(AND(ISNUMBER(S182),ISNUMBER(S178)),IFERROR(S182/S178,""),"")</f>
        <v>0.281351153805994</v>
      </c>
      <c r="T290" s="42" t="n">
        <f aca="false">IF(AND(ISNUMBER(T182),ISNUMBER(T178)),IFERROR(T182/T178,""),"")</f>
        <v>0.301126802564594</v>
      </c>
      <c r="U290" s="42" t="n">
        <f aca="false">IF(AND(ISNUMBER(U182),ISNUMBER(U178)),IFERROR(U182/U178,""),"")</f>
        <v>0.283254707471473</v>
      </c>
      <c r="V290" s="42" t="n">
        <f aca="false">IF(AND(ISNUMBER(V182),ISNUMBER(V178)),IFERROR(V182/V178,""),"")</f>
        <v>0.342007858322419</v>
      </c>
      <c r="W290" s="42" t="n">
        <f aca="false">IF(AND(ISNUMBER(W182),ISNUMBER(W178)),IFERROR(W182/W178,""),"")</f>
        <v>0.316793893129771</v>
      </c>
      <c r="X290" s="42" t="n">
        <f aca="false">IF(AND(ISNUMBER(X182),ISNUMBER(X178)),IFERROR(X182/X178,""),"")</f>
        <v>0.328917741119741</v>
      </c>
      <c r="Y290" s="42" t="n">
        <f aca="false">IF(AND(ISNUMBER(Y182),ISNUMBER(Y178)),IFERROR(Y182/Y178,""),"")</f>
        <v>0.33844703244056</v>
      </c>
      <c r="Z290" s="42" t="n">
        <f aca="false">IF(AND(ISNUMBER(Z182),ISNUMBER(Z178)),IFERROR(Z182/Z178,""),"")</f>
        <v>0.337419552558995</v>
      </c>
      <c r="AA290" s="42" t="n">
        <f aca="false">IF(AND(ISNUMBER(AA182),ISNUMBER(AA178)),IFERROR(AA182/AA178,""),"")</f>
        <v>0.325693957067835</v>
      </c>
      <c r="AB290" s="42" t="n">
        <f aca="false">IF(AND(ISNUMBER(AB182),ISNUMBER(AB178)),IFERROR(AB182/AB178,""),"")</f>
        <v>0.327945378792836</v>
      </c>
      <c r="AC290" s="42" t="n">
        <f aca="false">IF(AND(ISNUMBER(AC182),ISNUMBER(AC178)),IFERROR(AC182/AC178,""),"")</f>
        <v>0.332215798701606</v>
      </c>
      <c r="AD290" s="42" t="n">
        <f aca="false">IF(AND(ISNUMBER(AD182),ISNUMBER(AD178)),IFERROR(AD182/AD178,""),"")</f>
        <v>0.344746415578857</v>
      </c>
      <c r="AE290" s="42" t="n">
        <f aca="false">IF(AND(ISNUMBER(AE182),ISNUMBER(AE178)),IFERROR(AE182/AE178,""),"")</f>
        <v>0.33753131859604</v>
      </c>
      <c r="AF290" s="42" t="n">
        <f aca="false">IF(AND(ISNUMBER(AF182),ISNUMBER(AF178)),IFERROR(AF182/AF178,""),"")</f>
        <v>0.330904112009187</v>
      </c>
      <c r="AG290" s="42" t="n">
        <f aca="false">IF(AND(ISNUMBER(AG182),ISNUMBER(AG178)),IFERROR(AG182/AG178,""),"")</f>
        <v>0.315138525670016</v>
      </c>
      <c r="AH290" s="42" t="n">
        <f aca="false">IF(AND(ISNUMBER(AH182),ISNUMBER(AH178)),IFERROR(AH182/AH178,""),"")</f>
        <v>0.33133657397557</v>
      </c>
      <c r="AI290" s="42" t="n">
        <f aca="false">IF(AND(ISNUMBER(AI182),ISNUMBER(AI178)),IFERROR(AI182/AI178,""),"")</f>
        <v>0.341163692124207</v>
      </c>
      <c r="AJ290" s="42" t="n">
        <f aca="false">IF(AND(ISNUMBER(AJ182),ISNUMBER(AJ178)),IFERROR(AJ182/AJ178,""),"")</f>
        <v>0.328829552298735</v>
      </c>
      <c r="AK290" s="42" t="n">
        <f aca="false">IF(AND(ISNUMBER(AK182),ISNUMBER(AK178)),IFERROR(AK182/AK178,""),"")</f>
        <v>0.321155550060786</v>
      </c>
      <c r="AL290" s="42" t="n">
        <f aca="false">IF(AND(ISNUMBER(AL182),ISNUMBER(AL178)),IFERROR(AL182/AL178,""),"")</f>
        <v>0.302812466065805</v>
      </c>
      <c r="AM290" s="42" t="n">
        <f aca="false">IF(AND(ISNUMBER(AM182),ISNUMBER(AM178)),IFERROR(AM182/AM178,""),"")</f>
        <v>0.316215502830161</v>
      </c>
      <c r="AN290" s="42" t="n">
        <f aca="false">IF(AND(ISNUMBER(AN182),ISNUMBER(AN178)),IFERROR(AN182/AN178,""),"")</f>
        <v>0.324084166627174</v>
      </c>
      <c r="AO290" s="42" t="n">
        <f aca="false">IF(AND(ISNUMBER(AO182),ISNUMBER(AO178)),IFERROR(AO182/AO178,""),"")</f>
        <v>0.312746090673867</v>
      </c>
      <c r="AP290" s="42" t="n">
        <f aca="false">IF(AND(ISNUMBER(AP182),ISNUMBER(AP178)),IFERROR(AP182/AP178,""),"")</f>
        <v>0.315783462768387</v>
      </c>
      <c r="AQ290" s="42" t="n">
        <f aca="false">IF(AND(ISNUMBER(AQ182),ISNUMBER(AQ178)),IFERROR(AQ182/AQ178,""),"")</f>
        <v>0.297448853832881</v>
      </c>
      <c r="AR290" s="42" t="n">
        <f aca="false">IF(AND(ISNUMBER(AR182),ISNUMBER(AR178)),IFERROR(AR182/AR178,""),"")</f>
        <v>0.312002054591845</v>
      </c>
      <c r="AS290" s="42" t="n">
        <f aca="false">IF(AND(ISNUMBER(AS182),ISNUMBER(AS178)),IFERROR(AS182/AS178,""),"")</f>
        <v>0.335773986323133</v>
      </c>
      <c r="AT290" s="42" t="n">
        <f aca="false">IF(AND(ISNUMBER(AT182),ISNUMBER(AT178)),IFERROR(AT182/AT178,""),"")</f>
        <v>0.318156076565863</v>
      </c>
      <c r="AU290" s="42" t="n">
        <f aca="false">IF(AND(ISNUMBER(AU182),ISNUMBER(AU178)),IFERROR(AU182/AU178,""),"")</f>
        <v>0.305157057383737</v>
      </c>
      <c r="AV290" s="42" t="n">
        <f aca="false">IF(AND(ISNUMBER(AV182),ISNUMBER(AV178)),IFERROR(AV182/AV178,""),"")</f>
        <v>0.289497041420118</v>
      </c>
      <c r="AW290" s="42" t="n">
        <f aca="false">IF(AND(ISNUMBER(AW182),ISNUMBER(AW178)),IFERROR(AW182/AW178,""),"")</f>
        <v>0.309459702028361</v>
      </c>
      <c r="AX290" s="42" t="n">
        <f aca="false">IF(AND(ISNUMBER(AX182),ISNUMBER(AX178)),IFERROR(AX182/AX178,""),"")</f>
        <v>0.273549139690872</v>
      </c>
      <c r="AY290" s="42" t="n">
        <f aca="false">IF(AND(ISNUMBER(AY182),ISNUMBER(AY178)),IFERROR(AY182/AY178,""),"")</f>
        <v>0.272374619008035</v>
      </c>
      <c r="AZ290" s="42" t="n">
        <f aca="false">IF(AND(ISNUMBER(AZ182),ISNUMBER(AZ178)),IFERROR(AZ182/AZ178,""),"")</f>
        <v>0.285240005533269</v>
      </c>
      <c r="BA290" s="42" t="n">
        <f aca="false">IF(AND(ISNUMBER(BA182),ISNUMBER(BA178)),IFERROR(BA182/BA178,""),"")</f>
        <v>0.28154148257241</v>
      </c>
      <c r="BB290" s="42" t="n">
        <f aca="false">IF(AND(ISNUMBER(BB182),ISNUMBER(BB178)),IFERROR(BB182/BB178,""),"")</f>
        <v>0.278341764845686</v>
      </c>
      <c r="BC290" s="42" t="n">
        <f aca="false">IF(AND(ISNUMBER(BC182),ISNUMBER(BC178)),IFERROR(BC182/BC178,""),"")</f>
        <v>0.272112382934443</v>
      </c>
      <c r="BD290" s="42" t="n">
        <f aca="false">IF(AND(ISNUMBER(BD182),ISNUMBER(BD178)),IFERROR(BD182/BD178,""),"")</f>
        <v>0.268997548703393</v>
      </c>
      <c r="BE290" s="42" t="n">
        <f aca="false">IF(AND(ISNUMBER(BE182),ISNUMBER(BE178)),IFERROR(BE182/BE178,""),"")</f>
        <v>0.280438470572883</v>
      </c>
      <c r="BF290" s="42" t="n">
        <f aca="false">IF(AND(ISNUMBER(BF182),ISNUMBER(BF178)),IFERROR(BF182/BF178,""),"")</f>
        <v>0.256377908606672</v>
      </c>
      <c r="BG290" s="42" t="n">
        <f aca="false">IF(AND(ISNUMBER(BG182),ISNUMBER(BG178)),IFERROR(BG182/BG178,""),"")</f>
        <v>0.267387306234283</v>
      </c>
      <c r="BH290" s="42" t="n">
        <f aca="false">IF(AND(ISNUMBER(BH182),ISNUMBER(BH178)),IFERROR(BH182/BH178,""),"")</f>
        <v>0.297865187426458</v>
      </c>
      <c r="BI290" s="42" t="n">
        <f aca="false">IF(AND(ISNUMBER(BI182),ISNUMBER(BI178)),IFERROR(BI182/BI178,""),"")</f>
        <v>0.303450608930988</v>
      </c>
      <c r="BJ290" s="42" t="n">
        <f aca="false">IF(AND(ISNUMBER(BJ182),ISNUMBER(BJ178)),IFERROR(BJ182/BJ178,""),"")</f>
        <v>0.307254623044097</v>
      </c>
      <c r="BK290" s="42" t="n">
        <f aca="false">IF(AND(ISNUMBER(BK182),ISNUMBER(BK178)),IFERROR(BK182/BK178,""),"")</f>
        <v>0.317720530835285</v>
      </c>
      <c r="BL290" s="42" t="n">
        <f aca="false">IF(AND(ISNUMBER(BL182),ISNUMBER(BL178)),IFERROR(BL182/BL178,""),"")</f>
        <v>0.30678107994977</v>
      </c>
      <c r="BM290" s="42" t="n">
        <f aca="false">IF(AND(ISNUMBER(BM182),ISNUMBER(BM178)),IFERROR(BM182/BM178,""),"")</f>
        <v>0.311766735679779</v>
      </c>
      <c r="BN290" s="42" t="n">
        <f aca="false">IF(AND(ISNUMBER(BN182),ISNUMBER(BN178)),IFERROR(BN182/BN178,""),"")</f>
        <v>0.325439665679958</v>
      </c>
      <c r="BO290" s="42" t="n">
        <f aca="false">IF(AND(ISNUMBER(BO182),ISNUMBER(BO178)),IFERROR(BO182/BO178,""),"")</f>
        <v>0.355294929285961</v>
      </c>
      <c r="BP290" s="42" t="n">
        <f aca="false">IF(AND(ISNUMBER(BP182),ISNUMBER(BP178)),IFERROR(BP182/BP178,""),"")</f>
        <v>0.309421841541756</v>
      </c>
      <c r="BQ290" s="42" t="n">
        <f aca="false">IF(AND(ISNUMBER(BQ182),ISNUMBER(BQ178)),IFERROR(BQ182/BQ178,""),"")</f>
        <v>0.324984293193717</v>
      </c>
      <c r="BR290" s="42" t="n">
        <f aca="false">IF(AND(ISNUMBER(BR182),ISNUMBER(BR178)),IFERROR(BR182/BR178,""),"")</f>
        <v>0.323636997038843</v>
      </c>
      <c r="BS290" s="42" t="n">
        <f aca="false">IF(AND(ISNUMBER(BS182),ISNUMBER(BS178)),IFERROR(BS182/BS178,""),"")</f>
        <v>0.397574123989218</v>
      </c>
      <c r="BT290" s="42" t="n">
        <f aca="false">IF(AND(ISNUMBER(BT182),ISNUMBER(BT178)),IFERROR(BT182/BT178,""),"")</f>
        <v>0.328927804394515</v>
      </c>
      <c r="BU290" s="42" t="n">
        <f aca="false">IF(AND(ISNUMBER(BU182),ISNUMBER(BU178)),IFERROR(BU182/BU178,""),"")</f>
        <v>0.296285463585844</v>
      </c>
      <c r="BV290" s="42" t="n">
        <f aca="false">IF(AND(ISNUMBER(BV182),ISNUMBER(BV178)),IFERROR(BV182/BV178,""),"")</f>
        <v>0.335192119830674</v>
      </c>
      <c r="BW290" s="42" t="n">
        <f aca="false">IF(AND(ISNUMBER(BW182),ISNUMBER(BW178)),IFERROR(BW182/BW178,""),"")</f>
        <v>0.312552512182826</v>
      </c>
      <c r="BX290" s="42" t="n">
        <f aca="false">IF(AND(ISNUMBER(BX182),ISNUMBER(BX178)),IFERROR(BX182/BX178,""),"")</f>
        <v>0.33072625698324</v>
      </c>
      <c r="BY290" s="26" t="n">
        <f aca="false">IF(AND(ISNUMBER(BY182),ISNUMBER(BY178)),IFERROR(BY182/BY178,""),"")</f>
        <v>0.316173663532342</v>
      </c>
      <c r="BZ290" s="26" t="n">
        <f aca="false">IF(AND(ISNUMBER(BZ182),ISNUMBER(BZ178)),IFERROR(BZ182/BZ178,""),"")</f>
        <v>0.31164047151277</v>
      </c>
      <c r="CA290" s="26" t="n">
        <f aca="false">IF(AND(ISNUMBER(CA182),ISNUMBER(CA178)),IFERROR(CA182/CA178,""),"")</f>
        <v>0.317489877094288</v>
      </c>
      <c r="CB290" s="26" t="n">
        <f aca="false">IF(AND(ISNUMBER(CB182),ISNUMBER(CB178)),IFERROR(CB182/CB178,""),"")</f>
        <v>0.312</v>
      </c>
      <c r="CC290" s="26" t="n">
        <f aca="false">IF(AND(ISNUMBER(CC182),ISNUMBER(CC178)),IFERROR(CC182/CC178,""),"")</f>
        <v>0.312</v>
      </c>
      <c r="CD290" s="26" t="n">
        <f aca="false">IF(AND(ISNUMBER(CD182),ISNUMBER(CD178)),IFERROR(CD182/CD178,""),"")</f>
        <v>0.312</v>
      </c>
      <c r="CE290" s="26" t="n">
        <f aca="false">IF(AND(ISNUMBER(CE182),ISNUMBER(CE178)),IFERROR(CE182/CE178,""),"")</f>
        <v>0.312</v>
      </c>
      <c r="CF290" s="7"/>
      <c r="CH290" s="32" t="n">
        <f aca="false">IFERROR(AVERAGE(CA290,CB290,CC290,CD290,CE290),"n/m")</f>
        <v>0.313097975418858</v>
      </c>
      <c r="CI290" s="32" t="n">
        <f aca="false">IFERROR(AVERAGE(BB290,BG290,BL290,BQ290,BV290),"n/m")</f>
        <v>0.302537312810826</v>
      </c>
      <c r="CJ290" s="32" t="n">
        <f aca="false">IFERROR(AVERAGE(AC290,AH290,AM290,AR290,AW290,BB290,BG290,BL290,BQ290,BV290),"n/m")</f>
        <v>0.311391619618167</v>
      </c>
      <c r="CK290" s="32" t="n">
        <f aca="false">IFERROR(AVERAGE(C290,D290,E290,F290,G290,H290,I290,N290,S290,X290,AC290,AH290,AM290,AR290,AW290,BB290,BG290,BL290,BQ290,BV290),"n/m")</f>
        <v>0.295024901829148</v>
      </c>
    </row>
    <row r="291" customFormat="false" ht="15" hidden="false" customHeight="true" outlineLevel="0" collapsed="false">
      <c r="B291" s="27" t="s">
        <v>313</v>
      </c>
      <c r="C291" s="42" t="n">
        <f aca="false">IF(AND(ISNUMBER(C183),ISNUMBER(C178)),IFERROR(C183/C178,""),"")</f>
        <v>0.0464816555920601</v>
      </c>
      <c r="D291" s="42" t="n">
        <f aca="false">IF(AND(ISNUMBER(D183),ISNUMBER(D178)),IFERROR(D183/D178,""),"")</f>
        <v>0.0545443002385293</v>
      </c>
      <c r="E291" s="42" t="n">
        <f aca="false">IF(AND(ISNUMBER(E183),ISNUMBER(E178)),IFERROR(E183/E178,""),"")</f>
        <v>0.0571293561724749</v>
      </c>
      <c r="F291" s="42" t="n">
        <f aca="false">IF(AND(ISNUMBER(F183),ISNUMBER(F178)),IFERROR(F183/F178,""),"")</f>
        <v>0.0565673363195022</v>
      </c>
      <c r="G291" s="42" t="n">
        <f aca="false">IF(AND(ISNUMBER(G183),ISNUMBER(G178)),IFERROR(G183/G178,""),"")</f>
        <v>0.0616733067729084</v>
      </c>
      <c r="H291" s="42" t="n">
        <f aca="false">IF(AND(ISNUMBER(H183),ISNUMBER(H178)),IFERROR(H183/H178,""),"")</f>
        <v>0.0632982194462571</v>
      </c>
      <c r="I291" s="42" t="n">
        <f aca="false">IF(AND(ISNUMBER(I183),ISNUMBER(I178)),IFERROR(I183/I178,""),"")</f>
        <v>0.0623151738187553</v>
      </c>
      <c r="J291" s="42" t="n">
        <f aca="false">IF(AND(ISNUMBER(J183),ISNUMBER(J178)),IFERROR(J183/J178,""),"")</f>
        <v>0.0666861655454811</v>
      </c>
      <c r="K291" s="42" t="n">
        <f aca="false">IF(AND(ISNUMBER(K183),ISNUMBER(K178)),IFERROR(K183/K178,""),"")</f>
        <v>0.0658997361477573</v>
      </c>
      <c r="L291" s="42" t="n">
        <f aca="false">IF(AND(ISNUMBER(L183),ISNUMBER(L178)),IFERROR(L183/L178,""),"")</f>
        <v>0.0662011950911311</v>
      </c>
      <c r="M291" s="42" t="n">
        <f aca="false">IF(AND(ISNUMBER(M183),ISNUMBER(M178)),IFERROR(M183/M178,""),"")</f>
        <v>0.0630755501547459</v>
      </c>
      <c r="N291" s="42" t="n">
        <f aca="false">IF(AND(ISNUMBER(N183),ISNUMBER(N178)),IFERROR(N183/N178,""),"")</f>
        <v>0.0653781776336437</v>
      </c>
      <c r="O291" s="42" t="n">
        <f aca="false">IF(AND(ISNUMBER(O183),ISNUMBER(O178)),IFERROR(O183/O178,""),"")</f>
        <v>0.0672142749908851</v>
      </c>
      <c r="P291" s="42" t="n">
        <f aca="false">IF(AND(ISNUMBER(P183),ISNUMBER(P178)),IFERROR(P183/P178,""),"")</f>
        <v>0.0677733902812475</v>
      </c>
      <c r="Q291" s="42" t="n">
        <f aca="false">IF(AND(ISNUMBER(Q183),ISNUMBER(Q178)),IFERROR(Q183/Q178,""),"")</f>
        <v>0.0612054130993605</v>
      </c>
      <c r="R291" s="42" t="n">
        <f aca="false">IF(AND(ISNUMBER(R183),ISNUMBER(R178)),IFERROR(R183/R178,""),"")</f>
        <v>0.0575590521036714</v>
      </c>
      <c r="S291" s="42" t="n">
        <f aca="false">IF(AND(ISNUMBER(S183),ISNUMBER(S178)),IFERROR(S183/S178,""),"")</f>
        <v>0.0604051373081341</v>
      </c>
      <c r="T291" s="42" t="n">
        <f aca="false">IF(AND(ISNUMBER(T183),ISNUMBER(T178)),IFERROR(T183/T178,""),"")</f>
        <v>0.0637740430698447</v>
      </c>
      <c r="U291" s="42" t="n">
        <f aca="false">IF(AND(ISNUMBER(U183),ISNUMBER(U178)),IFERROR(U183/U178,""),"")</f>
        <v>0.0614088141607193</v>
      </c>
      <c r="V291" s="42" t="n">
        <f aca="false">IF(AND(ISNUMBER(V183),ISNUMBER(V178)),IFERROR(V183/V178,""),"")</f>
        <v>0.0604179716417061</v>
      </c>
      <c r="W291" s="42" t="n">
        <f aca="false">IF(AND(ISNUMBER(W183),ISNUMBER(W178)),IFERROR(W183/W178,""),"")</f>
        <v>0.0546148507980569</v>
      </c>
      <c r="X291" s="42" t="n">
        <f aca="false">IF(AND(ISNUMBER(X183),ISNUMBER(X178)),IFERROR(X183/X178,""),"")</f>
        <v>0.0596797771881084</v>
      </c>
      <c r="Y291" s="42" t="n">
        <f aca="false">IF(AND(ISNUMBER(Y183),ISNUMBER(Y178)),IFERROR(Y183/Y178,""),"")</f>
        <v>0.0576183073825845</v>
      </c>
      <c r="Z291" s="42" t="n">
        <f aca="false">IF(AND(ISNUMBER(Z183),ISNUMBER(Z178)),IFERROR(Z183/Z178,""),"")</f>
        <v>0.0565548457059337</v>
      </c>
      <c r="AA291" s="42" t="n">
        <f aca="false">IF(AND(ISNUMBER(AA183),ISNUMBER(AA178)),IFERROR(AA183/AA178,""),"")</f>
        <v>0.0583480554681639</v>
      </c>
      <c r="AB291" s="42" t="n">
        <f aca="false">IF(AND(ISNUMBER(AB183),ISNUMBER(AB178)),IFERROR(AB183/AB178,""),"")</f>
        <v>0.0584603974434483</v>
      </c>
      <c r="AC291" s="42" t="n">
        <f aca="false">IF(AND(ISNUMBER(AC183),ISNUMBER(AC178)),IFERROR(AC183/AC178,""),"")</f>
        <v>0.0577583755864095</v>
      </c>
      <c r="AD291" s="42" t="n">
        <f aca="false">IF(AND(ISNUMBER(AD183),ISNUMBER(AD178)),IFERROR(AD183/AD178,""),"")</f>
        <v>0.0635803790094396</v>
      </c>
      <c r="AE291" s="42" t="n">
        <f aca="false">IF(AND(ISNUMBER(AE183),ISNUMBER(AE178)),IFERROR(AE183/AE178,""),"")</f>
        <v>0.0628145717389858</v>
      </c>
      <c r="AF291" s="42" t="n">
        <f aca="false">IF(AND(ISNUMBER(AF183),ISNUMBER(AF178)),IFERROR(AF183/AF178,""),"")</f>
        <v>0.0616580539728811</v>
      </c>
      <c r="AG291" s="42" t="n">
        <f aca="false">IF(AND(ISNUMBER(AG183),ISNUMBER(AG178)),IFERROR(AG183/AG178,""),"")</f>
        <v>0.0587726370017893</v>
      </c>
      <c r="AH291" s="42" t="n">
        <f aca="false">IF(AND(ISNUMBER(AH183),ISNUMBER(AH178)),IFERROR(AH183/AH178,""),"")</f>
        <v>0.0615831137443602</v>
      </c>
      <c r="AI291" s="42" t="n">
        <f aca="false">IF(AND(ISNUMBER(AI183),ISNUMBER(AI178)),IFERROR(AI183/AI178,""),"")</f>
        <v>0.0636154534224986</v>
      </c>
      <c r="AJ291" s="42" t="n">
        <f aca="false">IF(AND(ISNUMBER(AJ183),ISNUMBER(AJ178)),IFERROR(AJ183/AJ178,""),"")</f>
        <v>0.0625777956233688</v>
      </c>
      <c r="AK291" s="42" t="n">
        <f aca="false">IF(AND(ISNUMBER(AK183),ISNUMBER(AK178)),IFERROR(AK183/AK178,""),"")</f>
        <v>0.0620634233788712</v>
      </c>
      <c r="AL291" s="42" t="n">
        <f aca="false">IF(AND(ISNUMBER(AL183),ISNUMBER(AL178)),IFERROR(AL183/AL178,""),"")</f>
        <v>0.0599413617113693</v>
      </c>
      <c r="AM291" s="42" t="n">
        <f aca="false">IF(AND(ISNUMBER(AM183),ISNUMBER(AM178)),IFERROR(AM183/AM178,""),"")</f>
        <v>0.0621286330175675</v>
      </c>
      <c r="AN291" s="42" t="n">
        <f aca="false">IF(AND(ISNUMBER(AN183),ISNUMBER(AN178)),IFERROR(AN183/AN178,""),"")</f>
        <v>0.0633856215345244</v>
      </c>
      <c r="AO291" s="42" t="n">
        <f aca="false">IF(AND(ISNUMBER(AO183),ISNUMBER(AO178)),IFERROR(AO183/AO178,""),"")</f>
        <v>0.0634717066036675</v>
      </c>
      <c r="AP291" s="42" t="n">
        <f aca="false">IF(AND(ISNUMBER(AP183),ISNUMBER(AP178)),IFERROR(AP183/AP178,""),"")</f>
        <v>0.0645500228414801</v>
      </c>
      <c r="AQ291" s="42" t="n">
        <f aca="false">IF(AND(ISNUMBER(AQ183),ISNUMBER(AQ178)),IFERROR(AQ183/AQ178,""),"")</f>
        <v>0.0603483690740284</v>
      </c>
      <c r="AR291" s="42" t="n">
        <f aca="false">IF(AND(ISNUMBER(AR183),ISNUMBER(AR178)),IFERROR(AR183/AR178,""),"")</f>
        <v>0.0628660439615657</v>
      </c>
      <c r="AS291" s="42" t="n">
        <f aca="false">IF(AND(ISNUMBER(AS183),ISNUMBER(AS178)),IFERROR(AS183/AS178,""),"")</f>
        <v>0.0660818309502429</v>
      </c>
      <c r="AT291" s="42" t="n">
        <f aca="false">IF(AND(ISNUMBER(AT183),ISNUMBER(AT178)),IFERROR(AT183/AT178,""),"")</f>
        <v>0.060897798920225</v>
      </c>
      <c r="AU291" s="42" t="n">
        <f aca="false">IF(AND(ISNUMBER(AU183),ISNUMBER(AU178)),IFERROR(AU183/AU178,""),"")</f>
        <v>0.0582336143595322</v>
      </c>
      <c r="AV291" s="42" t="n">
        <f aca="false">IF(AND(ISNUMBER(AV183),ISNUMBER(AV178)),IFERROR(AV183/AV178,""),"")</f>
        <v>0.0585798816568047</v>
      </c>
      <c r="AW291" s="42" t="n">
        <f aca="false">IF(AND(ISNUMBER(AW183),ISNUMBER(AW178)),IFERROR(AW183/AW178,""),"")</f>
        <v>0.0604918327050799</v>
      </c>
      <c r="AX291" s="42" t="n">
        <f aca="false">IF(AND(ISNUMBER(AX183),ISNUMBER(AX178)),IFERROR(AX183/AX178,""),"")</f>
        <v>0.0554097404491105</v>
      </c>
      <c r="AY291" s="42" t="n">
        <f aca="false">IF(AND(ISNUMBER(AY183),ISNUMBER(AY178)),IFERROR(AY183/AY178,""),"")</f>
        <v>0.0590191188694929</v>
      </c>
      <c r="AZ291" s="42" t="n">
        <f aca="false">IF(AND(ISNUMBER(AZ183),ISNUMBER(AZ178)),IFERROR(AZ183/AZ178,""),"")</f>
        <v>0.0610042882833034</v>
      </c>
      <c r="BA291" s="42" t="n">
        <f aca="false">IF(AND(ISNUMBER(BA183),ISNUMBER(BA178)),IFERROR(BA183/BA178,""),"")</f>
        <v>0.0607511045655376</v>
      </c>
      <c r="BB291" s="42" t="n">
        <f aca="false">IF(AND(ISNUMBER(BB183),ISNUMBER(BB178)),IFERROR(BB183/BB178,""),"")</f>
        <v>0.0591450785998031</v>
      </c>
      <c r="BC291" s="42" t="n">
        <f aca="false">IF(AND(ISNUMBER(BC183),ISNUMBER(BC178)),IFERROR(BC183/BC178,""),"")</f>
        <v>0.0573621227887617</v>
      </c>
      <c r="BD291" s="42" t="n">
        <f aca="false">IF(AND(ISNUMBER(BD183),ISNUMBER(BD178)),IFERROR(BD183/BD178,""),"")</f>
        <v>0.0556057282931235</v>
      </c>
      <c r="BE291" s="42" t="n">
        <f aca="false">IF(AND(ISNUMBER(BE183),ISNUMBER(BE178)),IFERROR(BE183/BE178,""),"")</f>
        <v>0.0548088216103354</v>
      </c>
      <c r="BF291" s="42" t="n">
        <f aca="false">IF(AND(ISNUMBER(BF183),ISNUMBER(BF178)),IFERROR(BF183/BF178,""),"")</f>
        <v>0.0560695262125035</v>
      </c>
      <c r="BG291" s="42" t="n">
        <f aca="false">IF(AND(ISNUMBER(BG183),ISNUMBER(BG178)),IFERROR(BG183/BG178,""),"")</f>
        <v>0.057350898922794</v>
      </c>
      <c r="BH291" s="42" t="n">
        <f aca="false">IF(AND(ISNUMBER(BH183),ISNUMBER(BH178)),IFERROR(BH183/BH178,""),"")</f>
        <v>0.0626996133804001</v>
      </c>
      <c r="BI291" s="42" t="n">
        <f aca="false">IF(AND(ISNUMBER(BI183),ISNUMBER(BI178)),IFERROR(BI183/BI178,""),"")</f>
        <v>0.0610622462787551</v>
      </c>
      <c r="BJ291" s="42" t="n">
        <f aca="false">IF(AND(ISNUMBER(BJ183),ISNUMBER(BJ178)),IFERROR(BJ183/BJ178,""),"")</f>
        <v>0.0643669985775249</v>
      </c>
      <c r="BK291" s="42" t="n">
        <f aca="false">IF(AND(ISNUMBER(BK183),ISNUMBER(BK178)),IFERROR(BK183/BK178,""),"")</f>
        <v>0.063544106167057</v>
      </c>
      <c r="BL291" s="42" t="n">
        <f aca="false">IF(AND(ISNUMBER(BL183),ISNUMBER(BL178)),IFERROR(BL183/BL178,""),"")</f>
        <v>0.0629133528673085</v>
      </c>
      <c r="BM291" s="42" t="n">
        <f aca="false">IF(AND(ISNUMBER(BM183),ISNUMBER(BM178)),IFERROR(BM183/BM178,""),"")</f>
        <v>0.0634920634920635</v>
      </c>
      <c r="BN291" s="42" t="n">
        <f aca="false">IF(AND(ISNUMBER(BN183),ISNUMBER(BN178)),IFERROR(BN183/BN178,""),"")</f>
        <v>0.0680828835103605</v>
      </c>
      <c r="BO291" s="42" t="n">
        <f aca="false">IF(AND(ISNUMBER(BO183),ISNUMBER(BO178)),IFERROR(BO183/BO178,""),"")</f>
        <v>0.0660572611245257</v>
      </c>
      <c r="BP291" s="42" t="n">
        <f aca="false">IF(AND(ISNUMBER(BP183),ISNUMBER(BP178)),IFERROR(BP183/BP178,""),"")</f>
        <v>0.0676047721015601</v>
      </c>
      <c r="BQ291" s="42" t="n">
        <f aca="false">IF(AND(ISNUMBER(BQ183),ISNUMBER(BQ178)),IFERROR(BQ183/BQ178,""),"")</f>
        <v>0.0663455497382199</v>
      </c>
      <c r="BR291" s="42" t="n">
        <f aca="false">IF(AND(ISNUMBER(BR183),ISNUMBER(BR178)),IFERROR(BR183/BR178,""),"")</f>
        <v>0.0660163734541021</v>
      </c>
      <c r="BS291" s="42" t="n">
        <f aca="false">IF(AND(ISNUMBER(BS183),ISNUMBER(BS178)),IFERROR(BS183/BS178,""),"")</f>
        <v>0.0678908355795148</v>
      </c>
      <c r="BT291" s="42" t="n">
        <f aca="false">IF(AND(ISNUMBER(BT183),ISNUMBER(BT178)),IFERROR(BT183/BT178,""),"")</f>
        <v>0.0624483727077482</v>
      </c>
      <c r="BU291" s="42" t="n">
        <f aca="false">IF(AND(ISNUMBER(BU183),ISNUMBER(BU178)),IFERROR(BU183/BU178,""),"")</f>
        <v>0.0640538169055279</v>
      </c>
      <c r="BV291" s="42" t="n">
        <f aca="false">IF(AND(ISNUMBER(BV183),ISNUMBER(BV178)),IFERROR(BV183/BV178,""),"")</f>
        <v>0.0650439596222729</v>
      </c>
      <c r="BW291" s="42" t="n">
        <f aca="false">IF(AND(ISNUMBER(BW183),ISNUMBER(BW178)),IFERROR(BW183/BW178,""),"")</f>
        <v>0.0650310872122332</v>
      </c>
      <c r="BX291" s="42" t="n">
        <f aca="false">IF(AND(ISNUMBER(BX183),ISNUMBER(BX178)),IFERROR(BX183/BX178,""),"")</f>
        <v>0.0657621707901038</v>
      </c>
      <c r="BY291" s="26" t="n">
        <f aca="false">IF(AND(ISNUMBER(BY183),ISNUMBER(BY178)),IFERROR(BY183/BY178,""),"")</f>
        <v>0.0654060248853962</v>
      </c>
      <c r="BZ291" s="26" t="n">
        <f aca="false">IF(AND(ISNUMBER(BZ183),ISNUMBER(BZ178)),IFERROR(BZ183/BZ178,""),"")</f>
        <v>0.0654060248853962</v>
      </c>
      <c r="CA291" s="26" t="n">
        <f aca="false">IF(AND(ISNUMBER(CA183),ISNUMBER(CA178)),IFERROR(CA183/CA178,""),"")</f>
        <v>0.0654060248853962</v>
      </c>
      <c r="CB291" s="26" t="n">
        <f aca="false">IF(AND(ISNUMBER(CB183),ISNUMBER(CB178)),IFERROR(CB183/CB178,""),"")</f>
        <v>0.065</v>
      </c>
      <c r="CC291" s="26" t="n">
        <f aca="false">IF(AND(ISNUMBER(CC183),ISNUMBER(CC178)),IFERROR(CC183/CC178,""),"")</f>
        <v>0.065</v>
      </c>
      <c r="CD291" s="26" t="n">
        <f aca="false">IF(AND(ISNUMBER(CD183),ISNUMBER(CD178)),IFERROR(CD183/CD178,""),"")</f>
        <v>0.065</v>
      </c>
      <c r="CE291" s="26" t="n">
        <f aca="false">IF(AND(ISNUMBER(CE183),ISNUMBER(CE178)),IFERROR(CE183/CE178,""),"")</f>
        <v>0.065</v>
      </c>
      <c r="CF291" s="7"/>
      <c r="CH291" s="32" t="n">
        <f aca="false">IFERROR(AVERAGE(CA291,CB291,CC291,CD291,CE291),"n/m")</f>
        <v>0.0650812049770792</v>
      </c>
      <c r="CI291" s="32" t="n">
        <f aca="false">IFERROR(AVERAGE(BB291,BG291,BL291,BQ291,BV291),"n/m")</f>
        <v>0.0621597679500797</v>
      </c>
      <c r="CJ291" s="32" t="n">
        <f aca="false">IFERROR(AVERAGE(AC291,AH291,AM291,AR291,AW291,BB291,BG291,BL291,BQ291,BV291),"n/m")</f>
        <v>0.0615626838765381</v>
      </c>
      <c r="CK291" s="32" t="n">
        <f aca="false">IFERROR(AVERAGE(C291,D291,E291,F291,G291,H291,I291,N291,S291,X291,AC291,AH291,AM291,AR291,AW291,BB291,BG291,BL291,BQ291,BV291),"n/m")</f>
        <v>0.0601549639627877</v>
      </c>
    </row>
    <row r="292" customFormat="false" ht="15" hidden="false" customHeight="true" outlineLevel="0" collapsed="false"/>
    <row r="293" customFormat="false" ht="15" hidden="false" customHeight="true" outlineLevel="0" collapsed="false">
      <c r="B293" s="12" t="s">
        <v>454</v>
      </c>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t="s">
        <v>455</v>
      </c>
    </row>
    <row r="294" customFormat="false" ht="15" hidden="false" customHeight="true" outlineLevel="0" collapsed="false">
      <c r="B294" s="27" t="s">
        <v>456</v>
      </c>
      <c r="C294" s="40" t="n">
        <v>1122</v>
      </c>
      <c r="D294" s="40" t="n">
        <v>1369.9</v>
      </c>
      <c r="E294" s="40" t="n">
        <v>1317.6</v>
      </c>
      <c r="F294" s="40" t="n">
        <v>1151.7</v>
      </c>
      <c r="G294" s="40" t="n">
        <v>1793</v>
      </c>
      <c r="H294" s="40" t="n">
        <v>2172.3</v>
      </c>
      <c r="I294" s="40" t="n">
        <v>2392.2</v>
      </c>
      <c r="J294" s="40" t="n">
        <v>691.9</v>
      </c>
      <c r="K294" s="40" t="n">
        <v>616.8</v>
      </c>
      <c r="L294" s="40" t="n">
        <v>597</v>
      </c>
      <c r="M294" s="40" t="n">
        <v>789.3</v>
      </c>
      <c r="N294" s="40" t="n">
        <v>2695</v>
      </c>
      <c r="O294" s="40" t="n">
        <v>579.7</v>
      </c>
      <c r="P294" s="40" t="n">
        <v>676.4</v>
      </c>
      <c r="Q294" s="40" t="n">
        <v>680.6</v>
      </c>
      <c r="R294" s="40" t="n">
        <v>661.7</v>
      </c>
      <c r="S294" s="40" t="n">
        <v>2598.4</v>
      </c>
      <c r="T294" s="40" t="n">
        <v>569.8</v>
      </c>
      <c r="U294" s="40" t="n">
        <v>695.6</v>
      </c>
      <c r="V294" s="40" t="n">
        <v>1403.4</v>
      </c>
      <c r="W294" s="40" t="n">
        <v>688.6</v>
      </c>
      <c r="X294" s="40" t="n">
        <v>3357.4</v>
      </c>
      <c r="Y294" s="40" t="n">
        <v>758.4</v>
      </c>
      <c r="Z294" s="40" t="n">
        <v>656.7</v>
      </c>
      <c r="AA294" s="40" t="n">
        <v>391.6</v>
      </c>
      <c r="AB294" s="40" t="n">
        <v>747</v>
      </c>
      <c r="AC294" s="40" t="n">
        <v>2553.7</v>
      </c>
      <c r="AD294" s="40" t="n">
        <v>506.1</v>
      </c>
      <c r="AE294" s="40" t="n">
        <v>557.3</v>
      </c>
      <c r="AF294" s="40" t="n">
        <v>572.1</v>
      </c>
      <c r="AG294" s="40" t="n">
        <v>856.6</v>
      </c>
      <c r="AH294" s="40" t="n">
        <v>2492.1</v>
      </c>
      <c r="AI294" s="40" t="n">
        <v>566.6</v>
      </c>
      <c r="AJ294" s="40" t="n">
        <v>673.8</v>
      </c>
      <c r="AK294" s="40" t="n">
        <v>663.7</v>
      </c>
      <c r="AL294" s="40" t="n">
        <v>746.8</v>
      </c>
      <c r="AM294" s="40" t="n">
        <v>2650.9</v>
      </c>
      <c r="AN294" s="40" t="n">
        <v>333.8</v>
      </c>
      <c r="AO294" s="40" t="n">
        <v>731.3</v>
      </c>
      <c r="AP294" s="40" t="n">
        <v>673.9</v>
      </c>
      <c r="AQ294" s="40" t="n">
        <v>1269.2</v>
      </c>
      <c r="AR294" s="40" t="n">
        <v>3008.2</v>
      </c>
      <c r="AS294" s="40" t="n">
        <v>595.1</v>
      </c>
      <c r="AT294" s="40" t="n">
        <v>927.3</v>
      </c>
      <c r="AU294" s="40" t="n">
        <v>883.5</v>
      </c>
      <c r="AV294" s="40" t="n">
        <v>1240.1</v>
      </c>
      <c r="AW294" s="40" t="n">
        <v>3646</v>
      </c>
      <c r="AX294" s="40" t="n">
        <v>1702</v>
      </c>
      <c r="AY294" s="40" t="n">
        <v>1785</v>
      </c>
      <c r="AZ294" s="40" t="n">
        <v>1158</v>
      </c>
      <c r="BA294" s="40" t="n">
        <v>1788</v>
      </c>
      <c r="BB294" s="40" t="n">
        <v>6433</v>
      </c>
      <c r="BC294" s="40" t="n">
        <v>1725</v>
      </c>
      <c r="BD294" s="40" t="n">
        <v>1680</v>
      </c>
      <c r="BE294" s="40" t="n">
        <v>1572</v>
      </c>
      <c r="BF294" s="40" t="n">
        <v>2232</v>
      </c>
      <c r="BG294" s="40" t="n">
        <v>7209</v>
      </c>
      <c r="BH294" s="40" t="n">
        <v>1450</v>
      </c>
      <c r="BI294" s="40" t="n">
        <v>1106</v>
      </c>
      <c r="BJ294" s="40" t="n">
        <v>1129</v>
      </c>
      <c r="BK294" s="40" t="n">
        <v>1079</v>
      </c>
      <c r="BL294" s="40" t="n">
        <v>4764</v>
      </c>
      <c r="BM294" s="40" t="n">
        <v>1088</v>
      </c>
      <c r="BN294" s="40" t="n">
        <v>907</v>
      </c>
      <c r="BO294" s="40" t="n">
        <v>818</v>
      </c>
      <c r="BP294" s="40" t="n">
        <v>1086</v>
      </c>
      <c r="BQ294" s="40" t="n">
        <v>3899</v>
      </c>
      <c r="BR294" s="40" t="n">
        <v>954</v>
      </c>
      <c r="BS294" s="40" t="n">
        <v>555</v>
      </c>
      <c r="BT294" s="40" t="n">
        <v>908</v>
      </c>
      <c r="BU294" s="40" t="n">
        <v>1197</v>
      </c>
      <c r="BV294" s="40" t="n">
        <v>3614</v>
      </c>
      <c r="BW294" s="40" t="n">
        <v>1029</v>
      </c>
      <c r="BX294" s="40" t="n">
        <v>870</v>
      </c>
      <c r="BY294" s="45"/>
      <c r="BZ294" s="45"/>
      <c r="CA294" s="41" t="n">
        <f aca="false">(BW294+BX294)+BY197+BZ197</f>
        <v>4248.85724490303</v>
      </c>
      <c r="CB294" s="41" t="n">
        <f aca="false">CB197</f>
        <v>5014.12081287666</v>
      </c>
      <c r="CC294" s="41" t="n">
        <f aca="false">CC197</f>
        <v>5630.2452684791</v>
      </c>
      <c r="CD294" s="41" t="n">
        <f aca="false">CD197</f>
        <v>6200.81275876205</v>
      </c>
      <c r="CE294" s="41" t="n">
        <f aca="false">CE197</f>
        <v>6997.07904160914</v>
      </c>
      <c r="CF294" s="37"/>
    </row>
    <row r="295" customFormat="false" ht="15" hidden="false" customHeight="true" outlineLevel="0" collapsed="false">
      <c r="B295" s="27" t="s">
        <v>457</v>
      </c>
      <c r="CF295" s="7"/>
    </row>
    <row r="296" customFormat="false" ht="15" hidden="false" customHeight="true" outlineLevel="0" collapsed="false">
      <c r="B296" s="27" t="s">
        <v>306</v>
      </c>
      <c r="C296" s="40" t="n">
        <v>153</v>
      </c>
      <c r="D296" s="40" t="n">
        <v>173.9</v>
      </c>
      <c r="E296" s="40" t="n">
        <v>194</v>
      </c>
      <c r="F296" s="40" t="n">
        <v>184.5</v>
      </c>
      <c r="G296" s="40" t="n">
        <v>198</v>
      </c>
      <c r="H296" s="40" t="n">
        <v>350.7</v>
      </c>
      <c r="I296" s="40" t="n">
        <v>497.8</v>
      </c>
      <c r="J296" s="40" t="n">
        <v>127.5</v>
      </c>
      <c r="K296" s="40" t="n">
        <v>129.5</v>
      </c>
      <c r="L296" s="40" t="n">
        <v>133.4</v>
      </c>
      <c r="M296" s="40" t="n">
        <v>139.5</v>
      </c>
      <c r="N296" s="40" t="n">
        <v>529.9</v>
      </c>
      <c r="O296" s="40" t="n">
        <v>132.2</v>
      </c>
      <c r="P296" s="40" t="n">
        <v>140.4</v>
      </c>
      <c r="Q296" s="40" t="n">
        <v>142.4</v>
      </c>
      <c r="R296" s="40" t="n">
        <v>137.6</v>
      </c>
      <c r="S296" s="40" t="n">
        <v>552.6</v>
      </c>
      <c r="T296" s="40" t="n">
        <v>138.5</v>
      </c>
      <c r="U296" s="40" t="n">
        <v>141.2</v>
      </c>
      <c r="V296" s="40" t="n">
        <v>136.4</v>
      </c>
      <c r="W296" s="40" t="n">
        <v>157.4</v>
      </c>
      <c r="X296" s="40" t="n">
        <v>573.5</v>
      </c>
      <c r="Y296" s="40" t="n">
        <v>150.5</v>
      </c>
      <c r="Z296" s="40" t="n">
        <v>156</v>
      </c>
      <c r="AA296" s="40" t="n">
        <v>89.4</v>
      </c>
      <c r="AB296" s="40" t="n">
        <v>149.1</v>
      </c>
      <c r="AC296" s="40" t="n">
        <v>545</v>
      </c>
      <c r="AD296" s="40" t="n">
        <v>139.5</v>
      </c>
      <c r="AE296" s="40" t="n">
        <v>142.9</v>
      </c>
      <c r="AF296" s="40" t="n">
        <v>144.9</v>
      </c>
      <c r="AG296" s="40" t="n">
        <v>150.5</v>
      </c>
      <c r="AH296" s="40" t="n">
        <v>577.8</v>
      </c>
      <c r="AI296" s="40" t="n">
        <v>148.5</v>
      </c>
      <c r="AJ296" s="40" t="n">
        <v>153.5</v>
      </c>
      <c r="AK296" s="40" t="n">
        <v>147.4</v>
      </c>
      <c r="AL296" s="40" t="n">
        <v>152.1</v>
      </c>
      <c r="AM296" s="40" t="n">
        <v>601.5</v>
      </c>
      <c r="AN296" s="40" t="n">
        <v>148.5</v>
      </c>
      <c r="AO296" s="40" t="n">
        <v>152</v>
      </c>
      <c r="AP296" s="40" t="n">
        <v>149.8</v>
      </c>
      <c r="AQ296" s="40" t="n">
        <v>114.1</v>
      </c>
      <c r="AR296" s="40" t="n">
        <v>564.4</v>
      </c>
      <c r="AS296" s="40" t="n">
        <v>141.4</v>
      </c>
      <c r="AT296" s="40" t="n">
        <v>163</v>
      </c>
      <c r="AU296" s="40" t="n">
        <v>160.4</v>
      </c>
      <c r="AV296" s="40" t="n">
        <v>172.2</v>
      </c>
      <c r="AW296" s="40" t="n">
        <v>637</v>
      </c>
      <c r="AX296" s="40" t="n">
        <v>158</v>
      </c>
      <c r="AY296" s="40" t="n">
        <v>178</v>
      </c>
      <c r="AZ296" s="40" t="n">
        <v>189</v>
      </c>
      <c r="BA296" s="40" t="n">
        <v>193</v>
      </c>
      <c r="BB296" s="40" t="n">
        <v>718</v>
      </c>
      <c r="BC296" s="40" t="n">
        <v>179</v>
      </c>
      <c r="BD296" s="40" t="n">
        <v>179</v>
      </c>
      <c r="BE296" s="40" t="n">
        <v>179</v>
      </c>
      <c r="BF296" s="40" t="n">
        <v>201</v>
      </c>
      <c r="BG296" s="40" t="n">
        <v>738</v>
      </c>
      <c r="BH296" s="40" t="n">
        <v>173</v>
      </c>
      <c r="BI296" s="40" t="n">
        <v>178</v>
      </c>
      <c r="BJ296" s="40" t="n">
        <v>175</v>
      </c>
      <c r="BK296" s="40" t="n">
        <v>149</v>
      </c>
      <c r="BL296" s="40" t="n">
        <v>675</v>
      </c>
      <c r="BM296" s="40" t="n">
        <v>179</v>
      </c>
      <c r="BN296" s="40" t="n">
        <v>178</v>
      </c>
      <c r="BO296" s="40" t="n">
        <v>177</v>
      </c>
      <c r="BP296" s="40" t="n">
        <v>187</v>
      </c>
      <c r="BQ296" s="40" t="n">
        <v>721</v>
      </c>
      <c r="BR296" s="40" t="n">
        <v>181</v>
      </c>
      <c r="BS296" s="40" t="n">
        <v>185</v>
      </c>
      <c r="BT296" s="40" t="n">
        <v>189</v>
      </c>
      <c r="BU296" s="40" t="n">
        <v>195</v>
      </c>
      <c r="BV296" s="40" t="n">
        <v>750</v>
      </c>
      <c r="BW296" s="40" t="n">
        <v>193</v>
      </c>
      <c r="BX296" s="40" t="n">
        <v>196</v>
      </c>
      <c r="BY296" s="45"/>
      <c r="BZ296" s="45"/>
      <c r="CA296" s="41" t="n">
        <f aca="false">(BW296+BX296)+BY170+BZ170</f>
        <v>843.801980271775</v>
      </c>
      <c r="CB296" s="41" t="n">
        <f aca="false">CB170</f>
        <v>898.55866418429</v>
      </c>
      <c r="CC296" s="41" t="n">
        <f aca="false">CC170</f>
        <v>957.421547437906</v>
      </c>
      <c r="CD296" s="41" t="n">
        <f aca="false">CD170</f>
        <v>1025.26412284373</v>
      </c>
      <c r="CE296" s="41" t="n">
        <f aca="false">CE170</f>
        <v>1098.45037142325</v>
      </c>
      <c r="CF296" s="37"/>
    </row>
    <row r="297" customFormat="false" ht="15" hidden="false" customHeight="true" outlineLevel="0" collapsed="false">
      <c r="B297" s="27" t="s">
        <v>458</v>
      </c>
      <c r="C297" s="40" t="n">
        <v>64.2</v>
      </c>
      <c r="D297" s="40" t="n">
        <v>94.6</v>
      </c>
      <c r="E297" s="40" t="n">
        <v>145.3</v>
      </c>
      <c r="F297" s="40" t="n">
        <v>157.1</v>
      </c>
      <c r="G297" s="40" t="n">
        <v>199.1</v>
      </c>
      <c r="H297" s="40" t="n">
        <v>284.3</v>
      </c>
      <c r="I297" s="40" t="n">
        <v>342</v>
      </c>
      <c r="J297" s="40" t="n">
        <v>89.3</v>
      </c>
      <c r="K297" s="40" t="n">
        <v>90.1</v>
      </c>
      <c r="L297" s="40" t="n">
        <v>91.9</v>
      </c>
      <c r="M297" s="40" t="n">
        <v>93.8</v>
      </c>
      <c r="N297" s="40" t="n">
        <v>365.1</v>
      </c>
      <c r="O297" s="40" t="n">
        <v>92.5</v>
      </c>
      <c r="P297" s="40" t="n">
        <v>95</v>
      </c>
      <c r="Q297" s="40" t="n">
        <v>98.2</v>
      </c>
      <c r="R297" s="40" t="n">
        <v>100.2</v>
      </c>
      <c r="S297" s="40" t="n">
        <v>385.9</v>
      </c>
      <c r="T297" s="40" t="n">
        <v>108.9</v>
      </c>
      <c r="U297" s="40" t="n">
        <v>107.1</v>
      </c>
      <c r="V297" s="40" t="n">
        <v>104.2</v>
      </c>
      <c r="W297" s="40" t="n">
        <v>157.6</v>
      </c>
      <c r="X297" s="40" t="n">
        <v>477.8</v>
      </c>
      <c r="Y297" s="40" t="n">
        <v>159.6</v>
      </c>
      <c r="Z297" s="40" t="n">
        <v>164.8</v>
      </c>
      <c r="AA297" s="40" t="n">
        <v>102.2</v>
      </c>
      <c r="AB297" s="40" t="n">
        <v>156.5</v>
      </c>
      <c r="AC297" s="40" t="n">
        <v>583.1</v>
      </c>
      <c r="AD297" s="40" t="n">
        <v>166.1</v>
      </c>
      <c r="AE297" s="40" t="n">
        <v>160.3</v>
      </c>
      <c r="AF297" s="40" t="n">
        <v>166.5</v>
      </c>
      <c r="AG297" s="40" t="n">
        <v>167.6</v>
      </c>
      <c r="AH297" s="40" t="n">
        <v>660.5</v>
      </c>
      <c r="AI297" s="40" t="n">
        <v>172.3</v>
      </c>
      <c r="AJ297" s="40" t="n">
        <v>181.1</v>
      </c>
      <c r="AK297" s="40" t="n">
        <v>174.1</v>
      </c>
      <c r="AL297" s="40" t="n">
        <v>178.7</v>
      </c>
      <c r="AM297" s="40" t="n">
        <v>706.2</v>
      </c>
      <c r="AN297" s="40" t="n">
        <v>179.9</v>
      </c>
      <c r="AO297" s="40" t="n">
        <v>178.8</v>
      </c>
      <c r="AP297" s="40" t="n">
        <v>177.9</v>
      </c>
      <c r="AQ297" s="40" t="n">
        <v>88.5</v>
      </c>
      <c r="AR297" s="40" t="n">
        <v>625.1</v>
      </c>
      <c r="AS297" s="40" t="n">
        <v>156.4</v>
      </c>
      <c r="AT297" s="40" t="n">
        <v>314.1</v>
      </c>
      <c r="AU297" s="40" t="n">
        <v>331.1</v>
      </c>
      <c r="AV297" s="40" t="n">
        <v>336.4</v>
      </c>
      <c r="AW297" s="40" t="n">
        <v>1138</v>
      </c>
      <c r="AX297" s="40" t="n">
        <v>344</v>
      </c>
      <c r="AY297" s="40" t="n">
        <v>347</v>
      </c>
      <c r="AZ297" s="40" t="n">
        <v>365</v>
      </c>
      <c r="BA297" s="40" t="n">
        <v>394</v>
      </c>
      <c r="BB297" s="40" t="n">
        <v>1450</v>
      </c>
      <c r="BC297" s="40" t="n">
        <v>386</v>
      </c>
      <c r="BD297" s="40" t="n">
        <v>373</v>
      </c>
      <c r="BE297" s="40" t="n">
        <v>361</v>
      </c>
      <c r="BF297" s="40" t="n">
        <v>364</v>
      </c>
      <c r="BG297" s="40" t="n">
        <v>1484</v>
      </c>
      <c r="BH297" s="40" t="n">
        <v>384</v>
      </c>
      <c r="BI297" s="40" t="n">
        <v>384</v>
      </c>
      <c r="BJ297" s="40" t="n">
        <v>379</v>
      </c>
      <c r="BK297" s="40" t="n">
        <v>344</v>
      </c>
      <c r="BL297" s="40" t="n">
        <v>1491</v>
      </c>
      <c r="BM297" s="40" t="n">
        <v>407</v>
      </c>
      <c r="BN297" s="40" t="n">
        <v>402</v>
      </c>
      <c r="BO297" s="40" t="n">
        <v>414</v>
      </c>
      <c r="BP297" s="40" t="n">
        <v>408</v>
      </c>
      <c r="BQ297" s="40" t="n">
        <v>1631</v>
      </c>
      <c r="BR297" s="40" t="n">
        <v>410</v>
      </c>
      <c r="BS297" s="40" t="n">
        <v>426</v>
      </c>
      <c r="BT297" s="40" t="n">
        <v>433</v>
      </c>
      <c r="BU297" s="40" t="n">
        <v>428</v>
      </c>
      <c r="BV297" s="40" t="n">
        <v>1697</v>
      </c>
      <c r="BW297" s="40" t="n">
        <v>434</v>
      </c>
      <c r="BX297" s="40" t="n">
        <v>463</v>
      </c>
      <c r="BY297" s="45"/>
      <c r="BZ297" s="45"/>
      <c r="CA297" s="41" t="n">
        <f aca="false">(BW297+BX297)+BY204+BZ204</f>
        <v>1900</v>
      </c>
      <c r="CB297" s="41" t="n">
        <f aca="false">CB204</f>
        <v>1909.53333333333</v>
      </c>
      <c r="CC297" s="41" t="n">
        <f aca="false">CC204</f>
        <v>1949.53333333333</v>
      </c>
      <c r="CD297" s="41" t="n">
        <f aca="false">CD204</f>
        <v>2009.53333333333</v>
      </c>
      <c r="CE297" s="41" t="n">
        <f aca="false">CE204</f>
        <v>1876.2</v>
      </c>
      <c r="CF297" s="37"/>
    </row>
    <row r="298" customFormat="false" ht="15" hidden="false" customHeight="true" outlineLevel="0" collapsed="false">
      <c r="B298" s="27" t="s">
        <v>459</v>
      </c>
      <c r="C298" s="40" t="n">
        <v>67.2</v>
      </c>
      <c r="D298" s="40" t="n">
        <v>73.3</v>
      </c>
      <c r="E298" s="40" t="n">
        <v>86</v>
      </c>
      <c r="F298" s="40" t="n">
        <v>87.3</v>
      </c>
      <c r="G298" s="40" t="n">
        <v>88.1</v>
      </c>
      <c r="H298" s="40" t="n">
        <v>95.6</v>
      </c>
      <c r="I298" s="40" t="n">
        <v>109.9</v>
      </c>
      <c r="J298" s="40" t="n">
        <v>27.8</v>
      </c>
      <c r="K298" s="40" t="n">
        <v>28.3</v>
      </c>
      <c r="L298" s="40" t="n">
        <v>29.6</v>
      </c>
      <c r="M298" s="40" t="n">
        <v>32</v>
      </c>
      <c r="N298" s="40" t="n">
        <v>117.7</v>
      </c>
      <c r="O298" s="40" t="n">
        <v>29</v>
      </c>
      <c r="P298" s="40" t="n">
        <v>26</v>
      </c>
      <c r="Q298" s="40" t="n">
        <v>33.9</v>
      </c>
      <c r="R298" s="40" t="n">
        <v>32.2</v>
      </c>
      <c r="S298" s="40" t="n">
        <v>121.1</v>
      </c>
      <c r="T298" s="40" t="n">
        <v>31.4</v>
      </c>
      <c r="U298" s="40" t="n">
        <v>29.4</v>
      </c>
      <c r="V298" s="40" t="n">
        <v>40.4</v>
      </c>
      <c r="W298" s="40" t="n">
        <v>37.8</v>
      </c>
      <c r="X298" s="40" t="n">
        <v>139</v>
      </c>
      <c r="Y298" s="40" t="n">
        <v>41.1</v>
      </c>
      <c r="Z298" s="40" t="n">
        <v>46.2</v>
      </c>
      <c r="AA298" s="40" t="n">
        <v>9</v>
      </c>
      <c r="AB298" s="40" t="n">
        <v>33.5</v>
      </c>
      <c r="AC298" s="40" t="n">
        <v>129.8</v>
      </c>
      <c r="AD298" s="40" t="n">
        <v>33.6</v>
      </c>
      <c r="AE298" s="40" t="n">
        <v>37.8</v>
      </c>
      <c r="AF298" s="40" t="n">
        <v>33.4</v>
      </c>
      <c r="AG298" s="40" t="n">
        <v>34.6</v>
      </c>
      <c r="AH298" s="40" t="n">
        <v>139.4</v>
      </c>
      <c r="AI298" s="40" t="n">
        <v>33.3</v>
      </c>
      <c r="AJ298" s="40" t="n">
        <v>40.1</v>
      </c>
      <c r="AK298" s="40" t="n">
        <v>38.2</v>
      </c>
      <c r="AL298" s="40" t="n">
        <v>39.8</v>
      </c>
      <c r="AM298" s="40" t="n">
        <v>151.4</v>
      </c>
      <c r="AN298" s="40" t="n">
        <v>39.2</v>
      </c>
      <c r="AO298" s="40" t="n">
        <v>46.2</v>
      </c>
      <c r="AP298" s="40" t="n">
        <v>44.6</v>
      </c>
      <c r="AQ298" s="40" t="n">
        <v>28.8</v>
      </c>
      <c r="AR298" s="40" t="n">
        <v>158.8</v>
      </c>
      <c r="AS298" s="40" t="n">
        <v>45.2</v>
      </c>
      <c r="AT298" s="40" t="n">
        <v>46.6</v>
      </c>
      <c r="AU298" s="40" t="n">
        <v>45.3</v>
      </c>
      <c r="AV298" s="40" t="n">
        <v>49.9</v>
      </c>
      <c r="AW298" s="40" t="n">
        <v>187</v>
      </c>
      <c r="AX298" s="40" t="n">
        <v>54</v>
      </c>
      <c r="AY298" s="40" t="n">
        <v>53</v>
      </c>
      <c r="AZ298" s="40" t="n">
        <v>52</v>
      </c>
      <c r="BA298" s="40" t="n">
        <v>59</v>
      </c>
      <c r="BB298" s="40" t="n">
        <v>218</v>
      </c>
      <c r="BC298" s="40" t="n">
        <v>80</v>
      </c>
      <c r="BD298" s="40" t="n">
        <v>101</v>
      </c>
      <c r="BE298" s="40" t="n">
        <v>89</v>
      </c>
      <c r="BF298" s="40" t="n">
        <v>66</v>
      </c>
      <c r="BG298" s="40" t="n">
        <v>336</v>
      </c>
      <c r="BH298" s="40" t="n">
        <v>79</v>
      </c>
      <c r="BI298" s="40" t="n">
        <v>109</v>
      </c>
      <c r="BJ298" s="40" t="n">
        <v>92</v>
      </c>
      <c r="BK298" s="40" t="n">
        <v>26</v>
      </c>
      <c r="BL298" s="40" t="n">
        <v>306</v>
      </c>
      <c r="BM298" s="40" t="n">
        <v>60</v>
      </c>
      <c r="BN298" s="40" t="n">
        <v>87</v>
      </c>
      <c r="BO298" s="40" t="n">
        <v>84</v>
      </c>
      <c r="BP298" s="40" t="n">
        <v>57</v>
      </c>
      <c r="BQ298" s="40" t="n">
        <v>288</v>
      </c>
      <c r="BR298" s="40" t="n">
        <v>61</v>
      </c>
      <c r="BS298" s="40" t="n">
        <v>91</v>
      </c>
      <c r="BT298" s="40" t="n">
        <v>83</v>
      </c>
      <c r="BU298" s="40" t="n">
        <v>63</v>
      </c>
      <c r="BV298" s="40" t="n">
        <v>298</v>
      </c>
      <c r="BW298" s="40" t="n">
        <v>58</v>
      </c>
      <c r="BX298" s="40" t="n">
        <v>93</v>
      </c>
      <c r="BY298" s="45"/>
      <c r="BZ298" s="45"/>
      <c r="CA298" s="41" t="n">
        <f aca="false">(BW298+BX298)+BY206+BZ206</f>
        <v>327.542671005239</v>
      </c>
      <c r="CB298" s="41" t="n">
        <f aca="false">CB206</f>
        <v>347.829160329403</v>
      </c>
      <c r="CC298" s="41" t="n">
        <f aca="false">CC206</f>
        <v>370.614792556609</v>
      </c>
      <c r="CD298" s="41" t="n">
        <f aca="false">CD206</f>
        <v>396.876434649185</v>
      </c>
      <c r="CE298" s="41" t="n">
        <f aca="false">CE206</f>
        <v>425.206595389643</v>
      </c>
      <c r="CF298" s="37"/>
    </row>
    <row r="299" customFormat="false" ht="15" hidden="false" customHeight="true" outlineLevel="0" collapsed="false">
      <c r="B299" s="27" t="s">
        <v>460</v>
      </c>
      <c r="C299" s="40" t="n">
        <v>24.2</v>
      </c>
      <c r="D299" s="40" t="n">
        <v>29.9</v>
      </c>
      <c r="E299" s="40" t="n">
        <v>27.7</v>
      </c>
      <c r="F299" s="40" t="n">
        <v>-154.1</v>
      </c>
      <c r="G299" s="40" t="n">
        <v>43.4</v>
      </c>
      <c r="H299" s="40" t="n">
        <v>271.4</v>
      </c>
      <c r="I299" s="40" t="n">
        <v>184.9</v>
      </c>
      <c r="J299" s="39"/>
      <c r="K299" s="39"/>
      <c r="L299" s="39"/>
      <c r="M299" s="40" t="n">
        <v>254.6</v>
      </c>
      <c r="N299" s="40" t="n">
        <v>254.6</v>
      </c>
      <c r="O299" s="39"/>
      <c r="P299" s="39"/>
      <c r="Q299" s="39"/>
      <c r="R299" s="40" t="n">
        <v>177.3</v>
      </c>
      <c r="S299" s="40" t="n">
        <v>177.3</v>
      </c>
      <c r="T299" s="39"/>
      <c r="U299" s="39"/>
      <c r="V299" s="39"/>
      <c r="W299" s="40" t="n">
        <v>-151.3</v>
      </c>
      <c r="X299" s="40" t="n">
        <v>-151.3</v>
      </c>
      <c r="Y299" s="39"/>
      <c r="Z299" s="39"/>
      <c r="AA299" s="39"/>
      <c r="AB299" s="40" t="n">
        <v>-383.9</v>
      </c>
      <c r="AC299" s="40" t="n">
        <v>-383.9</v>
      </c>
      <c r="AD299" s="39"/>
      <c r="AE299" s="39"/>
      <c r="AF299" s="39"/>
      <c r="AG299" s="40" t="n">
        <v>-426.9</v>
      </c>
      <c r="AH299" s="40" t="n">
        <v>-426.9</v>
      </c>
      <c r="AI299" s="39"/>
      <c r="AJ299" s="39"/>
      <c r="AK299" s="39"/>
      <c r="AL299" s="40" t="n">
        <v>-195.1</v>
      </c>
      <c r="AM299" s="40" t="n">
        <v>-195.1</v>
      </c>
      <c r="AN299" s="39"/>
      <c r="AO299" s="39"/>
      <c r="AP299" s="39"/>
      <c r="AQ299" s="40" t="n">
        <v>-415.2</v>
      </c>
      <c r="AR299" s="40" t="n">
        <v>-415.2</v>
      </c>
      <c r="AS299" s="39"/>
      <c r="AT299" s="39"/>
      <c r="AU299" s="39"/>
      <c r="AV299" s="40" t="n">
        <v>518</v>
      </c>
      <c r="AW299" s="40" t="n">
        <v>518</v>
      </c>
      <c r="AX299" s="39"/>
      <c r="AY299" s="39"/>
      <c r="AZ299" s="39"/>
      <c r="BA299" s="40" t="n">
        <v>-229</v>
      </c>
      <c r="BB299" s="40" t="n">
        <v>-229</v>
      </c>
      <c r="BC299" s="39"/>
      <c r="BD299" s="39"/>
      <c r="BE299" s="39"/>
      <c r="BF299" s="40" t="n">
        <v>-559</v>
      </c>
      <c r="BG299" s="40" t="n">
        <v>-559</v>
      </c>
      <c r="BH299" s="39"/>
      <c r="BI299" s="39"/>
      <c r="BJ299" s="39"/>
      <c r="BK299" s="40" t="n">
        <v>-1204</v>
      </c>
      <c r="BL299" s="40" t="n">
        <v>-1204</v>
      </c>
      <c r="BM299" s="39"/>
      <c r="BN299" s="39"/>
      <c r="BO299" s="39"/>
      <c r="BP299" s="40" t="n">
        <v>-483</v>
      </c>
      <c r="BQ299" s="40" t="n">
        <v>-483</v>
      </c>
      <c r="BR299" s="39"/>
      <c r="BS299" s="39"/>
      <c r="BT299" s="39"/>
      <c r="BU299" s="40" t="n">
        <v>-440</v>
      </c>
      <c r="BV299" s="40" t="n">
        <v>-440</v>
      </c>
      <c r="BW299" s="39"/>
      <c r="BX299" s="39"/>
      <c r="BY299" s="45"/>
      <c r="BZ299" s="45"/>
      <c r="CA299" s="41" t="n">
        <f aca="false">N((BW299+BX299))+-200</f>
        <v>-200</v>
      </c>
      <c r="CB299" s="43" t="n">
        <v>-400</v>
      </c>
      <c r="CC299" s="43" t="n">
        <v>-400</v>
      </c>
      <c r="CD299" s="43" t="n">
        <v>-400</v>
      </c>
      <c r="CE299" s="43" t="n">
        <v>-400</v>
      </c>
      <c r="CF299" s="37" t="s">
        <v>461</v>
      </c>
    </row>
    <row r="300" customFormat="false" ht="15" hidden="false" customHeight="true" outlineLevel="0" collapsed="false">
      <c r="B300" s="27" t="s">
        <v>462</v>
      </c>
      <c r="C300" s="40" t="n">
        <v>-2.8421709430404E-014</v>
      </c>
      <c r="D300" s="40" t="n">
        <v>-209.4</v>
      </c>
      <c r="E300" s="40" t="n">
        <v>7.105427357601E-014</v>
      </c>
      <c r="F300" s="40" t="n">
        <v>-84.7000000000002</v>
      </c>
      <c r="G300" s="40" t="n">
        <v>-313.8</v>
      </c>
      <c r="H300" s="40" t="n">
        <v>-361.2</v>
      </c>
      <c r="I300" s="40" t="n">
        <v>-205.4</v>
      </c>
      <c r="J300" s="40" t="n">
        <v>-163.2</v>
      </c>
      <c r="K300" s="40" t="n">
        <v>-4.2632564145606E-014</v>
      </c>
      <c r="L300" s="40" t="n">
        <v>-1.13686837721616E-013</v>
      </c>
      <c r="M300" s="40" t="n">
        <v>-201.5</v>
      </c>
      <c r="N300" s="40" t="n">
        <v>-364.7</v>
      </c>
      <c r="O300" s="40" t="n">
        <v>-5.6843418860808E-014</v>
      </c>
      <c r="P300" s="40" t="n">
        <v>-19.1999999999999</v>
      </c>
      <c r="Q300" s="40" t="n">
        <v>-38.2000000000002</v>
      </c>
      <c r="R300" s="40" t="n">
        <v>-99.1</v>
      </c>
      <c r="S300" s="40" t="n">
        <v>-156.5</v>
      </c>
      <c r="T300" s="40" t="n">
        <v>1.13686837721616E-013</v>
      </c>
      <c r="U300" s="40" t="n">
        <v>-1.13686837721616E-013</v>
      </c>
      <c r="V300" s="40" t="n">
        <v>-754.8</v>
      </c>
      <c r="W300" s="40" t="n">
        <v>-42.4999999999996</v>
      </c>
      <c r="X300" s="40" t="n">
        <v>-797.3</v>
      </c>
      <c r="Y300" s="40" t="n">
        <v>-223.4</v>
      </c>
      <c r="Z300" s="40" t="n">
        <v>5.6843418860808E-014</v>
      </c>
      <c r="AA300" s="40" t="n">
        <v>212.8</v>
      </c>
      <c r="AB300" s="40" t="n">
        <v>1.84741111297626E-013</v>
      </c>
      <c r="AC300" s="40" t="n">
        <v>-10.5999999999997</v>
      </c>
      <c r="AD300" s="40" t="n">
        <v>-22.3</v>
      </c>
      <c r="AE300" s="40" t="n">
        <v>49.3</v>
      </c>
      <c r="AF300" s="40" t="n">
        <v>-5.6843418860808E-014</v>
      </c>
      <c r="AG300" s="40" t="n">
        <v>-65.9999999999997</v>
      </c>
      <c r="AH300" s="40" t="n">
        <v>-38.9999999999997</v>
      </c>
      <c r="AI300" s="40" t="n">
        <v>-5.6843418860808E-014</v>
      </c>
      <c r="AJ300" s="40" t="n">
        <v>-4.2632564145606E-014</v>
      </c>
      <c r="AK300" s="40" t="n">
        <v>1.84741111297626E-013</v>
      </c>
      <c r="AL300" s="40" t="n">
        <v>2.09999999999963</v>
      </c>
      <c r="AM300" s="40" t="n">
        <v>2.09999999999985</v>
      </c>
      <c r="AN300" s="40" t="n">
        <v>-6.52811138479592E-014</v>
      </c>
      <c r="AO300" s="40" t="n">
        <v>6.3948846218409E-014</v>
      </c>
      <c r="AP300" s="40" t="n">
        <v>0</v>
      </c>
      <c r="AQ300" s="40" t="n">
        <v>-281.7</v>
      </c>
      <c r="AR300" s="40" t="n">
        <v>-281.7</v>
      </c>
      <c r="AS300" s="40" t="n">
        <v>-7.00000000000004</v>
      </c>
      <c r="AT300" s="40" t="n">
        <v>-454.6</v>
      </c>
      <c r="AU300" s="40" t="n">
        <v>417.2</v>
      </c>
      <c r="AV300" s="40" t="n">
        <v>39.4000000000003</v>
      </c>
      <c r="AW300" s="40" t="n">
        <v>-5</v>
      </c>
      <c r="AX300" s="40" t="n">
        <v>-73</v>
      </c>
      <c r="AY300" s="40" t="n">
        <v>-199</v>
      </c>
      <c r="AZ300" s="40" t="n">
        <v>431</v>
      </c>
      <c r="BA300" s="40" t="n">
        <v>38</v>
      </c>
      <c r="BB300" s="40" t="n">
        <v>197</v>
      </c>
      <c r="BC300" s="40" t="n">
        <v>24</v>
      </c>
      <c r="BD300" s="40" t="n">
        <v>98</v>
      </c>
      <c r="BE300" s="40" t="n">
        <v>64</v>
      </c>
      <c r="BF300" s="40" t="n">
        <v>85</v>
      </c>
      <c r="BG300" s="40" t="n">
        <v>271</v>
      </c>
      <c r="BH300" s="40" t="n">
        <v>-22</v>
      </c>
      <c r="BI300" s="40" t="n">
        <v>32</v>
      </c>
      <c r="BJ300" s="40" t="n">
        <v>48</v>
      </c>
      <c r="BK300" s="40" t="n">
        <v>263</v>
      </c>
      <c r="BL300" s="40" t="n">
        <v>321</v>
      </c>
      <c r="BM300" s="40" t="n">
        <v>62</v>
      </c>
      <c r="BN300" s="40" t="n">
        <v>59</v>
      </c>
      <c r="BO300" s="40" t="n">
        <v>119</v>
      </c>
      <c r="BP300" s="40" t="n">
        <v>107</v>
      </c>
      <c r="BQ300" s="40" t="n">
        <v>347</v>
      </c>
      <c r="BR300" s="40" t="n">
        <v>96</v>
      </c>
      <c r="BS300" s="40" t="n">
        <v>476</v>
      </c>
      <c r="BT300" s="40" t="n">
        <v>116</v>
      </c>
      <c r="BU300" s="40" t="n">
        <v>88</v>
      </c>
      <c r="BV300" s="40" t="n">
        <v>776</v>
      </c>
      <c r="BW300" s="40" t="n">
        <v>77</v>
      </c>
      <c r="BX300" s="40" t="n">
        <v>53</v>
      </c>
      <c r="BY300" s="45"/>
      <c r="BZ300" s="45"/>
      <c r="CA300" s="41" t="n">
        <f aca="false">(BW300+BX300)</f>
        <v>130</v>
      </c>
      <c r="CB300" s="43" t="n">
        <v>0</v>
      </c>
      <c r="CC300" s="43" t="n">
        <v>0</v>
      </c>
      <c r="CD300" s="43" t="n">
        <v>0</v>
      </c>
      <c r="CE300" s="43" t="n">
        <v>0</v>
      </c>
      <c r="CF300" s="37" t="s">
        <v>463</v>
      </c>
    </row>
    <row r="301" customFormat="false" ht="15" hidden="false" customHeight="true" outlineLevel="0" collapsed="false">
      <c r="B301" s="27" t="s">
        <v>464</v>
      </c>
      <c r="C301" s="40" t="n">
        <v>116.7</v>
      </c>
      <c r="D301" s="40" t="n">
        <v>113.6</v>
      </c>
      <c r="E301" s="40" t="n">
        <v>88.4</v>
      </c>
      <c r="F301" s="40" t="n">
        <v>459</v>
      </c>
      <c r="G301" s="40" t="n">
        <v>76.6</v>
      </c>
      <c r="H301" s="40" t="n">
        <v>-186.8</v>
      </c>
      <c r="I301" s="40" t="n">
        <v>93.6</v>
      </c>
      <c r="J301" s="40" t="n">
        <v>-136.8</v>
      </c>
      <c r="K301" s="40" t="n">
        <v>34.5</v>
      </c>
      <c r="L301" s="40" t="n">
        <v>119.5</v>
      </c>
      <c r="M301" s="40" t="n">
        <v>-29.5</v>
      </c>
      <c r="N301" s="40" t="n">
        <v>-12.3</v>
      </c>
      <c r="O301" s="40" t="n">
        <v>-322.2</v>
      </c>
      <c r="P301" s="40" t="n">
        <v>73.1</v>
      </c>
      <c r="Q301" s="40" t="n">
        <v>99.2</v>
      </c>
      <c r="R301" s="40" t="n">
        <v>229.5</v>
      </c>
      <c r="S301" s="40" t="n">
        <v>79.6</v>
      </c>
      <c r="T301" s="40" t="n">
        <v>-325</v>
      </c>
      <c r="U301" s="40" t="n">
        <v>120.7</v>
      </c>
      <c r="V301" s="40" t="n">
        <v>23</v>
      </c>
      <c r="W301" s="40" t="n">
        <v>384</v>
      </c>
      <c r="X301" s="40" t="n">
        <v>202.7</v>
      </c>
      <c r="Y301" s="40" t="n">
        <v>-113.4</v>
      </c>
      <c r="Z301" s="40" t="n">
        <v>258.1</v>
      </c>
      <c r="AA301" s="40" t="n">
        <v>13.2</v>
      </c>
      <c r="AB301" s="40" t="n">
        <v>-53.2</v>
      </c>
      <c r="AC301" s="40" t="n">
        <v>104.7</v>
      </c>
      <c r="AD301" s="40" t="n">
        <v>-262.8</v>
      </c>
      <c r="AE301" s="40" t="n">
        <v>62.9</v>
      </c>
      <c r="AF301" s="40" t="n">
        <v>155.5</v>
      </c>
      <c r="AG301" s="40" t="n">
        <v>118.3</v>
      </c>
      <c r="AH301" s="40" t="n">
        <v>73.9</v>
      </c>
      <c r="AI301" s="40" t="n">
        <v>-91.8</v>
      </c>
      <c r="AJ301" s="40" t="n">
        <v>-12.5</v>
      </c>
      <c r="AK301" s="40" t="n">
        <v>-103.9</v>
      </c>
      <c r="AL301" s="40" t="n">
        <v>313.2</v>
      </c>
      <c r="AM301" s="40" t="n">
        <v>105</v>
      </c>
      <c r="AN301" s="40" t="n">
        <v>1.9</v>
      </c>
      <c r="AO301" s="40" t="n">
        <v>63.2</v>
      </c>
      <c r="AP301" s="40" t="n">
        <v>-80.6</v>
      </c>
      <c r="AQ301" s="40" t="n">
        <v>307.5</v>
      </c>
      <c r="AR301" s="40" t="n">
        <v>292</v>
      </c>
      <c r="AS301" s="40" t="n">
        <v>-112.1</v>
      </c>
      <c r="AT301" s="40" t="n">
        <v>448.6</v>
      </c>
      <c r="AU301" s="40" t="n">
        <v>-114.8</v>
      </c>
      <c r="AV301" s="40" t="n">
        <v>-134.7</v>
      </c>
      <c r="AW301" s="40" t="n">
        <v>87</v>
      </c>
      <c r="AX301" s="40" t="n">
        <v>-314</v>
      </c>
      <c r="AY301" s="40" t="n">
        <v>-44</v>
      </c>
      <c r="AZ301" s="40" t="n">
        <v>-161</v>
      </c>
      <c r="BA301" s="40" t="n">
        <v>90</v>
      </c>
      <c r="BB301" s="40" t="n">
        <v>-429</v>
      </c>
      <c r="BC301" s="40" t="n">
        <v>-426</v>
      </c>
      <c r="BD301" s="40" t="n">
        <v>-431</v>
      </c>
      <c r="BE301" s="40" t="n">
        <v>-255</v>
      </c>
      <c r="BF301" s="40" t="n">
        <v>152</v>
      </c>
      <c r="BG301" s="40" t="n">
        <v>-960</v>
      </c>
      <c r="BH301" s="40" t="n">
        <v>-117</v>
      </c>
      <c r="BI301" s="40" t="n">
        <v>117</v>
      </c>
      <c r="BJ301" s="40" t="n">
        <v>-151</v>
      </c>
      <c r="BK301" s="40" t="n">
        <v>962</v>
      </c>
      <c r="BL301" s="40" t="n">
        <v>811</v>
      </c>
      <c r="BM301" s="40" t="n">
        <v>-57</v>
      </c>
      <c r="BN301" s="40" t="n">
        <v>-216</v>
      </c>
      <c r="BO301" s="40" t="n">
        <v>-99</v>
      </c>
      <c r="BP301" s="40" t="n">
        <v>657</v>
      </c>
      <c r="BQ301" s="40" t="n">
        <v>285</v>
      </c>
      <c r="BR301" s="40" t="n">
        <v>-403</v>
      </c>
      <c r="BS301" s="40" t="n">
        <v>-395</v>
      </c>
      <c r="BT301" s="40" t="n">
        <v>-67</v>
      </c>
      <c r="BU301" s="40" t="n">
        <v>586</v>
      </c>
      <c r="BV301" s="40" t="n">
        <v>-279</v>
      </c>
      <c r="BW301" s="40" t="n">
        <v>-469</v>
      </c>
      <c r="BX301" s="40" t="n">
        <v>-141</v>
      </c>
      <c r="BY301" s="45"/>
      <c r="BZ301" s="45"/>
      <c r="CA301" s="41" t="n">
        <f aca="false">(BW301+BX301)-(CA349-BX349)-(CA350-BX350)+(CA360-BX360)+(CA361-BX361)</f>
        <v>380.246290231408</v>
      </c>
      <c r="CB301" s="41" t="n">
        <f aca="false">-(CB349-CA349)-(CB350-CA350)+(CB360-CA360)+(CB361-CA361)-(CB97*0)</f>
        <v>58.6720730658774</v>
      </c>
      <c r="CC301" s="41" t="n">
        <f aca="false">-(CC349-CB349)-(CC350-CB350)+(CC360-CB360)+(CC361-CB361)-(CC97*0)</f>
        <v>51.0553724186802</v>
      </c>
      <c r="CD301" s="41" t="n">
        <f aca="false">-(CD349-CC349)-(CD350-CC350)+(CD360-CC360)+(CD361-CC361)-(CD97*0)</f>
        <v>56.9436127643812</v>
      </c>
      <c r="CE301" s="41" t="n">
        <f aca="false">-(CE349-CD349)-(CE350-CD350)+(CE360-CD360)+(CE361-CD361)-(CE97*0)</f>
        <v>73.7652900387252</v>
      </c>
      <c r="CF301" s="37" t="s">
        <v>465</v>
      </c>
    </row>
    <row r="302" customFormat="false" ht="15" hidden="false" customHeight="true" outlineLevel="0" collapsed="false">
      <c r="B302" s="18" t="s">
        <v>466</v>
      </c>
      <c r="C302" s="20" t="n">
        <v>1547.3</v>
      </c>
      <c r="D302" s="20" t="n">
        <v>1645.8</v>
      </c>
      <c r="E302" s="20" t="n">
        <v>1859</v>
      </c>
      <c r="F302" s="20" t="n">
        <v>1800.8</v>
      </c>
      <c r="G302" s="20" t="n">
        <v>2084.4</v>
      </c>
      <c r="H302" s="20" t="n">
        <v>2626.3</v>
      </c>
      <c r="I302" s="20" t="n">
        <v>3415</v>
      </c>
      <c r="J302" s="20" t="n">
        <v>636.5</v>
      </c>
      <c r="K302" s="20" t="n">
        <v>899.2</v>
      </c>
      <c r="L302" s="20" t="n">
        <v>971.4</v>
      </c>
      <c r="M302" s="20" t="n">
        <v>1078.2</v>
      </c>
      <c r="N302" s="20" t="n">
        <v>3585.3</v>
      </c>
      <c r="O302" s="20" t="n">
        <v>511.2</v>
      </c>
      <c r="P302" s="20" t="n">
        <v>991.7</v>
      </c>
      <c r="Q302" s="20" t="n">
        <v>1016.1</v>
      </c>
      <c r="R302" s="20" t="n">
        <v>1239.4</v>
      </c>
      <c r="S302" s="20" t="n">
        <v>3758.4</v>
      </c>
      <c r="T302" s="20" t="n">
        <v>523.6</v>
      </c>
      <c r="U302" s="20" t="n">
        <v>1094</v>
      </c>
      <c r="V302" s="20" t="n">
        <v>952.6</v>
      </c>
      <c r="W302" s="20" t="n">
        <v>1231.6</v>
      </c>
      <c r="X302" s="20" t="n">
        <v>3801.8</v>
      </c>
      <c r="Y302" s="20" t="n">
        <v>772.8</v>
      </c>
      <c r="Z302" s="20" t="n">
        <v>1281.8</v>
      </c>
      <c r="AA302" s="20" t="n">
        <v>818.2</v>
      </c>
      <c r="AB302" s="20" t="n">
        <v>649</v>
      </c>
      <c r="AC302" s="20" t="n">
        <v>3521.8</v>
      </c>
      <c r="AD302" s="20" t="n">
        <v>560.2</v>
      </c>
      <c r="AE302" s="20" t="n">
        <v>1010.5</v>
      </c>
      <c r="AF302" s="20" t="n">
        <v>1072.4</v>
      </c>
      <c r="AG302" s="20" t="n">
        <v>834.7</v>
      </c>
      <c r="AH302" s="20" t="n">
        <v>3477.8</v>
      </c>
      <c r="AI302" s="20" t="n">
        <v>828.9</v>
      </c>
      <c r="AJ302" s="20" t="n">
        <v>1036</v>
      </c>
      <c r="AK302" s="20" t="n">
        <v>919.5</v>
      </c>
      <c r="AL302" s="20" t="n">
        <v>1237.6</v>
      </c>
      <c r="AM302" s="20" t="n">
        <v>4022</v>
      </c>
      <c r="AN302" s="20" t="n">
        <v>703.3</v>
      </c>
      <c r="AO302" s="20" t="n">
        <v>1171.5</v>
      </c>
      <c r="AP302" s="20" t="n">
        <v>965.6</v>
      </c>
      <c r="AQ302" s="20" t="n">
        <v>1111.2</v>
      </c>
      <c r="AR302" s="20" t="n">
        <v>3951.6</v>
      </c>
      <c r="AS302" s="20" t="n">
        <v>819</v>
      </c>
      <c r="AT302" s="20" t="n">
        <v>1445</v>
      </c>
      <c r="AU302" s="20" t="n">
        <v>1722.7</v>
      </c>
      <c r="AV302" s="20" t="n">
        <v>2221.3</v>
      </c>
      <c r="AW302" s="20" t="n">
        <v>6208</v>
      </c>
      <c r="AX302" s="20" t="n">
        <v>1871</v>
      </c>
      <c r="AY302" s="20" t="n">
        <v>2120</v>
      </c>
      <c r="AZ302" s="20" t="n">
        <v>2034</v>
      </c>
      <c r="BA302" s="20" t="n">
        <v>2333</v>
      </c>
      <c r="BB302" s="20" t="n">
        <v>8358</v>
      </c>
      <c r="BC302" s="20" t="n">
        <v>1968</v>
      </c>
      <c r="BD302" s="20" t="n">
        <v>2000</v>
      </c>
      <c r="BE302" s="20" t="n">
        <v>2010</v>
      </c>
      <c r="BF302" s="20" t="n">
        <v>2541</v>
      </c>
      <c r="BG302" s="20" t="n">
        <v>8519</v>
      </c>
      <c r="BH302" s="20" t="n">
        <v>1947</v>
      </c>
      <c r="BI302" s="20" t="n">
        <v>1926</v>
      </c>
      <c r="BJ302" s="20" t="n">
        <v>1672</v>
      </c>
      <c r="BK302" s="20" t="n">
        <v>1619</v>
      </c>
      <c r="BL302" s="20" t="n">
        <v>7164</v>
      </c>
      <c r="BM302" s="20" t="n">
        <v>1739</v>
      </c>
      <c r="BN302" s="20" t="n">
        <v>1417</v>
      </c>
      <c r="BO302" s="20" t="n">
        <v>1513</v>
      </c>
      <c r="BP302" s="20" t="n">
        <v>2019</v>
      </c>
      <c r="BQ302" s="20" t="n">
        <v>6688</v>
      </c>
      <c r="BR302" s="20" t="n">
        <v>1299</v>
      </c>
      <c r="BS302" s="20" t="n">
        <v>1338</v>
      </c>
      <c r="BT302" s="20" t="n">
        <v>1662</v>
      </c>
      <c r="BU302" s="20" t="n">
        <v>2117</v>
      </c>
      <c r="BV302" s="20" t="n">
        <v>6416</v>
      </c>
      <c r="BW302" s="20" t="n">
        <v>1322</v>
      </c>
      <c r="BX302" s="20" t="n">
        <v>1534</v>
      </c>
      <c r="BY302" s="59"/>
      <c r="BZ302" s="59"/>
      <c r="CA302" s="21" t="n">
        <f aca="false">SUM(CA294:CA301)</f>
        <v>7630.44818641146</v>
      </c>
      <c r="CB302" s="21" t="n">
        <f aca="false">SUM(CB294:CB301)</f>
        <v>7828.71404378956</v>
      </c>
      <c r="CC302" s="21" t="n">
        <f aca="false">SUM(CC294:CC301)</f>
        <v>8558.87031422563</v>
      </c>
      <c r="CD302" s="21" t="n">
        <f aca="false">SUM(CD294:CD301)</f>
        <v>9289.43026235268</v>
      </c>
      <c r="CE302" s="21" t="n">
        <f aca="false">SUM(CE294:CE301)</f>
        <v>10070.7012984608</v>
      </c>
      <c r="CF302" s="7"/>
      <c r="CH302" s="22" t="n">
        <f aca="false">IFERROR((CE302/BV302)^(1/5)-1,"n/m")</f>
        <v>0.0943571302718564</v>
      </c>
      <c r="CI302" s="22" t="n">
        <f aca="false">IFERROR((BV302/AW302)^(1/5)-1,"n/m")</f>
        <v>0.00661298741468452</v>
      </c>
      <c r="CJ302" s="22" t="n">
        <f aca="false">IFERROR((BV302/X302)^(1/10)-1,"n/m")</f>
        <v>0.0537255457425978</v>
      </c>
      <c r="CK302" s="22" t="n">
        <f aca="false">IFERROR((BV302/C302)^(1/19)-1,"n/m")</f>
        <v>0.0777300468229509</v>
      </c>
    </row>
    <row r="303" customFormat="false" ht="15" hidden="false" customHeight="true" outlineLevel="0" collapsed="false">
      <c r="B303" s="27" t="s">
        <v>467</v>
      </c>
      <c r="C303" s="40" t="n">
        <v>-137.7</v>
      </c>
      <c r="D303" s="40" t="n">
        <v>-162.1</v>
      </c>
      <c r="E303" s="40" t="n">
        <v>-193.8</v>
      </c>
      <c r="F303" s="40" t="n">
        <v>-188.5</v>
      </c>
      <c r="G303" s="40" t="n">
        <v>-217.3</v>
      </c>
      <c r="H303" s="40" t="n">
        <v>-334.5</v>
      </c>
      <c r="I303" s="40" t="n">
        <v>-458.3</v>
      </c>
      <c r="J303" s="40" t="n">
        <v>-116.3</v>
      </c>
      <c r="K303" s="40" t="n">
        <v>-136.2</v>
      </c>
      <c r="L303" s="40" t="n">
        <v>-139.3</v>
      </c>
      <c r="M303" s="40" t="n">
        <v>-159.7</v>
      </c>
      <c r="N303" s="40" t="n">
        <v>-551.5</v>
      </c>
      <c r="O303" s="40" t="n">
        <v>-130.9</v>
      </c>
      <c r="P303" s="40" t="n">
        <v>-147.7</v>
      </c>
      <c r="Q303" s="40" t="n">
        <v>-142.8</v>
      </c>
      <c r="R303" s="40" t="n">
        <v>-176.1</v>
      </c>
      <c r="S303" s="40" t="n">
        <v>-597.5</v>
      </c>
      <c r="T303" s="40" t="n">
        <v>-119.2</v>
      </c>
      <c r="U303" s="40" t="n">
        <v>-138.9</v>
      </c>
      <c r="V303" s="40" t="n">
        <v>-180.6</v>
      </c>
      <c r="W303" s="40" t="n">
        <v>-194.3</v>
      </c>
      <c r="X303" s="40" t="n">
        <v>-633</v>
      </c>
      <c r="Y303" s="40" t="n">
        <v>-151</v>
      </c>
      <c r="Z303" s="40" t="n">
        <v>-183.9</v>
      </c>
      <c r="AA303" s="40" t="n">
        <v>-87.2000000000001</v>
      </c>
      <c r="AB303" s="40" t="n">
        <v>-167.5</v>
      </c>
      <c r="AC303" s="40" t="n">
        <v>-589.6</v>
      </c>
      <c r="AD303" s="40" t="n">
        <v>-158.6</v>
      </c>
      <c r="AE303" s="40" t="n">
        <v>-147.9</v>
      </c>
      <c r="AF303" s="40" t="n">
        <v>-139.3</v>
      </c>
      <c r="AG303" s="40" t="n">
        <v>-173.8</v>
      </c>
      <c r="AH303" s="40" t="n">
        <v>-619.6</v>
      </c>
      <c r="AI303" s="40" t="n">
        <v>-137.9</v>
      </c>
      <c r="AJ303" s="40" t="n">
        <v>-153.8</v>
      </c>
      <c r="AK303" s="40" t="n">
        <v>-149.6</v>
      </c>
      <c r="AL303" s="40" t="n">
        <v>-214.4</v>
      </c>
      <c r="AM303" s="40" t="n">
        <v>-655.7</v>
      </c>
      <c r="AN303" s="40" t="n">
        <v>-155.7</v>
      </c>
      <c r="AO303" s="40" t="n">
        <v>-180.8</v>
      </c>
      <c r="AP303" s="40" t="n">
        <v>-181.9</v>
      </c>
      <c r="AQ303" s="40" t="n">
        <v>-117.1</v>
      </c>
      <c r="AR303" s="40" t="n">
        <v>-635.5</v>
      </c>
      <c r="AS303" s="40" t="n">
        <v>-132.5</v>
      </c>
      <c r="AT303" s="40" t="n">
        <v>-155.4</v>
      </c>
      <c r="AU303" s="40" t="n">
        <v>-187.3</v>
      </c>
      <c r="AV303" s="40" t="n">
        <v>-315.8</v>
      </c>
      <c r="AW303" s="40" t="n">
        <v>-791</v>
      </c>
      <c r="AX303" s="40" t="n">
        <v>-251</v>
      </c>
      <c r="AY303" s="40" t="n">
        <v>-305</v>
      </c>
      <c r="AZ303" s="40" t="n">
        <v>-318</v>
      </c>
      <c r="BA303" s="40" t="n">
        <v>-420</v>
      </c>
      <c r="BB303" s="40" t="n">
        <v>-1294</v>
      </c>
      <c r="BC303" s="40" t="n">
        <v>-250</v>
      </c>
      <c r="BD303" s="40" t="n">
        <v>-296</v>
      </c>
      <c r="BE303" s="40" t="n">
        <v>-277</v>
      </c>
      <c r="BF303" s="40" t="n">
        <v>-329</v>
      </c>
      <c r="BG303" s="40" t="n">
        <v>-1152</v>
      </c>
      <c r="BH303" s="40" t="n">
        <v>-275</v>
      </c>
      <c r="BI303" s="40" t="n">
        <v>-341</v>
      </c>
      <c r="BJ303" s="40" t="n">
        <v>-365</v>
      </c>
      <c r="BK303" s="40" t="n">
        <v>-402</v>
      </c>
      <c r="BL303" s="40" t="n">
        <v>-1383</v>
      </c>
      <c r="BM303" s="40" t="n">
        <v>-291</v>
      </c>
      <c r="BN303" s="40" t="n">
        <v>-287</v>
      </c>
      <c r="BO303" s="40" t="n">
        <v>-298</v>
      </c>
      <c r="BP303" s="40" t="n">
        <v>-516</v>
      </c>
      <c r="BQ303" s="40" t="n">
        <v>-1392</v>
      </c>
      <c r="BR303" s="40" t="n">
        <v>-245</v>
      </c>
      <c r="BS303" s="40" t="n">
        <v>-248</v>
      </c>
      <c r="BT303" s="40" t="n">
        <v>-292</v>
      </c>
      <c r="BU303" s="40" t="n">
        <v>-371</v>
      </c>
      <c r="BV303" s="40" t="n">
        <v>-1156</v>
      </c>
      <c r="BW303" s="40" t="n">
        <v>-237</v>
      </c>
      <c r="BX303" s="40" t="n">
        <v>-269</v>
      </c>
      <c r="BY303" s="45"/>
      <c r="BZ303" s="45"/>
      <c r="CA303" s="41" t="n">
        <f aca="false">-$CP$19</f>
        <v>-1150</v>
      </c>
      <c r="CB303" s="41" t="n">
        <f aca="false">-CB178*CB333</f>
        <v>-1304.35935123526</v>
      </c>
      <c r="CC303" s="41" t="n">
        <f aca="false">-CC178*CC333</f>
        <v>-1389.80547208728</v>
      </c>
      <c r="CD303" s="41" t="n">
        <f aca="false">-CD178*CD333</f>
        <v>-1488.28662993444</v>
      </c>
      <c r="CE303" s="41" t="n">
        <f aca="false">-CE178*CE333</f>
        <v>-1594.52473271116</v>
      </c>
      <c r="CF303" s="37" t="s">
        <v>468</v>
      </c>
    </row>
    <row r="304" customFormat="false" ht="15" hidden="false" customHeight="true" outlineLevel="0" collapsed="false">
      <c r="B304" s="27" t="s">
        <v>469</v>
      </c>
      <c r="C304" s="40" t="n">
        <v>10</v>
      </c>
      <c r="D304" s="40" t="n">
        <v>15.5</v>
      </c>
      <c r="E304" s="40" t="n">
        <v>1.1</v>
      </c>
      <c r="F304" s="40" t="n">
        <v>6.1</v>
      </c>
      <c r="G304" s="40" t="n">
        <v>1.6</v>
      </c>
      <c r="H304" s="40" t="n">
        <v>8.6</v>
      </c>
      <c r="I304" s="40" t="n">
        <v>30</v>
      </c>
      <c r="J304" s="39"/>
      <c r="K304" s="39"/>
      <c r="L304" s="39"/>
      <c r="M304" s="39"/>
      <c r="N304" s="39"/>
      <c r="O304" s="39"/>
      <c r="P304" s="39"/>
      <c r="Q304" s="39"/>
      <c r="R304" s="39"/>
      <c r="S304" s="39"/>
      <c r="T304" s="39"/>
      <c r="U304" s="39"/>
      <c r="V304" s="39"/>
      <c r="W304" s="39"/>
      <c r="X304" s="39"/>
      <c r="Y304" s="39"/>
      <c r="Z304" s="39"/>
      <c r="AA304" s="39"/>
      <c r="AB304" s="39"/>
      <c r="AC304" s="39"/>
      <c r="AD304" s="39"/>
      <c r="AE304" s="40" t="n">
        <v>30</v>
      </c>
      <c r="AF304" s="40" t="n">
        <v>2.3</v>
      </c>
      <c r="AG304" s="40" t="n">
        <v>0.300000000000004</v>
      </c>
      <c r="AH304" s="40" t="n">
        <v>32.6</v>
      </c>
      <c r="AI304" s="40" t="n">
        <v>0.4</v>
      </c>
      <c r="AJ304" s="40" t="n">
        <v>1</v>
      </c>
      <c r="AK304" s="40" t="n">
        <v>0.2</v>
      </c>
      <c r="AL304" s="40" t="n">
        <v>4.7</v>
      </c>
      <c r="AM304" s="40" t="n">
        <v>6.3</v>
      </c>
      <c r="AN304" s="40" t="n">
        <v>0.8</v>
      </c>
      <c r="AO304" s="40" t="n">
        <v>11.3</v>
      </c>
      <c r="AP304" s="40" t="n">
        <v>2</v>
      </c>
      <c r="AQ304" s="40" t="n">
        <v>-1.3</v>
      </c>
      <c r="AR304" s="40" t="n">
        <v>12.8</v>
      </c>
      <c r="AS304" s="40" t="n">
        <v>0.5</v>
      </c>
      <c r="AT304" s="40" t="n">
        <v>0.3</v>
      </c>
      <c r="AU304" s="40" t="n">
        <v>0.6</v>
      </c>
      <c r="AV304" s="40" t="n">
        <v>0.6</v>
      </c>
      <c r="AW304" s="40" t="n">
        <v>2</v>
      </c>
      <c r="AX304" s="40" t="n">
        <v>12</v>
      </c>
      <c r="AY304" s="40" t="n">
        <v>1</v>
      </c>
      <c r="AZ304" s="40" t="n">
        <v>0</v>
      </c>
      <c r="BA304" s="40" t="n">
        <v>0</v>
      </c>
      <c r="BB304" s="40" t="n">
        <v>13</v>
      </c>
      <c r="BC304" s="40" t="n">
        <v>2</v>
      </c>
      <c r="BD304" s="40" t="n">
        <v>7</v>
      </c>
      <c r="BE304" s="40" t="n">
        <v>0</v>
      </c>
      <c r="BF304" s="40" t="n">
        <v>0</v>
      </c>
      <c r="BG304" s="40" t="n">
        <v>9</v>
      </c>
      <c r="BH304" s="40" t="n">
        <v>0</v>
      </c>
      <c r="BI304" s="40" t="n">
        <v>4</v>
      </c>
      <c r="BJ304" s="40" t="n">
        <v>4</v>
      </c>
      <c r="BK304" s="40" t="n">
        <v>4</v>
      </c>
      <c r="BL304" s="40" t="n">
        <v>12</v>
      </c>
      <c r="BM304" s="39"/>
      <c r="BN304" s="40" t="n">
        <v>1</v>
      </c>
      <c r="BO304" s="40" t="n">
        <v>11</v>
      </c>
      <c r="BP304" s="40" t="n">
        <v>1</v>
      </c>
      <c r="BQ304" s="40" t="n">
        <v>13</v>
      </c>
      <c r="BR304" s="40" t="n">
        <v>6</v>
      </c>
      <c r="BS304" s="40" t="n">
        <v>4</v>
      </c>
      <c r="BT304" s="40" t="n">
        <v>0</v>
      </c>
      <c r="BU304" s="40" t="n">
        <v>23</v>
      </c>
      <c r="BV304" s="40" t="n">
        <v>33</v>
      </c>
      <c r="BW304" s="40" t="n">
        <v>0</v>
      </c>
      <c r="BX304" s="40" t="n">
        <v>0</v>
      </c>
      <c r="BY304" s="45"/>
      <c r="BZ304" s="45"/>
      <c r="CA304" s="41" t="n">
        <f aca="false">N((BW304+BX304))</f>
        <v>0</v>
      </c>
      <c r="CB304" s="43" t="n">
        <v>0</v>
      </c>
      <c r="CC304" s="43" t="n">
        <v>0</v>
      </c>
      <c r="CD304" s="43" t="n">
        <v>0</v>
      </c>
      <c r="CE304" s="43" t="n">
        <v>0</v>
      </c>
      <c r="CF304" s="37"/>
    </row>
    <row r="305" customFormat="false" ht="15" hidden="false" customHeight="true" outlineLevel="0" collapsed="false">
      <c r="B305" s="27" t="s">
        <v>470</v>
      </c>
      <c r="C305" s="40" t="n">
        <v>-2656</v>
      </c>
      <c r="D305" s="40" t="n">
        <v>-3576.6</v>
      </c>
      <c r="E305" s="40" t="n">
        <v>-423.2</v>
      </c>
      <c r="F305" s="40" t="n">
        <v>-703.5</v>
      </c>
      <c r="G305" s="40" t="n">
        <v>-2129.7</v>
      </c>
      <c r="H305" s="40" t="n">
        <v>-6210.8</v>
      </c>
      <c r="I305" s="40" t="n">
        <v>-1796.8</v>
      </c>
      <c r="J305" s="40" t="n">
        <v>-12.1</v>
      </c>
      <c r="K305" s="40" t="n">
        <v>-310.5</v>
      </c>
      <c r="L305" s="40" t="n">
        <v>-546</v>
      </c>
      <c r="M305" s="40" t="n">
        <v>-88.6</v>
      </c>
      <c r="N305" s="40" t="n">
        <v>-957.2</v>
      </c>
      <c r="O305" s="40" t="n">
        <v>-162.8</v>
      </c>
      <c r="P305" s="40" t="n">
        <v>-443.9</v>
      </c>
      <c r="Q305" s="40" t="n">
        <v>-28.1999999999999</v>
      </c>
      <c r="R305" s="40" t="n">
        <v>-2496</v>
      </c>
      <c r="S305" s="40" t="n">
        <v>-3130.9</v>
      </c>
      <c r="T305" s="40" t="n">
        <v>-487.6</v>
      </c>
      <c r="U305" s="40" t="n">
        <v>-111.3</v>
      </c>
      <c r="V305" s="40" t="n">
        <v>-13608.2</v>
      </c>
      <c r="W305" s="40" t="n">
        <v>-97.8999999999996</v>
      </c>
      <c r="X305" s="40" t="n">
        <v>-14305</v>
      </c>
      <c r="Y305" s="40" t="n">
        <v>-107.5</v>
      </c>
      <c r="Z305" s="40" t="n">
        <v>2.09999999999999</v>
      </c>
      <c r="AA305" s="40" t="n">
        <v>5.80000000000001</v>
      </c>
      <c r="AB305" s="40" t="n">
        <v>-4780.5</v>
      </c>
      <c r="AC305" s="40" t="n">
        <v>-4880.1</v>
      </c>
      <c r="AD305" s="40" t="n">
        <v>0</v>
      </c>
      <c r="AE305" s="40" t="n">
        <v>-93.9</v>
      </c>
      <c r="AF305" s="40" t="n">
        <v>-18.1</v>
      </c>
      <c r="AG305" s="40" t="n">
        <v>-273.8</v>
      </c>
      <c r="AH305" s="40" t="n">
        <v>-385.8</v>
      </c>
      <c r="AI305" s="39"/>
      <c r="AJ305" s="40" t="n">
        <v>-2067.8</v>
      </c>
      <c r="AK305" s="40" t="n">
        <v>-105.5</v>
      </c>
      <c r="AL305" s="40" t="n">
        <v>0</v>
      </c>
      <c r="AM305" s="40" t="n">
        <v>-2173.3</v>
      </c>
      <c r="AN305" s="40" t="n">
        <v>-308.2</v>
      </c>
      <c r="AO305" s="40" t="n">
        <v>-18.4</v>
      </c>
      <c r="AP305" s="40" t="n">
        <v>-4.5</v>
      </c>
      <c r="AQ305" s="40" t="n">
        <v>-0.199999999999989</v>
      </c>
      <c r="AR305" s="40" t="n">
        <v>-331.3</v>
      </c>
      <c r="AS305" s="40" t="n">
        <v>-20734.5</v>
      </c>
      <c r="AT305" s="40" t="n">
        <v>-1.09999999999855</v>
      </c>
      <c r="AU305" s="40" t="n">
        <v>-82.9000000000015</v>
      </c>
      <c r="AV305" s="40" t="n">
        <v>-152.5</v>
      </c>
      <c r="AW305" s="40" t="n">
        <v>-20971</v>
      </c>
      <c r="AX305" s="40" t="n">
        <v>-419</v>
      </c>
      <c r="AY305" s="40" t="n">
        <v>-646</v>
      </c>
      <c r="AZ305" s="40" t="n">
        <v>-9563</v>
      </c>
      <c r="BA305" s="40" t="n">
        <v>-333</v>
      </c>
      <c r="BB305" s="40" t="n">
        <v>-10961</v>
      </c>
      <c r="BC305" s="40" t="n">
        <v>-17</v>
      </c>
      <c r="BD305" s="40" t="n">
        <v>-60</v>
      </c>
      <c r="BE305" s="40" t="n">
        <v>-227</v>
      </c>
      <c r="BF305" s="40" t="n">
        <v>-333</v>
      </c>
      <c r="BG305" s="40" t="n">
        <v>-637</v>
      </c>
      <c r="BH305" s="40" t="n">
        <v>0</v>
      </c>
      <c r="BI305" s="40" t="n">
        <v>0</v>
      </c>
      <c r="BJ305" s="40" t="n">
        <v>0</v>
      </c>
      <c r="BK305" s="40" t="n">
        <v>-5610</v>
      </c>
      <c r="BL305" s="40" t="n">
        <v>-5610</v>
      </c>
      <c r="BM305" s="39"/>
      <c r="BN305" s="40" t="n">
        <v>-12</v>
      </c>
      <c r="BO305" s="40" t="n">
        <v>-513</v>
      </c>
      <c r="BP305" s="40" t="n">
        <v>-33</v>
      </c>
      <c r="BQ305" s="40" t="n">
        <v>-558</v>
      </c>
      <c r="BR305" s="39"/>
      <c r="BS305" s="40" t="n">
        <v>0</v>
      </c>
      <c r="BT305" s="40" t="n">
        <v>0</v>
      </c>
      <c r="BU305" s="40" t="n">
        <v>0</v>
      </c>
      <c r="BV305" s="40" t="n">
        <v>0</v>
      </c>
      <c r="BW305" s="39"/>
      <c r="BX305" s="40" t="n">
        <v>-9843</v>
      </c>
      <c r="BY305" s="45"/>
      <c r="BZ305" s="45"/>
      <c r="CA305" s="41" t="n">
        <f aca="false">(BW305+BX305)-CA91</f>
        <v>-11868</v>
      </c>
      <c r="CB305" s="41" t="n">
        <f aca="false">-CB97</f>
        <v>-1000</v>
      </c>
      <c r="CC305" s="41" t="n">
        <f aca="false">-CC97</f>
        <v>-2000</v>
      </c>
      <c r="CD305" s="41" t="n">
        <f aca="false">-CD97</f>
        <v>-2500</v>
      </c>
      <c r="CE305" s="41" t="n">
        <f aca="false">-CE97</f>
        <v>-2500</v>
      </c>
      <c r="CF305" s="37" t="s">
        <v>471</v>
      </c>
    </row>
    <row r="306" customFormat="false" ht="15" hidden="false" customHeight="true" outlineLevel="0" collapsed="false">
      <c r="B306" s="27" t="s">
        <v>472</v>
      </c>
      <c r="C306" s="40" t="n">
        <v>98.5</v>
      </c>
      <c r="D306" s="40" t="n">
        <v>301.3</v>
      </c>
      <c r="E306" s="40" t="n">
        <v>0</v>
      </c>
      <c r="F306" s="40" t="n">
        <v>9.8</v>
      </c>
      <c r="G306" s="40" t="n">
        <v>56.5</v>
      </c>
      <c r="H306" s="40" t="n">
        <v>694.9</v>
      </c>
      <c r="I306" s="40" t="n">
        <v>337.5</v>
      </c>
      <c r="J306" s="39"/>
      <c r="K306" s="39"/>
      <c r="L306" s="39"/>
      <c r="M306" s="39"/>
      <c r="N306" s="39"/>
      <c r="O306" s="40" t="n">
        <v>0</v>
      </c>
      <c r="P306" s="39"/>
      <c r="Q306" s="40" t="n">
        <v>86.7</v>
      </c>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40" t="n">
        <v>809.8</v>
      </c>
      <c r="AU306" s="40" t="n">
        <v>16.1</v>
      </c>
      <c r="AV306" s="40" t="n">
        <v>0.100000000000023</v>
      </c>
      <c r="AW306" s="40" t="n">
        <v>826</v>
      </c>
      <c r="AX306" s="40" t="n">
        <v>26</v>
      </c>
      <c r="AY306" s="40" t="n">
        <v>0</v>
      </c>
      <c r="AZ306" s="40" t="n">
        <v>0</v>
      </c>
      <c r="BA306" s="40" t="n">
        <v>0</v>
      </c>
      <c r="BB306" s="40" t="n">
        <v>26</v>
      </c>
      <c r="BC306" s="40" t="n">
        <v>0</v>
      </c>
      <c r="BD306" s="40" t="n">
        <v>0</v>
      </c>
      <c r="BE306" s="40" t="n">
        <v>0</v>
      </c>
      <c r="BF306" s="40" t="n">
        <v>0</v>
      </c>
      <c r="BG306" s="40" t="n">
        <v>0</v>
      </c>
      <c r="BH306" s="39"/>
      <c r="BI306" s="39"/>
      <c r="BJ306" s="39"/>
      <c r="BK306" s="39"/>
      <c r="BL306" s="39"/>
      <c r="BM306" s="39"/>
      <c r="BN306" s="39"/>
      <c r="BO306" s="39"/>
      <c r="BP306" s="39"/>
      <c r="BQ306" s="39"/>
      <c r="BR306" s="40" t="n">
        <v>9</v>
      </c>
      <c r="BS306" s="40" t="n">
        <v>0</v>
      </c>
      <c r="BT306" s="40" t="n">
        <v>0</v>
      </c>
      <c r="BU306" s="40" t="n">
        <v>0</v>
      </c>
      <c r="BV306" s="40" t="n">
        <v>9</v>
      </c>
      <c r="BW306" s="40" t="n">
        <v>0</v>
      </c>
      <c r="BX306" s="40" t="n">
        <v>0</v>
      </c>
      <c r="BY306" s="45"/>
      <c r="BZ306" s="45"/>
      <c r="CA306" s="41" t="n">
        <f aca="false">N((BW306+BX306))</f>
        <v>0</v>
      </c>
      <c r="CB306" s="43" t="n">
        <v>0</v>
      </c>
      <c r="CC306" s="43" t="n">
        <v>0</v>
      </c>
      <c r="CD306" s="43" t="n">
        <v>0</v>
      </c>
      <c r="CE306" s="43" t="n">
        <v>0</v>
      </c>
      <c r="CF306" s="37"/>
    </row>
    <row r="307" customFormat="false" ht="15" hidden="false" customHeight="true" outlineLevel="0" collapsed="false">
      <c r="B307" s="27" t="s">
        <v>473</v>
      </c>
      <c r="C307" s="40" t="n">
        <v>-84.2000000000003</v>
      </c>
      <c r="D307" s="40" t="n">
        <v>-23.9000000000004</v>
      </c>
      <c r="E307" s="40" t="n">
        <v>48.5</v>
      </c>
      <c r="F307" s="40" t="n">
        <v>-66.8</v>
      </c>
      <c r="G307" s="40" t="n">
        <v>0</v>
      </c>
      <c r="H307" s="40" t="n">
        <v>-5.50000000000034</v>
      </c>
      <c r="I307" s="40" t="n">
        <v>0</v>
      </c>
      <c r="J307" s="40" t="n">
        <v>683.1</v>
      </c>
      <c r="K307" s="40" t="n">
        <v>2.99999999999994</v>
      </c>
      <c r="L307" s="40" t="n">
        <v>2.29999999999996</v>
      </c>
      <c r="M307" s="40" t="n">
        <v>267.8</v>
      </c>
      <c r="N307" s="40" t="n">
        <v>956.2</v>
      </c>
      <c r="O307" s="40" t="n">
        <v>9.00000000000003</v>
      </c>
      <c r="P307" s="40" t="n">
        <v>27.2</v>
      </c>
      <c r="Q307" s="40" t="n">
        <v>-64.8000000000001</v>
      </c>
      <c r="R307" s="40" t="n">
        <v>226</v>
      </c>
      <c r="S307" s="40" t="n">
        <v>284.1</v>
      </c>
      <c r="T307" s="40" t="n">
        <v>-83.9</v>
      </c>
      <c r="U307" s="40" t="n">
        <v>3.30000000000001</v>
      </c>
      <c r="V307" s="40" t="n">
        <v>35.8000000000011</v>
      </c>
      <c r="W307" s="40" t="n">
        <v>31.8</v>
      </c>
      <c r="X307" s="40" t="n">
        <v>-13</v>
      </c>
      <c r="Y307" s="40" t="n">
        <v>266.8</v>
      </c>
      <c r="Z307" s="40" t="n">
        <v>7.59999999999997</v>
      </c>
      <c r="AA307" s="40" t="n">
        <v>-72.2</v>
      </c>
      <c r="AB307" s="40" t="n">
        <v>24.5</v>
      </c>
      <c r="AC307" s="40" t="n">
        <v>226.700000000001</v>
      </c>
      <c r="AD307" s="40" t="n">
        <v>-5.09999999999999</v>
      </c>
      <c r="AE307" s="40" t="n">
        <v>2.60000000000002</v>
      </c>
      <c r="AF307" s="40" t="n">
        <v>0.100000000000009</v>
      </c>
      <c r="AG307" s="40" t="n">
        <v>131.8</v>
      </c>
      <c r="AH307" s="40" t="n">
        <v>129.4</v>
      </c>
      <c r="AI307" s="40" t="n">
        <v>14.8</v>
      </c>
      <c r="AJ307" s="40" t="n">
        <v>-22</v>
      </c>
      <c r="AK307" s="40" t="n">
        <v>-31.7999999999998</v>
      </c>
      <c r="AL307" s="40" t="n">
        <v>-87.7000000000001</v>
      </c>
      <c r="AM307" s="40" t="n">
        <v>-126.7</v>
      </c>
      <c r="AN307" s="40" t="n">
        <v>-35.4</v>
      </c>
      <c r="AO307" s="40" t="n">
        <v>-40.9999999999999</v>
      </c>
      <c r="AP307" s="40" t="n">
        <v>-60.2000000000001</v>
      </c>
      <c r="AQ307" s="40" t="n">
        <v>-147.5</v>
      </c>
      <c r="AR307" s="40" t="n">
        <v>-284.1</v>
      </c>
      <c r="AS307" s="40" t="n">
        <v>-2.09999999999855</v>
      </c>
      <c r="AT307" s="40" t="n">
        <v>-114.300000000002</v>
      </c>
      <c r="AU307" s="40" t="n">
        <v>-74.9</v>
      </c>
      <c r="AV307" s="40" t="n">
        <v>-113.699999999999</v>
      </c>
      <c r="AW307" s="40" t="n">
        <v>-305</v>
      </c>
      <c r="AX307" s="40" t="n">
        <v>-361</v>
      </c>
      <c r="AY307" s="40" t="n">
        <v>-117</v>
      </c>
      <c r="AZ307" s="40" t="n">
        <v>-167</v>
      </c>
      <c r="BA307" s="40" t="n">
        <v>-126</v>
      </c>
      <c r="BB307" s="40" t="n">
        <v>-771</v>
      </c>
      <c r="BC307" s="40" t="n">
        <v>-238</v>
      </c>
      <c r="BD307" s="40" t="n">
        <v>-51</v>
      </c>
      <c r="BE307" s="40" t="n">
        <v>-11</v>
      </c>
      <c r="BF307" s="40" t="n">
        <v>-154</v>
      </c>
      <c r="BG307" s="40" t="n">
        <v>-454</v>
      </c>
      <c r="BH307" s="40" t="n">
        <v>-29</v>
      </c>
      <c r="BI307" s="40" t="n">
        <v>-94</v>
      </c>
      <c r="BJ307" s="40" t="n">
        <v>32</v>
      </c>
      <c r="BK307" s="40" t="n">
        <v>-9</v>
      </c>
      <c r="BL307" s="40" t="n">
        <v>-100</v>
      </c>
      <c r="BM307" s="40" t="n">
        <v>-30</v>
      </c>
      <c r="BN307" s="40" t="n">
        <v>-62</v>
      </c>
      <c r="BO307" s="40" t="n">
        <v>194</v>
      </c>
      <c r="BP307" s="40" t="n">
        <v>-146</v>
      </c>
      <c r="BQ307" s="40" t="n">
        <v>-44</v>
      </c>
      <c r="BR307" s="40" t="n">
        <v>-12</v>
      </c>
      <c r="BS307" s="40" t="n">
        <v>-14</v>
      </c>
      <c r="BT307" s="40" t="n">
        <v>-20</v>
      </c>
      <c r="BU307" s="40" t="n">
        <v>-36</v>
      </c>
      <c r="BV307" s="40" t="n">
        <v>-82</v>
      </c>
      <c r="BW307" s="40" t="n">
        <v>-12</v>
      </c>
      <c r="BX307" s="40" t="n">
        <v>-35</v>
      </c>
      <c r="BY307" s="45"/>
      <c r="BZ307" s="45"/>
      <c r="CA307" s="41" t="n">
        <f aca="false">(BW307+BX307)</f>
        <v>-47</v>
      </c>
      <c r="CB307" s="43" t="n">
        <v>-100</v>
      </c>
      <c r="CC307" s="43" t="n">
        <v>-100</v>
      </c>
      <c r="CD307" s="43" t="n">
        <v>-100</v>
      </c>
      <c r="CE307" s="43" t="n">
        <v>-100</v>
      </c>
      <c r="CF307" s="37"/>
    </row>
    <row r="308" customFormat="false" ht="15" hidden="false" customHeight="true" outlineLevel="0" collapsed="false">
      <c r="B308" s="18" t="s">
        <v>474</v>
      </c>
      <c r="C308" s="20" t="n">
        <v>-2769.4</v>
      </c>
      <c r="D308" s="20" t="n">
        <v>-3445.8</v>
      </c>
      <c r="E308" s="20" t="n">
        <v>-567.4</v>
      </c>
      <c r="F308" s="20" t="n">
        <v>-942.9</v>
      </c>
      <c r="G308" s="20" t="n">
        <v>-2288.9</v>
      </c>
      <c r="H308" s="20" t="n">
        <v>-5847.3</v>
      </c>
      <c r="I308" s="20" t="n">
        <v>-1887.6</v>
      </c>
      <c r="J308" s="20" t="n">
        <v>554.7</v>
      </c>
      <c r="K308" s="20" t="n">
        <v>-443.7</v>
      </c>
      <c r="L308" s="20" t="n">
        <v>-683</v>
      </c>
      <c r="M308" s="20" t="n">
        <v>19.5</v>
      </c>
      <c r="N308" s="20" t="n">
        <v>-552.5</v>
      </c>
      <c r="O308" s="20" t="n">
        <v>-284.7</v>
      </c>
      <c r="P308" s="20" t="n">
        <v>-564.4</v>
      </c>
      <c r="Q308" s="20" t="n">
        <v>-149.1</v>
      </c>
      <c r="R308" s="20" t="n">
        <v>-2446.1</v>
      </c>
      <c r="S308" s="20" t="n">
        <v>-3444.3</v>
      </c>
      <c r="T308" s="20" t="n">
        <v>-690.7</v>
      </c>
      <c r="U308" s="20" t="n">
        <v>-246.9</v>
      </c>
      <c r="V308" s="20" t="n">
        <v>-13753</v>
      </c>
      <c r="W308" s="20" t="n">
        <v>-260.4</v>
      </c>
      <c r="X308" s="20" t="n">
        <v>-14951</v>
      </c>
      <c r="Y308" s="20" t="n">
        <v>8.3</v>
      </c>
      <c r="Z308" s="20" t="n">
        <v>-174.2</v>
      </c>
      <c r="AA308" s="20" t="n">
        <v>-153.6</v>
      </c>
      <c r="AB308" s="20" t="n">
        <v>-4923.5</v>
      </c>
      <c r="AC308" s="20" t="n">
        <v>-5243</v>
      </c>
      <c r="AD308" s="20" t="n">
        <v>-163.7</v>
      </c>
      <c r="AE308" s="20" t="n">
        <v>-209.2</v>
      </c>
      <c r="AF308" s="20" t="n">
        <v>-155</v>
      </c>
      <c r="AG308" s="20" t="n">
        <v>-315.5</v>
      </c>
      <c r="AH308" s="20" t="n">
        <v>-843.4</v>
      </c>
      <c r="AI308" s="20" t="n">
        <v>-122.7</v>
      </c>
      <c r="AJ308" s="20" t="n">
        <v>-2242.6</v>
      </c>
      <c r="AK308" s="20" t="n">
        <v>-286.7</v>
      </c>
      <c r="AL308" s="20" t="n">
        <v>-297.4</v>
      </c>
      <c r="AM308" s="20" t="n">
        <v>-2949.4</v>
      </c>
      <c r="AN308" s="20" t="n">
        <v>-498.5</v>
      </c>
      <c r="AO308" s="20" t="n">
        <v>-228.9</v>
      </c>
      <c r="AP308" s="20" t="n">
        <v>-244.6</v>
      </c>
      <c r="AQ308" s="20" t="n">
        <v>-266.1</v>
      </c>
      <c r="AR308" s="20" t="n">
        <v>-1238.1</v>
      </c>
      <c r="AS308" s="20" t="n">
        <v>-20868.6</v>
      </c>
      <c r="AT308" s="20" t="n">
        <v>539.299999999999</v>
      </c>
      <c r="AU308" s="20" t="n">
        <v>-328.400000000002</v>
      </c>
      <c r="AV308" s="20" t="n">
        <v>-581.299999999999</v>
      </c>
      <c r="AW308" s="20" t="n">
        <v>-21239</v>
      </c>
      <c r="AX308" s="20" t="n">
        <v>-993</v>
      </c>
      <c r="AY308" s="20" t="n">
        <v>-1067</v>
      </c>
      <c r="AZ308" s="20" t="n">
        <v>-10048</v>
      </c>
      <c r="BA308" s="20" t="n">
        <v>-879</v>
      </c>
      <c r="BB308" s="20" t="n">
        <v>-12987</v>
      </c>
      <c r="BC308" s="20" t="n">
        <v>-503</v>
      </c>
      <c r="BD308" s="20" t="n">
        <v>-400</v>
      </c>
      <c r="BE308" s="20" t="n">
        <v>-515</v>
      </c>
      <c r="BF308" s="20" t="n">
        <v>-816</v>
      </c>
      <c r="BG308" s="20" t="n">
        <v>-2234</v>
      </c>
      <c r="BH308" s="20" t="n">
        <v>-304</v>
      </c>
      <c r="BI308" s="20" t="n">
        <v>-431</v>
      </c>
      <c r="BJ308" s="20" t="n">
        <v>-329</v>
      </c>
      <c r="BK308" s="20" t="n">
        <v>-6017</v>
      </c>
      <c r="BL308" s="20" t="n">
        <v>-7081</v>
      </c>
      <c r="BM308" s="20" t="n">
        <v>-321</v>
      </c>
      <c r="BN308" s="20" t="n">
        <v>-360</v>
      </c>
      <c r="BO308" s="20" t="n">
        <v>-606</v>
      </c>
      <c r="BP308" s="20" t="n">
        <v>-694</v>
      </c>
      <c r="BQ308" s="20" t="n">
        <v>-1981</v>
      </c>
      <c r="BR308" s="20" t="n">
        <v>-242</v>
      </c>
      <c r="BS308" s="20" t="n">
        <v>-258</v>
      </c>
      <c r="BT308" s="20" t="n">
        <v>-312</v>
      </c>
      <c r="BU308" s="20" t="n">
        <v>-384</v>
      </c>
      <c r="BV308" s="20" t="n">
        <v>-1196</v>
      </c>
      <c r="BW308" s="20" t="n">
        <v>-249</v>
      </c>
      <c r="BX308" s="20" t="n">
        <v>-10147</v>
      </c>
      <c r="BY308" s="59"/>
      <c r="BZ308" s="59"/>
      <c r="CA308" s="21" t="n">
        <f aca="false">SUM(CA303:CA307)</f>
        <v>-13065</v>
      </c>
      <c r="CB308" s="21" t="n">
        <f aca="false">SUM(CB303:CB307)</f>
        <v>-2404.35935123526</v>
      </c>
      <c r="CC308" s="21" t="n">
        <f aca="false">SUM(CC303:CC307)</f>
        <v>-3489.80547208728</v>
      </c>
      <c r="CD308" s="21" t="n">
        <f aca="false">SUM(CD303:CD307)</f>
        <v>-4088.28662993444</v>
      </c>
      <c r="CE308" s="21" t="n">
        <f aca="false">SUM(CE303:CE307)</f>
        <v>-4194.52473271116</v>
      </c>
      <c r="CF308" s="7"/>
    </row>
    <row r="309" customFormat="false" ht="15" hidden="false" customHeight="true" outlineLevel="0" collapsed="false">
      <c r="B309" s="27" t="s">
        <v>475</v>
      </c>
      <c r="C309" s="40" t="n">
        <v>98.4</v>
      </c>
      <c r="D309" s="40" t="n">
        <v>182.5</v>
      </c>
      <c r="E309" s="40" t="n">
        <v>82.4</v>
      </c>
      <c r="F309" s="40" t="n">
        <v>174.2</v>
      </c>
      <c r="G309" s="40" t="n">
        <v>178.4</v>
      </c>
      <c r="H309" s="40" t="n">
        <v>146.1</v>
      </c>
      <c r="I309" s="40" t="n">
        <v>212</v>
      </c>
      <c r="J309" s="40" t="n">
        <v>54.3</v>
      </c>
      <c r="K309" s="40" t="n">
        <v>55.7</v>
      </c>
      <c r="L309" s="40" t="n">
        <v>38.7</v>
      </c>
      <c r="M309" s="40" t="n">
        <v>28.7</v>
      </c>
      <c r="N309" s="40" t="n">
        <v>177.4</v>
      </c>
      <c r="O309" s="40" t="n">
        <v>30</v>
      </c>
      <c r="P309" s="40" t="n">
        <v>30.9</v>
      </c>
      <c r="Q309" s="40" t="n">
        <v>14.1</v>
      </c>
      <c r="R309" s="40" t="n">
        <v>57.9</v>
      </c>
      <c r="S309" s="40" t="n">
        <v>132.9</v>
      </c>
      <c r="T309" s="40" t="n">
        <v>61.6</v>
      </c>
      <c r="U309" s="40" t="n">
        <v>69.9</v>
      </c>
      <c r="V309" s="40" t="n">
        <v>66.6</v>
      </c>
      <c r="W309" s="40" t="n">
        <v>50.9</v>
      </c>
      <c r="X309" s="40" t="n">
        <v>249</v>
      </c>
      <c r="Y309" s="40" t="n">
        <v>43.9</v>
      </c>
      <c r="Z309" s="40" t="n">
        <v>100.9</v>
      </c>
      <c r="AA309" s="40" t="n">
        <v>11.8</v>
      </c>
      <c r="AB309" s="40" t="n">
        <v>7.90000000000001</v>
      </c>
      <c r="AC309" s="40" t="n">
        <v>164.5</v>
      </c>
      <c r="AD309" s="40" t="n">
        <v>20.5</v>
      </c>
      <c r="AE309" s="40" t="n">
        <v>15.3</v>
      </c>
      <c r="AF309" s="40" t="n">
        <v>13.2</v>
      </c>
      <c r="AG309" s="40" t="n">
        <v>19.8</v>
      </c>
      <c r="AH309" s="40" t="n">
        <v>68.8</v>
      </c>
      <c r="AI309" s="40" t="n">
        <v>23.2</v>
      </c>
      <c r="AJ309" s="40" t="n">
        <v>26.5</v>
      </c>
      <c r="AK309" s="40" t="n">
        <v>27.6</v>
      </c>
      <c r="AL309" s="40" t="n">
        <v>18.7</v>
      </c>
      <c r="AM309" s="40" t="n">
        <v>96</v>
      </c>
      <c r="AN309" s="40" t="n">
        <v>37.3</v>
      </c>
      <c r="AO309" s="40" t="n">
        <v>45.7</v>
      </c>
      <c r="AP309" s="40" t="n">
        <v>32</v>
      </c>
      <c r="AQ309" s="40" t="n">
        <v>1458.3</v>
      </c>
      <c r="AR309" s="40" t="n">
        <v>1573.3</v>
      </c>
      <c r="AS309" s="40" t="n">
        <v>10.3</v>
      </c>
      <c r="AT309" s="40" t="n">
        <v>58.8</v>
      </c>
      <c r="AU309" s="40" t="n">
        <v>56.1</v>
      </c>
      <c r="AV309" s="40" t="n">
        <v>27.8</v>
      </c>
      <c r="AW309" s="40" t="n">
        <v>153</v>
      </c>
      <c r="AX309" s="40" t="n">
        <v>-12</v>
      </c>
      <c r="AY309" s="40" t="n">
        <v>37</v>
      </c>
      <c r="AZ309" s="40" t="n">
        <v>38</v>
      </c>
      <c r="BA309" s="40" t="n">
        <v>23</v>
      </c>
      <c r="BB309" s="40" t="n">
        <v>86</v>
      </c>
      <c r="BC309" s="40" t="n">
        <v>-46</v>
      </c>
      <c r="BD309" s="40" t="n">
        <v>23</v>
      </c>
      <c r="BE309" s="40" t="n">
        <v>38</v>
      </c>
      <c r="BF309" s="40" t="n">
        <v>16</v>
      </c>
      <c r="BG309" s="40" t="n">
        <v>31</v>
      </c>
      <c r="BH309" s="40" t="n">
        <v>-34</v>
      </c>
      <c r="BI309" s="40" t="n">
        <v>30</v>
      </c>
      <c r="BJ309" s="40" t="n">
        <v>55</v>
      </c>
      <c r="BK309" s="40" t="n">
        <v>17</v>
      </c>
      <c r="BL309" s="40" t="n">
        <v>68</v>
      </c>
      <c r="BM309" s="40" t="n">
        <v>-1</v>
      </c>
      <c r="BN309" s="40" t="n">
        <v>77</v>
      </c>
      <c r="BO309" s="40" t="n">
        <v>67</v>
      </c>
      <c r="BP309" s="40" t="n">
        <v>19</v>
      </c>
      <c r="BQ309" s="40" t="n">
        <v>162</v>
      </c>
      <c r="BR309" s="40" t="n">
        <v>-5</v>
      </c>
      <c r="BS309" s="40" t="n">
        <v>19</v>
      </c>
      <c r="BT309" s="40" t="n">
        <v>25</v>
      </c>
      <c r="BU309" s="40" t="n">
        <v>46</v>
      </c>
      <c r="BV309" s="40" t="n">
        <v>85</v>
      </c>
      <c r="BW309" s="40" t="n">
        <v>-9</v>
      </c>
      <c r="BX309" s="40" t="n">
        <v>8</v>
      </c>
      <c r="BY309" s="45"/>
      <c r="BZ309" s="45"/>
      <c r="CA309" s="41" t="n">
        <f aca="false">(BW309+BX309)</f>
        <v>-1</v>
      </c>
      <c r="CB309" s="43" t="n">
        <v>100</v>
      </c>
      <c r="CC309" s="43" t="n">
        <v>100</v>
      </c>
      <c r="CD309" s="43" t="n">
        <v>100</v>
      </c>
      <c r="CE309" s="43" t="n">
        <v>100</v>
      </c>
      <c r="CF309" s="37"/>
    </row>
    <row r="310" customFormat="false" ht="15" hidden="false" customHeight="true" outlineLevel="0" collapsed="false">
      <c r="B310" s="27" t="s">
        <v>476</v>
      </c>
      <c r="C310" s="40" t="n">
        <v>-24.6</v>
      </c>
      <c r="D310" s="40" t="n">
        <v>-34.3</v>
      </c>
      <c r="E310" s="40" t="n">
        <v>-38.3</v>
      </c>
      <c r="F310" s="40" t="n">
        <v>-41.7</v>
      </c>
      <c r="G310" s="40" t="n">
        <v>-52.2</v>
      </c>
      <c r="H310" s="40" t="n">
        <v>-61.3</v>
      </c>
      <c r="I310" s="40" t="n">
        <v>-86.4</v>
      </c>
      <c r="J310" s="40" t="n">
        <v>0</v>
      </c>
      <c r="K310" s="40" t="n">
        <v>-17.3</v>
      </c>
      <c r="L310" s="40" t="n">
        <v>-17.4</v>
      </c>
      <c r="M310" s="40" t="n">
        <v>-17.4</v>
      </c>
      <c r="N310" s="40" t="n">
        <v>-52.1</v>
      </c>
      <c r="O310" s="40" t="n">
        <v>-17.4</v>
      </c>
      <c r="P310" s="40" t="n">
        <v>-70</v>
      </c>
      <c r="Q310" s="40" t="n">
        <v>-70</v>
      </c>
      <c r="R310" s="40" t="n">
        <v>-70.3</v>
      </c>
      <c r="S310" s="40" t="n">
        <v>-227.7</v>
      </c>
      <c r="T310" s="40" t="n">
        <v>-70.4</v>
      </c>
      <c r="U310" s="40" t="n">
        <v>-95.5</v>
      </c>
      <c r="V310" s="40" t="n">
        <v>-95.7</v>
      </c>
      <c r="W310" s="40" t="n">
        <v>-92.5</v>
      </c>
      <c r="X310" s="40" t="n">
        <v>-354.1</v>
      </c>
      <c r="Y310" s="40" t="n">
        <v>-92.7</v>
      </c>
      <c r="Z310" s="40" t="n">
        <v>-110.1</v>
      </c>
      <c r="AA310" s="40" t="n">
        <v>-110.5</v>
      </c>
      <c r="AB310" s="40" t="n">
        <v>-86.5</v>
      </c>
      <c r="AC310" s="40" t="n">
        <v>-399.8</v>
      </c>
      <c r="AD310" s="40" t="n">
        <v>-86.6</v>
      </c>
      <c r="AE310" s="40" t="n">
        <v>-97.3</v>
      </c>
      <c r="AF310" s="40" t="n">
        <v>-97.1</v>
      </c>
      <c r="AG310" s="40" t="n">
        <v>-97.3</v>
      </c>
      <c r="AH310" s="40" t="n">
        <v>-378.3</v>
      </c>
      <c r="AI310" s="40" t="n">
        <v>-97.5</v>
      </c>
      <c r="AJ310" s="40" t="n">
        <v>-111.8</v>
      </c>
      <c r="AK310" s="40" t="n">
        <v>-111.9</v>
      </c>
      <c r="AL310" s="40" t="n">
        <v>-112.2</v>
      </c>
      <c r="AM310" s="40" t="n">
        <v>-433.4</v>
      </c>
      <c r="AN310" s="40" t="n">
        <v>-112.2</v>
      </c>
      <c r="AO310" s="40" t="n">
        <v>-121.7</v>
      </c>
      <c r="AP310" s="40" t="n">
        <v>-151.1</v>
      </c>
      <c r="AQ310" s="40" t="n">
        <v>-141.7</v>
      </c>
      <c r="AR310" s="40" t="n">
        <v>-526.7</v>
      </c>
      <c r="AS310" s="40" t="n">
        <v>-138.1</v>
      </c>
      <c r="AT310" s="40" t="n">
        <v>-145</v>
      </c>
      <c r="AU310" s="40" t="n">
        <v>-162.3</v>
      </c>
      <c r="AV310" s="40" t="n">
        <v>-169.6</v>
      </c>
      <c r="AW310" s="40" t="n">
        <v>-615</v>
      </c>
      <c r="AX310" s="40" t="n">
        <v>-169</v>
      </c>
      <c r="AY310" s="40" t="n">
        <v>-191</v>
      </c>
      <c r="AZ310" s="40" t="n">
        <v>-191</v>
      </c>
      <c r="BA310" s="40" t="n">
        <v>-191</v>
      </c>
      <c r="BB310" s="40" t="n">
        <v>-742</v>
      </c>
      <c r="BC310" s="40" t="n">
        <v>-191</v>
      </c>
      <c r="BD310" s="40" t="n">
        <v>-220</v>
      </c>
      <c r="BE310" s="40" t="n">
        <v>-204</v>
      </c>
      <c r="BF310" s="40" t="n">
        <v>-203</v>
      </c>
      <c r="BG310" s="40" t="n">
        <v>-818</v>
      </c>
      <c r="BH310" s="40" t="n">
        <v>-204</v>
      </c>
      <c r="BI310" s="40" t="n">
        <v>-218</v>
      </c>
      <c r="BJ310" s="40" t="n">
        <v>-199</v>
      </c>
      <c r="BK310" s="40" t="n">
        <v>-200</v>
      </c>
      <c r="BL310" s="40" t="n">
        <v>-821</v>
      </c>
      <c r="BM310" s="40" t="n">
        <v>-177</v>
      </c>
      <c r="BN310" s="40" t="n">
        <v>-200</v>
      </c>
      <c r="BO310" s="40" t="n">
        <v>-196</v>
      </c>
      <c r="BP310" s="40" t="n">
        <v>-195</v>
      </c>
      <c r="BQ310" s="40" t="n">
        <v>-768</v>
      </c>
      <c r="BR310" s="40" t="n">
        <v>-194</v>
      </c>
      <c r="BS310" s="40" t="n">
        <v>-229</v>
      </c>
      <c r="BT310" s="40" t="n">
        <v>-229</v>
      </c>
      <c r="BU310" s="40" t="n">
        <v>-226</v>
      </c>
      <c r="BV310" s="40" t="n">
        <v>-878</v>
      </c>
      <c r="BW310" s="40" t="n">
        <v>-226</v>
      </c>
      <c r="BX310" s="40" t="n">
        <v>-283</v>
      </c>
      <c r="BY310" s="45"/>
      <c r="BZ310" s="45"/>
      <c r="CA310" s="41" t="n">
        <f aca="false">(BW310+BX310)-(BY214*BY208+BZ214*BZ208)</f>
        <v>-1072.33588174133</v>
      </c>
      <c r="CB310" s="41" t="n">
        <f aca="false">-CB214*CB341</f>
        <v>-1234.53387966186</v>
      </c>
      <c r="CC310" s="41" t="n">
        <f aca="false">-CC214*CC341</f>
        <v>-1349.07898978509</v>
      </c>
      <c r="CD310" s="41" t="n">
        <f aca="false">-CD214*CD341</f>
        <v>-1443.44911540901</v>
      </c>
      <c r="CE310" s="41" t="n">
        <f aca="false">-CE214*CE341</f>
        <v>-1544.25806287862</v>
      </c>
      <c r="CF310" s="37" t="s">
        <v>477</v>
      </c>
    </row>
    <row r="311" customFormat="false" ht="15" hidden="false" customHeight="true" outlineLevel="0" collapsed="false">
      <c r="B311" s="27" t="s">
        <v>478</v>
      </c>
      <c r="C311" s="40" t="n">
        <v>0</v>
      </c>
      <c r="D311" s="40" t="n">
        <v>-117.5</v>
      </c>
      <c r="E311" s="40" t="n">
        <v>-74.2</v>
      </c>
      <c r="F311" s="40" t="n">
        <v>0</v>
      </c>
      <c r="G311" s="40" t="n">
        <v>0</v>
      </c>
      <c r="H311" s="39"/>
      <c r="I311" s="40" t="n">
        <v>-648.4</v>
      </c>
      <c r="J311" s="39"/>
      <c r="K311" s="39"/>
      <c r="L311" s="40" t="n">
        <v>0</v>
      </c>
      <c r="M311" s="40" t="n">
        <v>0</v>
      </c>
      <c r="N311" s="40" t="n">
        <v>0</v>
      </c>
      <c r="O311" s="39"/>
      <c r="P311" s="39"/>
      <c r="Q311" s="39"/>
      <c r="R311" s="40" t="n">
        <v>0</v>
      </c>
      <c r="S311" s="40" t="n">
        <v>0</v>
      </c>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40" t="n">
        <v>-4530</v>
      </c>
      <c r="BO311" s="40" t="n">
        <v>-640</v>
      </c>
      <c r="BP311" s="40" t="n">
        <v>-809</v>
      </c>
      <c r="BQ311" s="40" t="n">
        <v>-5979</v>
      </c>
      <c r="BR311" s="40" t="n">
        <v>-1078</v>
      </c>
      <c r="BS311" s="40" t="n">
        <v>0</v>
      </c>
      <c r="BT311" s="40" t="n">
        <v>-2010</v>
      </c>
      <c r="BU311" s="40" t="n">
        <v>0</v>
      </c>
      <c r="BV311" s="40" t="n">
        <v>-3088</v>
      </c>
      <c r="BW311" s="40" t="n">
        <v>0</v>
      </c>
      <c r="BX311" s="40" t="n">
        <v>-894</v>
      </c>
      <c r="BY311" s="45"/>
      <c r="BZ311" s="45"/>
      <c r="CA311" s="41" t="n">
        <f aca="false">N((BW311+BX311))-CHOOSE(MATCH($CF$2,{"Bull","Base","Bear"},0),$CO$14,$CP$14,$CQ$14)</f>
        <v>-1394</v>
      </c>
      <c r="CB311" s="41" t="n">
        <f aca="false">-CB429</f>
        <v>-1515.1734721675</v>
      </c>
      <c r="CC311" s="41" t="n">
        <f aca="false">-CC429</f>
        <v>-5276.84104236413</v>
      </c>
      <c r="CD311" s="41" t="n">
        <f aca="false">-CD429</f>
        <v>-5524.10766301139</v>
      </c>
      <c r="CE311" s="41" t="n">
        <f aca="false">-CE429</f>
        <v>-6235.25777664038</v>
      </c>
      <c r="CF311" s="37" t="s">
        <v>479</v>
      </c>
    </row>
    <row r="312" customFormat="false" ht="15" hidden="false" customHeight="true" outlineLevel="0" collapsed="false">
      <c r="B312" s="27" t="s">
        <v>480</v>
      </c>
      <c r="C312" s="40" t="n">
        <v>1145</v>
      </c>
      <c r="D312" s="40" t="n">
        <v>1130.9</v>
      </c>
      <c r="E312" s="40" t="n">
        <v>-1092.2</v>
      </c>
      <c r="F312" s="40" t="n">
        <v>274.7</v>
      </c>
      <c r="G312" s="40" t="n">
        <v>-9.4</v>
      </c>
      <c r="H312" s="40" t="n">
        <v>1037.4</v>
      </c>
      <c r="I312" s="40" t="n">
        <v>134.4</v>
      </c>
      <c r="J312" s="40" t="n">
        <v>-764.8</v>
      </c>
      <c r="K312" s="40" t="n">
        <v>-313.6</v>
      </c>
      <c r="L312" s="40" t="n">
        <v>-656.5</v>
      </c>
      <c r="M312" s="40" t="n">
        <v>3.80000000000007</v>
      </c>
      <c r="N312" s="40" t="n">
        <v>-1731.1</v>
      </c>
      <c r="O312" s="40" t="n">
        <v>2.1</v>
      </c>
      <c r="P312" s="40" t="n">
        <v>-419.1</v>
      </c>
      <c r="Q312" s="40" t="n">
        <v>0.800000000000045</v>
      </c>
      <c r="R312" s="40" t="n">
        <v>313.7</v>
      </c>
      <c r="S312" s="40" t="n">
        <v>-102.5</v>
      </c>
      <c r="T312" s="40" t="n">
        <v>-248.7</v>
      </c>
      <c r="U312" s="40" t="n">
        <v>-13</v>
      </c>
      <c r="V312" s="40" t="n">
        <v>11358.4</v>
      </c>
      <c r="W312" s="40" t="n">
        <v>-1938.1</v>
      </c>
      <c r="X312" s="40" t="n">
        <v>9158.6</v>
      </c>
      <c r="Y312" s="40" t="n">
        <v>-815.1</v>
      </c>
      <c r="Z312" s="40" t="n">
        <v>2373.9</v>
      </c>
      <c r="AA312" s="40" t="n">
        <v>-3006.3</v>
      </c>
      <c r="AB312" s="40" t="n">
        <v>4425.9</v>
      </c>
      <c r="AC312" s="40" t="n">
        <v>2978.4</v>
      </c>
      <c r="AD312" s="40" t="n">
        <v>-434.9</v>
      </c>
      <c r="AE312" s="40" t="n">
        <v>-831</v>
      </c>
      <c r="AF312" s="40" t="n">
        <v>-931.6</v>
      </c>
      <c r="AG312" s="40" t="n">
        <v>-467.3</v>
      </c>
      <c r="AH312" s="40" t="n">
        <v>-2664.8</v>
      </c>
      <c r="AI312" s="40" t="n">
        <v>-236.6</v>
      </c>
      <c r="AJ312" s="40" t="n">
        <v>1262.8</v>
      </c>
      <c r="AK312" s="40" t="n">
        <v>-648</v>
      </c>
      <c r="AL312" s="40" t="n">
        <v>-820.3</v>
      </c>
      <c r="AM312" s="40" t="n">
        <v>-442.1</v>
      </c>
      <c r="AN312" s="40" t="n">
        <v>-86.1</v>
      </c>
      <c r="AO312" s="40" t="n">
        <v>681.8</v>
      </c>
      <c r="AP312" s="40" t="n">
        <v>7604.6</v>
      </c>
      <c r="AQ312" s="40" t="n">
        <v>5149.8</v>
      </c>
      <c r="AR312" s="40" t="n">
        <v>13350.1</v>
      </c>
      <c r="AS312" s="40" t="n">
        <v>4761.6</v>
      </c>
      <c r="AT312" s="40" t="n">
        <v>-4197.4</v>
      </c>
      <c r="AU312" s="40" t="n">
        <v>-1212.2</v>
      </c>
      <c r="AV312" s="40" t="n">
        <v>-1252</v>
      </c>
      <c r="AW312" s="40" t="n">
        <v>-1900</v>
      </c>
      <c r="AX312" s="40" t="n">
        <v>-280</v>
      </c>
      <c r="AY312" s="40" t="n">
        <v>14</v>
      </c>
      <c r="AZ312" s="40" t="n">
        <v>3483</v>
      </c>
      <c r="BA312" s="40" t="n">
        <v>-1154</v>
      </c>
      <c r="BB312" s="40" t="n">
        <v>2063</v>
      </c>
      <c r="BC312" s="40" t="n">
        <v>10</v>
      </c>
      <c r="BD312" s="40" t="n">
        <v>-944</v>
      </c>
      <c r="BE312" s="40" t="n">
        <v>-50</v>
      </c>
      <c r="BF312" s="40" t="n">
        <v>-704</v>
      </c>
      <c r="BG312" s="40" t="n">
        <v>-1688</v>
      </c>
      <c r="BH312" s="40" t="n">
        <v>-4</v>
      </c>
      <c r="BI312" s="40" t="n">
        <v>-3</v>
      </c>
      <c r="BJ312" s="40" t="n">
        <v>2603</v>
      </c>
      <c r="BK312" s="40" t="n">
        <v>-4222</v>
      </c>
      <c r="BL312" s="40" t="n">
        <v>-1626</v>
      </c>
      <c r="BM312" s="40" t="n">
        <v>68</v>
      </c>
      <c r="BN312" s="40" t="n">
        <v>-1027</v>
      </c>
      <c r="BO312" s="40" t="n">
        <v>-14</v>
      </c>
      <c r="BP312" s="40" t="n">
        <v>-696</v>
      </c>
      <c r="BQ312" s="40" t="n">
        <v>-1669</v>
      </c>
      <c r="BR312" s="40" t="n">
        <v>1</v>
      </c>
      <c r="BS312" s="40" t="n">
        <v>2</v>
      </c>
      <c r="BT312" s="40" t="n">
        <v>-477</v>
      </c>
      <c r="BU312" s="40" t="n">
        <v>1519</v>
      </c>
      <c r="BV312" s="40" t="n">
        <v>1045</v>
      </c>
      <c r="BW312" s="40" t="n">
        <v>309</v>
      </c>
      <c r="BX312" s="40" t="n">
        <v>8485</v>
      </c>
      <c r="BY312" s="45"/>
      <c r="BZ312" s="45"/>
      <c r="CA312" s="41" t="n">
        <f aca="false">(BW312+BX312)+(CA413-BX413)</f>
        <v>5403.88769532988</v>
      </c>
      <c r="CB312" s="41" t="n">
        <f aca="false">CB413-CA413</f>
        <v>-2224.88769532988</v>
      </c>
      <c r="CC312" s="41" t="n">
        <f aca="false">CC413-CB413</f>
        <v>1167.0955446158</v>
      </c>
      <c r="CD312" s="41" t="n">
        <f aca="false">CD413-CC413</f>
        <v>1796.41314600216</v>
      </c>
      <c r="CE312" s="41" t="n">
        <f aca="false">CE413-CD413</f>
        <v>1933.3392737694</v>
      </c>
      <c r="CF312" s="37" t="s">
        <v>481</v>
      </c>
    </row>
    <row r="313" customFormat="false" ht="15" hidden="false" customHeight="true" outlineLevel="0" collapsed="false">
      <c r="B313" s="27" t="s">
        <v>482</v>
      </c>
      <c r="C313" s="40" t="n">
        <v>-2.27373675443232E-013</v>
      </c>
      <c r="D313" s="40" t="n">
        <v>550.6</v>
      </c>
      <c r="E313" s="40" t="n">
        <v>0</v>
      </c>
      <c r="F313" s="40" t="n">
        <v>-5.6843418860808E-014</v>
      </c>
      <c r="G313" s="40" t="n">
        <v>-5.32907051820075E-015</v>
      </c>
      <c r="H313" s="40" t="n">
        <v>966.4</v>
      </c>
      <c r="I313" s="40" t="n">
        <v>-2.8421709430404E-014</v>
      </c>
      <c r="J313" s="40" t="n">
        <v>0</v>
      </c>
      <c r="K313" s="40" t="n">
        <v>0</v>
      </c>
      <c r="L313" s="40" t="n">
        <v>-1.13686837721616E-013</v>
      </c>
      <c r="M313" s="40" t="n">
        <v>4.9737991503207E-014</v>
      </c>
      <c r="N313" s="40" t="n">
        <v>-2.27373675443232E-013</v>
      </c>
      <c r="O313" s="40" t="n">
        <v>-2.22044604925031E-015</v>
      </c>
      <c r="P313" s="40" t="n">
        <v>5.6843418860808E-014</v>
      </c>
      <c r="Q313" s="40" t="n">
        <v>-6.21724893790088E-014</v>
      </c>
      <c r="R313" s="40" t="n">
        <v>-20.9</v>
      </c>
      <c r="S313" s="40" t="n">
        <v>-20.9</v>
      </c>
      <c r="T313" s="40" t="n">
        <v>-3.30000000000004</v>
      </c>
      <c r="U313" s="40" t="n">
        <v>5.32907051820075E-015</v>
      </c>
      <c r="V313" s="40" t="n">
        <v>0</v>
      </c>
      <c r="W313" s="40" t="n">
        <v>9.09494701772928E-013</v>
      </c>
      <c r="X313" s="40" t="n">
        <v>-3.29999999999745</v>
      </c>
      <c r="Y313" s="40" t="n">
        <v>-26.7000000000001</v>
      </c>
      <c r="Z313" s="40" t="n">
        <v>0</v>
      </c>
      <c r="AA313" s="40" t="n">
        <v>-673.400000000001</v>
      </c>
      <c r="AB313" s="40" t="n">
        <v>-0.299999999999272</v>
      </c>
      <c r="AC313" s="40" t="n">
        <v>-700.4</v>
      </c>
      <c r="AD313" s="40" t="n">
        <v>-89.7000000000001</v>
      </c>
      <c r="AE313" s="40" t="n">
        <v>-12.0000000000001</v>
      </c>
      <c r="AF313" s="40" t="n">
        <v>-13.4</v>
      </c>
      <c r="AG313" s="40" t="n">
        <v>-9.09999999999985</v>
      </c>
      <c r="AH313" s="40" t="n">
        <v>-124.2</v>
      </c>
      <c r="AI313" s="40" t="n">
        <v>-10.8</v>
      </c>
      <c r="AJ313" s="40" t="n">
        <v>-5.39999999999986</v>
      </c>
      <c r="AK313" s="40" t="n">
        <v>-0.400000000000091</v>
      </c>
      <c r="AL313" s="40" t="n">
        <v>-1.30000000000018</v>
      </c>
      <c r="AM313" s="40" t="n">
        <v>-17.9</v>
      </c>
      <c r="AN313" s="40" t="n">
        <v>3038.8</v>
      </c>
      <c r="AO313" s="40" t="n">
        <v>-0.800000000000068</v>
      </c>
      <c r="AP313" s="40" t="n">
        <v>642.199999999999</v>
      </c>
      <c r="AQ313" s="40" t="n">
        <v>-1711</v>
      </c>
      <c r="AR313" s="40" t="n">
        <v>1969.2</v>
      </c>
      <c r="AS313" s="40" t="n">
        <v>-0.299999999999272</v>
      </c>
      <c r="AT313" s="40" t="n">
        <v>3395.6</v>
      </c>
      <c r="AU313" s="40" t="n">
        <v>-1.39999999999986</v>
      </c>
      <c r="AV313" s="40" t="n">
        <v>-25.8999999999996</v>
      </c>
      <c r="AW313" s="40" t="n">
        <v>3368</v>
      </c>
      <c r="AX313" s="40" t="n">
        <v>12</v>
      </c>
      <c r="AY313" s="40" t="n">
        <v>1</v>
      </c>
      <c r="AZ313" s="40" t="n">
        <v>-25</v>
      </c>
      <c r="BA313" s="40" t="n">
        <v>-100</v>
      </c>
      <c r="BB313" s="40" t="n">
        <v>-112</v>
      </c>
      <c r="BC313" s="40" t="n">
        <v>-47</v>
      </c>
      <c r="BD313" s="40" t="n">
        <v>-19</v>
      </c>
      <c r="BE313" s="40" t="n">
        <v>-14</v>
      </c>
      <c r="BF313" s="40" t="n">
        <v>-15</v>
      </c>
      <c r="BG313" s="40" t="n">
        <v>-95</v>
      </c>
      <c r="BH313" s="40" t="n">
        <v>-20</v>
      </c>
      <c r="BI313" s="40" t="n">
        <v>-17</v>
      </c>
      <c r="BJ313" s="40" t="n">
        <v>-16</v>
      </c>
      <c r="BK313" s="40" t="n">
        <v>2159</v>
      </c>
      <c r="BL313" s="40" t="n">
        <v>2106</v>
      </c>
      <c r="BM313" s="40" t="n">
        <v>-23</v>
      </c>
      <c r="BN313" s="40" t="n">
        <v>-35</v>
      </c>
      <c r="BO313" s="40" t="n">
        <v>-62</v>
      </c>
      <c r="BP313" s="40" t="n">
        <v>-11</v>
      </c>
      <c r="BQ313" s="40" t="n">
        <v>-131</v>
      </c>
      <c r="BR313" s="40" t="n">
        <v>21</v>
      </c>
      <c r="BS313" s="40" t="n">
        <v>-39</v>
      </c>
      <c r="BT313" s="40" t="n">
        <v>-90</v>
      </c>
      <c r="BU313" s="40" t="n">
        <v>-17</v>
      </c>
      <c r="BV313" s="40" t="n">
        <v>-125</v>
      </c>
      <c r="BW313" s="40" t="n">
        <v>-28</v>
      </c>
      <c r="BX313" s="40" t="n">
        <v>-43</v>
      </c>
      <c r="BY313" s="45"/>
      <c r="BZ313" s="45"/>
      <c r="CA313" s="41" t="n">
        <f aca="false">(BW313+BX313)</f>
        <v>-71</v>
      </c>
      <c r="CB313" s="43" t="n">
        <v>-130</v>
      </c>
      <c r="CC313" s="43" t="n">
        <v>-130</v>
      </c>
      <c r="CD313" s="43" t="n">
        <v>-130</v>
      </c>
      <c r="CE313" s="43" t="n">
        <v>-130</v>
      </c>
      <c r="CF313" s="37"/>
    </row>
    <row r="314" customFormat="false" ht="15" hidden="false" customHeight="true" outlineLevel="0" collapsed="false">
      <c r="B314" s="18" t="s">
        <v>483</v>
      </c>
      <c r="C314" s="20" t="n">
        <v>1218.8</v>
      </c>
      <c r="D314" s="20" t="n">
        <v>1712.2</v>
      </c>
      <c r="E314" s="20" t="n">
        <v>-1122.3</v>
      </c>
      <c r="F314" s="20" t="n">
        <v>407.2</v>
      </c>
      <c r="G314" s="20" t="n">
        <v>116.8</v>
      </c>
      <c r="H314" s="20" t="n">
        <v>2088.6</v>
      </c>
      <c r="I314" s="20" t="n">
        <v>-388.4</v>
      </c>
      <c r="J314" s="20" t="n">
        <v>-710.5</v>
      </c>
      <c r="K314" s="20" t="n">
        <v>-275.2</v>
      </c>
      <c r="L314" s="20" t="n">
        <v>-635.2</v>
      </c>
      <c r="M314" s="20" t="n">
        <v>15.1000000000001</v>
      </c>
      <c r="N314" s="20" t="n">
        <v>-1605.8</v>
      </c>
      <c r="O314" s="20" t="n">
        <v>14.7</v>
      </c>
      <c r="P314" s="20" t="n">
        <v>-458.2</v>
      </c>
      <c r="Q314" s="20" t="n">
        <v>-55.1</v>
      </c>
      <c r="R314" s="20" t="n">
        <v>280.4</v>
      </c>
      <c r="S314" s="20" t="n">
        <v>-218.2</v>
      </c>
      <c r="T314" s="20" t="n">
        <v>-260.8</v>
      </c>
      <c r="U314" s="20" t="n">
        <v>-38.6</v>
      </c>
      <c r="V314" s="20" t="n">
        <v>11329.3</v>
      </c>
      <c r="W314" s="20" t="n">
        <v>-1979.7</v>
      </c>
      <c r="X314" s="20" t="n">
        <v>9050.2</v>
      </c>
      <c r="Y314" s="20" t="n">
        <v>-890.6</v>
      </c>
      <c r="Z314" s="20" t="n">
        <v>2364.7</v>
      </c>
      <c r="AA314" s="20" t="n">
        <v>-3778.4</v>
      </c>
      <c r="AB314" s="20" t="n">
        <v>4347</v>
      </c>
      <c r="AC314" s="20" t="n">
        <v>2042.7</v>
      </c>
      <c r="AD314" s="20" t="n">
        <v>-590.7</v>
      </c>
      <c r="AE314" s="20" t="n">
        <v>-925</v>
      </c>
      <c r="AF314" s="20" t="n">
        <v>-1028.9</v>
      </c>
      <c r="AG314" s="20" t="n">
        <v>-553.9</v>
      </c>
      <c r="AH314" s="20" t="n">
        <v>-3098.5</v>
      </c>
      <c r="AI314" s="20" t="n">
        <v>-321.7</v>
      </c>
      <c r="AJ314" s="20" t="n">
        <v>1172.1</v>
      </c>
      <c r="AK314" s="20" t="n">
        <v>-732.7</v>
      </c>
      <c r="AL314" s="20" t="n">
        <v>-915.1</v>
      </c>
      <c r="AM314" s="20" t="n">
        <v>-797.4</v>
      </c>
      <c r="AN314" s="20" t="n">
        <v>2877.8</v>
      </c>
      <c r="AO314" s="20" t="n">
        <v>605</v>
      </c>
      <c r="AP314" s="20" t="n">
        <v>8127.7</v>
      </c>
      <c r="AQ314" s="20" t="n">
        <v>4755.4</v>
      </c>
      <c r="AR314" s="20" t="n">
        <v>16365.9</v>
      </c>
      <c r="AS314" s="20" t="n">
        <v>4633.5</v>
      </c>
      <c r="AT314" s="20" t="n">
        <v>-888</v>
      </c>
      <c r="AU314" s="20" t="n">
        <v>-1319.8</v>
      </c>
      <c r="AV314" s="20" t="n">
        <v>-1419.7</v>
      </c>
      <c r="AW314" s="20" t="n">
        <v>1006</v>
      </c>
      <c r="AX314" s="20" t="n">
        <v>-449</v>
      </c>
      <c r="AY314" s="20" t="n">
        <v>-139</v>
      </c>
      <c r="AZ314" s="20" t="n">
        <v>3305</v>
      </c>
      <c r="BA314" s="20" t="n">
        <v>-1422</v>
      </c>
      <c r="BB314" s="20" t="n">
        <v>1295</v>
      </c>
      <c r="BC314" s="20" t="n">
        <v>-274</v>
      </c>
      <c r="BD314" s="20" t="n">
        <v>-1160</v>
      </c>
      <c r="BE314" s="20" t="n">
        <v>-230</v>
      </c>
      <c r="BF314" s="20" t="n">
        <v>-906</v>
      </c>
      <c r="BG314" s="20" t="n">
        <v>-2570</v>
      </c>
      <c r="BH314" s="20" t="n">
        <v>-262</v>
      </c>
      <c r="BI314" s="20" t="n">
        <v>-208</v>
      </c>
      <c r="BJ314" s="20" t="n">
        <v>2443</v>
      </c>
      <c r="BK314" s="20" t="n">
        <v>-2246</v>
      </c>
      <c r="BL314" s="20" t="n">
        <v>-273</v>
      </c>
      <c r="BM314" s="20" t="n">
        <v>-133</v>
      </c>
      <c r="BN314" s="20" t="n">
        <v>-5715</v>
      </c>
      <c r="BO314" s="20" t="n">
        <v>-845</v>
      </c>
      <c r="BP314" s="20" t="n">
        <v>-1692</v>
      </c>
      <c r="BQ314" s="20" t="n">
        <v>-8385</v>
      </c>
      <c r="BR314" s="20" t="n">
        <v>-1255</v>
      </c>
      <c r="BS314" s="20" t="n">
        <v>-247</v>
      </c>
      <c r="BT314" s="20" t="n">
        <v>-2781</v>
      </c>
      <c r="BU314" s="20" t="n">
        <v>1322</v>
      </c>
      <c r="BV314" s="20" t="n">
        <v>-2961</v>
      </c>
      <c r="BW314" s="20" t="n">
        <v>46</v>
      </c>
      <c r="BX314" s="20" t="n">
        <v>7273</v>
      </c>
      <c r="BY314" s="59"/>
      <c r="BZ314" s="59"/>
      <c r="CA314" s="21" t="n">
        <f aca="false">SUM(CA309:CA313)</f>
        <v>2865.55181358854</v>
      </c>
      <c r="CB314" s="21" t="n">
        <f aca="false">SUM(CB309:CB313)</f>
        <v>-5004.59504715923</v>
      </c>
      <c r="CC314" s="21" t="n">
        <f aca="false">SUM(CC309:CC313)</f>
        <v>-5488.82448753341</v>
      </c>
      <c r="CD314" s="21" t="n">
        <f aca="false">SUM(CD309:CD313)</f>
        <v>-5201.14363241824</v>
      </c>
      <c r="CE314" s="21" t="n">
        <f aca="false">SUM(CE309:CE313)</f>
        <v>-5876.17656574959</v>
      </c>
      <c r="CF314" s="7"/>
    </row>
    <row r="315" customFormat="false" ht="15" hidden="false" customHeight="true" outlineLevel="0" collapsed="false">
      <c r="B315" s="27" t="s">
        <v>484</v>
      </c>
      <c r="C315" s="40" t="n">
        <v>5.5</v>
      </c>
      <c r="D315" s="40" t="n">
        <v>9.1</v>
      </c>
      <c r="E315" s="40" t="n">
        <v>-15.6</v>
      </c>
      <c r="F315" s="40" t="n">
        <v>63.9</v>
      </c>
      <c r="G315" s="40" t="n">
        <v>-1.2</v>
      </c>
      <c r="H315" s="40" t="n">
        <v>36.4</v>
      </c>
      <c r="I315" s="40" t="n">
        <v>2.7</v>
      </c>
      <c r="J315" s="40" t="n">
        <v>-8.7</v>
      </c>
      <c r="K315" s="40" t="n">
        <v>-6.1</v>
      </c>
      <c r="L315" s="40" t="n">
        <v>17.5</v>
      </c>
      <c r="M315" s="40" t="n">
        <v>6.8</v>
      </c>
      <c r="N315" s="40" t="n">
        <v>9.5</v>
      </c>
      <c r="O315" s="40" t="n">
        <v>-9.9</v>
      </c>
      <c r="P315" s="40" t="n">
        <v>5.5</v>
      </c>
      <c r="Q315" s="40" t="n">
        <v>-107.7</v>
      </c>
      <c r="R315" s="40" t="n">
        <v>-93.4</v>
      </c>
      <c r="S315" s="40" t="n">
        <v>-205.5</v>
      </c>
      <c r="T315" s="40" t="n">
        <v>-66.7</v>
      </c>
      <c r="U315" s="40" t="n">
        <v>22.5</v>
      </c>
      <c r="V315" s="40" t="n">
        <v>-37.4</v>
      </c>
      <c r="W315" s="40" t="n">
        <v>-34.2</v>
      </c>
      <c r="X315" s="40" t="n">
        <v>-115.8</v>
      </c>
      <c r="Y315" s="40" t="n">
        <v>-17</v>
      </c>
      <c r="Z315" s="40" t="n">
        <v>-39</v>
      </c>
      <c r="AA315" s="40" t="n">
        <v>-12.4</v>
      </c>
      <c r="AB315" s="40" t="n">
        <v>-80.2</v>
      </c>
      <c r="AC315" s="40" t="n">
        <v>-148.6</v>
      </c>
      <c r="AD315" s="40" t="n">
        <v>34.4</v>
      </c>
      <c r="AE315" s="40" t="n">
        <v>46.2</v>
      </c>
      <c r="AF315" s="40" t="n">
        <v>33.7</v>
      </c>
      <c r="AG315" s="40" t="n">
        <v>16.4</v>
      </c>
      <c r="AH315" s="40" t="n">
        <v>130.7</v>
      </c>
      <c r="AI315" s="40" t="n">
        <v>30.9</v>
      </c>
      <c r="AJ315" s="40" t="n">
        <v>-107.2</v>
      </c>
      <c r="AK315" s="40" t="n">
        <v>-27.9</v>
      </c>
      <c r="AL315" s="40" t="n">
        <v>-13.5</v>
      </c>
      <c r="AM315" s="40" t="n">
        <v>-117.7</v>
      </c>
      <c r="AN315" s="40" t="n">
        <v>39.6</v>
      </c>
      <c r="AO315" s="40" t="n">
        <v>-24</v>
      </c>
      <c r="AP315" s="40" t="n">
        <v>-30.2</v>
      </c>
      <c r="AQ315" s="40" t="n">
        <v>59.7</v>
      </c>
      <c r="AR315" s="40" t="n">
        <v>45.1</v>
      </c>
      <c r="AS315" s="40" t="n">
        <v>-128.5</v>
      </c>
      <c r="AT315" s="40" t="n">
        <v>75.3</v>
      </c>
      <c r="AU315" s="40" t="n">
        <v>73.9</v>
      </c>
      <c r="AV315" s="40" t="n">
        <v>127.3</v>
      </c>
      <c r="AW315" s="40" t="n">
        <v>148</v>
      </c>
      <c r="AX315" s="40" t="n">
        <v>-134</v>
      </c>
      <c r="AY315" s="40" t="n">
        <v>78</v>
      </c>
      <c r="AZ315" s="40" t="n">
        <v>-61</v>
      </c>
      <c r="BA315" s="40" t="n">
        <v>2</v>
      </c>
      <c r="BB315" s="40" t="n">
        <v>-115</v>
      </c>
      <c r="BC315" s="40" t="n">
        <v>-60</v>
      </c>
      <c r="BD315" s="40" t="n">
        <v>-173</v>
      </c>
      <c r="BE315" s="40" t="n">
        <v>-99</v>
      </c>
      <c r="BF315" s="40" t="n">
        <v>26</v>
      </c>
      <c r="BG315" s="40" t="n">
        <v>-306</v>
      </c>
      <c r="BH315" s="40" t="n">
        <v>3</v>
      </c>
      <c r="BI315" s="40" t="n">
        <v>-91</v>
      </c>
      <c r="BJ315" s="40" t="n">
        <v>-84</v>
      </c>
      <c r="BK315" s="40" t="n">
        <v>231</v>
      </c>
      <c r="BL315" s="40" t="n">
        <v>59</v>
      </c>
      <c r="BM315" s="40" t="n">
        <v>-118</v>
      </c>
      <c r="BN315" s="40" t="n">
        <v>1</v>
      </c>
      <c r="BO315" s="40" t="n">
        <v>191</v>
      </c>
      <c r="BP315" s="40" t="n">
        <v>-182</v>
      </c>
      <c r="BQ315" s="40" t="n">
        <v>-108</v>
      </c>
      <c r="BR315" s="40" t="n">
        <v>113</v>
      </c>
      <c r="BS315" s="40" t="n">
        <v>131</v>
      </c>
      <c r="BT315" s="40" t="n">
        <v>2</v>
      </c>
      <c r="BU315" s="40" t="n">
        <v>32</v>
      </c>
      <c r="BV315" s="40" t="n">
        <v>278</v>
      </c>
      <c r="BW315" s="40" t="n">
        <v>-33</v>
      </c>
      <c r="BX315" s="40" t="n">
        <v>-13</v>
      </c>
      <c r="BY315" s="45"/>
      <c r="BZ315" s="45"/>
      <c r="CA315" s="41" t="n">
        <f aca="false">(BW315+BX315)</f>
        <v>-46</v>
      </c>
      <c r="CB315" s="43" t="n">
        <v>0</v>
      </c>
      <c r="CC315" s="43" t="n">
        <v>0</v>
      </c>
      <c r="CD315" s="43" t="n">
        <v>0</v>
      </c>
      <c r="CE315" s="43" t="n">
        <v>0</v>
      </c>
      <c r="CF315" s="37"/>
    </row>
    <row r="316" customFormat="false" ht="15" hidden="false" customHeight="true" outlineLevel="0" collapsed="false">
      <c r="B316" s="27" t="s">
        <v>485</v>
      </c>
      <c r="C316" s="40" t="n">
        <v>2.3</v>
      </c>
      <c r="D316" s="40" t="n">
        <v>-78.7</v>
      </c>
      <c r="E316" s="40" t="n">
        <v>153.7</v>
      </c>
      <c r="F316" s="40" t="n">
        <v>1329.1</v>
      </c>
      <c r="G316" s="40" t="n">
        <v>-88.9</v>
      </c>
      <c r="H316" s="40" t="n">
        <v>-1096</v>
      </c>
      <c r="I316" s="40" t="n">
        <v>1141.7</v>
      </c>
      <c r="J316" s="40" t="n">
        <v>472</v>
      </c>
      <c r="K316" s="40" t="n">
        <v>174.2</v>
      </c>
      <c r="L316" s="40" t="n">
        <v>-329.3</v>
      </c>
      <c r="M316" s="40" t="n">
        <v>1119.6</v>
      </c>
      <c r="N316" s="40" t="n">
        <v>1436.5</v>
      </c>
      <c r="O316" s="40" t="n">
        <v>231.3</v>
      </c>
      <c r="P316" s="40" t="n">
        <v>-25.4</v>
      </c>
      <c r="Q316" s="40" t="n">
        <v>704.2</v>
      </c>
      <c r="R316" s="40" t="n">
        <v>-1019.7</v>
      </c>
      <c r="S316" s="40" t="n">
        <v>-109.6</v>
      </c>
      <c r="T316" s="40" t="n">
        <v>-494.6</v>
      </c>
      <c r="U316" s="40" t="n">
        <v>831</v>
      </c>
      <c r="V316" s="40" t="n">
        <v>-1508.5</v>
      </c>
      <c r="W316" s="40" t="n">
        <v>-1042.7</v>
      </c>
      <c r="X316" s="40" t="n">
        <v>-2214.8</v>
      </c>
      <c r="Y316" s="40" t="n">
        <v>-126.5</v>
      </c>
      <c r="Z316" s="40" t="n">
        <v>3433.3</v>
      </c>
      <c r="AA316" s="40" t="n">
        <v>-3126.2</v>
      </c>
      <c r="AB316" s="40" t="n">
        <v>-7.69999999999999</v>
      </c>
      <c r="AC316" s="40" t="n">
        <v>172.9</v>
      </c>
      <c r="AD316" s="40" t="n">
        <v>-159.8</v>
      </c>
      <c r="AE316" s="40" t="n">
        <v>-77.5</v>
      </c>
      <c r="AF316" s="40" t="n">
        <v>-77.8</v>
      </c>
      <c r="AG316" s="40" t="n">
        <v>-18.3</v>
      </c>
      <c r="AH316" s="40" t="n">
        <v>-333.4</v>
      </c>
      <c r="AI316" s="40" t="n">
        <v>415.4</v>
      </c>
      <c r="AJ316" s="40" t="n">
        <v>-141.7</v>
      </c>
      <c r="AK316" s="40" t="n">
        <v>-127.8</v>
      </c>
      <c r="AL316" s="40" t="n">
        <v>11.6</v>
      </c>
      <c r="AM316" s="40" t="n">
        <v>157.5</v>
      </c>
      <c r="AN316" s="40" t="n">
        <v>3122.2</v>
      </c>
      <c r="AO316" s="40" t="n">
        <v>1523.6</v>
      </c>
      <c r="AP316" s="40" t="n">
        <v>8818.5</v>
      </c>
      <c r="AQ316" s="40" t="n">
        <v>5660.2</v>
      </c>
      <c r="AR316" s="40" t="n">
        <v>19124.5</v>
      </c>
      <c r="AS316" s="40" t="n">
        <v>-15544.6</v>
      </c>
      <c r="AT316" s="40" t="n">
        <v>1171.6</v>
      </c>
      <c r="AU316" s="40" t="n">
        <v>148.4</v>
      </c>
      <c r="AV316" s="40" t="n">
        <v>347.6</v>
      </c>
      <c r="AW316" s="40" t="n">
        <v>-13877</v>
      </c>
      <c r="AX316" s="40" t="n">
        <v>295</v>
      </c>
      <c r="AY316" s="40" t="n">
        <v>992</v>
      </c>
      <c r="AZ316" s="40" t="n">
        <v>-4770</v>
      </c>
      <c r="BA316" s="40" t="n">
        <v>34</v>
      </c>
      <c r="BB316" s="40" t="n">
        <v>-3449</v>
      </c>
      <c r="BC316" s="40" t="n">
        <v>1131</v>
      </c>
      <c r="BD316" s="40" t="n">
        <v>267</v>
      </c>
      <c r="BE316" s="40" t="n">
        <v>1166</v>
      </c>
      <c r="BF316" s="40" t="n">
        <v>845</v>
      </c>
      <c r="BG316" s="40" t="n">
        <v>3409</v>
      </c>
      <c r="BH316" s="40" t="n">
        <v>1384</v>
      </c>
      <c r="BI316" s="40" t="n">
        <v>1196</v>
      </c>
      <c r="BJ316" s="40" t="n">
        <v>3702</v>
      </c>
      <c r="BK316" s="40" t="n">
        <v>-6413</v>
      </c>
      <c r="BL316" s="40" t="n">
        <v>-131</v>
      </c>
      <c r="BM316" s="40" t="n">
        <v>1167</v>
      </c>
      <c r="BN316" s="40" t="n">
        <v>-4657</v>
      </c>
      <c r="BO316" s="40" t="n">
        <v>253</v>
      </c>
      <c r="BP316" s="40" t="n">
        <v>-549</v>
      </c>
      <c r="BQ316" s="40" t="n">
        <v>-3786</v>
      </c>
      <c r="BR316" s="40" t="n">
        <v>-85</v>
      </c>
      <c r="BS316" s="40" t="n">
        <v>964</v>
      </c>
      <c r="BT316" s="40" t="n">
        <v>-1429</v>
      </c>
      <c r="BU316" s="40" t="n">
        <v>3087</v>
      </c>
      <c r="BV316" s="40" t="n">
        <v>2537</v>
      </c>
      <c r="BW316" s="40" t="n">
        <v>1086</v>
      </c>
      <c r="BX316" s="40" t="n">
        <v>-1353</v>
      </c>
      <c r="BY316" s="45"/>
      <c r="BZ316" s="45"/>
      <c r="CA316" s="41" t="n">
        <f aca="false">CA302+CA308+CA314+CA315</f>
        <v>-2615</v>
      </c>
      <c r="CB316" s="41" t="n">
        <f aca="false">CB302+CB308+CB314+CB315</f>
        <v>419.759645395068</v>
      </c>
      <c r="CC316" s="41" t="n">
        <f aca="false">CC302+CC308+CC314+CC315</f>
        <v>-419.759645395066</v>
      </c>
      <c r="CD316" s="41" t="n">
        <f aca="false">CD302+CD308+CD314+CD315</f>
        <v>0</v>
      </c>
      <c r="CE316" s="41" t="n">
        <f aca="false">CE302+CE308+CE314+CE315</f>
        <v>0</v>
      </c>
      <c r="CF316" s="37"/>
    </row>
    <row r="317" customFormat="false" ht="15" hidden="false" customHeight="true" outlineLevel="0" collapsed="false">
      <c r="B317" s="27" t="s">
        <v>486</v>
      </c>
      <c r="C317" s="40" t="n">
        <v>315.6</v>
      </c>
      <c r="D317" s="40" t="n">
        <v>317.8</v>
      </c>
      <c r="E317" s="40" t="n">
        <v>239.1</v>
      </c>
      <c r="F317" s="40" t="n">
        <v>392.9</v>
      </c>
      <c r="G317" s="40" t="n">
        <v>1721.9</v>
      </c>
      <c r="H317" s="40" t="n">
        <v>1633</v>
      </c>
      <c r="I317" s="40" t="n">
        <v>537</v>
      </c>
      <c r="J317" s="40" t="n">
        <v>1678.7</v>
      </c>
      <c r="K317" s="40" t="n">
        <v>2150.7</v>
      </c>
      <c r="L317" s="40" t="n">
        <v>2324.9</v>
      </c>
      <c r="M317" s="40" t="n">
        <v>1995.6</v>
      </c>
      <c r="N317" s="40" t="n">
        <v>1678.7</v>
      </c>
      <c r="O317" s="40" t="n">
        <v>3115.2</v>
      </c>
      <c r="P317" s="40" t="n">
        <v>3346.5</v>
      </c>
      <c r="Q317" s="40" t="n">
        <v>3321.1</v>
      </c>
      <c r="R317" s="40" t="n">
        <v>4025.3</v>
      </c>
      <c r="S317" s="40" t="n">
        <v>3115.2</v>
      </c>
      <c r="T317" s="40" t="n">
        <v>3005.6</v>
      </c>
      <c r="U317" s="40" t="n">
        <v>2511</v>
      </c>
      <c r="V317" s="40" t="n">
        <v>3342</v>
      </c>
      <c r="W317" s="40" t="n">
        <v>1833.5</v>
      </c>
      <c r="X317" s="40" t="n">
        <v>3005.6</v>
      </c>
      <c r="Y317" s="40" t="n">
        <v>790.8</v>
      </c>
      <c r="Z317" s="40" t="n">
        <v>664.3</v>
      </c>
      <c r="AA317" s="40" t="n">
        <v>4097.6</v>
      </c>
      <c r="AB317" s="40" t="n">
        <v>971.4</v>
      </c>
      <c r="AC317" s="40" t="n">
        <v>790.8</v>
      </c>
      <c r="AD317" s="40" t="n">
        <v>963.7</v>
      </c>
      <c r="AE317" s="40" t="n">
        <v>803.9</v>
      </c>
      <c r="AF317" s="40" t="n">
        <v>726.4</v>
      </c>
      <c r="AG317" s="40" t="n">
        <v>648.6</v>
      </c>
      <c r="AH317" s="40" t="n">
        <v>963.7</v>
      </c>
      <c r="AI317" s="40" t="n">
        <v>630.3</v>
      </c>
      <c r="AJ317" s="40" t="n">
        <v>1045.7</v>
      </c>
      <c r="AK317" s="40" t="n">
        <v>904</v>
      </c>
      <c r="AL317" s="40" t="n">
        <v>776.2</v>
      </c>
      <c r="AM317" s="40" t="n">
        <v>630.3</v>
      </c>
      <c r="AN317" s="40" t="n">
        <v>787.8</v>
      </c>
      <c r="AO317" s="40" t="n">
        <v>3910</v>
      </c>
      <c r="AP317" s="40" t="n">
        <v>5433.6</v>
      </c>
      <c r="AQ317" s="40" t="n">
        <v>14252.1</v>
      </c>
      <c r="AR317" s="40" t="n">
        <v>787.8</v>
      </c>
      <c r="AS317" s="40" t="n">
        <v>19912.3</v>
      </c>
      <c r="AT317" s="40" t="n">
        <v>4367.7</v>
      </c>
      <c r="AU317" s="40" t="n">
        <v>5539.3</v>
      </c>
      <c r="AV317" s="40" t="n">
        <v>5687.7</v>
      </c>
      <c r="AW317" s="40" t="n">
        <v>19912</v>
      </c>
      <c r="AX317" s="40" t="n">
        <v>6035</v>
      </c>
      <c r="AY317" s="40" t="n">
        <v>6330</v>
      </c>
      <c r="AZ317" s="40" t="n">
        <v>7322</v>
      </c>
      <c r="BA317" s="40" t="n">
        <v>2552</v>
      </c>
      <c r="BB317" s="40" t="n">
        <v>6035</v>
      </c>
      <c r="BC317" s="40" t="n">
        <v>2586</v>
      </c>
      <c r="BD317" s="40" t="n">
        <v>3717</v>
      </c>
      <c r="BE317" s="40" t="n">
        <v>3984</v>
      </c>
      <c r="BF317" s="40" t="n">
        <v>5150</v>
      </c>
      <c r="BG317" s="40" t="n">
        <v>2586</v>
      </c>
      <c r="BH317" s="40" t="n">
        <v>5995</v>
      </c>
      <c r="BI317" s="40" t="n">
        <v>7379</v>
      </c>
      <c r="BJ317" s="40" t="n">
        <v>8575</v>
      </c>
      <c r="BK317" s="40" t="n">
        <v>12277</v>
      </c>
      <c r="BL317" s="40" t="n">
        <v>5995</v>
      </c>
      <c r="BM317" s="40" t="n">
        <v>5864</v>
      </c>
      <c r="BN317" s="40" t="n">
        <v>7031</v>
      </c>
      <c r="BO317" s="40" t="n">
        <v>2374</v>
      </c>
      <c r="BP317" s="40" t="n">
        <v>2627</v>
      </c>
      <c r="BQ317" s="40" t="n">
        <v>5864</v>
      </c>
      <c r="BR317" s="40" t="n">
        <v>2078</v>
      </c>
      <c r="BS317" s="40" t="n">
        <v>1993</v>
      </c>
      <c r="BT317" s="40" t="n">
        <v>2957</v>
      </c>
      <c r="BU317" s="40" t="n">
        <v>1528</v>
      </c>
      <c r="BV317" s="40" t="n">
        <v>2078</v>
      </c>
      <c r="BW317" s="40" t="n">
        <v>4615</v>
      </c>
      <c r="BX317" s="40" t="n">
        <v>5701</v>
      </c>
      <c r="BY317" s="45"/>
      <c r="BZ317" s="45"/>
      <c r="CA317" s="41" t="n">
        <f aca="false">BV318</f>
        <v>4615</v>
      </c>
      <c r="CB317" s="41" t="n">
        <f aca="false">CA318</f>
        <v>2000</v>
      </c>
      <c r="CC317" s="41" t="n">
        <f aca="false">CB318</f>
        <v>2419.75964539507</v>
      </c>
      <c r="CD317" s="41" t="n">
        <f aca="false">CC318</f>
        <v>2000</v>
      </c>
      <c r="CE317" s="41" t="n">
        <f aca="false">CD318</f>
        <v>2000</v>
      </c>
      <c r="CF317" s="37"/>
    </row>
    <row r="318" customFormat="false" ht="15" hidden="false" customHeight="true" outlineLevel="0" collapsed="false">
      <c r="B318" s="18" t="s">
        <v>487</v>
      </c>
      <c r="C318" s="20" t="n">
        <v>317.8</v>
      </c>
      <c r="D318" s="20" t="n">
        <v>239.1</v>
      </c>
      <c r="E318" s="20" t="n">
        <v>392.9</v>
      </c>
      <c r="F318" s="20" t="n">
        <v>1721.9</v>
      </c>
      <c r="G318" s="20" t="n">
        <v>1633</v>
      </c>
      <c r="H318" s="20" t="n">
        <v>537</v>
      </c>
      <c r="I318" s="20" t="n">
        <v>1678.7</v>
      </c>
      <c r="J318" s="20" t="n">
        <v>2150.7</v>
      </c>
      <c r="K318" s="20" t="n">
        <v>2324.9</v>
      </c>
      <c r="L318" s="20" t="n">
        <v>1995.6</v>
      </c>
      <c r="M318" s="20" t="n">
        <v>3115.2</v>
      </c>
      <c r="N318" s="20" t="n">
        <v>3115.2</v>
      </c>
      <c r="O318" s="20" t="n">
        <v>3346.5</v>
      </c>
      <c r="P318" s="20" t="n">
        <v>3321.1</v>
      </c>
      <c r="Q318" s="20" t="n">
        <v>4025.3</v>
      </c>
      <c r="R318" s="20" t="n">
        <v>3005.6</v>
      </c>
      <c r="S318" s="20" t="n">
        <v>3005.6</v>
      </c>
      <c r="T318" s="20" t="n">
        <v>2511</v>
      </c>
      <c r="U318" s="20" t="n">
        <v>3342</v>
      </c>
      <c r="V318" s="20" t="n">
        <v>1833.5</v>
      </c>
      <c r="W318" s="20" t="n">
        <v>790.8</v>
      </c>
      <c r="X318" s="20" t="n">
        <v>790.8</v>
      </c>
      <c r="Y318" s="20" t="n">
        <v>664.3</v>
      </c>
      <c r="Z318" s="20" t="n">
        <v>4097.6</v>
      </c>
      <c r="AA318" s="20" t="n">
        <v>971.4</v>
      </c>
      <c r="AB318" s="20" t="n">
        <v>963.7</v>
      </c>
      <c r="AC318" s="20" t="n">
        <v>963.7</v>
      </c>
      <c r="AD318" s="20" t="n">
        <v>803.9</v>
      </c>
      <c r="AE318" s="20" t="n">
        <v>726.4</v>
      </c>
      <c r="AF318" s="20" t="n">
        <v>648.6</v>
      </c>
      <c r="AG318" s="20" t="n">
        <v>630.3</v>
      </c>
      <c r="AH318" s="20" t="n">
        <v>630.3</v>
      </c>
      <c r="AI318" s="20" t="n">
        <v>1045.7</v>
      </c>
      <c r="AJ318" s="20" t="n">
        <v>904</v>
      </c>
      <c r="AK318" s="20" t="n">
        <v>776.2</v>
      </c>
      <c r="AL318" s="20" t="n">
        <v>787.8</v>
      </c>
      <c r="AM318" s="20" t="n">
        <v>787.8</v>
      </c>
      <c r="AN318" s="20" t="n">
        <v>3910</v>
      </c>
      <c r="AO318" s="20" t="n">
        <v>5433.6</v>
      </c>
      <c r="AP318" s="20" t="n">
        <v>14252.1</v>
      </c>
      <c r="AQ318" s="20" t="n">
        <v>19912.3</v>
      </c>
      <c r="AR318" s="20" t="n">
        <v>19912.3</v>
      </c>
      <c r="AS318" s="20" t="n">
        <v>4367.7</v>
      </c>
      <c r="AT318" s="20" t="n">
        <v>5539.3</v>
      </c>
      <c r="AU318" s="20" t="n">
        <v>5687.7</v>
      </c>
      <c r="AV318" s="20" t="n">
        <v>6035</v>
      </c>
      <c r="AW318" s="20" t="n">
        <v>6035</v>
      </c>
      <c r="AX318" s="20" t="n">
        <v>6330</v>
      </c>
      <c r="AY318" s="20" t="n">
        <v>7322</v>
      </c>
      <c r="AZ318" s="20" t="n">
        <v>2552</v>
      </c>
      <c r="BA318" s="20" t="n">
        <v>2586</v>
      </c>
      <c r="BB318" s="20" t="n">
        <v>2586</v>
      </c>
      <c r="BC318" s="20" t="n">
        <v>3717</v>
      </c>
      <c r="BD318" s="20" t="n">
        <v>3984</v>
      </c>
      <c r="BE318" s="20" t="n">
        <v>5150</v>
      </c>
      <c r="BF318" s="20" t="n">
        <v>5995</v>
      </c>
      <c r="BG318" s="20" t="n">
        <v>5995</v>
      </c>
      <c r="BH318" s="20" t="n">
        <v>7379</v>
      </c>
      <c r="BI318" s="20" t="n">
        <v>8575</v>
      </c>
      <c r="BJ318" s="20" t="n">
        <v>12277</v>
      </c>
      <c r="BK318" s="20" t="n">
        <v>5864</v>
      </c>
      <c r="BL318" s="20" t="n">
        <v>5864</v>
      </c>
      <c r="BM318" s="20" t="n">
        <v>7031</v>
      </c>
      <c r="BN318" s="20" t="n">
        <v>2374</v>
      </c>
      <c r="BO318" s="20" t="n">
        <v>2627</v>
      </c>
      <c r="BP318" s="20" t="n">
        <v>2078</v>
      </c>
      <c r="BQ318" s="20" t="n">
        <v>2078</v>
      </c>
      <c r="BR318" s="20" t="n">
        <v>1993</v>
      </c>
      <c r="BS318" s="20" t="n">
        <v>2957</v>
      </c>
      <c r="BT318" s="20" t="n">
        <v>1528</v>
      </c>
      <c r="BU318" s="20" t="n">
        <v>4615</v>
      </c>
      <c r="BV318" s="20" t="n">
        <v>4615</v>
      </c>
      <c r="BW318" s="20" t="n">
        <v>5701</v>
      </c>
      <c r="BX318" s="20" t="n">
        <v>4348</v>
      </c>
      <c r="BY318" s="59"/>
      <c r="BZ318" s="59"/>
      <c r="CA318" s="21" t="n">
        <f aca="false">CA317+CA316</f>
        <v>2000</v>
      </c>
      <c r="CB318" s="21" t="n">
        <f aca="false">CB317+CB316</f>
        <v>2419.75964539507</v>
      </c>
      <c r="CC318" s="21" t="n">
        <f aca="false">CC317+CC316</f>
        <v>2000</v>
      </c>
      <c r="CD318" s="21" t="n">
        <f aca="false">CD317+CD316</f>
        <v>2000</v>
      </c>
      <c r="CE318" s="21" t="n">
        <f aca="false">CE317+CE316</f>
        <v>2000</v>
      </c>
      <c r="CF318" s="7" t="s">
        <v>488</v>
      </c>
    </row>
    <row r="319" customFormat="false" ht="15" hidden="false" customHeight="true" outlineLevel="0" collapsed="false">
      <c r="B319" s="65" t="s">
        <v>489</v>
      </c>
      <c r="C319" s="66" t="n">
        <f aca="false">IF(ISNUMBER(C302),IF(ABS(C302+C308+C314+N(C315)-C316)&lt;=0.6,0,ROUND(C302+C308+C314+N(C315)-C316,1)),"")</f>
        <v>0</v>
      </c>
      <c r="D319" s="66" t="n">
        <f aca="false">IF(ISNUMBER(D302),IF(ABS(D302+D308+D314+N(D315)-D316)&lt;=0.6,0,ROUND(D302+D308+D314+N(D315)-D316,1)),"")</f>
        <v>0</v>
      </c>
      <c r="E319" s="66" t="n">
        <f aca="false">IF(ISNUMBER(E302),IF(ABS(E302+E308+E314+N(E315)-E316)&lt;=0.6,0,ROUND(E302+E308+E314+N(E315)-E316,1)),"")</f>
        <v>0</v>
      </c>
      <c r="F319" s="66" t="n">
        <f aca="false">IF(ISNUMBER(F302),IF(ABS(F302+F308+F314+N(F315)-F316)&lt;=0.6,0,ROUND(F302+F308+F314+N(F315)-F316,1)),"")</f>
        <v>0</v>
      </c>
      <c r="G319" s="66" t="n">
        <f aca="false">IF(ISNUMBER(G302),IF(ABS(G302+G308+G314+N(G315)-G316)&lt;=0.6,0,ROUND(G302+G308+G314+N(G315)-G316,1)),"")</f>
        <v>0</v>
      </c>
      <c r="H319" s="66" t="n">
        <f aca="false">IF(ISNUMBER(H302),IF(ABS(H302+H308+H314+N(H315)-H316)&lt;=0.6,0,ROUND(H302+H308+H314+N(H315)-H316,1)),"")</f>
        <v>0</v>
      </c>
      <c r="I319" s="66" t="n">
        <f aca="false">IF(ISNUMBER(I302),IF(ABS(I302+I308+I314+N(I315)-I316)&lt;=0.6,0,ROUND(I302+I308+I314+N(I315)-I316,1)),"")</f>
        <v>0</v>
      </c>
      <c r="J319" s="66" t="n">
        <f aca="false">IF(ISNUMBER(J302),IF(ABS(J302+J308+J314+N(J315)-J316)&lt;=0.6,0,ROUND(J302+J308+J314+N(J315)-J316,1)),"")</f>
        <v>0</v>
      </c>
      <c r="K319" s="66" t="n">
        <f aca="false">IF(ISNUMBER(K302),IF(ABS(K302+K308+K314+N(K315)-K316)&lt;=0.6,0,ROUND(K302+K308+K314+N(K315)-K316,1)),"")</f>
        <v>0</v>
      </c>
      <c r="L319" s="66" t="n">
        <f aca="false">IF(ISNUMBER(L302),IF(ABS(L302+L308+L314+N(L315)-L316)&lt;=0.6,0,ROUND(L302+L308+L314+N(L315)-L316,1)),"")</f>
        <v>0</v>
      </c>
      <c r="M319" s="66" t="n">
        <f aca="false">IF(ISNUMBER(M302),IF(ABS(M302+M308+M314+N(M315)-M316)&lt;=0.6,0,ROUND(M302+M308+M314+N(M315)-M316,1)),"")</f>
        <v>0</v>
      </c>
      <c r="N319" s="66" t="n">
        <f aca="false">IF(ISNUMBER(N302),IF(ABS(N302+N308+N314+N(N315)-N316)&lt;=0.6,0,ROUND(N302+N308+N314+N(N315)-N316,1)),"")</f>
        <v>0</v>
      </c>
      <c r="O319" s="66" t="n">
        <f aca="false">IF(ISNUMBER(O302),IF(ABS(O302+O308+O314+N(O315)-O316)&lt;=0.6,0,ROUND(O302+O308+O314+N(O315)-O316,1)),"")</f>
        <v>0</v>
      </c>
      <c r="P319" s="66" t="n">
        <f aca="false">IF(ISNUMBER(P302),IF(ABS(P302+P308+P314+N(P315)-P316)&lt;=0.6,0,ROUND(P302+P308+P314+N(P315)-P316,1)),"")</f>
        <v>0</v>
      </c>
      <c r="Q319" s="66" t="n">
        <f aca="false">IF(ISNUMBER(Q302),IF(ABS(Q302+Q308+Q314+N(Q315)-Q316)&lt;=0.6,0,ROUND(Q302+Q308+Q314+N(Q315)-Q316,1)),"")</f>
        <v>0</v>
      </c>
      <c r="R319" s="66" t="n">
        <f aca="false">IF(ISNUMBER(R302),IF(ABS(R302+R308+R314+N(R315)-R316)&lt;=0.6,0,ROUND(R302+R308+R314+N(R315)-R316,1)),"")</f>
        <v>0</v>
      </c>
      <c r="S319" s="66" t="n">
        <f aca="false">IF(ISNUMBER(S302),IF(ABS(S302+S308+S314+N(S315)-S316)&lt;=0.6,0,ROUND(S302+S308+S314+N(S315)-S316,1)),"")</f>
        <v>0</v>
      </c>
      <c r="T319" s="66" t="n">
        <f aca="false">IF(ISNUMBER(T302),IF(ABS(T302+T308+T314+N(T315)-T316)&lt;=0.6,0,ROUND(T302+T308+T314+N(T315)-T316,1)),"")</f>
        <v>0</v>
      </c>
      <c r="U319" s="66" t="n">
        <f aca="false">IF(ISNUMBER(U302),IF(ABS(U302+U308+U314+N(U315)-U316)&lt;=0.6,0,ROUND(U302+U308+U314+N(U315)-U316,1)),"")</f>
        <v>0</v>
      </c>
      <c r="V319" s="66" t="n">
        <f aca="false">IF(ISNUMBER(V302),IF(ABS(V302+V308+V314+N(V315)-V316)&lt;=0.6,0,ROUND(V302+V308+V314+N(V315)-V316,1)),"")</f>
        <v>0</v>
      </c>
      <c r="W319" s="66" t="n">
        <f aca="false">IF(ISNUMBER(W302),IF(ABS(W302+W308+W314+N(W315)-W316)&lt;=0.6,0,ROUND(W302+W308+W314+N(W315)-W316,1)),"")</f>
        <v>0</v>
      </c>
      <c r="X319" s="66" t="n">
        <f aca="false">IF(ISNUMBER(X302),IF(ABS(X302+X308+X314+N(X315)-X316)&lt;=0.6,0,ROUND(X302+X308+X314+N(X315)-X316,1)),"")</f>
        <v>0</v>
      </c>
      <c r="Y319" s="66" t="n">
        <f aca="false">IF(ISNUMBER(Y302),IF(ABS(Y302+Y308+Y314+N(Y315)-Y316)&lt;=0.6,0,ROUND(Y302+Y308+Y314+N(Y315)-Y316,1)),"")</f>
        <v>0</v>
      </c>
      <c r="Z319" s="66" t="n">
        <f aca="false">IF(ISNUMBER(Z302),IF(ABS(Z302+Z308+Z314+N(Z315)-Z316)&lt;=0.6,0,ROUND(Z302+Z308+Z314+N(Z315)-Z316,1)),"")</f>
        <v>0</v>
      </c>
      <c r="AA319" s="66" t="n">
        <f aca="false">IF(ISNUMBER(AA302),IF(ABS(AA302+AA308+AA314+N(AA315)-AA316)&lt;=0.6,0,ROUND(AA302+AA308+AA314+N(AA315)-AA316,1)),"")</f>
        <v>0</v>
      </c>
      <c r="AB319" s="66" t="n">
        <f aca="false">IF(ISNUMBER(AB302),IF(ABS(AB302+AB308+AB314+N(AB315)-AB316)&lt;=0.6,0,ROUND(AB302+AB308+AB314+N(AB315)-AB316,1)),"")</f>
        <v>0</v>
      </c>
      <c r="AC319" s="66" t="n">
        <f aca="false">IF(ISNUMBER(AC302),IF(ABS(AC302+AC308+AC314+N(AC315)-AC316)&lt;=0.6,0,ROUND(AC302+AC308+AC314+N(AC315)-AC316,1)),"")</f>
        <v>0</v>
      </c>
      <c r="AD319" s="66" t="n">
        <f aca="false">IF(ISNUMBER(AD302),IF(ABS(AD302+AD308+AD314+N(AD315)-AD316)&lt;=0.6,0,ROUND(AD302+AD308+AD314+N(AD315)-AD316,1)),"")</f>
        <v>0</v>
      </c>
      <c r="AE319" s="66" t="n">
        <f aca="false">IF(ISNUMBER(AE302),IF(ABS(AE302+AE308+AE314+N(AE315)-AE316)&lt;=0.6,0,ROUND(AE302+AE308+AE314+N(AE315)-AE316,1)),"")</f>
        <v>0</v>
      </c>
      <c r="AF319" s="66" t="n">
        <f aca="false">IF(ISNUMBER(AF302),IF(ABS(AF302+AF308+AF314+N(AF315)-AF316)&lt;=0.6,0,ROUND(AF302+AF308+AF314+N(AF315)-AF316,1)),"")</f>
        <v>0</v>
      </c>
      <c r="AG319" s="66" t="n">
        <f aca="false">IF(ISNUMBER(AG302),IF(ABS(AG302+AG308+AG314+N(AG315)-AG316)&lt;=0.6,0,ROUND(AG302+AG308+AG314+N(AG315)-AG316,1)),"")</f>
        <v>0</v>
      </c>
      <c r="AH319" s="66" t="n">
        <f aca="false">IF(ISNUMBER(AH302),IF(ABS(AH302+AH308+AH314+N(AH315)-AH316)&lt;=0.6,0,ROUND(AH302+AH308+AH314+N(AH315)-AH316,1)),"")</f>
        <v>0</v>
      </c>
      <c r="AI319" s="66" t="n">
        <f aca="false">IF(ISNUMBER(AI302),IF(ABS(AI302+AI308+AI314+N(AI315)-AI316)&lt;=0.6,0,ROUND(AI302+AI308+AI314+N(AI315)-AI316,1)),"")</f>
        <v>0</v>
      </c>
      <c r="AJ319" s="66" t="n">
        <f aca="false">IF(ISNUMBER(AJ302),IF(ABS(AJ302+AJ308+AJ314+N(AJ315)-AJ316)&lt;=0.6,0,ROUND(AJ302+AJ308+AJ314+N(AJ315)-AJ316,1)),"")</f>
        <v>0</v>
      </c>
      <c r="AK319" s="66" t="n">
        <f aca="false">IF(ISNUMBER(AK302),IF(ABS(AK302+AK308+AK314+N(AK315)-AK316)&lt;=0.6,0,ROUND(AK302+AK308+AK314+N(AK315)-AK316,1)),"")</f>
        <v>0</v>
      </c>
      <c r="AL319" s="66" t="n">
        <f aca="false">IF(ISNUMBER(AL302),IF(ABS(AL302+AL308+AL314+N(AL315)-AL316)&lt;=0.6,0,ROUND(AL302+AL308+AL314+N(AL315)-AL316,1)),"")</f>
        <v>0</v>
      </c>
      <c r="AM319" s="66" t="n">
        <f aca="false">IF(ISNUMBER(AM302),IF(ABS(AM302+AM308+AM314+N(AM315)-AM316)&lt;=0.6,0,ROUND(AM302+AM308+AM314+N(AM315)-AM316,1)),"")</f>
        <v>0</v>
      </c>
      <c r="AN319" s="66" t="n">
        <f aca="false">IF(ISNUMBER(AN302),IF(ABS(AN302+AN308+AN314+N(AN315)-AN316)&lt;=0.6,0,ROUND(AN302+AN308+AN314+N(AN315)-AN316,1)),"")</f>
        <v>0</v>
      </c>
      <c r="AO319" s="66" t="n">
        <f aca="false">IF(ISNUMBER(AO302),IF(ABS(AO302+AO308+AO314+N(AO315)-AO316)&lt;=0.6,0,ROUND(AO302+AO308+AO314+N(AO315)-AO316,1)),"")</f>
        <v>0</v>
      </c>
      <c r="AP319" s="66" t="n">
        <f aca="false">IF(ISNUMBER(AP302),IF(ABS(AP302+AP308+AP314+N(AP315)-AP316)&lt;=0.6,0,ROUND(AP302+AP308+AP314+N(AP315)-AP316,1)),"")</f>
        <v>0</v>
      </c>
      <c r="AQ319" s="66" t="n">
        <f aca="false">IF(ISNUMBER(AQ302),IF(ABS(AQ302+AQ308+AQ314+N(AQ315)-AQ316)&lt;=0.6,0,ROUND(AQ302+AQ308+AQ314+N(AQ315)-AQ316,1)),"")</f>
        <v>0</v>
      </c>
      <c r="AR319" s="66" t="n">
        <f aca="false">IF(ISNUMBER(AR302),IF(ABS(AR302+AR308+AR314+N(AR315)-AR316)&lt;=0.6,0,ROUND(AR302+AR308+AR314+N(AR315)-AR316,1)),"")</f>
        <v>0</v>
      </c>
      <c r="AS319" s="66" t="n">
        <f aca="false">IF(ISNUMBER(AS302),IF(ABS(AS302+AS308+AS314+N(AS315)-AS316)&lt;=0.6,0,ROUND(AS302+AS308+AS314+N(AS315)-AS316,1)),"")</f>
        <v>0</v>
      </c>
      <c r="AT319" s="66" t="n">
        <f aca="false">IF(ISNUMBER(AT302),IF(ABS(AT302+AT308+AT314+N(AT315)-AT316)&lt;=0.6,0,ROUND(AT302+AT308+AT314+N(AT315)-AT316,1)),"")</f>
        <v>0</v>
      </c>
      <c r="AU319" s="66" t="n">
        <f aca="false">IF(ISNUMBER(AU302),IF(ABS(AU302+AU308+AU314+N(AU315)-AU316)&lt;=0.6,0,ROUND(AU302+AU308+AU314+N(AU315)-AU316,1)),"")</f>
        <v>0</v>
      </c>
      <c r="AV319" s="66" t="n">
        <f aca="false">IF(ISNUMBER(AV302),IF(ABS(AV302+AV308+AV314+N(AV315)-AV316)&lt;=0.6,0,ROUND(AV302+AV308+AV314+N(AV315)-AV316,1)),"")</f>
        <v>0</v>
      </c>
      <c r="AW319" s="66" t="n">
        <f aca="false">IF(ISNUMBER(AW302),IF(ABS(AW302+AW308+AW314+N(AW315)-AW316)&lt;=0.6,0,ROUND(AW302+AW308+AW314+N(AW315)-AW316,1)),"")</f>
        <v>0</v>
      </c>
      <c r="AX319" s="66" t="n">
        <f aca="false">IF(ISNUMBER(AX302),IF(ABS(AX302+AX308+AX314+N(AX315)-AX316)&lt;=0.6,0,ROUND(AX302+AX308+AX314+N(AX315)-AX316,1)),"")</f>
        <v>0</v>
      </c>
      <c r="AY319" s="66" t="n">
        <f aca="false">IF(ISNUMBER(AY302),IF(ABS(AY302+AY308+AY314+N(AY315)-AY316)&lt;=0.6,0,ROUND(AY302+AY308+AY314+N(AY315)-AY316,1)),"")</f>
        <v>0</v>
      </c>
      <c r="AZ319" s="66" t="n">
        <f aca="false">IF(ISNUMBER(AZ302),IF(ABS(AZ302+AZ308+AZ314+N(AZ315)-AZ316)&lt;=0.6,0,ROUND(AZ302+AZ308+AZ314+N(AZ315)-AZ316,1)),"")</f>
        <v>0</v>
      </c>
      <c r="BA319" s="66" t="n">
        <f aca="false">IF(ISNUMBER(BA302),IF(ABS(BA302+BA308+BA314+N(BA315)-BA316)&lt;=0.6,0,ROUND(BA302+BA308+BA314+N(BA315)-BA316,1)),"")</f>
        <v>0</v>
      </c>
      <c r="BB319" s="66" t="n">
        <f aca="false">IF(ISNUMBER(BB302),IF(ABS(BB302+BB308+BB314+N(BB315)-BB316)&lt;=0.6,0,ROUND(BB302+BB308+BB314+N(BB315)-BB316,1)),"")</f>
        <v>0</v>
      </c>
      <c r="BC319" s="66" t="n">
        <f aca="false">IF(ISNUMBER(BC302),IF(ABS(BC302+BC308+BC314+N(BC315)-BC316)&lt;=0.6,0,ROUND(BC302+BC308+BC314+N(BC315)-BC316,1)),"")</f>
        <v>0</v>
      </c>
      <c r="BD319" s="66" t="n">
        <f aca="false">IF(ISNUMBER(BD302),IF(ABS(BD302+BD308+BD314+N(BD315)-BD316)&lt;=0.6,0,ROUND(BD302+BD308+BD314+N(BD315)-BD316,1)),"")</f>
        <v>0</v>
      </c>
      <c r="BE319" s="66" t="n">
        <f aca="false">IF(ISNUMBER(BE302),IF(ABS(BE302+BE308+BE314+N(BE315)-BE316)&lt;=0.6,0,ROUND(BE302+BE308+BE314+N(BE315)-BE316,1)),"")</f>
        <v>0</v>
      </c>
      <c r="BF319" s="66" t="n">
        <f aca="false">IF(ISNUMBER(BF302),IF(ABS(BF302+BF308+BF314+N(BF315)-BF316)&lt;=0.6,0,ROUND(BF302+BF308+BF314+N(BF315)-BF316,1)),"")</f>
        <v>0</v>
      </c>
      <c r="BG319" s="66" t="n">
        <f aca="false">IF(ISNUMBER(BG302),IF(ABS(BG302+BG308+BG314+N(BG315)-BG316)&lt;=0.6,0,ROUND(BG302+BG308+BG314+N(BG315)-BG316,1)),"")</f>
        <v>0</v>
      </c>
      <c r="BH319" s="66" t="n">
        <f aca="false">IF(ISNUMBER(BH302),IF(ABS(BH302+BH308+BH314+N(BH315)-BH316)&lt;=0.6,0,ROUND(BH302+BH308+BH314+N(BH315)-BH316,1)),"")</f>
        <v>0</v>
      </c>
      <c r="BI319" s="66" t="n">
        <f aca="false">IF(ISNUMBER(BI302),IF(ABS(BI302+BI308+BI314+N(BI315)-BI316)&lt;=0.6,0,ROUND(BI302+BI308+BI314+N(BI315)-BI316,1)),"")</f>
        <v>0</v>
      </c>
      <c r="BJ319" s="66" t="n">
        <f aca="false">IF(ISNUMBER(BJ302),IF(ABS(BJ302+BJ308+BJ314+N(BJ315)-BJ316)&lt;=0.6,0,ROUND(BJ302+BJ308+BJ314+N(BJ315)-BJ316,1)),"")</f>
        <v>0</v>
      </c>
      <c r="BK319" s="66" t="n">
        <f aca="false">IF(ISNUMBER(BK302),IF(ABS(BK302+BK308+BK314+N(BK315)-BK316)&lt;=0.6,0,ROUND(BK302+BK308+BK314+N(BK315)-BK316,1)),"")</f>
        <v>0</v>
      </c>
      <c r="BL319" s="66" t="n">
        <f aca="false">IF(ISNUMBER(BL302),IF(ABS(BL302+BL308+BL314+N(BL315)-BL316)&lt;=0.6,0,ROUND(BL302+BL308+BL314+N(BL315)-BL316,1)),"")</f>
        <v>0</v>
      </c>
      <c r="BM319" s="66" t="n">
        <f aca="false">IF(ISNUMBER(BM302),IF(ABS(BM302+BM308+BM314+N(BM315)-BM316)&lt;=0.6,0,ROUND(BM302+BM308+BM314+N(BM315)-BM316,1)),"")</f>
        <v>0</v>
      </c>
      <c r="BN319" s="66" t="n">
        <f aca="false">IF(ISNUMBER(BN302),IF(ABS(BN302+BN308+BN314+N(BN315)-BN316)&lt;=0.6,0,ROUND(BN302+BN308+BN314+N(BN315)-BN316,1)),"")</f>
        <v>0</v>
      </c>
      <c r="BO319" s="66" t="n">
        <f aca="false">IF(ISNUMBER(BO302),IF(ABS(BO302+BO308+BO314+N(BO315)-BO316)&lt;=0.6,0,ROUND(BO302+BO308+BO314+N(BO315)-BO316,1)),"")</f>
        <v>0</v>
      </c>
      <c r="BP319" s="66" t="n">
        <f aca="false">IF(ISNUMBER(BP302),IF(ABS(BP302+BP308+BP314+N(BP315)-BP316)&lt;=0.6,0,ROUND(BP302+BP308+BP314+N(BP315)-BP316,1)),"")</f>
        <v>0</v>
      </c>
      <c r="BQ319" s="66" t="n">
        <f aca="false">IF(ISNUMBER(BQ302),IF(ABS(BQ302+BQ308+BQ314+N(BQ315)-BQ316)&lt;=0.6,0,ROUND(BQ302+BQ308+BQ314+N(BQ315)-BQ316,1)),"")</f>
        <v>0</v>
      </c>
      <c r="BR319" s="66" t="n">
        <f aca="false">IF(ISNUMBER(BR302),IF(ABS(BR302+BR308+BR314+N(BR315)-BR316)&lt;=0.6,0,ROUND(BR302+BR308+BR314+N(BR315)-BR316,1)),"")</f>
        <v>0</v>
      </c>
      <c r="BS319" s="66" t="n">
        <f aca="false">IF(ISNUMBER(BS302),IF(ABS(BS302+BS308+BS314+N(BS315)-BS316)&lt;=0.6,0,ROUND(BS302+BS308+BS314+N(BS315)-BS316,1)),"")</f>
        <v>0</v>
      </c>
      <c r="BT319" s="66" t="n">
        <f aca="false">IF(ISNUMBER(BT302),IF(ABS(BT302+BT308+BT314+N(BT315)-BT316)&lt;=0.6,0,ROUND(BT302+BT308+BT314+N(BT315)-BT316,1)),"")</f>
        <v>0</v>
      </c>
      <c r="BU319" s="66" t="n">
        <f aca="false">IF(ISNUMBER(BU302),IF(ABS(BU302+BU308+BU314+N(BU315)-BU316)&lt;=0.6,0,ROUND(BU302+BU308+BU314+N(BU315)-BU316,1)),"")</f>
        <v>0</v>
      </c>
      <c r="BV319" s="66" t="n">
        <f aca="false">IF(ISNUMBER(BV302),IF(ABS(BV302+BV308+BV314+N(BV315)-BV316)&lt;=0.6,0,ROUND(BV302+BV308+BV314+N(BV315)-BV316,1)),"")</f>
        <v>0</v>
      </c>
      <c r="BW319" s="66" t="n">
        <f aca="false">IF(ISNUMBER(BW302),IF(ABS(BW302+BW308+BW314+N(BW315)-BW316)&lt;=0.6,0,ROUND(BW302+BW308+BW314+N(BW315)-BW316,1)),"")</f>
        <v>0</v>
      </c>
      <c r="BX319" s="66" t="n">
        <f aca="false">IF(ISNUMBER(BX302),IF(ABS(BX302+BX308+BX314+N(BX315)-BX316)&lt;=0.6,0,ROUND(BX302+BX308+BX314+N(BX315)-BX316,1)),"")</f>
        <v>0</v>
      </c>
      <c r="BY319" s="7"/>
      <c r="BZ319" s="7"/>
      <c r="CA319" s="67" t="n">
        <f aca="false">IF(ISNUMBER(CA302),IF(ABS(CA302+CA308+CA314+N(CA315)-CA316)&lt;=0.6,0,ROUND(CA302+CA308+CA314+N(CA315)-CA316,1)),"")</f>
        <v>0</v>
      </c>
      <c r="CB319" s="67" t="n">
        <f aca="false">IF(ISNUMBER(CB302),IF(ABS(CB302+CB308+CB314+N(CB315)-CB316)&lt;=0.6,0,ROUND(CB302+CB308+CB314+N(CB315)-CB316,1)),"")</f>
        <v>0</v>
      </c>
      <c r="CC319" s="67" t="n">
        <f aca="false">IF(ISNUMBER(CC302),IF(ABS(CC302+CC308+CC314+N(CC315)-CC316)&lt;=0.6,0,ROUND(CC302+CC308+CC314+N(CC315)-CC316,1)),"")</f>
        <v>0</v>
      </c>
      <c r="CD319" s="67" t="n">
        <f aca="false">IF(ISNUMBER(CD302),IF(ABS(CD302+CD308+CD314+N(CD315)-CD316)&lt;=0.6,0,ROUND(CD302+CD308+CD314+N(CD315)-CD316,1)),"")</f>
        <v>0</v>
      </c>
      <c r="CE319" s="67" t="n">
        <f aca="false">IF(ISNUMBER(CE302),IF(ABS(CE302+CE308+CE314+N(CE315)-CE316)&lt;=0.6,0,ROUND(CE302+CE308+CE314+N(CE315)-CE316,1)),"")</f>
        <v>0</v>
      </c>
      <c r="CF319" s="7"/>
    </row>
    <row r="320" customFormat="false" ht="15" hidden="false" customHeight="true" outlineLevel="0" collapsed="false">
      <c r="B320" s="65" t="s">
        <v>490</v>
      </c>
      <c r="C320" s="66" t="n">
        <f aca="false">IF(AND(ISNUMBER(C317),ISNUMBER(C316)),IF(ABS(C317+C316-C318)&lt;=0.6,0,ROUND(C317+C316-C318,1)),"")</f>
        <v>0</v>
      </c>
      <c r="D320" s="66" t="n">
        <f aca="false">IF(AND(ISNUMBER(D317),ISNUMBER(D316)),IF(ABS(D317+D316-D318)&lt;=0.6,0,ROUND(D317+D316-D318,1)),"")</f>
        <v>0</v>
      </c>
      <c r="E320" s="66" t="n">
        <f aca="false">IF(AND(ISNUMBER(E317),ISNUMBER(E316)),IF(ABS(E317+E316-E318)&lt;=0.6,0,ROUND(E317+E316-E318,1)),"")</f>
        <v>0</v>
      </c>
      <c r="F320" s="66" t="n">
        <f aca="false">IF(AND(ISNUMBER(F317),ISNUMBER(F316)),IF(ABS(F317+F316-F318)&lt;=0.6,0,ROUND(F317+F316-F318,1)),"")</f>
        <v>0</v>
      </c>
      <c r="G320" s="66" t="n">
        <f aca="false">IF(AND(ISNUMBER(G317),ISNUMBER(G316)),IF(ABS(G317+G316-G318)&lt;=0.6,0,ROUND(G317+G316-G318,1)),"")</f>
        <v>0</v>
      </c>
      <c r="H320" s="66" t="n">
        <f aca="false">IF(AND(ISNUMBER(H317),ISNUMBER(H316)),IF(ABS(H317+H316-H318)&lt;=0.6,0,ROUND(H317+H316-H318,1)),"")</f>
        <v>0</v>
      </c>
      <c r="I320" s="66" t="n">
        <f aca="false">IF(AND(ISNUMBER(I317),ISNUMBER(I316)),IF(ABS(I317+I316-I318)&lt;=0.6,0,ROUND(I317+I316-I318,1)),"")</f>
        <v>0</v>
      </c>
      <c r="J320" s="66" t="n">
        <f aca="false">IF(AND(ISNUMBER(J317),ISNUMBER(J316)),IF(ABS(J317+J316-J318)&lt;=0.6,0,ROUND(J317+J316-J318,1)),"")</f>
        <v>0</v>
      </c>
      <c r="K320" s="66" t="n">
        <f aca="false">IF(AND(ISNUMBER(K317),ISNUMBER(K316)),IF(ABS(K317+K316-K318)&lt;=0.6,0,ROUND(K317+K316-K318,1)),"")</f>
        <v>0</v>
      </c>
      <c r="L320" s="66" t="n">
        <f aca="false">IF(AND(ISNUMBER(L317),ISNUMBER(L316)),IF(ABS(L317+L316-L318)&lt;=0.6,0,ROUND(L317+L316-L318,1)),"")</f>
        <v>0</v>
      </c>
      <c r="M320" s="66" t="n">
        <f aca="false">IF(AND(ISNUMBER(M317),ISNUMBER(M316)),IF(ABS(M317+M316-M318)&lt;=0.6,0,ROUND(M317+M316-M318,1)),"")</f>
        <v>0</v>
      </c>
      <c r="N320" s="66" t="n">
        <f aca="false">IF(AND(ISNUMBER(N317),ISNUMBER(N316)),IF(ABS(N317+N316-N318)&lt;=0.6,0,ROUND(N317+N316-N318,1)),"")</f>
        <v>0</v>
      </c>
      <c r="O320" s="66" t="n">
        <f aca="false">IF(AND(ISNUMBER(O317),ISNUMBER(O316)),IF(ABS(O317+O316-O318)&lt;=0.6,0,ROUND(O317+O316-O318,1)),"")</f>
        <v>0</v>
      </c>
      <c r="P320" s="66" t="n">
        <f aca="false">IF(AND(ISNUMBER(P317),ISNUMBER(P316)),IF(ABS(P317+P316-P318)&lt;=0.6,0,ROUND(P317+P316-P318,1)),"")</f>
        <v>0</v>
      </c>
      <c r="Q320" s="66" t="n">
        <f aca="false">IF(AND(ISNUMBER(Q317),ISNUMBER(Q316)),IF(ABS(Q317+Q316-Q318)&lt;=0.6,0,ROUND(Q317+Q316-Q318,1)),"")</f>
        <v>0</v>
      </c>
      <c r="R320" s="66" t="n">
        <f aca="false">IF(AND(ISNUMBER(R317),ISNUMBER(R316)),IF(ABS(R317+R316-R318)&lt;=0.6,0,ROUND(R317+R316-R318,1)),"")</f>
        <v>0</v>
      </c>
      <c r="S320" s="66" t="n">
        <f aca="false">IF(AND(ISNUMBER(S317),ISNUMBER(S316)),IF(ABS(S317+S316-S318)&lt;=0.6,0,ROUND(S317+S316-S318,1)),"")</f>
        <v>0</v>
      </c>
      <c r="T320" s="66" t="n">
        <f aca="false">IF(AND(ISNUMBER(T317),ISNUMBER(T316)),IF(ABS(T317+T316-T318)&lt;=0.6,0,ROUND(T317+T316-T318,1)),"")</f>
        <v>0</v>
      </c>
      <c r="U320" s="66" t="n">
        <f aca="false">IF(AND(ISNUMBER(U317),ISNUMBER(U316)),IF(ABS(U317+U316-U318)&lt;=0.6,0,ROUND(U317+U316-U318,1)),"")</f>
        <v>0</v>
      </c>
      <c r="V320" s="66" t="n">
        <f aca="false">IF(AND(ISNUMBER(V317),ISNUMBER(V316)),IF(ABS(V317+V316-V318)&lt;=0.6,0,ROUND(V317+V316-V318,1)),"")</f>
        <v>0</v>
      </c>
      <c r="W320" s="66" t="n">
        <f aca="false">IF(AND(ISNUMBER(W317),ISNUMBER(W316)),IF(ABS(W317+W316-W318)&lt;=0.6,0,ROUND(W317+W316-W318,1)),"")</f>
        <v>0</v>
      </c>
      <c r="X320" s="66" t="n">
        <f aca="false">IF(AND(ISNUMBER(X317),ISNUMBER(X316)),IF(ABS(X317+X316-X318)&lt;=0.6,0,ROUND(X317+X316-X318,1)),"")</f>
        <v>0</v>
      </c>
      <c r="Y320" s="66" t="n">
        <f aca="false">IF(AND(ISNUMBER(Y317),ISNUMBER(Y316)),IF(ABS(Y317+Y316-Y318)&lt;=0.6,0,ROUND(Y317+Y316-Y318,1)),"")</f>
        <v>0</v>
      </c>
      <c r="Z320" s="66" t="n">
        <f aca="false">IF(AND(ISNUMBER(Z317),ISNUMBER(Z316)),IF(ABS(Z317+Z316-Z318)&lt;=0.6,0,ROUND(Z317+Z316-Z318,1)),"")</f>
        <v>0</v>
      </c>
      <c r="AA320" s="66" t="n">
        <f aca="false">IF(AND(ISNUMBER(AA317),ISNUMBER(AA316)),IF(ABS(AA317+AA316-AA318)&lt;=0.6,0,ROUND(AA317+AA316-AA318,1)),"")</f>
        <v>0</v>
      </c>
      <c r="AB320" s="66" t="n">
        <f aca="false">IF(AND(ISNUMBER(AB317),ISNUMBER(AB316)),IF(ABS(AB317+AB316-AB318)&lt;=0.6,0,ROUND(AB317+AB316-AB318,1)),"")</f>
        <v>0</v>
      </c>
      <c r="AC320" s="66" t="n">
        <f aca="false">IF(AND(ISNUMBER(AC317),ISNUMBER(AC316)),IF(ABS(AC317+AC316-AC318)&lt;=0.6,0,ROUND(AC317+AC316-AC318,1)),"")</f>
        <v>0</v>
      </c>
      <c r="AD320" s="66" t="n">
        <f aca="false">IF(AND(ISNUMBER(AD317),ISNUMBER(AD316)),IF(ABS(AD317+AD316-AD318)&lt;=0.6,0,ROUND(AD317+AD316-AD318,1)),"")</f>
        <v>0</v>
      </c>
      <c r="AE320" s="66" t="n">
        <f aca="false">IF(AND(ISNUMBER(AE317),ISNUMBER(AE316)),IF(ABS(AE317+AE316-AE318)&lt;=0.6,0,ROUND(AE317+AE316-AE318,1)),"")</f>
        <v>0</v>
      </c>
      <c r="AF320" s="66" t="n">
        <f aca="false">IF(AND(ISNUMBER(AF317),ISNUMBER(AF316)),IF(ABS(AF317+AF316-AF318)&lt;=0.6,0,ROUND(AF317+AF316-AF318,1)),"")</f>
        <v>0</v>
      </c>
      <c r="AG320" s="66" t="n">
        <f aca="false">IF(AND(ISNUMBER(AG317),ISNUMBER(AG316)),IF(ABS(AG317+AG316-AG318)&lt;=0.6,0,ROUND(AG317+AG316-AG318,1)),"")</f>
        <v>0</v>
      </c>
      <c r="AH320" s="66" t="n">
        <f aca="false">IF(AND(ISNUMBER(AH317),ISNUMBER(AH316)),IF(ABS(AH317+AH316-AH318)&lt;=0.6,0,ROUND(AH317+AH316-AH318,1)),"")</f>
        <v>0</v>
      </c>
      <c r="AI320" s="66" t="n">
        <f aca="false">IF(AND(ISNUMBER(AI317),ISNUMBER(AI316)),IF(ABS(AI317+AI316-AI318)&lt;=0.6,0,ROUND(AI317+AI316-AI318,1)),"")</f>
        <v>0</v>
      </c>
      <c r="AJ320" s="66" t="n">
        <f aca="false">IF(AND(ISNUMBER(AJ317),ISNUMBER(AJ316)),IF(ABS(AJ317+AJ316-AJ318)&lt;=0.6,0,ROUND(AJ317+AJ316-AJ318,1)),"")</f>
        <v>0</v>
      </c>
      <c r="AK320" s="66" t="n">
        <f aca="false">IF(AND(ISNUMBER(AK317),ISNUMBER(AK316)),IF(ABS(AK317+AK316-AK318)&lt;=0.6,0,ROUND(AK317+AK316-AK318,1)),"")</f>
        <v>0</v>
      </c>
      <c r="AL320" s="66" t="n">
        <f aca="false">IF(AND(ISNUMBER(AL317),ISNUMBER(AL316)),IF(ABS(AL317+AL316-AL318)&lt;=0.6,0,ROUND(AL317+AL316-AL318,1)),"")</f>
        <v>0</v>
      </c>
      <c r="AM320" s="66" t="n">
        <f aca="false">IF(AND(ISNUMBER(AM317),ISNUMBER(AM316)),IF(ABS(AM317+AM316-AM318)&lt;=0.6,0,ROUND(AM317+AM316-AM318,1)),"")</f>
        <v>0</v>
      </c>
      <c r="AN320" s="66" t="n">
        <f aca="false">IF(AND(ISNUMBER(AN317),ISNUMBER(AN316)),IF(ABS(AN317+AN316-AN318)&lt;=0.6,0,ROUND(AN317+AN316-AN318,1)),"")</f>
        <v>0</v>
      </c>
      <c r="AO320" s="66" t="n">
        <f aca="false">IF(AND(ISNUMBER(AO317),ISNUMBER(AO316)),IF(ABS(AO317+AO316-AO318)&lt;=0.6,0,ROUND(AO317+AO316-AO318,1)),"")</f>
        <v>0</v>
      </c>
      <c r="AP320" s="66" t="n">
        <f aca="false">IF(AND(ISNUMBER(AP317),ISNUMBER(AP316)),IF(ABS(AP317+AP316-AP318)&lt;=0.6,0,ROUND(AP317+AP316-AP318,1)),"")</f>
        <v>0</v>
      </c>
      <c r="AQ320" s="66" t="n">
        <f aca="false">IF(AND(ISNUMBER(AQ317),ISNUMBER(AQ316)),IF(ABS(AQ317+AQ316-AQ318)&lt;=0.6,0,ROUND(AQ317+AQ316-AQ318,1)),"")</f>
        <v>0</v>
      </c>
      <c r="AR320" s="66" t="n">
        <f aca="false">IF(AND(ISNUMBER(AR317),ISNUMBER(AR316)),IF(ABS(AR317+AR316-AR318)&lt;=0.6,0,ROUND(AR317+AR316-AR318,1)),"")</f>
        <v>0</v>
      </c>
      <c r="AS320" s="66" t="n">
        <f aca="false">IF(AND(ISNUMBER(AS317),ISNUMBER(AS316)),IF(ABS(AS317+AS316-AS318)&lt;=0.6,0,ROUND(AS317+AS316-AS318,1)),"")</f>
        <v>0</v>
      </c>
      <c r="AT320" s="66" t="n">
        <f aca="false">IF(AND(ISNUMBER(AT317),ISNUMBER(AT316)),IF(ABS(AT317+AT316-AT318)&lt;=0.6,0,ROUND(AT317+AT316-AT318,1)),"")</f>
        <v>0</v>
      </c>
      <c r="AU320" s="66" t="n">
        <f aca="false">IF(AND(ISNUMBER(AU317),ISNUMBER(AU316)),IF(ABS(AU317+AU316-AU318)&lt;=0.6,0,ROUND(AU317+AU316-AU318,1)),"")</f>
        <v>0</v>
      </c>
      <c r="AV320" s="66" t="n">
        <f aca="false">IF(AND(ISNUMBER(AV317),ISNUMBER(AV316)),IF(ABS(AV317+AV316-AV318)&lt;=0.6,0,ROUND(AV317+AV316-AV318,1)),"")</f>
        <v>0</v>
      </c>
      <c r="AW320" s="66" t="n">
        <f aca="false">IF(AND(ISNUMBER(AW317),ISNUMBER(AW316)),IF(ABS(AW317+AW316-AW318)&lt;=0.6,0,ROUND(AW317+AW316-AW318,1)),"")</f>
        <v>0</v>
      </c>
      <c r="AX320" s="66" t="n">
        <f aca="false">IF(AND(ISNUMBER(AX317),ISNUMBER(AX316)),IF(ABS(AX317+AX316-AX318)&lt;=0.6,0,ROUND(AX317+AX316-AX318,1)),"")</f>
        <v>0</v>
      </c>
      <c r="AY320" s="66" t="n">
        <f aca="false">IF(AND(ISNUMBER(AY317),ISNUMBER(AY316)),IF(ABS(AY317+AY316-AY318)&lt;=0.6,0,ROUND(AY317+AY316-AY318,1)),"")</f>
        <v>0</v>
      </c>
      <c r="AZ320" s="66" t="n">
        <f aca="false">IF(AND(ISNUMBER(AZ317),ISNUMBER(AZ316)),IF(ABS(AZ317+AZ316-AZ318)&lt;=0.6,0,ROUND(AZ317+AZ316-AZ318,1)),"")</f>
        <v>0</v>
      </c>
      <c r="BA320" s="66" t="n">
        <f aca="false">IF(AND(ISNUMBER(BA317),ISNUMBER(BA316)),IF(ABS(BA317+BA316-BA318)&lt;=0.6,0,ROUND(BA317+BA316-BA318,1)),"")</f>
        <v>0</v>
      </c>
      <c r="BB320" s="66" t="n">
        <f aca="false">IF(AND(ISNUMBER(BB317),ISNUMBER(BB316)),IF(ABS(BB317+BB316-BB318)&lt;=0.6,0,ROUND(BB317+BB316-BB318,1)),"")</f>
        <v>0</v>
      </c>
      <c r="BC320" s="66" t="n">
        <f aca="false">IF(AND(ISNUMBER(BC317),ISNUMBER(BC316)),IF(ABS(BC317+BC316-BC318)&lt;=0.6,0,ROUND(BC317+BC316-BC318,1)),"")</f>
        <v>0</v>
      </c>
      <c r="BD320" s="66" t="n">
        <f aca="false">IF(AND(ISNUMBER(BD317),ISNUMBER(BD316)),IF(ABS(BD317+BD316-BD318)&lt;=0.6,0,ROUND(BD317+BD316-BD318,1)),"")</f>
        <v>0</v>
      </c>
      <c r="BE320" s="66" t="n">
        <f aca="false">IF(AND(ISNUMBER(BE317),ISNUMBER(BE316)),IF(ABS(BE317+BE316-BE318)&lt;=0.6,0,ROUND(BE317+BE316-BE318,1)),"")</f>
        <v>0</v>
      </c>
      <c r="BF320" s="66" t="n">
        <f aca="false">IF(AND(ISNUMBER(BF317),ISNUMBER(BF316)),IF(ABS(BF317+BF316-BF318)&lt;=0.6,0,ROUND(BF317+BF316-BF318,1)),"")</f>
        <v>0</v>
      </c>
      <c r="BG320" s="66" t="n">
        <f aca="false">IF(AND(ISNUMBER(BG317),ISNUMBER(BG316)),IF(ABS(BG317+BG316-BG318)&lt;=0.6,0,ROUND(BG317+BG316-BG318,1)),"")</f>
        <v>0</v>
      </c>
      <c r="BH320" s="66" t="n">
        <f aca="false">IF(AND(ISNUMBER(BH317),ISNUMBER(BH316)),IF(ABS(BH317+BH316-BH318)&lt;=0.6,0,ROUND(BH317+BH316-BH318,1)),"")</f>
        <v>0</v>
      </c>
      <c r="BI320" s="66" t="n">
        <f aca="false">IF(AND(ISNUMBER(BI317),ISNUMBER(BI316)),IF(ABS(BI317+BI316-BI318)&lt;=0.6,0,ROUND(BI317+BI316-BI318,1)),"")</f>
        <v>0</v>
      </c>
      <c r="BJ320" s="66" t="n">
        <f aca="false">IF(AND(ISNUMBER(BJ317),ISNUMBER(BJ316)),IF(ABS(BJ317+BJ316-BJ318)&lt;=0.6,0,ROUND(BJ317+BJ316-BJ318,1)),"")</f>
        <v>0</v>
      </c>
      <c r="BK320" s="66" t="n">
        <f aca="false">IF(AND(ISNUMBER(BK317),ISNUMBER(BK316)),IF(ABS(BK317+BK316-BK318)&lt;=0.6,0,ROUND(BK317+BK316-BK318,1)),"")</f>
        <v>0</v>
      </c>
      <c r="BL320" s="66" t="n">
        <f aca="false">IF(AND(ISNUMBER(BL317),ISNUMBER(BL316)),IF(ABS(BL317+BL316-BL318)&lt;=0.6,0,ROUND(BL317+BL316-BL318,1)),"")</f>
        <v>0</v>
      </c>
      <c r="BM320" s="66" t="n">
        <f aca="false">IF(AND(ISNUMBER(BM317),ISNUMBER(BM316)),IF(ABS(BM317+BM316-BM318)&lt;=0.6,0,ROUND(BM317+BM316-BM318,1)),"")</f>
        <v>0</v>
      </c>
      <c r="BN320" s="66" t="n">
        <f aca="false">IF(AND(ISNUMBER(BN317),ISNUMBER(BN316)),IF(ABS(BN317+BN316-BN318)&lt;=0.6,0,ROUND(BN317+BN316-BN318,1)),"")</f>
        <v>0</v>
      </c>
      <c r="BO320" s="66" t="n">
        <f aca="false">IF(AND(ISNUMBER(BO317),ISNUMBER(BO316)),IF(ABS(BO317+BO316-BO318)&lt;=0.6,0,ROUND(BO317+BO316-BO318,1)),"")</f>
        <v>0</v>
      </c>
      <c r="BP320" s="66" t="n">
        <f aca="false">IF(AND(ISNUMBER(BP317),ISNUMBER(BP316)),IF(ABS(BP317+BP316-BP318)&lt;=0.6,0,ROUND(BP317+BP316-BP318,1)),"")</f>
        <v>0</v>
      </c>
      <c r="BQ320" s="66" t="n">
        <f aca="false">IF(AND(ISNUMBER(BQ317),ISNUMBER(BQ316)),IF(ABS(BQ317+BQ316-BQ318)&lt;=0.6,0,ROUND(BQ317+BQ316-BQ318,1)),"")</f>
        <v>0</v>
      </c>
      <c r="BR320" s="66" t="n">
        <f aca="false">IF(AND(ISNUMBER(BR317),ISNUMBER(BR316)),IF(ABS(BR317+BR316-BR318)&lt;=0.6,0,ROUND(BR317+BR316-BR318,1)),"")</f>
        <v>0</v>
      </c>
      <c r="BS320" s="66" t="n">
        <f aca="false">IF(AND(ISNUMBER(BS317),ISNUMBER(BS316)),IF(ABS(BS317+BS316-BS318)&lt;=0.6,0,ROUND(BS317+BS316-BS318,1)),"")</f>
        <v>0</v>
      </c>
      <c r="BT320" s="66" t="n">
        <f aca="false">IF(AND(ISNUMBER(BT317),ISNUMBER(BT316)),IF(ABS(BT317+BT316-BT318)&lt;=0.6,0,ROUND(BT317+BT316-BT318,1)),"")</f>
        <v>0</v>
      </c>
      <c r="BU320" s="66" t="n">
        <f aca="false">IF(AND(ISNUMBER(BU317),ISNUMBER(BU316)),IF(ABS(BU317+BU316-BU318)&lt;=0.6,0,ROUND(BU317+BU316-BU318,1)),"")</f>
        <v>0</v>
      </c>
      <c r="BV320" s="66" t="n">
        <f aca="false">IF(AND(ISNUMBER(BV317),ISNUMBER(BV316)),IF(ABS(BV317+BV316-BV318)&lt;=0.6,0,ROUND(BV317+BV316-BV318,1)),"")</f>
        <v>0</v>
      </c>
      <c r="BW320" s="66" t="n">
        <f aca="false">IF(AND(ISNUMBER(BW317),ISNUMBER(BW316)),IF(ABS(BW317+BW316-BW318)&lt;=0.6,0,ROUND(BW317+BW316-BW318,1)),"")</f>
        <v>0</v>
      </c>
      <c r="BX320" s="66" t="n">
        <f aca="false">IF(AND(ISNUMBER(BX317),ISNUMBER(BX316)),IF(ABS(BX317+BX316-BX318)&lt;=0.6,0,ROUND(BX317+BX316-BX318,1)),"")</f>
        <v>0</v>
      </c>
      <c r="BY320" s="7"/>
      <c r="BZ320" s="7"/>
      <c r="CA320" s="67" t="n">
        <f aca="false">IF(AND(ISNUMBER(CA317),ISNUMBER(CA316)),IF(ABS(CA317+CA316-CA318)&lt;=0.6,0,ROUND(CA317+CA316-CA318,1)),"")</f>
        <v>0</v>
      </c>
      <c r="CB320" s="67" t="n">
        <f aca="false">IF(AND(ISNUMBER(CB317),ISNUMBER(CB316)),IF(ABS(CB317+CB316-CB318)&lt;=0.6,0,ROUND(CB317+CB316-CB318,1)),"")</f>
        <v>0</v>
      </c>
      <c r="CC320" s="67" t="n">
        <f aca="false">IF(AND(ISNUMBER(CC317),ISNUMBER(CC316)),IF(ABS(CC317+CC316-CC318)&lt;=0.6,0,ROUND(CC317+CC316-CC318,1)),"")</f>
        <v>0</v>
      </c>
      <c r="CD320" s="67" t="n">
        <f aca="false">IF(AND(ISNUMBER(CD317),ISNUMBER(CD316)),IF(ABS(CD317+CD316-CD318)&lt;=0.6,0,ROUND(CD317+CD316-CD318,1)),"")</f>
        <v>0</v>
      </c>
      <c r="CE320" s="67" t="n">
        <f aca="false">IF(AND(ISNUMBER(CE317),ISNUMBER(CE316)),IF(ABS(CE317+CE316-CE318)&lt;=0.6,0,ROUND(CE317+CE316-CE318,1)),"")</f>
        <v>0</v>
      </c>
      <c r="CF320" s="7"/>
    </row>
    <row r="321" customFormat="false" ht="15" hidden="false" customHeight="true" outlineLevel="0" collapsed="false">
      <c r="B321" s="27" t="s">
        <v>491</v>
      </c>
      <c r="CF321" s="7"/>
    </row>
    <row r="322" customFormat="false" ht="15" hidden="false" customHeight="true" outlineLevel="0" collapsed="false">
      <c r="B322" s="50" t="s">
        <v>492</v>
      </c>
      <c r="C322" s="40" t="n">
        <v>1547.3</v>
      </c>
      <c r="D322" s="40" t="n">
        <v>1699.3</v>
      </c>
      <c r="E322" s="40" t="n">
        <v>1859</v>
      </c>
      <c r="F322" s="40" t="n">
        <v>1800.8</v>
      </c>
      <c r="G322" s="40" t="n">
        <v>2084.4</v>
      </c>
      <c r="H322" s="40" t="n">
        <v>2732</v>
      </c>
      <c r="I322" s="40" t="n">
        <v>3502.1</v>
      </c>
      <c r="J322" s="40" t="n">
        <v>636.5</v>
      </c>
      <c r="K322" s="40" t="n">
        <v>899.2</v>
      </c>
      <c r="L322" s="40" t="n">
        <v>971.4</v>
      </c>
      <c r="M322" s="40" t="n">
        <v>1078.2</v>
      </c>
      <c r="N322" s="40" t="n">
        <v>3585.3</v>
      </c>
      <c r="O322" s="40" t="n">
        <v>511.2</v>
      </c>
      <c r="P322" s="40" t="n">
        <v>991.7</v>
      </c>
      <c r="Q322" s="40" t="n">
        <v>1016.1</v>
      </c>
      <c r="R322" s="40" t="n">
        <v>1239.4</v>
      </c>
      <c r="S322" s="40" t="n">
        <v>3758.4</v>
      </c>
      <c r="T322" s="40" t="n">
        <v>523.6</v>
      </c>
      <c r="U322" s="40" t="n">
        <v>1094</v>
      </c>
      <c r="V322" s="40" t="n">
        <v>889.7</v>
      </c>
      <c r="W322" s="40" t="n">
        <v>1320.7</v>
      </c>
      <c r="X322" s="40" t="n">
        <v>3828</v>
      </c>
      <c r="Y322" s="40" t="n">
        <v>772.8</v>
      </c>
      <c r="Z322" s="40" t="n">
        <v>1281.8</v>
      </c>
      <c r="AA322" s="40" t="n">
        <v>383.9</v>
      </c>
      <c r="AB322" s="40" t="n">
        <v>649</v>
      </c>
      <c r="AC322" s="40" t="n">
        <v>3087.5</v>
      </c>
      <c r="AD322" s="40" t="n">
        <v>560.2</v>
      </c>
      <c r="AE322" s="40" t="n">
        <v>1010.5</v>
      </c>
      <c r="AF322" s="40" t="n">
        <v>1072.4</v>
      </c>
      <c r="AG322" s="40" t="n">
        <v>834.7</v>
      </c>
      <c r="AH322" s="40" t="n">
        <v>3477.8</v>
      </c>
      <c r="AI322" s="40" t="n">
        <v>828.9</v>
      </c>
      <c r="AJ322" s="40" t="n">
        <v>1036</v>
      </c>
      <c r="AK322" s="40" t="n">
        <v>919.5</v>
      </c>
      <c r="AL322" s="40" t="n">
        <v>1237.6</v>
      </c>
      <c r="AM322" s="40" t="n">
        <v>4022</v>
      </c>
      <c r="AN322" s="40" t="n">
        <v>703.3</v>
      </c>
      <c r="AO322" s="40" t="n">
        <v>1171.5</v>
      </c>
      <c r="AP322" s="40" t="n">
        <v>965.6</v>
      </c>
      <c r="AQ322" s="40" t="n">
        <v>3657.4</v>
      </c>
      <c r="AR322" s="40" t="n">
        <v>3657.4</v>
      </c>
      <c r="AS322" s="40" t="n">
        <v>826</v>
      </c>
      <c r="AT322" s="40" t="n">
        <v>1445</v>
      </c>
      <c r="AU322" s="40" t="n">
        <v>1722.7</v>
      </c>
      <c r="AV322" s="40" t="n">
        <v>2221.3</v>
      </c>
      <c r="AW322" s="40" t="n">
        <v>6215</v>
      </c>
      <c r="AX322" s="40" t="n">
        <v>1871</v>
      </c>
      <c r="AY322" s="40" t="n">
        <v>2120</v>
      </c>
      <c r="AZ322" s="40" t="n">
        <v>2034</v>
      </c>
      <c r="BA322" s="40" t="n">
        <v>2333</v>
      </c>
      <c r="BB322" s="40" t="n">
        <v>8358</v>
      </c>
      <c r="BC322" s="40" t="n">
        <v>1968</v>
      </c>
      <c r="BD322" s="40" t="n">
        <v>2000</v>
      </c>
      <c r="BE322" s="40" t="n">
        <v>2010</v>
      </c>
      <c r="BF322" s="40" t="n">
        <v>2541</v>
      </c>
      <c r="BG322" s="40" t="n">
        <v>8519</v>
      </c>
      <c r="BH322" s="40" t="n">
        <v>1947</v>
      </c>
      <c r="BI322" s="40" t="n">
        <v>1926</v>
      </c>
      <c r="BJ322" s="40" t="n">
        <v>1672</v>
      </c>
      <c r="BK322" s="40" t="n">
        <v>1591</v>
      </c>
      <c r="BL322" s="40" t="n">
        <v>6490</v>
      </c>
      <c r="BM322" s="40" t="n">
        <v>1739</v>
      </c>
      <c r="BN322" s="40" t="n">
        <v>1417</v>
      </c>
      <c r="BO322" s="40" t="n">
        <v>1513</v>
      </c>
      <c r="BP322" s="40" t="n">
        <v>2019</v>
      </c>
      <c r="BQ322" s="40" t="n">
        <v>6688</v>
      </c>
      <c r="BR322" s="40" t="n">
        <v>1299</v>
      </c>
      <c r="BS322" s="40" t="n">
        <v>1338</v>
      </c>
      <c r="BT322" s="40" t="n">
        <v>1662</v>
      </c>
      <c r="BU322" s="40" t="n">
        <v>2117</v>
      </c>
      <c r="BV322" s="40" t="n">
        <v>6416</v>
      </c>
      <c r="BW322" s="40" t="n">
        <v>1322</v>
      </c>
      <c r="BX322" s="40" t="n">
        <v>1534</v>
      </c>
      <c r="BY322" s="7"/>
      <c r="BZ322" s="7"/>
      <c r="CA322" s="58" t="n">
        <f aca="false">CA302</f>
        <v>7630.44818641146</v>
      </c>
      <c r="CB322" s="58" t="n">
        <f aca="false">CB302</f>
        <v>7828.71404378956</v>
      </c>
      <c r="CC322" s="58" t="n">
        <f aca="false">CC302</f>
        <v>8558.87031422563</v>
      </c>
      <c r="CD322" s="58" t="n">
        <f aca="false">CD302</f>
        <v>9289.43026235268</v>
      </c>
      <c r="CE322" s="58" t="n">
        <f aca="false">CE302</f>
        <v>10070.7012984608</v>
      </c>
      <c r="CF322" s="7"/>
    </row>
    <row r="323" customFormat="false" ht="15" hidden="false" customHeight="true" outlineLevel="0" collapsed="false">
      <c r="B323" s="50" t="s">
        <v>493</v>
      </c>
      <c r="C323" s="40" t="n">
        <v>-137.7</v>
      </c>
      <c r="D323" s="40" t="n">
        <v>-162.1</v>
      </c>
      <c r="E323" s="40" t="n">
        <v>-193.8</v>
      </c>
      <c r="F323" s="40" t="n">
        <v>-188.5</v>
      </c>
      <c r="G323" s="40" t="n">
        <v>-217.3</v>
      </c>
      <c r="H323" s="40" t="n">
        <v>-334.5</v>
      </c>
      <c r="I323" s="40" t="n">
        <v>-458.3</v>
      </c>
      <c r="J323" s="40" t="n">
        <v>-116.3</v>
      </c>
      <c r="K323" s="40" t="n">
        <v>-136.2</v>
      </c>
      <c r="L323" s="40" t="n">
        <v>-139.3</v>
      </c>
      <c r="M323" s="40" t="n">
        <v>-159.7</v>
      </c>
      <c r="N323" s="40" t="n">
        <v>-551.5</v>
      </c>
      <c r="O323" s="40" t="n">
        <v>-130.9</v>
      </c>
      <c r="P323" s="40" t="n">
        <v>-147.7</v>
      </c>
      <c r="Q323" s="40" t="n">
        <v>-142.8</v>
      </c>
      <c r="R323" s="40" t="n">
        <v>-176.1</v>
      </c>
      <c r="S323" s="40" t="n">
        <v>-597.5</v>
      </c>
      <c r="T323" s="40" t="n">
        <v>-119.2</v>
      </c>
      <c r="U323" s="40" t="n">
        <v>-138.9</v>
      </c>
      <c r="V323" s="40" t="n">
        <v>-180.6</v>
      </c>
      <c r="W323" s="40" t="n">
        <v>-194.3</v>
      </c>
      <c r="X323" s="40" t="n">
        <v>-633</v>
      </c>
      <c r="Y323" s="40" t="n">
        <v>-151</v>
      </c>
      <c r="Z323" s="40" t="n">
        <v>-183.9</v>
      </c>
      <c r="AA323" s="40" t="n">
        <v>-87.2000000000001</v>
      </c>
      <c r="AB323" s="40" t="n">
        <v>-167.5</v>
      </c>
      <c r="AC323" s="40" t="n">
        <v>-589.6</v>
      </c>
      <c r="AD323" s="40" t="n">
        <v>-158.6</v>
      </c>
      <c r="AE323" s="40" t="n">
        <v>-147.9</v>
      </c>
      <c r="AF323" s="40" t="n">
        <v>-139.3</v>
      </c>
      <c r="AG323" s="40" t="n">
        <v>-173.8</v>
      </c>
      <c r="AH323" s="40" t="n">
        <v>-619.6</v>
      </c>
      <c r="AI323" s="40" t="n">
        <v>-137.9</v>
      </c>
      <c r="AJ323" s="40" t="n">
        <v>-153.8</v>
      </c>
      <c r="AK323" s="40" t="n">
        <v>-149.6</v>
      </c>
      <c r="AL323" s="40" t="n">
        <v>-214.4</v>
      </c>
      <c r="AM323" s="40" t="n">
        <v>-655.7</v>
      </c>
      <c r="AN323" s="40" t="n">
        <v>-155.7</v>
      </c>
      <c r="AO323" s="40" t="n">
        <v>-180.8</v>
      </c>
      <c r="AP323" s="40" t="n">
        <v>-181.9</v>
      </c>
      <c r="AQ323" s="40" t="n">
        <v>-117.1</v>
      </c>
      <c r="AR323" s="40" t="n">
        <v>-635.5</v>
      </c>
      <c r="AS323" s="40" t="n">
        <v>-132.5</v>
      </c>
      <c r="AT323" s="40" t="n">
        <v>-155.4</v>
      </c>
      <c r="AU323" s="40" t="n">
        <v>-187.3</v>
      </c>
      <c r="AV323" s="40" t="n">
        <v>-315.8</v>
      </c>
      <c r="AW323" s="40" t="n">
        <v>-791</v>
      </c>
      <c r="AX323" s="40" t="n">
        <v>-251</v>
      </c>
      <c r="AY323" s="40" t="n">
        <v>-305</v>
      </c>
      <c r="AZ323" s="40" t="n">
        <v>-318</v>
      </c>
      <c r="BA323" s="40" t="n">
        <v>-420</v>
      </c>
      <c r="BB323" s="40" t="n">
        <v>-1294</v>
      </c>
      <c r="BC323" s="40" t="n">
        <v>-250</v>
      </c>
      <c r="BD323" s="40" t="n">
        <v>-296</v>
      </c>
      <c r="BE323" s="40" t="n">
        <v>-277</v>
      </c>
      <c r="BF323" s="40" t="n">
        <v>-329</v>
      </c>
      <c r="BG323" s="40" t="n">
        <v>-1152</v>
      </c>
      <c r="BH323" s="40" t="n">
        <v>-275</v>
      </c>
      <c r="BI323" s="40" t="n">
        <v>-341</v>
      </c>
      <c r="BJ323" s="40" t="n">
        <v>-365</v>
      </c>
      <c r="BK323" s="40" t="n">
        <v>-434</v>
      </c>
      <c r="BL323" s="40" t="n">
        <v>-1383</v>
      </c>
      <c r="BM323" s="40" t="n">
        <v>-291</v>
      </c>
      <c r="BN323" s="40" t="n">
        <v>-287</v>
      </c>
      <c r="BO323" s="40" t="n">
        <v>-298</v>
      </c>
      <c r="BP323" s="40" t="n">
        <v>-516</v>
      </c>
      <c r="BQ323" s="40" t="n">
        <v>-1392</v>
      </c>
      <c r="BR323" s="40" t="n">
        <v>-245</v>
      </c>
      <c r="BS323" s="40" t="n">
        <v>-248</v>
      </c>
      <c r="BT323" s="40" t="n">
        <v>-292</v>
      </c>
      <c r="BU323" s="40" t="n">
        <v>-371</v>
      </c>
      <c r="BV323" s="40" t="n">
        <v>-1156</v>
      </c>
      <c r="BW323" s="40" t="n">
        <v>-237</v>
      </c>
      <c r="BX323" s="40" t="n">
        <v>-269</v>
      </c>
      <c r="BY323" s="7"/>
      <c r="BZ323" s="7"/>
      <c r="CA323" s="58" t="n">
        <f aca="false">CA303</f>
        <v>-1150</v>
      </c>
      <c r="CB323" s="58" t="n">
        <f aca="false">CB303</f>
        <v>-1304.35935123526</v>
      </c>
      <c r="CC323" s="58" t="n">
        <f aca="false">CC303</f>
        <v>-1389.80547208728</v>
      </c>
      <c r="CD323" s="58" t="n">
        <f aca="false">CD303</f>
        <v>-1488.28662993444</v>
      </c>
      <c r="CE323" s="58" t="n">
        <f aca="false">CE303</f>
        <v>-1594.52473271116</v>
      </c>
      <c r="CF323" s="7"/>
    </row>
    <row r="324" customFormat="false" ht="15" hidden="false" customHeight="true" outlineLevel="0" collapsed="false">
      <c r="B324" s="50" t="s">
        <v>494</v>
      </c>
      <c r="C324" s="40" t="n">
        <v>10</v>
      </c>
      <c r="D324" s="40" t="n">
        <v>15.5</v>
      </c>
      <c r="E324" s="40" t="n">
        <v>1.1</v>
      </c>
      <c r="F324" s="40" t="n">
        <v>6.1</v>
      </c>
      <c r="G324" s="40" t="n">
        <v>0</v>
      </c>
      <c r="H324" s="40" t="n">
        <v>0</v>
      </c>
      <c r="I324" s="40" t="n">
        <v>0</v>
      </c>
      <c r="J324" s="39"/>
      <c r="K324" s="39"/>
      <c r="L324" s="39"/>
      <c r="M324" s="39"/>
      <c r="N324" s="39"/>
      <c r="O324" s="39"/>
      <c r="P324" s="39"/>
      <c r="Q324" s="39"/>
      <c r="R324" s="39"/>
      <c r="S324" s="39"/>
      <c r="T324" s="39"/>
      <c r="U324" s="39"/>
      <c r="V324" s="39"/>
      <c r="W324" s="39"/>
      <c r="X324" s="39"/>
      <c r="Y324" s="39"/>
      <c r="Z324" s="40" t="n">
        <v>0</v>
      </c>
      <c r="AA324" s="39"/>
      <c r="AB324" s="39"/>
      <c r="AC324" s="39"/>
      <c r="AD324" s="39"/>
      <c r="AE324" s="40" t="n">
        <v>30</v>
      </c>
      <c r="AF324" s="40" t="n">
        <v>2.3</v>
      </c>
      <c r="AG324" s="40" t="n">
        <v>0.300000000000004</v>
      </c>
      <c r="AH324" s="40" t="n">
        <v>32.6</v>
      </c>
      <c r="AI324" s="40" t="n">
        <v>0.4</v>
      </c>
      <c r="AJ324" s="40" t="n">
        <v>1</v>
      </c>
      <c r="AK324" s="40" t="n">
        <v>0.2</v>
      </c>
      <c r="AL324" s="40" t="n">
        <v>4.7</v>
      </c>
      <c r="AM324" s="40" t="n">
        <v>6.3</v>
      </c>
      <c r="AN324" s="40" t="n">
        <v>0.8</v>
      </c>
      <c r="AO324" s="40" t="n">
        <v>11.3</v>
      </c>
      <c r="AP324" s="40" t="n">
        <v>2</v>
      </c>
      <c r="AQ324" s="40" t="n">
        <v>-1.3</v>
      </c>
      <c r="AR324" s="40" t="n">
        <v>12.8</v>
      </c>
      <c r="AS324" s="40" t="n">
        <v>0.5</v>
      </c>
      <c r="AT324" s="40" t="n">
        <v>0.3</v>
      </c>
      <c r="AU324" s="40" t="n">
        <v>0.6</v>
      </c>
      <c r="AV324" s="40" t="n">
        <v>0.6</v>
      </c>
      <c r="AW324" s="40" t="n">
        <v>2</v>
      </c>
      <c r="AX324" s="40" t="n">
        <v>12</v>
      </c>
      <c r="AY324" s="40" t="n">
        <v>1</v>
      </c>
      <c r="AZ324" s="40" t="n">
        <v>0</v>
      </c>
      <c r="BA324" s="40" t="n">
        <v>0</v>
      </c>
      <c r="BB324" s="40" t="n">
        <v>13</v>
      </c>
      <c r="BC324" s="40" t="n">
        <v>2</v>
      </c>
      <c r="BD324" s="40" t="n">
        <v>7</v>
      </c>
      <c r="BE324" s="40" t="n">
        <v>0</v>
      </c>
      <c r="BF324" s="40" t="n">
        <v>0</v>
      </c>
      <c r="BG324" s="40" t="n">
        <v>9</v>
      </c>
      <c r="BH324" s="40" t="n">
        <v>0</v>
      </c>
      <c r="BI324" s="40" t="n">
        <v>4</v>
      </c>
      <c r="BJ324" s="40" t="n">
        <v>4</v>
      </c>
      <c r="BK324" s="40" t="n">
        <v>6</v>
      </c>
      <c r="BL324" s="40" t="n">
        <v>12</v>
      </c>
      <c r="BM324" s="40" t="n">
        <v>0</v>
      </c>
      <c r="BN324" s="40" t="n">
        <v>1</v>
      </c>
      <c r="BO324" s="40" t="n">
        <v>11</v>
      </c>
      <c r="BP324" s="40" t="n">
        <v>1</v>
      </c>
      <c r="BQ324" s="40" t="n">
        <v>13</v>
      </c>
      <c r="BR324" s="40" t="n">
        <v>6</v>
      </c>
      <c r="BS324" s="40" t="n">
        <v>4</v>
      </c>
      <c r="BT324" s="40" t="n">
        <v>0</v>
      </c>
      <c r="BU324" s="40" t="n">
        <v>23</v>
      </c>
      <c r="BV324" s="40" t="n">
        <v>33</v>
      </c>
      <c r="BW324" s="40" t="n">
        <v>0</v>
      </c>
      <c r="BX324" s="40" t="n">
        <v>0</v>
      </c>
      <c r="BY324" s="7"/>
      <c r="BZ324" s="7"/>
      <c r="CA324" s="58" t="n">
        <f aca="false">N(CA304)</f>
        <v>0</v>
      </c>
      <c r="CB324" s="58" t="n">
        <f aca="false">N(CB304)</f>
        <v>0</v>
      </c>
      <c r="CC324" s="58" t="n">
        <f aca="false">N(CC304)</f>
        <v>0</v>
      </c>
      <c r="CD324" s="58" t="n">
        <f aca="false">N(CD304)</f>
        <v>0</v>
      </c>
      <c r="CE324" s="58" t="n">
        <f aca="false">N(CE304)</f>
        <v>0</v>
      </c>
      <c r="CF324" s="7"/>
    </row>
    <row r="325" customFormat="false" ht="15" hidden="false" customHeight="true" outlineLevel="0" collapsed="false">
      <c r="B325" s="62" t="s">
        <v>495</v>
      </c>
      <c r="C325" s="63" t="n">
        <f aca="false">IF(ISNUMBER(C322),C322+N(C323)+N(C324),"")</f>
        <v>1419.6</v>
      </c>
      <c r="D325" s="63" t="n">
        <f aca="false">IF(ISNUMBER(D322),D322+N(D323)+N(D324),"")</f>
        <v>1552.7</v>
      </c>
      <c r="E325" s="63" t="n">
        <f aca="false">IF(ISNUMBER(E322),E322+N(E323)+N(E324),"")</f>
        <v>1666.3</v>
      </c>
      <c r="F325" s="63" t="n">
        <f aca="false">IF(ISNUMBER(F322),F322+N(F323)+N(F324),"")</f>
        <v>1618.4</v>
      </c>
      <c r="G325" s="63" t="n">
        <f aca="false">IF(ISNUMBER(G322),G322+N(G323)+N(G324),"")</f>
        <v>1867.1</v>
      </c>
      <c r="H325" s="63" t="n">
        <f aca="false">IF(ISNUMBER(H322),H322+N(H323)+N(H324),"")</f>
        <v>2397.5</v>
      </c>
      <c r="I325" s="63" t="n">
        <f aca="false">IF(ISNUMBER(I322),I322+N(I323)+N(I324),"")</f>
        <v>3043.8</v>
      </c>
      <c r="J325" s="63" t="n">
        <f aca="false">IF(ISNUMBER(J322),J322+N(J323)+N(J324),"")</f>
        <v>520.2</v>
      </c>
      <c r="K325" s="63" t="n">
        <f aca="false">IF(ISNUMBER(K322),K322+N(K323)+N(K324),"")</f>
        <v>763</v>
      </c>
      <c r="L325" s="63" t="n">
        <f aca="false">IF(ISNUMBER(L322),L322+N(L323)+N(L324),"")</f>
        <v>832.1</v>
      </c>
      <c r="M325" s="63" t="n">
        <f aca="false">IF(ISNUMBER(M322),M322+N(M323)+N(M324),"")</f>
        <v>918.5</v>
      </c>
      <c r="N325" s="63" t="n">
        <f aca="false">IF(ISNUMBER(N322),N322+N(N323)+N(N324),"")</f>
        <v>3033.8</v>
      </c>
      <c r="O325" s="63" t="n">
        <f aca="false">IF(ISNUMBER(O322),O322+N(O323)+N(O324),"")</f>
        <v>380.3</v>
      </c>
      <c r="P325" s="63" t="n">
        <f aca="false">IF(ISNUMBER(P322),P322+N(P323)+N(P324),"")</f>
        <v>844</v>
      </c>
      <c r="Q325" s="63" t="n">
        <f aca="false">IF(ISNUMBER(Q322),Q322+N(Q323)+N(Q324),"")</f>
        <v>873.3</v>
      </c>
      <c r="R325" s="63" t="n">
        <f aca="false">IF(ISNUMBER(R322),R322+N(R323)+N(R324),"")</f>
        <v>1063.3</v>
      </c>
      <c r="S325" s="63" t="n">
        <f aca="false">IF(ISNUMBER(S322),S322+N(S323)+N(S324),"")</f>
        <v>3160.9</v>
      </c>
      <c r="T325" s="63" t="n">
        <f aca="false">IF(ISNUMBER(T322),T322+N(T323)+N(T324),"")</f>
        <v>404.4</v>
      </c>
      <c r="U325" s="63" t="n">
        <f aca="false">IF(ISNUMBER(U322),U322+N(U323)+N(U324),"")</f>
        <v>955.1</v>
      </c>
      <c r="V325" s="63" t="n">
        <f aca="false">IF(ISNUMBER(V322),V322+N(V323)+N(V324),"")</f>
        <v>709.1</v>
      </c>
      <c r="W325" s="63" t="n">
        <f aca="false">IF(ISNUMBER(W322),W322+N(W323)+N(W324),"")</f>
        <v>1126.4</v>
      </c>
      <c r="X325" s="63" t="n">
        <f aca="false">IF(ISNUMBER(X322),X322+N(X323)+N(X324),"")</f>
        <v>3195</v>
      </c>
      <c r="Y325" s="63" t="n">
        <f aca="false">IF(ISNUMBER(Y322),Y322+N(Y323)+N(Y324),"")</f>
        <v>621.8</v>
      </c>
      <c r="Z325" s="63" t="n">
        <f aca="false">IF(ISNUMBER(Z322),Z322+N(Z323)+N(Z324),"")</f>
        <v>1097.9</v>
      </c>
      <c r="AA325" s="63" t="n">
        <f aca="false">IF(ISNUMBER(AA322),AA322+N(AA323)+N(AA324),"")</f>
        <v>296.7</v>
      </c>
      <c r="AB325" s="63" t="n">
        <f aca="false">IF(ISNUMBER(AB322),AB322+N(AB323)+N(AB324),"")</f>
        <v>481.5</v>
      </c>
      <c r="AC325" s="63" t="n">
        <f aca="false">IF(ISNUMBER(AC322),AC322+N(AC323)+N(AC324),"")</f>
        <v>2497.9</v>
      </c>
      <c r="AD325" s="63" t="n">
        <f aca="false">IF(ISNUMBER(AD322),AD322+N(AD323)+N(AD324),"")</f>
        <v>401.6</v>
      </c>
      <c r="AE325" s="63" t="n">
        <f aca="false">IF(ISNUMBER(AE322),AE322+N(AE323)+N(AE324),"")</f>
        <v>892.6</v>
      </c>
      <c r="AF325" s="63" t="n">
        <f aca="false">IF(ISNUMBER(AF322),AF322+N(AF323)+N(AF324),"")</f>
        <v>935.4</v>
      </c>
      <c r="AG325" s="63" t="n">
        <f aca="false">IF(ISNUMBER(AG322),AG322+N(AG323)+N(AG324),"")</f>
        <v>661.2</v>
      </c>
      <c r="AH325" s="63" t="n">
        <f aca="false">IF(ISNUMBER(AH322),AH322+N(AH323)+N(AH324),"")</f>
        <v>2890.8</v>
      </c>
      <c r="AI325" s="63" t="n">
        <f aca="false">IF(ISNUMBER(AI322),AI322+N(AI323)+N(AI324),"")</f>
        <v>691.4</v>
      </c>
      <c r="AJ325" s="63" t="n">
        <f aca="false">IF(ISNUMBER(AJ322),AJ322+N(AJ323)+N(AJ324),"")</f>
        <v>883.2</v>
      </c>
      <c r="AK325" s="63" t="n">
        <f aca="false">IF(ISNUMBER(AK322),AK322+N(AK323)+N(AK324),"")</f>
        <v>770.1</v>
      </c>
      <c r="AL325" s="63" t="n">
        <f aca="false">IF(ISNUMBER(AL322),AL322+N(AL323)+N(AL324),"")</f>
        <v>1027.9</v>
      </c>
      <c r="AM325" s="63" t="n">
        <f aca="false">IF(ISNUMBER(AM322),AM322+N(AM323)+N(AM324),"")</f>
        <v>3372.6</v>
      </c>
      <c r="AN325" s="63" t="n">
        <f aca="false">IF(ISNUMBER(AN322),AN322+N(AN323)+N(AN324),"")</f>
        <v>548.4</v>
      </c>
      <c r="AO325" s="63" t="n">
        <f aca="false">IF(ISNUMBER(AO322),AO322+N(AO323)+N(AO324),"")</f>
        <v>1002</v>
      </c>
      <c r="AP325" s="63" t="n">
        <f aca="false">IF(ISNUMBER(AP322),AP322+N(AP323)+N(AP324),"")</f>
        <v>785.7</v>
      </c>
      <c r="AQ325" s="63" t="n">
        <f aca="false">IF(ISNUMBER(AQ322),AQ322+N(AQ323)+N(AQ324),"")</f>
        <v>3539</v>
      </c>
      <c r="AR325" s="63" t="n">
        <f aca="false">IF(ISNUMBER(AR322),AR322+N(AR323)+N(AR324),"")</f>
        <v>3034.7</v>
      </c>
      <c r="AS325" s="63" t="n">
        <f aca="false">IF(ISNUMBER(AS322),AS322+N(AS323)+N(AS324),"")</f>
        <v>694</v>
      </c>
      <c r="AT325" s="63" t="n">
        <f aca="false">IF(ISNUMBER(AT322),AT322+N(AT323)+N(AT324),"")</f>
        <v>1289.9</v>
      </c>
      <c r="AU325" s="63" t="n">
        <f aca="false">IF(ISNUMBER(AU322),AU322+N(AU323)+N(AU324),"")</f>
        <v>1536</v>
      </c>
      <c r="AV325" s="63" t="n">
        <f aca="false">IF(ISNUMBER(AV322),AV322+N(AV323)+N(AV324),"")</f>
        <v>1906.1</v>
      </c>
      <c r="AW325" s="63" t="n">
        <f aca="false">IF(ISNUMBER(AW322),AW322+N(AW323)+N(AW324),"")</f>
        <v>5426</v>
      </c>
      <c r="AX325" s="63" t="n">
        <f aca="false">IF(ISNUMBER(AX322),AX322+N(AX323)+N(AX324),"")</f>
        <v>1632</v>
      </c>
      <c r="AY325" s="63" t="n">
        <f aca="false">IF(ISNUMBER(AY322),AY322+N(AY323)+N(AY324),"")</f>
        <v>1816</v>
      </c>
      <c r="AZ325" s="63" t="n">
        <f aca="false">IF(ISNUMBER(AZ322),AZ322+N(AZ323)+N(AZ324),"")</f>
        <v>1716</v>
      </c>
      <c r="BA325" s="63" t="n">
        <f aca="false">IF(ISNUMBER(BA322),BA322+N(BA323)+N(BA324),"")</f>
        <v>1913</v>
      </c>
      <c r="BB325" s="63" t="n">
        <f aca="false">IF(ISNUMBER(BB322),BB322+N(BB323)+N(BB324),"")</f>
        <v>7077</v>
      </c>
      <c r="BC325" s="63" t="n">
        <f aca="false">IF(ISNUMBER(BC322),BC322+N(BC323)+N(BC324),"")</f>
        <v>1720</v>
      </c>
      <c r="BD325" s="63" t="n">
        <f aca="false">IF(ISNUMBER(BD322),BD322+N(BD323)+N(BD324),"")</f>
        <v>1711</v>
      </c>
      <c r="BE325" s="63" t="n">
        <f aca="false">IF(ISNUMBER(BE322),BE322+N(BE323)+N(BE324),"")</f>
        <v>1733</v>
      </c>
      <c r="BF325" s="63" t="n">
        <f aca="false">IF(ISNUMBER(BF322),BF322+N(BF323)+N(BF324),"")</f>
        <v>2212</v>
      </c>
      <c r="BG325" s="63" t="n">
        <f aca="false">IF(ISNUMBER(BG322),BG322+N(BG323)+N(BG324),"")</f>
        <v>7376</v>
      </c>
      <c r="BH325" s="63" t="n">
        <f aca="false">IF(ISNUMBER(BH322),BH322+N(BH323)+N(BH324),"")</f>
        <v>1672</v>
      </c>
      <c r="BI325" s="63" t="n">
        <f aca="false">IF(ISNUMBER(BI322),BI322+N(BI323)+N(BI324),"")</f>
        <v>1589</v>
      </c>
      <c r="BJ325" s="63" t="n">
        <f aca="false">IF(ISNUMBER(BJ322),BJ322+N(BJ323)+N(BJ324),"")</f>
        <v>1311</v>
      </c>
      <c r="BK325" s="63" t="n">
        <f aca="false">IF(ISNUMBER(BK322),BK322+N(BK323)+N(BK324),"")</f>
        <v>1163</v>
      </c>
      <c r="BL325" s="63" t="n">
        <f aca="false">IF(ISNUMBER(BL322),BL322+N(BL323)+N(BL324),"")</f>
        <v>5119</v>
      </c>
      <c r="BM325" s="63" t="n">
        <f aca="false">IF(ISNUMBER(BM322),BM322+N(BM323)+N(BM324),"")</f>
        <v>1448</v>
      </c>
      <c r="BN325" s="63" t="n">
        <f aca="false">IF(ISNUMBER(BN322),BN322+N(BN323)+N(BN324),"")</f>
        <v>1131</v>
      </c>
      <c r="BO325" s="63" t="n">
        <f aca="false">IF(ISNUMBER(BO322),BO322+N(BO323)+N(BO324),"")</f>
        <v>1226</v>
      </c>
      <c r="BP325" s="63" t="n">
        <f aca="false">IF(ISNUMBER(BP322),BP322+N(BP323)+N(BP324),"")</f>
        <v>1504</v>
      </c>
      <c r="BQ325" s="63" t="n">
        <f aca="false">IF(ISNUMBER(BQ322),BQ322+N(BQ323)+N(BQ324),"")</f>
        <v>5309</v>
      </c>
      <c r="BR325" s="63" t="n">
        <f aca="false">IF(ISNUMBER(BR322),BR322+N(BR323)+N(BR324),"")</f>
        <v>1060</v>
      </c>
      <c r="BS325" s="63" t="n">
        <f aca="false">IF(ISNUMBER(BS322),BS322+N(BS323)+N(BS324),"")</f>
        <v>1094</v>
      </c>
      <c r="BT325" s="63" t="n">
        <f aca="false">IF(ISNUMBER(BT322),BT322+N(BT323)+N(BT324),"")</f>
        <v>1370</v>
      </c>
      <c r="BU325" s="63" t="n">
        <f aca="false">IF(ISNUMBER(BU322),BU322+N(BU323)+N(BU324),"")</f>
        <v>1769</v>
      </c>
      <c r="BV325" s="63" t="n">
        <f aca="false">IF(ISNUMBER(BV322),BV322+N(BV323)+N(BV324),"")</f>
        <v>5293</v>
      </c>
      <c r="BW325" s="63" t="n">
        <f aca="false">IF(ISNUMBER(BW322),BW322+N(BW323)+N(BW324),"")</f>
        <v>1085</v>
      </c>
      <c r="BX325" s="63" t="n">
        <f aca="false">IF(ISNUMBER(BX322),BX322+N(BX323)+N(BX324),"")</f>
        <v>1265</v>
      </c>
      <c r="BY325" s="64"/>
      <c r="BZ325" s="64"/>
      <c r="CA325" s="63" t="n">
        <f aca="false">IF(ISNUMBER(CA322),CA322+N(CA323)+N(CA324),"")</f>
        <v>6480.44818641146</v>
      </c>
      <c r="CB325" s="63" t="n">
        <f aca="false">IF(ISNUMBER(CB322),CB322+N(CB323)+N(CB324),"")</f>
        <v>6524.3546925543</v>
      </c>
      <c r="CC325" s="63" t="n">
        <f aca="false">IF(ISNUMBER(CC322),CC322+N(CC323)+N(CC324),"")</f>
        <v>7169.06484213834</v>
      </c>
      <c r="CD325" s="63" t="n">
        <f aca="false">IF(ISNUMBER(CD322),CD322+N(CD323)+N(CD324),"")</f>
        <v>7801.14363241824</v>
      </c>
      <c r="CE325" s="63" t="n">
        <f aca="false">IF(ISNUMBER(CE322),CE322+N(CE323)+N(CE324),"")</f>
        <v>8476.17656574959</v>
      </c>
      <c r="CF325" s="7" t="s">
        <v>496</v>
      </c>
      <c r="CH325" s="22" t="n">
        <f aca="false">IFERROR((CE325/BV325)^(1/5)-1,"n/m")</f>
        <v>0.0987518521613127</v>
      </c>
      <c r="CI325" s="22" t="n">
        <f aca="false">IFERROR((BV325/AW325)^(1/5)-1,"n/m")</f>
        <v>-0.00495110693515755</v>
      </c>
      <c r="CJ325" s="22" t="n">
        <f aca="false">IFERROR((BV325/X325)^(1/10)-1,"n/m")</f>
        <v>0.051775628321469</v>
      </c>
      <c r="CK325" s="22" t="n">
        <f aca="false">IFERROR((BV325/C325)^(1/19)-1,"n/m")</f>
        <v>0.0717187700922473</v>
      </c>
    </row>
    <row r="326" customFormat="false" ht="15" hidden="false" customHeight="true" outlineLevel="0" collapsed="false">
      <c r="B326" s="50" t="s">
        <v>497</v>
      </c>
      <c r="C326" s="39"/>
      <c r="D326" s="39"/>
      <c r="E326" s="39"/>
      <c r="F326" s="39"/>
      <c r="G326" s="40" t="n">
        <v>1867</v>
      </c>
      <c r="H326" s="40" t="n">
        <v>2397.6</v>
      </c>
      <c r="I326" s="40" t="n">
        <v>3043.8</v>
      </c>
      <c r="J326" s="39"/>
      <c r="K326" s="39"/>
      <c r="L326" s="39"/>
      <c r="M326" s="39"/>
      <c r="N326" s="39"/>
      <c r="O326" s="39"/>
      <c r="P326" s="39"/>
      <c r="Q326" s="39"/>
      <c r="R326" s="39"/>
      <c r="S326" s="39"/>
      <c r="T326" s="39"/>
      <c r="U326" s="39"/>
      <c r="V326" s="39"/>
      <c r="W326" s="39"/>
      <c r="X326" s="39"/>
      <c r="Y326" s="39"/>
      <c r="Z326" s="40" t="n">
        <v>1097.9</v>
      </c>
      <c r="AA326" s="39"/>
      <c r="AB326" s="39"/>
      <c r="AC326" s="39"/>
      <c r="AD326" s="39"/>
      <c r="AE326" s="39"/>
      <c r="AF326" s="39"/>
      <c r="AG326" s="39"/>
      <c r="AH326" s="39"/>
      <c r="AI326" s="40" t="n">
        <v>691.4</v>
      </c>
      <c r="AJ326" s="39"/>
      <c r="AK326" s="39"/>
      <c r="AL326" s="39"/>
      <c r="AM326" s="40" t="n">
        <v>3372.6</v>
      </c>
      <c r="AN326" s="40" t="n">
        <v>548.4</v>
      </c>
      <c r="AO326" s="40" t="n">
        <v>1002</v>
      </c>
      <c r="AP326" s="39"/>
      <c r="AQ326" s="39"/>
      <c r="AR326" s="39"/>
      <c r="AS326" s="39"/>
      <c r="AT326" s="40" t="n">
        <v>1289.9</v>
      </c>
      <c r="AU326" s="40" t="n">
        <v>1536</v>
      </c>
      <c r="AV326" s="39"/>
      <c r="AW326" s="40" t="n">
        <v>5426</v>
      </c>
      <c r="AX326" s="40" t="n">
        <v>1632</v>
      </c>
      <c r="AY326" s="40" t="n">
        <v>1816</v>
      </c>
      <c r="AZ326" s="39"/>
      <c r="BA326" s="39"/>
      <c r="BB326" s="40" t="n">
        <v>7077</v>
      </c>
      <c r="BC326" s="40" t="n">
        <v>1720</v>
      </c>
      <c r="BD326" s="40" t="n">
        <v>1711</v>
      </c>
      <c r="BE326" s="40" t="n">
        <v>1733</v>
      </c>
      <c r="BF326" s="40" t="n">
        <v>2212</v>
      </c>
      <c r="BG326" s="40" t="n">
        <v>7376</v>
      </c>
      <c r="BH326" s="40" t="n">
        <v>1672</v>
      </c>
      <c r="BI326" s="40" t="n">
        <v>1589</v>
      </c>
      <c r="BJ326" s="40" t="n">
        <v>1311</v>
      </c>
      <c r="BK326" s="40" t="n">
        <v>1163</v>
      </c>
      <c r="BL326" s="40" t="n">
        <v>5119</v>
      </c>
      <c r="BM326" s="40" t="n">
        <v>1448</v>
      </c>
      <c r="BN326" s="40" t="n">
        <v>1131</v>
      </c>
      <c r="BO326" s="40" t="n">
        <v>1226</v>
      </c>
      <c r="BP326" s="40" t="n">
        <v>1504</v>
      </c>
      <c r="BQ326" s="40" t="n">
        <v>5309</v>
      </c>
      <c r="BR326" s="40" t="n">
        <v>1060</v>
      </c>
      <c r="BS326" s="40" t="n">
        <v>1094</v>
      </c>
      <c r="BT326" s="40" t="n">
        <v>1370</v>
      </c>
      <c r="BU326" s="40" t="n">
        <v>1769</v>
      </c>
      <c r="BV326" s="40" t="n">
        <v>5293</v>
      </c>
      <c r="BW326" s="40" t="n">
        <v>1085</v>
      </c>
      <c r="BX326" s="40" t="n">
        <v>1265</v>
      </c>
      <c r="BY326" s="7"/>
      <c r="BZ326" s="7"/>
      <c r="CA326" s="7"/>
      <c r="CB326" s="7"/>
      <c r="CC326" s="7"/>
      <c r="CD326" s="7"/>
      <c r="CE326" s="7"/>
      <c r="CF326" s="7"/>
    </row>
    <row r="327" customFormat="false" ht="15" hidden="false" customHeight="true" outlineLevel="0" collapsed="false">
      <c r="B327" s="65" t="s">
        <v>498</v>
      </c>
      <c r="C327" s="66" t="str">
        <f aca="false">IF(ISNUMBER(C326),IF(ABS(C325-C326)&lt;=1,0,ROUND(C325-C326,0)),"n/p")</f>
        <v>n/p</v>
      </c>
      <c r="D327" s="66" t="str">
        <f aca="false">IF(ISNUMBER(D326),IF(ABS(D325-D326)&lt;=1,0,ROUND(D325-D326,0)),"n/p")</f>
        <v>n/p</v>
      </c>
      <c r="E327" s="66" t="str">
        <f aca="false">IF(ISNUMBER(E326),IF(ABS(E325-E326)&lt;=1,0,ROUND(E325-E326,0)),"n/p")</f>
        <v>n/p</v>
      </c>
      <c r="F327" s="66" t="str">
        <f aca="false">IF(ISNUMBER(F326),IF(ABS(F325-F326)&lt;=1,0,ROUND(F325-F326,0)),"n/p")</f>
        <v>n/p</v>
      </c>
      <c r="G327" s="66" t="n">
        <f aca="false">IF(ISNUMBER(G326),IF(ABS(G325-G326)&lt;=1,0,ROUND(G325-G326,0)),"n/p")</f>
        <v>0</v>
      </c>
      <c r="H327" s="66" t="n">
        <f aca="false">IF(ISNUMBER(H326),IF(ABS(H325-H326)&lt;=1,0,ROUND(H325-H326,0)),"n/p")</f>
        <v>0</v>
      </c>
      <c r="I327" s="66" t="n">
        <f aca="false">IF(ISNUMBER(I326),IF(ABS(I325-I326)&lt;=1,0,ROUND(I325-I326,0)),"n/p")</f>
        <v>0</v>
      </c>
      <c r="J327" s="66" t="str">
        <f aca="false">IF(ISNUMBER(J326),IF(ABS(J325-J326)&lt;=1,0,ROUND(J325-J326,0)),"n/p")</f>
        <v>n/p</v>
      </c>
      <c r="K327" s="66" t="str">
        <f aca="false">IF(ISNUMBER(K326),IF(ABS(K325-K326)&lt;=1,0,ROUND(K325-K326,0)),"n/p")</f>
        <v>n/p</v>
      </c>
      <c r="L327" s="66" t="str">
        <f aca="false">IF(ISNUMBER(L326),IF(ABS(L325-L326)&lt;=1,0,ROUND(L325-L326,0)),"n/p")</f>
        <v>n/p</v>
      </c>
      <c r="M327" s="66" t="str">
        <f aca="false">IF(ISNUMBER(M326),IF(ABS(M325-M326)&lt;=1,0,ROUND(M325-M326,0)),"n/p")</f>
        <v>n/p</v>
      </c>
      <c r="N327" s="66" t="str">
        <f aca="false">IF(ISNUMBER(N326),IF(ABS(N325-N326)&lt;=1,0,ROUND(N325-N326,0)),"n/p")</f>
        <v>n/p</v>
      </c>
      <c r="O327" s="66" t="str">
        <f aca="false">IF(ISNUMBER(O326),IF(ABS(O325-O326)&lt;=1,0,ROUND(O325-O326,0)),"n/p")</f>
        <v>n/p</v>
      </c>
      <c r="P327" s="66" t="str">
        <f aca="false">IF(ISNUMBER(P326),IF(ABS(P325-P326)&lt;=1,0,ROUND(P325-P326,0)),"n/p")</f>
        <v>n/p</v>
      </c>
      <c r="Q327" s="66" t="str">
        <f aca="false">IF(ISNUMBER(Q326),IF(ABS(Q325-Q326)&lt;=1,0,ROUND(Q325-Q326,0)),"n/p")</f>
        <v>n/p</v>
      </c>
      <c r="R327" s="66" t="str">
        <f aca="false">IF(ISNUMBER(R326),IF(ABS(R325-R326)&lt;=1,0,ROUND(R325-R326,0)),"n/p")</f>
        <v>n/p</v>
      </c>
      <c r="S327" s="66" t="str">
        <f aca="false">IF(ISNUMBER(S326),IF(ABS(S325-S326)&lt;=1,0,ROUND(S325-S326,0)),"n/p")</f>
        <v>n/p</v>
      </c>
      <c r="T327" s="66" t="str">
        <f aca="false">IF(ISNUMBER(T326),IF(ABS(T325-T326)&lt;=1,0,ROUND(T325-T326,0)),"n/p")</f>
        <v>n/p</v>
      </c>
      <c r="U327" s="66" t="str">
        <f aca="false">IF(ISNUMBER(U326),IF(ABS(U325-U326)&lt;=1,0,ROUND(U325-U326,0)),"n/p")</f>
        <v>n/p</v>
      </c>
      <c r="V327" s="66" t="str">
        <f aca="false">IF(ISNUMBER(V326),IF(ABS(V325-V326)&lt;=1,0,ROUND(V325-V326,0)),"n/p")</f>
        <v>n/p</v>
      </c>
      <c r="W327" s="66" t="str">
        <f aca="false">IF(ISNUMBER(W326),IF(ABS(W325-W326)&lt;=1,0,ROUND(W325-W326,0)),"n/p")</f>
        <v>n/p</v>
      </c>
      <c r="X327" s="66" t="str">
        <f aca="false">IF(ISNUMBER(X326),IF(ABS(X325-X326)&lt;=1,0,ROUND(X325-X326,0)),"n/p")</f>
        <v>n/p</v>
      </c>
      <c r="Y327" s="66" t="str">
        <f aca="false">IF(ISNUMBER(Y326),IF(ABS(Y325-Y326)&lt;=1,0,ROUND(Y325-Y326,0)),"n/p")</f>
        <v>n/p</v>
      </c>
      <c r="Z327" s="66" t="n">
        <f aca="false">IF(ISNUMBER(Z326),IF(ABS(Z325-Z326)&lt;=1,0,ROUND(Z325-Z326,0)),"n/p")</f>
        <v>0</v>
      </c>
      <c r="AA327" s="66" t="str">
        <f aca="false">IF(ISNUMBER(AA326),IF(ABS(AA325-AA326)&lt;=1,0,ROUND(AA325-AA326,0)),"n/p")</f>
        <v>n/p</v>
      </c>
      <c r="AB327" s="66" t="str">
        <f aca="false">IF(ISNUMBER(AB326),IF(ABS(AB325-AB326)&lt;=1,0,ROUND(AB325-AB326,0)),"n/p")</f>
        <v>n/p</v>
      </c>
      <c r="AC327" s="66" t="str">
        <f aca="false">IF(ISNUMBER(AC326),IF(ABS(AC325-AC326)&lt;=1,0,ROUND(AC325-AC326,0)),"n/p")</f>
        <v>n/p</v>
      </c>
      <c r="AD327" s="66" t="str">
        <f aca="false">IF(ISNUMBER(AD326),IF(ABS(AD325-AD326)&lt;=1,0,ROUND(AD325-AD326,0)),"n/p")</f>
        <v>n/p</v>
      </c>
      <c r="AE327" s="66" t="str">
        <f aca="false">IF(ISNUMBER(AE326),IF(ABS(AE325-AE326)&lt;=1,0,ROUND(AE325-AE326,0)),"n/p")</f>
        <v>n/p</v>
      </c>
      <c r="AF327" s="66" t="str">
        <f aca="false">IF(ISNUMBER(AF326),IF(ABS(AF325-AF326)&lt;=1,0,ROUND(AF325-AF326,0)),"n/p")</f>
        <v>n/p</v>
      </c>
      <c r="AG327" s="66" t="str">
        <f aca="false">IF(ISNUMBER(AG326),IF(ABS(AG325-AG326)&lt;=1,0,ROUND(AG325-AG326,0)),"n/p")</f>
        <v>n/p</v>
      </c>
      <c r="AH327" s="66" t="str">
        <f aca="false">IF(ISNUMBER(AH326),IF(ABS(AH325-AH326)&lt;=1,0,ROUND(AH325-AH326,0)),"n/p")</f>
        <v>n/p</v>
      </c>
      <c r="AI327" s="66" t="n">
        <f aca="false">IF(ISNUMBER(AI326),IF(ABS(AI325-AI326)&lt;=1,0,ROUND(AI325-AI326,0)),"n/p")</f>
        <v>0</v>
      </c>
      <c r="AJ327" s="66" t="str">
        <f aca="false">IF(ISNUMBER(AJ326),IF(ABS(AJ325-AJ326)&lt;=1,0,ROUND(AJ325-AJ326,0)),"n/p")</f>
        <v>n/p</v>
      </c>
      <c r="AK327" s="66" t="str">
        <f aca="false">IF(ISNUMBER(AK326),IF(ABS(AK325-AK326)&lt;=1,0,ROUND(AK325-AK326,0)),"n/p")</f>
        <v>n/p</v>
      </c>
      <c r="AL327" s="66" t="str">
        <f aca="false">IF(ISNUMBER(AL326),IF(ABS(AL325-AL326)&lt;=1,0,ROUND(AL325-AL326,0)),"n/p")</f>
        <v>n/p</v>
      </c>
      <c r="AM327" s="66" t="n">
        <f aca="false">IF(ISNUMBER(AM326),IF(ABS(AM325-AM326)&lt;=1,0,ROUND(AM325-AM326,0)),"n/p")</f>
        <v>0</v>
      </c>
      <c r="AN327" s="66" t="n">
        <f aca="false">IF(ISNUMBER(AN326),IF(ABS(AN325-AN326)&lt;=1,0,ROUND(AN325-AN326,0)),"n/p")</f>
        <v>0</v>
      </c>
      <c r="AO327" s="66" t="n">
        <f aca="false">IF(ISNUMBER(AO326),IF(ABS(AO325-AO326)&lt;=1,0,ROUND(AO325-AO326,0)),"n/p")</f>
        <v>0</v>
      </c>
      <c r="AP327" s="66" t="str">
        <f aca="false">IF(ISNUMBER(AP326),IF(ABS(AP325-AP326)&lt;=1,0,ROUND(AP325-AP326,0)),"n/p")</f>
        <v>n/p</v>
      </c>
      <c r="AQ327" s="66" t="str">
        <f aca="false">IF(ISNUMBER(AQ326),IF(ABS(AQ325-AQ326)&lt;=1,0,ROUND(AQ325-AQ326,0)),"n/p")</f>
        <v>n/p</v>
      </c>
      <c r="AR327" s="66" t="str">
        <f aca="false">IF(ISNUMBER(AR326),IF(ABS(AR325-AR326)&lt;=1,0,ROUND(AR325-AR326,0)),"n/p")</f>
        <v>n/p</v>
      </c>
      <c r="AS327" s="66" t="str">
        <f aca="false">IF(ISNUMBER(AS326),IF(ABS(AS325-AS326)&lt;=1,0,ROUND(AS325-AS326,0)),"n/p")</f>
        <v>n/p</v>
      </c>
      <c r="AT327" s="66" t="n">
        <f aca="false">IF(ISNUMBER(AT326),IF(ABS(AT325-AT326)&lt;=1,0,ROUND(AT325-AT326,0)),"n/p")</f>
        <v>0</v>
      </c>
      <c r="AU327" s="66" t="n">
        <f aca="false">IF(ISNUMBER(AU326),IF(ABS(AU325-AU326)&lt;=1,0,ROUND(AU325-AU326,0)),"n/p")</f>
        <v>0</v>
      </c>
      <c r="AV327" s="66" t="str">
        <f aca="false">IF(ISNUMBER(AV326),IF(ABS(AV325-AV326)&lt;=1,0,ROUND(AV325-AV326,0)),"n/p")</f>
        <v>n/p</v>
      </c>
      <c r="AW327" s="66" t="n">
        <f aca="false">IF(ISNUMBER(AW326),IF(ABS(AW325-AW326)&lt;=1,0,ROUND(AW325-AW326,0)),"n/p")</f>
        <v>0</v>
      </c>
      <c r="AX327" s="66" t="n">
        <f aca="false">IF(ISNUMBER(AX326),IF(ABS(AX325-AX326)&lt;=1,0,ROUND(AX325-AX326,0)),"n/p")</f>
        <v>0</v>
      </c>
      <c r="AY327" s="66" t="n">
        <f aca="false">IF(ISNUMBER(AY326),IF(ABS(AY325-AY326)&lt;=1,0,ROUND(AY325-AY326,0)),"n/p")</f>
        <v>0</v>
      </c>
      <c r="AZ327" s="66" t="str">
        <f aca="false">IF(ISNUMBER(AZ326),IF(ABS(AZ325-AZ326)&lt;=1,0,ROUND(AZ325-AZ326,0)),"n/p")</f>
        <v>n/p</v>
      </c>
      <c r="BA327" s="66" t="str">
        <f aca="false">IF(ISNUMBER(BA326),IF(ABS(BA325-BA326)&lt;=1,0,ROUND(BA325-BA326,0)),"n/p")</f>
        <v>n/p</v>
      </c>
      <c r="BB327" s="66" t="n">
        <f aca="false">IF(ISNUMBER(BB326),IF(ABS(BB325-BB326)&lt;=1,0,ROUND(BB325-BB326,0)),"n/p")</f>
        <v>0</v>
      </c>
      <c r="BC327" s="66" t="n">
        <f aca="false">IF(ISNUMBER(BC326),IF(ABS(BC325-BC326)&lt;=1,0,ROUND(BC325-BC326,0)),"n/p")</f>
        <v>0</v>
      </c>
      <c r="BD327" s="66" t="n">
        <f aca="false">IF(ISNUMBER(BD326),IF(ABS(BD325-BD326)&lt;=1,0,ROUND(BD325-BD326,0)),"n/p")</f>
        <v>0</v>
      </c>
      <c r="BE327" s="66" t="n">
        <f aca="false">IF(ISNUMBER(BE326),IF(ABS(BE325-BE326)&lt;=1,0,ROUND(BE325-BE326,0)),"n/p")</f>
        <v>0</v>
      </c>
      <c r="BF327" s="66" t="n">
        <f aca="false">IF(ISNUMBER(BF326),IF(ABS(BF325-BF326)&lt;=1,0,ROUND(BF325-BF326,0)),"n/p")</f>
        <v>0</v>
      </c>
      <c r="BG327" s="66" t="n">
        <f aca="false">IF(ISNUMBER(BG326),IF(ABS(BG325-BG326)&lt;=1,0,ROUND(BG325-BG326,0)),"n/p")</f>
        <v>0</v>
      </c>
      <c r="BH327" s="66" t="n">
        <f aca="false">IF(ISNUMBER(BH326),IF(ABS(BH325-BH326)&lt;=1,0,ROUND(BH325-BH326,0)),"n/p")</f>
        <v>0</v>
      </c>
      <c r="BI327" s="66" t="n">
        <f aca="false">IF(ISNUMBER(BI326),IF(ABS(BI325-BI326)&lt;=1,0,ROUND(BI325-BI326,0)),"n/p")</f>
        <v>0</v>
      </c>
      <c r="BJ327" s="66" t="n">
        <f aca="false">IF(ISNUMBER(BJ326),IF(ABS(BJ325-BJ326)&lt;=1,0,ROUND(BJ325-BJ326,0)),"n/p")</f>
        <v>0</v>
      </c>
      <c r="BK327" s="66" t="n">
        <f aca="false">IF(ISNUMBER(BK326),IF(ABS(BK325-BK326)&lt;=1,0,ROUND(BK325-BK326,0)),"n/p")</f>
        <v>0</v>
      </c>
      <c r="BL327" s="66" t="n">
        <f aca="false">IF(ISNUMBER(BL326),IF(ABS(BL325-BL326)&lt;=1,0,ROUND(BL325-BL326,0)),"n/p")</f>
        <v>0</v>
      </c>
      <c r="BM327" s="66" t="n">
        <f aca="false">IF(ISNUMBER(BM326),IF(ABS(BM325-BM326)&lt;=1,0,ROUND(BM325-BM326,0)),"n/p")</f>
        <v>0</v>
      </c>
      <c r="BN327" s="66" t="n">
        <f aca="false">IF(ISNUMBER(BN326),IF(ABS(BN325-BN326)&lt;=1,0,ROUND(BN325-BN326,0)),"n/p")</f>
        <v>0</v>
      </c>
      <c r="BO327" s="66" t="n">
        <f aca="false">IF(ISNUMBER(BO326),IF(ABS(BO325-BO326)&lt;=1,0,ROUND(BO325-BO326,0)),"n/p")</f>
        <v>0</v>
      </c>
      <c r="BP327" s="66" t="n">
        <f aca="false">IF(ISNUMBER(BP326),IF(ABS(BP325-BP326)&lt;=1,0,ROUND(BP325-BP326,0)),"n/p")</f>
        <v>0</v>
      </c>
      <c r="BQ327" s="66" t="n">
        <f aca="false">IF(ISNUMBER(BQ326),IF(ABS(BQ325-BQ326)&lt;=1,0,ROUND(BQ325-BQ326,0)),"n/p")</f>
        <v>0</v>
      </c>
      <c r="BR327" s="66" t="n">
        <f aca="false">IF(ISNUMBER(BR326),IF(ABS(BR325-BR326)&lt;=1,0,ROUND(BR325-BR326,0)),"n/p")</f>
        <v>0</v>
      </c>
      <c r="BS327" s="66" t="n">
        <f aca="false">IF(ISNUMBER(BS326),IF(ABS(BS325-BS326)&lt;=1,0,ROUND(BS325-BS326,0)),"n/p")</f>
        <v>0</v>
      </c>
      <c r="BT327" s="66" t="n">
        <f aca="false">IF(ISNUMBER(BT326),IF(ABS(BT325-BT326)&lt;=1,0,ROUND(BT325-BT326,0)),"n/p")</f>
        <v>0</v>
      </c>
      <c r="BU327" s="66" t="n">
        <f aca="false">IF(ISNUMBER(BU326),IF(ABS(BU325-BU326)&lt;=1,0,ROUND(BU325-BU326,0)),"n/p")</f>
        <v>0</v>
      </c>
      <c r="BV327" s="66" t="n">
        <f aca="false">IF(ISNUMBER(BV326),IF(ABS(BV325-BV326)&lt;=1,0,ROUND(BV325-BV326,0)),"n/p")</f>
        <v>0</v>
      </c>
      <c r="BW327" s="66" t="n">
        <f aca="false">IF(ISNUMBER(BW326),IF(ABS(BW325-BW326)&lt;=1,0,ROUND(BW325-BW326,0)),"n/p")</f>
        <v>0</v>
      </c>
      <c r="BX327" s="66" t="n">
        <f aca="false">IF(ISNUMBER(BX326),IF(ABS(BX325-BX326)&lt;=1,0,ROUND(BX325-BX326,0)),"n/p")</f>
        <v>0</v>
      </c>
      <c r="BY327" s="7"/>
      <c r="BZ327" s="7"/>
      <c r="CA327" s="7"/>
      <c r="CB327" s="7"/>
      <c r="CC327" s="7"/>
      <c r="CD327" s="7"/>
      <c r="CE327" s="7"/>
      <c r="CF327" s="7"/>
    </row>
    <row r="328" customFormat="false" ht="15" hidden="false" customHeight="true" outlineLevel="0" collapsed="false">
      <c r="B328" s="24" t="s">
        <v>499</v>
      </c>
      <c r="D328" s="25" t="n">
        <f aca="false">IF(AND(ISNUMBER(D325),ISNUMBER(C325)),IFERROR(D325/C325-1,""),"")</f>
        <v>0.0937588052972669</v>
      </c>
      <c r="E328" s="25" t="n">
        <f aca="false">IF(AND(ISNUMBER(E325),ISNUMBER(D325)),IFERROR(E325/D325-1,""),"")</f>
        <v>0.073162877568107</v>
      </c>
      <c r="F328" s="25" t="n">
        <f aca="false">IF(AND(ISNUMBER(F325),ISNUMBER(E325)),IFERROR(F325/E325-1,""),"")</f>
        <v>-0.0287463241913222</v>
      </c>
      <c r="G328" s="25" t="n">
        <f aca="false">IF(AND(ISNUMBER(G325),ISNUMBER(F325)),IFERROR(G325/F325-1,""),"")</f>
        <v>0.15367029164607</v>
      </c>
      <c r="H328" s="25" t="n">
        <f aca="false">IF(AND(ISNUMBER(H325),ISNUMBER(G325)),IFERROR(H325/G325-1,""),"")</f>
        <v>0.284076910717155</v>
      </c>
      <c r="I328" s="25" t="n">
        <f aca="false">IF(AND(ISNUMBER(I325),ISNUMBER(H325)),IFERROR(I325/H325-1,""),"")</f>
        <v>0.269572471324296</v>
      </c>
      <c r="N328" s="25" t="n">
        <f aca="false">IF(AND(ISNUMBER(N325),ISNUMBER(I325)),IFERROR(N325/I325-1,""),"")</f>
        <v>-0.00328536697549098</v>
      </c>
      <c r="O328" s="25" t="n">
        <f aca="false">IF(AND(ISNUMBER(O325),ISNUMBER(J325)),IFERROR(O325/J325-1,""),"")</f>
        <v>-0.268935024990388</v>
      </c>
      <c r="P328" s="25" t="n">
        <f aca="false">IF(AND(ISNUMBER(P325),ISNUMBER(K325)),IFERROR(P325/K325-1,""),"")</f>
        <v>0.106159895150721</v>
      </c>
      <c r="Q328" s="25" t="n">
        <f aca="false">IF(AND(ISNUMBER(Q325),ISNUMBER(L325)),IFERROR(Q325/L325-1,""),"")</f>
        <v>0.0495132796538877</v>
      </c>
      <c r="R328" s="25" t="n">
        <f aca="false">IF(AND(ISNUMBER(R325),ISNUMBER(M325)),IFERROR(R325/M325-1,""),"")</f>
        <v>0.157648339684268</v>
      </c>
      <c r="S328" s="25" t="n">
        <f aca="false">IF(AND(ISNUMBER(S325),ISNUMBER(N325)),IFERROR(S325/N325-1,""),"")</f>
        <v>0.0418946535697804</v>
      </c>
      <c r="T328" s="25" t="n">
        <f aca="false">IF(AND(ISNUMBER(T325),ISNUMBER(O325)),IFERROR(T325/O325-1,""),"")</f>
        <v>0.0633710228766766</v>
      </c>
      <c r="U328" s="25" t="n">
        <f aca="false">IF(AND(ISNUMBER(U325),ISNUMBER(P325)),IFERROR(U325/P325-1,""),"")</f>
        <v>0.131635071090047</v>
      </c>
      <c r="V328" s="25" t="n">
        <f aca="false">IF(AND(ISNUMBER(V325),ISNUMBER(Q325)),IFERROR(V325/Q325-1,""),"")</f>
        <v>-0.188022443604717</v>
      </c>
      <c r="W328" s="25" t="n">
        <f aca="false">IF(AND(ISNUMBER(W325),ISNUMBER(R325)),IFERROR(W325/R325-1,""),"")</f>
        <v>0.0593435530894384</v>
      </c>
      <c r="X328" s="25" t="n">
        <f aca="false">IF(AND(ISNUMBER(X325),ISNUMBER(S325)),IFERROR(X325/S325-1,""),"")</f>
        <v>0.0107880666898668</v>
      </c>
      <c r="Y328" s="25" t="n">
        <f aca="false">IF(AND(ISNUMBER(Y325),ISNUMBER(T325)),IFERROR(Y325/T325-1,""),"")</f>
        <v>0.537586547972304</v>
      </c>
      <c r="Z328" s="25" t="n">
        <f aca="false">IF(AND(ISNUMBER(Z325),ISNUMBER(U325)),IFERROR(Z325/U325-1,""),"")</f>
        <v>0.149513139985342</v>
      </c>
      <c r="AA328" s="25" t="n">
        <f aca="false">IF(AND(ISNUMBER(AA325),ISNUMBER(V325)),IFERROR(AA325/V325-1,""),"")</f>
        <v>-0.581582287406572</v>
      </c>
      <c r="AB328" s="25" t="n">
        <f aca="false">IF(AND(ISNUMBER(AB325),ISNUMBER(W325)),IFERROR(AB325/W325-1,""),"")</f>
        <v>-0.572531960227273</v>
      </c>
      <c r="AC328" s="25" t="n">
        <f aca="false">IF(AND(ISNUMBER(AC325),ISNUMBER(X325)),IFERROR(AC325/X325-1,""),"")</f>
        <v>-0.218184663536776</v>
      </c>
      <c r="AD328" s="25" t="n">
        <f aca="false">IF(AND(ISNUMBER(AD325),ISNUMBER(Y325)),IFERROR(AD325/Y325-1,""),"")</f>
        <v>-0.354133161788356</v>
      </c>
      <c r="AE328" s="25" t="n">
        <f aca="false">IF(AND(ISNUMBER(AE325),ISNUMBER(Z325)),IFERROR(AE325/Z325-1,""),"")</f>
        <v>-0.186993350942709</v>
      </c>
      <c r="AF328" s="25" t="n">
        <f aca="false">IF(AND(ISNUMBER(AF325),ISNUMBER(AA325)),IFERROR(AF325/AA325-1,""),"")</f>
        <v>2.15267947421638</v>
      </c>
      <c r="AG328" s="25" t="n">
        <f aca="false">IF(AND(ISNUMBER(AG325),ISNUMBER(AB325)),IFERROR(AG325/AB325-1,""),"")</f>
        <v>0.373208722741434</v>
      </c>
      <c r="AH328" s="25" t="n">
        <f aca="false">IF(AND(ISNUMBER(AH325),ISNUMBER(AC325)),IFERROR(AH325/AC325-1,""),"")</f>
        <v>0.157292125385324</v>
      </c>
      <c r="AI328" s="25" t="n">
        <f aca="false">IF(AND(ISNUMBER(AI325),ISNUMBER(AD325)),IFERROR(AI325/AD325-1,""),"")</f>
        <v>0.721613545816733</v>
      </c>
      <c r="AJ328" s="25" t="n">
        <f aca="false">IF(AND(ISNUMBER(AJ325),ISNUMBER(AE325)),IFERROR(AJ325/AE325-1,""),"")</f>
        <v>-0.0105310329374859</v>
      </c>
      <c r="AK328" s="25" t="n">
        <f aca="false">IF(AND(ISNUMBER(AK325),ISNUMBER(AF325)),IFERROR(AK325/AF325-1,""),"")</f>
        <v>-0.176715843489416</v>
      </c>
      <c r="AL328" s="25" t="n">
        <f aca="false">IF(AND(ISNUMBER(AL325),ISNUMBER(AG325)),IFERROR(AL325/AG325-1,""),"")</f>
        <v>0.554597701149425</v>
      </c>
      <c r="AM328" s="25" t="n">
        <f aca="false">IF(AND(ISNUMBER(AM325),ISNUMBER(AH325)),IFERROR(AM325/AH325-1,""),"")</f>
        <v>0.166666666666667</v>
      </c>
      <c r="AN328" s="25" t="n">
        <f aca="false">IF(AND(ISNUMBER(AN325),ISNUMBER(AI325)),IFERROR(AN325/AI325-1,""),"")</f>
        <v>-0.206826728377206</v>
      </c>
      <c r="AO328" s="25" t="n">
        <f aca="false">IF(AND(ISNUMBER(AO325),ISNUMBER(AJ325)),IFERROR(AO325/AJ325-1,""),"")</f>
        <v>0.134510869565217</v>
      </c>
      <c r="AP328" s="25" t="n">
        <f aca="false">IF(AND(ISNUMBER(AP325),ISNUMBER(AK325)),IFERROR(AP325/AK325-1,""),"")</f>
        <v>0.0202571094663033</v>
      </c>
      <c r="AQ328" s="25" t="n">
        <f aca="false">IF(AND(ISNUMBER(AQ325),ISNUMBER(AL325)),IFERROR(AQ325/AL325-1,""),"")</f>
        <v>2.44294192042028</v>
      </c>
      <c r="AR328" s="25" t="n">
        <f aca="false">IF(AND(ISNUMBER(AR325),ISNUMBER(AM325)),IFERROR(AR325/AM325-1,""),"")</f>
        <v>-0.100189764573326</v>
      </c>
      <c r="AS328" s="25" t="n">
        <f aca="false">IF(AND(ISNUMBER(AS325),ISNUMBER(AN325)),IFERROR(AS325/AN325-1,""),"")</f>
        <v>0.265499635302699</v>
      </c>
      <c r="AT328" s="25" t="n">
        <f aca="false">IF(AND(ISNUMBER(AT325),ISNUMBER(AO325)),IFERROR(AT325/AO325-1,""),"")</f>
        <v>0.287325349301397</v>
      </c>
      <c r="AU328" s="25" t="n">
        <f aca="false">IF(AND(ISNUMBER(AU325),ISNUMBER(AP325)),IFERROR(AU325/AP325-1,""),"")</f>
        <v>0.954944635357006</v>
      </c>
      <c r="AV328" s="25" t="n">
        <f aca="false">IF(AND(ISNUMBER(AV325),ISNUMBER(AQ325)),IFERROR(AV325/AQ325-1,""),"")</f>
        <v>-0.461401525854761</v>
      </c>
      <c r="AW328" s="25" t="n">
        <f aca="false">IF(AND(ISNUMBER(AW325),ISNUMBER(AR325)),IFERROR(AW325/AR325-1,""),"")</f>
        <v>0.787985632846739</v>
      </c>
      <c r="AX328" s="25" t="n">
        <f aca="false">IF(AND(ISNUMBER(AX325),ISNUMBER(AS325)),IFERROR(AX325/AS325-1,""),"")</f>
        <v>1.35158501440922</v>
      </c>
      <c r="AY328" s="25" t="n">
        <f aca="false">IF(AND(ISNUMBER(AY325),ISNUMBER(AT325)),IFERROR(AY325/AT325-1,""),"")</f>
        <v>0.4078610745019</v>
      </c>
      <c r="AZ328" s="25" t="n">
        <f aca="false">IF(AND(ISNUMBER(AZ325),ISNUMBER(AU325)),IFERROR(AZ325/AU325-1,""),"")</f>
        <v>0.1171875</v>
      </c>
      <c r="BA328" s="25" t="n">
        <f aca="false">IF(AND(ISNUMBER(BA325),ISNUMBER(AV325)),IFERROR(BA325/AV325-1,""),"")</f>
        <v>0.00361995698022133</v>
      </c>
      <c r="BB328" s="25" t="n">
        <f aca="false">IF(AND(ISNUMBER(BB325),ISNUMBER(AW325)),IFERROR(BB325/AW325-1,""),"")</f>
        <v>0.304275709546627</v>
      </c>
      <c r="BC328" s="25" t="n">
        <f aca="false">IF(AND(ISNUMBER(BC325),ISNUMBER(AX325)),IFERROR(BC325/AX325-1,""),"")</f>
        <v>0.053921568627451</v>
      </c>
      <c r="BD328" s="25" t="n">
        <f aca="false">IF(AND(ISNUMBER(BD325),ISNUMBER(AY325)),IFERROR(BD325/AY325-1,""),"")</f>
        <v>-0.0578193832599119</v>
      </c>
      <c r="BE328" s="25" t="n">
        <f aca="false">IF(AND(ISNUMBER(BE325),ISNUMBER(AZ325)),IFERROR(BE325/AZ325-1,""),"")</f>
        <v>0.00990675990675993</v>
      </c>
      <c r="BF328" s="25" t="n">
        <f aca="false">IF(AND(ISNUMBER(BF325),ISNUMBER(BA325)),IFERROR(BF325/BA325-1,""),"")</f>
        <v>0.156299006795609</v>
      </c>
      <c r="BG328" s="25" t="n">
        <f aca="false">IF(AND(ISNUMBER(BG325),ISNUMBER(BB325)),IFERROR(BG325/BB325-1,""),"")</f>
        <v>0.0422495407658612</v>
      </c>
      <c r="BH328" s="25" t="n">
        <f aca="false">IF(AND(ISNUMBER(BH325),ISNUMBER(BC325)),IFERROR(BH325/BC325-1,""),"")</f>
        <v>-0.0279069767441861</v>
      </c>
      <c r="BI328" s="25" t="n">
        <f aca="false">IF(AND(ISNUMBER(BI325),ISNUMBER(BD325)),IFERROR(BI325/BD325-1,""),"")</f>
        <v>-0.0713033313851549</v>
      </c>
      <c r="BJ328" s="25" t="n">
        <f aca="false">IF(AND(ISNUMBER(BJ325),ISNUMBER(BE325)),IFERROR(BJ325/BE325-1,""),"")</f>
        <v>-0.243508366993653</v>
      </c>
      <c r="BK328" s="25" t="n">
        <f aca="false">IF(AND(ISNUMBER(BK325),ISNUMBER(BF325)),IFERROR(BK325/BF325-1,""),"")</f>
        <v>-0.474231464737794</v>
      </c>
      <c r="BL328" s="25" t="n">
        <f aca="false">IF(AND(ISNUMBER(BL325),ISNUMBER(BG325)),IFERROR(BL325/BG325-1,""),"")</f>
        <v>-0.305992407809111</v>
      </c>
      <c r="BM328" s="25" t="n">
        <f aca="false">IF(AND(ISNUMBER(BM325),ISNUMBER(BH325)),IFERROR(BM325/BH325-1,""),"")</f>
        <v>-0.133971291866029</v>
      </c>
      <c r="BN328" s="25" t="n">
        <f aca="false">IF(AND(ISNUMBER(BN325),ISNUMBER(BI325)),IFERROR(BN325/BI325-1,""),"")</f>
        <v>-0.28823159219635</v>
      </c>
      <c r="BO328" s="25" t="n">
        <f aca="false">IF(AND(ISNUMBER(BO325),ISNUMBER(BJ325)),IFERROR(BO325/BJ325-1,""),"")</f>
        <v>-0.064836003051106</v>
      </c>
      <c r="BP328" s="25" t="n">
        <f aca="false">IF(AND(ISNUMBER(BP325),ISNUMBER(BK325)),IFERROR(BP325/BK325-1,""),"")</f>
        <v>0.293207222699914</v>
      </c>
      <c r="BQ328" s="25" t="n">
        <f aca="false">IF(AND(ISNUMBER(BQ325),ISNUMBER(BL325)),IFERROR(BQ325/BL325-1,""),"")</f>
        <v>0.0371166243406915</v>
      </c>
      <c r="BR328" s="25" t="n">
        <f aca="false">IF(AND(ISNUMBER(BR325),ISNUMBER(BM325)),IFERROR(BR325/BM325-1,""),"")</f>
        <v>-0.267955801104972</v>
      </c>
      <c r="BS328" s="25" t="n">
        <f aca="false">IF(AND(ISNUMBER(BS325),ISNUMBER(BN325)),IFERROR(BS325/BN325-1,""),"")</f>
        <v>-0.0327144120247569</v>
      </c>
      <c r="BT328" s="25" t="n">
        <f aca="false">IF(AND(ISNUMBER(BT325),ISNUMBER(BO325)),IFERROR(BT325/BO325-1,""),"")</f>
        <v>0.117455138662316</v>
      </c>
      <c r="BU328" s="25" t="n">
        <f aca="false">IF(AND(ISNUMBER(BU325),ISNUMBER(BP325)),IFERROR(BU325/BP325-1,""),"")</f>
        <v>0.176196808510638</v>
      </c>
      <c r="BV328" s="25" t="n">
        <f aca="false">IF(AND(ISNUMBER(BV325),ISNUMBER(BQ325)),IFERROR(BV325/BQ325-1,""),"")</f>
        <v>-0.00301375023544925</v>
      </c>
      <c r="BW328" s="25" t="n">
        <f aca="false">IF(AND(ISNUMBER(BW325),ISNUMBER(BR325)),IFERROR(BW325/BR325-1,""),"")</f>
        <v>0.0235849056603774</v>
      </c>
      <c r="BX328" s="25" t="n">
        <f aca="false">IF(AND(ISNUMBER(BX325),ISNUMBER(BS325)),IFERROR(BX325/BS325-1,""),"")</f>
        <v>0.156307129798903</v>
      </c>
      <c r="BY328" s="31"/>
      <c r="BZ328" s="31"/>
      <c r="CA328" s="26" t="n">
        <f aca="false">IF(AND(ISNUMBER(CA325),ISNUMBER(BV325)),IFERROR(CA325/BV325-1,""),"")</f>
        <v>0.224343129871803</v>
      </c>
      <c r="CB328" s="26" t="n">
        <f aca="false">IF(AND(ISNUMBER(CB325),ISNUMBER(CA325)),IFERROR(CB325/CA325-1,""),"")</f>
        <v>0.00677522678676956</v>
      </c>
      <c r="CC328" s="26" t="n">
        <f aca="false">IF(AND(ISNUMBER(CC325),ISNUMBER(CB325)),IFERROR(CC325/CB325-1,""),"")</f>
        <v>0.098815925860039</v>
      </c>
      <c r="CD328" s="26" t="n">
        <f aca="false">IF(AND(ISNUMBER(CD325),ISNUMBER(CC325)),IFERROR(CD325/CC325-1,""),"")</f>
        <v>0.0881675370774522</v>
      </c>
      <c r="CE328" s="26" t="n">
        <f aca="false">IF(AND(ISNUMBER(CE325),ISNUMBER(CD325)),IFERROR(CE325/CD325-1,""),"")</f>
        <v>0.0865299967720383</v>
      </c>
      <c r="CF328" s="7"/>
    </row>
    <row r="329" customFormat="false" ht="15" hidden="false" customHeight="true" outlineLevel="0" collapsed="false">
      <c r="B329" s="27" t="s">
        <v>500</v>
      </c>
      <c r="C329" s="42" t="n">
        <f aca="false">IF(AND(ISNUMBER(C325),ISNUMBER(C178)),IFERROR(C325/C178,""),"")</f>
        <v>0.149966723360201</v>
      </c>
      <c r="D329" s="42" t="n">
        <f aca="false">IF(AND(ISNUMBER(D325),ISNUMBER(D178)),IFERROR(D325/D178,""),"")</f>
        <v>0.140822971367417</v>
      </c>
      <c r="E329" s="42" t="n">
        <f aca="false">IF(AND(ISNUMBER(E325),ISNUMBER(E178)),IFERROR(E325/E178,""),"")</f>
        <v>0.131230557196298</v>
      </c>
      <c r="F329" s="42" t="n">
        <f aca="false">IF(AND(ISNUMBER(F325),ISNUMBER(F178)),IFERROR(F325/F178,""),"")</f>
        <v>0.144695079973893</v>
      </c>
      <c r="G329" s="42" t="n">
        <f aca="false">IF(AND(ISNUMBER(G325),ISNUMBER(G178)),IFERROR(G325/G178,""),"")</f>
        <v>0.148772908366534</v>
      </c>
      <c r="H329" s="42" t="n">
        <f aca="false">IF(AND(ISNUMBER(H325),ISNUMBER(H178)),IFERROR(H325/H178,""),"")</f>
        <v>0.149000963301327</v>
      </c>
      <c r="I329" s="42" t="n">
        <f aca="false">IF(AND(ISNUMBER(I325),ISNUMBER(I178)),IFERROR(I325/I178,""),"")</f>
        <v>0.166688571991851</v>
      </c>
      <c r="J329" s="42" t="n">
        <f aca="false">IF(AND(ISNUMBER(J325),ISNUMBER(J178)),IFERROR(J325/J178,""),"")</f>
        <v>0.117038270299458</v>
      </c>
      <c r="K329" s="42" t="n">
        <f aca="false">IF(AND(ISNUMBER(K325),ISNUMBER(K178)),IFERROR(K325/K178,""),"")</f>
        <v>0.161055408970976</v>
      </c>
      <c r="L329" s="42" t="n">
        <f aca="false">IF(AND(ISNUMBER(L325),ISNUMBER(L178)),IFERROR(L325/L178,""),"")</f>
        <v>0.178214216872631</v>
      </c>
      <c r="M329" s="42" t="n">
        <f aca="false">IF(AND(ISNUMBER(M325),ISNUMBER(M178)),IFERROR(M325/M178,""),"")</f>
        <v>0.174397630394744</v>
      </c>
      <c r="N329" s="42" t="n">
        <f aca="false">IF(AND(ISNUMBER(N325),ISNUMBER(N178)),IFERROR(N325/N178,""),"")</f>
        <v>0.158688147295742</v>
      </c>
      <c r="O329" s="42" t="n">
        <f aca="false">IF(AND(ISNUMBER(O325),ISNUMBER(O178)),IFERROR(O325/O178,""),"")</f>
        <v>0.0815621850001072</v>
      </c>
      <c r="P329" s="42" t="n">
        <f aca="false">IF(AND(ISNUMBER(P325),ISNUMBER(P178)),IFERROR(P325/P178,""),"")</f>
        <v>0.170037875735353</v>
      </c>
      <c r="Q329" s="42" t="n">
        <f aca="false">IF(AND(ISNUMBER(Q325),ISNUMBER(Q178)),IFERROR(Q325/Q178,""),"")</f>
        <v>0.185528244566718</v>
      </c>
      <c r="R329" s="42" t="n">
        <f aca="false">IF(AND(ISNUMBER(R325),ISNUMBER(R178)),IFERROR(R325/R178,""),"")</f>
        <v>0.2035335553769</v>
      </c>
      <c r="S329" s="42" t="n">
        <f aca="false">IF(AND(ISNUMBER(S325),ISNUMBER(S178)),IFERROR(S325/S178,""),"")</f>
        <v>0.165025582123838</v>
      </c>
      <c r="T329" s="42" t="n">
        <f aca="false">IF(AND(ISNUMBER(T325),ISNUMBER(T178)),IFERROR(T325/T178,""),"")</f>
        <v>0.0861396894370247</v>
      </c>
      <c r="U329" s="42" t="n">
        <f aca="false">IF(AND(ISNUMBER(U325),ISNUMBER(U178)),IFERROR(U325/U178,""),"")</f>
        <v>0.192552719648401</v>
      </c>
      <c r="V329" s="42" t="n">
        <f aca="false">IF(AND(ISNUMBER(V325),ISNUMBER(V178)),IFERROR(V325/V178,""),"")</f>
        <v>0.201896247366323</v>
      </c>
      <c r="W329" s="42" t="n">
        <f aca="false">IF(AND(ISNUMBER(W325),ISNUMBER(W178)),IFERROR(W325/W178,""),"")</f>
        <v>0.260559796437659</v>
      </c>
      <c r="X329" s="42" t="n">
        <f aca="false">IF(AND(ISNUMBER(X325),ISNUMBER(X178)),IFERROR(X325/X178,""),"")</f>
        <v>0.221356963218024</v>
      </c>
      <c r="Y329" s="42" t="n">
        <f aca="false">IF(AND(ISNUMBER(Y325),ISNUMBER(Y178)),IFERROR(Y325/Y178,""),"")</f>
        <v>0.1584567161897</v>
      </c>
      <c r="Z329" s="42" t="n">
        <f aca="false">IF(AND(ISNUMBER(Z325),ISNUMBER(Z178)),IFERROR(Z325/Z178,""),"")</f>
        <v>0.258822697376176</v>
      </c>
      <c r="AA329" s="42" t="n">
        <f aca="false">IF(AND(ISNUMBER(AA325),ISNUMBER(AA178)),IFERROR(AA325/AA178,""),"")</f>
        <v>0.0718036833571308</v>
      </c>
      <c r="AB329" s="42" t="n">
        <f aca="false">IF(AND(ISNUMBER(AB325),ISNUMBER(AB178)),IFERROR(AB325/AB178,""),"")</f>
        <v>0.105032393167986</v>
      </c>
      <c r="AC329" s="42" t="n">
        <f aca="false">IF(AND(ISNUMBER(AC325),ISNUMBER(AC178)),IFERROR(AC325/AC178,""),"")</f>
        <v>0.147958821020708</v>
      </c>
      <c r="AD329" s="42" t="n">
        <f aca="false">IF(AND(ISNUMBER(AD325),ISNUMBER(AD178)),IFERROR(AD325/AD178,""),"")</f>
        <v>0.0954894547875502</v>
      </c>
      <c r="AE329" s="42" t="n">
        <f aca="false">IF(AND(ISNUMBER(AE325),ISNUMBER(AE178)),IFERROR(AE325/AE178,""),"")</f>
        <v>0.197911354515421</v>
      </c>
      <c r="AF329" s="42" t="n">
        <f aca="false">IF(AND(ISNUMBER(AF325),ISNUMBER(AF178)),IFERROR(AF325/AF178,""),"")</f>
        <v>0.206572147873327</v>
      </c>
      <c r="AG329" s="42" t="n">
        <f aca="false">IF(AND(ISNUMBER(AG325),ISNUMBER(AG178)),IFERROR(AG325/AG178,""),"")</f>
        <v>0.130011601156183</v>
      </c>
      <c r="AH329" s="42" t="n">
        <f aca="false">IF(AND(ISNUMBER(AH325),ISNUMBER(AH178)),IFERROR(AH325/AH178,""),"")</f>
        <v>0.157711255503363</v>
      </c>
      <c r="AI329" s="42" t="n">
        <f aca="false">IF(AND(ISNUMBER(AI325),ISNUMBER(AI178)),IFERROR(AI325/AI178,""),"")</f>
        <v>0.147250500489841</v>
      </c>
      <c r="AJ329" s="42" t="n">
        <f aca="false">IF(AND(ISNUMBER(AJ325),ISNUMBER(AJ178)),IFERROR(AJ325/AJ178,""),"")</f>
        <v>0.177313792411162</v>
      </c>
      <c r="AK329" s="42" t="n">
        <f aca="false">IF(AND(ISNUMBER(AK325),ISNUMBER(AK178)),IFERROR(AK325/AK178,""),"")</f>
        <v>0.15868207949558</v>
      </c>
      <c r="AL329" s="42" t="n">
        <f aca="false">IF(AND(ISNUMBER(AL325),ISNUMBER(AL178)),IFERROR(AL325/AL178,""),"")</f>
        <v>0.223238136605495</v>
      </c>
      <c r="AM329" s="42" t="n">
        <f aca="false">IF(AND(ISNUMBER(AM325),ISNUMBER(AM178)),IFERROR(AM325/AM178,""),"")</f>
        <v>0.197823855471156</v>
      </c>
      <c r="AN329" s="42" t="n">
        <f aca="false">IF(AND(ISNUMBER(AN325),ISNUMBER(AN178)),IFERROR(AN325/AN178,""),"")</f>
        <v>0.129946448035638</v>
      </c>
      <c r="AO329" s="42" t="n">
        <f aca="false">IF(AND(ISNUMBER(AO325),ISNUMBER(AO178)),IFERROR(AO325/AO178,""),"")</f>
        <v>0.225447181910226</v>
      </c>
      <c r="AP329" s="42" t="n">
        <f aca="false">IF(AND(ISNUMBER(AP325),ISNUMBER(AP178)),IFERROR(AP325/AP178,""),"")</f>
        <v>0.179465509365007</v>
      </c>
      <c r="AQ329" s="42" t="n">
        <f aca="false">IF(AND(ISNUMBER(AQ325),ISNUMBER(AQ178)),IFERROR(AQ325/AQ178,""),"")</f>
        <v>0.726932873223236</v>
      </c>
      <c r="AR329" s="42" t="n">
        <f aca="false">IF(AND(ISNUMBER(AR325),ISNUMBER(AR178)),IFERROR(AR325/AR178,""),"")</f>
        <v>0.169431246545438</v>
      </c>
      <c r="AS329" s="42" t="n">
        <f aca="false">IF(AND(ISNUMBER(AS325),ISNUMBER(AS178)),IFERROR(AS325/AS178,""),"")</f>
        <v>0.159793695747277</v>
      </c>
      <c r="AT329" s="42" t="n">
        <f aca="false">IF(AND(ISNUMBER(AT325),ISNUMBER(AT178)),IFERROR(AT325/AT178,""),"")</f>
        <v>0.243496809755729</v>
      </c>
      <c r="AU329" s="42" t="n">
        <f aca="false">IF(AND(ISNUMBER(AU325),ISNUMBER(AU178)),IFERROR(AU325/AU178,""),"")</f>
        <v>0.261082404133805</v>
      </c>
      <c r="AV329" s="42" t="n">
        <f aca="false">IF(AND(ISNUMBER(AV325),ISNUMBER(AV178)),IFERROR(AV325/AV178,""),"")</f>
        <v>0.281967455621302</v>
      </c>
      <c r="AW329" s="42" t="n">
        <f aca="false">IF(AND(ISNUMBER(AW325),ISNUMBER(AW178)),IFERROR(AW325/AW178,""),"")</f>
        <v>0.243493089211991</v>
      </c>
      <c r="AX329" s="42" t="n">
        <f aca="false">IF(AND(ISNUMBER(AX325),ISNUMBER(AX178)),IFERROR(AX325/AX178,""),"")</f>
        <v>0.237970253718285</v>
      </c>
      <c r="AY329" s="42" t="n">
        <f aca="false">IF(AND(ISNUMBER(AY325),ISNUMBER(AY178)),IFERROR(AY325/AY178,""),"")</f>
        <v>0.251593239124411</v>
      </c>
      <c r="AZ329" s="42" t="n">
        <f aca="false">IF(AND(ISNUMBER(AZ325),ISNUMBER(AZ178)),IFERROR(AZ325/AZ178,""),"")</f>
        <v>0.237377230598976</v>
      </c>
      <c r="BA329" s="42" t="n">
        <f aca="false">IF(AND(ISNUMBER(BA325),ISNUMBER(BA178)),IFERROR(BA325/BA178,""),"")</f>
        <v>0.234781541482572</v>
      </c>
      <c r="BB329" s="42" t="n">
        <f aca="false">IF(AND(ISNUMBER(BB325),ISNUMBER(BB178)),IFERROR(BB325/BB178,""),"")</f>
        <v>0.240281125861542</v>
      </c>
      <c r="BC329" s="42" t="n">
        <f aca="false">IF(AND(ISNUMBER(BC325),ISNUMBER(BC178)),IFERROR(BC325/BC178,""),"")</f>
        <v>0.22372528616025</v>
      </c>
      <c r="BD329" s="42" t="n">
        <f aca="false">IF(AND(ISNUMBER(BD325),ISNUMBER(BD178)),IFERROR(BD325/BD178,""),"")</f>
        <v>0.220745710230938</v>
      </c>
      <c r="BE329" s="42" t="n">
        <f aca="false">IF(AND(ISNUMBER(BE325),ISNUMBER(BE178)),IFERROR(BE325/BE178,""),"")</f>
        <v>0.226151637739789</v>
      </c>
      <c r="BF329" s="42" t="n">
        <f aca="false">IF(AND(ISNUMBER(BF325),ISNUMBER(BF178)),IFERROR(BF325/BF178,""),"")</f>
        <v>0.310064479955144</v>
      </c>
      <c r="BG329" s="42" t="n">
        <f aca="false">IF(AND(ISNUMBER(BG325),ISNUMBER(BG178)),IFERROR(BG325/BG178,""),"")</f>
        <v>0.276845700559246</v>
      </c>
      <c r="BH329" s="42" t="n">
        <f aca="false">IF(AND(ISNUMBER(BH325),ISNUMBER(BH178)),IFERROR(BH325/BH178,""),"")</f>
        <v>0.281055639603295</v>
      </c>
      <c r="BI329" s="42" t="n">
        <f aca="false">IF(AND(ISNUMBER(BI325),ISNUMBER(BI178)),IFERROR(BI325/BI178,""),"")</f>
        <v>0.268775372124493</v>
      </c>
      <c r="BJ329" s="42" t="n">
        <f aca="false">IF(AND(ISNUMBER(BJ325),ISNUMBER(BJ178)),IFERROR(BJ325/BJ178,""),"")</f>
        <v>0.233108108108108</v>
      </c>
      <c r="BK329" s="42" t="n">
        <f aca="false">IF(AND(ISNUMBER(BK325),ISNUMBER(BK178)),IFERROR(BK325/BK178,""),"")</f>
        <v>0.181576893052303</v>
      </c>
      <c r="BL329" s="42" t="n">
        <f aca="false">IF(AND(ISNUMBER(BL325),ISNUMBER(BL178)),IFERROR(BL325/BL178,""),"")</f>
        <v>0.214273754709083</v>
      </c>
      <c r="BM329" s="42" t="n">
        <f aca="false">IF(AND(ISNUMBER(BM325),ISNUMBER(BM178)),IFERROR(BM325/BM178,""),"")</f>
        <v>0.249827467218772</v>
      </c>
      <c r="BN329" s="42" t="n">
        <f aca="false">IF(AND(ISNUMBER(BN325),ISNUMBER(BN178)),IFERROR(BN325/BN178,""),"")</f>
        <v>0.196935399616925</v>
      </c>
      <c r="BO329" s="42" t="n">
        <f aca="false">IF(AND(ISNUMBER(BO325),ISNUMBER(BO178)),IFERROR(BO325/BO178,""),"")</f>
        <v>0.21145222490514</v>
      </c>
      <c r="BP329" s="42" t="n">
        <f aca="false">IF(AND(ISNUMBER(BP325),ISNUMBER(BP178)),IFERROR(BP325/BP178,""),"")</f>
        <v>0.230039767513001</v>
      </c>
      <c r="BQ329" s="42" t="n">
        <f aca="false">IF(AND(ISNUMBER(BQ325),ISNUMBER(BQ178)),IFERROR(BQ325/BQ178,""),"")</f>
        <v>0.222366492146597</v>
      </c>
      <c r="BR329" s="42" t="n">
        <f aca="false">IF(AND(ISNUMBER(BR325),ISNUMBER(BR178)),IFERROR(BR325/BR178,""),"")</f>
        <v>0.184636822853161</v>
      </c>
      <c r="BS329" s="42" t="n">
        <f aca="false">IF(AND(ISNUMBER(BS325),ISNUMBER(BS178)),IFERROR(BS325/BS178,""),"")</f>
        <v>0.184299191374663</v>
      </c>
      <c r="BT329" s="42" t="n">
        <f aca="false">IF(AND(ISNUMBER(BT325),ISNUMBER(BT178)),IFERROR(BT325/BT178,""),"")</f>
        <v>0.226334049231786</v>
      </c>
      <c r="BU329" s="42" t="n">
        <f aca="false">IF(AND(ISNUMBER(BU325),ISNUMBER(BU178)),IFERROR(BU325/BU178,""),"")</f>
        <v>0.258701374670956</v>
      </c>
      <c r="BV329" s="42" t="n">
        <f aca="false">IF(AND(ISNUMBER(BV325),ISNUMBER(BV178)),IFERROR(BV325/BV178,""),"")</f>
        <v>0.215442852491045</v>
      </c>
      <c r="BW329" s="42" t="n">
        <f aca="false">IF(AND(ISNUMBER(BW325),ISNUMBER(BW178)),IFERROR(BW325/BW178,""),"")</f>
        <v>0.182322298773315</v>
      </c>
      <c r="BX329" s="42" t="n">
        <f aca="false">IF(AND(ISNUMBER(BX325),ISNUMBER(BX178)),IFERROR(BX325/BX178,""),"")</f>
        <v>0.201915403032721</v>
      </c>
      <c r="BY329" s="31"/>
      <c r="BZ329" s="31"/>
      <c r="CA329" s="26" t="n">
        <f aca="false">IF(AND(ISNUMBER(CA325),ISNUMBER(CA178)),IFERROR(CA325/CA178,""),"")</f>
        <v>0.244559805111824</v>
      </c>
      <c r="CB329" s="26" t="n">
        <f aca="false">IF(AND(ISNUMBER(CB325),ISNUMBER(CB178)),IFERROR(CB325/CB178,""),"")</f>
        <v>0.225088248025286</v>
      </c>
      <c r="CC329" s="26" t="n">
        <f aca="false">IF(AND(ISNUMBER(CC325),ISNUMBER(CC178)),IFERROR(CC325/CC178,""),"")</f>
        <v>0.232124512656952</v>
      </c>
      <c r="CD329" s="26" t="n">
        <f aca="false">IF(AND(ISNUMBER(CD325),ISNUMBER(CD178)),IFERROR(CD325/CD178,""),"")</f>
        <v>0.235876246146405</v>
      </c>
      <c r="CE329" s="26" t="n">
        <f aca="false">IF(AND(ISNUMBER(CE325),ISNUMBER(CE178)),IFERROR(CE325/CE178,""),"")</f>
        <v>0.239211056206191</v>
      </c>
      <c r="CF329" s="7"/>
      <c r="CH329" s="32" t="n">
        <f aca="false">IFERROR(AVERAGE(CA329,CB329,CC329,CD329,CE329),"n/m")</f>
        <v>0.235371973629332</v>
      </c>
      <c r="CI329" s="32" t="n">
        <f aca="false">IFERROR(AVERAGE(BB329,BG329,BL329,BQ329,BV329),"n/m")</f>
        <v>0.233841985153503</v>
      </c>
      <c r="CJ329" s="32" t="n">
        <f aca="false">IFERROR(AVERAGE(AC329,AH329,AM329,AR329,AW329,BB329,BG329,BL329,BQ329,BV329),"n/m")</f>
        <v>0.208562819352017</v>
      </c>
      <c r="CK329" s="32" t="n">
        <f aca="false">IFERROR(AVERAGE(C329,D329,E329,F329,G329,H329,I329,N329,S329,X329,AC329,AH329,AM329,AR329,AW329,BB329,BG329,BL329,BQ329,BV329),"n/m")</f>
        <v>0.183093833085765</v>
      </c>
    </row>
    <row r="330" customFormat="false" ht="15" hidden="false" customHeight="true" outlineLevel="0" collapsed="false">
      <c r="B330" s="27" t="s">
        <v>501</v>
      </c>
      <c r="C330" s="42" t="n">
        <f aca="false">IF(AND(ISNUMBER(C325),ISNUMBER(C262)),IFERROR(C325/C262,""),"")</f>
        <v>1.36381557862441</v>
      </c>
      <c r="D330" s="42" t="n">
        <f aca="false">IF(AND(ISNUMBER(D325),ISNUMBER(D262)),IFERROR(D325/D262,""),"")</f>
        <v>1.24331591578017</v>
      </c>
      <c r="E330" s="42" t="n">
        <f aca="false">IF(AND(ISNUMBER(E325),ISNUMBER(E262)),IFERROR(E325/E262,""),"")</f>
        <v>1.17882672691023</v>
      </c>
      <c r="F330" s="42" t="n">
        <f aca="false">IF(AND(ISNUMBER(F325),ISNUMBER(F262)),IFERROR(F325/F262,""),"")</f>
        <v>1.37498056344671</v>
      </c>
      <c r="G330" s="42" t="n">
        <f aca="false">IF(AND(ISNUMBER(G325),ISNUMBER(G262)),IFERROR(G325/G262,""),"")</f>
        <v>1.24216205787353</v>
      </c>
      <c r="H330" s="42" t="n">
        <f aca="false">IF(AND(ISNUMBER(H325),ISNUMBER(H262)),IFERROR(H325/H262,""),"")</f>
        <v>1.21427249457903</v>
      </c>
      <c r="I330" s="42" t="str">
        <f aca="false">IF(AND(ISNUMBER(I325),ISNUMBER(I262)),IFERROR(I325/I262,""),"")</f>
        <v/>
      </c>
      <c r="J330" s="42" t="n">
        <f aca="false">IF(AND(ISNUMBER(J325),ISNUMBER(J262)),IFERROR(J325/J262,""),"")</f>
        <v>0.987756528079477</v>
      </c>
      <c r="K330" s="42" t="n">
        <f aca="false">IF(AND(ISNUMBER(K325),ISNUMBER(K262)),IFERROR(K325/K262,""),"")</f>
        <v>1.23702983138781</v>
      </c>
      <c r="L330" s="42" t="str">
        <f aca="false">IF(AND(ISNUMBER(L325),ISNUMBER(L262)),IFERROR(L325/L262,""),"")</f>
        <v/>
      </c>
      <c r="M330" s="42" t="n">
        <f aca="false">IF(AND(ISNUMBER(M325),ISNUMBER(M262)),IFERROR(M325/M262,""),"")</f>
        <v>1.34421191277623</v>
      </c>
      <c r="N330" s="42" t="n">
        <f aca="false">IF(AND(ISNUMBER(N325),ISNUMBER(N262)),IFERROR(N325/N262,""),"")</f>
        <v>1.25173806665099</v>
      </c>
      <c r="O330" s="42" t="n">
        <f aca="false">IF(AND(ISNUMBER(O325),ISNUMBER(O262)),IFERROR(O325/O262,""),"")</f>
        <v>0.656028980507159</v>
      </c>
      <c r="P330" s="42" t="str">
        <f aca="false">IF(AND(ISNUMBER(P325),ISNUMBER(P262)),IFERROR(P325/P262,""),"")</f>
        <v/>
      </c>
      <c r="Q330" s="42" t="str">
        <f aca="false">IF(AND(ISNUMBER(Q325),ISNUMBER(Q262)),IFERROR(Q325/Q262,""),"")</f>
        <v/>
      </c>
      <c r="R330" s="42" t="n">
        <f aca="false">IF(AND(ISNUMBER(R325),ISNUMBER(R262)),IFERROR(R325/R262,""),"")</f>
        <v>1.32298634336678</v>
      </c>
      <c r="S330" s="42" t="n">
        <f aca="false">IF(AND(ISNUMBER(S325),ISNUMBER(S262)),IFERROR(S325/S262,""),"")</f>
        <v>1.11185096153001</v>
      </c>
      <c r="T330" s="42" t="n">
        <f aca="false">IF(AND(ISNUMBER(T325),ISNUMBER(T262)),IFERROR(T325/T262,""),"")</f>
        <v>0.618332550988736</v>
      </c>
      <c r="U330" s="42" t="n">
        <f aca="false">IF(AND(ISNUMBER(U325),ISNUMBER(U262)),IFERROR(U325/U262,""),"")</f>
        <v>1.2404347171066</v>
      </c>
      <c r="V330" s="42" t="n">
        <f aca="false">IF(AND(ISNUMBER(V325),ISNUMBER(V262)),IFERROR(V325/V262,""),"")</f>
        <v>1.42941519159324</v>
      </c>
      <c r="W330" s="42" t="n">
        <f aca="false">IF(AND(ISNUMBER(W325),ISNUMBER(W262)),IFERROR(W325/W262,""),"")</f>
        <v>1.77564509798049</v>
      </c>
      <c r="X330" s="42" t="n">
        <f aca="false">IF(AND(ISNUMBER(X325),ISNUMBER(X262)),IFERROR(X325/X262,""),"")</f>
        <v>1.51326415103276</v>
      </c>
      <c r="Y330" s="42" t="n">
        <f aca="false">IF(AND(ISNUMBER(Y325),ISNUMBER(Y262)),IFERROR(Y325/Y262,""),"")</f>
        <v>1.12908995494898</v>
      </c>
      <c r="Z330" s="42" t="n">
        <f aca="false">IF(AND(ISNUMBER(Z325),ISNUMBER(Z262)),IFERROR(Z325/Z262,""),"")</f>
        <v>1.74544124894676</v>
      </c>
      <c r="AA330" s="42" t="n">
        <f aca="false">IF(AND(ISNUMBER(AA325),ISNUMBER(AA262)),IFERROR(AA325/AA262,""),"")</f>
        <v>0.483460974417468</v>
      </c>
      <c r="AB330" s="42" t="n">
        <f aca="false">IF(AND(ISNUMBER(AB325),ISNUMBER(AB262)),IFERROR(AB325/AB262,""),"")</f>
        <v>0.655648860886699</v>
      </c>
      <c r="AC330" s="42" t="n">
        <f aca="false">IF(AND(ISNUMBER(AC325),ISNUMBER(AC262)),IFERROR(AC325/AC262,""),"")</f>
        <v>0.990002084715547</v>
      </c>
      <c r="AD330" s="42" t="n">
        <f aca="false">IF(AND(ISNUMBER(AD325),ISNUMBER(AD262)),IFERROR(AD325/AD262,""),"")</f>
        <v>0.675379101927421</v>
      </c>
      <c r="AE330" s="42" t="n">
        <f aca="false">IF(AND(ISNUMBER(AE325),ISNUMBER(AE262)),IFERROR(AE325/AE262,""),"")</f>
        <v>1.2743600359779</v>
      </c>
      <c r="AF330" s="42" t="n">
        <f aca="false">IF(AND(ISNUMBER(AF325),ISNUMBER(AF262)),IFERROR(AF325/AF262,""),"")</f>
        <v>1.32944855031268</v>
      </c>
      <c r="AG330" s="42" t="n">
        <f aca="false">IF(AND(ISNUMBER(AG325),ISNUMBER(AG262)),IFERROR(AG325/AG262,""),"")</f>
        <v>0.784237444135536</v>
      </c>
      <c r="AH330" s="42" t="n">
        <f aca="false">IF(AND(ISNUMBER(AH325),ISNUMBER(AH262)),IFERROR(AH325/AH262,""),"")</f>
        <v>1.01716420615063</v>
      </c>
      <c r="AI330" s="42" t="n">
        <f aca="false">IF(AND(ISNUMBER(AI325),ISNUMBER(AI262)),IFERROR(AI325/AI262,""),"")</f>
        <v>0.982660602615123</v>
      </c>
      <c r="AJ330" s="42" t="n">
        <f aca="false">IF(AND(ISNUMBER(AJ325),ISNUMBER(AJ262)),IFERROR(AJ325/AJ262,""),"")</f>
        <v>1.07996405010975</v>
      </c>
      <c r="AK330" s="42" t="n">
        <f aca="false">IF(AND(ISNUMBER(AK325),ISNUMBER(AK262)),IFERROR(AK325/AK262,""),"")</f>
        <v>0.985435365113975</v>
      </c>
      <c r="AL330" s="42" t="n">
        <f aca="false">IF(AND(ISNUMBER(AL325),ISNUMBER(AL262)),IFERROR(AL325/AL262,""),"")</f>
        <v>1.26781027371579</v>
      </c>
      <c r="AM330" s="42" t="n">
        <f aca="false">IF(AND(ISNUMBER(AM325),ISNUMBER(AM262)),IFERROR(AM325/AM262,""),"")</f>
        <v>1.17254398865213</v>
      </c>
      <c r="AN330" s="42" t="n">
        <f aca="false">IF(AND(ISNUMBER(AN325),ISNUMBER(AN262)),IFERROR(AN325/AN262,""),"")</f>
        <v>0.770966449463318</v>
      </c>
      <c r="AO330" s="42" t="n">
        <f aca="false">IF(AND(ISNUMBER(AO325),ISNUMBER(AO262)),IFERROR(AO325/AO262,""),"")</f>
        <v>1.26290157308129</v>
      </c>
      <c r="AP330" s="42" t="n">
        <f aca="false">IF(AND(ISNUMBER(AP325),ISNUMBER(AP262)),IFERROR(AP325/AP262,""),"")</f>
        <v>1.01635323610906</v>
      </c>
      <c r="AQ330" s="42" t="n">
        <f aca="false">IF(AND(ISNUMBER(AQ325),ISNUMBER(AQ262)),IFERROR(AQ325/AQ262,""),"")</f>
        <v>3.80891084953026</v>
      </c>
      <c r="AR330" s="42" t="n">
        <f aca="false">IF(AND(ISNUMBER(AR325),ISNUMBER(AR262)),IFERROR(AR325/AR262,""),"")</f>
        <v>0.947628586551088</v>
      </c>
      <c r="AS330" s="42" t="n">
        <f aca="false">IF(AND(ISNUMBER(AS325),ISNUMBER(AS262)),IFERROR(AS325/AS262,""),"")</f>
        <v>0.932591381189336</v>
      </c>
      <c r="AT330" s="42" t="n">
        <f aca="false">IF(AND(ISNUMBER(AT325),ISNUMBER(AT262)),IFERROR(AT325/AT262,""),"")</f>
        <v>1.24391975034813</v>
      </c>
      <c r="AU330" s="42" t="n">
        <f aca="false">IF(AND(ISNUMBER(AU325),ISNUMBER(AU262)),IFERROR(AU325/AU262,""),"")</f>
        <v>1.22230515930551</v>
      </c>
      <c r="AV330" s="42" t="n">
        <f aca="false">IF(AND(ISNUMBER(AV325),ISNUMBER(AV262)),IFERROR(AV325/AV262,""),"")</f>
        <v>1.26044390955169</v>
      </c>
      <c r="AW330" s="42" t="n">
        <f aca="false">IF(AND(ISNUMBER(AW325),ISNUMBER(AW262)),IFERROR(AW325/AW262,""),"")</f>
        <v>1.19255944884676</v>
      </c>
      <c r="AX330" s="42" t="n">
        <f aca="false">IF(AND(ISNUMBER(AX325),ISNUMBER(AX262)),IFERROR(AX325/AX262,""),"")</f>
        <v>0.877125093517014</v>
      </c>
      <c r="AY330" s="42" t="n">
        <f aca="false">IF(AND(ISNUMBER(AY325),ISNUMBER(AY262)),IFERROR(AY325/AY262,""),"")</f>
        <v>1.00194209039548</v>
      </c>
      <c r="AZ330" s="42" t="n">
        <f aca="false">IF(AND(ISNUMBER(AZ325),ISNUMBER(AZ262)),IFERROR(AZ325/AZ262,""),"")</f>
        <v>0.980874098293188</v>
      </c>
      <c r="BA330" s="42" t="n">
        <f aca="false">IF(AND(ISNUMBER(BA325),ISNUMBER(BA262)),IFERROR(BA325/BA262,""),"")</f>
        <v>0.962451801943217</v>
      </c>
      <c r="BB330" s="42" t="n">
        <f aca="false">IF(AND(ISNUMBER(BB325),ISNUMBER(BB262)),IFERROR(BB325/BB262,""),"")</f>
        <v>0.953479573953476</v>
      </c>
      <c r="BC330" s="42" t="n">
        <f aca="false">IF(AND(ISNUMBER(BC325),ISNUMBER(BC262)),IFERROR(BC325/BC262,""),"")</f>
        <v>0.844037147448873</v>
      </c>
      <c r="BD330" s="42" t="n">
        <f aca="false">IF(AND(ISNUMBER(BD325),ISNUMBER(BD262)),IFERROR(BD325/BD262,""),"")</f>
        <v>0.838725490196078</v>
      </c>
      <c r="BE330" s="42" t="n">
        <f aca="false">IF(AND(ISNUMBER(BE325),ISNUMBER(BE262)),IFERROR(BE325/BE262,""),"")</f>
        <v>0.915961945031713</v>
      </c>
      <c r="BF330" s="42" t="n">
        <f aca="false">IF(AND(ISNUMBER(BF325),ISNUMBER(BF262)),IFERROR(BF325/BF262,""),"")</f>
        <v>1.16785053202666</v>
      </c>
      <c r="BG330" s="42" t="n">
        <f aca="false">IF(AND(ISNUMBER(BG325),ISNUMBER(BG262)),IFERROR(BG325/BG262,""),"")</f>
        <v>1.03056471061964</v>
      </c>
      <c r="BH330" s="42" t="n">
        <f aca="false">IF(AND(ISNUMBER(BH325),ISNUMBER(BH262)),IFERROR(BH325/BH262,""),"")</f>
        <v>1.10636157907971</v>
      </c>
      <c r="BI330" s="42" t="n">
        <f aca="false">IF(AND(ISNUMBER(BI325),ISNUMBER(BI262)),IFERROR(BI325/BI262,""),"")</f>
        <v>1.23337868917227</v>
      </c>
      <c r="BJ330" s="42" t="n">
        <f aca="false">IF(AND(ISNUMBER(BJ325),ISNUMBER(BJ262)),IFERROR(BJ325/BJ262,""),"")</f>
        <v>1.02186526655796</v>
      </c>
      <c r="BK330" s="42" t="n">
        <f aca="false">IF(AND(ISNUMBER(BK325),ISNUMBER(BK262)),IFERROR(BK325/BK262,""),"")</f>
        <v>0.748203475318292</v>
      </c>
      <c r="BL330" s="42" t="n">
        <f aca="false">IF(AND(ISNUMBER(BL325),ISNUMBER(BL262)),IFERROR(BL325/BL262,""),"")</f>
        <v>0.908201562198944</v>
      </c>
      <c r="BM330" s="42" t="n">
        <f aca="false">IF(AND(ISNUMBER(BM325),ISNUMBER(BM262)),IFERROR(BM325/BM262,""),"")</f>
        <v>1.00481868851731</v>
      </c>
      <c r="BN330" s="42" t="n">
        <f aca="false">IF(AND(ISNUMBER(BN325),ISNUMBER(BN262)),IFERROR(BN325/BN262,""),"")</f>
        <v>0.886658262620181</v>
      </c>
      <c r="BO330" s="42" t="n">
        <f aca="false">IF(AND(ISNUMBER(BO325),ISNUMBER(BO262)),IFERROR(BO325/BO262,""),"")</f>
        <v>0.983948635634029</v>
      </c>
      <c r="BP330" s="42" t="n">
        <f aca="false">IF(AND(ISNUMBER(BP325),ISNUMBER(BP262)),IFERROR(BP325/BP262,""),"")</f>
        <v>0.968624051501947</v>
      </c>
      <c r="BQ330" s="42" t="n">
        <f aca="false">IF(AND(ISNUMBER(BQ325),ISNUMBER(BQ262)),IFERROR(BQ325/BQ262,""),"")</f>
        <v>0.962513289173874</v>
      </c>
      <c r="BR330" s="42" t="n">
        <f aca="false">IF(AND(ISNUMBER(BR325),ISNUMBER(BR262)),IFERROR(BR325/BR262,""),"")</f>
        <v>0.780104681216846</v>
      </c>
      <c r="BS330" s="42" t="n">
        <f aca="false">IF(AND(ISNUMBER(BS325),ISNUMBER(BS262)),IFERROR(BS325/BS262,""),"")</f>
        <v>0.842339331857058</v>
      </c>
      <c r="BT330" s="42" t="n">
        <f aca="false">IF(AND(ISNUMBER(BT325),ISNUMBER(BT262)),IFERROR(BT325/BT262,""),"")</f>
        <v>1.01556708673091</v>
      </c>
      <c r="BU330" s="42" t="n">
        <f aca="false">IF(AND(ISNUMBER(BU325),ISNUMBER(BU262)),IFERROR(BU325/BU262,""),"")</f>
        <v>1.11210999138728</v>
      </c>
      <c r="BV330" s="42" t="n">
        <f aca="false">IF(AND(ISNUMBER(BV325),ISNUMBER(BV262)),IFERROR(BV325/BV262,""),"")</f>
        <v>0.948111282792954</v>
      </c>
      <c r="BW330" s="42" t="n">
        <f aca="false">IF(AND(ISNUMBER(BW325),ISNUMBER(BW262)),IFERROR(BW325/BW262,""),"")</f>
        <v>0.741626794258373</v>
      </c>
      <c r="BX330" s="42" t="n">
        <f aca="false">IF(AND(ISNUMBER(BX325),ISNUMBER(BX262)),IFERROR(BX325/BX262,""),"")</f>
        <v>0.919847472564549</v>
      </c>
      <c r="BY330" s="31"/>
      <c r="BZ330" s="31"/>
      <c r="CA330" s="26" t="n">
        <f aca="false">IF(AND(ISNUMBER(CA325),ISNUMBER(CA262)),IFERROR(CA325/CA262,""),"")</f>
        <v>1.07378495851189</v>
      </c>
      <c r="CB330" s="26" t="n">
        <f aca="false">IF(AND(ISNUMBER(CB325),ISNUMBER(CB262)),IFERROR(CB325/CB262,""),"")</f>
        <v>0.991552587209698</v>
      </c>
      <c r="CC330" s="26" t="n">
        <f aca="false">IF(AND(ISNUMBER(CC325),ISNUMBER(CC262)),IFERROR(CC325/CC262,""),"")</f>
        <v>0.991727915860637</v>
      </c>
      <c r="CD330" s="26" t="n">
        <f aca="false">IF(AND(ISNUMBER(CD325),ISNUMBER(CD262)),IFERROR(CD325/CD262,""),"")</f>
        <v>0.99394971362901</v>
      </c>
      <c r="CE330" s="26" t="n">
        <f aca="false">IF(AND(ISNUMBER(CE325),ISNUMBER(CE262)),IFERROR(CE325/CE262,""),"")</f>
        <v>0.993042465321848</v>
      </c>
      <c r="CF330" s="7"/>
      <c r="CH330" s="32" t="n">
        <f aca="false">IFERROR(AVERAGE(CA330,CB330,CC330,CD330,CE330),"n/m")</f>
        <v>1.00881152810662</v>
      </c>
      <c r="CI330" s="32" t="n">
        <f aca="false">IFERROR(AVERAGE(BB330,BG330,BL330,BQ330,BV330),"n/m")</f>
        <v>0.960574083747777</v>
      </c>
      <c r="CJ330" s="32" t="n">
        <f aca="false">IFERROR(AVERAGE(AC330,AH330,AM330,AR330,AW330,BB330,BG330,BL330,BQ330,BV330),"n/m")</f>
        <v>1.0122768733655</v>
      </c>
      <c r="CK330" s="32" t="n">
        <f aca="false">IFERROR(AVERAGE(C330,D330,E330,F330,G330,H330,I330,N330,S330,X330,AC330,AH330,AM330,AR330,AW330,BB330,BG330,BL330,BQ330,BV330),"n/m")</f>
        <v>1.13773659210962</v>
      </c>
    </row>
    <row r="331" customFormat="false" ht="15" hidden="false" customHeight="true" outlineLevel="0" collapsed="false">
      <c r="B331" s="27" t="s">
        <v>502</v>
      </c>
      <c r="C331" s="77" t="n">
        <f aca="false">IF(AND(ISNUMBER(C325),ISNUMBER(C209)),IFERROR(C325/C209,""),"")</f>
        <v>2.18231458166155</v>
      </c>
      <c r="D331" s="77" t="n">
        <f aca="false">IF(AND(ISNUMBER(D325),ISNUMBER(D209)),IFERROR(D325/D209,""),"")</f>
        <v>2.35643888920928</v>
      </c>
      <c r="E331" s="77" t="n">
        <f aca="false">IF(AND(ISNUMBER(E325),ISNUMBER(E209)),IFERROR(E325/E209,""),"")</f>
        <v>2.48062454036318</v>
      </c>
      <c r="F331" s="77" t="n">
        <f aca="false">IF(AND(ISNUMBER(F325),ISNUMBER(F209)),IFERROR(F325/F209,""),"")</f>
        <v>2.41018401034127</v>
      </c>
      <c r="G331" s="77" t="n">
        <f aca="false">IF(AND(ISNUMBER(G325),ISNUMBER(G209)),IFERROR(G325/G209,""),"")</f>
        <v>2.73257473198932</v>
      </c>
      <c r="H331" s="77" t="n">
        <f aca="false">IF(AND(ISNUMBER(H325),ISNUMBER(H209)),IFERROR(H325/H209,""),"")</f>
        <v>3.41918250519473</v>
      </c>
      <c r="I331" s="77" t="n">
        <f aca="false">IF(AND(ISNUMBER(I325),ISNUMBER(I209)),IFERROR(I325/I209,""),"")</f>
        <v>4.26840555321834</v>
      </c>
      <c r="J331" s="77" t="n">
        <f aca="false">IF(AND(ISNUMBER(J325),ISNUMBER(J209)),IFERROR(J325/J209,""),"")</f>
        <v>0.7343308865048</v>
      </c>
      <c r="K331" s="77" t="n">
        <f aca="false">IF(AND(ISNUMBER(K325),ISNUMBER(K209)),IFERROR(K325/K209,""),"")</f>
        <v>1.07495069033531</v>
      </c>
      <c r="L331" s="77" t="n">
        <f aca="false">IF(AND(ISNUMBER(L325),ISNUMBER(L209)),IFERROR(L325/L209,""),"")</f>
        <v>1.16884393875544</v>
      </c>
      <c r="M331" s="77" t="n">
        <f aca="false">IF(AND(ISNUMBER(M325),ISNUMBER(M209)),IFERROR(M325/M209,""),"")</f>
        <v>1.28677500700476</v>
      </c>
      <c r="N331" s="77" t="n">
        <f aca="false">IF(AND(ISNUMBER(N325),ISNUMBER(N209)),IFERROR(N325/N209,""),"")</f>
        <v>4.26694796061885</v>
      </c>
      <c r="O331" s="77" t="n">
        <f aca="false">IF(AND(ISNUMBER(O325),ISNUMBER(O209)),IFERROR(O325/O209,""),"")</f>
        <v>0.532036933407946</v>
      </c>
      <c r="P331" s="77" t="n">
        <f aca="false">IF(AND(ISNUMBER(P325),ISNUMBER(P209)),IFERROR(P325/P209,""),"")</f>
        <v>1.1794298490777</v>
      </c>
      <c r="Q331" s="77" t="n">
        <f aca="false">IF(AND(ISNUMBER(Q325),ISNUMBER(Q209)),IFERROR(Q325/Q209,""),"")</f>
        <v>1.21935213627478</v>
      </c>
      <c r="R331" s="77" t="n">
        <f aca="false">IF(AND(ISNUMBER(R325),ISNUMBER(R209)),IFERROR(R325/R209,""),"")</f>
        <v>1.48174470457079</v>
      </c>
      <c r="S331" s="77" t="n">
        <f aca="false">IF(AND(ISNUMBER(S325),ISNUMBER(S209)),IFERROR(S325/S209,""),"")</f>
        <v>4.41404831727412</v>
      </c>
      <c r="T331" s="77" t="n">
        <f aca="false">IF(AND(ISNUMBER(T325),ISNUMBER(T209)),IFERROR(T325/T209,""),"")</f>
        <v>0.56268262139975</v>
      </c>
      <c r="U331" s="77" t="n">
        <f aca="false">IF(AND(ISNUMBER(U325),ISNUMBER(U209)),IFERROR(U325/U209,""),"")</f>
        <v>1.32726514730406</v>
      </c>
      <c r="V331" s="77" t="n">
        <f aca="false">IF(AND(ISNUMBER(V325),ISNUMBER(V209)),IFERROR(V325/V209,""),"")</f>
        <v>1.0148847860312</v>
      </c>
      <c r="W331" s="77" t="n">
        <f aca="false">IF(AND(ISNUMBER(W325),ISNUMBER(W209)),IFERROR(W325/W209,""),"")</f>
        <v>1.61583703916224</v>
      </c>
      <c r="X331" s="77" t="n">
        <f aca="false">IF(AND(ISNUMBER(X325),ISNUMBER(X209)),IFERROR(X325/X209,""),"")</f>
        <v>4.50952717007763</v>
      </c>
      <c r="Y331" s="77" t="n">
        <f aca="false">IF(AND(ISNUMBER(Y325),ISNUMBER(Y209)),IFERROR(Y325/Y209,""),"")</f>
        <v>0.891981064409697</v>
      </c>
      <c r="Z331" s="77" t="n">
        <f aca="false">IF(AND(ISNUMBER(Z325),ISNUMBER(Z209)),IFERROR(Z325/Z209,""),"")</f>
        <v>1.57089712405208</v>
      </c>
      <c r="AA331" s="77" t="n">
        <f aca="false">IF(AND(ISNUMBER(AA325),ISNUMBER(AA209)),IFERROR(AA325/AA209,""),"")</f>
        <v>0.423071438756595</v>
      </c>
      <c r="AB331" s="77" t="n">
        <f aca="false">IF(AND(ISNUMBER(AB325),ISNUMBER(AB209)),IFERROR(AB325/AB209,""),"")</f>
        <v>0.685995156005129</v>
      </c>
      <c r="AC331" s="77" t="n">
        <f aca="false">IF(AND(ISNUMBER(AC325),ISNUMBER(AC209)),IFERROR(AC325/AC209,""),"")</f>
        <v>3.56944841383252</v>
      </c>
      <c r="AD331" s="77" t="n">
        <f aca="false">IF(AND(ISNUMBER(AD325),ISNUMBER(AD209)),IFERROR(AD325/AD209,""),"")</f>
        <v>0.569080345755987</v>
      </c>
      <c r="AE331" s="77" t="n">
        <f aca="false">IF(AND(ISNUMBER(AE325),ISNUMBER(AE209)),IFERROR(AE325/AE209,""),"")</f>
        <v>1.26538134391834</v>
      </c>
      <c r="AF331" s="77" t="n">
        <f aca="false">IF(AND(ISNUMBER(AF325),ISNUMBER(AF209)),IFERROR(AF325/AF209,""),"")</f>
        <v>1.32568027210884</v>
      </c>
      <c r="AG331" s="77" t="n">
        <f aca="false">IF(AND(ISNUMBER(AG325),ISNUMBER(AG209)),IFERROR(AG325/AG209,""),"")</f>
        <v>0.934426229508197</v>
      </c>
      <c r="AH331" s="77" t="n">
        <f aca="false">IF(AND(ISNUMBER(AH325),ISNUMBER(AH209)),IFERROR(AH325/AH209,""),"")</f>
        <v>4.09403767171789</v>
      </c>
      <c r="AI331" s="77" t="n">
        <f aca="false">IF(AND(ISNUMBER(AI325),ISNUMBER(AI209)),IFERROR(AI325/AI209,""),"")</f>
        <v>0.974489076814658</v>
      </c>
      <c r="AJ331" s="77" t="n">
        <f aca="false">IF(AND(ISNUMBER(AJ325),ISNUMBER(AJ209)),IFERROR(AJ325/AJ209,""),"")</f>
        <v>1.24482029598309</v>
      </c>
      <c r="AK331" s="77" t="n">
        <f aca="false">IF(AND(ISNUMBER(AK325),ISNUMBER(AK209)),IFERROR(AK325/AK209,""),"")</f>
        <v>1.08373205741627</v>
      </c>
      <c r="AL331" s="77" t="n">
        <f aca="false">IF(AND(ISNUMBER(AL325),ISNUMBER(AL209)),IFERROR(AL325/AL209,""),"")</f>
        <v>1.445303712036</v>
      </c>
      <c r="AM331" s="77" t="n">
        <f aca="false">IF(AND(ISNUMBER(AM325),ISNUMBER(AM209)),IFERROR(AM325/AM209,""),"")</f>
        <v>4.74880315404112</v>
      </c>
      <c r="AN331" s="77" t="n">
        <f aca="false">IF(AND(ISNUMBER(AN325),ISNUMBER(AN209)),IFERROR(AN325/AN209,""),"")</f>
        <v>0.763256784968685</v>
      </c>
      <c r="AO331" s="77" t="n">
        <f aca="false">IF(AND(ISNUMBER(AO325),ISNUMBER(AO209)),IFERROR(AO325/AO209,""),"")</f>
        <v>1.37656271465861</v>
      </c>
      <c r="AP331" s="77" t="n">
        <f aca="false">IF(AND(ISNUMBER(AP325),ISNUMBER(AP209)),IFERROR(AP325/AP209,""),"")</f>
        <v>1.07733443027561</v>
      </c>
      <c r="AQ331" s="77" t="n">
        <f aca="false">IF(AND(ISNUMBER(AQ325),ISNUMBER(AQ209)),IFERROR(AQ325/AQ209,""),"")</f>
        <v>4.87264215888751</v>
      </c>
      <c r="AR331" s="77" t="n">
        <f aca="false">IF(AND(ISNUMBER(AR325),ISNUMBER(AR209)),IFERROR(AR325/AR209,""),"")</f>
        <v>4.1829083390765</v>
      </c>
      <c r="AS331" s="77" t="n">
        <f aca="false">IF(AND(ISNUMBER(AS325),ISNUMBER(AS209)),IFERROR(AS325/AS209,""),"")</f>
        <v>0.980364458256816</v>
      </c>
      <c r="AT331" s="77" t="n">
        <f aca="false">IF(AND(ISNUMBER(AT325),ISNUMBER(AT209)),IFERROR(AT325/AT209,""),"")</f>
        <v>1.79601782233361</v>
      </c>
      <c r="AU331" s="77" t="n">
        <f aca="false">IF(AND(ISNUMBER(AU325),ISNUMBER(AU209)),IFERROR(AU325/AU209,""),"")</f>
        <v>2.12066823139583</v>
      </c>
      <c r="AV331" s="77" t="n">
        <f aca="false">IF(AND(ISNUMBER(AV325),ISNUMBER(AV209)),IFERROR(AV325/AV209,""),"")</f>
        <v>2.63091787439614</v>
      </c>
      <c r="AW331" s="77" t="n">
        <f aca="false">IF(AND(ISNUMBER(AW325),ISNUMBER(AW209)),IFERROR(AW325/AW209,""),"")</f>
        <v>7.54974259078892</v>
      </c>
      <c r="AX331" s="77" t="n">
        <f aca="false">IF(AND(ISNUMBER(AX325),ISNUMBER(AX209)),IFERROR(AX325/AX209,""),"")</f>
        <v>2.22010610801252</v>
      </c>
      <c r="AY331" s="77" t="n">
        <f aca="false">IF(AND(ISNUMBER(AY325),ISNUMBER(AY209)),IFERROR(AY325/AY209,""),"")</f>
        <v>2.46739130434783</v>
      </c>
      <c r="AZ331" s="77" t="n">
        <f aca="false">IF(AND(ISNUMBER(AZ325),ISNUMBER(AZ209)),IFERROR(AZ325/AZ209,""),"")</f>
        <v>2.36038514442916</v>
      </c>
      <c r="BA331" s="77" t="n">
        <f aca="false">IF(AND(ISNUMBER(BA325),ISNUMBER(BA209)),IFERROR(BA325/BA209,""),"")</f>
        <v>2.59073672806067</v>
      </c>
      <c r="BB331" s="77" t="n">
        <f aca="false">IF(AND(ISNUMBER(BB325),ISNUMBER(BB209)),IFERROR(BB325/BB209,""),"")</f>
        <v>9.60504885993485</v>
      </c>
      <c r="BC331" s="77" t="n">
        <f aca="false">IF(AND(ISNUMBER(BC325),ISNUMBER(BC209)),IFERROR(BC325/BC209,""),"")</f>
        <v>2.33157109936288</v>
      </c>
      <c r="BD331" s="77" t="n">
        <f aca="false">IF(AND(ISNUMBER(BD325),ISNUMBER(BD209)),IFERROR(BD325/BD209,""),"")</f>
        <v>2.32472826086957</v>
      </c>
      <c r="BE331" s="77" t="n">
        <f aca="false">IF(AND(ISNUMBER(BE325),ISNUMBER(BE209)),IFERROR(BE325/BE209,""),"")</f>
        <v>2.35014917276919</v>
      </c>
      <c r="BF331" s="77" t="n">
        <f aca="false">IF(AND(ISNUMBER(BF325),ISNUMBER(BF209)),IFERROR(BF325/BF209,""),"")</f>
        <v>2.96634035134773</v>
      </c>
      <c r="BG331" s="77" t="n">
        <f aca="false">IF(AND(ISNUMBER(BG325),ISNUMBER(BG209)),IFERROR(BG325/BG209,""),"")</f>
        <v>10.0067833401167</v>
      </c>
      <c r="BH331" s="77" t="n">
        <f aca="false">IF(AND(ISNUMBER(BH325),ISNUMBER(BH209)),IFERROR(BH325/BH209,""),"")</f>
        <v>2.2680412371134</v>
      </c>
      <c r="BI331" s="77" t="n">
        <f aca="false">IF(AND(ISNUMBER(BI325),ISNUMBER(BI209)),IFERROR(BI325/BI209,""),"")</f>
        <v>2.13374513226803</v>
      </c>
      <c r="BJ331" s="77" t="n">
        <f aca="false">IF(AND(ISNUMBER(BJ325),ISNUMBER(BJ209)),IFERROR(BJ325/BJ209,""),"")</f>
        <v>1.75760825847969</v>
      </c>
      <c r="BK331" s="77" t="n">
        <f aca="false">IF(AND(ISNUMBER(BK325),ISNUMBER(BK209)),IFERROR(BK325/BK209,""),"")</f>
        <v>1.55877228253585</v>
      </c>
      <c r="BL331" s="77" t="n">
        <f aca="false">IF(AND(ISNUMBER(BL325),ISNUMBER(BL209)),IFERROR(BL325/BL209,""),"")</f>
        <v>6.88870946036873</v>
      </c>
      <c r="BM331" s="77" t="n">
        <f aca="false">IF(AND(ISNUMBER(BM325),ISNUMBER(BM209)),IFERROR(BM325/BM209,""),"")</f>
        <v>1.93427731765963</v>
      </c>
      <c r="BN331" s="77" t="n">
        <f aca="false">IF(AND(ISNUMBER(BN325),ISNUMBER(BN209)),IFERROR(BN325/BN209,""),"")</f>
        <v>1.5234375</v>
      </c>
      <c r="BO331" s="77" t="n">
        <f aca="false">IF(AND(ISNUMBER(BO325),ISNUMBER(BO209)),IFERROR(BO325/BO209,""),"")</f>
        <v>1.68083356183164</v>
      </c>
      <c r="BP331" s="77" t="n">
        <f aca="false">IF(AND(ISNUMBER(BP325),ISNUMBER(BP209)),IFERROR(BP325/BP209,""),"")</f>
        <v>2.06536665751167</v>
      </c>
      <c r="BQ331" s="77" t="n">
        <f aca="false">IF(AND(ISNUMBER(BQ325),ISNUMBER(BQ209)),IFERROR(BQ325/BQ209,""),"")</f>
        <v>7.20157352143245</v>
      </c>
      <c r="BR331" s="77" t="n">
        <f aca="false">IF(AND(ISNUMBER(BR325),ISNUMBER(BR209)),IFERROR(BR325/BR209,""),"")</f>
        <v>1.47058823529412</v>
      </c>
      <c r="BS331" s="77" t="n">
        <f aca="false">IF(AND(ISNUMBER(BS325),ISNUMBER(BS209)),IFERROR(BS325/BS209,""),"")</f>
        <v>1.52134612710332</v>
      </c>
      <c r="BT331" s="77" t="n">
        <f aca="false">IF(AND(ISNUMBER(BT325),ISNUMBER(BT209)),IFERROR(BT325/BT209,""),"")</f>
        <v>1.91957405072159</v>
      </c>
      <c r="BU331" s="77" t="n">
        <f aca="false">IF(AND(ISNUMBER(BU325),ISNUMBER(BU209)),IFERROR(BU325/BU209,""),"")</f>
        <v>2.48804500703235</v>
      </c>
      <c r="BV331" s="77" t="n">
        <f aca="false">IF(AND(ISNUMBER(BV325),ISNUMBER(BV209)),IFERROR(BV325/BV209,""),"")</f>
        <v>7.39142577852255</v>
      </c>
      <c r="BW331" s="77" t="n">
        <f aca="false">IF(AND(ISNUMBER(BW325),ISNUMBER(BW209)),IFERROR(BW325/BW209,""),"")</f>
        <v>1.5255905511811</v>
      </c>
      <c r="BX331" s="77" t="n">
        <f aca="false">IF(AND(ISNUMBER(BX325),ISNUMBER(BX209)),IFERROR(BX325/BX209,""),"")</f>
        <v>1.78773318258903</v>
      </c>
      <c r="BY331" s="45"/>
      <c r="BZ331" s="45"/>
      <c r="CA331" s="78" t="n">
        <f aca="false">IF(AND(ISNUMBER(CA325),ISNUMBER(CA209)),IFERROR(CA325/CA209,""),"")</f>
        <v>9.15401677131389</v>
      </c>
      <c r="CB331" s="78" t="n">
        <f aca="false">IF(AND(ISNUMBER(CB325),ISNUMBER(CB209)),IFERROR(CB325/CB209,""),"")</f>
        <v>9.30138554293848</v>
      </c>
      <c r="CC331" s="78" t="n">
        <f aca="false">IF(AND(ISNUMBER(CC325),ISNUMBER(CC209)),IFERROR(CC325/CC209,""),"")</f>
        <v>10.3956647854008</v>
      </c>
      <c r="CD331" s="78" t="n">
        <f aca="false">IF(AND(ISNUMBER(CD325),ISNUMBER(CD209)),IFERROR(CD325/CD209,""),"")</f>
        <v>11.6294291687146</v>
      </c>
      <c r="CE331" s="78" t="n">
        <f aca="false">IF(AND(ISNUMBER(CE325),ISNUMBER(CE209)),IFERROR(CE325/CE209,""),"")</f>
        <v>13.0069286047347</v>
      </c>
      <c r="CF331" s="37"/>
      <c r="CH331" s="22" t="n">
        <f aca="false">IFERROR((CE331/BV331)^(1/5)-1,"n/m")</f>
        <v>0.119668105534058</v>
      </c>
      <c r="CI331" s="22" t="n">
        <f aca="false">IFERROR((BV331/AW331)^(1/5)-1,"n/m")</f>
        <v>-0.00422959374624765</v>
      </c>
      <c r="CJ331" s="22" t="n">
        <f aca="false">IFERROR((BV331/X331)^(1/10)-1,"n/m")</f>
        <v>0.0506540071435353</v>
      </c>
      <c r="CK331" s="22" t="n">
        <f aca="false">IFERROR((BV331/C331)^(1/19)-1,"n/m")</f>
        <v>0.0663131926135077</v>
      </c>
    </row>
    <row r="332" customFormat="false" ht="15" hidden="false" customHeight="true" outlineLevel="0" collapsed="false">
      <c r="B332" s="27" t="s">
        <v>503</v>
      </c>
      <c r="CF332" s="7"/>
    </row>
    <row r="333" customFormat="false" ht="15" hidden="false" customHeight="true" outlineLevel="0" collapsed="false">
      <c r="B333" s="27" t="s">
        <v>504</v>
      </c>
      <c r="C333" s="42" t="n">
        <f aca="false">IF(ISNUMBER(C303),IFERROR(-C303/C178,""),"")</f>
        <v>0.0145466453977879</v>
      </c>
      <c r="D333" s="42" t="n">
        <f aca="false">IF(ISNUMBER(D303),IFERROR(-D303/D178,""),"")</f>
        <v>0.0147017477031353</v>
      </c>
      <c r="E333" s="42" t="n">
        <f aca="false">IF(ISNUMBER(E303),IFERROR(-E303/E178,""),"")</f>
        <v>0.0152628470171294</v>
      </c>
      <c r="F333" s="42" t="n">
        <f aca="false">IF(ISNUMBER(F303),IFERROR(-F303/F178,""),"")</f>
        <v>0.0168530787043246</v>
      </c>
      <c r="G333" s="42" t="n">
        <f aca="false">IF(ISNUMBER(G303),IFERROR(-G303/G178,""),"")</f>
        <v>0.0173147410358566</v>
      </c>
      <c r="H333" s="42" t="n">
        <f aca="false">IF(ISNUMBER(H303),IFERROR(-H303/H178,""),"")</f>
        <v>0.0207886641185793</v>
      </c>
      <c r="I333" s="42" t="n">
        <f aca="false">IF(ISNUMBER(I303),IFERROR(-I303/I178,""),"")</f>
        <v>0.0250980263302009</v>
      </c>
      <c r="J333" s="42" t="n">
        <f aca="false">IF(ISNUMBER(J303),IFERROR(-J303/J178,""),"")</f>
        <v>0.0261659954552613</v>
      </c>
      <c r="K333" s="42" t="n">
        <f aca="false">IF(ISNUMBER(K303),IFERROR(-K303/K178,""),"")</f>
        <v>0.0287493403693931</v>
      </c>
      <c r="L333" s="42" t="n">
        <f aca="false">IF(ISNUMBER(L303),IFERROR(-L303/L178,""),"")</f>
        <v>0.0298344434687627</v>
      </c>
      <c r="M333" s="42" t="n">
        <f aca="false">IF(ISNUMBER(M303),IFERROR(-M303/M178,""),"")</f>
        <v>0.0303225928949817</v>
      </c>
      <c r="N333" s="42" t="n">
        <f aca="false">IF(ISNUMBER(N303),IFERROR(-N303/N178,""),"")</f>
        <v>0.0288471597447432</v>
      </c>
      <c r="O333" s="42" t="n">
        <f aca="false">IF(ISNUMBER(O303),IFERROR(-O303/O178,""),"")</f>
        <v>0.0280738627833659</v>
      </c>
      <c r="P333" s="42" t="n">
        <f aca="false">IF(ISNUMBER(P303),IFERROR(-P303/P178,""),"")</f>
        <v>0.0297566282536868</v>
      </c>
      <c r="Q333" s="42" t="n">
        <f aca="false">IF(ISNUMBER(Q303),IFERROR(-Q303/Q178,""),"")</f>
        <v>0.0303371502623696</v>
      </c>
      <c r="R333" s="42" t="n">
        <f aca="false">IF(ISNUMBER(R303),IFERROR(-R303/R178,""),"")</f>
        <v>0.0337085103939359</v>
      </c>
      <c r="S333" s="42" t="n">
        <f aca="false">IF(ISNUMBER(S303),IFERROR(-S303/S178,""),"")</f>
        <v>0.0311945285580036</v>
      </c>
      <c r="T333" s="42" t="n">
        <f aca="false">IF(ISNUMBER(T303),IFERROR(-T303/T178,""),"")</f>
        <v>0.0253903337806463</v>
      </c>
      <c r="U333" s="42" t="n">
        <f aca="false">IF(ISNUMBER(U303),IFERROR(-U303/U178,""),"")</f>
        <v>0.0280029031087456</v>
      </c>
      <c r="V333" s="42" t="n">
        <f aca="false">IF(ISNUMBER(V303),IFERROR(-V303/V178,""),"")</f>
        <v>0.0514207619156085</v>
      </c>
      <c r="W333" s="42" t="n">
        <f aca="false">IF(ISNUMBER(W303),IFERROR(-W303/W178,""),"")</f>
        <v>0.0449456396021282</v>
      </c>
      <c r="X333" s="42" t="n">
        <f aca="false">IF(ISNUMBER(X303),IFERROR(-X303/X178,""),"")</f>
        <v>0.0438556988159654</v>
      </c>
      <c r="Y333" s="42" t="n">
        <f aca="false">IF(ISNUMBER(Y303),IFERROR(-Y303/Y178,""),"")</f>
        <v>0.0384801610560383</v>
      </c>
      <c r="Z333" s="42" t="n">
        <f aca="false">IF(ISNUMBER(Z303),IFERROR(-Z303/Z178,""),"")</f>
        <v>0.043353214361489</v>
      </c>
      <c r="AA333" s="42" t="n">
        <f aca="false">IF(ISNUMBER(AA303),IFERROR(-AA303/AA178,""),"")</f>
        <v>0.0211030710776603</v>
      </c>
      <c r="AB333" s="42" t="n">
        <f aca="false">IF(ISNUMBER(AB303),IFERROR(-AB303/AB178,""),"")</f>
        <v>0.0365377484021552</v>
      </c>
      <c r="AC333" s="42" t="n">
        <f aca="false">IF(ISNUMBER(AC303),IFERROR(-AC303/AC178,""),"")</f>
        <v>0.0349239444628726</v>
      </c>
      <c r="AD333" s="42" t="n">
        <f aca="false">IF(ISNUMBER(AD303),IFERROR(-AD303/AD178,""),"")</f>
        <v>0.0377107259195853</v>
      </c>
      <c r="AE333" s="42" t="n">
        <f aca="false">IF(ISNUMBER(AE303),IFERROR(-AE303/AE178,""),"")</f>
        <v>0.0327930644553336</v>
      </c>
      <c r="AF333" s="42" t="n">
        <f aca="false">IF(ISNUMBER(AF303),IFERROR(-AF303/AF178,""),"")</f>
        <v>0.030762775495782</v>
      </c>
      <c r="AG333" s="42" t="n">
        <f aca="false">IF(ISNUMBER(AG303),IFERROR(-AG303/AG178,""),"")</f>
        <v>0.0341742532984643</v>
      </c>
      <c r="AH333" s="42" t="n">
        <f aca="false">IF(ISNUMBER(AH303),IFERROR(-AH303/AH178,""),"")</f>
        <v>0.0338030627888072</v>
      </c>
      <c r="AI333" s="42" t="n">
        <f aca="false">IF(ISNUMBER(AI303),IFERROR(-AI303/AI178,""),"")</f>
        <v>0.0293691698257869</v>
      </c>
      <c r="AJ333" s="42" t="n">
        <f aca="false">IF(ISNUMBER(AJ303),IFERROR(-AJ303/AJ178,""),"")</f>
        <v>0.0308773338687011</v>
      </c>
      <c r="AK333" s="42" t="n">
        <f aca="false">IF(ISNUMBER(AK303),IFERROR(-AK303/AK178,""),"")</f>
        <v>0.030825657826956</v>
      </c>
      <c r="AL333" s="42" t="n">
        <f aca="false">IF(ISNUMBER(AL303),IFERROR(-AL303/AL178,""),"")</f>
        <v>0.0465631447497014</v>
      </c>
      <c r="AM333" s="42" t="n">
        <f aca="false">IF(ISNUMBER(AM303),IFERROR(-AM303/AM178,""),"")</f>
        <v>0.0384608616593835</v>
      </c>
      <c r="AN333" s="42" t="n">
        <f aca="false">IF(ISNUMBER(AN303),IFERROR(-AN303/AN178,""),"")</f>
        <v>0.036893986067011</v>
      </c>
      <c r="AO333" s="42" t="n">
        <f aca="false">IF(ISNUMBER(AO303),IFERROR(-AO303/AO178,""),"")</f>
        <v>0.0406794915063562</v>
      </c>
      <c r="AP333" s="42" t="n">
        <f aca="false">IF(ISNUMBER(AP303),IFERROR(-AP303/AP178,""),"")</f>
        <v>0.0415486523526725</v>
      </c>
      <c r="AQ333" s="42" t="n">
        <f aca="false">IF(ISNUMBER(AQ303),IFERROR(-AQ303/AQ178,""),"")</f>
        <v>0.0240530769862789</v>
      </c>
      <c r="AR333" s="42" t="n">
        <f aca="false">IF(ISNUMBER(AR303),IFERROR(-AR303/AR178,""),"")</f>
        <v>0.0354807912411856</v>
      </c>
      <c r="AS333" s="42" t="n">
        <f aca="false">IF(ISNUMBER(AS303),IFERROR(-AS303/AS178,""),"")</f>
        <v>0.0305081623724989</v>
      </c>
      <c r="AT333" s="42" t="n">
        <f aca="false">IF(ISNUMBER(AT303),IFERROR(-AT303/AT178,""),"")</f>
        <v>0.0293351455430966</v>
      </c>
      <c r="AU333" s="42" t="n">
        <f aca="false">IF(ISNUMBER(AU303),IFERROR(-AU303/AU178,""),"")</f>
        <v>0.0318364155561599</v>
      </c>
      <c r="AV333" s="42" t="n">
        <f aca="false">IF(ISNUMBER(AV303),IFERROR(-AV303/AV178,""),"")</f>
        <v>0.0467159763313609</v>
      </c>
      <c r="AW333" s="42" t="n">
        <f aca="false">IF(ISNUMBER(AW303),IFERROR(-AW303/AW178,""),"")</f>
        <v>0.0354963202297613</v>
      </c>
      <c r="AX333" s="42" t="n">
        <f aca="false">IF(ISNUMBER(AX303),IFERROR(-AX303/AX178,""),"")</f>
        <v>0.036599591717702</v>
      </c>
      <c r="AY333" s="42" t="n">
        <f aca="false">IF(ISNUMBER(AY303),IFERROR(-AY303/AY178,""),"")</f>
        <v>0.042255472430036</v>
      </c>
      <c r="AZ333" s="42" t="n">
        <f aca="false">IF(ISNUMBER(AZ303),IFERROR(-AZ303/AZ178,""),"")</f>
        <v>0.0439894867893208</v>
      </c>
      <c r="BA333" s="42" t="n">
        <f aca="false">IF(ISNUMBER(BA303),IFERROR(-BA303/BA178,""),"")</f>
        <v>0.0515463917525773</v>
      </c>
      <c r="BB333" s="42" t="n">
        <f aca="false">IF(ISNUMBER(BB303),IFERROR(-BB303/BB178,""),"")</f>
        <v>0.0439344039656402</v>
      </c>
      <c r="BC333" s="42" t="n">
        <f aca="false">IF(ISNUMBER(BC303),IFERROR(-BC303/BC178,""),"")</f>
        <v>0.0325182101977107</v>
      </c>
      <c r="BD333" s="42" t="n">
        <f aca="false">IF(ISNUMBER(BD303),IFERROR(-BD303/BD178,""),"")</f>
        <v>0.0381886208231196</v>
      </c>
      <c r="BE333" s="42" t="n">
        <f aca="false">IF(ISNUMBER(BE303),IFERROR(-BE303/BE178,""),"")</f>
        <v>0.0361477228239593</v>
      </c>
      <c r="BF333" s="42" t="n">
        <f aca="false">IF(ISNUMBER(BF303),IFERROR(-BF303/BF178,""),"")</f>
        <v>0.0461171853097841</v>
      </c>
      <c r="BG333" s="42" t="n">
        <f aca="false">IF(ISNUMBER(BG303),IFERROR(-BG303/BG178,""),"")</f>
        <v>0.0432383740569756</v>
      </c>
      <c r="BH333" s="42" t="n">
        <f aca="false">IF(ISNUMBER(BH303),IFERROR(-BH303/BH178,""),"")</f>
        <v>0.0462262565136998</v>
      </c>
      <c r="BI333" s="42" t="n">
        <f aca="false">IF(ISNUMBER(BI303),IFERROR(-BI303/BI178,""),"")</f>
        <v>0.0576792963464141</v>
      </c>
      <c r="BJ333" s="42" t="n">
        <f aca="false">IF(ISNUMBER(BJ303),IFERROR(-BJ303/BJ178,""),"")</f>
        <v>0.064900426742532</v>
      </c>
      <c r="BK333" s="42" t="n">
        <f aca="false">IF(ISNUMBER(BK303),IFERROR(-BK303/BK178,""),"")</f>
        <v>0.0627634660421546</v>
      </c>
      <c r="BL333" s="42" t="n">
        <f aca="false">IF(ISNUMBER(BL303),IFERROR(-BL303/BL178,""),"")</f>
        <v>0.0578903306822939</v>
      </c>
      <c r="BM333" s="42" t="n">
        <f aca="false">IF(ISNUMBER(BM303),IFERROR(-BM303/BM178,""),"")</f>
        <v>0.0502070393374741</v>
      </c>
      <c r="BN333" s="42" t="n">
        <f aca="false">IF(ISNUMBER(BN303),IFERROR(-BN303/BN178,""),"")</f>
        <v>0.0499738812467352</v>
      </c>
      <c r="BO333" s="42" t="n">
        <f aca="false">IF(ISNUMBER(BO303),IFERROR(-BO303/BO178,""),"")</f>
        <v>0.0513970334598137</v>
      </c>
      <c r="BP333" s="42" t="n">
        <f aca="false">IF(ISNUMBER(BP303),IFERROR(-BP303/BP178,""),"")</f>
        <v>0.0789232181095136</v>
      </c>
      <c r="BQ333" s="42" t="n">
        <f aca="false">IF(ISNUMBER(BQ303),IFERROR(-BQ303/BQ178,""),"")</f>
        <v>0.058303664921466</v>
      </c>
      <c r="BR333" s="42" t="n">
        <f aca="false">IF(ISNUMBER(BR303),IFERROR(-BR303/BR178,""),"")</f>
        <v>0.0426754920745515</v>
      </c>
      <c r="BS333" s="42" t="n">
        <f aca="false">IF(ISNUMBER(BS303),IFERROR(-BS303/BS178,""),"")</f>
        <v>0.0417789757412399</v>
      </c>
      <c r="BT333" s="42" t="n">
        <f aca="false">IF(ISNUMBER(BT303),IFERROR(-BT303/BT178,""),"")</f>
        <v>0.0482405418800595</v>
      </c>
      <c r="BU333" s="42" t="n">
        <f aca="false">IF(ISNUMBER(BU303),IFERROR(-BU303/BU178,""),"")</f>
        <v>0.0542556303012577</v>
      </c>
      <c r="BV333" s="42" t="n">
        <f aca="false">IF(ISNUMBER(BV303),IFERROR(-BV303/BV178,""),"")</f>
        <v>0.0470530771735591</v>
      </c>
      <c r="BW333" s="42" t="n">
        <f aca="false">IF(ISNUMBER(BW303),IFERROR(-BW303/BW178,""),"")</f>
        <v>0.0398252394555537</v>
      </c>
      <c r="BX333" s="42" t="n">
        <f aca="false">IF(ISNUMBER(BX303),IFERROR(-BX303/BX178,""),"")</f>
        <v>0.0429369513168396</v>
      </c>
      <c r="BY333" s="31"/>
      <c r="BZ333" s="31"/>
      <c r="CA333" s="26" t="n">
        <f aca="false">IF(ISNUMBER(CA303),IFERROR(-CA303/CA178,""),"")</f>
        <v>0.0433988156048102</v>
      </c>
      <c r="CB333" s="35" t="n">
        <v>0.045</v>
      </c>
      <c r="CC333" s="35" t="n">
        <v>0.045</v>
      </c>
      <c r="CD333" s="35" t="n">
        <v>0.045</v>
      </c>
      <c r="CE333" s="35" t="n">
        <v>0.045</v>
      </c>
      <c r="CF333" s="7" t="s">
        <v>505</v>
      </c>
      <c r="CH333" s="32" t="n">
        <f aca="false">IFERROR(AVERAGE(CA333,CB333,CC333,CD333,CE333),"n/m")</f>
        <v>0.044679763120962</v>
      </c>
      <c r="CI333" s="32" t="n">
        <f aca="false">IFERROR(AVERAGE(BB333,BG333,BL333,BQ333,BV333),"n/m")</f>
        <v>0.0500839701599869</v>
      </c>
      <c r="CJ333" s="32" t="n">
        <f aca="false">IFERROR(AVERAGE(AC333,AH333,AM333,AR333,AW333,BB333,BG333,BL333,BQ333,BV333),"n/m")</f>
        <v>0.0428584831181945</v>
      </c>
      <c r="CK333" s="32" t="n">
        <f aca="false">IFERROR(AVERAGE(C333,D333,E333,F333,G333,H333,I333,N333,S333,X333,AC333,AH333,AM333,AR333,AW333,BB333,BG333,BL333,BQ333,BV333),"n/m")</f>
        <v>0.0328523984303836</v>
      </c>
    </row>
    <row r="334" customFormat="false" ht="15" hidden="false" customHeight="true" outlineLevel="0" collapsed="false">
      <c r="B334" s="27" t="s">
        <v>506</v>
      </c>
      <c r="C334" s="83" t="n">
        <f aca="false">IF(ISNUMBER(C303),IFERROR(-C303/C170,""),"")</f>
        <v>0.9</v>
      </c>
      <c r="D334" s="83" t="n">
        <f aca="false">IF(ISNUMBER(D303),IFERROR(-D303/D170,""),"")</f>
        <v>0.932144910868315</v>
      </c>
      <c r="E334" s="83" t="n">
        <f aca="false">IF(ISNUMBER(E303),IFERROR(-E303/E170,""),"")</f>
        <v>0.998969072164949</v>
      </c>
      <c r="F334" s="83" t="n">
        <f aca="false">IF(ISNUMBER(F303),IFERROR(-F303/F170,""),"")</f>
        <v>1.02168021680217</v>
      </c>
      <c r="G334" s="83" t="n">
        <f aca="false">IF(ISNUMBER(G303),IFERROR(-G303/G170,""),"")</f>
        <v>1.09747474747475</v>
      </c>
      <c r="H334" s="83" t="n">
        <f aca="false">IF(ISNUMBER(H303),IFERROR(-H303/H170,""),"")</f>
        <v>0.953806672369547</v>
      </c>
      <c r="I334" s="83" t="n">
        <f aca="false">IF(ISNUMBER(I303),IFERROR(-I303/I170,""),"")</f>
        <v>0.920650863800723</v>
      </c>
      <c r="J334" s="83" t="n">
        <f aca="false">IF(ISNUMBER(J303),IFERROR(-J303/J170,""),"")</f>
        <v>0.912156862745098</v>
      </c>
      <c r="K334" s="83" t="n">
        <f aca="false">IF(ISNUMBER(K303),IFERROR(-K303/K170,""),"")</f>
        <v>1.05173745173745</v>
      </c>
      <c r="L334" s="83" t="n">
        <f aca="false">IF(ISNUMBER(L303),IFERROR(-L303/L170,""),"")</f>
        <v>1.04422788605697</v>
      </c>
      <c r="M334" s="83" t="n">
        <f aca="false">IF(ISNUMBER(M303),IFERROR(-M303/M170,""),"")</f>
        <v>1.14480286738351</v>
      </c>
      <c r="N334" s="83" t="n">
        <f aca="false">IF(ISNUMBER(N303),IFERROR(-N303/N170,""),"")</f>
        <v>1.04076240800151</v>
      </c>
      <c r="O334" s="83" t="n">
        <f aca="false">IF(ISNUMBER(O303),IFERROR(-O303/O170,""),"")</f>
        <v>0.990166414523449</v>
      </c>
      <c r="P334" s="83" t="n">
        <f aca="false">IF(ISNUMBER(P303),IFERROR(-P303/P170,""),"")</f>
        <v>1.0519943019943</v>
      </c>
      <c r="Q334" s="83" t="n">
        <f aca="false">IF(ISNUMBER(Q303),IFERROR(-Q303/Q170,""),"")</f>
        <v>1.00280898876405</v>
      </c>
      <c r="R334" s="83" t="n">
        <f aca="false">IF(ISNUMBER(R303),IFERROR(-R303/R170,""),"")</f>
        <v>1.27979651162791</v>
      </c>
      <c r="S334" s="83" t="n">
        <f aca="false">IF(ISNUMBER(S303),IFERROR(-S303/S170,""),"")</f>
        <v>1.08125226203402</v>
      </c>
      <c r="T334" s="83" t="n">
        <f aca="false">IF(ISNUMBER(T303),IFERROR(-T303/T170,""),"")</f>
        <v>0.860649819494585</v>
      </c>
      <c r="U334" s="83" t="n">
        <f aca="false">IF(ISNUMBER(U303),IFERROR(-U303/U170,""),"")</f>
        <v>0.98371104815864</v>
      </c>
      <c r="V334" s="83" t="n">
        <f aca="false">IF(ISNUMBER(V303),IFERROR(-V303/V170,""),"")</f>
        <v>1.32404692082111</v>
      </c>
      <c r="W334" s="83" t="n">
        <f aca="false">IF(ISNUMBER(W303),IFERROR(-W303/W170,""),"")</f>
        <v>1.23443456162643</v>
      </c>
      <c r="X334" s="83" t="n">
        <f aca="false">IF(ISNUMBER(X303),IFERROR(-X303/X170,""),"")</f>
        <v>1.10374891020052</v>
      </c>
      <c r="Y334" s="83" t="n">
        <f aca="false">IF(ISNUMBER(Y303),IFERROR(-Y303/Y170,""),"")</f>
        <v>1.00332225913621</v>
      </c>
      <c r="Z334" s="83" t="n">
        <f aca="false">IF(ISNUMBER(Z303),IFERROR(-Z303/Z170,""),"")</f>
        <v>1.17884615384615</v>
      </c>
      <c r="AA334" s="83" t="n">
        <f aca="false">IF(ISNUMBER(AA303),IFERROR(-AA303/AA170,""),"")</f>
        <v>0.975391498881433</v>
      </c>
      <c r="AB334" s="83" t="n">
        <f aca="false">IF(ISNUMBER(AB303),IFERROR(-AB303/AB170,""),"")</f>
        <v>1.1234071093226</v>
      </c>
      <c r="AC334" s="83" t="n">
        <f aca="false">IF(ISNUMBER(AC303),IFERROR(-AC303/AC170,""),"")</f>
        <v>1.08183486238532</v>
      </c>
      <c r="AD334" s="83" t="n">
        <f aca="false">IF(ISNUMBER(AD303),IFERROR(-AD303/AD170,""),"")</f>
        <v>1.13691756272401</v>
      </c>
      <c r="AE334" s="83" t="n">
        <f aca="false">IF(ISNUMBER(AE303),IFERROR(-AE303/AE170,""),"")</f>
        <v>1.03498950314906</v>
      </c>
      <c r="AF334" s="83" t="n">
        <f aca="false">IF(ISNUMBER(AF303),IFERROR(-AF303/AF170,""),"")</f>
        <v>0.961352657004831</v>
      </c>
      <c r="AG334" s="83" t="n">
        <f aca="false">IF(ISNUMBER(AG303),IFERROR(-AG303/AG170,""),"")</f>
        <v>1.15481727574751</v>
      </c>
      <c r="AH334" s="83" t="n">
        <f aca="false">IF(ISNUMBER(AH303),IFERROR(-AH303/AH170,""),"")</f>
        <v>1.07234337140879</v>
      </c>
      <c r="AI334" s="83" t="n">
        <f aca="false">IF(ISNUMBER(AI303),IFERROR(-AI303/AI170,""),"")</f>
        <v>0.928619528619529</v>
      </c>
      <c r="AJ334" s="83" t="n">
        <f aca="false">IF(ISNUMBER(AJ303),IFERROR(-AJ303/AJ170,""),"")</f>
        <v>1.00195439739414</v>
      </c>
      <c r="AK334" s="83" t="n">
        <f aca="false">IF(ISNUMBER(AK303),IFERROR(-AK303/AK170,""),"")</f>
        <v>1.01492537313433</v>
      </c>
      <c r="AL334" s="83" t="n">
        <f aca="false">IF(ISNUMBER(AL303),IFERROR(-AL303/AL170,""),"")</f>
        <v>1.40959894806049</v>
      </c>
      <c r="AM334" s="83" t="n">
        <f aca="false">IF(ISNUMBER(AM303),IFERROR(-AM303/AM170,""),"")</f>
        <v>1.0901080631754</v>
      </c>
      <c r="AN334" s="83" t="n">
        <f aca="false">IF(ISNUMBER(AN303),IFERROR(-AN303/AN170,""),"")</f>
        <v>1.04848484848485</v>
      </c>
      <c r="AO334" s="83" t="n">
        <f aca="false">IF(ISNUMBER(AO303),IFERROR(-AO303/AO170,""),"")</f>
        <v>1.18947368421053</v>
      </c>
      <c r="AP334" s="83" t="n">
        <f aca="false">IF(ISNUMBER(AP303),IFERROR(-AP303/AP170,""),"")</f>
        <v>1.21428571428571</v>
      </c>
      <c r="AQ334" s="83" t="n">
        <f aca="false">IF(ISNUMBER(AQ303),IFERROR(-AQ303/AQ170,""),"")</f>
        <v>1.02629272567923</v>
      </c>
      <c r="AR334" s="83" t="n">
        <f aca="false">IF(ISNUMBER(AR303),IFERROR(-AR303/AR170,""),"")</f>
        <v>1.12597448618001</v>
      </c>
      <c r="AS334" s="83" t="n">
        <f aca="false">IF(ISNUMBER(AS303),IFERROR(-AS303/AS170,""),"")</f>
        <v>0.937057991513437</v>
      </c>
      <c r="AT334" s="83" t="n">
        <f aca="false">IF(ISNUMBER(AT303),IFERROR(-AT303/AT170,""),"")</f>
        <v>0.953374233128834</v>
      </c>
      <c r="AU334" s="83" t="n">
        <f aca="false">IF(ISNUMBER(AU303),IFERROR(-AU303/AU170,""),"")</f>
        <v>1.16770573566085</v>
      </c>
      <c r="AV334" s="83" t="n">
        <f aca="false">IF(ISNUMBER(AV303),IFERROR(-AV303/AV170,""),"")</f>
        <v>1.83391405342625</v>
      </c>
      <c r="AW334" s="83" t="n">
        <f aca="false">IF(ISNUMBER(AW303),IFERROR(-AW303/AW170,""),"")</f>
        <v>1.24175824175824</v>
      </c>
      <c r="AX334" s="83" t="n">
        <f aca="false">IF(ISNUMBER(AX303),IFERROR(-AX303/AX170,""),"")</f>
        <v>1.58860759493671</v>
      </c>
      <c r="AY334" s="83" t="n">
        <f aca="false">IF(ISNUMBER(AY303),IFERROR(-AY303/AY170,""),"")</f>
        <v>1.71348314606742</v>
      </c>
      <c r="AZ334" s="83" t="n">
        <f aca="false">IF(ISNUMBER(AZ303),IFERROR(-AZ303/AZ170,""),"")</f>
        <v>1.68253968253968</v>
      </c>
      <c r="BA334" s="83" t="n">
        <f aca="false">IF(ISNUMBER(BA303),IFERROR(-BA303/BA170,""),"")</f>
        <v>2.17616580310881</v>
      </c>
      <c r="BB334" s="83" t="n">
        <f aca="false">IF(ISNUMBER(BB303),IFERROR(-BB303/BB170,""),"")</f>
        <v>1.80222841225627</v>
      </c>
      <c r="BC334" s="83" t="n">
        <f aca="false">IF(ISNUMBER(BC303),IFERROR(-BC303/BC170,""),"")</f>
        <v>1.39664804469274</v>
      </c>
      <c r="BD334" s="83" t="n">
        <f aca="false">IF(ISNUMBER(BD303),IFERROR(-BD303/BD170,""),"")</f>
        <v>1.6536312849162</v>
      </c>
      <c r="BE334" s="83" t="n">
        <f aca="false">IF(ISNUMBER(BE303),IFERROR(-BE303/BE170,""),"")</f>
        <v>1.54748603351955</v>
      </c>
      <c r="BF334" s="83" t="n">
        <f aca="false">IF(ISNUMBER(BF303),IFERROR(-BF303/BF170,""),"")</f>
        <v>1.63681592039801</v>
      </c>
      <c r="BG334" s="83" t="n">
        <f aca="false">IF(ISNUMBER(BG303),IFERROR(-BG303/BG170,""),"")</f>
        <v>1.5609756097561</v>
      </c>
      <c r="BH334" s="83" t="n">
        <f aca="false">IF(ISNUMBER(BH303),IFERROR(-BH303/BH170,""),"")</f>
        <v>1.58959537572254</v>
      </c>
      <c r="BI334" s="83" t="n">
        <f aca="false">IF(ISNUMBER(BI303),IFERROR(-BI303/BI170,""),"")</f>
        <v>1.91573033707865</v>
      </c>
      <c r="BJ334" s="83" t="n">
        <f aca="false">IF(ISNUMBER(BJ303),IFERROR(-BJ303/BJ170,""),"")</f>
        <v>2.08571428571429</v>
      </c>
      <c r="BK334" s="83" t="n">
        <f aca="false">IF(ISNUMBER(BK303),IFERROR(-BK303/BK170,""),"")</f>
        <v>2.69798657718121</v>
      </c>
      <c r="BL334" s="83" t="n">
        <f aca="false">IF(ISNUMBER(BL303),IFERROR(-BL303/BL170,""),"")</f>
        <v>2.04888888888889</v>
      </c>
      <c r="BM334" s="83" t="n">
        <f aca="false">IF(ISNUMBER(BM303),IFERROR(-BM303/BM170,""),"")</f>
        <v>1.62569832402235</v>
      </c>
      <c r="BN334" s="83" t="n">
        <f aca="false">IF(ISNUMBER(BN303),IFERROR(-BN303/BN170,""),"")</f>
        <v>1.6123595505618</v>
      </c>
      <c r="BO334" s="83" t="n">
        <f aca="false">IF(ISNUMBER(BO303),IFERROR(-BO303/BO170,""),"")</f>
        <v>1.68361581920904</v>
      </c>
      <c r="BP334" s="83" t="n">
        <f aca="false">IF(ISNUMBER(BP303),IFERROR(-BP303/BP170,""),"")</f>
        <v>2.75935828877005</v>
      </c>
      <c r="BQ334" s="83" t="n">
        <f aca="false">IF(ISNUMBER(BQ303),IFERROR(-BQ303/BQ170,""),"")</f>
        <v>1.93065187239945</v>
      </c>
      <c r="BR334" s="83" t="n">
        <f aca="false">IF(ISNUMBER(BR303),IFERROR(-BR303/BR170,""),"")</f>
        <v>1.35359116022099</v>
      </c>
      <c r="BS334" s="83" t="n">
        <f aca="false">IF(ISNUMBER(BS303),IFERROR(-BS303/BS170,""),"")</f>
        <v>1.34054054054054</v>
      </c>
      <c r="BT334" s="83" t="n">
        <f aca="false">IF(ISNUMBER(BT303),IFERROR(-BT303/BT170,""),"")</f>
        <v>1.54497354497354</v>
      </c>
      <c r="BU334" s="83" t="n">
        <f aca="false">IF(ISNUMBER(BU303),IFERROR(-BU303/BU170,""),"")</f>
        <v>1.9025641025641</v>
      </c>
      <c r="BV334" s="83" t="n">
        <f aca="false">IF(ISNUMBER(BV303),IFERROR(-BV303/BV170,""),"")</f>
        <v>1.54133333333333</v>
      </c>
      <c r="BW334" s="83" t="n">
        <f aca="false">IF(ISNUMBER(BW303),IFERROR(-BW303/BW170,""),"")</f>
        <v>1.2279792746114</v>
      </c>
      <c r="BX334" s="83" t="n">
        <f aca="false">IF(ISNUMBER(BX303),IFERROR(-BX303/BX170,""),"")</f>
        <v>1.37244897959184</v>
      </c>
      <c r="BY334" s="45"/>
      <c r="BZ334" s="45"/>
      <c r="CA334" s="84" t="n">
        <f aca="false">IF(ISNUMBER(CA303),IFERROR(-CA303/CA170,""),"")</f>
        <v>1.36287900110119</v>
      </c>
      <c r="CB334" s="84" t="n">
        <f aca="false">IF(ISNUMBER(CB303),IFERROR(-CB303/CB170,""),"")</f>
        <v>1.45161290322581</v>
      </c>
      <c r="CC334" s="84" t="n">
        <f aca="false">IF(ISNUMBER(CC303),IFERROR(-CC303/CC170,""),"")</f>
        <v>1.45161290322581</v>
      </c>
      <c r="CD334" s="84" t="n">
        <f aca="false">IF(ISNUMBER(CD303),IFERROR(-CD303/CD170,""),"")</f>
        <v>1.45161290322581</v>
      </c>
      <c r="CE334" s="84" t="n">
        <f aca="false">IF(ISNUMBER(CE303),IFERROR(-CE303/CE170,""),"")</f>
        <v>1.45161290322581</v>
      </c>
      <c r="CF334" s="37"/>
    </row>
    <row r="335" customFormat="false" ht="15" hidden="false" customHeight="true" outlineLevel="0" collapsed="false"/>
    <row r="336" customFormat="false" ht="15" hidden="false" customHeight="true" outlineLevel="0" collapsed="false">
      <c r="B336" s="12" t="s">
        <v>507</v>
      </c>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t="s">
        <v>508</v>
      </c>
    </row>
    <row r="337" customFormat="false" ht="15" hidden="false" customHeight="true" outlineLevel="0" collapsed="false">
      <c r="B337" s="27" t="s">
        <v>509</v>
      </c>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9"/>
      <c r="BT337" s="39"/>
      <c r="BU337" s="39"/>
      <c r="BV337" s="39"/>
      <c r="BW337" s="39"/>
      <c r="BX337" s="39"/>
      <c r="BY337" s="45"/>
      <c r="BZ337" s="45"/>
      <c r="CA337" s="85" t="n">
        <f aca="false">CA464</f>
        <v>221.21</v>
      </c>
      <c r="CB337" s="85" t="n">
        <f aca="false">CA337*(1+CB411)</f>
        <v>236.6947</v>
      </c>
      <c r="CC337" s="85" t="n">
        <f aca="false">CB337*(1+CC411)</f>
        <v>253.263329</v>
      </c>
      <c r="CD337" s="85" t="n">
        <f aca="false">CC337*(1+CD411)</f>
        <v>270.99176203</v>
      </c>
      <c r="CE337" s="85" t="n">
        <f aca="false">CD337*(1+CE411)</f>
        <v>289.9611853721</v>
      </c>
      <c r="CF337" s="37" t="s">
        <v>510</v>
      </c>
    </row>
    <row r="338" customFormat="false" ht="15" hidden="false" customHeight="true" outlineLevel="0" collapsed="false">
      <c r="B338" s="27" t="s">
        <v>511</v>
      </c>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9"/>
      <c r="BT338" s="39"/>
      <c r="BU338" s="39"/>
      <c r="BV338" s="39"/>
      <c r="BW338" s="39"/>
      <c r="BX338" s="39"/>
      <c r="BY338" s="45"/>
      <c r="BZ338" s="45"/>
      <c r="CA338" s="41" t="n">
        <f aca="false">CHOOSE(MATCH($CF$2,{"Bull","Base","Bear"},0),$CO$14,$CP$14,$CQ$14)</f>
        <v>500</v>
      </c>
      <c r="CB338" s="41" t="n">
        <f aca="false">-CB311</f>
        <v>1515.1734721675</v>
      </c>
      <c r="CC338" s="41" t="n">
        <f aca="false">-CC311</f>
        <v>5276.84104236413</v>
      </c>
      <c r="CD338" s="41" t="n">
        <f aca="false">-CD311</f>
        <v>5524.10766301139</v>
      </c>
      <c r="CE338" s="41" t="n">
        <f aca="false">-CE311</f>
        <v>6235.25777664038</v>
      </c>
      <c r="CF338" s="37" t="s">
        <v>512</v>
      </c>
    </row>
    <row r="339" customFormat="false" ht="15" hidden="false" customHeight="true" outlineLevel="0" collapsed="false">
      <c r="B339" s="27" t="s">
        <v>513</v>
      </c>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c r="BV339" s="39"/>
      <c r="BW339" s="39"/>
      <c r="BX339" s="39"/>
      <c r="BY339" s="45"/>
      <c r="BZ339" s="45"/>
      <c r="CA339" s="85" t="n">
        <f aca="false">IFERROR(CA338/CA337,0)</f>
        <v>2.26029564667058</v>
      </c>
      <c r="CB339" s="85" t="n">
        <f aca="false">IFERROR(CB338/CB337,0)</f>
        <v>6.40138318334757</v>
      </c>
      <c r="CC339" s="85" t="n">
        <f aca="false">IFERROR(CC338/CC337,0)</f>
        <v>20.835393198058</v>
      </c>
      <c r="CD339" s="85" t="n">
        <f aca="false">IFERROR(CD338/CD337,0)</f>
        <v>20.3847807831142</v>
      </c>
      <c r="CE339" s="85" t="n">
        <f aca="false">IFERROR(CE338/CE337,0)</f>
        <v>21.5037670253652</v>
      </c>
      <c r="CF339" s="37"/>
    </row>
    <row r="340" customFormat="false" ht="15" hidden="false" customHeight="true" outlineLevel="0" collapsed="false">
      <c r="B340" s="27" t="s">
        <v>514</v>
      </c>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1"/>
      <c r="BZ340" s="31"/>
      <c r="CA340" s="86" t="n">
        <v>0.8</v>
      </c>
      <c r="CB340" s="86" t="n">
        <v>1.8</v>
      </c>
      <c r="CC340" s="86" t="n">
        <v>1.8</v>
      </c>
      <c r="CD340" s="86" t="n">
        <v>1.8</v>
      </c>
      <c r="CE340" s="86" t="n">
        <v>1.8</v>
      </c>
      <c r="CF340" s="37"/>
    </row>
    <row r="341" customFormat="false" ht="15" hidden="false" customHeight="true" outlineLevel="0" collapsed="false">
      <c r="B341" s="27" t="s">
        <v>515</v>
      </c>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9"/>
      <c r="BT341" s="39"/>
      <c r="BU341" s="39"/>
      <c r="BV341" s="39"/>
      <c r="BW341" s="39"/>
      <c r="BX341" s="39"/>
      <c r="BY341" s="45"/>
      <c r="BZ341" s="45"/>
      <c r="CA341" s="75" t="n">
        <f aca="false">BX381</f>
        <v>702.9</v>
      </c>
      <c r="CB341" s="75" t="n">
        <f aca="false">CA342</f>
        <v>701.439704353329</v>
      </c>
      <c r="CC341" s="75" t="n">
        <f aca="false">CB342</f>
        <v>696.838321169982</v>
      </c>
      <c r="CD341" s="75" t="n">
        <f aca="false">CC342</f>
        <v>677.802927971924</v>
      </c>
      <c r="CE341" s="75" t="n">
        <f aca="false">CD342</f>
        <v>659.21814718881</v>
      </c>
      <c r="CF341" s="37" t="s">
        <v>516</v>
      </c>
    </row>
    <row r="342" customFormat="false" ht="15" hidden="false" customHeight="true" outlineLevel="0" collapsed="false">
      <c r="B342" s="27" t="s">
        <v>517</v>
      </c>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39"/>
      <c r="BY342" s="45"/>
      <c r="BZ342" s="45"/>
      <c r="CA342" s="75" t="n">
        <f aca="false">CA341-CA339+CA340</f>
        <v>701.439704353329</v>
      </c>
      <c r="CB342" s="75" t="n">
        <f aca="false">CB341-CB339+CB340</f>
        <v>696.838321169982</v>
      </c>
      <c r="CC342" s="75" t="n">
        <f aca="false">CC341-CC339+CC340</f>
        <v>677.802927971924</v>
      </c>
      <c r="CD342" s="75" t="n">
        <f aca="false">CD341-CD339+CD340</f>
        <v>659.21814718881</v>
      </c>
      <c r="CE342" s="75" t="n">
        <f aca="false">CE341-CE339+CE340</f>
        <v>639.514380163444</v>
      </c>
      <c r="CF342" s="37"/>
    </row>
    <row r="343" customFormat="false" ht="15" hidden="false" customHeight="true" outlineLevel="0" collapsed="false">
      <c r="B343" s="27" t="s">
        <v>518</v>
      </c>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1"/>
      <c r="BZ343" s="31"/>
      <c r="CA343" s="26" t="n">
        <f aca="false">IF(AND(ISNUMBER(CA339),ISNUMBER(CA341)),IFERROR(CA339/CA341,""),"")</f>
        <v>0.00321567171243503</v>
      </c>
      <c r="CB343" s="26" t="n">
        <f aca="false">IF(AND(ISNUMBER(CB339),ISNUMBER(CB341)),IFERROR(CB339/CB341,""),"")</f>
        <v>0.00912606335743302</v>
      </c>
      <c r="CC343" s="26" t="n">
        <f aca="false">IF(AND(ISNUMBER(CC339),ISNUMBER(CC341)),IFERROR(CC339/CC341,""),"")</f>
        <v>0.0298998958080774</v>
      </c>
      <c r="CD343" s="26" t="n">
        <f aca="false">IF(AND(ISNUMBER(CD339),ISNUMBER(CD341)),IFERROR(CD339/CD341,""),"")</f>
        <v>0.0300747900929082</v>
      </c>
      <c r="CE343" s="26" t="n">
        <f aca="false">IF(AND(ISNUMBER(CE339),ISNUMBER(CE341)),IFERROR(CE339/CE341,""),"")</f>
        <v>0.0326201078005309</v>
      </c>
      <c r="CF343" s="7"/>
    </row>
    <row r="344" customFormat="false" ht="15" hidden="false" customHeight="true" outlineLevel="0" collapsed="false">
      <c r="B344" s="50" t="s">
        <v>519</v>
      </c>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c r="BV344" s="39"/>
      <c r="BW344" s="39"/>
      <c r="BX344" s="39"/>
      <c r="BY344" s="7"/>
      <c r="BZ344" s="7"/>
      <c r="CA344" s="67" t="n">
        <f aca="false">CA339</f>
        <v>2.26029564667058</v>
      </c>
      <c r="CB344" s="67" t="n">
        <f aca="false">CA344+CB339</f>
        <v>8.66167883001816</v>
      </c>
      <c r="CC344" s="67" t="n">
        <f aca="false">CB344+CC339</f>
        <v>29.4970720280762</v>
      </c>
      <c r="CD344" s="67" t="n">
        <f aca="false">CC344+CD339</f>
        <v>49.8818528111903</v>
      </c>
      <c r="CE344" s="67" t="n">
        <f aca="false">CD344+CE339</f>
        <v>71.3856198365556</v>
      </c>
      <c r="CF344" s="7"/>
    </row>
    <row r="345" customFormat="false" ht="15" hidden="false" customHeight="true" outlineLevel="0" collapsed="false"/>
    <row r="346" customFormat="false" ht="15" hidden="false" customHeight="true" outlineLevel="0" collapsed="false">
      <c r="B346" s="12" t="s">
        <v>520</v>
      </c>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t="s">
        <v>521</v>
      </c>
    </row>
    <row r="347" customFormat="false" ht="15" hidden="false" customHeight="true" outlineLevel="0" collapsed="false">
      <c r="B347" s="27" t="s">
        <v>522</v>
      </c>
      <c r="CF347" s="7"/>
    </row>
    <row r="348" customFormat="false" ht="15" hidden="false" customHeight="true" outlineLevel="0" collapsed="false">
      <c r="B348" s="27" t="s">
        <v>523</v>
      </c>
      <c r="C348" s="40" t="n">
        <v>317.8</v>
      </c>
      <c r="D348" s="40" t="n">
        <v>239.1</v>
      </c>
      <c r="E348" s="40" t="n">
        <v>392.9</v>
      </c>
      <c r="F348" s="40" t="n">
        <v>1721.9</v>
      </c>
      <c r="G348" s="40" t="n">
        <v>1633</v>
      </c>
      <c r="H348" s="40" t="n">
        <v>537</v>
      </c>
      <c r="I348" s="40" t="n">
        <v>1678.7</v>
      </c>
      <c r="J348" s="40" t="n">
        <v>2150.7</v>
      </c>
      <c r="K348" s="40" t="n">
        <v>2324.9</v>
      </c>
      <c r="L348" s="40" t="n">
        <v>1995.6</v>
      </c>
      <c r="M348" s="40" t="n">
        <v>3115.2</v>
      </c>
      <c r="N348" s="40" t="n">
        <v>3115.2</v>
      </c>
      <c r="O348" s="40" t="n">
        <v>3346.5</v>
      </c>
      <c r="P348" s="40" t="n">
        <v>3321.1</v>
      </c>
      <c r="Q348" s="40" t="n">
        <v>4025.3</v>
      </c>
      <c r="R348" s="40" t="n">
        <v>3005.6</v>
      </c>
      <c r="S348" s="40" t="n">
        <v>3005.6</v>
      </c>
      <c r="T348" s="40" t="n">
        <v>2511</v>
      </c>
      <c r="U348" s="40" t="n">
        <v>3342</v>
      </c>
      <c r="V348" s="40" t="n">
        <v>1833.5</v>
      </c>
      <c r="W348" s="40" t="n">
        <v>790.8</v>
      </c>
      <c r="X348" s="40" t="n">
        <v>790.8</v>
      </c>
      <c r="Y348" s="40" t="n">
        <v>664.3</v>
      </c>
      <c r="Z348" s="40" t="n">
        <v>4097.6</v>
      </c>
      <c r="AA348" s="40" t="n">
        <v>971.4</v>
      </c>
      <c r="AB348" s="40" t="n">
        <v>963.7</v>
      </c>
      <c r="AC348" s="40" t="n">
        <v>963.7</v>
      </c>
      <c r="AD348" s="40" t="n">
        <v>803.9</v>
      </c>
      <c r="AE348" s="40" t="n">
        <v>726.4</v>
      </c>
      <c r="AF348" s="40" t="n">
        <v>648.6</v>
      </c>
      <c r="AG348" s="40" t="n">
        <v>630.3</v>
      </c>
      <c r="AH348" s="40" t="n">
        <v>630.3</v>
      </c>
      <c r="AI348" s="40" t="n">
        <v>1045.7</v>
      </c>
      <c r="AJ348" s="40" t="n">
        <v>904</v>
      </c>
      <c r="AK348" s="40" t="n">
        <v>776.2</v>
      </c>
      <c r="AL348" s="40" t="n">
        <v>787.8</v>
      </c>
      <c r="AM348" s="40" t="n">
        <v>787.8</v>
      </c>
      <c r="AN348" s="40" t="n">
        <v>3910</v>
      </c>
      <c r="AO348" s="40" t="n">
        <v>5433.6</v>
      </c>
      <c r="AP348" s="40" t="n">
        <v>14252.1</v>
      </c>
      <c r="AQ348" s="40" t="n">
        <v>19912.3</v>
      </c>
      <c r="AR348" s="40" t="n">
        <v>19912.3</v>
      </c>
      <c r="AS348" s="40" t="n">
        <v>4367.7</v>
      </c>
      <c r="AT348" s="40" t="n">
        <v>5539.3</v>
      </c>
      <c r="AU348" s="40" t="n">
        <v>5687.7</v>
      </c>
      <c r="AV348" s="40" t="n">
        <v>6035</v>
      </c>
      <c r="AW348" s="40" t="n">
        <v>6035</v>
      </c>
      <c r="AX348" s="40" t="n">
        <v>6330</v>
      </c>
      <c r="AY348" s="40" t="n">
        <v>7322</v>
      </c>
      <c r="AZ348" s="40" t="n">
        <v>2552</v>
      </c>
      <c r="BA348" s="40" t="n">
        <v>2586</v>
      </c>
      <c r="BB348" s="40" t="n">
        <v>2586</v>
      </c>
      <c r="BC348" s="40" t="n">
        <v>3717</v>
      </c>
      <c r="BD348" s="40" t="n">
        <v>3984</v>
      </c>
      <c r="BE348" s="40" t="n">
        <v>5150</v>
      </c>
      <c r="BF348" s="40" t="n">
        <v>5995</v>
      </c>
      <c r="BG348" s="40" t="n">
        <v>5995</v>
      </c>
      <c r="BH348" s="40" t="n">
        <v>7379</v>
      </c>
      <c r="BI348" s="40" t="n">
        <v>8575</v>
      </c>
      <c r="BJ348" s="40" t="n">
        <v>12277</v>
      </c>
      <c r="BK348" s="40" t="n">
        <v>5864</v>
      </c>
      <c r="BL348" s="40" t="n">
        <v>5864</v>
      </c>
      <c r="BM348" s="40" t="n">
        <v>7031</v>
      </c>
      <c r="BN348" s="40" t="n">
        <v>2374</v>
      </c>
      <c r="BO348" s="40" t="n">
        <v>2627</v>
      </c>
      <c r="BP348" s="40" t="n">
        <v>2078</v>
      </c>
      <c r="BQ348" s="40" t="n">
        <v>2078</v>
      </c>
      <c r="BR348" s="40" t="n">
        <v>1993</v>
      </c>
      <c r="BS348" s="40" t="n">
        <v>2957</v>
      </c>
      <c r="BT348" s="40" t="n">
        <v>1528</v>
      </c>
      <c r="BU348" s="40" t="n">
        <v>4615</v>
      </c>
      <c r="BV348" s="40" t="n">
        <v>4615</v>
      </c>
      <c r="BW348" s="40" t="n">
        <v>5701</v>
      </c>
      <c r="BX348" s="40" t="n">
        <v>4348</v>
      </c>
      <c r="BY348" s="45"/>
      <c r="BZ348" s="45"/>
      <c r="CA348" s="41" t="n">
        <f aca="false">CA318</f>
        <v>2000</v>
      </c>
      <c r="CB348" s="41" t="n">
        <f aca="false">CB318</f>
        <v>2419.75964539507</v>
      </c>
      <c r="CC348" s="41" t="n">
        <f aca="false">CC318</f>
        <v>2000</v>
      </c>
      <c r="CD348" s="41" t="n">
        <f aca="false">CD318</f>
        <v>2000</v>
      </c>
      <c r="CE348" s="41" t="n">
        <f aca="false">CE318</f>
        <v>2000</v>
      </c>
      <c r="CF348" s="37"/>
    </row>
    <row r="349" customFormat="false" ht="15" hidden="false" customHeight="true" outlineLevel="0" collapsed="false">
      <c r="B349" s="27" t="s">
        <v>524</v>
      </c>
      <c r="C349" s="40" t="n">
        <v>1675</v>
      </c>
      <c r="D349" s="40" t="n">
        <v>1984.4</v>
      </c>
      <c r="E349" s="40" t="n">
        <v>1894.6</v>
      </c>
      <c r="F349" s="40" t="n">
        <v>1916.8</v>
      </c>
      <c r="G349" s="40" t="n">
        <v>2219</v>
      </c>
      <c r="H349" s="40" t="n">
        <v>3049.9</v>
      </c>
      <c r="I349" s="40" t="n">
        <v>3267.3</v>
      </c>
      <c r="J349" s="40" t="n">
        <v>3118.3</v>
      </c>
      <c r="K349" s="40" t="n">
        <v>3281.4</v>
      </c>
      <c r="L349" s="40" t="n">
        <v>3372.7</v>
      </c>
      <c r="M349" s="40" t="n">
        <v>3451.6</v>
      </c>
      <c r="N349" s="40" t="n">
        <v>3451.6</v>
      </c>
      <c r="O349" s="40" t="n">
        <v>3467.6</v>
      </c>
      <c r="P349" s="40" t="n">
        <v>3631.8</v>
      </c>
      <c r="Q349" s="40" t="n">
        <v>3498.1</v>
      </c>
      <c r="R349" s="40" t="n">
        <v>3633.8</v>
      </c>
      <c r="S349" s="40" t="n">
        <v>3633.8</v>
      </c>
      <c r="T349" s="40" t="n">
        <v>3446.9</v>
      </c>
      <c r="U349" s="40" t="n">
        <v>3565.2</v>
      </c>
      <c r="V349" s="40" t="n">
        <v>3906.1</v>
      </c>
      <c r="W349" s="40" t="n">
        <v>3964.1</v>
      </c>
      <c r="X349" s="40" t="n">
        <v>3964.1</v>
      </c>
      <c r="Y349" s="40" t="n">
        <v>3871.2</v>
      </c>
      <c r="Z349" s="40" t="n">
        <v>3994.8</v>
      </c>
      <c r="AA349" s="40" t="n">
        <v>3081.8</v>
      </c>
      <c r="AB349" s="40" t="n">
        <v>3186.1</v>
      </c>
      <c r="AC349" s="40" t="n">
        <v>3186.1</v>
      </c>
      <c r="AD349" s="40" t="n">
        <v>3034.9</v>
      </c>
      <c r="AE349" s="40" t="n">
        <v>3214.8</v>
      </c>
      <c r="AF349" s="40" t="n">
        <v>3254.6</v>
      </c>
      <c r="AG349" s="40" t="n">
        <v>3521.8</v>
      </c>
      <c r="AH349" s="40" t="n">
        <v>3521.8</v>
      </c>
      <c r="AI349" s="40" t="n">
        <v>3270.7</v>
      </c>
      <c r="AJ349" s="40" t="n">
        <v>3296.6</v>
      </c>
      <c r="AK349" s="40" t="n">
        <v>3323.1</v>
      </c>
      <c r="AL349" s="40" t="n">
        <v>3489.6</v>
      </c>
      <c r="AM349" s="40" t="n">
        <v>3489.6</v>
      </c>
      <c r="AN349" s="40" t="n">
        <v>3409.2</v>
      </c>
      <c r="AO349" s="40" t="n">
        <v>3481.6</v>
      </c>
      <c r="AP349" s="40" t="n">
        <v>3467.1</v>
      </c>
      <c r="AQ349" s="40" t="n">
        <v>3191.4</v>
      </c>
      <c r="AR349" s="40" t="n">
        <v>3191.4</v>
      </c>
      <c r="AS349" s="40" t="n">
        <v>3433.3</v>
      </c>
      <c r="AT349" s="40" t="n">
        <v>3378.4</v>
      </c>
      <c r="AU349" s="40" t="n">
        <v>3495.7</v>
      </c>
      <c r="AV349" s="40" t="n">
        <v>4045</v>
      </c>
      <c r="AW349" s="40" t="n">
        <v>4045</v>
      </c>
      <c r="AX349" s="40" t="n">
        <v>3949</v>
      </c>
      <c r="AY349" s="40" t="n">
        <v>4103</v>
      </c>
      <c r="AZ349" s="40" t="n">
        <v>4194</v>
      </c>
      <c r="BA349" s="40" t="n">
        <v>4631</v>
      </c>
      <c r="BB349" s="40" t="n">
        <v>4631</v>
      </c>
      <c r="BC349" s="40" t="n">
        <v>4407</v>
      </c>
      <c r="BD349" s="40" t="n">
        <v>4527</v>
      </c>
      <c r="BE349" s="40" t="n">
        <v>4409</v>
      </c>
      <c r="BF349" s="40" t="n">
        <v>4918</v>
      </c>
      <c r="BG349" s="40" t="n">
        <v>4918</v>
      </c>
      <c r="BH349" s="40" t="n">
        <v>4313</v>
      </c>
      <c r="BI349" s="40" t="n">
        <v>4199</v>
      </c>
      <c r="BJ349" s="40" t="n">
        <v>4201</v>
      </c>
      <c r="BK349" s="40" t="n">
        <v>3922</v>
      </c>
      <c r="BL349" s="40" t="n">
        <v>3922</v>
      </c>
      <c r="BM349" s="40" t="n">
        <v>3379</v>
      </c>
      <c r="BN349" s="40" t="n">
        <v>3298</v>
      </c>
      <c r="BO349" s="40" t="n">
        <v>3507</v>
      </c>
      <c r="BP349" s="40" t="n">
        <v>3537</v>
      </c>
      <c r="BQ349" s="40" t="n">
        <v>3537</v>
      </c>
      <c r="BR349" s="40" t="n">
        <v>3506</v>
      </c>
      <c r="BS349" s="40" t="n">
        <v>3564</v>
      </c>
      <c r="BT349" s="40" t="n">
        <v>3755</v>
      </c>
      <c r="BU349" s="40" t="n">
        <v>3913</v>
      </c>
      <c r="BV349" s="40" t="n">
        <v>3913</v>
      </c>
      <c r="BW349" s="40" t="n">
        <v>3819</v>
      </c>
      <c r="BX349" s="40" t="n">
        <v>3965</v>
      </c>
      <c r="BY349" s="45"/>
      <c r="BZ349" s="45"/>
      <c r="CA349" s="41" t="n">
        <f aca="false">CA384*CA387/365+CA386</f>
        <v>4210.70767671233</v>
      </c>
      <c r="CB349" s="41" t="n">
        <f aca="false">CB384*CB387/365+CB386</f>
        <v>4605.95691760396</v>
      </c>
      <c r="CC349" s="41" t="n">
        <f aca="false">CC384*CC387/365+CC386</f>
        <v>4907.68446764459</v>
      </c>
      <c r="CD349" s="41" t="n">
        <f aca="false">CD384*CD387/365+CD386</f>
        <v>5255.44137206683</v>
      </c>
      <c r="CE349" s="41" t="n">
        <f aca="false">CE384*CE387/365+CE386</f>
        <v>5630.58961931491</v>
      </c>
      <c r="CF349" s="37" t="s">
        <v>525</v>
      </c>
    </row>
    <row r="350" customFormat="false" ht="15" hidden="false" customHeight="true" outlineLevel="0" collapsed="false">
      <c r="B350" s="27" t="s">
        <v>526</v>
      </c>
      <c r="C350" s="40" t="n">
        <v>1005.4</v>
      </c>
      <c r="D350" s="40" t="n">
        <v>1193.6</v>
      </c>
      <c r="E350" s="40" t="n">
        <v>1142.3</v>
      </c>
      <c r="F350" s="40" t="n">
        <v>993</v>
      </c>
      <c r="G350" s="40" t="n">
        <v>1225.2</v>
      </c>
      <c r="H350" s="40" t="n">
        <v>1781.4</v>
      </c>
      <c r="I350" s="40" t="n">
        <v>1813.4</v>
      </c>
      <c r="J350" s="40" t="n">
        <v>1866.5</v>
      </c>
      <c r="K350" s="40" t="n">
        <v>1911</v>
      </c>
      <c r="L350" s="40" t="n">
        <v>1965.7</v>
      </c>
      <c r="M350" s="40" t="n">
        <v>1783.5</v>
      </c>
      <c r="N350" s="40" t="n">
        <v>1783.5</v>
      </c>
      <c r="O350" s="40" t="n">
        <v>1871.3</v>
      </c>
      <c r="P350" s="40" t="n">
        <v>1894.2</v>
      </c>
      <c r="Q350" s="40" t="n">
        <v>1874</v>
      </c>
      <c r="R350" s="40" t="n">
        <v>1831.5</v>
      </c>
      <c r="S350" s="40" t="n">
        <v>1831.5</v>
      </c>
      <c r="T350" s="40" t="n">
        <v>1897.2</v>
      </c>
      <c r="U350" s="40" t="n">
        <v>1912.2</v>
      </c>
      <c r="V350" s="40" t="n">
        <v>2340.6</v>
      </c>
      <c r="W350" s="40" t="n">
        <v>2095.4</v>
      </c>
      <c r="X350" s="40" t="n">
        <v>2095.4</v>
      </c>
      <c r="Y350" s="40" t="n">
        <v>2237.7</v>
      </c>
      <c r="Z350" s="40" t="n">
        <v>2240.2</v>
      </c>
      <c r="AA350" s="40" t="n">
        <v>1712.2</v>
      </c>
      <c r="AB350" s="40" t="n">
        <v>1709.4</v>
      </c>
      <c r="AC350" s="40" t="n">
        <v>1709.4</v>
      </c>
      <c r="AD350" s="40" t="n">
        <v>1764.9</v>
      </c>
      <c r="AE350" s="40" t="n">
        <v>1791.7</v>
      </c>
      <c r="AF350" s="40" t="n">
        <v>1892.3</v>
      </c>
      <c r="AG350" s="40" t="n">
        <v>1840.8</v>
      </c>
      <c r="AH350" s="40" t="n">
        <v>1840.8</v>
      </c>
      <c r="AI350" s="40" t="n">
        <v>1949.1</v>
      </c>
      <c r="AJ350" s="40" t="n">
        <v>1980.5</v>
      </c>
      <c r="AK350" s="40" t="n">
        <v>2029.4</v>
      </c>
      <c r="AL350" s="40" t="n">
        <v>1910.1</v>
      </c>
      <c r="AM350" s="40" t="n">
        <v>1910.1</v>
      </c>
      <c r="AN350" s="40" t="n">
        <v>2027.9</v>
      </c>
      <c r="AO350" s="40" t="n">
        <v>2055.9</v>
      </c>
      <c r="AP350" s="40" t="n">
        <v>2023.7</v>
      </c>
      <c r="AQ350" s="40" t="n">
        <v>1628.3</v>
      </c>
      <c r="AR350" s="40" t="n">
        <v>1628.3</v>
      </c>
      <c r="AS350" s="40" t="n">
        <v>2575</v>
      </c>
      <c r="AT350" s="40" t="n">
        <v>2592.9</v>
      </c>
      <c r="AU350" s="40" t="n">
        <v>2421.7</v>
      </c>
      <c r="AV350" s="40" t="n">
        <v>2292</v>
      </c>
      <c r="AW350" s="40" t="n">
        <v>2292</v>
      </c>
      <c r="AX350" s="40" t="n">
        <v>2424</v>
      </c>
      <c r="AY350" s="40" t="n">
        <v>2547</v>
      </c>
      <c r="AZ350" s="40" t="n">
        <v>2737</v>
      </c>
      <c r="BA350" s="40" t="n">
        <v>2767</v>
      </c>
      <c r="BB350" s="40" t="n">
        <v>2767</v>
      </c>
      <c r="BC350" s="40" t="n">
        <v>3072</v>
      </c>
      <c r="BD350" s="40" t="n">
        <v>3257</v>
      </c>
      <c r="BE350" s="40" t="n">
        <v>3236</v>
      </c>
      <c r="BF350" s="40" t="n">
        <v>3110</v>
      </c>
      <c r="BG350" s="40" t="n">
        <v>3110</v>
      </c>
      <c r="BH350" s="40" t="n">
        <v>3383</v>
      </c>
      <c r="BI350" s="40" t="n">
        <v>3183</v>
      </c>
      <c r="BJ350" s="40" t="n">
        <v>3024</v>
      </c>
      <c r="BK350" s="40" t="n">
        <v>2594</v>
      </c>
      <c r="BL350" s="40" t="n">
        <v>2594</v>
      </c>
      <c r="BM350" s="40" t="n">
        <v>2645</v>
      </c>
      <c r="BN350" s="40" t="n">
        <v>2671</v>
      </c>
      <c r="BO350" s="40" t="n">
        <v>2678</v>
      </c>
      <c r="BP350" s="40" t="n">
        <v>2330</v>
      </c>
      <c r="BQ350" s="40" t="n">
        <v>2330</v>
      </c>
      <c r="BR350" s="40" t="n">
        <v>2532</v>
      </c>
      <c r="BS350" s="40" t="n">
        <v>2689</v>
      </c>
      <c r="BT350" s="40" t="n">
        <v>2674</v>
      </c>
      <c r="BU350" s="40" t="n">
        <v>2489</v>
      </c>
      <c r="BV350" s="40" t="n">
        <v>2489</v>
      </c>
      <c r="BW350" s="40" t="n">
        <v>2608</v>
      </c>
      <c r="BX350" s="40" t="n">
        <v>3260</v>
      </c>
      <c r="BY350" s="45"/>
      <c r="BZ350" s="45"/>
      <c r="CA350" s="41" t="n">
        <f aca="false">CA385*CA388/365</f>
        <v>2671.53914761147</v>
      </c>
      <c r="CB350" s="41" t="n">
        <f aca="false">CB385*CB388/365</f>
        <v>2861.40880947534</v>
      </c>
      <c r="CC350" s="41" t="n">
        <f aca="false">CC385*CC388/365</f>
        <v>2981.83358351358</v>
      </c>
      <c r="CD350" s="41" t="n">
        <f aca="false">CD385*CD388/365</f>
        <v>3128.06581062039</v>
      </c>
      <c r="CE350" s="41" t="n">
        <f aca="false">CE385*CE388/365</f>
        <v>3237.54299175005</v>
      </c>
      <c r="CF350" s="37"/>
    </row>
    <row r="351" customFormat="false" ht="15" hidden="false" customHeight="true" outlineLevel="0" collapsed="false">
      <c r="B351" s="27" t="s">
        <v>527</v>
      </c>
      <c r="C351" s="40" t="n">
        <v>396.7</v>
      </c>
      <c r="D351" s="40" t="n">
        <v>632.7</v>
      </c>
      <c r="E351" s="40" t="n">
        <v>757.3</v>
      </c>
      <c r="F351" s="40" t="n">
        <v>588.9</v>
      </c>
      <c r="G351" s="40" t="n">
        <v>652.3</v>
      </c>
      <c r="H351" s="40" t="n">
        <v>904.1</v>
      </c>
      <c r="I351" s="40" t="n">
        <v>828.4</v>
      </c>
      <c r="J351" s="40" t="n">
        <v>774.5</v>
      </c>
      <c r="K351" s="40" t="n">
        <v>713.7</v>
      </c>
      <c r="L351" s="40" t="n">
        <v>689.700000000001</v>
      </c>
      <c r="M351" s="40" t="n">
        <v>763.400000000001</v>
      </c>
      <c r="N351" s="40" t="n">
        <v>763.400000000001</v>
      </c>
      <c r="O351" s="40" t="n">
        <v>718.899999999999</v>
      </c>
      <c r="P351" s="40" t="n">
        <v>660.199999999999</v>
      </c>
      <c r="Q351" s="40" t="n">
        <v>592.1</v>
      </c>
      <c r="R351" s="40" t="n">
        <v>960.399999999999</v>
      </c>
      <c r="S351" s="40" t="n">
        <v>960.399999999999</v>
      </c>
      <c r="T351" s="40" t="n">
        <v>919.3</v>
      </c>
      <c r="U351" s="40" t="n">
        <v>835.1</v>
      </c>
      <c r="V351" s="40" t="n">
        <v>851.6</v>
      </c>
      <c r="W351" s="40" t="n">
        <v>986.4</v>
      </c>
      <c r="X351" s="40" t="n">
        <v>986.4</v>
      </c>
      <c r="Y351" s="40" t="n">
        <v>974</v>
      </c>
      <c r="Z351" s="40" t="n">
        <v>898.4</v>
      </c>
      <c r="AA351" s="40" t="n">
        <v>727.8</v>
      </c>
      <c r="AB351" s="40" t="n">
        <v>805.900000000001</v>
      </c>
      <c r="AC351" s="40" t="n">
        <v>805.900000000001</v>
      </c>
      <c r="AD351" s="40" t="n">
        <v>715.2</v>
      </c>
      <c r="AE351" s="40" t="n">
        <v>523.700000000001</v>
      </c>
      <c r="AF351" s="40" t="n">
        <v>464.7</v>
      </c>
      <c r="AG351" s="40" t="n">
        <v>857.1</v>
      </c>
      <c r="AH351" s="40" t="n">
        <v>857.1</v>
      </c>
      <c r="AI351" s="40" t="n">
        <v>809.600000000001</v>
      </c>
      <c r="AJ351" s="40" t="n">
        <v>732.000000000001</v>
      </c>
      <c r="AK351" s="40" t="n">
        <v>701.8</v>
      </c>
      <c r="AL351" s="40" t="n">
        <v>906.3</v>
      </c>
      <c r="AM351" s="40" t="n">
        <v>906.3</v>
      </c>
      <c r="AN351" s="40" t="n">
        <v>733.3</v>
      </c>
      <c r="AO351" s="40" t="n">
        <v>632.6</v>
      </c>
      <c r="AP351" s="40" t="n">
        <v>610.8</v>
      </c>
      <c r="AQ351" s="40" t="n">
        <v>864.599999999999</v>
      </c>
      <c r="AR351" s="40" t="n">
        <v>864.599999999999</v>
      </c>
      <c r="AS351" s="40" t="n">
        <v>766.6</v>
      </c>
      <c r="AT351" s="40" t="n">
        <v>833.199999999999</v>
      </c>
      <c r="AU351" s="40" t="n">
        <v>936.100000000001</v>
      </c>
      <c r="AV351" s="40" t="n">
        <v>1430</v>
      </c>
      <c r="AW351" s="40" t="n">
        <v>1430</v>
      </c>
      <c r="AX351" s="40" t="n">
        <v>1309</v>
      </c>
      <c r="AY351" s="40" t="n">
        <v>1420</v>
      </c>
      <c r="AZ351" s="40" t="n">
        <v>1293</v>
      </c>
      <c r="BA351" s="40" t="n">
        <v>1664</v>
      </c>
      <c r="BB351" s="40" t="n">
        <v>1664</v>
      </c>
      <c r="BC351" s="40" t="n">
        <v>1474</v>
      </c>
      <c r="BD351" s="40" t="n">
        <v>1461</v>
      </c>
      <c r="BE351" s="40" t="n">
        <v>1455</v>
      </c>
      <c r="BF351" s="40" t="n">
        <v>1860</v>
      </c>
      <c r="BG351" s="40" t="n">
        <v>1860</v>
      </c>
      <c r="BH351" s="40" t="n">
        <v>1457</v>
      </c>
      <c r="BI351" s="40" t="n">
        <v>1504</v>
      </c>
      <c r="BJ351" s="40" t="n">
        <v>1703</v>
      </c>
      <c r="BK351" s="40" t="n">
        <v>1557</v>
      </c>
      <c r="BL351" s="40" t="n">
        <v>1557</v>
      </c>
      <c r="BM351" s="40" t="n">
        <v>1317</v>
      </c>
      <c r="BN351" s="40" t="n">
        <v>1266</v>
      </c>
      <c r="BO351" s="40" t="n">
        <v>1248</v>
      </c>
      <c r="BP351" s="40" t="n">
        <v>1552</v>
      </c>
      <c r="BQ351" s="40" t="n">
        <v>1552</v>
      </c>
      <c r="BR351" s="40" t="n">
        <v>1494</v>
      </c>
      <c r="BS351" s="40" t="n">
        <v>1789</v>
      </c>
      <c r="BT351" s="40" t="n">
        <v>1649</v>
      </c>
      <c r="BU351" s="40" t="n">
        <v>1739</v>
      </c>
      <c r="BV351" s="40" t="n">
        <v>1739</v>
      </c>
      <c r="BW351" s="40" t="n">
        <v>1807</v>
      </c>
      <c r="BX351" s="40" t="n">
        <v>1808</v>
      </c>
      <c r="BY351" s="45"/>
      <c r="BZ351" s="45"/>
      <c r="CA351" s="41" t="n">
        <f aca="false">BX351</f>
        <v>1808</v>
      </c>
      <c r="CB351" s="41" t="n">
        <f aca="false">CA351</f>
        <v>1808</v>
      </c>
      <c r="CC351" s="41" t="n">
        <f aca="false">CB351</f>
        <v>1808</v>
      </c>
      <c r="CD351" s="41" t="n">
        <f aca="false">CC351</f>
        <v>1808</v>
      </c>
      <c r="CE351" s="41" t="n">
        <f aca="false">CD351</f>
        <v>1808</v>
      </c>
      <c r="CF351" s="37"/>
    </row>
    <row r="352" customFormat="false" ht="15" hidden="false" customHeight="true" outlineLevel="0" collapsed="false">
      <c r="B352" s="18" t="s">
        <v>528</v>
      </c>
      <c r="C352" s="44" t="n">
        <f aca="false">IF(ISNUMBER(C348),SUM(C348:C351),"")</f>
        <v>3394.9</v>
      </c>
      <c r="D352" s="44" t="n">
        <f aca="false">IF(ISNUMBER(D348),SUM(D348:D351),"")</f>
        <v>4049.8</v>
      </c>
      <c r="E352" s="44" t="n">
        <f aca="false">IF(ISNUMBER(E348),SUM(E348:E351),"")</f>
        <v>4187.1</v>
      </c>
      <c r="F352" s="44" t="n">
        <f aca="false">IF(ISNUMBER(F348),SUM(F348:F351),"")</f>
        <v>5220.6</v>
      </c>
      <c r="G352" s="44" t="n">
        <f aca="false">IF(ISNUMBER(G348),SUM(G348:G351),"")</f>
        <v>5729.5</v>
      </c>
      <c r="H352" s="44" t="n">
        <f aca="false">IF(ISNUMBER(H348),SUM(H348:H351),"")</f>
        <v>6272.4</v>
      </c>
      <c r="I352" s="44" t="n">
        <f aca="false">IF(ISNUMBER(I348),SUM(I348:I351),"")</f>
        <v>7587.8</v>
      </c>
      <c r="J352" s="44" t="n">
        <f aca="false">IF(ISNUMBER(J348),SUM(J348:J351),"")</f>
        <v>7910</v>
      </c>
      <c r="K352" s="44" t="n">
        <f aca="false">IF(ISNUMBER(K348),SUM(K348:K351),"")</f>
        <v>8231</v>
      </c>
      <c r="L352" s="44" t="n">
        <f aca="false">IF(ISNUMBER(L348),SUM(L348:L351),"")</f>
        <v>8023.7</v>
      </c>
      <c r="M352" s="44" t="n">
        <f aca="false">IF(ISNUMBER(M348),SUM(M348:M351),"")</f>
        <v>9113.7</v>
      </c>
      <c r="N352" s="44" t="n">
        <f aca="false">IF(ISNUMBER(N348),SUM(N348:N351),"")</f>
        <v>9113.7</v>
      </c>
      <c r="O352" s="44" t="n">
        <f aca="false">IF(ISNUMBER(O348),SUM(O348:O351),"")</f>
        <v>9404.3</v>
      </c>
      <c r="P352" s="44" t="n">
        <f aca="false">IF(ISNUMBER(P348),SUM(P348:P351),"")</f>
        <v>9507.3</v>
      </c>
      <c r="Q352" s="44" t="n">
        <f aca="false">IF(ISNUMBER(Q348),SUM(Q348:Q351),"")</f>
        <v>9989.5</v>
      </c>
      <c r="R352" s="44" t="n">
        <f aca="false">IF(ISNUMBER(R348),SUM(R348:R351),"")</f>
        <v>9431.3</v>
      </c>
      <c r="S352" s="44" t="n">
        <f aca="false">IF(ISNUMBER(S348),SUM(S348:S351),"")</f>
        <v>9431.3</v>
      </c>
      <c r="T352" s="44" t="n">
        <f aca="false">IF(ISNUMBER(T348),SUM(T348:T351),"")</f>
        <v>8774.4</v>
      </c>
      <c r="U352" s="44" t="n">
        <f aca="false">IF(ISNUMBER(U348),SUM(U348:U351),"")</f>
        <v>9654.5</v>
      </c>
      <c r="V352" s="44" t="n">
        <f aca="false">IF(ISNUMBER(V348),SUM(V348:V351),"")</f>
        <v>8931.8</v>
      </c>
      <c r="W352" s="44" t="n">
        <f aca="false">IF(ISNUMBER(W348),SUM(W348:W351),"")</f>
        <v>7836.7</v>
      </c>
      <c r="X352" s="44" t="n">
        <f aca="false">IF(ISNUMBER(X348),SUM(X348:X351),"")</f>
        <v>7836.7</v>
      </c>
      <c r="Y352" s="44" t="n">
        <f aca="false">IF(ISNUMBER(Y348),SUM(Y348:Y351),"")</f>
        <v>7747.2</v>
      </c>
      <c r="Z352" s="44" t="n">
        <f aca="false">IF(ISNUMBER(Z348),SUM(Z348:Z351),"")</f>
        <v>11231</v>
      </c>
      <c r="AA352" s="44" t="n">
        <f aca="false">IF(ISNUMBER(AA348),SUM(AA348:AA351),"")</f>
        <v>6493.2</v>
      </c>
      <c r="AB352" s="44" t="n">
        <f aca="false">IF(ISNUMBER(AB348),SUM(AB348:AB351),"")</f>
        <v>6665.1</v>
      </c>
      <c r="AC352" s="44" t="n">
        <f aca="false">IF(ISNUMBER(AC348),SUM(AC348:AC351),"")</f>
        <v>6665.1</v>
      </c>
      <c r="AD352" s="44" t="n">
        <f aca="false">IF(ISNUMBER(AD348),SUM(AD348:AD351),"")</f>
        <v>6318.9</v>
      </c>
      <c r="AE352" s="44" t="n">
        <f aca="false">IF(ISNUMBER(AE348),SUM(AE348:AE351),"")</f>
        <v>6256.6</v>
      </c>
      <c r="AF352" s="44" t="n">
        <f aca="false">IF(ISNUMBER(AF348),SUM(AF348:AF351),"")</f>
        <v>6260.2</v>
      </c>
      <c r="AG352" s="44" t="n">
        <f aca="false">IF(ISNUMBER(AG348),SUM(AG348:AG351),"")</f>
        <v>6850</v>
      </c>
      <c r="AH352" s="44" t="n">
        <f aca="false">IF(ISNUMBER(AH348),SUM(AH348:AH351),"")</f>
        <v>6850</v>
      </c>
      <c r="AI352" s="44" t="n">
        <f aca="false">IF(ISNUMBER(AI348),SUM(AI348:AI351),"")</f>
        <v>7075.1</v>
      </c>
      <c r="AJ352" s="44" t="n">
        <f aca="false">IF(ISNUMBER(AJ348),SUM(AJ348:AJ351),"")</f>
        <v>6913.1</v>
      </c>
      <c r="AK352" s="44" t="n">
        <f aca="false">IF(ISNUMBER(AK348),SUM(AK348:AK351),"")</f>
        <v>6830.5</v>
      </c>
      <c r="AL352" s="44" t="n">
        <f aca="false">IF(ISNUMBER(AL348),SUM(AL348:AL351),"")</f>
        <v>7093.8</v>
      </c>
      <c r="AM352" s="44" t="n">
        <f aca="false">IF(ISNUMBER(AM348),SUM(AM348:AM351),"")</f>
        <v>7093.8</v>
      </c>
      <c r="AN352" s="44" t="n">
        <f aca="false">IF(ISNUMBER(AN348),SUM(AN348:AN351),"")</f>
        <v>10080.4</v>
      </c>
      <c r="AO352" s="44" t="n">
        <f aca="false">IF(ISNUMBER(AO348),SUM(AO348:AO351),"")</f>
        <v>11603.7</v>
      </c>
      <c r="AP352" s="44" t="n">
        <f aca="false">IF(ISNUMBER(AP348),SUM(AP348:AP351),"")</f>
        <v>20353.7</v>
      </c>
      <c r="AQ352" s="44" t="n">
        <f aca="false">IF(ISNUMBER(AQ348),SUM(AQ348:AQ351),"")</f>
        <v>25596.6</v>
      </c>
      <c r="AR352" s="44" t="n">
        <f aca="false">IF(ISNUMBER(AR348),SUM(AR348:AR351),"")</f>
        <v>25596.6</v>
      </c>
      <c r="AS352" s="44" t="n">
        <f aca="false">IF(ISNUMBER(AS348),SUM(AS348:AS351),"")</f>
        <v>11142.6</v>
      </c>
      <c r="AT352" s="44" t="n">
        <f aca="false">IF(ISNUMBER(AT348),SUM(AT348:AT351),"")</f>
        <v>12343.8</v>
      </c>
      <c r="AU352" s="44" t="n">
        <f aca="false">IF(ISNUMBER(AU348),SUM(AU348:AU351),"")</f>
        <v>12541.2</v>
      </c>
      <c r="AV352" s="44" t="n">
        <f aca="false">IF(ISNUMBER(AV348),SUM(AV348:AV351),"")</f>
        <v>13802</v>
      </c>
      <c r="AW352" s="44" t="n">
        <f aca="false">IF(ISNUMBER(AW348),SUM(AW348:AW351),"")</f>
        <v>13802</v>
      </c>
      <c r="AX352" s="44" t="n">
        <f aca="false">IF(ISNUMBER(AX348),SUM(AX348:AX351),"")</f>
        <v>14012</v>
      </c>
      <c r="AY352" s="44" t="n">
        <f aca="false">IF(ISNUMBER(AY348),SUM(AY348:AY351),"")</f>
        <v>15392</v>
      </c>
      <c r="AZ352" s="44" t="n">
        <f aca="false">IF(ISNUMBER(AZ348),SUM(AZ348:AZ351),"")</f>
        <v>10776</v>
      </c>
      <c r="BA352" s="44" t="n">
        <f aca="false">IF(ISNUMBER(BA348),SUM(BA348:BA351),"")</f>
        <v>11648</v>
      </c>
      <c r="BB352" s="44" t="n">
        <f aca="false">IF(ISNUMBER(BB348),SUM(BB348:BB351),"")</f>
        <v>11648</v>
      </c>
      <c r="BC352" s="44" t="n">
        <f aca="false">IF(ISNUMBER(BC348),SUM(BC348:BC351),"")</f>
        <v>12670</v>
      </c>
      <c r="BD352" s="44" t="n">
        <f aca="false">IF(ISNUMBER(BD348),SUM(BD348:BD351),"")</f>
        <v>13229</v>
      </c>
      <c r="BE352" s="44" t="n">
        <f aca="false">IF(ISNUMBER(BE348),SUM(BE348:BE351),"")</f>
        <v>14250</v>
      </c>
      <c r="BF352" s="44" t="n">
        <f aca="false">IF(ISNUMBER(BF348),SUM(BF348:BF351),"")</f>
        <v>15883</v>
      </c>
      <c r="BG352" s="44" t="n">
        <f aca="false">IF(ISNUMBER(BG348),SUM(BG348:BG351),"")</f>
        <v>15883</v>
      </c>
      <c r="BH352" s="44" t="n">
        <f aca="false">IF(ISNUMBER(BH348),SUM(BH348:BH351),"")</f>
        <v>16532</v>
      </c>
      <c r="BI352" s="44" t="n">
        <f aca="false">IF(ISNUMBER(BI348),SUM(BI348:BI351),"")</f>
        <v>17461</v>
      </c>
      <c r="BJ352" s="44" t="n">
        <f aca="false">IF(ISNUMBER(BJ348),SUM(BJ348:BJ351),"")</f>
        <v>21205</v>
      </c>
      <c r="BK352" s="44" t="n">
        <f aca="false">IF(ISNUMBER(BK348),SUM(BK348:BK351),"")</f>
        <v>13937</v>
      </c>
      <c r="BL352" s="44" t="n">
        <f aca="false">IF(ISNUMBER(BL348),SUM(BL348:BL351),"")</f>
        <v>13937</v>
      </c>
      <c r="BM352" s="44" t="n">
        <f aca="false">IF(ISNUMBER(BM348),SUM(BM348:BM351),"")</f>
        <v>14372</v>
      </c>
      <c r="BN352" s="44" t="n">
        <f aca="false">IF(ISNUMBER(BN348),SUM(BN348:BN351),"")</f>
        <v>9609</v>
      </c>
      <c r="BO352" s="44" t="n">
        <f aca="false">IF(ISNUMBER(BO348),SUM(BO348:BO351),"")</f>
        <v>10060</v>
      </c>
      <c r="BP352" s="44" t="n">
        <f aca="false">IF(ISNUMBER(BP348),SUM(BP348:BP351),"")</f>
        <v>9497</v>
      </c>
      <c r="BQ352" s="44" t="n">
        <f aca="false">IF(ISNUMBER(BQ348),SUM(BQ348:BQ351),"")</f>
        <v>9497</v>
      </c>
      <c r="BR352" s="44" t="n">
        <f aca="false">IF(ISNUMBER(BR348),SUM(BR348:BR351),"")</f>
        <v>9525</v>
      </c>
      <c r="BS352" s="44" t="n">
        <f aca="false">IF(ISNUMBER(BS348),SUM(BS348:BS351),"")</f>
        <v>10999</v>
      </c>
      <c r="BT352" s="44" t="n">
        <f aca="false">IF(ISNUMBER(BT348),SUM(BT348:BT351),"")</f>
        <v>9606</v>
      </c>
      <c r="BU352" s="44" t="n">
        <f aca="false">IF(ISNUMBER(BU348),SUM(BU348:BU351),"")</f>
        <v>12756</v>
      </c>
      <c r="BV352" s="44" t="n">
        <f aca="false">IF(ISNUMBER(BV348),SUM(BV348:BV351),"")</f>
        <v>12756</v>
      </c>
      <c r="BW352" s="44" t="n">
        <f aca="false">IF(ISNUMBER(BW348),SUM(BW348:BW351),"")</f>
        <v>13935</v>
      </c>
      <c r="BX352" s="44" t="n">
        <f aca="false">IF(ISNUMBER(BX348),SUM(BX348:BX351),"")</f>
        <v>13381</v>
      </c>
      <c r="BY352" s="59"/>
      <c r="BZ352" s="59"/>
      <c r="CA352" s="21" t="n">
        <f aca="false">IF(ISNUMBER(CA348),SUM(CA348:CA351),"")</f>
        <v>10690.2468243238</v>
      </c>
      <c r="CB352" s="21" t="n">
        <f aca="false">IF(ISNUMBER(CB348),SUM(CB348:CB351),"")</f>
        <v>11695.1253724744</v>
      </c>
      <c r="CC352" s="21" t="n">
        <f aca="false">IF(ISNUMBER(CC348),SUM(CC348:CC351),"")</f>
        <v>11697.5180511582</v>
      </c>
      <c r="CD352" s="21" t="n">
        <f aca="false">IF(ISNUMBER(CD348),SUM(CD348:CD351),"")</f>
        <v>12191.5071826872</v>
      </c>
      <c r="CE352" s="21" t="n">
        <f aca="false">IF(ISNUMBER(CE348),SUM(CE348:CE351),"")</f>
        <v>12676.132611065</v>
      </c>
      <c r="CF352" s="7"/>
    </row>
    <row r="353" customFormat="false" ht="15" hidden="false" customHeight="true" outlineLevel="0" collapsed="false">
      <c r="B353" s="27" t="s">
        <v>529</v>
      </c>
      <c r="C353" s="40" t="n">
        <v>874.4</v>
      </c>
      <c r="D353" s="40" t="n">
        <v>1108.6</v>
      </c>
      <c r="E353" s="40" t="n">
        <v>1108.7</v>
      </c>
      <c r="F353" s="40" t="n">
        <v>1143.3</v>
      </c>
      <c r="G353" s="40" t="n">
        <v>1192.3</v>
      </c>
      <c r="H353" s="40" t="n">
        <v>2101</v>
      </c>
      <c r="I353" s="40" t="n">
        <v>2140.9</v>
      </c>
      <c r="J353" s="40" t="n">
        <v>2109.9</v>
      </c>
      <c r="K353" s="40" t="n">
        <v>2148.9</v>
      </c>
      <c r="L353" s="40" t="n">
        <v>2179.2</v>
      </c>
      <c r="M353" s="40" t="n">
        <v>2211.3</v>
      </c>
      <c r="N353" s="40" t="n">
        <v>2211.3</v>
      </c>
      <c r="O353" s="40" t="n">
        <v>2182.6</v>
      </c>
      <c r="P353" s="40" t="n">
        <v>2232.1</v>
      </c>
      <c r="Q353" s="40" t="n">
        <v>2161.6</v>
      </c>
      <c r="R353" s="40" t="n">
        <v>2203</v>
      </c>
      <c r="S353" s="40" t="n">
        <v>2203</v>
      </c>
      <c r="T353" s="40" t="n">
        <v>2135.9</v>
      </c>
      <c r="U353" s="40" t="n">
        <v>2161.3</v>
      </c>
      <c r="V353" s="40" t="n">
        <v>2791.6</v>
      </c>
      <c r="W353" s="40" t="n">
        <v>2825.6</v>
      </c>
      <c r="X353" s="40" t="n">
        <v>2825.6</v>
      </c>
      <c r="Y353" s="40" t="n">
        <v>2872.5</v>
      </c>
      <c r="Z353" s="40" t="n">
        <v>2784.8</v>
      </c>
      <c r="AA353" s="40" t="n">
        <v>2255.1</v>
      </c>
      <c r="AB353" s="40" t="n">
        <v>2354</v>
      </c>
      <c r="AC353" s="40" t="n">
        <v>2354</v>
      </c>
      <c r="AD353" s="40" t="n">
        <v>2408.7</v>
      </c>
      <c r="AE353" s="40" t="n">
        <v>2422.8</v>
      </c>
      <c r="AF353" s="40" t="n">
        <v>2424.9</v>
      </c>
      <c r="AG353" s="40" t="n">
        <v>2454.6</v>
      </c>
      <c r="AH353" s="40" t="n">
        <v>2454.6</v>
      </c>
      <c r="AI353" s="40" t="n">
        <v>2475.9</v>
      </c>
      <c r="AJ353" s="40" t="n">
        <v>2492.9</v>
      </c>
      <c r="AK353" s="40" t="n">
        <v>2462.3</v>
      </c>
      <c r="AL353" s="40" t="n">
        <v>2511.2</v>
      </c>
      <c r="AM353" s="40" t="n">
        <v>2511.2</v>
      </c>
      <c r="AN353" s="40" t="n">
        <v>2504.3</v>
      </c>
      <c r="AO353" s="40" t="n">
        <v>2541.6</v>
      </c>
      <c r="AP353" s="40" t="n">
        <v>2519.6</v>
      </c>
      <c r="AQ353" s="40" t="n">
        <v>2302</v>
      </c>
      <c r="AR353" s="40" t="n">
        <v>2302</v>
      </c>
      <c r="AS353" s="40" t="n">
        <v>2988.5</v>
      </c>
      <c r="AT353" s="40" t="n">
        <v>2972.9</v>
      </c>
      <c r="AU353" s="40" t="n">
        <v>3052.3</v>
      </c>
      <c r="AV353" s="40" t="n">
        <v>3262</v>
      </c>
      <c r="AW353" s="40" t="n">
        <v>3262</v>
      </c>
      <c r="AX353" s="40" t="n">
        <v>3266</v>
      </c>
      <c r="AY353" s="40" t="n">
        <v>3410</v>
      </c>
      <c r="AZ353" s="40" t="n">
        <v>3640</v>
      </c>
      <c r="BA353" s="40" t="n">
        <v>3790</v>
      </c>
      <c r="BB353" s="40" t="n">
        <v>3790</v>
      </c>
      <c r="BC353" s="40" t="n">
        <v>3815</v>
      </c>
      <c r="BD353" s="40" t="n">
        <v>3794</v>
      </c>
      <c r="BE353" s="40" t="n">
        <v>3719</v>
      </c>
      <c r="BF353" s="40" t="n">
        <v>3956</v>
      </c>
      <c r="BG353" s="40" t="n">
        <v>3956</v>
      </c>
      <c r="BH353" s="40" t="n">
        <v>4065</v>
      </c>
      <c r="BI353" s="40" t="n">
        <v>4176</v>
      </c>
      <c r="BJ353" s="40" t="n">
        <v>4302</v>
      </c>
      <c r="BK353" s="40" t="n">
        <v>4553</v>
      </c>
      <c r="BL353" s="40" t="n">
        <v>4553</v>
      </c>
      <c r="BM353" s="40" t="n">
        <v>4562</v>
      </c>
      <c r="BN353" s="40" t="n">
        <v>4643</v>
      </c>
      <c r="BO353" s="40" t="n">
        <v>4843</v>
      </c>
      <c r="BP353" s="40" t="n">
        <v>4990</v>
      </c>
      <c r="BQ353" s="40" t="n">
        <v>4990</v>
      </c>
      <c r="BR353" s="40" t="n">
        <v>5110</v>
      </c>
      <c r="BS353" s="40" t="n">
        <v>5309</v>
      </c>
      <c r="BT353" s="40" t="n">
        <v>5376</v>
      </c>
      <c r="BU353" s="40" t="n">
        <v>5531</v>
      </c>
      <c r="BV353" s="40" t="n">
        <v>5531</v>
      </c>
      <c r="BW353" s="40" t="n">
        <v>5468</v>
      </c>
      <c r="BX353" s="40" t="n">
        <v>5825</v>
      </c>
      <c r="BY353" s="45"/>
      <c r="BZ353" s="45"/>
      <c r="CA353" s="41" t="n">
        <f aca="false">BX353-(CA303-(BW303+BX303))-(BY170+BZ170)+CA91*0.05</f>
        <v>6115.44801972823</v>
      </c>
      <c r="CB353" s="41" t="n">
        <f aca="false">CA353-CB303-CB170+CB97*CB105</f>
        <v>6571.24870677919</v>
      </c>
      <c r="CC353" s="41" t="n">
        <f aca="false">CB353-CC303-CC170+CC97*CC105</f>
        <v>7103.63263142857</v>
      </c>
      <c r="CD353" s="41" t="n">
        <f aca="false">CC353-CD303-CD170+CD97*CD105</f>
        <v>7691.65513851929</v>
      </c>
      <c r="CE353" s="41" t="n">
        <f aca="false">CD353-CE303-CE170+CE97*CE105</f>
        <v>8312.7294998072</v>
      </c>
      <c r="CF353" s="37" t="s">
        <v>530</v>
      </c>
    </row>
    <row r="354" customFormat="false" ht="15" hidden="false" customHeight="true" outlineLevel="0" collapsed="false">
      <c r="B354" s="27" t="s">
        <v>531</v>
      </c>
      <c r="C354" s="40" t="n">
        <v>300.500000000001</v>
      </c>
      <c r="D354" s="40" t="n">
        <v>507.500000000002</v>
      </c>
      <c r="E354" s="40" t="n">
        <v>464.299999999997</v>
      </c>
      <c r="F354" s="40" t="n">
        <v>758.100000000002</v>
      </c>
      <c r="G354" s="40" t="n">
        <v>1212.4</v>
      </c>
      <c r="H354" s="40" t="n">
        <v>1261.5</v>
      </c>
      <c r="I354" s="40" t="n">
        <v>1406.3</v>
      </c>
      <c r="J354" s="40" t="n">
        <v>941.599999999999</v>
      </c>
      <c r="K354" s="40" t="n">
        <v>998.399999999998</v>
      </c>
      <c r="L354" s="40" t="n">
        <v>1149.4</v>
      </c>
      <c r="M354" s="40" t="n">
        <v>1061.3</v>
      </c>
      <c r="N354" s="40" t="n">
        <v>1061.3</v>
      </c>
      <c r="O354" s="40" t="n">
        <v>1094.8</v>
      </c>
      <c r="P354" s="40" t="n">
        <v>1145.2</v>
      </c>
      <c r="Q354" s="40" t="n">
        <v>1192.2</v>
      </c>
      <c r="R354" s="40" t="n">
        <v>1024</v>
      </c>
      <c r="S354" s="40" t="n">
        <v>1024</v>
      </c>
      <c r="T354" s="40" t="n">
        <v>1092.1</v>
      </c>
      <c r="U354" s="40" t="n">
        <v>1138.60000000001</v>
      </c>
      <c r="V354" s="40" t="n">
        <v>1165.30000000001</v>
      </c>
      <c r="W354" s="40" t="n">
        <v>1219.3</v>
      </c>
      <c r="X354" s="40" t="n">
        <v>1219.3</v>
      </c>
      <c r="Y354" s="40" t="n">
        <v>1016.7</v>
      </c>
      <c r="Z354" s="40" t="n">
        <v>1026.1</v>
      </c>
      <c r="AA354" s="40" t="n">
        <v>660.400000000003</v>
      </c>
      <c r="AB354" s="40" t="n">
        <v>631.300000000003</v>
      </c>
      <c r="AC354" s="40" t="n">
        <v>631.300000000003</v>
      </c>
      <c r="AD354" s="40" t="n">
        <v>685.700000000001</v>
      </c>
      <c r="AE354" s="40" t="n">
        <v>693.900000000003</v>
      </c>
      <c r="AF354" s="40" t="n">
        <v>689.100000000006</v>
      </c>
      <c r="AG354" s="40" t="n">
        <v>538.300000000001</v>
      </c>
      <c r="AH354" s="40" t="n">
        <v>538.300000000001</v>
      </c>
      <c r="AI354" s="40" t="n">
        <v>575.299999999996</v>
      </c>
      <c r="AJ354" s="40" t="n">
        <v>547.400000000003</v>
      </c>
      <c r="AK354" s="40" t="n">
        <v>577.299999999998</v>
      </c>
      <c r="AL354" s="40" t="n">
        <v>648.4</v>
      </c>
      <c r="AM354" s="40" t="n">
        <v>648.4</v>
      </c>
      <c r="AN354" s="40" t="n">
        <v>1646.4</v>
      </c>
      <c r="AO354" s="40" t="n">
        <v>1678.1</v>
      </c>
      <c r="AP354" s="40" t="n">
        <v>1787.1</v>
      </c>
      <c r="AQ354" s="40" t="n">
        <v>1720.8</v>
      </c>
      <c r="AR354" s="40" t="n">
        <v>1720.8</v>
      </c>
      <c r="AS354" s="40" t="n">
        <v>2561.10000000001</v>
      </c>
      <c r="AT354" s="40" t="n">
        <v>2280.09999999999</v>
      </c>
      <c r="AU354" s="40" t="n">
        <v>2173.3</v>
      </c>
      <c r="AV354" s="40" t="n">
        <v>2395</v>
      </c>
      <c r="AW354" s="40" t="n">
        <v>2395</v>
      </c>
      <c r="AX354" s="40" t="n">
        <v>2875</v>
      </c>
      <c r="AY354" s="40" t="n">
        <v>3118</v>
      </c>
      <c r="AZ354" s="40" t="n">
        <v>3470</v>
      </c>
      <c r="BA354" s="40" t="n">
        <v>3719</v>
      </c>
      <c r="BB354" s="40" t="n">
        <v>3719</v>
      </c>
      <c r="BC354" s="40" t="n">
        <v>4098</v>
      </c>
      <c r="BD354" s="40" t="n">
        <v>4600</v>
      </c>
      <c r="BE354" s="40" t="n">
        <v>4846</v>
      </c>
      <c r="BF354" s="40" t="n">
        <v>4459</v>
      </c>
      <c r="BG354" s="40" t="n">
        <v>4459</v>
      </c>
      <c r="BH354" s="40" t="n">
        <v>4611</v>
      </c>
      <c r="BI354" s="40" t="n">
        <v>4372</v>
      </c>
      <c r="BJ354" s="40" t="n">
        <v>4286</v>
      </c>
      <c r="BK354" s="40" t="n">
        <v>3644</v>
      </c>
      <c r="BL354" s="40" t="n">
        <v>3644</v>
      </c>
      <c r="BM354" s="40" t="n">
        <v>3734</v>
      </c>
      <c r="BN354" s="40" t="n">
        <v>3953</v>
      </c>
      <c r="BO354" s="40" t="n">
        <v>3685</v>
      </c>
      <c r="BP354" s="40" t="n">
        <v>3990</v>
      </c>
      <c r="BQ354" s="40" t="n">
        <v>3990</v>
      </c>
      <c r="BR354" s="40" t="n">
        <v>3939</v>
      </c>
      <c r="BS354" s="40" t="n">
        <v>3692</v>
      </c>
      <c r="BT354" s="40" t="n">
        <v>3870</v>
      </c>
      <c r="BU354" s="40" t="n">
        <v>4209</v>
      </c>
      <c r="BV354" s="40" t="n">
        <v>4209</v>
      </c>
      <c r="BW354" s="40" t="n">
        <v>4210</v>
      </c>
      <c r="BX354" s="40" t="n">
        <v>4389</v>
      </c>
      <c r="BY354" s="45"/>
      <c r="BZ354" s="45"/>
      <c r="CA354" s="41" t="n">
        <f aca="false">BX354-(CA307-(BW307+BX307))</f>
        <v>4389</v>
      </c>
      <c r="CB354" s="41" t="n">
        <f aca="false">CA354-CB307</f>
        <v>4489</v>
      </c>
      <c r="CC354" s="41" t="n">
        <f aca="false">CB354-CC307</f>
        <v>4589</v>
      </c>
      <c r="CD354" s="41" t="n">
        <f aca="false">CC354-CD307</f>
        <v>4689</v>
      </c>
      <c r="CE354" s="41" t="n">
        <f aca="false">CD354-CE307</f>
        <v>4789</v>
      </c>
      <c r="CF354" s="37" t="s">
        <v>532</v>
      </c>
    </row>
    <row r="355" customFormat="false" ht="15" hidden="false" customHeight="true" outlineLevel="0" collapsed="false">
      <c r="B355" s="27" t="s">
        <v>533</v>
      </c>
      <c r="C355" s="40" t="n">
        <v>6596.1</v>
      </c>
      <c r="D355" s="40" t="n">
        <v>9241</v>
      </c>
      <c r="E355" s="40" t="n">
        <v>9210.6</v>
      </c>
      <c r="F355" s="40" t="n">
        <v>9817.9</v>
      </c>
      <c r="G355" s="40" t="n">
        <v>10758.4</v>
      </c>
      <c r="H355" s="40" t="n">
        <v>14474.3</v>
      </c>
      <c r="I355" s="40" t="n">
        <v>15462</v>
      </c>
      <c r="J355" s="40" t="n">
        <v>15359.4</v>
      </c>
      <c r="K355" s="40" t="n">
        <v>15535.2</v>
      </c>
      <c r="L355" s="40" t="n">
        <v>16024.4</v>
      </c>
      <c r="M355" s="40" t="n">
        <v>16038.2</v>
      </c>
      <c r="N355" s="40" t="n">
        <v>16038.2</v>
      </c>
      <c r="O355" s="40" t="n">
        <v>16148.3</v>
      </c>
      <c r="P355" s="40" t="n">
        <v>16398.4</v>
      </c>
      <c r="Q355" s="40" t="n">
        <v>15978.7</v>
      </c>
      <c r="R355" s="40" t="n">
        <v>16964.2</v>
      </c>
      <c r="S355" s="40" t="n">
        <v>16964.2</v>
      </c>
      <c r="T355" s="40" t="n">
        <v>16711.5</v>
      </c>
      <c r="U355" s="40" t="n">
        <v>16935.1</v>
      </c>
      <c r="V355" s="40" t="n">
        <v>25128.7</v>
      </c>
      <c r="W355" s="40" t="n">
        <v>25070.3</v>
      </c>
      <c r="X355" s="40" t="n">
        <v>25070.3</v>
      </c>
      <c r="Y355" s="40" t="n">
        <v>25485.4</v>
      </c>
      <c r="Z355" s="40" t="n">
        <v>25378.3</v>
      </c>
      <c r="AA355" s="40" t="n">
        <v>21580.9</v>
      </c>
      <c r="AB355" s="40" t="n">
        <v>23826.9</v>
      </c>
      <c r="AC355" s="40" t="n">
        <v>23826.9</v>
      </c>
      <c r="AD355" s="40" t="n">
        <v>24015</v>
      </c>
      <c r="AE355" s="40" t="n">
        <v>24523.6</v>
      </c>
      <c r="AF355" s="40" t="n">
        <v>24783.8</v>
      </c>
      <c r="AG355" s="40" t="n">
        <v>25138.6</v>
      </c>
      <c r="AH355" s="40" t="n">
        <v>25138.6</v>
      </c>
      <c r="AI355" s="40" t="n">
        <v>25437.9</v>
      </c>
      <c r="AJ355" s="40" t="n">
        <v>25916.5</v>
      </c>
      <c r="AK355" s="40" t="n">
        <v>26035</v>
      </c>
      <c r="AL355" s="40" t="n">
        <v>25906</v>
      </c>
      <c r="AM355" s="40" t="n">
        <v>25906</v>
      </c>
      <c r="AN355" s="40" t="n">
        <v>26001.4</v>
      </c>
      <c r="AO355" s="40" t="n">
        <v>26074.5</v>
      </c>
      <c r="AP355" s="40" t="n">
        <v>25724.8</v>
      </c>
      <c r="AQ355" s="40" t="n">
        <v>22712.5</v>
      </c>
      <c r="AR355" s="40" t="n">
        <v>22712.5</v>
      </c>
      <c r="AS355" s="40" t="n">
        <v>33725.5</v>
      </c>
      <c r="AT355" s="40" t="n">
        <v>33227.1</v>
      </c>
      <c r="AU355" s="40" t="n">
        <v>34269.7</v>
      </c>
      <c r="AV355" s="40" t="n">
        <v>35420</v>
      </c>
      <c r="AW355" s="40" t="n">
        <v>35420</v>
      </c>
      <c r="AX355" s="40" t="n">
        <v>34880</v>
      </c>
      <c r="AY355" s="40" t="n">
        <v>35590</v>
      </c>
      <c r="AZ355" s="40" t="n">
        <v>41237</v>
      </c>
      <c r="BA355" s="40" t="n">
        <v>41184</v>
      </c>
      <c r="BB355" s="40" t="n">
        <v>41184</v>
      </c>
      <c r="BC355" s="40" t="n">
        <v>40663</v>
      </c>
      <c r="BD355" s="40" t="n">
        <v>39276</v>
      </c>
      <c r="BE355" s="40" t="n">
        <v>38251</v>
      </c>
      <c r="BF355" s="40" t="n">
        <v>39752</v>
      </c>
      <c r="BG355" s="40" t="n">
        <v>39752</v>
      </c>
      <c r="BH355" s="40" t="n">
        <v>39856</v>
      </c>
      <c r="BI355" s="40" t="n">
        <v>39576</v>
      </c>
      <c r="BJ355" s="40" t="n">
        <v>39155</v>
      </c>
      <c r="BK355" s="40" t="n">
        <v>41608</v>
      </c>
      <c r="BL355" s="40" t="n">
        <v>41608</v>
      </c>
      <c r="BM355" s="40" t="n">
        <v>40846</v>
      </c>
      <c r="BN355" s="40" t="n">
        <v>40805</v>
      </c>
      <c r="BO355" s="40" t="n">
        <v>42173</v>
      </c>
      <c r="BP355" s="40" t="n">
        <v>40497</v>
      </c>
      <c r="BQ355" s="40" t="n">
        <v>40497</v>
      </c>
      <c r="BR355" s="40" t="n">
        <v>41657</v>
      </c>
      <c r="BS355" s="40" t="n">
        <v>42991</v>
      </c>
      <c r="BT355" s="40" t="n">
        <v>42948</v>
      </c>
      <c r="BU355" s="40" t="n">
        <v>43151</v>
      </c>
      <c r="BV355" s="40" t="n">
        <v>43151</v>
      </c>
      <c r="BW355" s="40" t="n">
        <v>42765</v>
      </c>
      <c r="BX355" s="40" t="n">
        <v>47414</v>
      </c>
      <c r="BY355" s="45"/>
      <c r="BZ355" s="45"/>
      <c r="CA355" s="41" t="n">
        <f aca="false">BX355+CA91*(1-0.05-CA93)</f>
        <v>48527.75</v>
      </c>
      <c r="CB355" s="41" t="n">
        <f aca="false">CA355+CB97*(1-CB105-CB106)</f>
        <v>49077.75</v>
      </c>
      <c r="CC355" s="41" t="n">
        <f aca="false">CB355+CC97*(1-CC105-CC106)</f>
        <v>50177.75</v>
      </c>
      <c r="CD355" s="41" t="n">
        <f aca="false">CC355+CD97*(1-CD105-CD106)</f>
        <v>51552.75</v>
      </c>
      <c r="CE355" s="41" t="n">
        <f aca="false">CD355+CE97*(1-CE105-CE106)</f>
        <v>52927.75</v>
      </c>
      <c r="CF355" s="37"/>
    </row>
    <row r="356" customFormat="false" ht="15" hidden="false" customHeight="true" outlineLevel="0" collapsed="false">
      <c r="B356" s="27" t="s">
        <v>534</v>
      </c>
      <c r="C356" s="40" t="n">
        <v>1698.3</v>
      </c>
      <c r="D356" s="40" t="n">
        <v>2565</v>
      </c>
      <c r="E356" s="40" t="n">
        <v>2519.4</v>
      </c>
      <c r="F356" s="40" t="n">
        <v>2655.5</v>
      </c>
      <c r="G356" s="40" t="n">
        <v>3324.5</v>
      </c>
      <c r="H356" s="40" t="n">
        <v>5840.2</v>
      </c>
      <c r="I356" s="40" t="n">
        <v>6344</v>
      </c>
      <c r="J356" s="40" t="n">
        <v>6148.4</v>
      </c>
      <c r="K356" s="40" t="n">
        <v>6195.5</v>
      </c>
      <c r="L356" s="40" t="n">
        <v>6344.5</v>
      </c>
      <c r="M356" s="40" t="n">
        <v>6247.7</v>
      </c>
      <c r="N356" s="40" t="n">
        <v>6247.7</v>
      </c>
      <c r="O356" s="40" t="n">
        <v>6212.6</v>
      </c>
      <c r="P356" s="40" t="n">
        <v>6369.1</v>
      </c>
      <c r="Q356" s="40" t="n">
        <v>6213.9</v>
      </c>
      <c r="R356" s="40" t="n">
        <v>7369.2</v>
      </c>
      <c r="S356" s="40" t="n">
        <v>7369.2</v>
      </c>
      <c r="T356" s="40" t="n">
        <v>7358.4</v>
      </c>
      <c r="U356" s="40" t="n">
        <v>7097.3</v>
      </c>
      <c r="V356" s="40" t="n">
        <v>11690.5</v>
      </c>
      <c r="W356" s="40" t="n">
        <v>11270.3</v>
      </c>
      <c r="X356" s="40" t="n">
        <v>11270.3</v>
      </c>
      <c r="Y356" s="40" t="n">
        <v>11263.8</v>
      </c>
      <c r="Z356" s="40" t="n">
        <v>11083.5</v>
      </c>
      <c r="AA356" s="40" t="n">
        <v>10307.9</v>
      </c>
      <c r="AB356" s="40" t="n">
        <v>11818</v>
      </c>
      <c r="AC356" s="40" t="n">
        <v>11818</v>
      </c>
      <c r="AD356" s="40" t="n">
        <v>11816.8</v>
      </c>
      <c r="AE356" s="40" t="n">
        <v>11749.9</v>
      </c>
      <c r="AF356" s="40" t="n">
        <v>11693.3</v>
      </c>
      <c r="AG356" s="40" t="n">
        <v>11667.1</v>
      </c>
      <c r="AH356" s="40" t="n">
        <v>11667.1</v>
      </c>
      <c r="AI356" s="40" t="n">
        <v>11581</v>
      </c>
      <c r="AJ356" s="40" t="n">
        <v>12185.9</v>
      </c>
      <c r="AK356" s="40" t="n">
        <v>11814.4</v>
      </c>
      <c r="AL356" s="40" t="n">
        <v>11673.1</v>
      </c>
      <c r="AM356" s="40" t="n">
        <v>11673.1</v>
      </c>
      <c r="AN356" s="40" t="n">
        <v>11541.9</v>
      </c>
      <c r="AO356" s="40" t="n">
        <v>11424.1</v>
      </c>
      <c r="AP356" s="40" t="n">
        <v>11145.9</v>
      </c>
      <c r="AQ356" s="40" t="n">
        <v>9749.7</v>
      </c>
      <c r="AR356" s="40" t="n">
        <v>9749.7</v>
      </c>
      <c r="AS356" s="40" t="n">
        <v>18512.6</v>
      </c>
      <c r="AT356" s="40" t="n">
        <v>20444.5</v>
      </c>
      <c r="AU356" s="40" t="n">
        <v>20854.2</v>
      </c>
      <c r="AV356" s="40" t="n">
        <v>21282</v>
      </c>
      <c r="AW356" s="40" t="n">
        <v>21282</v>
      </c>
      <c r="AX356" s="40" t="n">
        <v>20393</v>
      </c>
      <c r="AY356" s="40" t="n">
        <v>20517</v>
      </c>
      <c r="AZ356" s="40" t="n">
        <v>23375</v>
      </c>
      <c r="BA356" s="40" t="n">
        <v>22843</v>
      </c>
      <c r="BB356" s="40" t="n">
        <v>22843</v>
      </c>
      <c r="BC356" s="40" t="n">
        <v>22146</v>
      </c>
      <c r="BD356" s="40" t="n">
        <v>20907</v>
      </c>
      <c r="BE356" s="40" t="n">
        <v>19964</v>
      </c>
      <c r="BF356" s="40" t="n">
        <v>20300</v>
      </c>
      <c r="BG356" s="40" t="n">
        <v>20300</v>
      </c>
      <c r="BH356" s="40" t="n">
        <v>19976</v>
      </c>
      <c r="BI356" s="40" t="n">
        <v>19317</v>
      </c>
      <c r="BJ356" s="40" t="n">
        <v>18786</v>
      </c>
      <c r="BK356" s="40" t="n">
        <v>20746</v>
      </c>
      <c r="BL356" s="40" t="n">
        <v>20746</v>
      </c>
      <c r="BM356" s="40" t="n">
        <v>19888</v>
      </c>
      <c r="BN356" s="40" t="n">
        <v>19545</v>
      </c>
      <c r="BO356" s="40" t="n">
        <v>19854</v>
      </c>
      <c r="BP356" s="40" t="n">
        <v>18568</v>
      </c>
      <c r="BQ356" s="40" t="n">
        <v>18568</v>
      </c>
      <c r="BR356" s="40" t="n">
        <v>18885</v>
      </c>
      <c r="BS356" s="40" t="n">
        <v>18629</v>
      </c>
      <c r="BT356" s="40" t="n">
        <v>18097</v>
      </c>
      <c r="BU356" s="40" t="n">
        <v>17817</v>
      </c>
      <c r="BV356" s="40" t="n">
        <v>17817</v>
      </c>
      <c r="BW356" s="40" t="n">
        <v>17166</v>
      </c>
      <c r="BX356" s="40" t="n">
        <v>21358</v>
      </c>
      <c r="BY356" s="45"/>
      <c r="BZ356" s="45"/>
      <c r="CA356" s="41" t="n">
        <f aca="false">BX356-(BY204+BZ204)+CA91*CA93</f>
        <v>21165</v>
      </c>
      <c r="CB356" s="41" t="n">
        <f aca="false">CA356-CB204+CB97*CB106</f>
        <v>19655.4666666667</v>
      </c>
      <c r="CC356" s="41" t="n">
        <f aca="false">CB356-CC204+CC97*CC106</f>
        <v>18505.9333333333</v>
      </c>
      <c r="CD356" s="41" t="n">
        <f aca="false">CC356-CD204+CD97*CD106</f>
        <v>17496.4</v>
      </c>
      <c r="CE356" s="41" t="n">
        <f aca="false">CD356-CE204+CE97*CE106</f>
        <v>16620.2</v>
      </c>
      <c r="CF356" s="37" t="s">
        <v>535</v>
      </c>
    </row>
    <row r="357" customFormat="false" ht="15" hidden="false" customHeight="true" outlineLevel="0" collapsed="false">
      <c r="B357" s="62" t="s">
        <v>536</v>
      </c>
      <c r="C357" s="63" t="n">
        <f aca="false">IF(ISNUMBER(C348),C352+SUM(C353:C356),"")</f>
        <v>12864.2</v>
      </c>
      <c r="D357" s="63" t="n">
        <f aca="false">IF(ISNUMBER(D348),D352+SUM(D353:D356),"")</f>
        <v>17471.9</v>
      </c>
      <c r="E357" s="63" t="n">
        <f aca="false">IF(ISNUMBER(E348),E352+SUM(E353:E356),"")</f>
        <v>17490.1</v>
      </c>
      <c r="F357" s="63" t="n">
        <f aca="false">IF(ISNUMBER(F348),F352+SUM(F353:F356),"")</f>
        <v>19595.4</v>
      </c>
      <c r="G357" s="63" t="n">
        <f aca="false">IF(ISNUMBER(G348),G352+SUM(G353:G356),"")</f>
        <v>22217.1</v>
      </c>
      <c r="H357" s="63" t="n">
        <f aca="false">IF(ISNUMBER(H348),H352+SUM(H353:H356),"")</f>
        <v>29949.4</v>
      </c>
      <c r="I357" s="63" t="n">
        <f aca="false">IF(ISNUMBER(I348),I352+SUM(I353:I356),"")</f>
        <v>32941</v>
      </c>
      <c r="J357" s="63" t="n">
        <f aca="false">IF(ISNUMBER(J348),J352+SUM(J353:J356),"")</f>
        <v>32469.3</v>
      </c>
      <c r="K357" s="63" t="n">
        <f aca="false">IF(ISNUMBER(K348),K352+SUM(K353:K356),"")</f>
        <v>33109</v>
      </c>
      <c r="L357" s="63" t="n">
        <f aca="false">IF(ISNUMBER(L348),L352+SUM(L353:L356),"")</f>
        <v>33721.2</v>
      </c>
      <c r="M357" s="63" t="n">
        <f aca="false">IF(ISNUMBER(M348),M352+SUM(M353:M356),"")</f>
        <v>34672.2</v>
      </c>
      <c r="N357" s="63" t="n">
        <f aca="false">IF(ISNUMBER(N348),N352+SUM(N353:N356),"")</f>
        <v>34672.2</v>
      </c>
      <c r="O357" s="63" t="n">
        <f aca="false">IF(ISNUMBER(O348),O352+SUM(O353:O356),"")</f>
        <v>35042.6</v>
      </c>
      <c r="P357" s="63" t="n">
        <f aca="false">IF(ISNUMBER(P348),P352+SUM(P353:P356),"")</f>
        <v>35652.1</v>
      </c>
      <c r="Q357" s="63" t="n">
        <f aca="false">IF(ISNUMBER(Q348),Q352+SUM(Q353:Q356),"")</f>
        <v>35535.9</v>
      </c>
      <c r="R357" s="63" t="n">
        <f aca="false">IF(ISNUMBER(R348),R352+SUM(R353:R356),"")</f>
        <v>36991.7</v>
      </c>
      <c r="S357" s="63" t="n">
        <f aca="false">IF(ISNUMBER(S348),S352+SUM(S353:S356),"")</f>
        <v>36991.7</v>
      </c>
      <c r="T357" s="63" t="n">
        <f aca="false">IF(ISNUMBER(T348),T352+SUM(T353:T356),"")</f>
        <v>36072.3</v>
      </c>
      <c r="U357" s="63" t="n">
        <f aca="false">IF(ISNUMBER(U348),U352+SUM(U353:U356),"")</f>
        <v>36986.8</v>
      </c>
      <c r="V357" s="63" t="n">
        <f aca="false">IF(ISNUMBER(V348),V352+SUM(V353:V356),"")</f>
        <v>49707.9</v>
      </c>
      <c r="W357" s="63" t="n">
        <f aca="false">IF(ISNUMBER(W348),W352+SUM(W353:W356),"")</f>
        <v>48222.2</v>
      </c>
      <c r="X357" s="63" t="n">
        <f aca="false">IF(ISNUMBER(X348),X352+SUM(X353:X356),"")</f>
        <v>48222.2</v>
      </c>
      <c r="Y357" s="63" t="n">
        <f aca="false">IF(ISNUMBER(Y348),Y352+SUM(Y353:Y356),"")</f>
        <v>48385.6</v>
      </c>
      <c r="Z357" s="63" t="n">
        <f aca="false">IF(ISNUMBER(Z348),Z352+SUM(Z353:Z356),"")</f>
        <v>51503.7</v>
      </c>
      <c r="AA357" s="63" t="n">
        <f aca="false">IF(ISNUMBER(AA348),AA352+SUM(AA353:AA356),"")</f>
        <v>41297.5</v>
      </c>
      <c r="AB357" s="63" t="n">
        <f aca="false">IF(ISNUMBER(AB348),AB352+SUM(AB353:AB356),"")</f>
        <v>45295.3</v>
      </c>
      <c r="AC357" s="63" t="n">
        <f aca="false">IF(ISNUMBER(AC348),AC352+SUM(AC353:AC356),"")</f>
        <v>45295.3</v>
      </c>
      <c r="AD357" s="63" t="n">
        <f aca="false">IF(ISNUMBER(AD348),AD352+SUM(AD353:AD356),"")</f>
        <v>45245.1</v>
      </c>
      <c r="AE357" s="63" t="n">
        <f aca="false">IF(ISNUMBER(AE348),AE352+SUM(AE353:AE356),"")</f>
        <v>45646.8</v>
      </c>
      <c r="AF357" s="63" t="n">
        <f aca="false">IF(ISNUMBER(AF348),AF352+SUM(AF353:AF356),"")</f>
        <v>45851.3</v>
      </c>
      <c r="AG357" s="63" t="n">
        <f aca="false">IF(ISNUMBER(AG348),AG352+SUM(AG353:AG356),"")</f>
        <v>46648.6</v>
      </c>
      <c r="AH357" s="63" t="n">
        <f aca="false">IF(ISNUMBER(AH348),AH352+SUM(AH353:AH356),"")</f>
        <v>46648.6</v>
      </c>
      <c r="AI357" s="63" t="n">
        <f aca="false">IF(ISNUMBER(AI348),AI352+SUM(AI353:AI356),"")</f>
        <v>47145.2</v>
      </c>
      <c r="AJ357" s="63" t="n">
        <f aca="false">IF(ISNUMBER(AJ348),AJ352+SUM(AJ353:AJ356),"")</f>
        <v>48055.8</v>
      </c>
      <c r="AK357" s="63" t="n">
        <f aca="false">IF(ISNUMBER(AK348),AK352+SUM(AK353:AK356),"")</f>
        <v>47719.5</v>
      </c>
      <c r="AL357" s="63" t="n">
        <f aca="false">IF(ISNUMBER(AL348),AL352+SUM(AL353:AL356),"")</f>
        <v>47832.5</v>
      </c>
      <c r="AM357" s="63" t="n">
        <f aca="false">IF(ISNUMBER(AM348),AM352+SUM(AM353:AM356),"")</f>
        <v>47832.5</v>
      </c>
      <c r="AN357" s="63" t="n">
        <f aca="false">IF(ISNUMBER(AN348),AN352+SUM(AN353:AN356),"")</f>
        <v>51774.4</v>
      </c>
      <c r="AO357" s="63" t="n">
        <f aca="false">IF(ISNUMBER(AO348),AO352+SUM(AO353:AO356),"")</f>
        <v>53322</v>
      </c>
      <c r="AP357" s="63" t="n">
        <f aca="false">IF(ISNUMBER(AP348),AP352+SUM(AP353:AP356),"")</f>
        <v>61531.1</v>
      </c>
      <c r="AQ357" s="63" t="n">
        <f aca="false">IF(ISNUMBER(AQ348),AQ352+SUM(AQ353:AQ356),"")</f>
        <v>62081.6</v>
      </c>
      <c r="AR357" s="63" t="n">
        <f aca="false">IF(ISNUMBER(AR348),AR352+SUM(AR353:AR356),"")</f>
        <v>62081.6</v>
      </c>
      <c r="AS357" s="63" t="n">
        <f aca="false">IF(ISNUMBER(AS348),AS352+SUM(AS353:AS356),"")</f>
        <v>68930.3</v>
      </c>
      <c r="AT357" s="63" t="n">
        <f aca="false">IF(ISNUMBER(AT348),AT352+SUM(AT353:AT356),"")</f>
        <v>71268.4</v>
      </c>
      <c r="AU357" s="63" t="n">
        <f aca="false">IF(ISNUMBER(AU348),AU352+SUM(AU353:AU356),"")</f>
        <v>72890.7</v>
      </c>
      <c r="AV357" s="63" t="n">
        <f aca="false">IF(ISNUMBER(AV348),AV352+SUM(AV353:AV356),"")</f>
        <v>76161</v>
      </c>
      <c r="AW357" s="63" t="n">
        <f aca="false">IF(ISNUMBER(AW348),AW352+SUM(AW353:AW356),"")</f>
        <v>76161</v>
      </c>
      <c r="AX357" s="63" t="n">
        <f aca="false">IF(ISNUMBER(AX348),AX352+SUM(AX353:AX356),"")</f>
        <v>75426</v>
      </c>
      <c r="AY357" s="63" t="n">
        <f aca="false">IF(ISNUMBER(AY348),AY352+SUM(AY353:AY356),"")</f>
        <v>78027</v>
      </c>
      <c r="AZ357" s="63" t="n">
        <f aca="false">IF(ISNUMBER(AZ348),AZ352+SUM(AZ353:AZ356),"")</f>
        <v>82498</v>
      </c>
      <c r="BA357" s="63" t="n">
        <f aca="false">IF(ISNUMBER(BA348),BA352+SUM(BA353:BA356),"")</f>
        <v>83184</v>
      </c>
      <c r="BB357" s="63" t="n">
        <f aca="false">IF(ISNUMBER(BB348),BB352+SUM(BB353:BB356),"")</f>
        <v>83184</v>
      </c>
      <c r="BC357" s="63" t="n">
        <f aca="false">IF(ISNUMBER(BC348),BC352+SUM(BC353:BC356),"")</f>
        <v>83392</v>
      </c>
      <c r="BD357" s="63" t="n">
        <f aca="false">IF(ISNUMBER(BD348),BD352+SUM(BD353:BD356),"")</f>
        <v>81806</v>
      </c>
      <c r="BE357" s="63" t="n">
        <f aca="false">IF(ISNUMBER(BE348),BE352+SUM(BE353:BE356),"")</f>
        <v>81030</v>
      </c>
      <c r="BF357" s="63" t="n">
        <f aca="false">IF(ISNUMBER(BF348),BF352+SUM(BF353:BF356),"")</f>
        <v>84350</v>
      </c>
      <c r="BG357" s="63" t="n">
        <f aca="false">IF(ISNUMBER(BG348),BG352+SUM(BG353:BG356),"")</f>
        <v>84350</v>
      </c>
      <c r="BH357" s="63" t="n">
        <f aca="false">IF(ISNUMBER(BH348),BH352+SUM(BH353:BH356),"")</f>
        <v>85040</v>
      </c>
      <c r="BI357" s="63" t="n">
        <f aca="false">IF(ISNUMBER(BI348),BI352+SUM(BI353:BI356),"")</f>
        <v>84902</v>
      </c>
      <c r="BJ357" s="63" t="n">
        <f aca="false">IF(ISNUMBER(BJ348),BJ352+SUM(BJ353:BJ356),"")</f>
        <v>87734</v>
      </c>
      <c r="BK357" s="63" t="n">
        <f aca="false">IF(ISNUMBER(BK348),BK352+SUM(BK353:BK356),"")</f>
        <v>84488</v>
      </c>
      <c r="BL357" s="63" t="n">
        <f aca="false">IF(ISNUMBER(BL348),BL352+SUM(BL353:BL356),"")</f>
        <v>84488</v>
      </c>
      <c r="BM357" s="63" t="n">
        <f aca="false">IF(ISNUMBER(BM348),BM352+SUM(BM353:BM356),"")</f>
        <v>83402</v>
      </c>
      <c r="BN357" s="63" t="n">
        <f aca="false">IF(ISNUMBER(BN348),BN352+SUM(BN353:BN356),"")</f>
        <v>78555</v>
      </c>
      <c r="BO357" s="63" t="n">
        <f aca="false">IF(ISNUMBER(BO348),BO352+SUM(BO353:BO356),"")</f>
        <v>80615</v>
      </c>
      <c r="BP357" s="63" t="n">
        <f aca="false">IF(ISNUMBER(BP348),BP352+SUM(BP353:BP356),"")</f>
        <v>77542</v>
      </c>
      <c r="BQ357" s="63" t="n">
        <f aca="false">IF(ISNUMBER(BQ348),BQ352+SUM(BQ353:BQ356),"")</f>
        <v>77542</v>
      </c>
      <c r="BR357" s="63" t="n">
        <f aca="false">IF(ISNUMBER(BR348),BR352+SUM(BR353:BR356),"")</f>
        <v>79116</v>
      </c>
      <c r="BS357" s="63" t="n">
        <f aca="false">IF(ISNUMBER(BS348),BS352+SUM(BS353:BS356),"")</f>
        <v>81620</v>
      </c>
      <c r="BT357" s="63" t="n">
        <f aca="false">IF(ISNUMBER(BT348),BT352+SUM(BT353:BT356),"")</f>
        <v>79897</v>
      </c>
      <c r="BU357" s="63" t="n">
        <f aca="false">IF(ISNUMBER(BU348),BU352+SUM(BU353:BU356),"")</f>
        <v>83464</v>
      </c>
      <c r="BV357" s="63" t="n">
        <f aca="false">IF(ISNUMBER(BV348),BV352+SUM(BV353:BV356),"")</f>
        <v>83464</v>
      </c>
      <c r="BW357" s="63" t="n">
        <f aca="false">IF(ISNUMBER(BW348),BW352+SUM(BW353:BW356),"")</f>
        <v>83544</v>
      </c>
      <c r="BX357" s="63" t="n">
        <f aca="false">IF(ISNUMBER(BX348),BX352+SUM(BX353:BX356),"")</f>
        <v>92367</v>
      </c>
      <c r="BY357" s="64"/>
      <c r="BZ357" s="64"/>
      <c r="CA357" s="63" t="n">
        <f aca="false">IF(ISNUMBER(CA348),CA352+SUM(CA353:CA356),"")</f>
        <v>90887.444844052</v>
      </c>
      <c r="CB357" s="63" t="n">
        <f aca="false">IF(ISNUMBER(CB348),CB352+SUM(CB353:CB356),"")</f>
        <v>91488.5907459202</v>
      </c>
      <c r="CC357" s="63" t="n">
        <f aca="false">IF(ISNUMBER(CC348),CC352+SUM(CC353:CC356),"")</f>
        <v>92073.8340159201</v>
      </c>
      <c r="CD357" s="63" t="n">
        <f aca="false">IF(ISNUMBER(CD348),CD352+SUM(CD353:CD356),"")</f>
        <v>93621.3123212065</v>
      </c>
      <c r="CE357" s="63" t="n">
        <f aca="false">IF(ISNUMBER(CE348),CE352+SUM(CE353:CE356),"")</f>
        <v>95325.8121108722</v>
      </c>
      <c r="CF357" s="7"/>
      <c r="CH357" s="22" t="n">
        <f aca="false">IFERROR((CE357/BV357)^(1/5)-1,"n/m")</f>
        <v>0.0269333640755323</v>
      </c>
      <c r="CI357" s="22" t="n">
        <f aca="false">IFERROR((BV357/AW357)^(1/5)-1,"n/m")</f>
        <v>0.0184818906388504</v>
      </c>
      <c r="CJ357" s="22" t="n">
        <f aca="false">IFERROR((BV357/X357)^(1/10)-1,"n/m")</f>
        <v>0.05639227677474</v>
      </c>
      <c r="CK357" s="22" t="n">
        <f aca="false">IFERROR((BV357/C357)^(1/19)-1,"n/m")</f>
        <v>0.103425380020302</v>
      </c>
    </row>
    <row r="358" customFormat="false" ht="15" hidden="false" customHeight="true" outlineLevel="0" collapsed="false">
      <c r="B358" s="27" t="s">
        <v>537</v>
      </c>
      <c r="CF358" s="7"/>
    </row>
    <row r="359" customFormat="false" ht="15" hidden="false" customHeight="true" outlineLevel="0" collapsed="false">
      <c r="B359" s="27" t="s">
        <v>538</v>
      </c>
      <c r="C359" s="40" t="n">
        <v>10.9</v>
      </c>
      <c r="D359" s="40" t="n">
        <v>330.5</v>
      </c>
      <c r="E359" s="40" t="n">
        <v>66.2</v>
      </c>
      <c r="F359" s="40" t="n">
        <v>44.2</v>
      </c>
      <c r="G359" s="40" t="n">
        <v>40.8</v>
      </c>
      <c r="H359" s="40" t="n">
        <v>98.4</v>
      </c>
      <c r="I359" s="40" t="n">
        <v>55.5</v>
      </c>
      <c r="J359" s="40" t="n">
        <v>67</v>
      </c>
      <c r="K359" s="40" t="n">
        <v>53.9</v>
      </c>
      <c r="L359" s="40" t="n">
        <v>56.5</v>
      </c>
      <c r="M359" s="40" t="n">
        <v>62.3</v>
      </c>
      <c r="N359" s="40" t="n">
        <v>62.3</v>
      </c>
      <c r="O359" s="40" t="n">
        <v>64.1</v>
      </c>
      <c r="P359" s="40" t="n">
        <v>49</v>
      </c>
      <c r="Q359" s="40" t="n">
        <v>71.4</v>
      </c>
      <c r="R359" s="40" t="n">
        <v>71.9</v>
      </c>
      <c r="S359" s="40" t="n">
        <v>71.9</v>
      </c>
      <c r="T359" s="40" t="n">
        <v>123.7</v>
      </c>
      <c r="U359" s="40" t="n">
        <v>110.1</v>
      </c>
      <c r="V359" s="40" t="n">
        <v>3489.3</v>
      </c>
      <c r="W359" s="40" t="n">
        <v>845.2</v>
      </c>
      <c r="X359" s="40" t="n">
        <v>845.2</v>
      </c>
      <c r="Y359" s="40" t="n">
        <v>197</v>
      </c>
      <c r="Z359" s="40" t="n">
        <v>2644.5</v>
      </c>
      <c r="AA359" s="40" t="n">
        <v>809.1</v>
      </c>
      <c r="AB359" s="40" t="n">
        <v>2594.8</v>
      </c>
      <c r="AC359" s="40" t="n">
        <v>2594.8</v>
      </c>
      <c r="AD359" s="40" t="n">
        <v>2221</v>
      </c>
      <c r="AE359" s="40" t="n">
        <v>169.5</v>
      </c>
      <c r="AF359" s="40" t="n">
        <v>182.2</v>
      </c>
      <c r="AG359" s="40" t="n">
        <v>194.7</v>
      </c>
      <c r="AH359" s="40" t="n">
        <v>194.7</v>
      </c>
      <c r="AI359" s="40" t="n">
        <v>98.7</v>
      </c>
      <c r="AJ359" s="40" t="n">
        <v>175.1</v>
      </c>
      <c r="AK359" s="40" t="n">
        <v>59.8</v>
      </c>
      <c r="AL359" s="40" t="n">
        <v>51.8</v>
      </c>
      <c r="AM359" s="40" t="n">
        <v>51.8</v>
      </c>
      <c r="AN359" s="40" t="n">
        <v>36.6</v>
      </c>
      <c r="AO359" s="40" t="n">
        <v>153.7</v>
      </c>
      <c r="AP359" s="40" t="n">
        <v>1068.6</v>
      </c>
      <c r="AQ359" s="40" t="n">
        <v>212.4</v>
      </c>
      <c r="AR359" s="40" t="n">
        <v>212.4</v>
      </c>
      <c r="AS359" s="40" t="n">
        <v>3234.3</v>
      </c>
      <c r="AT359" s="40" t="n">
        <v>17.2</v>
      </c>
      <c r="AU359" s="40" t="n">
        <v>19.7</v>
      </c>
      <c r="AV359" s="40" t="n">
        <v>11</v>
      </c>
      <c r="AW359" s="40" t="n">
        <v>11</v>
      </c>
      <c r="AX359" s="40" t="n">
        <v>10</v>
      </c>
      <c r="AY359" s="40" t="n">
        <v>23</v>
      </c>
      <c r="AZ359" s="40" t="n">
        <v>7</v>
      </c>
      <c r="BA359" s="40" t="n">
        <v>8</v>
      </c>
      <c r="BB359" s="40" t="n">
        <v>8</v>
      </c>
      <c r="BC359" s="40" t="n">
        <v>10</v>
      </c>
      <c r="BD359" s="40" t="n">
        <v>10</v>
      </c>
      <c r="BE359" s="40" t="n">
        <v>705</v>
      </c>
      <c r="BF359" s="40" t="n">
        <v>591</v>
      </c>
      <c r="BG359" s="40" t="n">
        <v>591</v>
      </c>
      <c r="BH359" s="40" t="n">
        <v>1571</v>
      </c>
      <c r="BI359" s="40" t="n">
        <v>1590</v>
      </c>
      <c r="BJ359" s="40" t="n">
        <v>2547</v>
      </c>
      <c r="BK359" s="40" t="n">
        <v>1695</v>
      </c>
      <c r="BL359" s="40" t="n">
        <v>1695</v>
      </c>
      <c r="BM359" s="40" t="n">
        <v>1746</v>
      </c>
      <c r="BN359" s="40" t="n">
        <v>701</v>
      </c>
      <c r="BO359" s="40" t="n">
        <v>1200</v>
      </c>
      <c r="BP359" s="40" t="n">
        <v>505</v>
      </c>
      <c r="BQ359" s="40" t="n">
        <v>505</v>
      </c>
      <c r="BR359" s="40" t="n">
        <v>501</v>
      </c>
      <c r="BS359" s="40" t="n">
        <v>502</v>
      </c>
      <c r="BT359" s="40" t="n">
        <v>23</v>
      </c>
      <c r="BU359" s="40" t="n">
        <v>2</v>
      </c>
      <c r="BV359" s="40" t="n">
        <v>2</v>
      </c>
      <c r="BW359" s="40" t="n">
        <v>923</v>
      </c>
      <c r="BX359" s="40" t="n">
        <v>1411</v>
      </c>
      <c r="BY359" s="45"/>
      <c r="BZ359" s="45"/>
      <c r="CA359" s="41" t="n">
        <f aca="false">MIN(CA413,-CB414)</f>
        <v>1181</v>
      </c>
      <c r="CB359" s="41" t="n">
        <f aca="false">MIN(CB413,-CC414)</f>
        <v>2249</v>
      </c>
      <c r="CC359" s="41" t="n">
        <f aca="false">MIN(CC413,-CD414)</f>
        <v>1198</v>
      </c>
      <c r="CD359" s="41" t="n">
        <f aca="false">MIN(CD413,-CE414)</f>
        <v>1760</v>
      </c>
      <c r="CE359" s="41" t="n">
        <f aca="false">MIN(CE413,-CE414)</f>
        <v>1760</v>
      </c>
      <c r="CF359" s="37" t="s">
        <v>539</v>
      </c>
    </row>
    <row r="360" customFormat="false" ht="15" hidden="false" customHeight="true" outlineLevel="0" collapsed="false">
      <c r="B360" s="27" t="s">
        <v>540</v>
      </c>
      <c r="C360" s="40" t="n">
        <v>952.3</v>
      </c>
      <c r="D360" s="40" t="n">
        <v>1125.6</v>
      </c>
      <c r="E360" s="40" t="n">
        <v>1109</v>
      </c>
      <c r="F360" s="40" t="n">
        <v>1051.5</v>
      </c>
      <c r="G360" s="40" t="n">
        <v>1215.8</v>
      </c>
      <c r="H360" s="40" t="n">
        <v>1422.4</v>
      </c>
      <c r="I360" s="40" t="n">
        <v>1546.3</v>
      </c>
      <c r="J360" s="40" t="n">
        <v>1534.5</v>
      </c>
      <c r="K360" s="40" t="n">
        <v>1621.4</v>
      </c>
      <c r="L360" s="40" t="n">
        <v>1683.6</v>
      </c>
      <c r="M360" s="40" t="n">
        <v>1778.2</v>
      </c>
      <c r="N360" s="40" t="n">
        <v>1778.2</v>
      </c>
      <c r="O360" s="40" t="n">
        <v>1685.4</v>
      </c>
      <c r="P360" s="40" t="n">
        <v>1734.8</v>
      </c>
      <c r="Q360" s="40" t="n">
        <v>1684</v>
      </c>
      <c r="R360" s="40" t="n">
        <v>1875</v>
      </c>
      <c r="S360" s="40" t="n">
        <v>1875</v>
      </c>
      <c r="T360" s="40" t="n">
        <v>1732.3</v>
      </c>
      <c r="U360" s="40" t="n">
        <v>1744.1</v>
      </c>
      <c r="V360" s="40" t="n">
        <v>1819.4</v>
      </c>
      <c r="W360" s="40" t="n">
        <v>2049</v>
      </c>
      <c r="X360" s="40" t="n">
        <v>2049</v>
      </c>
      <c r="Y360" s="40" t="n">
        <v>1918.8</v>
      </c>
      <c r="Z360" s="40" t="n">
        <v>1993.2</v>
      </c>
      <c r="AA360" s="40" t="n">
        <v>1354.5</v>
      </c>
      <c r="AB360" s="40" t="n">
        <v>1485</v>
      </c>
      <c r="AC360" s="40" t="n">
        <v>1485</v>
      </c>
      <c r="AD360" s="40" t="n">
        <v>1402.2</v>
      </c>
      <c r="AE360" s="40" t="n">
        <v>1427</v>
      </c>
      <c r="AF360" s="40" t="n">
        <v>1501.8</v>
      </c>
      <c r="AG360" s="40" t="n">
        <v>1509.9</v>
      </c>
      <c r="AH360" s="40" t="n">
        <v>1509.9</v>
      </c>
      <c r="AI360" s="40" t="n">
        <v>1579</v>
      </c>
      <c r="AJ360" s="40" t="n">
        <v>1587</v>
      </c>
      <c r="AK360" s="40" t="n">
        <v>1569.6</v>
      </c>
      <c r="AL360" s="40" t="n">
        <v>1712.8</v>
      </c>
      <c r="AM360" s="40" t="n">
        <v>1712.8</v>
      </c>
      <c r="AN360" s="40" t="n">
        <v>1676.2</v>
      </c>
      <c r="AO360" s="40" t="n">
        <v>1664.1</v>
      </c>
      <c r="AP360" s="40" t="n">
        <v>1606.8</v>
      </c>
      <c r="AQ360" s="40" t="n">
        <v>1514.4</v>
      </c>
      <c r="AR360" s="40" t="n">
        <v>1514.4</v>
      </c>
      <c r="AS360" s="40" t="n">
        <v>1748.3</v>
      </c>
      <c r="AT360" s="40" t="n">
        <v>1598.6</v>
      </c>
      <c r="AU360" s="40" t="n">
        <v>1678.3</v>
      </c>
      <c r="AV360" s="40" t="n">
        <v>2049</v>
      </c>
      <c r="AW360" s="40" t="n">
        <v>2049</v>
      </c>
      <c r="AX360" s="40" t="n">
        <v>1989</v>
      </c>
      <c r="AY360" s="40" t="n">
        <v>1967</v>
      </c>
      <c r="AZ360" s="40" t="n">
        <v>2133</v>
      </c>
      <c r="BA360" s="40" t="n">
        <v>2569</v>
      </c>
      <c r="BB360" s="40" t="n">
        <v>2569</v>
      </c>
      <c r="BC360" s="40" t="n">
        <v>2357</v>
      </c>
      <c r="BD360" s="40" t="n">
        <v>2419</v>
      </c>
      <c r="BE360" s="40" t="n">
        <v>2191</v>
      </c>
      <c r="BF360" s="40" t="n">
        <v>2296</v>
      </c>
      <c r="BG360" s="40" t="n">
        <v>2296</v>
      </c>
      <c r="BH360" s="40" t="n">
        <v>2081</v>
      </c>
      <c r="BI360" s="40" t="n">
        <v>1956</v>
      </c>
      <c r="BJ360" s="40" t="n">
        <v>1894</v>
      </c>
      <c r="BK360" s="40" t="n">
        <v>1766</v>
      </c>
      <c r="BL360" s="40" t="n">
        <v>1766</v>
      </c>
      <c r="BM360" s="40" t="n">
        <v>1679</v>
      </c>
      <c r="BN360" s="40" t="n">
        <v>1645</v>
      </c>
      <c r="BO360" s="40" t="n">
        <v>1596</v>
      </c>
      <c r="BP360" s="40" t="n">
        <v>1753</v>
      </c>
      <c r="BQ360" s="40" t="n">
        <v>1753</v>
      </c>
      <c r="BR360" s="40" t="n">
        <v>1722</v>
      </c>
      <c r="BS360" s="40" t="n">
        <v>1725</v>
      </c>
      <c r="BT360" s="40" t="n">
        <v>1698</v>
      </c>
      <c r="BU360" s="40" t="n">
        <v>1844</v>
      </c>
      <c r="BV360" s="40" t="n">
        <v>1844</v>
      </c>
      <c r="BW360" s="40" t="n">
        <v>1790</v>
      </c>
      <c r="BX360" s="40" t="n">
        <v>1822</v>
      </c>
      <c r="BY360" s="45"/>
      <c r="BZ360" s="45"/>
      <c r="CA360" s="41" t="n">
        <f aca="false">CA385*CA389/365</f>
        <v>1988.8124765552</v>
      </c>
      <c r="CB360" s="41" t="n">
        <f aca="false">CB385*CB389/365</f>
        <v>2130.15989149831</v>
      </c>
      <c r="CC360" s="41" t="n">
        <f aca="false">CC385*CC389/365</f>
        <v>2219.80944550455</v>
      </c>
      <c r="CD360" s="41" t="n">
        <f aca="false">CD385*CD389/365</f>
        <v>2328.67121457296</v>
      </c>
      <c r="CE360" s="41" t="n">
        <f aca="false">CE385*CE389/365</f>
        <v>2410.17089385837</v>
      </c>
      <c r="CF360" s="37"/>
    </row>
    <row r="361" customFormat="false" ht="15" hidden="false" customHeight="true" outlineLevel="0" collapsed="false">
      <c r="B361" s="27" t="s">
        <v>541</v>
      </c>
      <c r="C361" s="40" t="n">
        <v>1496.4</v>
      </c>
      <c r="D361" s="40" t="n">
        <v>1443.8</v>
      </c>
      <c r="E361" s="40" t="n">
        <v>1570</v>
      </c>
      <c r="F361" s="40" t="n">
        <v>1665.3</v>
      </c>
      <c r="G361" s="40" t="n">
        <v>2048.2</v>
      </c>
      <c r="H361" s="40" t="n">
        <v>2651.2</v>
      </c>
      <c r="I361" s="40" t="n">
        <v>2604.3</v>
      </c>
      <c r="J361" s="40" t="n">
        <v>2325</v>
      </c>
      <c r="K361" s="40" t="n">
        <v>2457.2</v>
      </c>
      <c r="L361" s="40" t="n">
        <v>2539.3</v>
      </c>
      <c r="M361" s="40" t="n">
        <v>2686.9</v>
      </c>
      <c r="N361" s="40" t="n">
        <v>2686.9</v>
      </c>
      <c r="O361" s="40" t="n">
        <v>2554.9</v>
      </c>
      <c r="P361" s="40" t="n">
        <v>2622.9</v>
      </c>
      <c r="Q361" s="40" t="n">
        <v>2715.7</v>
      </c>
      <c r="R361" s="40" t="n">
        <v>3449.5</v>
      </c>
      <c r="S361" s="40" t="n">
        <v>3449.5</v>
      </c>
      <c r="T361" s="40" t="n">
        <v>3096.7</v>
      </c>
      <c r="U361" s="40" t="n">
        <v>3201.4</v>
      </c>
      <c r="V361" s="40" t="n">
        <v>3274.5</v>
      </c>
      <c r="W361" s="40" t="n">
        <v>3276.2</v>
      </c>
      <c r="X361" s="40" t="n">
        <v>3276.2</v>
      </c>
      <c r="Y361" s="40" t="n">
        <v>3205.5</v>
      </c>
      <c r="Z361" s="40" t="n">
        <v>3388.2</v>
      </c>
      <c r="AA361" s="40" t="n">
        <v>2599.8</v>
      </c>
      <c r="AB361" s="40" t="n">
        <v>2794.2</v>
      </c>
      <c r="AC361" s="40" t="n">
        <v>2794.2</v>
      </c>
      <c r="AD361" s="40" t="n">
        <v>2379.9</v>
      </c>
      <c r="AE361" s="40" t="n">
        <v>2606.1</v>
      </c>
      <c r="AF361" s="40" t="n">
        <v>2703.5</v>
      </c>
      <c r="AG361" s="40" t="n">
        <v>3087.7</v>
      </c>
      <c r="AH361" s="40" t="n">
        <v>3087.7</v>
      </c>
      <c r="AI361" s="40" t="n">
        <v>2765.2</v>
      </c>
      <c r="AJ361" s="40" t="n">
        <v>2843.3</v>
      </c>
      <c r="AK361" s="40" t="n">
        <v>2835.9</v>
      </c>
      <c r="AL361" s="40" t="n">
        <v>3076.9</v>
      </c>
      <c r="AM361" s="40" t="n">
        <v>3076.9</v>
      </c>
      <c r="AN361" s="40" t="n">
        <v>2920</v>
      </c>
      <c r="AO361" s="40" t="n">
        <v>3190.2</v>
      </c>
      <c r="AP361" s="40" t="n">
        <v>3258.6</v>
      </c>
      <c r="AQ361" s="40" t="n">
        <v>3205.3</v>
      </c>
      <c r="AR361" s="40" t="n">
        <v>3205.3</v>
      </c>
      <c r="AS361" s="40" t="n">
        <v>3483</v>
      </c>
      <c r="AT361" s="40" t="n">
        <v>3984.1</v>
      </c>
      <c r="AU361" s="40" t="n">
        <v>4340.4</v>
      </c>
      <c r="AV361" s="40" t="n">
        <v>5342</v>
      </c>
      <c r="AW361" s="40" t="n">
        <v>5342</v>
      </c>
      <c r="AX361" s="40" t="n">
        <v>4825</v>
      </c>
      <c r="AY361" s="40" t="n">
        <v>4835</v>
      </c>
      <c r="AZ361" s="40" t="n">
        <v>5117</v>
      </c>
      <c r="BA361" s="40" t="n">
        <v>5563</v>
      </c>
      <c r="BB361" s="40" t="n">
        <v>5563</v>
      </c>
      <c r="BC361" s="40" t="n">
        <v>5180</v>
      </c>
      <c r="BD361" s="40" t="n">
        <v>5127</v>
      </c>
      <c r="BE361" s="40" t="n">
        <v>5106</v>
      </c>
      <c r="BF361" s="40" t="n">
        <v>5502</v>
      </c>
      <c r="BG361" s="40" t="n">
        <v>5502</v>
      </c>
      <c r="BH361" s="40" t="n">
        <v>5078</v>
      </c>
      <c r="BI361" s="40" t="n">
        <v>4858</v>
      </c>
      <c r="BJ361" s="40" t="n">
        <v>4926</v>
      </c>
      <c r="BK361" s="40" t="n">
        <v>4813</v>
      </c>
      <c r="BL361" s="40" t="n">
        <v>4813</v>
      </c>
      <c r="BM361" s="40" t="n">
        <v>4353</v>
      </c>
      <c r="BN361" s="40" t="n">
        <v>4355</v>
      </c>
      <c r="BO361" s="40" t="n">
        <v>4543</v>
      </c>
      <c r="BP361" s="40" t="n">
        <v>4540</v>
      </c>
      <c r="BQ361" s="40" t="n">
        <v>4540</v>
      </c>
      <c r="BR361" s="40" t="n">
        <v>4422</v>
      </c>
      <c r="BS361" s="40" t="n">
        <v>4565</v>
      </c>
      <c r="BT361" s="40" t="n">
        <v>4603</v>
      </c>
      <c r="BU361" s="40" t="n">
        <v>4961</v>
      </c>
      <c r="BV361" s="40" t="n">
        <v>4961</v>
      </c>
      <c r="BW361" s="40" t="n">
        <v>4747</v>
      </c>
      <c r="BX361" s="40" t="n">
        <v>4872</v>
      </c>
      <c r="BY361" s="45"/>
      <c r="BZ361" s="45"/>
      <c r="CA361" s="41" t="n">
        <f aca="false">CA384*CA390</f>
        <v>5352.680638</v>
      </c>
      <c r="CB361" s="41" t="n">
        <f aca="false">CB384*CB390</f>
        <v>5855.12419887828</v>
      </c>
      <c r="CC361" s="41" t="n">
        <f aca="false">CC384*CC390</f>
        <v>6238.68234136958</v>
      </c>
      <c r="CD361" s="41" t="n">
        <f aca="false">CD384*CD390</f>
        <v>6680.75331659461</v>
      </c>
      <c r="CE361" s="41" t="n">
        <f aca="false">CE384*CE390</f>
        <v>7157.64435572567</v>
      </c>
      <c r="CF361" s="37"/>
    </row>
    <row r="362" customFormat="false" ht="15" hidden="false" customHeight="true" outlineLevel="0" collapsed="false">
      <c r="B362" s="27" t="s">
        <v>542</v>
      </c>
      <c r="C362" s="40" t="n">
        <v>-2.27373675443232E-013</v>
      </c>
      <c r="D362" s="40" t="n">
        <v>2.27373675443232E-013</v>
      </c>
      <c r="E362" s="40" t="n">
        <v>-0.0999999999999091</v>
      </c>
      <c r="F362" s="40" t="n">
        <v>2.27373675443232E-013</v>
      </c>
      <c r="G362" s="40" t="n">
        <v>0</v>
      </c>
      <c r="H362" s="40" t="n">
        <v>0</v>
      </c>
      <c r="I362" s="40" t="n">
        <v>0</v>
      </c>
      <c r="J362" s="40" t="n">
        <v>0</v>
      </c>
      <c r="K362" s="40" t="n">
        <v>0</v>
      </c>
      <c r="L362" s="40" t="n">
        <v>-4.54747350886464E-013</v>
      </c>
      <c r="M362" s="40" t="n">
        <v>-4.54747350886464E-013</v>
      </c>
      <c r="N362" s="40" t="n">
        <v>-4.54747350886464E-013</v>
      </c>
      <c r="O362" s="40" t="n">
        <v>-9.09494701772928E-013</v>
      </c>
      <c r="P362" s="40" t="n">
        <v>-4.54747350886464E-013</v>
      </c>
      <c r="Q362" s="40" t="n">
        <v>9.09494701772928E-013</v>
      </c>
      <c r="R362" s="40" t="n">
        <v>0</v>
      </c>
      <c r="S362" s="40" t="n">
        <v>0</v>
      </c>
      <c r="T362" s="40" t="n">
        <v>0</v>
      </c>
      <c r="U362" s="40" t="n">
        <v>0</v>
      </c>
      <c r="V362" s="40" t="n">
        <v>42.4000000000001</v>
      </c>
      <c r="W362" s="40" t="n">
        <v>0</v>
      </c>
      <c r="X362" s="40" t="n">
        <v>0</v>
      </c>
      <c r="Y362" s="40" t="n">
        <v>0</v>
      </c>
      <c r="Z362" s="40" t="n">
        <v>0</v>
      </c>
      <c r="AA362" s="40" t="n">
        <v>-4.54747350886464E-013</v>
      </c>
      <c r="AB362" s="40" t="n">
        <v>0</v>
      </c>
      <c r="AC362" s="40" t="n">
        <v>0</v>
      </c>
      <c r="AD362" s="40" t="n">
        <v>4.54747350886464E-013</v>
      </c>
      <c r="AE362" s="40" t="n">
        <v>4.54747350886464E-013</v>
      </c>
      <c r="AF362" s="40" t="n">
        <v>0</v>
      </c>
      <c r="AG362" s="40" t="n">
        <v>4.54747350886464E-013</v>
      </c>
      <c r="AH362" s="40" t="n">
        <v>4.54747350886464E-013</v>
      </c>
      <c r="AI362" s="40" t="n">
        <v>0</v>
      </c>
      <c r="AJ362" s="40" t="n">
        <v>-9.09494701772928E-013</v>
      </c>
      <c r="AK362" s="40" t="n">
        <v>0</v>
      </c>
      <c r="AL362" s="40" t="n">
        <v>-4.54747350886464E-013</v>
      </c>
      <c r="AM362" s="40" t="n">
        <v>-4.54747350886464E-013</v>
      </c>
      <c r="AN362" s="40" t="n">
        <v>0</v>
      </c>
      <c r="AO362" s="40" t="n">
        <v>4.54747350886464E-013</v>
      </c>
      <c r="AP362" s="40" t="n">
        <v>-4.54747350886464E-013</v>
      </c>
      <c r="AQ362" s="40" t="n">
        <v>4.54747350886464E-013</v>
      </c>
      <c r="AR362" s="40" t="n">
        <v>4.54747350886464E-013</v>
      </c>
      <c r="AS362" s="40" t="n">
        <v>0</v>
      </c>
      <c r="AT362" s="40" t="n">
        <v>0</v>
      </c>
      <c r="AU362" s="40" t="n">
        <v>0</v>
      </c>
      <c r="AV362" s="40" t="n">
        <v>0</v>
      </c>
      <c r="AW362" s="40" t="n">
        <v>0</v>
      </c>
      <c r="AX362" s="40" t="n">
        <v>0</v>
      </c>
      <c r="AY362" s="40" t="n">
        <v>0</v>
      </c>
      <c r="AZ362" s="40" t="n">
        <v>0</v>
      </c>
      <c r="BA362" s="40" t="n">
        <v>0</v>
      </c>
      <c r="BB362" s="40" t="n">
        <v>0</v>
      </c>
      <c r="BC362" s="40" t="n">
        <v>0</v>
      </c>
      <c r="BD362" s="40" t="n">
        <v>0</v>
      </c>
      <c r="BE362" s="40" t="n">
        <v>0</v>
      </c>
      <c r="BF362" s="40" t="n">
        <v>0</v>
      </c>
      <c r="BG362" s="40" t="n">
        <v>0</v>
      </c>
      <c r="BH362" s="40" t="n">
        <v>0</v>
      </c>
      <c r="BI362" s="40" t="n">
        <v>0</v>
      </c>
      <c r="BJ362" s="40" t="n">
        <v>0</v>
      </c>
      <c r="BK362" s="40" t="n">
        <v>0</v>
      </c>
      <c r="BL362" s="40" t="n">
        <v>0</v>
      </c>
      <c r="BM362" s="40" t="n">
        <v>0</v>
      </c>
      <c r="BN362" s="40" t="n">
        <v>0</v>
      </c>
      <c r="BO362" s="40" t="n">
        <v>0</v>
      </c>
      <c r="BP362" s="40" t="n">
        <v>0</v>
      </c>
      <c r="BQ362" s="40" t="n">
        <v>0</v>
      </c>
      <c r="BR362" s="40" t="n">
        <v>0</v>
      </c>
      <c r="BS362" s="40" t="n">
        <v>0</v>
      </c>
      <c r="BT362" s="40" t="n">
        <v>0</v>
      </c>
      <c r="BU362" s="40" t="n">
        <v>0</v>
      </c>
      <c r="BV362" s="40" t="n">
        <v>0</v>
      </c>
      <c r="BW362" s="40" t="n">
        <v>0</v>
      </c>
      <c r="BX362" s="40" t="n">
        <v>0</v>
      </c>
      <c r="BY362" s="45"/>
      <c r="BZ362" s="45"/>
      <c r="CA362" s="41" t="n">
        <f aca="false">N(BX362)</f>
        <v>0</v>
      </c>
      <c r="CB362" s="41" t="n">
        <f aca="false">N(CA362)</f>
        <v>0</v>
      </c>
      <c r="CC362" s="41" t="n">
        <f aca="false">N(CB362)</f>
        <v>0</v>
      </c>
      <c r="CD362" s="41" t="n">
        <f aca="false">N(CC362)</f>
        <v>0</v>
      </c>
      <c r="CE362" s="41" t="n">
        <f aca="false">N(CD362)</f>
        <v>0</v>
      </c>
      <c r="CF362" s="37"/>
    </row>
    <row r="363" customFormat="false" ht="15" hidden="false" customHeight="true" outlineLevel="0" collapsed="false">
      <c r="B363" s="18" t="s">
        <v>543</v>
      </c>
      <c r="C363" s="44" t="n">
        <f aca="false">IF(ISNUMBER(C360),SUM(C359:C362),"")</f>
        <v>2459.6</v>
      </c>
      <c r="D363" s="44" t="n">
        <f aca="false">IF(ISNUMBER(D360),SUM(D359:D362),"")</f>
        <v>2899.9</v>
      </c>
      <c r="E363" s="44" t="n">
        <f aca="false">IF(ISNUMBER(E360),SUM(E359:E362),"")</f>
        <v>2745.1</v>
      </c>
      <c r="F363" s="44" t="n">
        <f aca="false">IF(ISNUMBER(F360),SUM(F359:F362),"")</f>
        <v>2761</v>
      </c>
      <c r="G363" s="44" t="n">
        <f aca="false">IF(ISNUMBER(G360),SUM(G359:G362),"")</f>
        <v>3304.8</v>
      </c>
      <c r="H363" s="44" t="n">
        <f aca="false">IF(ISNUMBER(H360),SUM(H359:H362),"")</f>
        <v>4172</v>
      </c>
      <c r="I363" s="44" t="n">
        <f aca="false">IF(ISNUMBER(I360),SUM(I359:I362),"")</f>
        <v>4206.1</v>
      </c>
      <c r="J363" s="44" t="n">
        <f aca="false">IF(ISNUMBER(J360),SUM(J359:J362),"")</f>
        <v>3926.5</v>
      </c>
      <c r="K363" s="44" t="n">
        <f aca="false">IF(ISNUMBER(K360),SUM(K359:K362),"")</f>
        <v>4132.5</v>
      </c>
      <c r="L363" s="44" t="n">
        <f aca="false">IF(ISNUMBER(L360),SUM(L359:L362),"")</f>
        <v>4279.4</v>
      </c>
      <c r="M363" s="44" t="n">
        <f aca="false">IF(ISNUMBER(M360),SUM(M359:M362),"")</f>
        <v>4527.4</v>
      </c>
      <c r="N363" s="44" t="n">
        <f aca="false">IF(ISNUMBER(N360),SUM(N359:N362),"")</f>
        <v>4527.4</v>
      </c>
      <c r="O363" s="44" t="n">
        <f aca="false">IF(ISNUMBER(O360),SUM(O359:O362),"")</f>
        <v>4304.4</v>
      </c>
      <c r="P363" s="44" t="n">
        <f aca="false">IF(ISNUMBER(P360),SUM(P359:P362),"")</f>
        <v>4406.7</v>
      </c>
      <c r="Q363" s="44" t="n">
        <f aca="false">IF(ISNUMBER(Q360),SUM(Q359:Q362),"")</f>
        <v>4471.1</v>
      </c>
      <c r="R363" s="44" t="n">
        <f aca="false">IF(ISNUMBER(R360),SUM(R359:R362),"")</f>
        <v>5396.4</v>
      </c>
      <c r="S363" s="44" t="n">
        <f aca="false">IF(ISNUMBER(S360),SUM(S359:S362),"")</f>
        <v>5396.4</v>
      </c>
      <c r="T363" s="44" t="n">
        <f aca="false">IF(ISNUMBER(T360),SUM(T359:T362),"")</f>
        <v>4952.7</v>
      </c>
      <c r="U363" s="44" t="n">
        <f aca="false">IF(ISNUMBER(U360),SUM(U359:U362),"")</f>
        <v>5055.6</v>
      </c>
      <c r="V363" s="44" t="n">
        <f aca="false">IF(ISNUMBER(V360),SUM(V359:V362),"")</f>
        <v>8625.6</v>
      </c>
      <c r="W363" s="44" t="n">
        <f aca="false">IF(ISNUMBER(W360),SUM(W359:W362),"")</f>
        <v>6170.4</v>
      </c>
      <c r="X363" s="44" t="n">
        <f aca="false">IF(ISNUMBER(X360),SUM(X359:X362),"")</f>
        <v>6170.4</v>
      </c>
      <c r="Y363" s="44" t="n">
        <f aca="false">IF(ISNUMBER(Y360),SUM(Y359:Y362),"")</f>
        <v>5321.3</v>
      </c>
      <c r="Z363" s="44" t="n">
        <f aca="false">IF(ISNUMBER(Z360),SUM(Z359:Z362),"")</f>
        <v>8025.9</v>
      </c>
      <c r="AA363" s="44" t="n">
        <f aca="false">IF(ISNUMBER(AA360),SUM(AA359:AA362),"")</f>
        <v>4763.4</v>
      </c>
      <c r="AB363" s="44" t="n">
        <f aca="false">IF(ISNUMBER(AB360),SUM(AB359:AB362),"")</f>
        <v>6874</v>
      </c>
      <c r="AC363" s="44" t="n">
        <f aca="false">IF(ISNUMBER(AC360),SUM(AC359:AC362),"")</f>
        <v>6874</v>
      </c>
      <c r="AD363" s="44" t="n">
        <f aca="false">IF(ISNUMBER(AD360),SUM(AD359:AD362),"")</f>
        <v>6003.1</v>
      </c>
      <c r="AE363" s="44" t="n">
        <f aca="false">IF(ISNUMBER(AE360),SUM(AE359:AE362),"")</f>
        <v>4202.6</v>
      </c>
      <c r="AF363" s="44" t="n">
        <f aca="false">IF(ISNUMBER(AF360),SUM(AF359:AF362),"")</f>
        <v>4387.5</v>
      </c>
      <c r="AG363" s="44" t="n">
        <f aca="false">IF(ISNUMBER(AG360),SUM(AG359:AG362),"")</f>
        <v>4792.3</v>
      </c>
      <c r="AH363" s="44" t="n">
        <f aca="false">IF(ISNUMBER(AH360),SUM(AH359:AH362),"")</f>
        <v>4792.3</v>
      </c>
      <c r="AI363" s="44" t="n">
        <f aca="false">IF(ISNUMBER(AI360),SUM(AI359:AI362),"")</f>
        <v>4442.9</v>
      </c>
      <c r="AJ363" s="44" t="n">
        <f aca="false">IF(ISNUMBER(AJ360),SUM(AJ359:AJ362),"")</f>
        <v>4605.4</v>
      </c>
      <c r="AK363" s="44" t="n">
        <f aca="false">IF(ISNUMBER(AK360),SUM(AK359:AK362),"")</f>
        <v>4465.3</v>
      </c>
      <c r="AL363" s="44" t="n">
        <f aca="false">IF(ISNUMBER(AL360),SUM(AL359:AL362),"")</f>
        <v>4841.5</v>
      </c>
      <c r="AM363" s="44" t="n">
        <f aca="false">IF(ISNUMBER(AM360),SUM(AM359:AM362),"")</f>
        <v>4841.5</v>
      </c>
      <c r="AN363" s="44" t="n">
        <f aca="false">IF(ISNUMBER(AN360),SUM(AN359:AN362),"")</f>
        <v>4632.8</v>
      </c>
      <c r="AO363" s="44" t="n">
        <f aca="false">IF(ISNUMBER(AO360),SUM(AO359:AO362),"")</f>
        <v>5008</v>
      </c>
      <c r="AP363" s="44" t="n">
        <f aca="false">IF(ISNUMBER(AP360),SUM(AP359:AP362),"")</f>
        <v>5934</v>
      </c>
      <c r="AQ363" s="44" t="n">
        <f aca="false">IF(ISNUMBER(AQ360),SUM(AQ359:AQ362),"")</f>
        <v>4932.1</v>
      </c>
      <c r="AR363" s="44" t="n">
        <f aca="false">IF(ISNUMBER(AR360),SUM(AR359:AR362),"")</f>
        <v>4932.1</v>
      </c>
      <c r="AS363" s="44" t="n">
        <f aca="false">IF(ISNUMBER(AS360),SUM(AS359:AS362),"")</f>
        <v>8465.6</v>
      </c>
      <c r="AT363" s="44" t="n">
        <f aca="false">IF(ISNUMBER(AT360),SUM(AT359:AT362),"")</f>
        <v>5599.9</v>
      </c>
      <c r="AU363" s="44" t="n">
        <f aca="false">IF(ISNUMBER(AU360),SUM(AU359:AU362),"")</f>
        <v>6038.4</v>
      </c>
      <c r="AV363" s="44" t="n">
        <f aca="false">IF(ISNUMBER(AV360),SUM(AV359:AV362),"")</f>
        <v>7402</v>
      </c>
      <c r="AW363" s="44" t="n">
        <f aca="false">IF(ISNUMBER(AW360),SUM(AW359:AW362),"")</f>
        <v>7402</v>
      </c>
      <c r="AX363" s="44" t="n">
        <f aca="false">IF(ISNUMBER(AX360),SUM(AX359:AX362),"")</f>
        <v>6824</v>
      </c>
      <c r="AY363" s="44" t="n">
        <f aca="false">IF(ISNUMBER(AY360),SUM(AY359:AY362),"")</f>
        <v>6825</v>
      </c>
      <c r="AZ363" s="44" t="n">
        <f aca="false">IF(ISNUMBER(AZ360),SUM(AZ359:AZ362),"")</f>
        <v>7257</v>
      </c>
      <c r="BA363" s="44" t="n">
        <f aca="false">IF(ISNUMBER(BA360),SUM(BA359:BA362),"")</f>
        <v>8140</v>
      </c>
      <c r="BB363" s="44" t="n">
        <f aca="false">IF(ISNUMBER(BB360),SUM(BB359:BB362),"")</f>
        <v>8140</v>
      </c>
      <c r="BC363" s="44" t="n">
        <f aca="false">IF(ISNUMBER(BC360),SUM(BC359:BC362),"")</f>
        <v>7547</v>
      </c>
      <c r="BD363" s="44" t="n">
        <f aca="false">IF(ISNUMBER(BD360),SUM(BD359:BD362),"")</f>
        <v>7556</v>
      </c>
      <c r="BE363" s="44" t="n">
        <f aca="false">IF(ISNUMBER(BE360),SUM(BE359:BE362),"")</f>
        <v>8002</v>
      </c>
      <c r="BF363" s="44" t="n">
        <f aca="false">IF(ISNUMBER(BF360),SUM(BF359:BF362),"")</f>
        <v>8389</v>
      </c>
      <c r="BG363" s="44" t="n">
        <f aca="false">IF(ISNUMBER(BG360),SUM(BG359:BG362),"")</f>
        <v>8389</v>
      </c>
      <c r="BH363" s="44" t="n">
        <f aca="false">IF(ISNUMBER(BH360),SUM(BH359:BH362),"")</f>
        <v>8730</v>
      </c>
      <c r="BI363" s="44" t="n">
        <f aca="false">IF(ISNUMBER(BI360),SUM(BI359:BI362),"")</f>
        <v>8404</v>
      </c>
      <c r="BJ363" s="44" t="n">
        <f aca="false">IF(ISNUMBER(BJ360),SUM(BJ359:BJ362),"")</f>
        <v>9367</v>
      </c>
      <c r="BK363" s="44" t="n">
        <f aca="false">IF(ISNUMBER(BK360),SUM(BK359:BK362),"")</f>
        <v>8274</v>
      </c>
      <c r="BL363" s="44" t="n">
        <f aca="false">IF(ISNUMBER(BL360),SUM(BL359:BL362),"")</f>
        <v>8274</v>
      </c>
      <c r="BM363" s="44" t="n">
        <f aca="false">IF(ISNUMBER(BM360),SUM(BM359:BM362),"")</f>
        <v>7778</v>
      </c>
      <c r="BN363" s="44" t="n">
        <f aca="false">IF(ISNUMBER(BN360),SUM(BN359:BN362),"")</f>
        <v>6701</v>
      </c>
      <c r="BO363" s="44" t="n">
        <f aca="false">IF(ISNUMBER(BO360),SUM(BO359:BO362),"")</f>
        <v>7339</v>
      </c>
      <c r="BP363" s="44" t="n">
        <f aca="false">IF(ISNUMBER(BP360),SUM(BP359:BP362),"")</f>
        <v>6798</v>
      </c>
      <c r="BQ363" s="44" t="n">
        <f aca="false">IF(ISNUMBER(BQ360),SUM(BQ359:BQ362),"")</f>
        <v>6798</v>
      </c>
      <c r="BR363" s="44" t="n">
        <f aca="false">IF(ISNUMBER(BR360),SUM(BR359:BR362),"")</f>
        <v>6645</v>
      </c>
      <c r="BS363" s="44" t="n">
        <f aca="false">IF(ISNUMBER(BS360),SUM(BS359:BS362),"")</f>
        <v>6792</v>
      </c>
      <c r="BT363" s="44" t="n">
        <f aca="false">IF(ISNUMBER(BT360),SUM(BT359:BT362),"")</f>
        <v>6324</v>
      </c>
      <c r="BU363" s="44" t="n">
        <f aca="false">IF(ISNUMBER(BU360),SUM(BU359:BU362),"")</f>
        <v>6807</v>
      </c>
      <c r="BV363" s="44" t="n">
        <f aca="false">IF(ISNUMBER(BV360),SUM(BV359:BV362),"")</f>
        <v>6807</v>
      </c>
      <c r="BW363" s="44" t="n">
        <f aca="false">IF(ISNUMBER(BW360),SUM(BW359:BW362),"")</f>
        <v>7460</v>
      </c>
      <c r="BX363" s="44" t="n">
        <f aca="false">IF(ISNUMBER(BX360),SUM(BX359:BX362),"")</f>
        <v>8105</v>
      </c>
      <c r="BY363" s="59"/>
      <c r="BZ363" s="59"/>
      <c r="CA363" s="21" t="n">
        <f aca="false">IF(ISNUMBER(CA360),SUM(CA359:CA362),"")</f>
        <v>8522.4931145552</v>
      </c>
      <c r="CB363" s="21" t="n">
        <f aca="false">IF(ISNUMBER(CB360),SUM(CB359:CB362),"")</f>
        <v>10234.2840903766</v>
      </c>
      <c r="CC363" s="21" t="n">
        <f aca="false">IF(ISNUMBER(CC360),SUM(CC359:CC362),"")</f>
        <v>9656.49178687413</v>
      </c>
      <c r="CD363" s="21" t="n">
        <f aca="false">IF(ISNUMBER(CD360),SUM(CD359:CD362),"")</f>
        <v>10769.4245311676</v>
      </c>
      <c r="CE363" s="21" t="n">
        <f aca="false">IF(ISNUMBER(CE360),SUM(CE359:CE362),"")</f>
        <v>11327.815249584</v>
      </c>
      <c r="CF363" s="7"/>
    </row>
    <row r="364" customFormat="false" ht="15" hidden="false" customHeight="true" outlineLevel="0" collapsed="false">
      <c r="B364" s="27" t="s">
        <v>544</v>
      </c>
      <c r="C364" s="40" t="n">
        <v>1337</v>
      </c>
      <c r="D364" s="40" t="n">
        <v>2090.5</v>
      </c>
      <c r="E364" s="40" t="n">
        <v>2383.2</v>
      </c>
      <c r="F364" s="40" t="n">
        <v>2315.2</v>
      </c>
      <c r="G364" s="40" t="n">
        <v>2355.6</v>
      </c>
      <c r="H364" s="40" t="n">
        <v>3598.8</v>
      </c>
      <c r="I364" s="40" t="n">
        <v>4363.4</v>
      </c>
      <c r="J364" s="40" t="n">
        <v>4389.3</v>
      </c>
      <c r="K364" s="40" t="n">
        <v>4511</v>
      </c>
      <c r="L364" s="40" t="n">
        <v>4625.5</v>
      </c>
      <c r="M364" s="40" t="n">
        <v>4256.7</v>
      </c>
      <c r="N364" s="40" t="n">
        <v>4256.7</v>
      </c>
      <c r="O364" s="40" t="n">
        <v>4286.5</v>
      </c>
      <c r="P364" s="40" t="n">
        <v>4436.5</v>
      </c>
      <c r="Q364" s="40" t="n">
        <v>4290</v>
      </c>
      <c r="R364" s="40" t="n">
        <v>4744</v>
      </c>
      <c r="S364" s="40" t="n">
        <v>4744</v>
      </c>
      <c r="T364" s="40" t="n">
        <v>4675.1</v>
      </c>
      <c r="U364" s="40" t="n">
        <v>4706.5</v>
      </c>
      <c r="V364" s="40" t="n">
        <v>6375.8</v>
      </c>
      <c r="W364" s="40" t="n">
        <v>6262.6</v>
      </c>
      <c r="X364" s="40" t="n">
        <v>6262.6</v>
      </c>
      <c r="Y364" s="40" t="n">
        <v>6292.5</v>
      </c>
      <c r="Z364" s="40" t="n">
        <v>6349.8</v>
      </c>
      <c r="AA364" s="40" t="n">
        <v>5766.6</v>
      </c>
      <c r="AB364" s="40" t="n">
        <v>5670.3</v>
      </c>
      <c r="AC364" s="40" t="n">
        <v>5670.3</v>
      </c>
      <c r="AD364" s="40" t="n">
        <v>5721.6</v>
      </c>
      <c r="AE364" s="40" t="n">
        <v>5426.5</v>
      </c>
      <c r="AF364" s="40" t="n">
        <v>5356.40000000001</v>
      </c>
      <c r="AG364" s="40" t="n">
        <v>5161.1</v>
      </c>
      <c r="AH364" s="40" t="n">
        <v>5161.1</v>
      </c>
      <c r="AI364" s="40" t="n">
        <v>5089.8</v>
      </c>
      <c r="AJ364" s="40" t="n">
        <v>5080.4</v>
      </c>
      <c r="AK364" s="40" t="n">
        <v>5011</v>
      </c>
      <c r="AL364" s="40" t="n">
        <v>5075.8</v>
      </c>
      <c r="AM364" s="40" t="n">
        <v>5075.8</v>
      </c>
      <c r="AN364" s="40" t="n">
        <v>6114.7</v>
      </c>
      <c r="AO364" s="40" t="n">
        <v>5956.4</v>
      </c>
      <c r="AP364" s="40" t="n">
        <v>5865.3</v>
      </c>
      <c r="AQ364" s="40" t="n">
        <v>5350.9</v>
      </c>
      <c r="AR364" s="40" t="n">
        <v>5350.9</v>
      </c>
      <c r="AS364" s="40" t="n">
        <v>6661.1</v>
      </c>
      <c r="AT364" s="40" t="n">
        <v>7025.59999999999</v>
      </c>
      <c r="AU364" s="40" t="n">
        <v>7073.7</v>
      </c>
      <c r="AV364" s="40" t="n">
        <v>7789</v>
      </c>
      <c r="AW364" s="40" t="n">
        <v>7789</v>
      </c>
      <c r="AX364" s="40" t="n">
        <v>7905</v>
      </c>
      <c r="AY364" s="40" t="n">
        <v>8036</v>
      </c>
      <c r="AZ364" s="40" t="n">
        <v>8189</v>
      </c>
      <c r="BA364" s="40" t="n">
        <v>7699</v>
      </c>
      <c r="BB364" s="40" t="n">
        <v>7699</v>
      </c>
      <c r="BC364" s="40" t="n">
        <v>7715</v>
      </c>
      <c r="BD364" s="40" t="n">
        <v>7597</v>
      </c>
      <c r="BE364" s="40" t="n">
        <v>7493</v>
      </c>
      <c r="BF364" s="40" t="n">
        <v>6785</v>
      </c>
      <c r="BG364" s="40" t="n">
        <v>6785</v>
      </c>
      <c r="BH364" s="40" t="n">
        <v>6563</v>
      </c>
      <c r="BI364" s="40" t="n">
        <v>6489</v>
      </c>
      <c r="BJ364" s="40" t="n">
        <v>6439</v>
      </c>
      <c r="BK364" s="40" t="n">
        <v>6017</v>
      </c>
      <c r="BL364" s="40" t="n">
        <v>6017</v>
      </c>
      <c r="BM364" s="40" t="n">
        <v>5760</v>
      </c>
      <c r="BN364" s="40" t="n">
        <v>5643</v>
      </c>
      <c r="BO364" s="40" t="n">
        <v>5647</v>
      </c>
      <c r="BP364" s="40" t="n">
        <v>5694</v>
      </c>
      <c r="BQ364" s="40" t="n">
        <v>5694</v>
      </c>
      <c r="BR364" s="40" t="n">
        <v>5638</v>
      </c>
      <c r="BS364" s="40" t="n">
        <v>5633</v>
      </c>
      <c r="BT364" s="40" t="n">
        <v>5660</v>
      </c>
      <c r="BU364" s="40" t="n">
        <v>5700</v>
      </c>
      <c r="BV364" s="40" t="n">
        <v>5700</v>
      </c>
      <c r="BW364" s="40" t="n">
        <v>5566</v>
      </c>
      <c r="BX364" s="40" t="n">
        <v>6523</v>
      </c>
      <c r="BY364" s="45"/>
      <c r="BZ364" s="45"/>
      <c r="CA364" s="41" t="n">
        <f aca="false">BX364+(CA299-N((BW299+BX299)))</f>
        <v>6323</v>
      </c>
      <c r="CB364" s="41" t="n">
        <f aca="false">CA364+CB299</f>
        <v>5923</v>
      </c>
      <c r="CC364" s="41" t="n">
        <f aca="false">CB364+CC299</f>
        <v>5523</v>
      </c>
      <c r="CD364" s="41" t="n">
        <f aca="false">CC364+CD299</f>
        <v>5123</v>
      </c>
      <c r="CE364" s="41" t="n">
        <f aca="false">CD364+CE299</f>
        <v>4723</v>
      </c>
      <c r="CF364" s="37"/>
    </row>
    <row r="365" customFormat="false" ht="15" hidden="false" customHeight="true" outlineLevel="0" collapsed="false">
      <c r="B365" s="27" t="s">
        <v>545</v>
      </c>
      <c r="C365" s="40" t="n">
        <v>2422.9</v>
      </c>
      <c r="D365" s="40" t="n">
        <v>3395.8</v>
      </c>
      <c r="E365" s="40" t="n">
        <v>2553.2</v>
      </c>
      <c r="F365" s="40" t="n">
        <v>2889</v>
      </c>
      <c r="G365" s="40" t="n">
        <v>2783.9</v>
      </c>
      <c r="H365" s="40" t="n">
        <v>5206.8</v>
      </c>
      <c r="I365" s="40" t="n">
        <v>5287.6</v>
      </c>
      <c r="J365" s="40" t="n">
        <v>4404.3</v>
      </c>
      <c r="K365" s="40" t="n">
        <v>4100.9</v>
      </c>
      <c r="L365" s="40" t="n">
        <v>3445.5</v>
      </c>
      <c r="M365" s="40" t="n">
        <v>3436.7</v>
      </c>
      <c r="N365" s="40" t="n">
        <v>3436.7</v>
      </c>
      <c r="O365" s="40" t="n">
        <v>3422.9</v>
      </c>
      <c r="P365" s="40" t="n">
        <v>3020</v>
      </c>
      <c r="Q365" s="40" t="n">
        <v>2964.7</v>
      </c>
      <c r="R365" s="40" t="n">
        <v>3401.5</v>
      </c>
      <c r="S365" s="40" t="n">
        <v>3401.5</v>
      </c>
      <c r="T365" s="40" t="n">
        <v>3053.8</v>
      </c>
      <c r="U365" s="40" t="n">
        <v>3052.7</v>
      </c>
      <c r="V365" s="40" t="n">
        <v>11522.7</v>
      </c>
      <c r="W365" s="40" t="n">
        <v>12025.2</v>
      </c>
      <c r="X365" s="40" t="n">
        <v>12025.2</v>
      </c>
      <c r="Y365" s="40" t="n">
        <v>12194.7</v>
      </c>
      <c r="Z365" s="40" t="n">
        <v>12007.7</v>
      </c>
      <c r="AA365" s="40" t="n">
        <v>7503.1</v>
      </c>
      <c r="AB365" s="40" t="n">
        <v>9674.2</v>
      </c>
      <c r="AC365" s="40" t="n">
        <v>9674.2</v>
      </c>
      <c r="AD365" s="40" t="n">
        <v>9729.3</v>
      </c>
      <c r="AE365" s="40" t="n">
        <v>11422.5</v>
      </c>
      <c r="AF365" s="40" t="n">
        <v>10726.8</v>
      </c>
      <c r="AG365" s="40" t="n">
        <v>10327.4</v>
      </c>
      <c r="AH365" s="40" t="n">
        <v>10327.4</v>
      </c>
      <c r="AI365" s="40" t="n">
        <v>10410.7</v>
      </c>
      <c r="AJ365" s="40" t="n">
        <v>11145.6</v>
      </c>
      <c r="AK365" s="40" t="n">
        <v>10558</v>
      </c>
      <c r="AL365" s="40" t="n">
        <v>9688.5</v>
      </c>
      <c r="AM365" s="40" t="n">
        <v>9688.5</v>
      </c>
      <c r="AN365" s="40" t="n">
        <v>9458.2</v>
      </c>
      <c r="AO365" s="40" t="n">
        <v>10144.4</v>
      </c>
      <c r="AP365" s="40" t="n">
        <v>16536.2</v>
      </c>
      <c r="AQ365" s="40" t="n">
        <v>21516.7</v>
      </c>
      <c r="AR365" s="40" t="n">
        <v>21516.7</v>
      </c>
      <c r="AS365" s="40" t="n">
        <v>22737.2</v>
      </c>
      <c r="AT365" s="40" t="n">
        <v>22370</v>
      </c>
      <c r="AU365" s="40" t="n">
        <v>21806.1</v>
      </c>
      <c r="AV365" s="40" t="n">
        <v>21193</v>
      </c>
      <c r="AW365" s="40" t="n">
        <v>21193</v>
      </c>
      <c r="AX365" s="40" t="n">
        <v>20267</v>
      </c>
      <c r="AY365" s="40" t="n">
        <v>20400</v>
      </c>
      <c r="AZ365" s="40" t="n">
        <v>23591</v>
      </c>
      <c r="BA365" s="40" t="n">
        <v>22168</v>
      </c>
      <c r="BB365" s="40" t="n">
        <v>22168</v>
      </c>
      <c r="BC365" s="40" t="n">
        <v>21768</v>
      </c>
      <c r="BD365" s="40" t="n">
        <v>20052</v>
      </c>
      <c r="BE365" s="40" t="n">
        <v>18542</v>
      </c>
      <c r="BF365" s="40" t="n">
        <v>19086</v>
      </c>
      <c r="BG365" s="40" t="n">
        <v>19086</v>
      </c>
      <c r="BH365" s="40" t="n">
        <v>18261</v>
      </c>
      <c r="BI365" s="40" t="n">
        <v>18285</v>
      </c>
      <c r="BJ365" s="40" t="n">
        <v>19513</v>
      </c>
      <c r="BK365" s="40" t="n">
        <v>16707</v>
      </c>
      <c r="BL365" s="40" t="n">
        <v>16707</v>
      </c>
      <c r="BM365" s="40" t="n">
        <v>16417</v>
      </c>
      <c r="BN365" s="40" t="n">
        <v>16309</v>
      </c>
      <c r="BO365" s="40" t="n">
        <v>16324</v>
      </c>
      <c r="BP365" s="40" t="n">
        <v>15500</v>
      </c>
      <c r="BQ365" s="40" t="n">
        <v>15500</v>
      </c>
      <c r="BR365" s="40" t="n">
        <v>15976</v>
      </c>
      <c r="BS365" s="40" t="n">
        <v>16853</v>
      </c>
      <c r="BT365" s="40" t="n">
        <v>16833</v>
      </c>
      <c r="BU365" s="40" t="n">
        <v>18416</v>
      </c>
      <c r="BV365" s="40" t="n">
        <v>18416</v>
      </c>
      <c r="BW365" s="40" t="n">
        <v>17561</v>
      </c>
      <c r="BX365" s="40" t="n">
        <v>25147</v>
      </c>
      <c r="BY365" s="45"/>
      <c r="BZ365" s="45"/>
      <c r="CA365" s="41" t="n">
        <f aca="false">CA413-CA359</f>
        <v>21986.8876953299</v>
      </c>
      <c r="CB365" s="41" t="n">
        <f aca="false">CB413-CB359</f>
        <v>18694</v>
      </c>
      <c r="CC365" s="41" t="n">
        <f aca="false">CC413-CC359</f>
        <v>20912.0955446158</v>
      </c>
      <c r="CD365" s="41" t="n">
        <f aca="false">CD413-CD359</f>
        <v>22146.508690618</v>
      </c>
      <c r="CE365" s="41" t="n">
        <f aca="false">CE413-CE359</f>
        <v>24079.8479643874</v>
      </c>
      <c r="CF365" s="37"/>
    </row>
    <row r="366" customFormat="false" ht="15" hidden="false" customHeight="true" outlineLevel="0" collapsed="false">
      <c r="B366" s="18" t="s">
        <v>546</v>
      </c>
      <c r="C366" s="44" t="n">
        <f aca="false">IF(ISNUMBER(C360),C363+C364+C365,"")</f>
        <v>6219.5</v>
      </c>
      <c r="D366" s="44" t="n">
        <f aca="false">IF(ISNUMBER(D360),D363+D364+D365,"")</f>
        <v>8386.2</v>
      </c>
      <c r="E366" s="44" t="n">
        <f aca="false">IF(ISNUMBER(E360),E363+E364+E365,"")</f>
        <v>7681.5</v>
      </c>
      <c r="F366" s="44" t="n">
        <f aca="false">IF(ISNUMBER(F360),F363+F364+F365,"")</f>
        <v>7965.2</v>
      </c>
      <c r="G366" s="44" t="n">
        <f aca="false">IF(ISNUMBER(G360),G363+G364+G365,"")</f>
        <v>8444.3</v>
      </c>
      <c r="H366" s="44" t="n">
        <f aca="false">IF(ISNUMBER(H360),H363+H364+H365,"")</f>
        <v>12977.6</v>
      </c>
      <c r="I366" s="44" t="n">
        <f aca="false">IF(ISNUMBER(I360),I363+I364+I365,"")</f>
        <v>13857.1</v>
      </c>
      <c r="J366" s="44" t="n">
        <f aca="false">IF(ISNUMBER(J360),J363+J364+J365,"")</f>
        <v>12720.1</v>
      </c>
      <c r="K366" s="44" t="n">
        <f aca="false">IF(ISNUMBER(K360),K363+K364+K365,"")</f>
        <v>12744.4</v>
      </c>
      <c r="L366" s="44" t="n">
        <f aca="false">IF(ISNUMBER(L360),L363+L364+L365,"")</f>
        <v>12350.4</v>
      </c>
      <c r="M366" s="44" t="n">
        <f aca="false">IF(ISNUMBER(M360),M363+M364+M365,"")</f>
        <v>12220.8</v>
      </c>
      <c r="N366" s="44" t="n">
        <f aca="false">IF(ISNUMBER(N360),N363+N364+N365,"")</f>
        <v>12220.8</v>
      </c>
      <c r="O366" s="44" t="n">
        <f aca="false">IF(ISNUMBER(O360),O363+O364+O365,"")</f>
        <v>12013.8</v>
      </c>
      <c r="P366" s="44" t="n">
        <f aca="false">IF(ISNUMBER(P360),P363+P364+P365,"")</f>
        <v>11863.2</v>
      </c>
      <c r="Q366" s="44" t="n">
        <f aca="false">IF(ISNUMBER(Q360),Q363+Q364+Q365,"")</f>
        <v>11725.8</v>
      </c>
      <c r="R366" s="44" t="n">
        <f aca="false">IF(ISNUMBER(R360),R363+R364+R365,"")</f>
        <v>13541.9</v>
      </c>
      <c r="S366" s="44" t="n">
        <f aca="false">IF(ISNUMBER(S360),S363+S364+S365,"")</f>
        <v>13541.9</v>
      </c>
      <c r="T366" s="44" t="n">
        <f aca="false">IF(ISNUMBER(T360),T363+T364+T365,"")</f>
        <v>12681.6</v>
      </c>
      <c r="U366" s="44" t="n">
        <f aca="false">IF(ISNUMBER(U360),U363+U364+U365,"")</f>
        <v>12814.8</v>
      </c>
      <c r="V366" s="44" t="n">
        <f aca="false">IF(ISNUMBER(V360),V363+V364+V365,"")</f>
        <v>26524.1</v>
      </c>
      <c r="W366" s="44" t="n">
        <f aca="false">IF(ISNUMBER(W360),W363+W364+W365,"")</f>
        <v>24458.2</v>
      </c>
      <c r="X366" s="44" t="n">
        <f aca="false">IF(ISNUMBER(X360),X363+X364+X365,"")</f>
        <v>24458.2</v>
      </c>
      <c r="Y366" s="44" t="n">
        <f aca="false">IF(ISNUMBER(Y360),Y363+Y364+Y365,"")</f>
        <v>23808.5</v>
      </c>
      <c r="Z366" s="44" t="n">
        <f aca="false">IF(ISNUMBER(Z360),Z363+Z364+Z365,"")</f>
        <v>26383.4</v>
      </c>
      <c r="AA366" s="44" t="n">
        <f aca="false">IF(ISNUMBER(AA360),AA363+AA364+AA365,"")</f>
        <v>18033.1</v>
      </c>
      <c r="AB366" s="44" t="n">
        <f aca="false">IF(ISNUMBER(AB360),AB363+AB364+AB365,"")</f>
        <v>22218.5</v>
      </c>
      <c r="AC366" s="44" t="n">
        <f aca="false">IF(ISNUMBER(AC360),AC363+AC364+AC365,"")</f>
        <v>22218.5</v>
      </c>
      <c r="AD366" s="44" t="n">
        <f aca="false">IF(ISNUMBER(AD360),AD363+AD364+AD365,"")</f>
        <v>21454</v>
      </c>
      <c r="AE366" s="44" t="n">
        <f aca="false">IF(ISNUMBER(AE360),AE363+AE364+AE365,"")</f>
        <v>21051.6</v>
      </c>
      <c r="AF366" s="44" t="n">
        <f aca="false">IF(ISNUMBER(AF360),AF363+AF364+AF365,"")</f>
        <v>20470.7</v>
      </c>
      <c r="AG366" s="44" t="n">
        <f aca="false">IF(ISNUMBER(AG360),AG363+AG364+AG365,"")</f>
        <v>20280.8</v>
      </c>
      <c r="AH366" s="44" t="n">
        <f aca="false">IF(ISNUMBER(AH360),AH363+AH364+AH365,"")</f>
        <v>20280.8</v>
      </c>
      <c r="AI366" s="44" t="n">
        <f aca="false">IF(ISNUMBER(AI360),AI363+AI364+AI365,"")</f>
        <v>19943.4</v>
      </c>
      <c r="AJ366" s="44" t="n">
        <f aca="false">IF(ISNUMBER(AJ360),AJ363+AJ364+AJ365,"")</f>
        <v>20831.4</v>
      </c>
      <c r="AK366" s="44" t="n">
        <f aca="false">IF(ISNUMBER(AK360),AK363+AK364+AK365,"")</f>
        <v>20034.3</v>
      </c>
      <c r="AL366" s="44" t="n">
        <f aca="false">IF(ISNUMBER(AL360),AL363+AL364+AL365,"")</f>
        <v>19605.8</v>
      </c>
      <c r="AM366" s="44" t="n">
        <f aca="false">IF(ISNUMBER(AM360),AM363+AM364+AM365,"")</f>
        <v>19605.8</v>
      </c>
      <c r="AN366" s="44" t="n">
        <f aca="false">IF(ISNUMBER(AN360),AN363+AN364+AN365,"")</f>
        <v>20205.7</v>
      </c>
      <c r="AO366" s="44" t="n">
        <f aca="false">IF(ISNUMBER(AO360),AO363+AO364+AO365,"")</f>
        <v>21108.8</v>
      </c>
      <c r="AP366" s="44" t="n">
        <f aca="false">IF(ISNUMBER(AP360),AP363+AP364+AP365,"")</f>
        <v>28335.5</v>
      </c>
      <c r="AQ366" s="44" t="n">
        <f aca="false">IF(ISNUMBER(AQ360),AQ363+AQ364+AQ365,"")</f>
        <v>31799.7</v>
      </c>
      <c r="AR366" s="44" t="n">
        <f aca="false">IF(ISNUMBER(AR360),AR363+AR364+AR365,"")</f>
        <v>31799.7</v>
      </c>
      <c r="AS366" s="44" t="n">
        <f aca="false">IF(ISNUMBER(AS360),AS363+AS364+AS365,"")</f>
        <v>37863.9</v>
      </c>
      <c r="AT366" s="44" t="n">
        <f aca="false">IF(ISNUMBER(AT360),AT363+AT364+AT365,"")</f>
        <v>34995.5</v>
      </c>
      <c r="AU366" s="44" t="n">
        <f aca="false">IF(ISNUMBER(AU360),AU363+AU364+AU365,"")</f>
        <v>34918.2</v>
      </c>
      <c r="AV366" s="44" t="n">
        <f aca="false">IF(ISNUMBER(AV360),AV363+AV364+AV365,"")</f>
        <v>36384</v>
      </c>
      <c r="AW366" s="44" t="n">
        <f aca="false">IF(ISNUMBER(AW360),AW363+AW364+AW365,"")</f>
        <v>36384</v>
      </c>
      <c r="AX366" s="44" t="n">
        <f aca="false">IF(ISNUMBER(AX360),AX363+AX364+AX365,"")</f>
        <v>34996</v>
      </c>
      <c r="AY366" s="44" t="n">
        <f aca="false">IF(ISNUMBER(AY360),AY363+AY364+AY365,"")</f>
        <v>35261</v>
      </c>
      <c r="AZ366" s="44" t="n">
        <f aca="false">IF(ISNUMBER(AZ360),AZ363+AZ364+AZ365,"")</f>
        <v>39037</v>
      </c>
      <c r="BA366" s="44" t="n">
        <f aca="false">IF(ISNUMBER(BA360),BA363+BA364+BA365,"")</f>
        <v>38007</v>
      </c>
      <c r="BB366" s="44" t="n">
        <f aca="false">IF(ISNUMBER(BB360),BB363+BB364+BB365,"")</f>
        <v>38007</v>
      </c>
      <c r="BC366" s="44" t="n">
        <f aca="false">IF(ISNUMBER(BC360),BC363+BC364+BC365,"")</f>
        <v>37030</v>
      </c>
      <c r="BD366" s="44" t="n">
        <f aca="false">IF(ISNUMBER(BD360),BD363+BD364+BD365,"")</f>
        <v>35205</v>
      </c>
      <c r="BE366" s="44" t="n">
        <f aca="false">IF(ISNUMBER(BE360),BE363+BE364+BE365,"")</f>
        <v>34037</v>
      </c>
      <c r="BF366" s="44" t="n">
        <f aca="false">IF(ISNUMBER(BF360),BF363+BF364+BF365,"")</f>
        <v>34260</v>
      </c>
      <c r="BG366" s="44" t="n">
        <f aca="false">IF(ISNUMBER(BG360),BG363+BG364+BG365,"")</f>
        <v>34260</v>
      </c>
      <c r="BH366" s="44" t="n">
        <f aca="false">IF(ISNUMBER(BH360),BH363+BH364+BH365,"")</f>
        <v>33554</v>
      </c>
      <c r="BI366" s="44" t="n">
        <f aca="false">IF(ISNUMBER(BI360),BI363+BI364+BI365,"")</f>
        <v>33178</v>
      </c>
      <c r="BJ366" s="44" t="n">
        <f aca="false">IF(ISNUMBER(BJ360),BJ363+BJ364+BJ365,"")</f>
        <v>35319</v>
      </c>
      <c r="BK366" s="44" t="n">
        <f aca="false">IF(ISNUMBER(BK360),BK363+BK364+BK365,"")</f>
        <v>30998</v>
      </c>
      <c r="BL366" s="44" t="n">
        <f aca="false">IF(ISNUMBER(BL360),BL363+BL364+BL365,"")</f>
        <v>30998</v>
      </c>
      <c r="BM366" s="44" t="n">
        <f aca="false">IF(ISNUMBER(BM360),BM363+BM364+BM365,"")</f>
        <v>29955</v>
      </c>
      <c r="BN366" s="44" t="n">
        <f aca="false">IF(ISNUMBER(BN360),BN363+BN364+BN365,"")</f>
        <v>28653</v>
      </c>
      <c r="BO366" s="44" t="n">
        <f aca="false">IF(ISNUMBER(BO360),BO363+BO364+BO365,"")</f>
        <v>29310</v>
      </c>
      <c r="BP366" s="44" t="n">
        <f aca="false">IF(ISNUMBER(BP360),BP363+BP364+BP365,"")</f>
        <v>27992</v>
      </c>
      <c r="BQ366" s="44" t="n">
        <f aca="false">IF(ISNUMBER(BQ360),BQ363+BQ364+BQ365,"")</f>
        <v>27992</v>
      </c>
      <c r="BR366" s="44" t="n">
        <f aca="false">IF(ISNUMBER(BR360),BR363+BR364+BR365,"")</f>
        <v>28259</v>
      </c>
      <c r="BS366" s="44" t="n">
        <f aca="false">IF(ISNUMBER(BS360),BS363+BS364+BS365,"")</f>
        <v>29278</v>
      </c>
      <c r="BT366" s="44" t="n">
        <f aca="false">IF(ISNUMBER(BT360),BT363+BT364+BT365,"")</f>
        <v>28817</v>
      </c>
      <c r="BU366" s="44" t="n">
        <f aca="false">IF(ISNUMBER(BU360),BU363+BU364+BU365,"")</f>
        <v>30923</v>
      </c>
      <c r="BV366" s="44" t="n">
        <f aca="false">IF(ISNUMBER(BV360),BV363+BV364+BV365,"")</f>
        <v>30923</v>
      </c>
      <c r="BW366" s="44" t="n">
        <f aca="false">IF(ISNUMBER(BW360),BW363+BW364+BW365,"")</f>
        <v>30587</v>
      </c>
      <c r="BX366" s="44" t="n">
        <f aca="false">IF(ISNUMBER(BX360),BX363+BX364+BX365,"")</f>
        <v>39775</v>
      </c>
      <c r="BY366" s="59"/>
      <c r="BZ366" s="59"/>
      <c r="CA366" s="21" t="n">
        <f aca="false">IF(ISNUMBER(CA360),CA363+CA364+CA365,"")</f>
        <v>36832.3808098851</v>
      </c>
      <c r="CB366" s="21" t="n">
        <f aca="false">IF(ISNUMBER(CB360),CB363+CB364+CB365,"")</f>
        <v>34851.2840903766</v>
      </c>
      <c r="CC366" s="21" t="n">
        <f aca="false">IF(ISNUMBER(CC360),CC363+CC364+CC365,"")</f>
        <v>36091.5873314899</v>
      </c>
      <c r="CD366" s="21" t="n">
        <f aca="false">IF(ISNUMBER(CD360),CD363+CD364+CD365,"")</f>
        <v>38038.9332217855</v>
      </c>
      <c r="CE366" s="21" t="n">
        <f aca="false">IF(ISNUMBER(CE360),CE363+CE364+CE365,"")</f>
        <v>40130.6632139714</v>
      </c>
      <c r="CF366" s="7"/>
    </row>
    <row r="367" customFormat="false" ht="15" hidden="false" customHeight="true" outlineLevel="0" collapsed="false">
      <c r="B367" s="27" t="s">
        <v>547</v>
      </c>
      <c r="CF367" s="7"/>
    </row>
    <row r="368" customFormat="false" ht="15" hidden="false" customHeight="true" outlineLevel="0" collapsed="false">
      <c r="B368" s="27" t="s">
        <v>548</v>
      </c>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40" t="n">
        <v>1599.6</v>
      </c>
      <c r="AO368" s="40" t="n">
        <v>1599.6</v>
      </c>
      <c r="AP368" s="40" t="n">
        <v>1599.6</v>
      </c>
      <c r="AQ368" s="40" t="n">
        <v>1599.6</v>
      </c>
      <c r="AR368" s="40" t="n">
        <v>1599.6</v>
      </c>
      <c r="AS368" s="40" t="n">
        <v>1599.6</v>
      </c>
      <c r="AT368" s="40" t="n">
        <v>3267.7</v>
      </c>
      <c r="AU368" s="40" t="n">
        <v>3267.7</v>
      </c>
      <c r="AV368" s="40" t="n">
        <v>3268</v>
      </c>
      <c r="AW368" s="40" t="n">
        <v>3268</v>
      </c>
      <c r="AX368" s="40" t="n">
        <v>3268</v>
      </c>
      <c r="AY368" s="40" t="n">
        <v>3268</v>
      </c>
      <c r="AZ368" s="40" t="n">
        <v>3268</v>
      </c>
      <c r="BA368" s="40" t="n">
        <v>3268</v>
      </c>
      <c r="BB368" s="40" t="n">
        <v>3268</v>
      </c>
      <c r="BC368" s="40" t="n">
        <v>3268</v>
      </c>
      <c r="BD368" s="40" t="n">
        <v>1668</v>
      </c>
      <c r="BE368" s="40" t="n">
        <v>1668</v>
      </c>
      <c r="BF368" s="40" t="n">
        <v>1668</v>
      </c>
      <c r="BG368" s="40" t="n">
        <v>1668</v>
      </c>
      <c r="BH368" s="40" t="n">
        <v>1668</v>
      </c>
      <c r="BI368" s="40" t="n">
        <v>0</v>
      </c>
      <c r="BJ368" s="40" t="n">
        <v>0</v>
      </c>
      <c r="BK368" s="40" t="n">
        <v>0</v>
      </c>
      <c r="BL368" s="40" t="n">
        <v>0</v>
      </c>
      <c r="BM368" s="39"/>
      <c r="BN368" s="39"/>
      <c r="BO368" s="39"/>
      <c r="BP368" s="39"/>
      <c r="BQ368" s="39"/>
      <c r="BR368" s="39"/>
      <c r="BS368" s="39"/>
      <c r="BT368" s="39"/>
      <c r="BU368" s="39"/>
      <c r="BV368" s="39"/>
      <c r="BW368" s="39"/>
      <c r="BX368" s="39"/>
      <c r="BY368" s="45"/>
      <c r="BZ368" s="45"/>
      <c r="CA368" s="41" t="n">
        <f aca="false">0</f>
        <v>0</v>
      </c>
      <c r="CB368" s="41" t="n">
        <f aca="false">0</f>
        <v>0</v>
      </c>
      <c r="CC368" s="41" t="n">
        <f aca="false">0</f>
        <v>0</v>
      </c>
      <c r="CD368" s="41" t="n">
        <f aca="false">0</f>
        <v>0</v>
      </c>
      <c r="CE368" s="41" t="n">
        <f aca="false">0</f>
        <v>0</v>
      </c>
      <c r="CF368" s="37"/>
    </row>
    <row r="369" customFormat="false" ht="15" hidden="false" customHeight="true" outlineLevel="0" collapsed="false">
      <c r="B369" s="27" t="s">
        <v>549</v>
      </c>
      <c r="C369" s="40" t="n">
        <v>1030.9</v>
      </c>
      <c r="D369" s="40" t="n">
        <v>1722.2</v>
      </c>
      <c r="E369" s="40" t="n">
        <v>1816.5</v>
      </c>
      <c r="F369" s="40" t="n">
        <v>2078.2</v>
      </c>
      <c r="G369" s="40" t="n">
        <v>2419.7</v>
      </c>
      <c r="H369" s="40" t="n">
        <v>3884.8</v>
      </c>
      <c r="I369" s="40" t="n">
        <v>3695.8</v>
      </c>
      <c r="J369" s="40" t="n">
        <v>3894.6</v>
      </c>
      <c r="K369" s="40" t="n">
        <v>4020.8</v>
      </c>
      <c r="L369" s="40" t="n">
        <v>4096.3</v>
      </c>
      <c r="M369" s="40" t="n">
        <v>4165.5</v>
      </c>
      <c r="N369" s="40" t="n">
        <v>4165.5</v>
      </c>
      <c r="O369" s="40" t="n">
        <v>4228</v>
      </c>
      <c r="P369" s="40" t="n">
        <v>4293.3</v>
      </c>
      <c r="Q369" s="40" t="n">
        <v>4388.8</v>
      </c>
      <c r="R369" s="40" t="n">
        <v>4488.8</v>
      </c>
      <c r="S369" s="40" t="n">
        <v>4488.8</v>
      </c>
      <c r="T369" s="40" t="n">
        <v>4631.6</v>
      </c>
      <c r="U369" s="40" t="n">
        <v>4736.1</v>
      </c>
      <c r="V369" s="40" t="n">
        <v>4895.3</v>
      </c>
      <c r="W369" s="40" t="n">
        <v>4989.2</v>
      </c>
      <c r="X369" s="40" t="n">
        <v>4989.2</v>
      </c>
      <c r="Y369" s="40" t="n">
        <v>5080.6</v>
      </c>
      <c r="Z369" s="40" t="n">
        <v>5229.5</v>
      </c>
      <c r="AA369" s="40" t="n">
        <v>5270.8</v>
      </c>
      <c r="AB369" s="40" t="n">
        <v>5321</v>
      </c>
      <c r="AC369" s="40" t="n">
        <v>5321</v>
      </c>
      <c r="AD369" s="40" t="n">
        <v>5378.6</v>
      </c>
      <c r="AE369" s="40" t="n">
        <v>5432.2</v>
      </c>
      <c r="AF369" s="40" t="n">
        <v>5480.1</v>
      </c>
      <c r="AG369" s="40" t="n">
        <v>5546.3</v>
      </c>
      <c r="AH369" s="40" t="n">
        <v>5546.3</v>
      </c>
      <c r="AI369" s="40" t="n">
        <v>5619.2</v>
      </c>
      <c r="AJ369" s="40" t="n">
        <v>5714.3</v>
      </c>
      <c r="AK369" s="40" t="n">
        <v>5780.4</v>
      </c>
      <c r="AL369" s="40" t="n">
        <v>5842.5</v>
      </c>
      <c r="AM369" s="40" t="n">
        <v>5842.5</v>
      </c>
      <c r="AN369" s="40" t="n">
        <v>7384.6</v>
      </c>
      <c r="AO369" s="40" t="n">
        <v>7490.9</v>
      </c>
      <c r="AP369" s="40" t="n">
        <v>7509.8</v>
      </c>
      <c r="AQ369" s="40" t="n">
        <v>7573</v>
      </c>
      <c r="AR369" s="40" t="n">
        <v>7573</v>
      </c>
      <c r="AS369" s="40" t="n">
        <v>7638.2</v>
      </c>
      <c r="AT369" s="40" t="n">
        <v>9483.6</v>
      </c>
      <c r="AU369" s="40" t="n">
        <v>9626.6</v>
      </c>
      <c r="AV369" s="40" t="n">
        <v>9707</v>
      </c>
      <c r="AW369" s="40" t="n">
        <v>9707</v>
      </c>
      <c r="AX369" s="40" t="n">
        <v>9803</v>
      </c>
      <c r="AY369" s="40" t="n">
        <v>9899</v>
      </c>
      <c r="AZ369" s="40" t="n">
        <v>10013</v>
      </c>
      <c r="BA369" s="40" t="n">
        <v>10099</v>
      </c>
      <c r="BB369" s="40" t="n">
        <v>10099</v>
      </c>
      <c r="BC369" s="40" t="n">
        <v>10132</v>
      </c>
      <c r="BD369" s="40" t="n">
        <v>11863</v>
      </c>
      <c r="BE369" s="40" t="n">
        <v>11994</v>
      </c>
      <c r="BF369" s="40" t="n">
        <v>12081</v>
      </c>
      <c r="BG369" s="40" t="n">
        <v>12081</v>
      </c>
      <c r="BH369" s="40" t="n">
        <v>12139</v>
      </c>
      <c r="BI369" s="40" t="n">
        <v>13948</v>
      </c>
      <c r="BJ369" s="40" t="n">
        <v>14094</v>
      </c>
      <c r="BK369" s="40" t="n">
        <v>14160</v>
      </c>
      <c r="BL369" s="40" t="n">
        <v>14160</v>
      </c>
      <c r="BM369" s="40" t="n">
        <v>14224</v>
      </c>
      <c r="BN369" s="40" t="n">
        <v>9815</v>
      </c>
      <c r="BO369" s="40" t="n">
        <v>9313</v>
      </c>
      <c r="BP369" s="40" t="n">
        <v>16736</v>
      </c>
      <c r="BQ369" s="40" t="n">
        <v>16736</v>
      </c>
      <c r="BR369" s="40" t="n">
        <v>16854</v>
      </c>
      <c r="BS369" s="40" t="n">
        <v>16969</v>
      </c>
      <c r="BT369" s="40" t="n">
        <v>17085</v>
      </c>
      <c r="BU369" s="40" t="n">
        <v>17203</v>
      </c>
      <c r="BV369" s="40" t="n">
        <v>17203</v>
      </c>
      <c r="BW369" s="40" t="n">
        <v>17312</v>
      </c>
      <c r="BX369" s="40" t="n">
        <v>17468</v>
      </c>
      <c r="BY369" s="45"/>
      <c r="BZ369" s="45"/>
      <c r="CA369" s="41" t="n">
        <f aca="false">BX369+(CA298-(BW298+BX298))+(CA309-(BW309+BX309))+(CA313-(BW313+BX313))</f>
        <v>17644.5426710052</v>
      </c>
      <c r="CB369" s="41" t="n">
        <f aca="false">CA369+CB298+CB309+CB313</f>
        <v>17962.3718313346</v>
      </c>
      <c r="CC369" s="41" t="n">
        <f aca="false">CB369+CC298+CC309+CC313</f>
        <v>18302.9866238912</v>
      </c>
      <c r="CD369" s="41" t="n">
        <f aca="false">CC369+CD298+CD309+CD313</f>
        <v>18669.8630585404</v>
      </c>
      <c r="CE369" s="41" t="n">
        <f aca="false">CD369+CE298+CE309+CE313</f>
        <v>19065.0696539301</v>
      </c>
      <c r="CF369" s="37" t="s">
        <v>550</v>
      </c>
    </row>
    <row r="370" customFormat="false" ht="15" hidden="false" customHeight="true" outlineLevel="0" collapsed="false">
      <c r="B370" s="27" t="s">
        <v>551</v>
      </c>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40" t="n">
        <v>-8163</v>
      </c>
      <c r="BQ370" s="40" t="n">
        <v>-8163</v>
      </c>
      <c r="BR370" s="40" t="n">
        <v>-9306</v>
      </c>
      <c r="BS370" s="40" t="n">
        <v>-9305</v>
      </c>
      <c r="BT370" s="40" t="n">
        <v>-11344</v>
      </c>
      <c r="BU370" s="40" t="n">
        <v>-11353</v>
      </c>
      <c r="BV370" s="40" t="n">
        <v>-11353</v>
      </c>
      <c r="BW370" s="40" t="n">
        <v>-11407</v>
      </c>
      <c r="BX370" s="40" t="n">
        <v>-12318</v>
      </c>
      <c r="BY370" s="45"/>
      <c r="BZ370" s="45"/>
      <c r="CA370" s="41" t="n">
        <f aca="false">N(BX370)+(CA311-N((BW311+BX311)))</f>
        <v>-12818</v>
      </c>
      <c r="CB370" s="41" t="n">
        <f aca="false">CA370+CB311</f>
        <v>-14333.1734721675</v>
      </c>
      <c r="CC370" s="41" t="n">
        <f aca="false">CB370+CC311</f>
        <v>-19610.0145145316</v>
      </c>
      <c r="CD370" s="41" t="n">
        <f aca="false">CC370+CD311</f>
        <v>-25134.122177543</v>
      </c>
      <c r="CE370" s="41" t="n">
        <f aca="false">CD370+CE311</f>
        <v>-31369.3799541834</v>
      </c>
      <c r="CF370" s="37" t="s">
        <v>552</v>
      </c>
    </row>
    <row r="371" customFormat="false" ht="15" hidden="false" customHeight="true" outlineLevel="0" collapsed="false">
      <c r="B371" s="27" t="s">
        <v>553</v>
      </c>
      <c r="C371" s="40" t="n">
        <v>5421.8</v>
      </c>
      <c r="D371" s="40" t="n">
        <v>6820.8</v>
      </c>
      <c r="E371" s="40" t="n">
        <v>8095.2</v>
      </c>
      <c r="F371" s="40" t="n">
        <v>9205.1</v>
      </c>
      <c r="G371" s="40" t="n">
        <v>10945.9</v>
      </c>
      <c r="H371" s="40" t="n">
        <v>13056.9</v>
      </c>
      <c r="I371" s="40" t="n">
        <v>15379.9</v>
      </c>
      <c r="J371" s="40" t="n">
        <v>16054.5</v>
      </c>
      <c r="K371" s="40" t="n">
        <v>16653.9</v>
      </c>
      <c r="L371" s="40" t="n">
        <v>17233.5</v>
      </c>
      <c r="M371" s="40" t="n">
        <v>18005.3</v>
      </c>
      <c r="N371" s="40" t="n">
        <v>18005.3</v>
      </c>
      <c r="O371" s="40" t="n">
        <v>18515.1</v>
      </c>
      <c r="P371" s="40" t="n">
        <v>19121.4</v>
      </c>
      <c r="Q371" s="40" t="n">
        <v>19731.7</v>
      </c>
      <c r="R371" s="40" t="n">
        <v>20323</v>
      </c>
      <c r="S371" s="40" t="n">
        <v>20323</v>
      </c>
      <c r="T371" s="40" t="n">
        <v>20797.3</v>
      </c>
      <c r="U371" s="40" t="n">
        <v>21397.2</v>
      </c>
      <c r="V371" s="40" t="n">
        <v>20416.4</v>
      </c>
      <c r="W371" s="40" t="n">
        <v>21012.3</v>
      </c>
      <c r="X371" s="40" t="n">
        <v>21012.3</v>
      </c>
      <c r="Y371" s="40" t="n">
        <v>21660.6</v>
      </c>
      <c r="Z371" s="40" t="n">
        <v>22206.8</v>
      </c>
      <c r="AA371" s="40" t="n">
        <v>20043.1</v>
      </c>
      <c r="AB371" s="40" t="n">
        <v>20703.5</v>
      </c>
      <c r="AC371" s="40" t="n">
        <v>20703.5</v>
      </c>
      <c r="AD371" s="40" t="n">
        <v>21112.4</v>
      </c>
      <c r="AE371" s="40" t="n">
        <v>21572.3</v>
      </c>
      <c r="AF371" s="40" t="n">
        <v>22047.1</v>
      </c>
      <c r="AG371" s="40" t="n">
        <v>22806.1</v>
      </c>
      <c r="AH371" s="40" t="n">
        <v>22806.1</v>
      </c>
      <c r="AI371" s="40" t="n">
        <v>23415.4</v>
      </c>
      <c r="AJ371" s="40" t="n">
        <v>23977.2</v>
      </c>
      <c r="AK371" s="40" t="n">
        <v>24528.7</v>
      </c>
      <c r="AL371" s="40" t="n">
        <v>25163</v>
      </c>
      <c r="AM371" s="40" t="n">
        <v>25163</v>
      </c>
      <c r="AN371" s="40" t="n">
        <v>25368.5</v>
      </c>
      <c r="AO371" s="40" t="n">
        <v>25955</v>
      </c>
      <c r="AP371" s="40" t="n">
        <v>26481.2</v>
      </c>
      <c r="AQ371" s="40" t="n">
        <v>24166.3</v>
      </c>
      <c r="AR371" s="40" t="n">
        <v>24166.3</v>
      </c>
      <c r="AS371" s="40" t="n">
        <v>24608.6</v>
      </c>
      <c r="AT371" s="40" t="n">
        <v>25373.5</v>
      </c>
      <c r="AU371" s="40" t="n">
        <v>26087.8</v>
      </c>
      <c r="AV371" s="40" t="n">
        <v>27159</v>
      </c>
      <c r="AW371" s="40" t="n">
        <v>27159</v>
      </c>
      <c r="AX371" s="40" t="n">
        <v>28670</v>
      </c>
      <c r="AY371" s="40" t="n">
        <v>30264</v>
      </c>
      <c r="AZ371" s="40" t="n">
        <v>31231</v>
      </c>
      <c r="BA371" s="40" t="n">
        <v>32827</v>
      </c>
      <c r="BB371" s="40" t="n">
        <v>32827</v>
      </c>
      <c r="BC371" s="40" t="n">
        <v>34332</v>
      </c>
      <c r="BD371" s="40" t="n">
        <v>35808</v>
      </c>
      <c r="BE371" s="40" t="n">
        <v>37177</v>
      </c>
      <c r="BF371" s="40" t="n">
        <v>39205</v>
      </c>
      <c r="BG371" s="40" t="n">
        <v>39205</v>
      </c>
      <c r="BH371" s="40" t="n">
        <v>40437</v>
      </c>
      <c r="BI371" s="40" t="n">
        <v>41344</v>
      </c>
      <c r="BJ371" s="40" t="n">
        <v>42272</v>
      </c>
      <c r="BK371" s="40" t="n">
        <v>41074</v>
      </c>
      <c r="BL371" s="40" t="n">
        <v>41074</v>
      </c>
      <c r="BM371" s="40" t="n">
        <v>41962</v>
      </c>
      <c r="BN371" s="40" t="n">
        <v>42673</v>
      </c>
      <c r="BO371" s="40" t="n">
        <v>43296</v>
      </c>
      <c r="BP371" s="40" t="n">
        <v>44188</v>
      </c>
      <c r="BQ371" s="40" t="n">
        <v>44188</v>
      </c>
      <c r="BR371" s="40" t="n">
        <v>44913</v>
      </c>
      <c r="BS371" s="40" t="n">
        <v>45239</v>
      </c>
      <c r="BT371" s="40" t="n">
        <v>45920</v>
      </c>
      <c r="BU371" s="40" t="n">
        <v>46891</v>
      </c>
      <c r="BV371" s="40" t="n">
        <v>46891</v>
      </c>
      <c r="BW371" s="40" t="n">
        <v>47637</v>
      </c>
      <c r="BX371" s="40" t="n">
        <v>48226</v>
      </c>
      <c r="BY371" s="45"/>
      <c r="BZ371" s="45"/>
      <c r="CA371" s="41" t="n">
        <f aca="false">BX371+BY197+BZ197+(CA310-(BW310+BX310))</f>
        <v>50012.5213631617</v>
      </c>
      <c r="CB371" s="41" t="n">
        <f aca="false">CA371+CB197+CB310</f>
        <v>53792.1082963765</v>
      </c>
      <c r="CC371" s="41" t="n">
        <f aca="false">CB371+CC197+CC310</f>
        <v>58073.2745750705</v>
      </c>
      <c r="CD371" s="41" t="n">
        <f aca="false">CC371+CD197+CD310</f>
        <v>62830.6382184236</v>
      </c>
      <c r="CE371" s="41" t="n">
        <f aca="false">CD371+CE197+CE310</f>
        <v>68283.4591971541</v>
      </c>
      <c r="CF371" s="37" t="s">
        <v>554</v>
      </c>
    </row>
    <row r="372" customFormat="false" ht="15" hidden="false" customHeight="true" outlineLevel="0" collapsed="false">
      <c r="B372" s="27" t="s">
        <v>555</v>
      </c>
      <c r="C372" s="40" t="n">
        <v>192</v>
      </c>
      <c r="D372" s="40" t="n">
        <v>542.7</v>
      </c>
      <c r="E372" s="40" t="n">
        <v>-103.1</v>
      </c>
      <c r="F372" s="40" t="n">
        <v>346.9</v>
      </c>
      <c r="G372" s="40" t="n">
        <v>345.4</v>
      </c>
      <c r="H372" s="40" t="n">
        <v>-36.9</v>
      </c>
      <c r="I372" s="40" t="n">
        <v>-59.2</v>
      </c>
      <c r="J372" s="40" t="n">
        <v>-268</v>
      </c>
      <c r="K372" s="40" t="n">
        <v>-378.6</v>
      </c>
      <c r="L372" s="40" t="n">
        <v>-25.2</v>
      </c>
      <c r="M372" s="40" t="n">
        <v>214.5</v>
      </c>
      <c r="N372" s="40" t="n">
        <v>214.5</v>
      </c>
      <c r="O372" s="40" t="n">
        <v>218.6</v>
      </c>
      <c r="P372" s="40" t="n">
        <v>305.8</v>
      </c>
      <c r="Q372" s="40" t="n">
        <v>-379.8</v>
      </c>
      <c r="R372" s="40" t="n">
        <v>-1433.7</v>
      </c>
      <c r="S372" s="40" t="n">
        <v>-1433.7</v>
      </c>
      <c r="T372" s="40" t="n">
        <v>-2107.9</v>
      </c>
      <c r="U372" s="40" t="n">
        <v>-2032.1</v>
      </c>
      <c r="V372" s="40" t="n">
        <v>-2199</v>
      </c>
      <c r="W372" s="40" t="n">
        <v>-2311.2</v>
      </c>
      <c r="X372" s="40" t="n">
        <v>-2311.2</v>
      </c>
      <c r="Y372" s="40" t="n">
        <v>-2236.5</v>
      </c>
      <c r="Z372" s="40" t="n">
        <v>-2391.2</v>
      </c>
      <c r="AA372" s="40" t="n">
        <v>-2122.3</v>
      </c>
      <c r="AB372" s="40" t="n">
        <v>-3021.7</v>
      </c>
      <c r="AC372" s="40" t="n">
        <v>-3021.7</v>
      </c>
      <c r="AD372" s="40" t="n">
        <v>-2705.2</v>
      </c>
      <c r="AE372" s="40" t="n">
        <v>-2414.5</v>
      </c>
      <c r="AF372" s="40" t="n">
        <v>-2151.8</v>
      </c>
      <c r="AG372" s="40" t="n">
        <v>-1994.2</v>
      </c>
      <c r="AH372" s="40" t="n">
        <v>-1994.2</v>
      </c>
      <c r="AI372" s="40" t="n">
        <v>-1844.7</v>
      </c>
      <c r="AJ372" s="40" t="n">
        <v>-2479.2</v>
      </c>
      <c r="AK372" s="40" t="n">
        <v>-2635.7</v>
      </c>
      <c r="AL372" s="40" t="n">
        <v>-2791.1</v>
      </c>
      <c r="AM372" s="40" t="n">
        <v>-2791.1</v>
      </c>
      <c r="AN372" s="40" t="n">
        <v>-2796.1</v>
      </c>
      <c r="AO372" s="40" t="n">
        <v>-2844.3</v>
      </c>
      <c r="AP372" s="40" t="n">
        <v>-3088.3</v>
      </c>
      <c r="AQ372" s="40" t="n">
        <v>-3068.3</v>
      </c>
      <c r="AR372" s="40" t="n">
        <v>-3068.3</v>
      </c>
      <c r="AS372" s="40" t="n">
        <v>-2791.3</v>
      </c>
      <c r="AT372" s="40" t="n">
        <v>-1863.1</v>
      </c>
      <c r="AU372" s="40" t="n">
        <v>-1021.1</v>
      </c>
      <c r="AV372" s="40" t="n">
        <v>-368</v>
      </c>
      <c r="AW372" s="40" t="n">
        <v>-368</v>
      </c>
      <c r="AX372" s="40" t="n">
        <v>-1322</v>
      </c>
      <c r="AY372" s="40" t="n">
        <v>-675</v>
      </c>
      <c r="AZ372" s="40" t="n">
        <v>-1061</v>
      </c>
      <c r="BA372" s="40" t="n">
        <v>-1027</v>
      </c>
      <c r="BB372" s="40" t="n">
        <v>-1027</v>
      </c>
      <c r="BC372" s="40" t="n">
        <v>-1376</v>
      </c>
      <c r="BD372" s="40" t="n">
        <v>-2745</v>
      </c>
      <c r="BE372" s="40" t="n">
        <v>-3854</v>
      </c>
      <c r="BF372" s="40" t="n">
        <v>-2872</v>
      </c>
      <c r="BG372" s="40" t="n">
        <v>-2872</v>
      </c>
      <c r="BH372" s="40" t="n">
        <v>-2766</v>
      </c>
      <c r="BI372" s="40" t="n">
        <v>-3576</v>
      </c>
      <c r="BJ372" s="40" t="n">
        <v>-3959</v>
      </c>
      <c r="BK372" s="40" t="n">
        <v>-1748</v>
      </c>
      <c r="BL372" s="40" t="n">
        <v>-1748</v>
      </c>
      <c r="BM372" s="40" t="n">
        <v>-2744</v>
      </c>
      <c r="BN372" s="40" t="n">
        <v>-2591</v>
      </c>
      <c r="BO372" s="40" t="n">
        <v>-1310</v>
      </c>
      <c r="BP372" s="40" t="n">
        <v>-3218</v>
      </c>
      <c r="BQ372" s="40" t="n">
        <v>-3218</v>
      </c>
      <c r="BR372" s="40" t="n">
        <v>-1612</v>
      </c>
      <c r="BS372" s="40" t="n">
        <v>-569</v>
      </c>
      <c r="BT372" s="40" t="n">
        <v>-590</v>
      </c>
      <c r="BU372" s="40" t="n">
        <v>-207</v>
      </c>
      <c r="BV372" s="40" t="n">
        <v>-207</v>
      </c>
      <c r="BW372" s="40" t="n">
        <v>-593</v>
      </c>
      <c r="BX372" s="40" t="n">
        <v>-795</v>
      </c>
      <c r="BY372" s="45"/>
      <c r="BZ372" s="45"/>
      <c r="CA372" s="41" t="n">
        <f aca="false">BX372+(CA315-(BW315+BX315))</f>
        <v>-795</v>
      </c>
      <c r="CB372" s="41" t="n">
        <f aca="false">CA372</f>
        <v>-795</v>
      </c>
      <c r="CC372" s="41" t="n">
        <f aca="false">CB372</f>
        <v>-795</v>
      </c>
      <c r="CD372" s="41" t="n">
        <f aca="false">CC372</f>
        <v>-795</v>
      </c>
      <c r="CE372" s="41" t="n">
        <f aca="false">CD372</f>
        <v>-795</v>
      </c>
      <c r="CF372" s="37"/>
    </row>
    <row r="373" customFormat="false" ht="15" hidden="false" customHeight="true" outlineLevel="0" collapsed="false">
      <c r="B373" s="18" t="s">
        <v>556</v>
      </c>
      <c r="C373" s="44" t="n">
        <f aca="false">IF(ISNUMBER(C369),SUM(C368:C372),"")</f>
        <v>6644.7</v>
      </c>
      <c r="D373" s="44" t="n">
        <f aca="false">IF(ISNUMBER(D369),SUM(D368:D372),"")</f>
        <v>9085.7</v>
      </c>
      <c r="E373" s="44" t="n">
        <f aca="false">IF(ISNUMBER(E369),SUM(E368:E372),"")</f>
        <v>9808.6</v>
      </c>
      <c r="F373" s="44" t="n">
        <f aca="false">IF(ISNUMBER(F369),SUM(F368:F372),"")</f>
        <v>11630.2</v>
      </c>
      <c r="G373" s="44" t="n">
        <f aca="false">IF(ISNUMBER(G369),SUM(G368:G372),"")</f>
        <v>13711</v>
      </c>
      <c r="H373" s="44" t="n">
        <f aca="false">IF(ISNUMBER(H369),SUM(H368:H372),"")</f>
        <v>16904.8</v>
      </c>
      <c r="I373" s="44" t="n">
        <f aca="false">IF(ISNUMBER(I369),SUM(I368:I372),"")</f>
        <v>19016.5</v>
      </c>
      <c r="J373" s="44" t="n">
        <f aca="false">IF(ISNUMBER(J369),SUM(J368:J372),"")</f>
        <v>19681.1</v>
      </c>
      <c r="K373" s="44" t="n">
        <f aca="false">IF(ISNUMBER(K369),SUM(K368:K372),"")</f>
        <v>20296.1</v>
      </c>
      <c r="L373" s="44" t="n">
        <f aca="false">IF(ISNUMBER(L369),SUM(L368:L372),"")</f>
        <v>21304.6</v>
      </c>
      <c r="M373" s="44" t="n">
        <f aca="false">IF(ISNUMBER(M369),SUM(M368:M372),"")</f>
        <v>22385.3</v>
      </c>
      <c r="N373" s="44" t="n">
        <f aca="false">IF(ISNUMBER(N369),SUM(N368:N372),"")</f>
        <v>22385.3</v>
      </c>
      <c r="O373" s="44" t="n">
        <f aca="false">IF(ISNUMBER(O369),SUM(O368:O372),"")</f>
        <v>22961.7</v>
      </c>
      <c r="P373" s="44" t="n">
        <f aca="false">IF(ISNUMBER(P369),SUM(P368:P372),"")</f>
        <v>23720.5</v>
      </c>
      <c r="Q373" s="44" t="n">
        <f aca="false">IF(ISNUMBER(Q369),SUM(Q368:Q372),"")</f>
        <v>23740.7</v>
      </c>
      <c r="R373" s="44" t="n">
        <f aca="false">IF(ISNUMBER(R369),SUM(R368:R372),"")</f>
        <v>23378.1</v>
      </c>
      <c r="S373" s="44" t="n">
        <f aca="false">IF(ISNUMBER(S369),SUM(S368:S372),"")</f>
        <v>23378.1</v>
      </c>
      <c r="T373" s="44" t="n">
        <f aca="false">IF(ISNUMBER(T369),SUM(T368:T372),"")</f>
        <v>23321</v>
      </c>
      <c r="U373" s="44" t="n">
        <f aca="false">IF(ISNUMBER(U369),SUM(U368:U372),"")</f>
        <v>24101.2</v>
      </c>
      <c r="V373" s="44" t="n">
        <f aca="false">IF(ISNUMBER(V369),SUM(V368:V372),"")</f>
        <v>23112.7</v>
      </c>
      <c r="W373" s="44" t="n">
        <f aca="false">IF(ISNUMBER(W369),SUM(W368:W372),"")</f>
        <v>23690.3</v>
      </c>
      <c r="X373" s="44" t="n">
        <f aca="false">IF(ISNUMBER(X369),SUM(X368:X372),"")</f>
        <v>23690.3</v>
      </c>
      <c r="Y373" s="44" t="n">
        <f aca="false">IF(ISNUMBER(Y369),SUM(Y368:Y372),"")</f>
        <v>24504.7</v>
      </c>
      <c r="Z373" s="44" t="n">
        <f aca="false">IF(ISNUMBER(Z369),SUM(Z368:Z372),"")</f>
        <v>25045.1</v>
      </c>
      <c r="AA373" s="44" t="n">
        <f aca="false">IF(ISNUMBER(AA369),SUM(AA368:AA372),"")</f>
        <v>23191.6</v>
      </c>
      <c r="AB373" s="44" t="n">
        <f aca="false">IF(ISNUMBER(AB369),SUM(AB368:AB372),"")</f>
        <v>23002.8</v>
      </c>
      <c r="AC373" s="44" t="n">
        <f aca="false">IF(ISNUMBER(AC369),SUM(AC368:AC372),"")</f>
        <v>23002.8</v>
      </c>
      <c r="AD373" s="44" t="n">
        <f aca="false">IF(ISNUMBER(AD369),SUM(AD368:AD372),"")</f>
        <v>23785.8</v>
      </c>
      <c r="AE373" s="44" t="n">
        <f aca="false">IF(ISNUMBER(AE369),SUM(AE368:AE372),"")</f>
        <v>24590</v>
      </c>
      <c r="AF373" s="44" t="n">
        <f aca="false">IF(ISNUMBER(AF369),SUM(AF368:AF372),"")</f>
        <v>25375.4</v>
      </c>
      <c r="AG373" s="44" t="n">
        <f aca="false">IF(ISNUMBER(AG369),SUM(AG368:AG372),"")</f>
        <v>26358.2</v>
      </c>
      <c r="AH373" s="44" t="n">
        <f aca="false">IF(ISNUMBER(AH369),SUM(AH368:AH372),"")</f>
        <v>26358.2</v>
      </c>
      <c r="AI373" s="44" t="n">
        <f aca="false">IF(ISNUMBER(AI369),SUM(AI368:AI372),"")</f>
        <v>27189.9</v>
      </c>
      <c r="AJ373" s="44" t="n">
        <f aca="false">IF(ISNUMBER(AJ369),SUM(AJ368:AJ372),"")</f>
        <v>27212.3</v>
      </c>
      <c r="AK373" s="44" t="n">
        <f aca="false">IF(ISNUMBER(AK369),SUM(AK368:AK372),"")</f>
        <v>27673.4</v>
      </c>
      <c r="AL373" s="44" t="n">
        <f aca="false">IF(ISNUMBER(AL369),SUM(AL368:AL372),"")</f>
        <v>28214.4</v>
      </c>
      <c r="AM373" s="44" t="n">
        <f aca="false">IF(ISNUMBER(AM369),SUM(AM368:AM372),"")</f>
        <v>28214.4</v>
      </c>
      <c r="AN373" s="44" t="n">
        <f aca="false">IF(ISNUMBER(AN369),SUM(AN368:AN372),"")</f>
        <v>31556.6</v>
      </c>
      <c r="AO373" s="44" t="n">
        <f aca="false">IF(ISNUMBER(AO369),SUM(AO368:AO372),"")</f>
        <v>32201.2</v>
      </c>
      <c r="AP373" s="44" t="n">
        <f aca="false">IF(ISNUMBER(AP369),SUM(AP368:AP372),"")</f>
        <v>32502.3</v>
      </c>
      <c r="AQ373" s="44" t="n">
        <f aca="false">IF(ISNUMBER(AQ369),SUM(AQ368:AQ372),"")</f>
        <v>30270.6</v>
      </c>
      <c r="AR373" s="44" t="n">
        <f aca="false">IF(ISNUMBER(AR369),SUM(AR368:AR372),"")</f>
        <v>30270.6</v>
      </c>
      <c r="AS373" s="44" t="n">
        <f aca="false">IF(ISNUMBER(AS369),SUM(AS368:AS372),"")</f>
        <v>31055.1</v>
      </c>
      <c r="AT373" s="44" t="n">
        <f aca="false">IF(ISNUMBER(AT369),SUM(AT368:AT372),"")</f>
        <v>36261.7</v>
      </c>
      <c r="AU373" s="44" t="n">
        <f aca="false">IF(ISNUMBER(AU369),SUM(AU368:AU372),"")</f>
        <v>37961</v>
      </c>
      <c r="AV373" s="44" t="n">
        <f aca="false">IF(ISNUMBER(AV369),SUM(AV368:AV372),"")</f>
        <v>39766</v>
      </c>
      <c r="AW373" s="44" t="n">
        <f aca="false">IF(ISNUMBER(AW369),SUM(AW368:AW372),"")</f>
        <v>39766</v>
      </c>
      <c r="AX373" s="44" t="n">
        <f aca="false">IF(ISNUMBER(AX369),SUM(AX368:AX372),"")</f>
        <v>40419</v>
      </c>
      <c r="AY373" s="44" t="n">
        <f aca="false">IF(ISNUMBER(AY369),SUM(AY368:AY372),"")</f>
        <v>42756</v>
      </c>
      <c r="AZ373" s="44" t="n">
        <f aca="false">IF(ISNUMBER(AZ369),SUM(AZ368:AZ372),"")</f>
        <v>43451</v>
      </c>
      <c r="BA373" s="44" t="n">
        <f aca="false">IF(ISNUMBER(BA369),SUM(BA368:BA372),"")</f>
        <v>45167</v>
      </c>
      <c r="BB373" s="44" t="n">
        <f aca="false">IF(ISNUMBER(BB369),SUM(BB368:BB372),"")</f>
        <v>45167</v>
      </c>
      <c r="BC373" s="44" t="n">
        <f aca="false">IF(ISNUMBER(BC369),SUM(BC368:BC372),"")</f>
        <v>46356</v>
      </c>
      <c r="BD373" s="44" t="n">
        <f aca="false">IF(ISNUMBER(BD369),SUM(BD368:BD372),"")</f>
        <v>46594</v>
      </c>
      <c r="BE373" s="44" t="n">
        <f aca="false">IF(ISNUMBER(BE369),SUM(BE368:BE372),"")</f>
        <v>46985</v>
      </c>
      <c r="BF373" s="44" t="n">
        <f aca="false">IF(ISNUMBER(BF369),SUM(BF368:BF372),"")</f>
        <v>50082</v>
      </c>
      <c r="BG373" s="44" t="n">
        <f aca="false">IF(ISNUMBER(BG369),SUM(BG368:BG372),"")</f>
        <v>50082</v>
      </c>
      <c r="BH373" s="44" t="n">
        <f aca="false">IF(ISNUMBER(BH369),SUM(BH368:BH372),"")</f>
        <v>51478</v>
      </c>
      <c r="BI373" s="44" t="n">
        <f aca="false">IF(ISNUMBER(BI369),SUM(BI368:BI372),"")</f>
        <v>51716</v>
      </c>
      <c r="BJ373" s="44" t="n">
        <f aca="false">IF(ISNUMBER(BJ369),SUM(BJ368:BJ372),"")</f>
        <v>52407</v>
      </c>
      <c r="BK373" s="44" t="n">
        <f aca="false">IF(ISNUMBER(BK369),SUM(BK368:BK372),"")</f>
        <v>53486</v>
      </c>
      <c r="BL373" s="44" t="n">
        <f aca="false">IF(ISNUMBER(BL369),SUM(BL368:BL372),"")</f>
        <v>53486</v>
      </c>
      <c r="BM373" s="44" t="n">
        <f aca="false">IF(ISNUMBER(BM369),SUM(BM368:BM372),"")</f>
        <v>53442</v>
      </c>
      <c r="BN373" s="44" t="n">
        <f aca="false">IF(ISNUMBER(BN369),SUM(BN368:BN372),"")</f>
        <v>49897</v>
      </c>
      <c r="BO373" s="44" t="n">
        <f aca="false">IF(ISNUMBER(BO369),SUM(BO368:BO372),"")</f>
        <v>51299</v>
      </c>
      <c r="BP373" s="44" t="n">
        <f aca="false">IF(ISNUMBER(BP369),SUM(BP368:BP372),"")</f>
        <v>49543</v>
      </c>
      <c r="BQ373" s="44" t="n">
        <f aca="false">IF(ISNUMBER(BQ369),SUM(BQ368:BQ372),"")</f>
        <v>49543</v>
      </c>
      <c r="BR373" s="44" t="n">
        <f aca="false">IF(ISNUMBER(BR369),SUM(BR368:BR372),"")</f>
        <v>50849</v>
      </c>
      <c r="BS373" s="44" t="n">
        <f aca="false">IF(ISNUMBER(BS369),SUM(BS368:BS372),"")</f>
        <v>52334</v>
      </c>
      <c r="BT373" s="44" t="n">
        <f aca="false">IF(ISNUMBER(BT369),SUM(BT368:BT372),"")</f>
        <v>51071</v>
      </c>
      <c r="BU373" s="44" t="n">
        <f aca="false">IF(ISNUMBER(BU369),SUM(BU368:BU372),"")</f>
        <v>52534</v>
      </c>
      <c r="BV373" s="44" t="n">
        <f aca="false">IF(ISNUMBER(BV369),SUM(BV368:BV372),"")</f>
        <v>52534</v>
      </c>
      <c r="BW373" s="44" t="n">
        <f aca="false">IF(ISNUMBER(BW369),SUM(BW368:BW372),"")</f>
        <v>52949</v>
      </c>
      <c r="BX373" s="44" t="n">
        <f aca="false">IF(ISNUMBER(BX369),SUM(BX368:BX372),"")</f>
        <v>52581</v>
      </c>
      <c r="BY373" s="59"/>
      <c r="BZ373" s="59"/>
      <c r="CA373" s="21" t="n">
        <f aca="false">IF(ISNUMBER(CA369),SUM(CA368:CA372),"")</f>
        <v>54044.0640341669</v>
      </c>
      <c r="CB373" s="21" t="n">
        <f aca="false">IF(ISNUMBER(CB369),SUM(CB368:CB372),"")</f>
        <v>56626.3066555436</v>
      </c>
      <c r="CC373" s="21" t="n">
        <f aca="false">IF(ISNUMBER(CC369),SUM(CC368:CC372),"")</f>
        <v>55971.2466844301</v>
      </c>
      <c r="CD373" s="21" t="n">
        <f aca="false">IF(ISNUMBER(CD369),SUM(CD368:CD372),"")</f>
        <v>55571.379099421</v>
      </c>
      <c r="CE373" s="21" t="n">
        <f aca="false">IF(ISNUMBER(CE369),SUM(CE368:CE372),"")</f>
        <v>55184.1488969007</v>
      </c>
      <c r="CF373" s="7"/>
      <c r="CH373" s="22" t="n">
        <f aca="false">IFERROR((CE373/BV373)^(1/5)-1,"n/m")</f>
        <v>0.00989163707256169</v>
      </c>
      <c r="CI373" s="22" t="n">
        <f aca="false">IFERROR((BV373/AW373)^(1/5)-1,"n/m")</f>
        <v>0.0572695204707812</v>
      </c>
      <c r="CJ373" s="22" t="n">
        <f aca="false">IFERROR((BV373/X373)^(1/10)-1,"n/m")</f>
        <v>0.0828966019568391</v>
      </c>
      <c r="CK373" s="22" t="n">
        <f aca="false">IFERROR((BV373/C373)^(1/19)-1,"n/m")</f>
        <v>0.114965220833434</v>
      </c>
    </row>
    <row r="374" customFormat="false" ht="15" hidden="false" customHeight="true" outlineLevel="0" collapsed="false">
      <c r="B374" s="27" t="s">
        <v>557</v>
      </c>
      <c r="C374" s="39"/>
      <c r="D374" s="39"/>
      <c r="E374" s="39"/>
      <c r="F374" s="39"/>
      <c r="G374" s="40" t="n">
        <v>61.8</v>
      </c>
      <c r="H374" s="40" t="n">
        <v>67</v>
      </c>
      <c r="I374" s="40" t="n">
        <v>67.4</v>
      </c>
      <c r="J374" s="40" t="n">
        <v>68.1</v>
      </c>
      <c r="K374" s="40" t="n">
        <v>68.5</v>
      </c>
      <c r="L374" s="40" t="n">
        <v>66.2</v>
      </c>
      <c r="M374" s="40" t="n">
        <v>66.1</v>
      </c>
      <c r="N374" s="40" t="n">
        <v>66.1</v>
      </c>
      <c r="O374" s="40" t="n">
        <v>67.1</v>
      </c>
      <c r="P374" s="40" t="n">
        <v>68.4</v>
      </c>
      <c r="Q374" s="40" t="n">
        <v>69.4</v>
      </c>
      <c r="R374" s="40" t="n">
        <v>71.7</v>
      </c>
      <c r="S374" s="40" t="n">
        <v>71.7</v>
      </c>
      <c r="T374" s="40" t="n">
        <v>69.7</v>
      </c>
      <c r="U374" s="40" t="n">
        <v>70.8</v>
      </c>
      <c r="V374" s="40" t="n">
        <v>71.1</v>
      </c>
      <c r="W374" s="40" t="n">
        <v>73.7</v>
      </c>
      <c r="X374" s="40" t="n">
        <v>73.7</v>
      </c>
      <c r="Y374" s="40" t="n">
        <v>72.4</v>
      </c>
      <c r="Z374" s="40" t="n">
        <v>75.2</v>
      </c>
      <c r="AA374" s="40" t="n">
        <v>72.8</v>
      </c>
      <c r="AB374" s="40" t="n">
        <v>74</v>
      </c>
      <c r="AC374" s="40" t="n">
        <v>74</v>
      </c>
      <c r="AD374" s="40" t="n">
        <v>5.3</v>
      </c>
      <c r="AE374" s="40" t="n">
        <v>5.2</v>
      </c>
      <c r="AF374" s="40" t="n">
        <v>5.2</v>
      </c>
      <c r="AG374" s="40" t="n">
        <v>9.6</v>
      </c>
      <c r="AH374" s="40" t="n">
        <v>9.6</v>
      </c>
      <c r="AI374" s="40" t="n">
        <v>11.9</v>
      </c>
      <c r="AJ374" s="40" t="n">
        <v>12.1</v>
      </c>
      <c r="AK374" s="40" t="n">
        <v>11.8</v>
      </c>
      <c r="AL374" s="40" t="n">
        <v>12.3</v>
      </c>
      <c r="AM374" s="40" t="n">
        <v>12.3</v>
      </c>
      <c r="AN374" s="40" t="n">
        <v>12.1</v>
      </c>
      <c r="AO374" s="40" t="n">
        <v>12</v>
      </c>
      <c r="AP374" s="40" t="n">
        <v>693.3</v>
      </c>
      <c r="AQ374" s="40" t="n">
        <v>11.3</v>
      </c>
      <c r="AR374" s="40" t="n">
        <v>11.3</v>
      </c>
      <c r="AS374" s="40" t="n">
        <v>11.3</v>
      </c>
      <c r="AT374" s="40" t="n">
        <v>11.2</v>
      </c>
      <c r="AU374" s="40" t="n">
        <v>11.5</v>
      </c>
      <c r="AV374" s="40" t="n">
        <v>11</v>
      </c>
      <c r="AW374" s="40" t="n">
        <v>11</v>
      </c>
      <c r="AX374" s="40" t="n">
        <v>11</v>
      </c>
      <c r="AY374" s="40" t="n">
        <v>10</v>
      </c>
      <c r="AZ374" s="40" t="n">
        <v>10</v>
      </c>
      <c r="BA374" s="40" t="n">
        <v>10</v>
      </c>
      <c r="BB374" s="40" t="n">
        <v>10</v>
      </c>
      <c r="BC374" s="40" t="n">
        <v>6</v>
      </c>
      <c r="BD374" s="40" t="n">
        <v>7</v>
      </c>
      <c r="BE374" s="40" t="n">
        <v>8</v>
      </c>
      <c r="BF374" s="40" t="n">
        <v>8</v>
      </c>
      <c r="BG374" s="40" t="n">
        <v>8</v>
      </c>
      <c r="BH374" s="40" t="n">
        <v>8</v>
      </c>
      <c r="BI374" s="40" t="n">
        <v>8</v>
      </c>
      <c r="BJ374" s="40" t="n">
        <v>8</v>
      </c>
      <c r="BK374" s="40" t="n">
        <v>4</v>
      </c>
      <c r="BL374" s="40" t="n">
        <v>4</v>
      </c>
      <c r="BM374" s="40" t="n">
        <v>5</v>
      </c>
      <c r="BN374" s="40" t="n">
        <v>5</v>
      </c>
      <c r="BO374" s="40" t="n">
        <v>6</v>
      </c>
      <c r="BP374" s="40" t="n">
        <v>7</v>
      </c>
      <c r="BQ374" s="40" t="n">
        <v>7</v>
      </c>
      <c r="BR374" s="40" t="n">
        <v>8</v>
      </c>
      <c r="BS374" s="40" t="n">
        <v>8</v>
      </c>
      <c r="BT374" s="40" t="n">
        <v>9</v>
      </c>
      <c r="BU374" s="40" t="n">
        <v>7</v>
      </c>
      <c r="BV374" s="40" t="n">
        <v>7</v>
      </c>
      <c r="BW374" s="40" t="n">
        <v>8</v>
      </c>
      <c r="BX374" s="40" t="n">
        <v>11</v>
      </c>
      <c r="BY374" s="45"/>
      <c r="BZ374" s="45"/>
      <c r="CA374" s="41" t="n">
        <f aca="false">N(BX374)</f>
        <v>11</v>
      </c>
      <c r="CB374" s="41" t="n">
        <f aca="false">N(CA374)</f>
        <v>11</v>
      </c>
      <c r="CC374" s="41" t="n">
        <f aca="false">N(CB374)</f>
        <v>11</v>
      </c>
      <c r="CD374" s="41" t="n">
        <f aca="false">N(CC374)</f>
        <v>11</v>
      </c>
      <c r="CE374" s="41" t="n">
        <f aca="false">N(CD374)</f>
        <v>11</v>
      </c>
      <c r="CF374" s="37"/>
    </row>
    <row r="375" customFormat="false" ht="15" hidden="false" customHeight="true" outlineLevel="0" collapsed="false">
      <c r="B375" s="18" t="s">
        <v>558</v>
      </c>
      <c r="C375" s="44" t="n">
        <f aca="false">IF(ISNUMBER(C373),C373+N(C374),"")</f>
        <v>6644.7</v>
      </c>
      <c r="D375" s="44" t="n">
        <f aca="false">IF(ISNUMBER(D373),D373+N(D374),"")</f>
        <v>9085.7</v>
      </c>
      <c r="E375" s="44" t="n">
        <f aca="false">IF(ISNUMBER(E373),E373+N(E374),"")</f>
        <v>9808.6</v>
      </c>
      <c r="F375" s="44" t="n">
        <f aca="false">IF(ISNUMBER(F373),F373+N(F374),"")</f>
        <v>11630.2</v>
      </c>
      <c r="G375" s="44" t="n">
        <f aca="false">IF(ISNUMBER(G373),G373+N(G374),"")</f>
        <v>13772.8</v>
      </c>
      <c r="H375" s="44" t="n">
        <f aca="false">IF(ISNUMBER(H373),H373+N(H374),"")</f>
        <v>16971.8</v>
      </c>
      <c r="I375" s="44" t="n">
        <f aca="false">IF(ISNUMBER(I373),I373+N(I374),"")</f>
        <v>19083.9</v>
      </c>
      <c r="J375" s="44" t="n">
        <f aca="false">IF(ISNUMBER(J373),J373+N(J374),"")</f>
        <v>19749.2</v>
      </c>
      <c r="K375" s="44" t="n">
        <f aca="false">IF(ISNUMBER(K373),K373+N(K374),"")</f>
        <v>20364.6</v>
      </c>
      <c r="L375" s="44" t="n">
        <f aca="false">IF(ISNUMBER(L373),L373+N(L374),"")</f>
        <v>21370.8</v>
      </c>
      <c r="M375" s="44" t="n">
        <f aca="false">IF(ISNUMBER(M373),M373+N(M374),"")</f>
        <v>22451.4</v>
      </c>
      <c r="N375" s="44" t="n">
        <f aca="false">IF(ISNUMBER(N373),N373+N(N374),"")</f>
        <v>22451.4</v>
      </c>
      <c r="O375" s="44" t="n">
        <f aca="false">IF(ISNUMBER(O373),O373+N(O374),"")</f>
        <v>23028.8</v>
      </c>
      <c r="P375" s="44" t="n">
        <f aca="false">IF(ISNUMBER(P373),P373+N(P374),"")</f>
        <v>23788.9</v>
      </c>
      <c r="Q375" s="44" t="n">
        <f aca="false">IF(ISNUMBER(Q373),Q373+N(Q374),"")</f>
        <v>23810.1</v>
      </c>
      <c r="R375" s="44" t="n">
        <f aca="false">IF(ISNUMBER(R373),R373+N(R374),"")</f>
        <v>23449.8</v>
      </c>
      <c r="S375" s="44" t="n">
        <f aca="false">IF(ISNUMBER(S373),S373+N(S374),"")</f>
        <v>23449.8</v>
      </c>
      <c r="T375" s="44" t="n">
        <f aca="false">IF(ISNUMBER(T373),T373+N(T374),"")</f>
        <v>23390.7</v>
      </c>
      <c r="U375" s="44" t="n">
        <f aca="false">IF(ISNUMBER(U373),U373+N(U374),"")</f>
        <v>24172</v>
      </c>
      <c r="V375" s="44" t="n">
        <f aca="false">IF(ISNUMBER(V373),V373+N(V374),"")</f>
        <v>23183.8</v>
      </c>
      <c r="W375" s="44" t="n">
        <f aca="false">IF(ISNUMBER(W373),W373+N(W374),"")</f>
        <v>23764</v>
      </c>
      <c r="X375" s="44" t="n">
        <f aca="false">IF(ISNUMBER(X373),X373+N(X374),"")</f>
        <v>23764</v>
      </c>
      <c r="Y375" s="44" t="n">
        <f aca="false">IF(ISNUMBER(Y373),Y373+N(Y374),"")</f>
        <v>24577.1</v>
      </c>
      <c r="Z375" s="44" t="n">
        <f aca="false">IF(ISNUMBER(Z373),Z373+N(Z374),"")</f>
        <v>25120.3</v>
      </c>
      <c r="AA375" s="44" t="n">
        <f aca="false">IF(ISNUMBER(AA373),AA373+N(AA374),"")</f>
        <v>23264.4</v>
      </c>
      <c r="AB375" s="44" t="n">
        <f aca="false">IF(ISNUMBER(AB373),AB373+N(AB374),"")</f>
        <v>23076.8</v>
      </c>
      <c r="AC375" s="44" t="n">
        <f aca="false">IF(ISNUMBER(AC373),AC373+N(AC374),"")</f>
        <v>23076.8</v>
      </c>
      <c r="AD375" s="44" t="n">
        <f aca="false">IF(ISNUMBER(AD373),AD373+N(AD374),"")</f>
        <v>23791.1</v>
      </c>
      <c r="AE375" s="44" t="n">
        <f aca="false">IF(ISNUMBER(AE373),AE373+N(AE374),"")</f>
        <v>24595.2</v>
      </c>
      <c r="AF375" s="44" t="n">
        <f aca="false">IF(ISNUMBER(AF373),AF373+N(AF374),"")</f>
        <v>25380.6</v>
      </c>
      <c r="AG375" s="44" t="n">
        <f aca="false">IF(ISNUMBER(AG373),AG373+N(AG374),"")</f>
        <v>26367.8</v>
      </c>
      <c r="AH375" s="44" t="n">
        <f aca="false">IF(ISNUMBER(AH373),AH373+N(AH374),"")</f>
        <v>26367.8</v>
      </c>
      <c r="AI375" s="44" t="n">
        <f aca="false">IF(ISNUMBER(AI373),AI373+N(AI374),"")</f>
        <v>27201.8</v>
      </c>
      <c r="AJ375" s="44" t="n">
        <f aca="false">IF(ISNUMBER(AJ373),AJ373+N(AJ374),"")</f>
        <v>27224.4</v>
      </c>
      <c r="AK375" s="44" t="n">
        <f aca="false">IF(ISNUMBER(AK373),AK373+N(AK374),"")</f>
        <v>27685.2</v>
      </c>
      <c r="AL375" s="44" t="n">
        <f aca="false">IF(ISNUMBER(AL373),AL373+N(AL374),"")</f>
        <v>28226.7</v>
      </c>
      <c r="AM375" s="44" t="n">
        <f aca="false">IF(ISNUMBER(AM373),AM373+N(AM374),"")</f>
        <v>28226.7</v>
      </c>
      <c r="AN375" s="44" t="n">
        <f aca="false">IF(ISNUMBER(AN373),AN373+N(AN374),"")</f>
        <v>31568.7</v>
      </c>
      <c r="AO375" s="44" t="n">
        <f aca="false">IF(ISNUMBER(AO373),AO373+N(AO374),"")</f>
        <v>32213.2</v>
      </c>
      <c r="AP375" s="44" t="n">
        <f aca="false">IF(ISNUMBER(AP373),AP373+N(AP374),"")</f>
        <v>33195.6</v>
      </c>
      <c r="AQ375" s="44" t="n">
        <f aca="false">IF(ISNUMBER(AQ373),AQ373+N(AQ374),"")</f>
        <v>30281.9</v>
      </c>
      <c r="AR375" s="44" t="n">
        <f aca="false">IF(ISNUMBER(AR373),AR373+N(AR374),"")</f>
        <v>30281.9</v>
      </c>
      <c r="AS375" s="44" t="n">
        <f aca="false">IF(ISNUMBER(AS373),AS373+N(AS374),"")</f>
        <v>31066.4</v>
      </c>
      <c r="AT375" s="44" t="n">
        <f aca="false">IF(ISNUMBER(AT373),AT373+N(AT374),"")</f>
        <v>36272.9</v>
      </c>
      <c r="AU375" s="44" t="n">
        <f aca="false">IF(ISNUMBER(AU373),AU373+N(AU374),"")</f>
        <v>37972.5</v>
      </c>
      <c r="AV375" s="44" t="n">
        <f aca="false">IF(ISNUMBER(AV373),AV373+N(AV374),"")</f>
        <v>39777</v>
      </c>
      <c r="AW375" s="44" t="n">
        <f aca="false">IF(ISNUMBER(AW373),AW373+N(AW374),"")</f>
        <v>39777</v>
      </c>
      <c r="AX375" s="44" t="n">
        <f aca="false">IF(ISNUMBER(AX373),AX373+N(AX374),"")</f>
        <v>40430</v>
      </c>
      <c r="AY375" s="44" t="n">
        <f aca="false">IF(ISNUMBER(AY373),AY373+N(AY374),"")</f>
        <v>42766</v>
      </c>
      <c r="AZ375" s="44" t="n">
        <f aca="false">IF(ISNUMBER(AZ373),AZ373+N(AZ374),"")</f>
        <v>43461</v>
      </c>
      <c r="BA375" s="44" t="n">
        <f aca="false">IF(ISNUMBER(BA373),BA373+N(BA374),"")</f>
        <v>45177</v>
      </c>
      <c r="BB375" s="44" t="n">
        <f aca="false">IF(ISNUMBER(BB373),BB373+N(BB374),"")</f>
        <v>45177</v>
      </c>
      <c r="BC375" s="44" t="n">
        <f aca="false">IF(ISNUMBER(BC373),BC373+N(BC374),"")</f>
        <v>46362</v>
      </c>
      <c r="BD375" s="44" t="n">
        <f aca="false">IF(ISNUMBER(BD373),BD373+N(BD374),"")</f>
        <v>46601</v>
      </c>
      <c r="BE375" s="44" t="n">
        <f aca="false">IF(ISNUMBER(BE373),BE373+N(BE374),"")</f>
        <v>46993</v>
      </c>
      <c r="BF375" s="44" t="n">
        <f aca="false">IF(ISNUMBER(BF373),BF373+N(BF374),"")</f>
        <v>50090</v>
      </c>
      <c r="BG375" s="44" t="n">
        <f aca="false">IF(ISNUMBER(BG373),BG373+N(BG374),"")</f>
        <v>50090</v>
      </c>
      <c r="BH375" s="44" t="n">
        <f aca="false">IF(ISNUMBER(BH373),BH373+N(BH374),"")</f>
        <v>51486</v>
      </c>
      <c r="BI375" s="44" t="n">
        <f aca="false">IF(ISNUMBER(BI373),BI373+N(BI374),"")</f>
        <v>51724</v>
      </c>
      <c r="BJ375" s="44" t="n">
        <f aca="false">IF(ISNUMBER(BJ373),BJ373+N(BJ374),"")</f>
        <v>52415</v>
      </c>
      <c r="BK375" s="44" t="n">
        <f aca="false">IF(ISNUMBER(BK373),BK373+N(BK374),"")</f>
        <v>53490</v>
      </c>
      <c r="BL375" s="44" t="n">
        <f aca="false">IF(ISNUMBER(BL373),BL373+N(BL374),"")</f>
        <v>53490</v>
      </c>
      <c r="BM375" s="44" t="n">
        <f aca="false">IF(ISNUMBER(BM373),BM373+N(BM374),"")</f>
        <v>53447</v>
      </c>
      <c r="BN375" s="44" t="n">
        <f aca="false">IF(ISNUMBER(BN373),BN373+N(BN374),"")</f>
        <v>49902</v>
      </c>
      <c r="BO375" s="44" t="n">
        <f aca="false">IF(ISNUMBER(BO373),BO373+N(BO374),"")</f>
        <v>51305</v>
      </c>
      <c r="BP375" s="44" t="n">
        <f aca="false">IF(ISNUMBER(BP373),BP373+N(BP374),"")</f>
        <v>49550</v>
      </c>
      <c r="BQ375" s="44" t="n">
        <f aca="false">IF(ISNUMBER(BQ373),BQ373+N(BQ374),"")</f>
        <v>49550</v>
      </c>
      <c r="BR375" s="44" t="n">
        <f aca="false">IF(ISNUMBER(BR373),BR373+N(BR374),"")</f>
        <v>50857</v>
      </c>
      <c r="BS375" s="44" t="n">
        <f aca="false">IF(ISNUMBER(BS373),BS373+N(BS374),"")</f>
        <v>52342</v>
      </c>
      <c r="BT375" s="44" t="n">
        <f aca="false">IF(ISNUMBER(BT373),BT373+N(BT374),"")</f>
        <v>51080</v>
      </c>
      <c r="BU375" s="44" t="n">
        <f aca="false">IF(ISNUMBER(BU373),BU373+N(BU374),"")</f>
        <v>52541</v>
      </c>
      <c r="BV375" s="44" t="n">
        <f aca="false">IF(ISNUMBER(BV373),BV373+N(BV374),"")</f>
        <v>52541</v>
      </c>
      <c r="BW375" s="44" t="n">
        <f aca="false">IF(ISNUMBER(BW373),BW373+N(BW374),"")</f>
        <v>52957</v>
      </c>
      <c r="BX375" s="44" t="n">
        <f aca="false">IF(ISNUMBER(BX373),BX373+N(BX374),"")</f>
        <v>52592</v>
      </c>
      <c r="BY375" s="59"/>
      <c r="BZ375" s="59"/>
      <c r="CA375" s="21" t="n">
        <f aca="false">IF(ISNUMBER(CA373),CA373+N(CA374),"")</f>
        <v>54055.0640341669</v>
      </c>
      <c r="CB375" s="21" t="n">
        <f aca="false">IF(ISNUMBER(CB373),CB373+N(CB374),"")</f>
        <v>56637.3066555436</v>
      </c>
      <c r="CC375" s="21" t="n">
        <f aca="false">IF(ISNUMBER(CC373),CC373+N(CC374),"")</f>
        <v>55982.2466844301</v>
      </c>
      <c r="CD375" s="21" t="n">
        <f aca="false">IF(ISNUMBER(CD373),CD373+N(CD374),"")</f>
        <v>55582.379099421</v>
      </c>
      <c r="CE375" s="21" t="n">
        <f aca="false">IF(ISNUMBER(CE373),CE373+N(CE374),"")</f>
        <v>55195.1488969007</v>
      </c>
      <c r="CF375" s="7"/>
    </row>
    <row r="376" customFormat="false" ht="15" hidden="false" customHeight="true" outlineLevel="0" collapsed="false">
      <c r="B376" s="62" t="s">
        <v>559</v>
      </c>
      <c r="C376" s="63" t="n">
        <f aca="false">IF(ISNUMBER(C366),C366+C375,"")</f>
        <v>12864.2</v>
      </c>
      <c r="D376" s="63" t="n">
        <f aca="false">IF(ISNUMBER(D366),D366+D375,"")</f>
        <v>17471.9</v>
      </c>
      <c r="E376" s="63" t="n">
        <f aca="false">IF(ISNUMBER(E366),E366+E375,"")</f>
        <v>17490.1</v>
      </c>
      <c r="F376" s="63" t="n">
        <f aca="false">IF(ISNUMBER(F366),F366+F375,"")</f>
        <v>19595.4</v>
      </c>
      <c r="G376" s="63" t="n">
        <f aca="false">IF(ISNUMBER(G366),G366+G375,"")</f>
        <v>22217.1</v>
      </c>
      <c r="H376" s="63" t="n">
        <f aca="false">IF(ISNUMBER(H366),H366+H375,"")</f>
        <v>29949.4</v>
      </c>
      <c r="I376" s="63" t="n">
        <f aca="false">IF(ISNUMBER(I366),I366+I375,"")</f>
        <v>32941</v>
      </c>
      <c r="J376" s="63" t="n">
        <f aca="false">IF(ISNUMBER(J366),J366+J375,"")</f>
        <v>32469.3</v>
      </c>
      <c r="K376" s="63" t="n">
        <f aca="false">IF(ISNUMBER(K366),K366+K375,"")</f>
        <v>33109</v>
      </c>
      <c r="L376" s="63" t="n">
        <f aca="false">IF(ISNUMBER(L366),L366+L375,"")</f>
        <v>33721.2</v>
      </c>
      <c r="M376" s="63" t="n">
        <f aca="false">IF(ISNUMBER(M366),M366+M375,"")</f>
        <v>34672.2</v>
      </c>
      <c r="N376" s="63" t="n">
        <f aca="false">IF(ISNUMBER(N366),N366+N375,"")</f>
        <v>34672.2</v>
      </c>
      <c r="O376" s="63" t="n">
        <f aca="false">IF(ISNUMBER(O366),O366+O375,"")</f>
        <v>35042.6</v>
      </c>
      <c r="P376" s="63" t="n">
        <f aca="false">IF(ISNUMBER(P366),P366+P375,"")</f>
        <v>35652.1</v>
      </c>
      <c r="Q376" s="63" t="n">
        <f aca="false">IF(ISNUMBER(Q366),Q366+Q375,"")</f>
        <v>35535.9</v>
      </c>
      <c r="R376" s="63" t="n">
        <f aca="false">IF(ISNUMBER(R366),R366+R375,"")</f>
        <v>36991.7</v>
      </c>
      <c r="S376" s="63" t="n">
        <f aca="false">IF(ISNUMBER(S366),S366+S375,"")</f>
        <v>36991.7</v>
      </c>
      <c r="T376" s="63" t="n">
        <f aca="false">IF(ISNUMBER(T366),T366+T375,"")</f>
        <v>36072.3</v>
      </c>
      <c r="U376" s="63" t="n">
        <f aca="false">IF(ISNUMBER(U366),U366+U375,"")</f>
        <v>36986.8</v>
      </c>
      <c r="V376" s="63" t="n">
        <f aca="false">IF(ISNUMBER(V366),V366+V375,"")</f>
        <v>49707.9</v>
      </c>
      <c r="W376" s="63" t="n">
        <f aca="false">IF(ISNUMBER(W366),W366+W375,"")</f>
        <v>48222.2</v>
      </c>
      <c r="X376" s="63" t="n">
        <f aca="false">IF(ISNUMBER(X366),X366+X375,"")</f>
        <v>48222.2</v>
      </c>
      <c r="Y376" s="63" t="n">
        <f aca="false">IF(ISNUMBER(Y366),Y366+Y375,"")</f>
        <v>48385.6</v>
      </c>
      <c r="Z376" s="63" t="n">
        <f aca="false">IF(ISNUMBER(Z366),Z366+Z375,"")</f>
        <v>51503.7</v>
      </c>
      <c r="AA376" s="63" t="n">
        <f aca="false">IF(ISNUMBER(AA366),AA366+AA375,"")</f>
        <v>41297.5</v>
      </c>
      <c r="AB376" s="63" t="n">
        <f aca="false">IF(ISNUMBER(AB366),AB366+AB375,"")</f>
        <v>45295.3</v>
      </c>
      <c r="AC376" s="63" t="n">
        <f aca="false">IF(ISNUMBER(AC366),AC366+AC375,"")</f>
        <v>45295.3</v>
      </c>
      <c r="AD376" s="63" t="n">
        <f aca="false">IF(ISNUMBER(AD366),AD366+AD375,"")</f>
        <v>45245.1</v>
      </c>
      <c r="AE376" s="63" t="n">
        <f aca="false">IF(ISNUMBER(AE366),AE366+AE375,"")</f>
        <v>45646.8</v>
      </c>
      <c r="AF376" s="63" t="n">
        <f aca="false">IF(ISNUMBER(AF366),AF366+AF375,"")</f>
        <v>45851.3</v>
      </c>
      <c r="AG376" s="63" t="n">
        <f aca="false">IF(ISNUMBER(AG366),AG366+AG375,"")</f>
        <v>46648.6</v>
      </c>
      <c r="AH376" s="63" t="n">
        <f aca="false">IF(ISNUMBER(AH366),AH366+AH375,"")</f>
        <v>46648.6</v>
      </c>
      <c r="AI376" s="63" t="n">
        <f aca="false">IF(ISNUMBER(AI366),AI366+AI375,"")</f>
        <v>47145.2</v>
      </c>
      <c r="AJ376" s="63" t="n">
        <f aca="false">IF(ISNUMBER(AJ366),AJ366+AJ375,"")</f>
        <v>48055.8</v>
      </c>
      <c r="AK376" s="63" t="n">
        <f aca="false">IF(ISNUMBER(AK366),AK366+AK375,"")</f>
        <v>47719.5</v>
      </c>
      <c r="AL376" s="63" t="n">
        <f aca="false">IF(ISNUMBER(AL366),AL366+AL375,"")</f>
        <v>47832.5</v>
      </c>
      <c r="AM376" s="63" t="n">
        <f aca="false">IF(ISNUMBER(AM366),AM366+AM375,"")</f>
        <v>47832.5</v>
      </c>
      <c r="AN376" s="63" t="n">
        <f aca="false">IF(ISNUMBER(AN366),AN366+AN375,"")</f>
        <v>51774.4</v>
      </c>
      <c r="AO376" s="63" t="n">
        <f aca="false">IF(ISNUMBER(AO366),AO366+AO375,"")</f>
        <v>53322</v>
      </c>
      <c r="AP376" s="63" t="n">
        <f aca="false">IF(ISNUMBER(AP366),AP366+AP375,"")</f>
        <v>61531.1</v>
      </c>
      <c r="AQ376" s="63" t="n">
        <f aca="false">IF(ISNUMBER(AQ366),AQ366+AQ375,"")</f>
        <v>62081.6</v>
      </c>
      <c r="AR376" s="63" t="n">
        <f aca="false">IF(ISNUMBER(AR366),AR366+AR375,"")</f>
        <v>62081.6</v>
      </c>
      <c r="AS376" s="63" t="n">
        <f aca="false">IF(ISNUMBER(AS366),AS366+AS375,"")</f>
        <v>68930.3</v>
      </c>
      <c r="AT376" s="63" t="n">
        <f aca="false">IF(ISNUMBER(AT366),AT366+AT375,"")</f>
        <v>71268.4</v>
      </c>
      <c r="AU376" s="63" t="n">
        <f aca="false">IF(ISNUMBER(AU366),AU366+AU375,"")</f>
        <v>72890.7</v>
      </c>
      <c r="AV376" s="63" t="n">
        <f aca="false">IF(ISNUMBER(AV366),AV366+AV375,"")</f>
        <v>76161</v>
      </c>
      <c r="AW376" s="63" t="n">
        <f aca="false">IF(ISNUMBER(AW366),AW366+AW375,"")</f>
        <v>76161</v>
      </c>
      <c r="AX376" s="63" t="n">
        <f aca="false">IF(ISNUMBER(AX366),AX366+AX375,"")</f>
        <v>75426</v>
      </c>
      <c r="AY376" s="63" t="n">
        <f aca="false">IF(ISNUMBER(AY366),AY366+AY375,"")</f>
        <v>78027</v>
      </c>
      <c r="AZ376" s="63" t="n">
        <f aca="false">IF(ISNUMBER(AZ366),AZ366+AZ375,"")</f>
        <v>82498</v>
      </c>
      <c r="BA376" s="63" t="n">
        <f aca="false">IF(ISNUMBER(BA366),BA366+BA375,"")</f>
        <v>83184</v>
      </c>
      <c r="BB376" s="63" t="n">
        <f aca="false">IF(ISNUMBER(BB366),BB366+BB375,"")</f>
        <v>83184</v>
      </c>
      <c r="BC376" s="63" t="n">
        <f aca="false">IF(ISNUMBER(BC366),BC366+BC375,"")</f>
        <v>83392</v>
      </c>
      <c r="BD376" s="63" t="n">
        <f aca="false">IF(ISNUMBER(BD366),BD366+BD375,"")</f>
        <v>81806</v>
      </c>
      <c r="BE376" s="63" t="n">
        <f aca="false">IF(ISNUMBER(BE366),BE366+BE375,"")</f>
        <v>81030</v>
      </c>
      <c r="BF376" s="63" t="n">
        <f aca="false">IF(ISNUMBER(BF366),BF366+BF375,"")</f>
        <v>84350</v>
      </c>
      <c r="BG376" s="63" t="n">
        <f aca="false">IF(ISNUMBER(BG366),BG366+BG375,"")</f>
        <v>84350</v>
      </c>
      <c r="BH376" s="63" t="n">
        <f aca="false">IF(ISNUMBER(BH366),BH366+BH375,"")</f>
        <v>85040</v>
      </c>
      <c r="BI376" s="63" t="n">
        <f aca="false">IF(ISNUMBER(BI366),BI366+BI375,"")</f>
        <v>84902</v>
      </c>
      <c r="BJ376" s="63" t="n">
        <f aca="false">IF(ISNUMBER(BJ366),BJ366+BJ375,"")</f>
        <v>87734</v>
      </c>
      <c r="BK376" s="63" t="n">
        <f aca="false">IF(ISNUMBER(BK366),BK366+BK375,"")</f>
        <v>84488</v>
      </c>
      <c r="BL376" s="63" t="n">
        <f aca="false">IF(ISNUMBER(BL366),BL366+BL375,"")</f>
        <v>84488</v>
      </c>
      <c r="BM376" s="63" t="n">
        <f aca="false">IF(ISNUMBER(BM366),BM366+BM375,"")</f>
        <v>83402</v>
      </c>
      <c r="BN376" s="63" t="n">
        <f aca="false">IF(ISNUMBER(BN366),BN366+BN375,"")</f>
        <v>78555</v>
      </c>
      <c r="BO376" s="63" t="n">
        <f aca="false">IF(ISNUMBER(BO366),BO366+BO375,"")</f>
        <v>80615</v>
      </c>
      <c r="BP376" s="63" t="n">
        <f aca="false">IF(ISNUMBER(BP366),BP366+BP375,"")</f>
        <v>77542</v>
      </c>
      <c r="BQ376" s="63" t="n">
        <f aca="false">IF(ISNUMBER(BQ366),BQ366+BQ375,"")</f>
        <v>77542</v>
      </c>
      <c r="BR376" s="63" t="n">
        <f aca="false">IF(ISNUMBER(BR366),BR366+BR375,"")</f>
        <v>79116</v>
      </c>
      <c r="BS376" s="63" t="n">
        <f aca="false">IF(ISNUMBER(BS366),BS366+BS375,"")</f>
        <v>81620</v>
      </c>
      <c r="BT376" s="63" t="n">
        <f aca="false">IF(ISNUMBER(BT366),BT366+BT375,"")</f>
        <v>79897</v>
      </c>
      <c r="BU376" s="63" t="n">
        <f aca="false">IF(ISNUMBER(BU366),BU366+BU375,"")</f>
        <v>83464</v>
      </c>
      <c r="BV376" s="63" t="n">
        <f aca="false">IF(ISNUMBER(BV366),BV366+BV375,"")</f>
        <v>83464</v>
      </c>
      <c r="BW376" s="63" t="n">
        <f aca="false">IF(ISNUMBER(BW366),BW366+BW375,"")</f>
        <v>83544</v>
      </c>
      <c r="BX376" s="63" t="n">
        <f aca="false">IF(ISNUMBER(BX366),BX366+BX375,"")</f>
        <v>92367</v>
      </c>
      <c r="BY376" s="64"/>
      <c r="BZ376" s="64"/>
      <c r="CA376" s="63" t="n">
        <f aca="false">IF(ISNUMBER(CA366),CA366+CA375,"")</f>
        <v>90887.444844052</v>
      </c>
      <c r="CB376" s="63" t="n">
        <f aca="false">IF(ISNUMBER(CB366),CB366+CB375,"")</f>
        <v>91488.5907459202</v>
      </c>
      <c r="CC376" s="63" t="n">
        <f aca="false">IF(ISNUMBER(CC366),CC366+CC375,"")</f>
        <v>92073.8340159201</v>
      </c>
      <c r="CD376" s="63" t="n">
        <f aca="false">IF(ISNUMBER(CD366),CD366+CD375,"")</f>
        <v>93621.3123212065</v>
      </c>
      <c r="CE376" s="63" t="n">
        <f aca="false">IF(ISNUMBER(CE366),CE366+CE375,"")</f>
        <v>95325.8121108722</v>
      </c>
      <c r="CF376" s="7"/>
    </row>
    <row r="377" customFormat="false" ht="15" hidden="false" customHeight="true" outlineLevel="0" collapsed="false">
      <c r="B377" s="65" t="s">
        <v>560</v>
      </c>
      <c r="C377" s="66" t="n">
        <f aca="false">IF(ISNUMBER(C357),IF(ABS(C357-C376)&lt;=0.6,0,ROUND(C357-C376,1)),"")</f>
        <v>0</v>
      </c>
      <c r="D377" s="66" t="n">
        <f aca="false">IF(ISNUMBER(D357),IF(ABS(D357-D376)&lt;=0.6,0,ROUND(D357-D376,1)),"")</f>
        <v>0</v>
      </c>
      <c r="E377" s="66" t="n">
        <f aca="false">IF(ISNUMBER(E357),IF(ABS(E357-E376)&lt;=0.6,0,ROUND(E357-E376,1)),"")</f>
        <v>0</v>
      </c>
      <c r="F377" s="66" t="n">
        <f aca="false">IF(ISNUMBER(F357),IF(ABS(F357-F376)&lt;=0.6,0,ROUND(F357-F376,1)),"")</f>
        <v>0</v>
      </c>
      <c r="G377" s="66" t="n">
        <f aca="false">IF(ISNUMBER(G357),IF(ABS(G357-G376)&lt;=0.6,0,ROUND(G357-G376,1)),"")</f>
        <v>0</v>
      </c>
      <c r="H377" s="66" t="n">
        <f aca="false">IF(ISNUMBER(H357),IF(ABS(H357-H376)&lt;=0.6,0,ROUND(H357-H376,1)),"")</f>
        <v>0</v>
      </c>
      <c r="I377" s="66" t="n">
        <f aca="false">IF(ISNUMBER(I357),IF(ABS(I357-I376)&lt;=0.6,0,ROUND(I357-I376,1)),"")</f>
        <v>0</v>
      </c>
      <c r="J377" s="66" t="n">
        <f aca="false">IF(ISNUMBER(J357),IF(ABS(J357-J376)&lt;=0.6,0,ROUND(J357-J376,1)),"")</f>
        <v>0</v>
      </c>
      <c r="K377" s="66" t="n">
        <f aca="false">IF(ISNUMBER(K357),IF(ABS(K357-K376)&lt;=0.6,0,ROUND(K357-K376,1)),"")</f>
        <v>0</v>
      </c>
      <c r="L377" s="66" t="n">
        <f aca="false">IF(ISNUMBER(L357),IF(ABS(L357-L376)&lt;=0.6,0,ROUND(L357-L376,1)),"")</f>
        <v>0</v>
      </c>
      <c r="M377" s="66" t="n">
        <f aca="false">IF(ISNUMBER(M357),IF(ABS(M357-M376)&lt;=0.6,0,ROUND(M357-M376,1)),"")</f>
        <v>0</v>
      </c>
      <c r="N377" s="66" t="n">
        <f aca="false">IF(ISNUMBER(N357),IF(ABS(N357-N376)&lt;=0.6,0,ROUND(N357-N376,1)),"")</f>
        <v>0</v>
      </c>
      <c r="O377" s="66" t="n">
        <f aca="false">IF(ISNUMBER(O357),IF(ABS(O357-O376)&lt;=0.6,0,ROUND(O357-O376,1)),"")</f>
        <v>0</v>
      </c>
      <c r="P377" s="66" t="n">
        <f aca="false">IF(ISNUMBER(P357),IF(ABS(P357-P376)&lt;=0.6,0,ROUND(P357-P376,1)),"")</f>
        <v>0</v>
      </c>
      <c r="Q377" s="66" t="n">
        <f aca="false">IF(ISNUMBER(Q357),IF(ABS(Q357-Q376)&lt;=0.6,0,ROUND(Q357-Q376,1)),"")</f>
        <v>0</v>
      </c>
      <c r="R377" s="66" t="n">
        <f aca="false">IF(ISNUMBER(R357),IF(ABS(R357-R376)&lt;=0.6,0,ROUND(R357-R376,1)),"")</f>
        <v>0</v>
      </c>
      <c r="S377" s="66" t="n">
        <f aca="false">IF(ISNUMBER(S357),IF(ABS(S357-S376)&lt;=0.6,0,ROUND(S357-S376,1)),"")</f>
        <v>0</v>
      </c>
      <c r="T377" s="66" t="n">
        <f aca="false">IF(ISNUMBER(T357),IF(ABS(T357-T376)&lt;=0.6,0,ROUND(T357-T376,1)),"")</f>
        <v>0</v>
      </c>
      <c r="U377" s="66" t="n">
        <f aca="false">IF(ISNUMBER(U357),IF(ABS(U357-U376)&lt;=0.6,0,ROUND(U357-U376,1)),"")</f>
        <v>0</v>
      </c>
      <c r="V377" s="66" t="n">
        <f aca="false">IF(ISNUMBER(V357),IF(ABS(V357-V376)&lt;=0.6,0,ROUND(V357-V376,1)),"")</f>
        <v>0</v>
      </c>
      <c r="W377" s="66" t="n">
        <f aca="false">IF(ISNUMBER(W357),IF(ABS(W357-W376)&lt;=0.6,0,ROUND(W357-W376,1)),"")</f>
        <v>0</v>
      </c>
      <c r="X377" s="66" t="n">
        <f aca="false">IF(ISNUMBER(X357),IF(ABS(X357-X376)&lt;=0.6,0,ROUND(X357-X376,1)),"")</f>
        <v>0</v>
      </c>
      <c r="Y377" s="66" t="n">
        <f aca="false">IF(ISNUMBER(Y357),IF(ABS(Y357-Y376)&lt;=0.6,0,ROUND(Y357-Y376,1)),"")</f>
        <v>0</v>
      </c>
      <c r="Z377" s="66" t="n">
        <f aca="false">IF(ISNUMBER(Z357),IF(ABS(Z357-Z376)&lt;=0.6,0,ROUND(Z357-Z376,1)),"")</f>
        <v>0</v>
      </c>
      <c r="AA377" s="66" t="n">
        <f aca="false">IF(ISNUMBER(AA357),IF(ABS(AA357-AA376)&lt;=0.6,0,ROUND(AA357-AA376,1)),"")</f>
        <v>0</v>
      </c>
      <c r="AB377" s="66" t="n">
        <f aca="false">IF(ISNUMBER(AB357),IF(ABS(AB357-AB376)&lt;=0.6,0,ROUND(AB357-AB376,1)),"")</f>
        <v>0</v>
      </c>
      <c r="AC377" s="66" t="n">
        <f aca="false">IF(ISNUMBER(AC357),IF(ABS(AC357-AC376)&lt;=0.6,0,ROUND(AC357-AC376,1)),"")</f>
        <v>0</v>
      </c>
      <c r="AD377" s="66" t="n">
        <f aca="false">IF(ISNUMBER(AD357),IF(ABS(AD357-AD376)&lt;=0.6,0,ROUND(AD357-AD376,1)),"")</f>
        <v>0</v>
      </c>
      <c r="AE377" s="66" t="n">
        <f aca="false">IF(ISNUMBER(AE357),IF(ABS(AE357-AE376)&lt;=0.6,0,ROUND(AE357-AE376,1)),"")</f>
        <v>0</v>
      </c>
      <c r="AF377" s="66" t="n">
        <f aca="false">IF(ISNUMBER(AF357),IF(ABS(AF357-AF376)&lt;=0.6,0,ROUND(AF357-AF376,1)),"")</f>
        <v>0</v>
      </c>
      <c r="AG377" s="66" t="n">
        <f aca="false">IF(ISNUMBER(AG357),IF(ABS(AG357-AG376)&lt;=0.6,0,ROUND(AG357-AG376,1)),"")</f>
        <v>0</v>
      </c>
      <c r="AH377" s="66" t="n">
        <f aca="false">IF(ISNUMBER(AH357),IF(ABS(AH357-AH376)&lt;=0.6,0,ROUND(AH357-AH376,1)),"")</f>
        <v>0</v>
      </c>
      <c r="AI377" s="66" t="n">
        <f aca="false">IF(ISNUMBER(AI357),IF(ABS(AI357-AI376)&lt;=0.6,0,ROUND(AI357-AI376,1)),"")</f>
        <v>0</v>
      </c>
      <c r="AJ377" s="66" t="n">
        <f aca="false">IF(ISNUMBER(AJ357),IF(ABS(AJ357-AJ376)&lt;=0.6,0,ROUND(AJ357-AJ376,1)),"")</f>
        <v>0</v>
      </c>
      <c r="AK377" s="66" t="n">
        <f aca="false">IF(ISNUMBER(AK357),IF(ABS(AK357-AK376)&lt;=0.6,0,ROUND(AK357-AK376,1)),"")</f>
        <v>0</v>
      </c>
      <c r="AL377" s="66" t="n">
        <f aca="false">IF(ISNUMBER(AL357),IF(ABS(AL357-AL376)&lt;=0.6,0,ROUND(AL357-AL376,1)),"")</f>
        <v>0</v>
      </c>
      <c r="AM377" s="66" t="n">
        <f aca="false">IF(ISNUMBER(AM357),IF(ABS(AM357-AM376)&lt;=0.6,0,ROUND(AM357-AM376,1)),"")</f>
        <v>0</v>
      </c>
      <c r="AN377" s="66" t="n">
        <f aca="false">IF(ISNUMBER(AN357),IF(ABS(AN357-AN376)&lt;=0.6,0,ROUND(AN357-AN376,1)),"")</f>
        <v>0</v>
      </c>
      <c r="AO377" s="66" t="n">
        <f aca="false">IF(ISNUMBER(AO357),IF(ABS(AO357-AO376)&lt;=0.6,0,ROUND(AO357-AO376,1)),"")</f>
        <v>0</v>
      </c>
      <c r="AP377" s="66" t="n">
        <f aca="false">IF(ISNUMBER(AP357),IF(ABS(AP357-AP376)&lt;=0.6,0,ROUND(AP357-AP376,1)),"")</f>
        <v>0</v>
      </c>
      <c r="AQ377" s="66" t="n">
        <f aca="false">IF(ISNUMBER(AQ357),IF(ABS(AQ357-AQ376)&lt;=0.6,0,ROUND(AQ357-AQ376,1)),"")</f>
        <v>0</v>
      </c>
      <c r="AR377" s="66" t="n">
        <f aca="false">IF(ISNUMBER(AR357),IF(ABS(AR357-AR376)&lt;=0.6,0,ROUND(AR357-AR376,1)),"")</f>
        <v>0</v>
      </c>
      <c r="AS377" s="66" t="n">
        <f aca="false">IF(ISNUMBER(AS357),IF(ABS(AS357-AS376)&lt;=0.6,0,ROUND(AS357-AS376,1)),"")</f>
        <v>0</v>
      </c>
      <c r="AT377" s="66" t="n">
        <f aca="false">IF(ISNUMBER(AT357),IF(ABS(AT357-AT376)&lt;=0.6,0,ROUND(AT357-AT376,1)),"")</f>
        <v>0</v>
      </c>
      <c r="AU377" s="66" t="n">
        <f aca="false">IF(ISNUMBER(AU357),IF(ABS(AU357-AU376)&lt;=0.6,0,ROUND(AU357-AU376,1)),"")</f>
        <v>0</v>
      </c>
      <c r="AV377" s="66" t="n">
        <f aca="false">IF(ISNUMBER(AV357),IF(ABS(AV357-AV376)&lt;=0.6,0,ROUND(AV357-AV376,1)),"")</f>
        <v>0</v>
      </c>
      <c r="AW377" s="66" t="n">
        <f aca="false">IF(ISNUMBER(AW357),IF(ABS(AW357-AW376)&lt;=0.6,0,ROUND(AW357-AW376,1)),"")</f>
        <v>0</v>
      </c>
      <c r="AX377" s="66" t="n">
        <f aca="false">IF(ISNUMBER(AX357),IF(ABS(AX357-AX376)&lt;=0.6,0,ROUND(AX357-AX376,1)),"")</f>
        <v>0</v>
      </c>
      <c r="AY377" s="66" t="n">
        <f aca="false">IF(ISNUMBER(AY357),IF(ABS(AY357-AY376)&lt;=0.6,0,ROUND(AY357-AY376,1)),"")</f>
        <v>0</v>
      </c>
      <c r="AZ377" s="66" t="n">
        <f aca="false">IF(ISNUMBER(AZ357),IF(ABS(AZ357-AZ376)&lt;=0.6,0,ROUND(AZ357-AZ376,1)),"")</f>
        <v>0</v>
      </c>
      <c r="BA377" s="66" t="n">
        <f aca="false">IF(ISNUMBER(BA357),IF(ABS(BA357-BA376)&lt;=0.6,0,ROUND(BA357-BA376,1)),"")</f>
        <v>0</v>
      </c>
      <c r="BB377" s="66" t="n">
        <f aca="false">IF(ISNUMBER(BB357),IF(ABS(BB357-BB376)&lt;=0.6,0,ROUND(BB357-BB376,1)),"")</f>
        <v>0</v>
      </c>
      <c r="BC377" s="66" t="n">
        <f aca="false">IF(ISNUMBER(BC357),IF(ABS(BC357-BC376)&lt;=0.6,0,ROUND(BC357-BC376,1)),"")</f>
        <v>0</v>
      </c>
      <c r="BD377" s="66" t="n">
        <f aca="false">IF(ISNUMBER(BD357),IF(ABS(BD357-BD376)&lt;=0.6,0,ROUND(BD357-BD376,1)),"")</f>
        <v>0</v>
      </c>
      <c r="BE377" s="66" t="n">
        <f aca="false">IF(ISNUMBER(BE357),IF(ABS(BE357-BE376)&lt;=0.6,0,ROUND(BE357-BE376,1)),"")</f>
        <v>0</v>
      </c>
      <c r="BF377" s="66" t="n">
        <f aca="false">IF(ISNUMBER(BF357),IF(ABS(BF357-BF376)&lt;=0.6,0,ROUND(BF357-BF376,1)),"")</f>
        <v>0</v>
      </c>
      <c r="BG377" s="66" t="n">
        <f aca="false">IF(ISNUMBER(BG357),IF(ABS(BG357-BG376)&lt;=0.6,0,ROUND(BG357-BG376,1)),"")</f>
        <v>0</v>
      </c>
      <c r="BH377" s="66" t="n">
        <f aca="false">IF(ISNUMBER(BH357),IF(ABS(BH357-BH376)&lt;=0.6,0,ROUND(BH357-BH376,1)),"")</f>
        <v>0</v>
      </c>
      <c r="BI377" s="66" t="n">
        <f aca="false">IF(ISNUMBER(BI357),IF(ABS(BI357-BI376)&lt;=0.6,0,ROUND(BI357-BI376,1)),"")</f>
        <v>0</v>
      </c>
      <c r="BJ377" s="66" t="n">
        <f aca="false">IF(ISNUMBER(BJ357),IF(ABS(BJ357-BJ376)&lt;=0.6,0,ROUND(BJ357-BJ376,1)),"")</f>
        <v>0</v>
      </c>
      <c r="BK377" s="66" t="n">
        <f aca="false">IF(ISNUMBER(BK357),IF(ABS(BK357-BK376)&lt;=0.6,0,ROUND(BK357-BK376,1)),"")</f>
        <v>0</v>
      </c>
      <c r="BL377" s="66" t="n">
        <f aca="false">IF(ISNUMBER(BL357),IF(ABS(BL357-BL376)&lt;=0.6,0,ROUND(BL357-BL376,1)),"")</f>
        <v>0</v>
      </c>
      <c r="BM377" s="66" t="n">
        <f aca="false">IF(ISNUMBER(BM357),IF(ABS(BM357-BM376)&lt;=0.6,0,ROUND(BM357-BM376,1)),"")</f>
        <v>0</v>
      </c>
      <c r="BN377" s="66" t="n">
        <f aca="false">IF(ISNUMBER(BN357),IF(ABS(BN357-BN376)&lt;=0.6,0,ROUND(BN357-BN376,1)),"")</f>
        <v>0</v>
      </c>
      <c r="BO377" s="66" t="n">
        <f aca="false">IF(ISNUMBER(BO357),IF(ABS(BO357-BO376)&lt;=0.6,0,ROUND(BO357-BO376,1)),"")</f>
        <v>0</v>
      </c>
      <c r="BP377" s="66" t="n">
        <f aca="false">IF(ISNUMBER(BP357),IF(ABS(BP357-BP376)&lt;=0.6,0,ROUND(BP357-BP376,1)),"")</f>
        <v>0</v>
      </c>
      <c r="BQ377" s="66" t="n">
        <f aca="false">IF(ISNUMBER(BQ357),IF(ABS(BQ357-BQ376)&lt;=0.6,0,ROUND(BQ357-BQ376,1)),"")</f>
        <v>0</v>
      </c>
      <c r="BR377" s="66" t="n">
        <f aca="false">IF(ISNUMBER(BR357),IF(ABS(BR357-BR376)&lt;=0.6,0,ROUND(BR357-BR376,1)),"")</f>
        <v>0</v>
      </c>
      <c r="BS377" s="66" t="n">
        <f aca="false">IF(ISNUMBER(BS357),IF(ABS(BS357-BS376)&lt;=0.6,0,ROUND(BS357-BS376,1)),"")</f>
        <v>0</v>
      </c>
      <c r="BT377" s="66" t="n">
        <f aca="false">IF(ISNUMBER(BT357),IF(ABS(BT357-BT376)&lt;=0.6,0,ROUND(BT357-BT376,1)),"")</f>
        <v>0</v>
      </c>
      <c r="BU377" s="66" t="n">
        <f aca="false">IF(ISNUMBER(BU357),IF(ABS(BU357-BU376)&lt;=0.6,0,ROUND(BU357-BU376,1)),"")</f>
        <v>0</v>
      </c>
      <c r="BV377" s="66" t="n">
        <f aca="false">IF(ISNUMBER(BV357),IF(ABS(BV357-BV376)&lt;=0.6,0,ROUND(BV357-BV376,1)),"")</f>
        <v>0</v>
      </c>
      <c r="BW377" s="66" t="n">
        <f aca="false">IF(ISNUMBER(BW357),IF(ABS(BW357-BW376)&lt;=0.6,0,ROUND(BW357-BW376,1)),"")</f>
        <v>0</v>
      </c>
      <c r="BX377" s="66" t="n">
        <f aca="false">IF(ISNUMBER(BX357),IF(ABS(BX357-BX376)&lt;=0.6,0,ROUND(BX357-BX376,1)),"")</f>
        <v>0</v>
      </c>
      <c r="BY377" s="7"/>
      <c r="BZ377" s="7"/>
      <c r="CA377" s="67" t="n">
        <f aca="false">IF(ISNUMBER(CA357),IF(ABS(CA357-CA376)&lt;=0.6,0,ROUND(CA357-CA376,1)),"")</f>
        <v>0</v>
      </c>
      <c r="CB377" s="67" t="n">
        <f aca="false">IF(ISNUMBER(CB357),IF(ABS(CB357-CB376)&lt;=0.6,0,ROUND(CB357-CB376,1)),"")</f>
        <v>0</v>
      </c>
      <c r="CC377" s="67" t="n">
        <f aca="false">IF(ISNUMBER(CC357),IF(ABS(CC357-CC376)&lt;=0.6,0,ROUND(CC357-CC376,1)),"")</f>
        <v>0</v>
      </c>
      <c r="CD377" s="67" t="n">
        <f aca="false">IF(ISNUMBER(CD357),IF(ABS(CD357-CD376)&lt;=0.6,0,ROUND(CD357-CD376,1)),"")</f>
        <v>0</v>
      </c>
      <c r="CE377" s="67" t="n">
        <f aca="false">IF(ISNUMBER(CE357),IF(ABS(CE357-CE376)&lt;=0.6,0,ROUND(CE357-CE376,1)),"")</f>
        <v>0</v>
      </c>
      <c r="CF377" s="7"/>
    </row>
    <row r="378" customFormat="false" ht="15" hidden="false" customHeight="true" outlineLevel="0" collapsed="false">
      <c r="B378" s="65" t="s">
        <v>561</v>
      </c>
      <c r="C378" s="66" t="n">
        <f aca="false">IF(ISNUMBER(C379),IF(ABS(C357-C379)&lt;=0.6,0,ROUND(C357-C379,1)),"")</f>
        <v>0</v>
      </c>
      <c r="D378" s="66" t="n">
        <f aca="false">IF(ISNUMBER(D379),IF(ABS(D357-D379)&lt;=0.6,0,ROUND(D357-D379,1)),"")</f>
        <v>0</v>
      </c>
      <c r="E378" s="66" t="n">
        <f aca="false">IF(ISNUMBER(E379),IF(ABS(E357-E379)&lt;=0.6,0,ROUND(E357-E379,1)),"")</f>
        <v>0</v>
      </c>
      <c r="F378" s="66" t="n">
        <f aca="false">IF(ISNUMBER(F379),IF(ABS(F357-F379)&lt;=0.6,0,ROUND(F357-F379,1)),"")</f>
        <v>0</v>
      </c>
      <c r="G378" s="66" t="n">
        <f aca="false">IF(ISNUMBER(G379),IF(ABS(G357-G379)&lt;=0.6,0,ROUND(G357-G379,1)),"")</f>
        <v>0</v>
      </c>
      <c r="H378" s="66" t="n">
        <f aca="false">IF(ISNUMBER(H379),IF(ABS(H357-H379)&lt;=0.6,0,ROUND(H357-H379,1)),"")</f>
        <v>0</v>
      </c>
      <c r="I378" s="66" t="n">
        <f aca="false">IF(ISNUMBER(I379),IF(ABS(I357-I379)&lt;=0.6,0,ROUND(I357-I379,1)),"")</f>
        <v>0</v>
      </c>
      <c r="J378" s="66" t="n">
        <f aca="false">IF(ISNUMBER(J379),IF(ABS(J357-J379)&lt;=0.6,0,ROUND(J357-J379,1)),"")</f>
        <v>0</v>
      </c>
      <c r="K378" s="66" t="n">
        <f aca="false">IF(ISNUMBER(K379),IF(ABS(K357-K379)&lt;=0.6,0,ROUND(K357-K379,1)),"")</f>
        <v>0</v>
      </c>
      <c r="L378" s="66" t="n">
        <f aca="false">IF(ISNUMBER(L379),IF(ABS(L357-L379)&lt;=0.6,0,ROUND(L357-L379,1)),"")</f>
        <v>0</v>
      </c>
      <c r="M378" s="66" t="n">
        <f aca="false">IF(ISNUMBER(M379),IF(ABS(M357-M379)&lt;=0.6,0,ROUND(M357-M379,1)),"")</f>
        <v>0</v>
      </c>
      <c r="N378" s="66" t="n">
        <f aca="false">IF(ISNUMBER(N379),IF(ABS(N357-N379)&lt;=0.6,0,ROUND(N357-N379,1)),"")</f>
        <v>0</v>
      </c>
      <c r="O378" s="66" t="n">
        <f aca="false">IF(ISNUMBER(O379),IF(ABS(O357-O379)&lt;=0.6,0,ROUND(O357-O379,1)),"")</f>
        <v>0</v>
      </c>
      <c r="P378" s="66" t="n">
        <f aca="false">IF(ISNUMBER(P379),IF(ABS(P357-P379)&lt;=0.6,0,ROUND(P357-P379,1)),"")</f>
        <v>0</v>
      </c>
      <c r="Q378" s="66" t="n">
        <f aca="false">IF(ISNUMBER(Q379),IF(ABS(Q357-Q379)&lt;=0.6,0,ROUND(Q357-Q379,1)),"")</f>
        <v>0</v>
      </c>
      <c r="R378" s="66" t="n">
        <f aca="false">IF(ISNUMBER(R379),IF(ABS(R357-R379)&lt;=0.6,0,ROUND(R357-R379,1)),"")</f>
        <v>0</v>
      </c>
      <c r="S378" s="66" t="n">
        <f aca="false">IF(ISNUMBER(S379),IF(ABS(S357-S379)&lt;=0.6,0,ROUND(S357-S379,1)),"")</f>
        <v>0</v>
      </c>
      <c r="T378" s="66" t="n">
        <f aca="false">IF(ISNUMBER(T379),IF(ABS(T357-T379)&lt;=0.6,0,ROUND(T357-T379,1)),"")</f>
        <v>0</v>
      </c>
      <c r="U378" s="66" t="n">
        <f aca="false">IF(ISNUMBER(U379),IF(ABS(U357-U379)&lt;=0.6,0,ROUND(U357-U379,1)),"")</f>
        <v>0</v>
      </c>
      <c r="V378" s="66" t="n">
        <f aca="false">IF(ISNUMBER(V379),IF(ABS(V357-V379)&lt;=0.6,0,ROUND(V357-V379,1)),"")</f>
        <v>0</v>
      </c>
      <c r="W378" s="66" t="n">
        <f aca="false">IF(ISNUMBER(W379),IF(ABS(W357-W379)&lt;=0.6,0,ROUND(W357-W379,1)),"")</f>
        <v>0</v>
      </c>
      <c r="X378" s="66" t="n">
        <f aca="false">IF(ISNUMBER(X379),IF(ABS(X357-X379)&lt;=0.6,0,ROUND(X357-X379,1)),"")</f>
        <v>0</v>
      </c>
      <c r="Y378" s="66" t="n">
        <f aca="false">IF(ISNUMBER(Y379),IF(ABS(Y357-Y379)&lt;=0.6,0,ROUND(Y357-Y379,1)),"")</f>
        <v>0</v>
      </c>
      <c r="Z378" s="66" t="n">
        <f aca="false">IF(ISNUMBER(Z379),IF(ABS(Z357-Z379)&lt;=0.6,0,ROUND(Z357-Z379,1)),"")</f>
        <v>0</v>
      </c>
      <c r="AA378" s="66" t="n">
        <f aca="false">IF(ISNUMBER(AA379),IF(ABS(AA357-AA379)&lt;=0.6,0,ROUND(AA357-AA379,1)),"")</f>
        <v>0</v>
      </c>
      <c r="AB378" s="66" t="n">
        <f aca="false">IF(ISNUMBER(AB379),IF(ABS(AB357-AB379)&lt;=0.6,0,ROUND(AB357-AB379,1)),"")</f>
        <v>0</v>
      </c>
      <c r="AC378" s="66" t="n">
        <f aca="false">IF(ISNUMBER(AC379),IF(ABS(AC357-AC379)&lt;=0.6,0,ROUND(AC357-AC379,1)),"")</f>
        <v>0</v>
      </c>
      <c r="AD378" s="66" t="n">
        <f aca="false">IF(ISNUMBER(AD379),IF(ABS(AD357-AD379)&lt;=0.6,0,ROUND(AD357-AD379,1)),"")</f>
        <v>0</v>
      </c>
      <c r="AE378" s="66" t="n">
        <f aca="false">IF(ISNUMBER(AE379),IF(ABS(AE357-AE379)&lt;=0.6,0,ROUND(AE357-AE379,1)),"")</f>
        <v>0</v>
      </c>
      <c r="AF378" s="66" t="n">
        <f aca="false">IF(ISNUMBER(AF379),IF(ABS(AF357-AF379)&lt;=0.6,0,ROUND(AF357-AF379,1)),"")</f>
        <v>0</v>
      </c>
      <c r="AG378" s="66" t="n">
        <f aca="false">IF(ISNUMBER(AG379),IF(ABS(AG357-AG379)&lt;=0.6,0,ROUND(AG357-AG379,1)),"")</f>
        <v>0</v>
      </c>
      <c r="AH378" s="66" t="n">
        <f aca="false">IF(ISNUMBER(AH379),IF(ABS(AH357-AH379)&lt;=0.6,0,ROUND(AH357-AH379,1)),"")</f>
        <v>0</v>
      </c>
      <c r="AI378" s="66" t="n">
        <f aca="false">IF(ISNUMBER(AI379),IF(ABS(AI357-AI379)&lt;=0.6,0,ROUND(AI357-AI379,1)),"")</f>
        <v>0</v>
      </c>
      <c r="AJ378" s="66" t="n">
        <f aca="false">IF(ISNUMBER(AJ379),IF(ABS(AJ357-AJ379)&lt;=0.6,0,ROUND(AJ357-AJ379,1)),"")</f>
        <v>0</v>
      </c>
      <c r="AK378" s="66" t="n">
        <f aca="false">IF(ISNUMBER(AK379),IF(ABS(AK357-AK379)&lt;=0.6,0,ROUND(AK357-AK379,1)),"")</f>
        <v>0</v>
      </c>
      <c r="AL378" s="66" t="n">
        <f aca="false">IF(ISNUMBER(AL379),IF(ABS(AL357-AL379)&lt;=0.6,0,ROUND(AL357-AL379,1)),"")</f>
        <v>0</v>
      </c>
      <c r="AM378" s="66" t="n">
        <f aca="false">IF(ISNUMBER(AM379),IF(ABS(AM357-AM379)&lt;=0.6,0,ROUND(AM357-AM379,1)),"")</f>
        <v>0</v>
      </c>
      <c r="AN378" s="66" t="n">
        <f aca="false">IF(ISNUMBER(AN379),IF(ABS(AN357-AN379)&lt;=0.6,0,ROUND(AN357-AN379,1)),"")</f>
        <v>0</v>
      </c>
      <c r="AO378" s="66" t="n">
        <f aca="false">IF(ISNUMBER(AO379),IF(ABS(AO357-AO379)&lt;=0.6,0,ROUND(AO357-AO379,1)),"")</f>
        <v>0</v>
      </c>
      <c r="AP378" s="66" t="n">
        <f aca="false">IF(ISNUMBER(AP379),IF(ABS(AP357-AP379)&lt;=0.6,0,ROUND(AP357-AP379,1)),"")</f>
        <v>0</v>
      </c>
      <c r="AQ378" s="66" t="n">
        <f aca="false">IF(ISNUMBER(AQ379),IF(ABS(AQ357-AQ379)&lt;=0.6,0,ROUND(AQ357-AQ379,1)),"")</f>
        <v>0</v>
      </c>
      <c r="AR378" s="66" t="n">
        <f aca="false">IF(ISNUMBER(AR379),IF(ABS(AR357-AR379)&lt;=0.6,0,ROUND(AR357-AR379,1)),"")</f>
        <v>0</v>
      </c>
      <c r="AS378" s="66" t="n">
        <f aca="false">IF(ISNUMBER(AS379),IF(ABS(AS357-AS379)&lt;=0.6,0,ROUND(AS357-AS379,1)),"")</f>
        <v>0</v>
      </c>
      <c r="AT378" s="66" t="n">
        <f aca="false">IF(ISNUMBER(AT379),IF(ABS(AT357-AT379)&lt;=0.6,0,ROUND(AT357-AT379,1)),"")</f>
        <v>0</v>
      </c>
      <c r="AU378" s="66" t="n">
        <f aca="false">IF(ISNUMBER(AU379),IF(ABS(AU357-AU379)&lt;=0.6,0,ROUND(AU357-AU379,1)),"")</f>
        <v>0</v>
      </c>
      <c r="AV378" s="66" t="n">
        <f aca="false">IF(ISNUMBER(AV379),IF(ABS(AV357-AV379)&lt;=0.6,0,ROUND(AV357-AV379,1)),"")</f>
        <v>0</v>
      </c>
      <c r="AW378" s="66" t="n">
        <f aca="false">IF(ISNUMBER(AW379),IF(ABS(AW357-AW379)&lt;=0.6,0,ROUND(AW357-AW379,1)),"")</f>
        <v>0</v>
      </c>
      <c r="AX378" s="66" t="n">
        <f aca="false">IF(ISNUMBER(AX379),IF(ABS(AX357-AX379)&lt;=0.6,0,ROUND(AX357-AX379,1)),"")</f>
        <v>0</v>
      </c>
      <c r="AY378" s="66" t="n">
        <f aca="false">IF(ISNUMBER(AY379),IF(ABS(AY357-AY379)&lt;=0.6,0,ROUND(AY357-AY379,1)),"")</f>
        <v>0</v>
      </c>
      <c r="AZ378" s="66" t="n">
        <f aca="false">IF(ISNUMBER(AZ379),IF(ABS(AZ357-AZ379)&lt;=0.6,0,ROUND(AZ357-AZ379,1)),"")</f>
        <v>0</v>
      </c>
      <c r="BA378" s="66" t="n">
        <f aca="false">IF(ISNUMBER(BA379),IF(ABS(BA357-BA379)&lt;=0.6,0,ROUND(BA357-BA379,1)),"")</f>
        <v>0</v>
      </c>
      <c r="BB378" s="66" t="n">
        <f aca="false">IF(ISNUMBER(BB379),IF(ABS(BB357-BB379)&lt;=0.6,0,ROUND(BB357-BB379,1)),"")</f>
        <v>0</v>
      </c>
      <c r="BC378" s="66" t="n">
        <f aca="false">IF(ISNUMBER(BC379),IF(ABS(BC357-BC379)&lt;=0.6,0,ROUND(BC357-BC379,1)),"")</f>
        <v>0</v>
      </c>
      <c r="BD378" s="66" t="n">
        <f aca="false">IF(ISNUMBER(BD379),IF(ABS(BD357-BD379)&lt;=0.6,0,ROUND(BD357-BD379,1)),"")</f>
        <v>0</v>
      </c>
      <c r="BE378" s="66" t="n">
        <f aca="false">IF(ISNUMBER(BE379),IF(ABS(BE357-BE379)&lt;=0.6,0,ROUND(BE357-BE379,1)),"")</f>
        <v>0</v>
      </c>
      <c r="BF378" s="66" t="n">
        <f aca="false">IF(ISNUMBER(BF379),IF(ABS(BF357-BF379)&lt;=0.6,0,ROUND(BF357-BF379,1)),"")</f>
        <v>0</v>
      </c>
      <c r="BG378" s="66" t="n">
        <f aca="false">IF(ISNUMBER(BG379),IF(ABS(BG357-BG379)&lt;=0.6,0,ROUND(BG357-BG379,1)),"")</f>
        <v>0</v>
      </c>
      <c r="BH378" s="66" t="n">
        <f aca="false">IF(ISNUMBER(BH379),IF(ABS(BH357-BH379)&lt;=0.6,0,ROUND(BH357-BH379,1)),"")</f>
        <v>0</v>
      </c>
      <c r="BI378" s="66" t="n">
        <f aca="false">IF(ISNUMBER(BI379),IF(ABS(BI357-BI379)&lt;=0.6,0,ROUND(BI357-BI379,1)),"")</f>
        <v>0</v>
      </c>
      <c r="BJ378" s="66" t="n">
        <f aca="false">IF(ISNUMBER(BJ379),IF(ABS(BJ357-BJ379)&lt;=0.6,0,ROUND(BJ357-BJ379,1)),"")</f>
        <v>0</v>
      </c>
      <c r="BK378" s="66" t="n">
        <f aca="false">IF(ISNUMBER(BK379),IF(ABS(BK357-BK379)&lt;=0.6,0,ROUND(BK357-BK379,1)),"")</f>
        <v>0</v>
      </c>
      <c r="BL378" s="66" t="n">
        <f aca="false">IF(ISNUMBER(BL379),IF(ABS(BL357-BL379)&lt;=0.6,0,ROUND(BL357-BL379,1)),"")</f>
        <v>0</v>
      </c>
      <c r="BM378" s="66" t="n">
        <f aca="false">IF(ISNUMBER(BM379),IF(ABS(BM357-BM379)&lt;=0.6,0,ROUND(BM357-BM379,1)),"")</f>
        <v>0</v>
      </c>
      <c r="BN378" s="66" t="n">
        <f aca="false">IF(ISNUMBER(BN379),IF(ABS(BN357-BN379)&lt;=0.6,0,ROUND(BN357-BN379,1)),"")</f>
        <v>0</v>
      </c>
      <c r="BO378" s="66" t="n">
        <f aca="false">IF(ISNUMBER(BO379),IF(ABS(BO357-BO379)&lt;=0.6,0,ROUND(BO357-BO379,1)),"")</f>
        <v>0</v>
      </c>
      <c r="BP378" s="66" t="n">
        <f aca="false">IF(ISNUMBER(BP379),IF(ABS(BP357-BP379)&lt;=0.6,0,ROUND(BP357-BP379,1)),"")</f>
        <v>0</v>
      </c>
      <c r="BQ378" s="66" t="n">
        <f aca="false">IF(ISNUMBER(BQ379),IF(ABS(BQ357-BQ379)&lt;=0.6,0,ROUND(BQ357-BQ379,1)),"")</f>
        <v>0</v>
      </c>
      <c r="BR378" s="66" t="n">
        <f aca="false">IF(ISNUMBER(BR379),IF(ABS(BR357-BR379)&lt;=0.6,0,ROUND(BR357-BR379,1)),"")</f>
        <v>0</v>
      </c>
      <c r="BS378" s="66" t="n">
        <f aca="false">IF(ISNUMBER(BS379),IF(ABS(BS357-BS379)&lt;=0.6,0,ROUND(BS357-BS379,1)),"")</f>
        <v>0</v>
      </c>
      <c r="BT378" s="66" t="n">
        <f aca="false">IF(ISNUMBER(BT379),IF(ABS(BT357-BT379)&lt;=0.6,0,ROUND(BT357-BT379,1)),"")</f>
        <v>0</v>
      </c>
      <c r="BU378" s="66" t="n">
        <f aca="false">IF(ISNUMBER(BU379),IF(ABS(BU357-BU379)&lt;=0.6,0,ROUND(BU357-BU379,1)),"")</f>
        <v>0</v>
      </c>
      <c r="BV378" s="66" t="n">
        <f aca="false">IF(ISNUMBER(BV379),IF(ABS(BV357-BV379)&lt;=0.6,0,ROUND(BV357-BV379,1)),"")</f>
        <v>0</v>
      </c>
      <c r="BW378" s="66" t="n">
        <f aca="false">IF(ISNUMBER(BW379),IF(ABS(BW357-BW379)&lt;=0.6,0,ROUND(BW357-BW379,1)),"")</f>
        <v>0</v>
      </c>
      <c r="BX378" s="66" t="n">
        <f aca="false">IF(ISNUMBER(BX379),IF(ABS(BX357-BX379)&lt;=0.6,0,ROUND(BX357-BX379,1)),"")</f>
        <v>0</v>
      </c>
      <c r="BY378" s="7"/>
      <c r="BZ378" s="7"/>
      <c r="CA378" s="7"/>
      <c r="CB378" s="7"/>
      <c r="CC378" s="7"/>
      <c r="CD378" s="7"/>
      <c r="CE378" s="7"/>
      <c r="CF378" s="7"/>
    </row>
    <row r="379" customFormat="false" ht="15" hidden="false" customHeight="true" outlineLevel="0" collapsed="false">
      <c r="B379" s="50" t="s">
        <v>562</v>
      </c>
      <c r="C379" s="40" t="n">
        <v>12864.2</v>
      </c>
      <c r="D379" s="40" t="n">
        <v>17471.9</v>
      </c>
      <c r="E379" s="40" t="n">
        <v>17490.1</v>
      </c>
      <c r="F379" s="40" t="n">
        <v>19595.4</v>
      </c>
      <c r="G379" s="40" t="n">
        <v>22217.1</v>
      </c>
      <c r="H379" s="40" t="n">
        <v>29949.4</v>
      </c>
      <c r="I379" s="40" t="n">
        <v>32941</v>
      </c>
      <c r="J379" s="40" t="n">
        <v>32469.3</v>
      </c>
      <c r="K379" s="40" t="n">
        <v>33109</v>
      </c>
      <c r="L379" s="40" t="n">
        <v>33721.2</v>
      </c>
      <c r="M379" s="40" t="n">
        <v>34672.2</v>
      </c>
      <c r="N379" s="40" t="n">
        <v>34672.2</v>
      </c>
      <c r="O379" s="40" t="n">
        <v>35042.6</v>
      </c>
      <c r="P379" s="40" t="n">
        <v>35652.1</v>
      </c>
      <c r="Q379" s="40" t="n">
        <v>35535.9</v>
      </c>
      <c r="R379" s="40" t="n">
        <v>36991.7</v>
      </c>
      <c r="S379" s="40" t="n">
        <v>36991.7</v>
      </c>
      <c r="T379" s="40" t="n">
        <v>36072.3</v>
      </c>
      <c r="U379" s="40" t="n">
        <v>36986.8</v>
      </c>
      <c r="V379" s="40" t="n">
        <v>49707.9</v>
      </c>
      <c r="W379" s="40" t="n">
        <v>48222.2</v>
      </c>
      <c r="X379" s="40" t="n">
        <v>48222.2</v>
      </c>
      <c r="Y379" s="40" t="n">
        <v>48385.6</v>
      </c>
      <c r="Z379" s="40" t="n">
        <v>51503.7</v>
      </c>
      <c r="AA379" s="40" t="n">
        <v>41297.5</v>
      </c>
      <c r="AB379" s="40" t="n">
        <v>45295.3</v>
      </c>
      <c r="AC379" s="40" t="n">
        <v>45295.3</v>
      </c>
      <c r="AD379" s="40" t="n">
        <v>45245.1</v>
      </c>
      <c r="AE379" s="40" t="n">
        <v>45646.8</v>
      </c>
      <c r="AF379" s="40" t="n">
        <v>45851.3</v>
      </c>
      <c r="AG379" s="40" t="n">
        <v>46648.6</v>
      </c>
      <c r="AH379" s="40" t="n">
        <v>46648.6</v>
      </c>
      <c r="AI379" s="40" t="n">
        <v>47145.2</v>
      </c>
      <c r="AJ379" s="40" t="n">
        <v>48055.8</v>
      </c>
      <c r="AK379" s="40" t="n">
        <v>47719.5</v>
      </c>
      <c r="AL379" s="40" t="n">
        <v>47832.5</v>
      </c>
      <c r="AM379" s="40" t="n">
        <v>47832.5</v>
      </c>
      <c r="AN379" s="40" t="n">
        <v>51774.4</v>
      </c>
      <c r="AO379" s="40" t="n">
        <v>53322</v>
      </c>
      <c r="AP379" s="40" t="n">
        <v>61531.1</v>
      </c>
      <c r="AQ379" s="40" t="n">
        <v>62081.6</v>
      </c>
      <c r="AR379" s="40" t="n">
        <v>62081.6</v>
      </c>
      <c r="AS379" s="40" t="n">
        <v>68930.3</v>
      </c>
      <c r="AT379" s="40" t="n">
        <v>71268.4</v>
      </c>
      <c r="AU379" s="40" t="n">
        <v>72890.7</v>
      </c>
      <c r="AV379" s="40" t="n">
        <v>76161</v>
      </c>
      <c r="AW379" s="40" t="n">
        <v>76161</v>
      </c>
      <c r="AX379" s="40" t="n">
        <v>75426</v>
      </c>
      <c r="AY379" s="40" t="n">
        <v>78027</v>
      </c>
      <c r="AZ379" s="40" t="n">
        <v>82498</v>
      </c>
      <c r="BA379" s="40" t="n">
        <v>83184</v>
      </c>
      <c r="BB379" s="40" t="n">
        <v>83184</v>
      </c>
      <c r="BC379" s="40" t="n">
        <v>83392</v>
      </c>
      <c r="BD379" s="40" t="n">
        <v>81806</v>
      </c>
      <c r="BE379" s="40" t="n">
        <v>81030</v>
      </c>
      <c r="BF379" s="40" t="n">
        <v>84350</v>
      </c>
      <c r="BG379" s="40" t="n">
        <v>84350</v>
      </c>
      <c r="BH379" s="40" t="n">
        <v>85040</v>
      </c>
      <c r="BI379" s="40" t="n">
        <v>84902</v>
      </c>
      <c r="BJ379" s="40" t="n">
        <v>87734</v>
      </c>
      <c r="BK379" s="40" t="n">
        <v>84488</v>
      </c>
      <c r="BL379" s="40" t="n">
        <v>84488</v>
      </c>
      <c r="BM379" s="40" t="n">
        <v>83402</v>
      </c>
      <c r="BN379" s="40" t="n">
        <v>78555</v>
      </c>
      <c r="BO379" s="40" t="n">
        <v>80615</v>
      </c>
      <c r="BP379" s="40" t="n">
        <v>77542</v>
      </c>
      <c r="BQ379" s="40" t="n">
        <v>77542</v>
      </c>
      <c r="BR379" s="40" t="n">
        <v>79116</v>
      </c>
      <c r="BS379" s="40" t="n">
        <v>81620</v>
      </c>
      <c r="BT379" s="40" t="n">
        <v>79897</v>
      </c>
      <c r="BU379" s="40" t="n">
        <v>83464</v>
      </c>
      <c r="BV379" s="40" t="n">
        <v>83464</v>
      </c>
      <c r="BW379" s="40" t="n">
        <v>83544</v>
      </c>
      <c r="BX379" s="40" t="n">
        <v>92367</v>
      </c>
      <c r="BY379" s="7"/>
      <c r="BZ379" s="7"/>
      <c r="CA379" s="7"/>
      <c r="CB379" s="7"/>
      <c r="CC379" s="7"/>
      <c r="CD379" s="7"/>
      <c r="CE379" s="7"/>
      <c r="CF379" s="7"/>
    </row>
    <row r="380" customFormat="false" ht="15" hidden="false" customHeight="true" outlineLevel="0" collapsed="false">
      <c r="B380" s="65" t="s">
        <v>563</v>
      </c>
      <c r="C380" s="66" t="n">
        <f aca="false">IF(AND(ISNUMBER(C348),ISNUMBER(C318)),IF(ABS(C348-C318)&lt;=0.6,0,ROUND(C348-C318,1)),"")</f>
        <v>0</v>
      </c>
      <c r="D380" s="66" t="n">
        <f aca="false">IF(AND(ISNUMBER(D348),ISNUMBER(D318)),IF(ABS(D348-D318)&lt;=0.6,0,ROUND(D348-D318,1)),"")</f>
        <v>0</v>
      </c>
      <c r="E380" s="66" t="n">
        <f aca="false">IF(AND(ISNUMBER(E348),ISNUMBER(E318)),IF(ABS(E348-E318)&lt;=0.6,0,ROUND(E348-E318,1)),"")</f>
        <v>0</v>
      </c>
      <c r="F380" s="66" t="n">
        <f aca="false">IF(AND(ISNUMBER(F348),ISNUMBER(F318)),IF(ABS(F348-F318)&lt;=0.6,0,ROUND(F348-F318,1)),"")</f>
        <v>0</v>
      </c>
      <c r="G380" s="66" t="n">
        <f aca="false">IF(AND(ISNUMBER(G348),ISNUMBER(G318)),IF(ABS(G348-G318)&lt;=0.6,0,ROUND(G348-G318,1)),"")</f>
        <v>0</v>
      </c>
      <c r="H380" s="66" t="n">
        <f aca="false">IF(AND(ISNUMBER(H348),ISNUMBER(H318)),IF(ABS(H348-H318)&lt;=0.6,0,ROUND(H348-H318,1)),"")</f>
        <v>0</v>
      </c>
      <c r="I380" s="66" t="n">
        <f aca="false">IF(AND(ISNUMBER(I348),ISNUMBER(I318)),IF(ABS(I348-I318)&lt;=0.6,0,ROUND(I348-I318,1)),"")</f>
        <v>0</v>
      </c>
      <c r="J380" s="66" t="n">
        <f aca="false">IF(AND(ISNUMBER(J348),ISNUMBER(J318)),IF(ABS(J348-J318)&lt;=0.6,0,ROUND(J348-J318,1)),"")</f>
        <v>0</v>
      </c>
      <c r="K380" s="66" t="n">
        <f aca="false">IF(AND(ISNUMBER(K348),ISNUMBER(K318)),IF(ABS(K348-K318)&lt;=0.6,0,ROUND(K348-K318,1)),"")</f>
        <v>0</v>
      </c>
      <c r="L380" s="66" t="n">
        <f aca="false">IF(AND(ISNUMBER(L348),ISNUMBER(L318)),IF(ABS(L348-L318)&lt;=0.6,0,ROUND(L348-L318,1)),"")</f>
        <v>0</v>
      </c>
      <c r="M380" s="66" t="n">
        <f aca="false">IF(AND(ISNUMBER(M348),ISNUMBER(M318)),IF(ABS(M348-M318)&lt;=0.6,0,ROUND(M348-M318,1)),"")</f>
        <v>0</v>
      </c>
      <c r="N380" s="66" t="n">
        <f aca="false">IF(AND(ISNUMBER(N348),ISNUMBER(N318)),IF(ABS(N348-N318)&lt;=0.6,0,ROUND(N348-N318,1)),"")</f>
        <v>0</v>
      </c>
      <c r="O380" s="66" t="n">
        <f aca="false">IF(AND(ISNUMBER(O348),ISNUMBER(O318)),IF(ABS(O348-O318)&lt;=0.6,0,ROUND(O348-O318,1)),"")</f>
        <v>0</v>
      </c>
      <c r="P380" s="66" t="n">
        <f aca="false">IF(AND(ISNUMBER(P348),ISNUMBER(P318)),IF(ABS(P348-P318)&lt;=0.6,0,ROUND(P348-P318,1)),"")</f>
        <v>0</v>
      </c>
      <c r="Q380" s="66" t="n">
        <f aca="false">IF(AND(ISNUMBER(Q348),ISNUMBER(Q318)),IF(ABS(Q348-Q318)&lt;=0.6,0,ROUND(Q348-Q318,1)),"")</f>
        <v>0</v>
      </c>
      <c r="R380" s="66" t="n">
        <f aca="false">IF(AND(ISNUMBER(R348),ISNUMBER(R318)),IF(ABS(R348-R318)&lt;=0.6,0,ROUND(R348-R318,1)),"")</f>
        <v>0</v>
      </c>
      <c r="S380" s="66" t="n">
        <f aca="false">IF(AND(ISNUMBER(S348),ISNUMBER(S318)),IF(ABS(S348-S318)&lt;=0.6,0,ROUND(S348-S318,1)),"")</f>
        <v>0</v>
      </c>
      <c r="T380" s="66" t="n">
        <f aca="false">IF(AND(ISNUMBER(T348),ISNUMBER(T318)),IF(ABS(T348-T318)&lt;=0.6,0,ROUND(T348-T318,1)),"")</f>
        <v>0</v>
      </c>
      <c r="U380" s="66" t="n">
        <f aca="false">IF(AND(ISNUMBER(U348),ISNUMBER(U318)),IF(ABS(U348-U318)&lt;=0.6,0,ROUND(U348-U318,1)),"")</f>
        <v>0</v>
      </c>
      <c r="V380" s="66" t="n">
        <f aca="false">IF(AND(ISNUMBER(V348),ISNUMBER(V318)),IF(ABS(V348-V318)&lt;=0.6,0,ROUND(V348-V318,1)),"")</f>
        <v>0</v>
      </c>
      <c r="W380" s="66" t="n">
        <f aca="false">IF(AND(ISNUMBER(W348),ISNUMBER(W318)),IF(ABS(W348-W318)&lt;=0.6,0,ROUND(W348-W318,1)),"")</f>
        <v>0</v>
      </c>
      <c r="X380" s="66" t="n">
        <f aca="false">IF(AND(ISNUMBER(X348),ISNUMBER(X318)),IF(ABS(X348-X318)&lt;=0.6,0,ROUND(X348-X318,1)),"")</f>
        <v>0</v>
      </c>
      <c r="Y380" s="66" t="n">
        <f aca="false">IF(AND(ISNUMBER(Y348),ISNUMBER(Y318)),IF(ABS(Y348-Y318)&lt;=0.6,0,ROUND(Y348-Y318,1)),"")</f>
        <v>0</v>
      </c>
      <c r="Z380" s="66" t="n">
        <f aca="false">IF(AND(ISNUMBER(Z348),ISNUMBER(Z318)),IF(ABS(Z348-Z318)&lt;=0.6,0,ROUND(Z348-Z318,1)),"")</f>
        <v>0</v>
      </c>
      <c r="AA380" s="66" t="n">
        <f aca="false">IF(AND(ISNUMBER(AA348),ISNUMBER(AA318)),IF(ABS(AA348-AA318)&lt;=0.6,0,ROUND(AA348-AA318,1)),"")</f>
        <v>0</v>
      </c>
      <c r="AB380" s="66" t="n">
        <f aca="false">IF(AND(ISNUMBER(AB348),ISNUMBER(AB318)),IF(ABS(AB348-AB318)&lt;=0.6,0,ROUND(AB348-AB318,1)),"")</f>
        <v>0</v>
      </c>
      <c r="AC380" s="66" t="n">
        <f aca="false">IF(AND(ISNUMBER(AC348),ISNUMBER(AC318)),IF(ABS(AC348-AC318)&lt;=0.6,0,ROUND(AC348-AC318,1)),"")</f>
        <v>0</v>
      </c>
      <c r="AD380" s="66" t="n">
        <f aca="false">IF(AND(ISNUMBER(AD348),ISNUMBER(AD318)),IF(ABS(AD348-AD318)&lt;=0.6,0,ROUND(AD348-AD318,1)),"")</f>
        <v>0</v>
      </c>
      <c r="AE380" s="66" t="n">
        <f aca="false">IF(AND(ISNUMBER(AE348),ISNUMBER(AE318)),IF(ABS(AE348-AE318)&lt;=0.6,0,ROUND(AE348-AE318,1)),"")</f>
        <v>0</v>
      </c>
      <c r="AF380" s="66" t="n">
        <f aca="false">IF(AND(ISNUMBER(AF348),ISNUMBER(AF318)),IF(ABS(AF348-AF318)&lt;=0.6,0,ROUND(AF348-AF318,1)),"")</f>
        <v>0</v>
      </c>
      <c r="AG380" s="66" t="n">
        <f aca="false">IF(AND(ISNUMBER(AG348),ISNUMBER(AG318)),IF(ABS(AG348-AG318)&lt;=0.6,0,ROUND(AG348-AG318,1)),"")</f>
        <v>0</v>
      </c>
      <c r="AH380" s="66" t="n">
        <f aca="false">IF(AND(ISNUMBER(AH348),ISNUMBER(AH318)),IF(ABS(AH348-AH318)&lt;=0.6,0,ROUND(AH348-AH318,1)),"")</f>
        <v>0</v>
      </c>
      <c r="AI380" s="66" t="n">
        <f aca="false">IF(AND(ISNUMBER(AI348),ISNUMBER(AI318)),IF(ABS(AI348-AI318)&lt;=0.6,0,ROUND(AI348-AI318,1)),"")</f>
        <v>0</v>
      </c>
      <c r="AJ380" s="66" t="n">
        <f aca="false">IF(AND(ISNUMBER(AJ348),ISNUMBER(AJ318)),IF(ABS(AJ348-AJ318)&lt;=0.6,0,ROUND(AJ348-AJ318,1)),"")</f>
        <v>0</v>
      </c>
      <c r="AK380" s="66" t="n">
        <f aca="false">IF(AND(ISNUMBER(AK348),ISNUMBER(AK318)),IF(ABS(AK348-AK318)&lt;=0.6,0,ROUND(AK348-AK318,1)),"")</f>
        <v>0</v>
      </c>
      <c r="AL380" s="66" t="n">
        <f aca="false">IF(AND(ISNUMBER(AL348),ISNUMBER(AL318)),IF(ABS(AL348-AL318)&lt;=0.6,0,ROUND(AL348-AL318,1)),"")</f>
        <v>0</v>
      </c>
      <c r="AM380" s="66" t="n">
        <f aca="false">IF(AND(ISNUMBER(AM348),ISNUMBER(AM318)),IF(ABS(AM348-AM318)&lt;=0.6,0,ROUND(AM348-AM318,1)),"")</f>
        <v>0</v>
      </c>
      <c r="AN380" s="66" t="n">
        <f aca="false">IF(AND(ISNUMBER(AN348),ISNUMBER(AN318)),IF(ABS(AN348-AN318)&lt;=0.6,0,ROUND(AN348-AN318,1)),"")</f>
        <v>0</v>
      </c>
      <c r="AO380" s="66" t="n">
        <f aca="false">IF(AND(ISNUMBER(AO348),ISNUMBER(AO318)),IF(ABS(AO348-AO318)&lt;=0.6,0,ROUND(AO348-AO318,1)),"")</f>
        <v>0</v>
      </c>
      <c r="AP380" s="66" t="n">
        <f aca="false">IF(AND(ISNUMBER(AP348),ISNUMBER(AP318)),IF(ABS(AP348-AP318)&lt;=0.6,0,ROUND(AP348-AP318,1)),"")</f>
        <v>0</v>
      </c>
      <c r="AQ380" s="66" t="n">
        <f aca="false">IF(AND(ISNUMBER(AQ348),ISNUMBER(AQ318)),IF(ABS(AQ348-AQ318)&lt;=0.6,0,ROUND(AQ348-AQ318,1)),"")</f>
        <v>0</v>
      </c>
      <c r="AR380" s="66" t="n">
        <f aca="false">IF(AND(ISNUMBER(AR348),ISNUMBER(AR318)),IF(ABS(AR348-AR318)&lt;=0.6,0,ROUND(AR348-AR318,1)),"")</f>
        <v>0</v>
      </c>
      <c r="AS380" s="66" t="n">
        <f aca="false">IF(AND(ISNUMBER(AS348),ISNUMBER(AS318)),IF(ABS(AS348-AS318)&lt;=0.6,0,ROUND(AS348-AS318,1)),"")</f>
        <v>0</v>
      </c>
      <c r="AT380" s="66" t="n">
        <f aca="false">IF(AND(ISNUMBER(AT348),ISNUMBER(AT318)),IF(ABS(AT348-AT318)&lt;=0.6,0,ROUND(AT348-AT318,1)),"")</f>
        <v>0</v>
      </c>
      <c r="AU380" s="66" t="n">
        <f aca="false">IF(AND(ISNUMBER(AU348),ISNUMBER(AU318)),IF(ABS(AU348-AU318)&lt;=0.6,0,ROUND(AU348-AU318,1)),"")</f>
        <v>0</v>
      </c>
      <c r="AV380" s="66" t="n">
        <f aca="false">IF(AND(ISNUMBER(AV348),ISNUMBER(AV318)),IF(ABS(AV348-AV318)&lt;=0.6,0,ROUND(AV348-AV318,1)),"")</f>
        <v>0</v>
      </c>
      <c r="AW380" s="66" t="n">
        <f aca="false">IF(AND(ISNUMBER(AW348),ISNUMBER(AW318)),IF(ABS(AW348-AW318)&lt;=0.6,0,ROUND(AW348-AW318,1)),"")</f>
        <v>0</v>
      </c>
      <c r="AX380" s="66" t="n">
        <f aca="false">IF(AND(ISNUMBER(AX348),ISNUMBER(AX318)),IF(ABS(AX348-AX318)&lt;=0.6,0,ROUND(AX348-AX318,1)),"")</f>
        <v>0</v>
      </c>
      <c r="AY380" s="66" t="n">
        <f aca="false">IF(AND(ISNUMBER(AY348),ISNUMBER(AY318)),IF(ABS(AY348-AY318)&lt;=0.6,0,ROUND(AY348-AY318,1)),"")</f>
        <v>0</v>
      </c>
      <c r="AZ380" s="66" t="n">
        <f aca="false">IF(AND(ISNUMBER(AZ348),ISNUMBER(AZ318)),IF(ABS(AZ348-AZ318)&lt;=0.6,0,ROUND(AZ348-AZ318,1)),"")</f>
        <v>0</v>
      </c>
      <c r="BA380" s="66" t="n">
        <f aca="false">IF(AND(ISNUMBER(BA348),ISNUMBER(BA318)),IF(ABS(BA348-BA318)&lt;=0.6,0,ROUND(BA348-BA318,1)),"")</f>
        <v>0</v>
      </c>
      <c r="BB380" s="66" t="n">
        <f aca="false">IF(AND(ISNUMBER(BB348),ISNUMBER(BB318)),IF(ABS(BB348-BB318)&lt;=0.6,0,ROUND(BB348-BB318,1)),"")</f>
        <v>0</v>
      </c>
      <c r="BC380" s="66" t="n">
        <f aca="false">IF(AND(ISNUMBER(BC348),ISNUMBER(BC318)),IF(ABS(BC348-BC318)&lt;=0.6,0,ROUND(BC348-BC318,1)),"")</f>
        <v>0</v>
      </c>
      <c r="BD380" s="66" t="n">
        <f aca="false">IF(AND(ISNUMBER(BD348),ISNUMBER(BD318)),IF(ABS(BD348-BD318)&lt;=0.6,0,ROUND(BD348-BD318,1)),"")</f>
        <v>0</v>
      </c>
      <c r="BE380" s="66" t="n">
        <f aca="false">IF(AND(ISNUMBER(BE348),ISNUMBER(BE318)),IF(ABS(BE348-BE318)&lt;=0.6,0,ROUND(BE348-BE318,1)),"")</f>
        <v>0</v>
      </c>
      <c r="BF380" s="66" t="n">
        <f aca="false">IF(AND(ISNUMBER(BF348),ISNUMBER(BF318)),IF(ABS(BF348-BF318)&lt;=0.6,0,ROUND(BF348-BF318,1)),"")</f>
        <v>0</v>
      </c>
      <c r="BG380" s="66" t="n">
        <f aca="false">IF(AND(ISNUMBER(BG348),ISNUMBER(BG318)),IF(ABS(BG348-BG318)&lt;=0.6,0,ROUND(BG348-BG318,1)),"")</f>
        <v>0</v>
      </c>
      <c r="BH380" s="66" t="n">
        <f aca="false">IF(AND(ISNUMBER(BH348),ISNUMBER(BH318)),IF(ABS(BH348-BH318)&lt;=0.6,0,ROUND(BH348-BH318,1)),"")</f>
        <v>0</v>
      </c>
      <c r="BI380" s="66" t="n">
        <f aca="false">IF(AND(ISNUMBER(BI348),ISNUMBER(BI318)),IF(ABS(BI348-BI318)&lt;=0.6,0,ROUND(BI348-BI318,1)),"")</f>
        <v>0</v>
      </c>
      <c r="BJ380" s="66" t="n">
        <f aca="false">IF(AND(ISNUMBER(BJ348),ISNUMBER(BJ318)),IF(ABS(BJ348-BJ318)&lt;=0.6,0,ROUND(BJ348-BJ318,1)),"")</f>
        <v>0</v>
      </c>
      <c r="BK380" s="66" t="n">
        <f aca="false">IF(AND(ISNUMBER(BK348),ISNUMBER(BK318)),IF(ABS(BK348-BK318)&lt;=0.6,0,ROUND(BK348-BK318,1)),"")</f>
        <v>0</v>
      </c>
      <c r="BL380" s="66" t="n">
        <f aca="false">IF(AND(ISNUMBER(BL348),ISNUMBER(BL318)),IF(ABS(BL348-BL318)&lt;=0.6,0,ROUND(BL348-BL318,1)),"")</f>
        <v>0</v>
      </c>
      <c r="BM380" s="66" t="n">
        <f aca="false">IF(AND(ISNUMBER(BM348),ISNUMBER(BM318)),IF(ABS(BM348-BM318)&lt;=0.6,0,ROUND(BM348-BM318,1)),"")</f>
        <v>0</v>
      </c>
      <c r="BN380" s="66" t="n">
        <f aca="false">IF(AND(ISNUMBER(BN348),ISNUMBER(BN318)),IF(ABS(BN348-BN318)&lt;=0.6,0,ROUND(BN348-BN318,1)),"")</f>
        <v>0</v>
      </c>
      <c r="BO380" s="66" t="n">
        <f aca="false">IF(AND(ISNUMBER(BO348),ISNUMBER(BO318)),IF(ABS(BO348-BO318)&lt;=0.6,0,ROUND(BO348-BO318,1)),"")</f>
        <v>0</v>
      </c>
      <c r="BP380" s="66" t="n">
        <f aca="false">IF(AND(ISNUMBER(BP348),ISNUMBER(BP318)),IF(ABS(BP348-BP318)&lt;=0.6,0,ROUND(BP348-BP318,1)),"")</f>
        <v>0</v>
      </c>
      <c r="BQ380" s="66" t="n">
        <f aca="false">IF(AND(ISNUMBER(BQ348),ISNUMBER(BQ318)),IF(ABS(BQ348-BQ318)&lt;=0.6,0,ROUND(BQ348-BQ318,1)),"")</f>
        <v>0</v>
      </c>
      <c r="BR380" s="66" t="n">
        <f aca="false">IF(AND(ISNUMBER(BR348),ISNUMBER(BR318)),IF(ABS(BR348-BR318)&lt;=0.6,0,ROUND(BR348-BR318,1)),"")</f>
        <v>0</v>
      </c>
      <c r="BS380" s="66" t="n">
        <f aca="false">IF(AND(ISNUMBER(BS348),ISNUMBER(BS318)),IF(ABS(BS348-BS318)&lt;=0.6,0,ROUND(BS348-BS318,1)),"")</f>
        <v>0</v>
      </c>
      <c r="BT380" s="66" t="n">
        <f aca="false">IF(AND(ISNUMBER(BT348),ISNUMBER(BT318)),IF(ABS(BT348-BT318)&lt;=0.6,0,ROUND(BT348-BT318,1)),"")</f>
        <v>0</v>
      </c>
      <c r="BU380" s="66" t="n">
        <f aca="false">IF(AND(ISNUMBER(BU348),ISNUMBER(BU318)),IF(ABS(BU348-BU318)&lt;=0.6,0,ROUND(BU348-BU318,1)),"")</f>
        <v>0</v>
      </c>
      <c r="BV380" s="66" t="n">
        <f aca="false">IF(AND(ISNUMBER(BV348),ISNUMBER(BV318)),IF(ABS(BV348-BV318)&lt;=0.6,0,ROUND(BV348-BV318,1)),"")</f>
        <v>0</v>
      </c>
      <c r="BW380" s="66" t="n">
        <f aca="false">IF(AND(ISNUMBER(BW348),ISNUMBER(BW318)),IF(ABS(BW348-BW318)&lt;=0.6,0,ROUND(BW348-BW318,1)),"")</f>
        <v>0</v>
      </c>
      <c r="BX380" s="66" t="n">
        <f aca="false">IF(AND(ISNUMBER(BX348),ISNUMBER(BX318)),IF(ABS(BX348-BX318)&lt;=0.6,0,ROUND(BX348-BX318,1)),"")</f>
        <v>0</v>
      </c>
      <c r="BY380" s="7"/>
      <c r="BZ380" s="7"/>
      <c r="CA380" s="67" t="n">
        <f aca="false">IF(AND(ISNUMBER(CA348),ISNUMBER(CA318)),IF(ABS(CA348-CA318)&lt;=0.6,0,ROUND(CA348-CA318,1)),"")</f>
        <v>0</v>
      </c>
      <c r="CB380" s="67" t="n">
        <f aca="false">IF(AND(ISNUMBER(CB348),ISNUMBER(CB318)),IF(ABS(CB348-CB318)&lt;=0.6,0,ROUND(CB348-CB318,1)),"")</f>
        <v>0</v>
      </c>
      <c r="CC380" s="67" t="n">
        <f aca="false">IF(AND(ISNUMBER(CC348),ISNUMBER(CC318)),IF(ABS(CC348-CC318)&lt;=0.6,0,ROUND(CC348-CC318,1)),"")</f>
        <v>0</v>
      </c>
      <c r="CD380" s="67" t="n">
        <f aca="false">IF(AND(ISNUMBER(CD348),ISNUMBER(CD318)),IF(ABS(CD348-CD318)&lt;=0.6,0,ROUND(CD348-CD318,1)),"")</f>
        <v>0</v>
      </c>
      <c r="CE380" s="67" t="n">
        <f aca="false">IF(AND(ISNUMBER(CE348),ISNUMBER(CE318)),IF(ABS(CE348-CE318)&lt;=0.6,0,ROUND(CE348-CE318,1)),"")</f>
        <v>0</v>
      </c>
      <c r="CF380" s="7"/>
    </row>
    <row r="381" customFormat="false" ht="15" hidden="false" customHeight="true" outlineLevel="0" collapsed="false">
      <c r="B381" s="50" t="s">
        <v>564</v>
      </c>
      <c r="C381" s="74" t="n">
        <v>616.484</v>
      </c>
      <c r="D381" s="74" t="n">
        <v>635.968</v>
      </c>
      <c r="E381" s="74" t="n">
        <v>636.76</v>
      </c>
      <c r="F381" s="74" t="n">
        <v>645.47</v>
      </c>
      <c r="G381" s="74" t="n">
        <v>656.36</v>
      </c>
      <c r="H381" s="74" t="n">
        <v>687.73</v>
      </c>
      <c r="I381" s="74" t="n">
        <v>687.5</v>
      </c>
      <c r="J381" s="74" t="n">
        <v>692.707</v>
      </c>
      <c r="K381" s="74" t="n">
        <v>695.569</v>
      </c>
      <c r="L381" s="74" t="n">
        <v>697.2</v>
      </c>
      <c r="M381" s="74" t="n">
        <v>698.1</v>
      </c>
      <c r="N381" s="74" t="n">
        <v>698.1</v>
      </c>
      <c r="O381" s="74" t="n">
        <v>699.532</v>
      </c>
      <c r="P381" s="74" t="n">
        <v>700.684</v>
      </c>
      <c r="Q381" s="74" t="n">
        <v>702.692</v>
      </c>
      <c r="R381" s="74" t="n">
        <v>704.3</v>
      </c>
      <c r="S381" s="74" t="n">
        <v>704.3</v>
      </c>
      <c r="T381" s="74" t="n">
        <v>707.526</v>
      </c>
      <c r="U381" s="74" t="n">
        <v>683.488</v>
      </c>
      <c r="V381" s="74" t="n">
        <v>685.2</v>
      </c>
      <c r="W381" s="74" t="n">
        <v>686.8</v>
      </c>
      <c r="X381" s="74" t="n">
        <v>686.8</v>
      </c>
      <c r="Y381" s="74" t="n">
        <v>688.6</v>
      </c>
      <c r="Z381" s="74" t="n">
        <v>690.5</v>
      </c>
      <c r="AA381" s="74" t="n">
        <v>691.6</v>
      </c>
      <c r="AB381" s="74" t="n">
        <v>692.2</v>
      </c>
      <c r="AC381" s="74" t="n">
        <v>692.2</v>
      </c>
      <c r="AD381" s="74" t="n">
        <v>694.1</v>
      </c>
      <c r="AE381" s="74" t="n">
        <v>694.7</v>
      </c>
      <c r="AF381" s="74" t="n">
        <v>695.5</v>
      </c>
      <c r="AG381" s="74" t="n">
        <v>696.6</v>
      </c>
      <c r="AH381" s="74" t="n">
        <v>696.6</v>
      </c>
      <c r="AI381" s="74" t="n">
        <v>698.5</v>
      </c>
      <c r="AJ381" s="74" t="n">
        <v>699.7</v>
      </c>
      <c r="AK381" s="74" t="n">
        <v>700.8</v>
      </c>
      <c r="AL381" s="74" t="n">
        <v>701.5</v>
      </c>
      <c r="AM381" s="74" t="n">
        <v>701.5</v>
      </c>
      <c r="AN381" s="74" t="n">
        <v>715.8</v>
      </c>
      <c r="AO381" s="74" t="n">
        <v>717.3</v>
      </c>
      <c r="AP381" s="74" t="n">
        <v>718.2</v>
      </c>
      <c r="AQ381" s="74" t="n">
        <v>695.5</v>
      </c>
      <c r="AR381" s="74" t="n">
        <v>695.5</v>
      </c>
      <c r="AS381" s="74" t="n">
        <v>697</v>
      </c>
      <c r="AT381" s="74" t="n">
        <v>709.2</v>
      </c>
      <c r="AU381" s="74" t="n">
        <v>710.3</v>
      </c>
      <c r="AV381" s="74" t="n">
        <v>711</v>
      </c>
      <c r="AW381" s="74" t="n">
        <v>711</v>
      </c>
      <c r="AX381" s="74" t="n">
        <v>713.1</v>
      </c>
      <c r="AY381" s="74" t="n">
        <v>713.8</v>
      </c>
      <c r="AZ381" s="74" t="n">
        <v>714.5</v>
      </c>
      <c r="BA381" s="74" t="n">
        <v>715</v>
      </c>
      <c r="BB381" s="74" t="n">
        <v>715</v>
      </c>
      <c r="BC381" s="74" t="n">
        <v>716</v>
      </c>
      <c r="BD381" s="74" t="n">
        <v>727.4</v>
      </c>
      <c r="BE381" s="74" t="n">
        <v>727.9</v>
      </c>
      <c r="BF381" s="74" t="n">
        <v>728.3</v>
      </c>
      <c r="BG381" s="74" t="n">
        <v>728.3</v>
      </c>
      <c r="BH381" s="74" t="n">
        <v>729.2</v>
      </c>
      <c r="BI381" s="74" t="n">
        <v>738.2</v>
      </c>
      <c r="BJ381" s="74" t="n">
        <v>738.9</v>
      </c>
      <c r="BK381" s="74" t="n">
        <v>739.2</v>
      </c>
      <c r="BL381" s="74" t="n">
        <v>739.2</v>
      </c>
      <c r="BM381" s="74" t="n">
        <v>740.6</v>
      </c>
      <c r="BN381" s="74" t="n">
        <v>724</v>
      </c>
      <c r="BO381" s="74" t="n">
        <v>722.2</v>
      </c>
      <c r="BP381" s="74" t="n">
        <v>719.1</v>
      </c>
      <c r="BQ381" s="74" t="n">
        <v>719.1</v>
      </c>
      <c r="BR381" s="74" t="n">
        <v>715.6</v>
      </c>
      <c r="BS381" s="74" t="n">
        <v>715.9</v>
      </c>
      <c r="BT381" s="74" t="n">
        <v>706.3</v>
      </c>
      <c r="BU381" s="74" t="n">
        <v>706.9</v>
      </c>
      <c r="BV381" s="74" t="n">
        <v>706.9</v>
      </c>
      <c r="BW381" s="74" t="n">
        <v>707.7</v>
      </c>
      <c r="BX381" s="74" t="n">
        <v>702.9</v>
      </c>
      <c r="BY381" s="7"/>
      <c r="BZ381" s="7"/>
      <c r="CA381" s="67" t="n">
        <f aca="false">CA342</f>
        <v>701.439704353329</v>
      </c>
      <c r="CB381" s="67" t="n">
        <f aca="false">CB342</f>
        <v>696.838321169982</v>
      </c>
      <c r="CC381" s="67" t="n">
        <f aca="false">CC342</f>
        <v>677.802927971924</v>
      </c>
      <c r="CD381" s="67" t="n">
        <f aca="false">CD342</f>
        <v>659.21814718881</v>
      </c>
      <c r="CE381" s="67" t="n">
        <f aca="false">CE342</f>
        <v>639.514380163444</v>
      </c>
      <c r="CF381" s="7"/>
    </row>
    <row r="382" customFormat="false" ht="15" hidden="false" customHeight="true" outlineLevel="0" collapsed="false"/>
    <row r="383" customFormat="false" ht="15" hidden="false" customHeight="true" outlineLevel="0" collapsed="false">
      <c r="B383" s="12" t="s">
        <v>565</v>
      </c>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t="s">
        <v>566</v>
      </c>
    </row>
    <row r="384" customFormat="false" ht="15" hidden="false" customHeight="true" outlineLevel="0" collapsed="false">
      <c r="B384" s="27" t="s">
        <v>567</v>
      </c>
      <c r="C384" s="51" t="n">
        <f aca="false">IF(ISNUMBER(C178),C178*1,"")</f>
        <v>9466.1</v>
      </c>
      <c r="D384" s="51" t="n">
        <f aca="false">IF(ISNUMBER(D178),D178*1,"")</f>
        <v>11025.9</v>
      </c>
      <c r="E384" s="51" t="n">
        <f aca="false">IF(ISNUMBER(E178),E178*1,"")</f>
        <v>12697.5</v>
      </c>
      <c r="F384" s="51" t="n">
        <f aca="false">IF(ISNUMBER(F178),F178*1,"")</f>
        <v>11184.9</v>
      </c>
      <c r="G384" s="51" t="n">
        <f aca="false">IF(ISNUMBER(G178),G178*1,"")</f>
        <v>12550</v>
      </c>
      <c r="H384" s="51" t="n">
        <f aca="false">IF(ISNUMBER(H178),H178*1,"")</f>
        <v>16090.5</v>
      </c>
      <c r="I384" s="51" t="n">
        <f aca="false">IF(ISNUMBER(I178),I178*1,"")</f>
        <v>18260.4</v>
      </c>
      <c r="J384" s="51" t="n">
        <f aca="false">IF(ISNUMBER(J178),J178*4,"")</f>
        <v>17778.8</v>
      </c>
      <c r="K384" s="51" t="n">
        <f aca="false">IF(ISNUMBER(K178),K178*4,"")</f>
        <v>18950</v>
      </c>
      <c r="L384" s="51" t="n">
        <f aca="false">IF(ISNUMBER(L178),L178*4,"")</f>
        <v>18676.4</v>
      </c>
      <c r="M384" s="51" t="n">
        <f aca="false">IF(ISNUMBER(M178),M178*4,"")</f>
        <v>21066.8</v>
      </c>
      <c r="N384" s="51" t="n">
        <f aca="false">IF(ISNUMBER(N178),N178*1,"")</f>
        <v>19118</v>
      </c>
      <c r="O384" s="51" t="n">
        <f aca="false">IF(ISNUMBER(O178),O178*4,"")</f>
        <v>18650.8</v>
      </c>
      <c r="P384" s="51" t="n">
        <f aca="false">IF(ISNUMBER(P178),P178*4,"")</f>
        <v>19854.4</v>
      </c>
      <c r="Q384" s="51" t="n">
        <f aca="false">IF(ISNUMBER(Q178),Q178*4,"")</f>
        <v>18828.4</v>
      </c>
      <c r="R384" s="51" t="n">
        <f aca="false">IF(ISNUMBER(R178),R178*4,"")</f>
        <v>20896.8</v>
      </c>
      <c r="S384" s="51" t="n">
        <f aca="false">IF(ISNUMBER(S178),S178*1,"")</f>
        <v>19154</v>
      </c>
      <c r="T384" s="51" t="n">
        <f aca="false">IF(ISNUMBER(T178),T178*4,"")</f>
        <v>18778.8</v>
      </c>
      <c r="U384" s="51" t="n">
        <f aca="false">IF(ISNUMBER(U178),U178*4,"")</f>
        <v>19840.8</v>
      </c>
      <c r="V384" s="51" t="n">
        <f aca="false">IF(ISNUMBER(V178),V178*4,"")</f>
        <v>14048.8</v>
      </c>
      <c r="W384" s="51" t="n">
        <f aca="false">IF(ISNUMBER(W178),W178*4,"")</f>
        <v>17292</v>
      </c>
      <c r="X384" s="51" t="n">
        <f aca="false">IF(ISNUMBER(X178),X178*1,"")</f>
        <v>14433.7</v>
      </c>
      <c r="Y384" s="51" t="n">
        <f aca="false">IF(ISNUMBER(Y178),Y178*4,"")</f>
        <v>15696.4</v>
      </c>
      <c r="Z384" s="51" t="n">
        <f aca="false">IF(ISNUMBER(Z178),Z178*4,"")</f>
        <v>16967.6</v>
      </c>
      <c r="AA384" s="51" t="n">
        <f aca="false">IF(ISNUMBER(AA178),AA178*4,"")</f>
        <v>16528.4</v>
      </c>
      <c r="AB384" s="51" t="n">
        <f aca="false">IF(ISNUMBER(AB178),AB178*4,"")</f>
        <v>18337.2</v>
      </c>
      <c r="AC384" s="51" t="n">
        <f aca="false">IF(ISNUMBER(AC178),AC178*1,"")</f>
        <v>16882.4</v>
      </c>
      <c r="AD384" s="51" t="n">
        <f aca="false">IF(ISNUMBER(AD178),AD178*4,"")</f>
        <v>16822.8</v>
      </c>
      <c r="AE384" s="51" t="n">
        <f aca="false">IF(ISNUMBER(AE178),AE178*4,"")</f>
        <v>18040.4</v>
      </c>
      <c r="AF384" s="51" t="n">
        <f aca="false">IF(ISNUMBER(AF178),AF178*4,"")</f>
        <v>18112.8</v>
      </c>
      <c r="AG384" s="51" t="n">
        <f aca="false">IF(ISNUMBER(AG178),AG178*4,"")</f>
        <v>20342.8</v>
      </c>
      <c r="AH384" s="51" t="n">
        <f aca="false">IF(ISNUMBER(AH178),AH178*1,"")</f>
        <v>18329.7</v>
      </c>
      <c r="AI384" s="51" t="n">
        <f aca="false">IF(ISNUMBER(AI178),AI178*4,"")</f>
        <v>18781.6</v>
      </c>
      <c r="AJ384" s="51" t="n">
        <f aca="false">IF(ISNUMBER(AJ178),AJ178*4,"")</f>
        <v>19924</v>
      </c>
      <c r="AK384" s="51" t="n">
        <f aca="false">IF(ISNUMBER(AK178),AK178*4,"")</f>
        <v>19412.4</v>
      </c>
      <c r="AL384" s="51" t="n">
        <f aca="false">IF(ISNUMBER(AL178),AL178*4,"")</f>
        <v>18418</v>
      </c>
      <c r="AM384" s="51" t="n">
        <f aca="false">IF(ISNUMBER(AM178),AM178*1,"")</f>
        <v>17048.5</v>
      </c>
      <c r="AN384" s="51" t="n">
        <f aca="false">IF(ISNUMBER(AN178),AN178*4,"")</f>
        <v>16880.8</v>
      </c>
      <c r="AO384" s="51" t="n">
        <f aca="false">IF(ISNUMBER(AO178),AO178*4,"")</f>
        <v>17778</v>
      </c>
      <c r="AP384" s="51" t="n">
        <f aca="false">IF(ISNUMBER(AP178),AP178*4,"")</f>
        <v>17512</v>
      </c>
      <c r="AQ384" s="51" t="n">
        <f aca="false">IF(ISNUMBER(AQ178),AQ178*4,"")</f>
        <v>19473.6</v>
      </c>
      <c r="AR384" s="51" t="n">
        <f aca="false">IF(ISNUMBER(AR178),AR178*1,"")</f>
        <v>17911.1</v>
      </c>
      <c r="AS384" s="51" t="n">
        <f aca="false">IF(ISNUMBER(AS178),AS178*4,"")</f>
        <v>17372.4</v>
      </c>
      <c r="AT384" s="51" t="n">
        <f aca="false">IF(ISNUMBER(AT178),AT178*4,"")</f>
        <v>21189.6</v>
      </c>
      <c r="AU384" s="51" t="n">
        <f aca="false">IF(ISNUMBER(AU178),AU178*4,"")</f>
        <v>23532.8</v>
      </c>
      <c r="AV384" s="51" t="n">
        <f aca="false">IF(ISNUMBER(AV178),AV178*4,"")</f>
        <v>27040</v>
      </c>
      <c r="AW384" s="51" t="n">
        <f aca="false">IF(ISNUMBER(AW178),AW178*1,"")</f>
        <v>22284</v>
      </c>
      <c r="AX384" s="51" t="n">
        <f aca="false">IF(ISNUMBER(AX178),AX178*4,"")</f>
        <v>27432</v>
      </c>
      <c r="AY384" s="51" t="n">
        <f aca="false">IF(ISNUMBER(AY178),AY178*4,"")</f>
        <v>28872</v>
      </c>
      <c r="AZ384" s="51" t="n">
        <f aca="false">IF(ISNUMBER(AZ178),AZ178*4,"")</f>
        <v>28916</v>
      </c>
      <c r="BA384" s="51" t="n">
        <f aca="false">IF(ISNUMBER(BA178),BA178*4,"")</f>
        <v>32592</v>
      </c>
      <c r="BB384" s="51" t="n">
        <f aca="false">IF(ISNUMBER(BB178),BB178*1,"")</f>
        <v>29453</v>
      </c>
      <c r="BC384" s="51" t="n">
        <f aca="false">IF(ISNUMBER(BC178),BC178*4,"")</f>
        <v>30752</v>
      </c>
      <c r="BD384" s="51" t="n">
        <f aca="false">IF(ISNUMBER(BD178),BD178*4,"")</f>
        <v>31004</v>
      </c>
      <c r="BE384" s="51" t="n">
        <f aca="false">IF(ISNUMBER(BE178),BE178*4,"")</f>
        <v>30652</v>
      </c>
      <c r="BF384" s="51" t="n">
        <f aca="false">IF(ISNUMBER(BF178),BF178*4,"")</f>
        <v>28536</v>
      </c>
      <c r="BG384" s="51" t="n">
        <f aca="false">IF(ISNUMBER(BG178),BG178*1,"")</f>
        <v>26643</v>
      </c>
      <c r="BH384" s="51" t="n">
        <f aca="false">IF(ISNUMBER(BH178),BH178*4,"")</f>
        <v>23796</v>
      </c>
      <c r="BI384" s="51" t="n">
        <f aca="false">IF(ISNUMBER(BI178),BI178*4,"")</f>
        <v>23648</v>
      </c>
      <c r="BJ384" s="51" t="n">
        <f aca="false">IF(ISNUMBER(BJ178),BJ178*4,"")</f>
        <v>22496</v>
      </c>
      <c r="BK384" s="51" t="n">
        <f aca="false">IF(ISNUMBER(BK178),BK178*4,"")</f>
        <v>25620</v>
      </c>
      <c r="BL384" s="51" t="n">
        <f aca="false">IF(ISNUMBER(BL178),BL178*1,"")</f>
        <v>23890</v>
      </c>
      <c r="BM384" s="51" t="n">
        <f aca="false">IF(ISNUMBER(BM178),BM178*4,"")</f>
        <v>23184</v>
      </c>
      <c r="BN384" s="51" t="n">
        <f aca="false">IF(ISNUMBER(BN178),BN178*4,"")</f>
        <v>22972</v>
      </c>
      <c r="BO384" s="51" t="n">
        <f aca="false">IF(ISNUMBER(BO178),BO178*4,"")</f>
        <v>23192</v>
      </c>
      <c r="BP384" s="51" t="n">
        <f aca="false">IF(ISNUMBER(BP178),BP178*4,"")</f>
        <v>26152</v>
      </c>
      <c r="BQ384" s="51" t="n">
        <f aca="false">IF(ISNUMBER(BQ178),BQ178*1,"")</f>
        <v>23875</v>
      </c>
      <c r="BR384" s="51" t="n">
        <f aca="false">IF(ISNUMBER(BR178),BR178*4,"")</f>
        <v>22964</v>
      </c>
      <c r="BS384" s="51" t="n">
        <f aca="false">IF(ISNUMBER(BS178),BS178*4,"")</f>
        <v>23744</v>
      </c>
      <c r="BT384" s="51" t="n">
        <f aca="false">IF(ISNUMBER(BT178),BT178*4,"")</f>
        <v>24212</v>
      </c>
      <c r="BU384" s="51" t="n">
        <f aca="false">IF(ISNUMBER(BU178),BU178*4,"")</f>
        <v>27352</v>
      </c>
      <c r="BV384" s="51" t="n">
        <f aca="false">IF(ISNUMBER(BV178),BV178*1,"")</f>
        <v>24568</v>
      </c>
      <c r="BW384" s="51" t="n">
        <f aca="false">IF(ISNUMBER(BW178),BW178*4,"")</f>
        <v>23804</v>
      </c>
      <c r="BX384" s="51" t="n">
        <f aca="false">IF(ISNUMBER(BX178),BX178*4,"")</f>
        <v>25060</v>
      </c>
      <c r="BY384" s="45"/>
      <c r="BZ384" s="45"/>
      <c r="CA384" s="41" t="n">
        <f aca="false">IF(ISNUMBER(CA178),CA178*1,"")</f>
        <v>26498.419</v>
      </c>
      <c r="CB384" s="41" t="n">
        <f aca="false">IF(ISNUMBER(CB178),CB178*1,"")</f>
        <v>28985.7633607835</v>
      </c>
      <c r="CC384" s="41" t="n">
        <f aca="false">IF(ISNUMBER(CC178),CC178*1,"")</f>
        <v>30884.5660463841</v>
      </c>
      <c r="CD384" s="41" t="n">
        <f aca="false">IF(ISNUMBER(CD178),CD178*1,"")</f>
        <v>33073.0362207654</v>
      </c>
      <c r="CE384" s="41" t="n">
        <f aca="false">IF(ISNUMBER(CE178),CE178*1,"")</f>
        <v>35433.882949137</v>
      </c>
      <c r="CF384" s="37"/>
    </row>
    <row r="385" customFormat="false" ht="15" hidden="false" customHeight="true" outlineLevel="0" collapsed="false">
      <c r="B385" s="27" t="s">
        <v>568</v>
      </c>
      <c r="C385" s="51" t="n">
        <f aca="false">IF(ISNUMBER(C179),C179*1,"")</f>
        <v>5269</v>
      </c>
      <c r="D385" s="51" t="n">
        <f aca="false">IF(ISNUMBER(D179),D179*1,"")</f>
        <v>5985</v>
      </c>
      <c r="E385" s="51" t="n">
        <f aca="false">IF(ISNUMBER(E179),E179*1,"")</f>
        <v>6757.3</v>
      </c>
      <c r="F385" s="51" t="n">
        <f aca="false">IF(ISNUMBER(F179),F179*1,"")</f>
        <v>5904.7</v>
      </c>
      <c r="G385" s="51" t="n">
        <f aca="false">IF(ISNUMBER(G179),G179*1,"")</f>
        <v>6145.5</v>
      </c>
      <c r="H385" s="51" t="n">
        <f aca="false">IF(ISNUMBER(H179),H179*1,"")</f>
        <v>7913.9</v>
      </c>
      <c r="I385" s="51" t="n">
        <f aca="false">IF(ISNUMBER(I179),I179*1,"")</f>
        <v>8846.1</v>
      </c>
      <c r="J385" s="51" t="n">
        <f aca="false">IF(ISNUMBER(J179),J179*4,"")</f>
        <v>8476</v>
      </c>
      <c r="K385" s="51" t="n">
        <f aca="false">IF(ISNUMBER(K179),K179*4,"")</f>
        <v>8968</v>
      </c>
      <c r="L385" s="51" t="n">
        <f aca="false">IF(ISNUMBER(L179),L179*4,"")</f>
        <v>8977.6</v>
      </c>
      <c r="M385" s="51" t="n">
        <f aca="false">IF(ISNUMBER(M179),M179*4,"")</f>
        <v>10220</v>
      </c>
      <c r="N385" s="51" t="n">
        <f aca="false">IF(ISNUMBER(N179),N179*1,"")</f>
        <v>9160.4</v>
      </c>
      <c r="O385" s="51" t="n">
        <f aca="false">IF(ISNUMBER(O179),O179*4,"")</f>
        <v>8839.2</v>
      </c>
      <c r="P385" s="51" t="n">
        <f aca="false">IF(ISNUMBER(P179),P179*4,"")</f>
        <v>9373.6</v>
      </c>
      <c r="Q385" s="51" t="n">
        <f aca="false">IF(ISNUMBER(Q179),Q179*4,"")</f>
        <v>9019.2</v>
      </c>
      <c r="R385" s="51" t="n">
        <f aca="false">IF(ISNUMBER(R179),R179*4,"")</f>
        <v>10246.8</v>
      </c>
      <c r="S385" s="51" t="n">
        <f aca="false">IF(ISNUMBER(S179),S179*1,"")</f>
        <v>9261.4</v>
      </c>
      <c r="T385" s="51" t="n">
        <f aca="false">IF(ISNUMBER(T179),T179*4,"")</f>
        <v>8906</v>
      </c>
      <c r="U385" s="51" t="n">
        <f aca="false">IF(ISNUMBER(U179),U179*4,"")</f>
        <v>9264.8</v>
      </c>
      <c r="V385" s="51" t="n">
        <f aca="false">IF(ISNUMBER(V179),V179*4,"")</f>
        <v>6475.2</v>
      </c>
      <c r="W385" s="51" t="n">
        <f aca="false">IF(ISNUMBER(W179),W179*4,"")</f>
        <v>8263.2</v>
      </c>
      <c r="X385" s="51" t="n">
        <f aca="false">IF(ISNUMBER(X179),X179*1,"")</f>
        <v>6662.6</v>
      </c>
      <c r="Y385" s="51" t="n">
        <f aca="false">IF(ISNUMBER(Y179),Y179*4,"")</f>
        <v>7027.2</v>
      </c>
      <c r="Z385" s="51" t="n">
        <f aca="false">IF(ISNUMBER(Z179),Z179*4,"")</f>
        <v>7442.4</v>
      </c>
      <c r="AA385" s="51" t="n">
        <f aca="false">IF(ISNUMBER(AA179),AA179*4,"")</f>
        <v>7384.4</v>
      </c>
      <c r="AB385" s="51" t="n">
        <f aca="false">IF(ISNUMBER(AB179),AB179*4,"")</f>
        <v>8337.2</v>
      </c>
      <c r="AC385" s="51" t="n">
        <f aca="false">IF(ISNUMBER(AC179),AC179*1,"")</f>
        <v>7547.8</v>
      </c>
      <c r="AD385" s="51" t="n">
        <f aca="false">IF(ISNUMBER(AD179),AD179*4,"")</f>
        <v>7485.6</v>
      </c>
      <c r="AE385" s="51" t="n">
        <f aca="false">IF(ISNUMBER(AE179),AE179*4,"")</f>
        <v>8111.2</v>
      </c>
      <c r="AF385" s="51" t="n">
        <f aca="false">IF(ISNUMBER(AF179),AF179*4,"")</f>
        <v>7965.6</v>
      </c>
      <c r="AG385" s="51" t="n">
        <f aca="false">IF(ISNUMBER(AG179),AG179*4,"")</f>
        <v>8986.4</v>
      </c>
      <c r="AH385" s="51" t="n">
        <f aca="false">IF(ISNUMBER(AH179),AH179*1,"")</f>
        <v>8137.2</v>
      </c>
      <c r="AI385" s="51" t="n">
        <f aca="false">IF(ISNUMBER(AI179),AI179*4,"")</f>
        <v>8207.2</v>
      </c>
      <c r="AJ385" s="51" t="n">
        <f aca="false">IF(ISNUMBER(AJ179),AJ179*4,"")</f>
        <v>8655.6</v>
      </c>
      <c r="AK385" s="51" t="n">
        <f aca="false">IF(ISNUMBER(AK179),AK179*4,"")</f>
        <v>8650.4</v>
      </c>
      <c r="AL385" s="51" t="n">
        <f aca="false">IF(ISNUMBER(AL179),AL179*4,"")</f>
        <v>8283.2</v>
      </c>
      <c r="AM385" s="51" t="n">
        <f aca="false">IF(ISNUMBER(AM179),AM179*1,"")</f>
        <v>7543.2</v>
      </c>
      <c r="AN385" s="51" t="n">
        <f aca="false">IF(ISNUMBER(AN179),AN179*4,"")</f>
        <v>7461.2</v>
      </c>
      <c r="AO385" s="51" t="n">
        <f aca="false">IF(ISNUMBER(AO179),AO179*4,"")</f>
        <v>7842.8</v>
      </c>
      <c r="AP385" s="51" t="n">
        <f aca="false">IF(ISNUMBER(AP179),AP179*4,"")</f>
        <v>7746.4</v>
      </c>
      <c r="AQ385" s="51" t="n">
        <f aca="false">IF(ISNUMBER(AQ179),AQ179*4,"")</f>
        <v>8659.2</v>
      </c>
      <c r="AR385" s="51" t="n">
        <f aca="false">IF(ISNUMBER(AR179),AR179*1,"")</f>
        <v>7927.4</v>
      </c>
      <c r="AS385" s="51" t="n">
        <f aca="false">IF(ISNUMBER(AS179),AS179*4,"")</f>
        <v>7601.2</v>
      </c>
      <c r="AT385" s="51" t="n">
        <f aca="false">IF(ISNUMBER(AT179),AT179*4,"")</f>
        <v>9779.2</v>
      </c>
      <c r="AU385" s="51" t="n">
        <f aca="false">IF(ISNUMBER(AU179),AU179*4,"")</f>
        <v>10630.8</v>
      </c>
      <c r="AV385" s="51" t="n">
        <f aca="false">IF(ISNUMBER(AV179),AV179*4,"")</f>
        <v>11224</v>
      </c>
      <c r="AW385" s="51" t="n">
        <f aca="false">IF(ISNUMBER(AW179),AW179*1,"")</f>
        <v>9809</v>
      </c>
      <c r="AX385" s="51" t="n">
        <f aca="false">IF(ISNUMBER(AX179),AX179*4,"")</f>
        <v>10420</v>
      </c>
      <c r="AY385" s="51" t="n">
        <f aca="false">IF(ISNUMBER(AY179),AY179*4,"")</f>
        <v>11284</v>
      </c>
      <c r="AZ385" s="51" t="n">
        <f aca="false">IF(ISNUMBER(AZ179),AZ179*4,"")</f>
        <v>11480</v>
      </c>
      <c r="BA385" s="51" t="n">
        <f aca="false">IF(ISNUMBER(BA179),BA179*4,"")</f>
        <v>12820</v>
      </c>
      <c r="BB385" s="51" t="n">
        <f aca="false">IF(ISNUMBER(BB179),BB179*1,"")</f>
        <v>11501</v>
      </c>
      <c r="BC385" s="51" t="n">
        <f aca="false">IF(ISNUMBER(BC179),BC179*4,"")</f>
        <v>11932</v>
      </c>
      <c r="BD385" s="51" t="n">
        <f aca="false">IF(ISNUMBER(BD179),BD179*4,"")</f>
        <v>12120</v>
      </c>
      <c r="BE385" s="51" t="n">
        <f aca="false">IF(ISNUMBER(BE179),BE179*4,"")</f>
        <v>12316</v>
      </c>
      <c r="BF385" s="51" t="n">
        <f aca="false">IF(ISNUMBER(BF179),BF179*4,"")</f>
        <v>11632</v>
      </c>
      <c r="BG385" s="51" t="n">
        <f aca="false">IF(ISNUMBER(BG179),BG179*1,"")</f>
        <v>10455</v>
      </c>
      <c r="BH385" s="51" t="n">
        <f aca="false">IF(ISNUMBER(BH179),BH179*4,"")</f>
        <v>9148</v>
      </c>
      <c r="BI385" s="51" t="n">
        <f aca="false">IF(ISNUMBER(BI179),BI179*4,"")</f>
        <v>10376</v>
      </c>
      <c r="BJ385" s="51" t="n">
        <f aca="false">IF(ISNUMBER(BJ179),BJ179*4,"")</f>
        <v>9396</v>
      </c>
      <c r="BK385" s="51" t="n">
        <f aca="false">IF(ISNUMBER(BK179),BK179*4,"")</f>
        <v>10504</v>
      </c>
      <c r="BL385" s="51" t="n">
        <f aca="false">IF(ISNUMBER(BL179),BL179*1,"")</f>
        <v>9856</v>
      </c>
      <c r="BM385" s="51" t="n">
        <f aca="false">IF(ISNUMBER(BM179),BM179*4,"")</f>
        <v>9236</v>
      </c>
      <c r="BN385" s="51" t="n">
        <f aca="false">IF(ISNUMBER(BN179),BN179*4,"")</f>
        <v>9260</v>
      </c>
      <c r="BO385" s="51" t="n">
        <f aca="false">IF(ISNUMBER(BO179),BO179*4,"")</f>
        <v>9588</v>
      </c>
      <c r="BP385" s="51" t="n">
        <f aca="false">IF(ISNUMBER(BP179),BP179*4,"")</f>
        <v>10592</v>
      </c>
      <c r="BQ385" s="51" t="n">
        <f aca="false">IF(ISNUMBER(BQ179),BQ179*1,"")</f>
        <v>9669</v>
      </c>
      <c r="BR385" s="51" t="n">
        <f aca="false">IF(ISNUMBER(BR179),BR179*4,"")</f>
        <v>8920</v>
      </c>
      <c r="BS385" s="51" t="n">
        <f aca="false">IF(ISNUMBER(BS179),BS179*4,"")</f>
        <v>9652</v>
      </c>
      <c r="BT385" s="51" t="n">
        <f aca="false">IF(ISNUMBER(BT179),BT179*4,"")</f>
        <v>10120</v>
      </c>
      <c r="BU385" s="51" t="n">
        <f aca="false">IF(ISNUMBER(BU179),BU179*4,"")</f>
        <v>11488</v>
      </c>
      <c r="BV385" s="51" t="n">
        <f aca="false">IF(ISNUMBER(BV179),BV179*1,"")</f>
        <v>10045</v>
      </c>
      <c r="BW385" s="51" t="n">
        <f aca="false">IF(ISNUMBER(BW179),BW179*4,"")</f>
        <v>9440</v>
      </c>
      <c r="BX385" s="51" t="n">
        <f aca="false">IF(ISNUMBER(BX179),BX179*4,"")</f>
        <v>10616</v>
      </c>
      <c r="BY385" s="45"/>
      <c r="BZ385" s="45"/>
      <c r="CA385" s="41" t="n">
        <f aca="false">IF(ISNUMBER(CA179),CA179*1,"")</f>
        <v>10834.5754319798</v>
      </c>
      <c r="CB385" s="41" t="n">
        <f aca="false">IF(ISNUMBER(CB179),CB179*1,"")</f>
        <v>11604.6023939833</v>
      </c>
      <c r="CC385" s="41" t="n">
        <f aca="false">IF(ISNUMBER(CC179),CC179*1,"")</f>
        <v>12092.9917553606</v>
      </c>
      <c r="CD385" s="41" t="n">
        <f aca="false">IF(ISNUMBER(CD179),CD179*1,"")</f>
        <v>12686.0446764049</v>
      </c>
      <c r="CE385" s="41" t="n">
        <f aca="false">IF(ISNUMBER(CE179),CE179*1,"")</f>
        <v>13130.0354665419</v>
      </c>
      <c r="CF385" s="37"/>
    </row>
    <row r="386" customFormat="false" ht="15" hidden="false" customHeight="true" outlineLevel="0" collapsed="false">
      <c r="B386" s="27" t="s">
        <v>569</v>
      </c>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9"/>
      <c r="BT386" s="39"/>
      <c r="BU386" s="39"/>
      <c r="BV386" s="39"/>
      <c r="BW386" s="39"/>
      <c r="BX386" s="39"/>
      <c r="BY386" s="45"/>
      <c r="BZ386" s="45"/>
      <c r="CA386" s="43" t="n">
        <v>0</v>
      </c>
      <c r="CB386" s="43" t="n">
        <v>0</v>
      </c>
      <c r="CC386" s="43" t="n">
        <v>0</v>
      </c>
      <c r="CD386" s="43" t="n">
        <v>0</v>
      </c>
      <c r="CE386" s="43" t="n">
        <v>0</v>
      </c>
      <c r="CF386" s="37"/>
    </row>
    <row r="387" customFormat="false" ht="15" hidden="false" customHeight="true" outlineLevel="0" collapsed="false">
      <c r="B387" s="27" t="s">
        <v>570</v>
      </c>
      <c r="C387" s="87" t="n">
        <f aca="false">IFERROR(C349/C384*365,"")</f>
        <v>64.5857322445358</v>
      </c>
      <c r="D387" s="87" t="n">
        <f aca="false">IFERROR(D349/D384*365,"")</f>
        <v>65.6913267851151</v>
      </c>
      <c r="E387" s="87" t="n">
        <f aca="false">IFERROR(E349/E384*365,"")</f>
        <v>54.461823193542</v>
      </c>
      <c r="F387" s="87" t="n">
        <f aca="false">IFERROR(F349/F384*365,"")</f>
        <v>62.551475650207</v>
      </c>
      <c r="G387" s="87" t="n">
        <f aca="false">IFERROR(G349/G384*365,"")</f>
        <v>64.5366533864542</v>
      </c>
      <c r="H387" s="87" t="n">
        <f aca="false">IFERROR(H349/H384*365,"")</f>
        <v>69.1845188154501</v>
      </c>
      <c r="I387" s="87" t="n">
        <f aca="false">IFERROR(I349/I384*365,"")</f>
        <v>65.3087829401327</v>
      </c>
      <c r="J387" s="87" t="n">
        <f aca="false">IFERROR(J349/J384*365,"")</f>
        <v>64.0189157873422</v>
      </c>
      <c r="K387" s="87" t="n">
        <f aca="false">IFERROR(K349/K384*365,"")</f>
        <v>63.203746701847</v>
      </c>
      <c r="L387" s="87" t="n">
        <f aca="false">IFERROR(L349/L384*365,"")</f>
        <v>65.9139609346555</v>
      </c>
      <c r="M387" s="87" t="n">
        <f aca="false">IFERROR(M349/M384*365,"")</f>
        <v>59.8018683426054</v>
      </c>
      <c r="N387" s="87" t="n">
        <f aca="false">IFERROR(N349/N384*365,"")</f>
        <v>65.8977926561356</v>
      </c>
      <c r="O387" s="87" t="n">
        <f aca="false">IFERROR(O349/O384*365,"")</f>
        <v>67.8616466853969</v>
      </c>
      <c r="P387" s="87" t="n">
        <f aca="false">IFERROR(P349/P384*365,"")</f>
        <v>66.7664094608752</v>
      </c>
      <c r="Q387" s="87" t="n">
        <f aca="false">IFERROR(Q349/Q384*365,"")</f>
        <v>67.8127987508232</v>
      </c>
      <c r="R387" s="87" t="n">
        <f aca="false">IFERROR(R349/R384*365,"")</f>
        <v>63.4708184985261</v>
      </c>
      <c r="S387" s="87" t="n">
        <f aca="false">IFERROR(S349/S384*365,"")</f>
        <v>69.2459538477603</v>
      </c>
      <c r="T387" s="87" t="n">
        <f aca="false">IFERROR(T349/T384*365,"")</f>
        <v>66.996746330969</v>
      </c>
      <c r="U387" s="87" t="n">
        <f aca="false">IFERROR(U349/U384*365,"")</f>
        <v>65.5869722995041</v>
      </c>
      <c r="V387" s="87" t="n">
        <f aca="false">IFERROR(V349/V384*365,"")</f>
        <v>101.483863390468</v>
      </c>
      <c r="W387" s="87" t="n">
        <f aca="false">IFERROR(W349/W384*365,"")</f>
        <v>83.6743291695582</v>
      </c>
      <c r="X387" s="87" t="n">
        <f aca="false">IFERROR(X349/X384*365,"")</f>
        <v>100.244324047195</v>
      </c>
      <c r="Y387" s="87" t="n">
        <f aca="false">IFERROR(Y349/Y384*365,"")</f>
        <v>90.0198771692872</v>
      </c>
      <c r="Z387" s="87" t="n">
        <f aca="false">IFERROR(Z349/Z384*365,"")</f>
        <v>85.9344869044532</v>
      </c>
      <c r="AA387" s="87" t="n">
        <f aca="false">IFERROR(AA349/AA384*365,"")</f>
        <v>68.0560126812033</v>
      </c>
      <c r="AB387" s="87" t="n">
        <f aca="false">IFERROR(AB349/AB384*365,"")</f>
        <v>63.418978906267</v>
      </c>
      <c r="AC387" s="87" t="n">
        <f aca="false">IFERROR(AC349/AC384*365,"")</f>
        <v>68.8839560725963</v>
      </c>
      <c r="AD387" s="87" t="n">
        <f aca="false">IFERROR(AD349/AD384*365,"")</f>
        <v>65.8474510782985</v>
      </c>
      <c r="AE387" s="87" t="n">
        <f aca="false">IFERROR(AE349/AE384*365,"")</f>
        <v>65.0430145673045</v>
      </c>
      <c r="AF387" s="87" t="n">
        <f aca="false">IFERROR(AF349/AF384*365,"")</f>
        <v>65.5850558720905</v>
      </c>
      <c r="AG387" s="87" t="n">
        <f aca="false">IFERROR(AG349/AG384*365,"")</f>
        <v>63.1897772184753</v>
      </c>
      <c r="AH387" s="87" t="n">
        <f aca="false">IFERROR(AH349/AH384*365,"")</f>
        <v>70.129734801988</v>
      </c>
      <c r="AI387" s="87" t="n">
        <f aca="false">IFERROR(AI349/AI384*365,"")</f>
        <v>63.56250266218</v>
      </c>
      <c r="AJ387" s="87" t="n">
        <f aca="false">IFERROR(AJ349/AJ384*365,"")</f>
        <v>60.392441276852</v>
      </c>
      <c r="AK387" s="87" t="n">
        <f aca="false">IFERROR(AK349/AK384*365,"")</f>
        <v>62.4823051245596</v>
      </c>
      <c r="AL387" s="87" t="n">
        <f aca="false">IFERROR(AL349/AL384*365,"")</f>
        <v>69.1553914648713</v>
      </c>
      <c r="AM387" s="87" t="n">
        <f aca="false">IFERROR(AM349/AM384*365,"")</f>
        <v>74.7106197026131</v>
      </c>
      <c r="AN387" s="87" t="n">
        <f aca="false">IFERROR(AN349/AN384*365,"")</f>
        <v>73.7143974219231</v>
      </c>
      <c r="AO387" s="87" t="n">
        <f aca="false">IFERROR(AO349/AO384*365,"")</f>
        <v>71.4807064911689</v>
      </c>
      <c r="AP387" s="87" t="n">
        <f aca="false">IFERROR(AP349/AP384*365,"")</f>
        <v>72.2642473732298</v>
      </c>
      <c r="AQ387" s="87" t="n">
        <f aca="false">IFERROR(AQ349/AQ384*365,"")</f>
        <v>59.8174451565196</v>
      </c>
      <c r="AR387" s="87" t="n">
        <f aca="false">IFERROR(AR349/AR384*365,"")</f>
        <v>65.0357041164418</v>
      </c>
      <c r="AS387" s="87" t="n">
        <f aca="false">IFERROR(AS349/AS384*365,"")</f>
        <v>72.134794271373</v>
      </c>
      <c r="AT387" s="87" t="n">
        <f aca="false">IFERROR(AT349/AT384*365,"")</f>
        <v>58.1943972514819</v>
      </c>
      <c r="AU387" s="87" t="n">
        <f aca="false">IFERROR(AU349/AU384*365,"")</f>
        <v>54.2192386796301</v>
      </c>
      <c r="AV387" s="87" t="n">
        <f aca="false">IFERROR(AV349/AV384*365,"")</f>
        <v>54.6015162721894</v>
      </c>
      <c r="AW387" s="87" t="n">
        <f aca="false">IFERROR(AW349/AW384*365,"")</f>
        <v>66.2549362771495</v>
      </c>
      <c r="AX387" s="87" t="n">
        <f aca="false">IFERROR(AX349/AX384*365,"")</f>
        <v>52.5439268008166</v>
      </c>
      <c r="AY387" s="87" t="n">
        <f aca="false">IFERROR(AY349/AY384*365,"")</f>
        <v>51.8701510113605</v>
      </c>
      <c r="AZ387" s="87" t="n">
        <f aca="false">IFERROR(AZ349/AZ384*365,"")</f>
        <v>52.9398948678932</v>
      </c>
      <c r="BA387" s="87" t="n">
        <f aca="false">IFERROR(BA349/BA384*365,"")</f>
        <v>51.8628804614629</v>
      </c>
      <c r="BB387" s="87" t="n">
        <f aca="false">IFERROR(BB349/BB384*365,"")</f>
        <v>57.3902488710827</v>
      </c>
      <c r="BC387" s="87" t="n">
        <f aca="false">IFERROR(BC349/BC384*365,"")</f>
        <v>52.3073296045786</v>
      </c>
      <c r="BD387" s="87" t="n">
        <f aca="false">IFERROR(BD349/BD384*365,"")</f>
        <v>53.2948974325893</v>
      </c>
      <c r="BE387" s="87" t="n">
        <f aca="false">IFERROR(BE349/BE384*365,"")</f>
        <v>52.5017943364218</v>
      </c>
      <c r="BF387" s="87" t="n">
        <f aca="false">IFERROR(BF349/BF384*365,"")</f>
        <v>62.9054527614242</v>
      </c>
      <c r="BG387" s="87" t="n">
        <f aca="false">IFERROR(BG349/BG384*365,"")</f>
        <v>67.3749202417145</v>
      </c>
      <c r="BH387" s="87" t="n">
        <f aca="false">IFERROR(BH349/BH384*365,"")</f>
        <v>66.1558665321903</v>
      </c>
      <c r="BI387" s="87" t="n">
        <f aca="false">IFERROR(BI349/BI384*365,"")</f>
        <v>64.8103433694181</v>
      </c>
      <c r="BJ387" s="87" t="n">
        <f aca="false">IFERROR(BJ349/BJ384*365,"")</f>
        <v>68.1616731863443</v>
      </c>
      <c r="BK387" s="87" t="n">
        <f aca="false">IFERROR(BK349/BK384*365,"")</f>
        <v>55.8754879000781</v>
      </c>
      <c r="BL387" s="87" t="n">
        <f aca="false">IFERROR(BL349/BL384*365,"")</f>
        <v>59.9217245709502</v>
      </c>
      <c r="BM387" s="87" t="n">
        <f aca="false">IFERROR(BM349/BM384*365,"")</f>
        <v>53.1976794340925</v>
      </c>
      <c r="BN387" s="87" t="n">
        <f aca="false">IFERROR(BN349/BN384*365,"")</f>
        <v>52.4016193627024</v>
      </c>
      <c r="BO387" s="87" t="n">
        <f aca="false">IFERROR(BO349/BO384*365,"")</f>
        <v>55.1938168333908</v>
      </c>
      <c r="BP387" s="87" t="n">
        <f aca="false">IFERROR(BP349/BP384*365,"")</f>
        <v>49.3654405016825</v>
      </c>
      <c r="BQ387" s="87" t="n">
        <f aca="false">IFERROR(BQ349/BQ384*365,"")</f>
        <v>54.0735078534031</v>
      </c>
      <c r="BR387" s="87" t="n">
        <f aca="false">IFERROR(BR349/BR384*365,"")</f>
        <v>55.7259188294722</v>
      </c>
      <c r="BS387" s="87" t="n">
        <f aca="false">IFERROR(BS349/BS384*365,"")</f>
        <v>54.7868935309973</v>
      </c>
      <c r="BT387" s="87" t="n">
        <f aca="false">IFERROR(BT349/BT384*365,"")</f>
        <v>56.6072608623823</v>
      </c>
      <c r="BU387" s="87" t="n">
        <f aca="false">IFERROR(BU349/BU384*365,"")</f>
        <v>52.2172053231939</v>
      </c>
      <c r="BV387" s="87" t="n">
        <f aca="false">IFERROR(BV349/BV384*365,"")</f>
        <v>58.13436177141</v>
      </c>
      <c r="BW387" s="87" t="n">
        <f aca="false">IFERROR(BW349/BW384*365,"")</f>
        <v>58.5588556545118</v>
      </c>
      <c r="BX387" s="87" t="n">
        <f aca="false">IFERROR(BX349/BX384*365,"")</f>
        <v>57.7503990422985</v>
      </c>
      <c r="BY387" s="45"/>
      <c r="BZ387" s="45"/>
      <c r="CA387" s="88" t="n">
        <v>58</v>
      </c>
      <c r="CB387" s="88" t="n">
        <v>58</v>
      </c>
      <c r="CC387" s="88" t="n">
        <v>58</v>
      </c>
      <c r="CD387" s="88" t="n">
        <v>58</v>
      </c>
      <c r="CE387" s="88" t="n">
        <v>58</v>
      </c>
      <c r="CF387" s="37"/>
    </row>
    <row r="388" customFormat="false" ht="15" hidden="false" customHeight="true" outlineLevel="0" collapsed="false">
      <c r="B388" s="27" t="s">
        <v>571</v>
      </c>
      <c r="C388" s="87" t="n">
        <f aca="false">IFERROR(C350/C385*365,"")</f>
        <v>69.6471816283925</v>
      </c>
      <c r="D388" s="87" t="n">
        <f aca="false">IFERROR(D350/D385*365,"")</f>
        <v>72.7926482873851</v>
      </c>
      <c r="E388" s="87" t="n">
        <f aca="false">IFERROR(E350/E385*365,"")</f>
        <v>61.7020851523537</v>
      </c>
      <c r="F388" s="87" t="n">
        <f aca="false">IFERROR(F350/F385*365,"")</f>
        <v>61.3824580418988</v>
      </c>
      <c r="G388" s="87" t="n">
        <f aca="false">IFERROR(G350/G385*365,"")</f>
        <v>72.7683670978765</v>
      </c>
      <c r="H388" s="87" t="n">
        <f aca="false">IFERROR(H350/H385*365,"")</f>
        <v>82.160628767106</v>
      </c>
      <c r="I388" s="87" t="n">
        <f aca="false">IFERROR(I350/I385*365,"")</f>
        <v>74.8229163134037</v>
      </c>
      <c r="J388" s="87" t="n">
        <f aca="false">IFERROR(J350/J385*365,"")</f>
        <v>80.3766517225106</v>
      </c>
      <c r="K388" s="87" t="n">
        <f aca="false">IFERROR(K350/K385*365,"")</f>
        <v>77.7782114183764</v>
      </c>
      <c r="L388" s="87" t="n">
        <f aca="false">IFERROR(L350/L385*365,"")</f>
        <v>79.9189649795045</v>
      </c>
      <c r="M388" s="87" t="n">
        <f aca="false">IFERROR(M350/M385*365,"")</f>
        <v>63.6964285714286</v>
      </c>
      <c r="N388" s="87" t="n">
        <f aca="false">IFERROR(N350/N385*365,"")</f>
        <v>71.0643094188027</v>
      </c>
      <c r="O388" s="87" t="n">
        <f aca="false">IFERROR(O350/O385*365,"")</f>
        <v>77.2722078921169</v>
      </c>
      <c r="P388" s="87" t="n">
        <f aca="false">IFERROR(P350/P385*365,"")</f>
        <v>73.7585346078348</v>
      </c>
      <c r="Q388" s="87" t="n">
        <f aca="false">IFERROR(Q350/Q385*365,"")</f>
        <v>75.8393205605819</v>
      </c>
      <c r="R388" s="87" t="n">
        <f aca="false">IFERROR(R350/R385*365,"")</f>
        <v>65.2396357887341</v>
      </c>
      <c r="S388" s="87" t="n">
        <f aca="false">IFERROR(S350/S385*365,"")</f>
        <v>72.181041743149</v>
      </c>
      <c r="T388" s="87" t="n">
        <f aca="false">IFERROR(T350/T385*365,"")</f>
        <v>77.7540983606557</v>
      </c>
      <c r="U388" s="87" t="n">
        <f aca="false">IFERROR(U350/U385*365,"")</f>
        <v>75.3338442276142</v>
      </c>
      <c r="V388" s="87" t="n">
        <f aca="false">IFERROR(V350/V385*365,"")</f>
        <v>131.937083024463</v>
      </c>
      <c r="W388" s="87" t="n">
        <f aca="false">IFERROR(W350/W385*365,"")</f>
        <v>92.5574837835221</v>
      </c>
      <c r="X388" s="87" t="n">
        <f aca="false">IFERROR(X350/X385*365,"")</f>
        <v>114.79317383604</v>
      </c>
      <c r="Y388" s="87" t="n">
        <f aca="false">IFERROR(Y350/Y385*365,"")</f>
        <v>116.228440915301</v>
      </c>
      <c r="Z388" s="87" t="n">
        <f aca="false">IFERROR(Z350/Z385*365,"")</f>
        <v>109.866844028808</v>
      </c>
      <c r="AA388" s="87" t="n">
        <f aca="false">IFERROR(AA350/AA385*365,"")</f>
        <v>84.6315205026813</v>
      </c>
      <c r="AB388" s="87" t="n">
        <f aca="false">IFERROR(AB350/AB385*365,"")</f>
        <v>74.8369956340258</v>
      </c>
      <c r="AC388" s="87" t="n">
        <f aca="false">IFERROR(AC350/AC385*365,"")</f>
        <v>82.6639550597525</v>
      </c>
      <c r="AD388" s="87" t="n">
        <f aca="false">IFERROR(AD350/AD385*365,"")</f>
        <v>86.0570294966335</v>
      </c>
      <c r="AE388" s="87" t="n">
        <f aca="false">IFERROR(AE350/AE385*365,"")</f>
        <v>80.6256164316008</v>
      </c>
      <c r="AF388" s="87" t="n">
        <f aca="false">IFERROR(AF350/AF385*365,"")</f>
        <v>86.7090363563322</v>
      </c>
      <c r="AG388" s="87" t="n">
        <f aca="false">IFERROR(AG350/AG385*365,"")</f>
        <v>74.7676488916585</v>
      </c>
      <c r="AH388" s="87" t="n">
        <f aca="false">IFERROR(AH350/AH385*365,"")</f>
        <v>82.5704173425748</v>
      </c>
      <c r="AI388" s="87" t="n">
        <f aca="false">IFERROR(AI350/AI385*365,"")</f>
        <v>86.6826079539916</v>
      </c>
      <c r="AJ388" s="87" t="n">
        <f aca="false">IFERROR(AJ350/AJ385*365,"")</f>
        <v>83.5161629465317</v>
      </c>
      <c r="AK388" s="87" t="n">
        <f aca="false">IFERROR(AK350/AK385*365,"")</f>
        <v>85.6296818644225</v>
      </c>
      <c r="AL388" s="87" t="n">
        <f aca="false">IFERROR(AL350/AL385*365,"")</f>
        <v>84.1687391346339</v>
      </c>
      <c r="AM388" s="87" t="n">
        <f aca="false">IFERROR(AM350/AM385*365,"")</f>
        <v>92.4258272351257</v>
      </c>
      <c r="AN388" s="87" t="n">
        <f aca="false">IFERROR(AN350/AN385*365,"")</f>
        <v>99.2043505066209</v>
      </c>
      <c r="AO388" s="87" t="n">
        <f aca="false">IFERROR(AO350/AO385*365,"")</f>
        <v>95.6805605141021</v>
      </c>
      <c r="AP388" s="87" t="n">
        <f aca="false">IFERROR(AP350/AP385*365,"")</f>
        <v>95.3540354229061</v>
      </c>
      <c r="AQ388" s="87" t="n">
        <f aca="false">IFERROR(AQ350/AQ385*365,"")</f>
        <v>68.6356129896526</v>
      </c>
      <c r="AR388" s="87" t="n">
        <f aca="false">IFERROR(AR350/AR385*365,"")</f>
        <v>74.9715543557787</v>
      </c>
      <c r="AS388" s="87" t="n">
        <f aca="false">IFERROR(AS350/AS385*365,"")</f>
        <v>123.648239751618</v>
      </c>
      <c r="AT388" s="87" t="n">
        <f aca="false">IFERROR(AT350/AT385*365,"")</f>
        <v>96.7777016524869</v>
      </c>
      <c r="AU388" s="87" t="n">
        <f aca="false">IFERROR(AU350/AU385*365,"")</f>
        <v>83.1471290965873</v>
      </c>
      <c r="AV388" s="87" t="n">
        <f aca="false">IFERROR(AV350/AV385*365,"")</f>
        <v>74.5349251603706</v>
      </c>
      <c r="AW388" s="87" t="n">
        <f aca="false">IFERROR(AW350/AW385*365,"")</f>
        <v>85.286981343664</v>
      </c>
      <c r="AX388" s="87" t="n">
        <f aca="false">IFERROR(AX350/AX385*365,"")</f>
        <v>84.9097888675624</v>
      </c>
      <c r="AY388" s="87" t="n">
        <f aca="false">IFERROR(AY350/AY385*365,"")</f>
        <v>82.3870081531372</v>
      </c>
      <c r="AZ388" s="87" t="n">
        <f aca="false">IFERROR(AZ350/AZ385*365,"")</f>
        <v>87.0213414634146</v>
      </c>
      <c r="BA388" s="87" t="n">
        <f aca="false">IFERROR(BA350/BA385*365,"")</f>
        <v>78.7796411856474</v>
      </c>
      <c r="BB388" s="87" t="n">
        <f aca="false">IFERROR(BB350/BB385*365,"")</f>
        <v>87.8145378662725</v>
      </c>
      <c r="BC388" s="87" t="n">
        <f aca="false">IFERROR(BC350/BC385*365,"")</f>
        <v>93.9725108950721</v>
      </c>
      <c r="BD388" s="87" t="n">
        <f aca="false">IFERROR(BD350/BD385*365,"")</f>
        <v>98.0862211221122</v>
      </c>
      <c r="BE388" s="87" t="n">
        <f aca="false">IFERROR(BE350/BE385*365,"")</f>
        <v>95.9028905488795</v>
      </c>
      <c r="BF388" s="87" t="n">
        <f aca="false">IFERROR(BF350/BF385*365,"")</f>
        <v>97.5885488308116</v>
      </c>
      <c r="BG388" s="87" t="n">
        <f aca="false">IFERROR(BG350/BG385*365,"")</f>
        <v>108.574844571975</v>
      </c>
      <c r="BH388" s="87" t="n">
        <f aca="false">IFERROR(BH350/BH385*365,"")</f>
        <v>134.979777000437</v>
      </c>
      <c r="BI388" s="87" t="n">
        <f aca="false">IFERROR(BI350/BI385*365,"")</f>
        <v>111.969448727833</v>
      </c>
      <c r="BJ388" s="87" t="n">
        <f aca="false">IFERROR(BJ350/BJ385*365,"")</f>
        <v>117.471264367816</v>
      </c>
      <c r="BK388" s="87" t="n">
        <f aca="false">IFERROR(BK350/BK385*365,"")</f>
        <v>90.1380426504189</v>
      </c>
      <c r="BL388" s="87" t="n">
        <f aca="false">IFERROR(BL350/BL385*365,"")</f>
        <v>96.0643262987013</v>
      </c>
      <c r="BM388" s="87" t="n">
        <f aca="false">IFERROR(BM350/BM385*365,"")</f>
        <v>104.528475530533</v>
      </c>
      <c r="BN388" s="87" t="n">
        <f aca="false">IFERROR(BN350/BN385*365,"")</f>
        <v>105.282397408207</v>
      </c>
      <c r="BO388" s="87" t="n">
        <f aca="false">IFERROR(BO350/BO385*365,"")</f>
        <v>101.94722569879</v>
      </c>
      <c r="BP388" s="87" t="n">
        <f aca="false">IFERROR(BP350/BP385*365,"")</f>
        <v>80.2917296072508</v>
      </c>
      <c r="BQ388" s="87" t="n">
        <f aca="false">IFERROR(BQ350/BQ385*365,"")</f>
        <v>87.9563553624987</v>
      </c>
      <c r="BR388" s="87" t="n">
        <f aca="false">IFERROR(BR350/BR385*365,"")</f>
        <v>103.607623318386</v>
      </c>
      <c r="BS388" s="87" t="n">
        <f aca="false">IFERROR(BS350/BS385*365,"")</f>
        <v>101.687215084956</v>
      </c>
      <c r="BT388" s="87" t="n">
        <f aca="false">IFERROR(BT350/BT385*365,"")</f>
        <v>96.4436758893281</v>
      </c>
      <c r="BU388" s="87" t="n">
        <f aca="false">IFERROR(BU350/BU385*365,"")</f>
        <v>79.0812151810585</v>
      </c>
      <c r="BV388" s="87" t="n">
        <f aca="false">IFERROR(BV350/BV385*365,"")</f>
        <v>90.4415131906421</v>
      </c>
      <c r="BW388" s="87" t="n">
        <f aca="false">IFERROR(BW350/BW385*365,"")</f>
        <v>100.838983050847</v>
      </c>
      <c r="BX388" s="87" t="n">
        <f aca="false">IFERROR(BX350/BX385*365,"")</f>
        <v>112.085531273549</v>
      </c>
      <c r="BY388" s="45"/>
      <c r="BZ388" s="45"/>
      <c r="CA388" s="88" t="n">
        <v>90</v>
      </c>
      <c r="CB388" s="88" t="n">
        <v>90</v>
      </c>
      <c r="CC388" s="88" t="n">
        <v>90</v>
      </c>
      <c r="CD388" s="88" t="n">
        <v>90</v>
      </c>
      <c r="CE388" s="88" t="n">
        <v>90</v>
      </c>
      <c r="CF388" s="37"/>
    </row>
    <row r="389" customFormat="false" ht="15" hidden="false" customHeight="true" outlineLevel="0" collapsed="false">
      <c r="B389" s="27" t="s">
        <v>572</v>
      </c>
      <c r="C389" s="87" t="n">
        <f aca="false">IFERROR(C360/C385*365,"")</f>
        <v>65.9687796545834</v>
      </c>
      <c r="D389" s="87" t="n">
        <f aca="false">IFERROR(D360/D385*365,"")</f>
        <v>68.6456140350877</v>
      </c>
      <c r="E389" s="87" t="n">
        <f aca="false">IFERROR(E360/E385*365,"")</f>
        <v>59.9033637695529</v>
      </c>
      <c r="F389" s="87" t="n">
        <f aca="false">IFERROR(F360/F385*365,"")</f>
        <v>64.9986451470862</v>
      </c>
      <c r="G389" s="87" t="n">
        <f aca="false">IFERROR(G360/G385*365,"")</f>
        <v>72.210072410707</v>
      </c>
      <c r="H389" s="87" t="n">
        <f aca="false">IFERROR(H360/H385*365,"")</f>
        <v>65.6030528563667</v>
      </c>
      <c r="I389" s="87" t="n">
        <f aca="false">IFERROR(I360/I385*365,"")</f>
        <v>63.8020709691276</v>
      </c>
      <c r="J389" s="87" t="n">
        <f aca="false">IFERROR(J360/J385*365,"")</f>
        <v>66.0798135913167</v>
      </c>
      <c r="K389" s="87" t="n">
        <f aca="false">IFERROR(K360/K385*365,"")</f>
        <v>65.9914139161463</v>
      </c>
      <c r="L389" s="87" t="n">
        <f aca="false">IFERROR(L360/L385*365,"")</f>
        <v>68.4496970237034</v>
      </c>
      <c r="M389" s="87" t="n">
        <f aca="false">IFERROR(M360/M385*365,"")</f>
        <v>63.5071428571429</v>
      </c>
      <c r="N389" s="87" t="n">
        <f aca="false">IFERROR(N360/N385*365,"")</f>
        <v>70.8531286843369</v>
      </c>
      <c r="O389" s="87" t="n">
        <f aca="false">IFERROR(O360/O385*365,"")</f>
        <v>69.5957778984524</v>
      </c>
      <c r="P389" s="87" t="n">
        <f aca="false">IFERROR(P360/P385*365,"")</f>
        <v>67.5516343774004</v>
      </c>
      <c r="Q389" s="87" t="n">
        <f aca="false">IFERROR(Q360/Q385*365,"")</f>
        <v>68.1501685293596</v>
      </c>
      <c r="R389" s="87" t="n">
        <f aca="false">IFERROR(R360/R385*365,"")</f>
        <v>66.7891439278604</v>
      </c>
      <c r="S389" s="87" t="n">
        <f aca="false">IFERROR(S360/S385*365,"")</f>
        <v>73.8954153799642</v>
      </c>
      <c r="T389" s="87" t="n">
        <f aca="false">IFERROR(T360/T385*365,"")</f>
        <v>70.9959016393443</v>
      </c>
      <c r="U389" s="87" t="n">
        <f aca="false">IFERROR(U360/U385*365,"")</f>
        <v>68.7113051549953</v>
      </c>
      <c r="V389" s="87" t="n">
        <f aca="false">IFERROR(V360/V385*365,"")</f>
        <v>102.55760439832</v>
      </c>
      <c r="W389" s="87" t="n">
        <f aca="false">IFERROR(W360/W385*365,"")</f>
        <v>90.5079146093523</v>
      </c>
      <c r="X389" s="87" t="n">
        <f aca="false">IFERROR(X360/X385*365,"")</f>
        <v>112.25122324618</v>
      </c>
      <c r="Y389" s="87" t="n">
        <f aca="false">IFERROR(Y360/Y385*365,"")</f>
        <v>99.6644467213115</v>
      </c>
      <c r="Z389" s="87" t="n">
        <f aca="false">IFERROR(Z360/Z385*365,"")</f>
        <v>97.7531441470494</v>
      </c>
      <c r="AA389" s="87" t="n">
        <f aca="false">IFERROR(AA360/AA385*365,"")</f>
        <v>66.9509371106657</v>
      </c>
      <c r="AB389" s="87" t="n">
        <f aca="false">IFERROR(AB360/AB385*365,"")</f>
        <v>65.0128340450031</v>
      </c>
      <c r="AC389" s="87" t="n">
        <f aca="false">IFERROR(AC360/AC385*365,"")</f>
        <v>71.8123161715997</v>
      </c>
      <c r="AD389" s="87" t="n">
        <f aca="false">IFERROR(AD360/AD385*365,"")</f>
        <v>68.3716736133376</v>
      </c>
      <c r="AE389" s="87" t="n">
        <f aca="false">IFERROR(AE360/AE385*365,"")</f>
        <v>64.2142962816846</v>
      </c>
      <c r="AF389" s="87" t="n">
        <f aca="false">IFERROR(AF360/AF385*365,"")</f>
        <v>68.8155317866827</v>
      </c>
      <c r="AG389" s="87" t="n">
        <f aca="false">IFERROR(AG360/AG385*365,"")</f>
        <v>61.3275060090804</v>
      </c>
      <c r="AH389" s="87" t="n">
        <f aca="false">IFERROR(AH360/AH385*365,"")</f>
        <v>67.7276581625129</v>
      </c>
      <c r="AI389" s="87" t="n">
        <f aca="false">IFERROR(AI360/AI385*365,"")</f>
        <v>70.2230967930597</v>
      </c>
      <c r="AJ389" s="87" t="n">
        <f aca="false">IFERROR(AJ360/AJ385*365,"")</f>
        <v>66.9225703590739</v>
      </c>
      <c r="AK389" s="87" t="n">
        <f aca="false">IFERROR(AK360/AK385*365,"")</f>
        <v>66.2286137057246</v>
      </c>
      <c r="AL389" s="87" t="n">
        <f aca="false">IFERROR(AL360/AL385*365,"")</f>
        <v>75.4746957697508</v>
      </c>
      <c r="AM389" s="87" t="n">
        <f aca="false">IFERROR(AM360/AM385*365,"")</f>
        <v>82.8788842931382</v>
      </c>
      <c r="AN389" s="87" t="n">
        <f aca="false">IFERROR(AN360/AN385*365,"")</f>
        <v>81.9992762558302</v>
      </c>
      <c r="AO389" s="87" t="n">
        <f aca="false">IFERROR(AO360/AO385*365,"")</f>
        <v>77.4463839445096</v>
      </c>
      <c r="AP389" s="87" t="n">
        <f aca="false">IFERROR(AP360/AP385*365,"")</f>
        <v>75.7102654136115</v>
      </c>
      <c r="AQ389" s="87" t="n">
        <f aca="false">IFERROR(AQ360/AQ385*365,"")</f>
        <v>63.834534368071</v>
      </c>
      <c r="AR389" s="87" t="n">
        <f aca="false">IFERROR(AR360/AR385*365,"")</f>
        <v>69.7272750208139</v>
      </c>
      <c r="AS389" s="87" t="n">
        <f aca="false">IFERROR(AS360/AS385*365,"")</f>
        <v>83.9511524496132</v>
      </c>
      <c r="AT389" s="87" t="n">
        <f aca="false">IFERROR(AT360/AT385*365,"")</f>
        <v>59.6663326243455</v>
      </c>
      <c r="AU389" s="87" t="n">
        <f aca="false">IFERROR(AU360/AU385*365,"")</f>
        <v>57.6230857508372</v>
      </c>
      <c r="AV389" s="87" t="n">
        <f aca="false">IFERROR(AV360/AV385*365,"")</f>
        <v>66.6326621525303</v>
      </c>
      <c r="AW389" s="87" t="n">
        <f aca="false">IFERROR(AW360/AW385*365,"")</f>
        <v>76.2447752064431</v>
      </c>
      <c r="AX389" s="87" t="n">
        <f aca="false">IFERROR(AX360/AX385*365,"")</f>
        <v>69.6722648752399</v>
      </c>
      <c r="AY389" s="87" t="n">
        <f aca="false">IFERROR(AY360/AY385*365,"")</f>
        <v>63.6259305210918</v>
      </c>
      <c r="AZ389" s="87" t="n">
        <f aca="false">IFERROR(AZ360/AZ385*365,"")</f>
        <v>67.8175087108014</v>
      </c>
      <c r="BA389" s="87" t="n">
        <f aca="false">IFERROR(BA360/BA385*365,"")</f>
        <v>73.1423556942278</v>
      </c>
      <c r="BB389" s="87" t="n">
        <f aca="false">IFERROR(BB360/BB385*365,"")</f>
        <v>81.5307364576993</v>
      </c>
      <c r="BC389" s="87" t="n">
        <f aca="false">IFERROR(BC360/BC385*365,"")</f>
        <v>72.1006537043245</v>
      </c>
      <c r="BD389" s="87" t="n">
        <f aca="false">IFERROR(BD360/BD385*365,"")</f>
        <v>72.8494224422442</v>
      </c>
      <c r="BE389" s="87" t="n">
        <f aca="false">IFERROR(BE360/BE385*365,"")</f>
        <v>64.9330139655732</v>
      </c>
      <c r="BF389" s="87" t="n">
        <f aca="false">IFERROR(BF360/BF385*365,"")</f>
        <v>72.0460797799175</v>
      </c>
      <c r="BG389" s="87" t="n">
        <f aca="false">IFERROR(BG360/BG385*365,"")</f>
        <v>80.156862745098</v>
      </c>
      <c r="BH389" s="87" t="n">
        <f aca="false">IFERROR(BH360/BH385*365,"")</f>
        <v>83.0307170966331</v>
      </c>
      <c r="BI389" s="87" t="n">
        <f aca="false">IFERROR(BI360/BI385*365,"")</f>
        <v>68.8068619892059</v>
      </c>
      <c r="BJ389" s="87" t="n">
        <f aca="false">IFERROR(BJ360/BJ385*365,"")</f>
        <v>73.5749255002129</v>
      </c>
      <c r="BK389" s="87" t="n">
        <f aca="false">IFERROR(BK360/BK385*365,"")</f>
        <v>61.3661462300076</v>
      </c>
      <c r="BL389" s="87" t="n">
        <f aca="false">IFERROR(BL360/BL385*365,"")</f>
        <v>65.4007711038961</v>
      </c>
      <c r="BM389" s="87" t="n">
        <f aca="false">IFERROR(BM360/BM385*365,"")</f>
        <v>66.3528583802512</v>
      </c>
      <c r="BN389" s="87" t="n">
        <f aca="false">IFERROR(BN360/BN385*365,"")</f>
        <v>64.8407127429806</v>
      </c>
      <c r="BO389" s="87" t="n">
        <f aca="false">IFERROR(BO360/BO385*365,"")</f>
        <v>60.7571964956195</v>
      </c>
      <c r="BP389" s="87" t="n">
        <f aca="false">IFERROR(BP360/BP385*365,"")</f>
        <v>60.4083270392749</v>
      </c>
      <c r="BQ389" s="87" t="n">
        <f aca="false">IFERROR(BQ360/BQ385*365,"")</f>
        <v>66.17488881994</v>
      </c>
      <c r="BR389" s="87" t="n">
        <f aca="false">IFERROR(BR360/BR385*365,"")</f>
        <v>70.4630044843049</v>
      </c>
      <c r="BS389" s="87" t="n">
        <f aca="false">IFERROR(BS360/BS385*365,"")</f>
        <v>65.232594280978</v>
      </c>
      <c r="BT389" s="87" t="n">
        <f aca="false">IFERROR(BT360/BT385*365,"")</f>
        <v>61.2420948616601</v>
      </c>
      <c r="BU389" s="87" t="n">
        <f aca="false">IFERROR(BU360/BU385*365,"")</f>
        <v>58.5880919220056</v>
      </c>
      <c r="BV389" s="87" t="n">
        <f aca="false">IFERROR(BV360/BV385*365,"")</f>
        <v>67.0044798407168</v>
      </c>
      <c r="BW389" s="87" t="n">
        <f aca="false">IFERROR(BW360/BW385*365,"")</f>
        <v>69.2108050847458</v>
      </c>
      <c r="BX389" s="87" t="n">
        <f aca="false">IFERROR(BX360/BX385*365,"")</f>
        <v>62.6441220798794</v>
      </c>
      <c r="BY389" s="45"/>
      <c r="BZ389" s="45"/>
      <c r="CA389" s="88" t="n">
        <v>67</v>
      </c>
      <c r="CB389" s="88" t="n">
        <v>67</v>
      </c>
      <c r="CC389" s="88" t="n">
        <v>67</v>
      </c>
      <c r="CD389" s="88" t="n">
        <v>67</v>
      </c>
      <c r="CE389" s="88" t="n">
        <v>67</v>
      </c>
      <c r="CF389" s="37"/>
    </row>
    <row r="390" customFormat="false" ht="15" hidden="false" customHeight="true" outlineLevel="0" collapsed="false">
      <c r="B390" s="27" t="s">
        <v>573</v>
      </c>
      <c r="C390" s="42" t="n">
        <f aca="false">IFERROR(C361/C384,"")</f>
        <v>0.158079885063543</v>
      </c>
      <c r="D390" s="42" t="n">
        <f aca="false">IFERROR(D361/D384,"")</f>
        <v>0.130946226611887</v>
      </c>
      <c r="E390" s="42" t="n">
        <f aca="false">IFERROR(E361/E384,"")</f>
        <v>0.123646387084072</v>
      </c>
      <c r="F390" s="42" t="n">
        <f aca="false">IFERROR(F361/F384,"")</f>
        <v>0.148888233243033</v>
      </c>
      <c r="G390" s="42" t="n">
        <f aca="false">IFERROR(G361/G384,"")</f>
        <v>0.163203187250996</v>
      </c>
      <c r="H390" s="42" t="n">
        <f aca="false">IFERROR(H361/H384,"")</f>
        <v>0.164768030825642</v>
      </c>
      <c r="I390" s="42" t="n">
        <f aca="false">IFERROR(I361/I384,"")</f>
        <v>0.142620095945324</v>
      </c>
      <c r="J390" s="42" t="n">
        <f aca="false">IFERROR(J361/J384,"")</f>
        <v>0.130773730510496</v>
      </c>
      <c r="K390" s="42" t="n">
        <f aca="false">IFERROR(K361/K384,"")</f>
        <v>0.129667546174142</v>
      </c>
      <c r="L390" s="42" t="n">
        <f aca="false">IFERROR(L361/L384,"")</f>
        <v>0.135963033561072</v>
      </c>
      <c r="M390" s="42" t="n">
        <f aca="false">IFERROR(M361/M384,"")</f>
        <v>0.127541914291682</v>
      </c>
      <c r="N390" s="42" t="n">
        <f aca="false">IFERROR(N361/N384,"")</f>
        <v>0.140542943822576</v>
      </c>
      <c r="O390" s="42" t="n">
        <f aca="false">IFERROR(O361/O384,"")</f>
        <v>0.136986081026015</v>
      </c>
      <c r="P390" s="42" t="n">
        <f aca="false">IFERROR(P361/P384,"")</f>
        <v>0.132106737045693</v>
      </c>
      <c r="Q390" s="42" t="n">
        <f aca="false">IFERROR(Q361/Q384,"")</f>
        <v>0.144234241889911</v>
      </c>
      <c r="R390" s="42" t="n">
        <f aca="false">IFERROR(R361/R384,"")</f>
        <v>0.165073121243444</v>
      </c>
      <c r="S390" s="42" t="n">
        <f aca="false">IFERROR(S361/S384,"")</f>
        <v>0.180092930980474</v>
      </c>
      <c r="T390" s="42" t="n">
        <f aca="false">IFERROR(T361/T384,"")</f>
        <v>0.164904040726777</v>
      </c>
      <c r="U390" s="42" t="n">
        <f aca="false">IFERROR(U361/U384,"")</f>
        <v>0.161354380871739</v>
      </c>
      <c r="V390" s="42" t="n">
        <f aca="false">IFERROR(V361/V384,"")</f>
        <v>0.233080405443881</v>
      </c>
      <c r="W390" s="42" t="n">
        <f aca="false">IFERROR(W361/W384,"")</f>
        <v>0.189463335646542</v>
      </c>
      <c r="X390" s="42" t="n">
        <f aca="false">IFERROR(X361/X384,"")</f>
        <v>0.226982686352079</v>
      </c>
      <c r="Y390" s="42" t="n">
        <f aca="false">IFERROR(Y361/Y384,"")</f>
        <v>0.204218801763462</v>
      </c>
      <c r="Z390" s="42" t="n">
        <f aca="false">IFERROR(Z361/Z384,"")</f>
        <v>0.199686461255569</v>
      </c>
      <c r="AA390" s="42" t="n">
        <f aca="false">IFERROR(AA361/AA384,"")</f>
        <v>0.157292901914281</v>
      </c>
      <c r="AB390" s="42" t="n">
        <f aca="false">IFERROR(AB361/AB384,"")</f>
        <v>0.152378771022839</v>
      </c>
      <c r="AC390" s="42" t="n">
        <f aca="false">IFERROR(AC361/AC384,"")</f>
        <v>0.165509643178695</v>
      </c>
      <c r="AD390" s="42" t="n">
        <f aca="false">IFERROR(AD361/AD384,"")</f>
        <v>0.141468721021471</v>
      </c>
      <c r="AE390" s="42" t="n">
        <f aca="false">IFERROR(AE361/AE384,"")</f>
        <v>0.144459102902375</v>
      </c>
      <c r="AF390" s="42" t="n">
        <f aca="false">IFERROR(AF361/AF384,"")</f>
        <v>0.149259087496135</v>
      </c>
      <c r="AG390" s="42" t="n">
        <f aca="false">IFERROR(AG361/AG384,"")</f>
        <v>0.151783431975933</v>
      </c>
      <c r="AH390" s="42" t="n">
        <f aca="false">IFERROR(AH361/AH384,"")</f>
        <v>0.168453384397999</v>
      </c>
      <c r="AI390" s="42" t="n">
        <f aca="false">IFERROR(AI361/AI384,"")</f>
        <v>0.147229203049793</v>
      </c>
      <c r="AJ390" s="42" t="n">
        <f aca="false">IFERROR(AJ361/AJ384,"")</f>
        <v>0.142707287693234</v>
      </c>
      <c r="AK390" s="42" t="n">
        <f aca="false">IFERROR(AK361/AK384,"")</f>
        <v>0.146087037151511</v>
      </c>
      <c r="AL390" s="42" t="n">
        <f aca="false">IFERROR(AL361/AL384,"")</f>
        <v>0.167059398414594</v>
      </c>
      <c r="AM390" s="42" t="n">
        <f aca="false">IFERROR(AM361/AM384,"")</f>
        <v>0.18047922104584</v>
      </c>
      <c r="AN390" s="42" t="n">
        <f aca="false">IFERROR(AN361/AN384,"")</f>
        <v>0.172977584000758</v>
      </c>
      <c r="AO390" s="42" t="n">
        <f aca="false">IFERROR(AO361/AO384,"")</f>
        <v>0.179446506918664</v>
      </c>
      <c r="AP390" s="42" t="n">
        <f aca="false">IFERROR(AP361/AP384,"")</f>
        <v>0.186078117862037</v>
      </c>
      <c r="AQ390" s="42" t="n">
        <f aca="false">IFERROR(AQ361/AQ384,"")</f>
        <v>0.164597198258155</v>
      </c>
      <c r="AR390" s="42" t="n">
        <f aca="false">IFERROR(AR361/AR384,"")</f>
        <v>0.178956066349917</v>
      </c>
      <c r="AS390" s="42" t="n">
        <f aca="false">IFERROR(AS361/AS384,"")</f>
        <v>0.200490433100781</v>
      </c>
      <c r="AT390" s="42" t="n">
        <f aca="false">IFERROR(AT361/AT384,"")</f>
        <v>0.188021482236569</v>
      </c>
      <c r="AU390" s="42" t="n">
        <f aca="false">IFERROR(AU361/AU384,"")</f>
        <v>0.184440440576557</v>
      </c>
      <c r="AV390" s="42" t="n">
        <f aca="false">IFERROR(AV361/AV384,"")</f>
        <v>0.197559171597633</v>
      </c>
      <c r="AW390" s="42" t="n">
        <f aca="false">IFERROR(AW361/AW384,"")</f>
        <v>0.239723568479627</v>
      </c>
      <c r="AX390" s="42" t="n">
        <f aca="false">IFERROR(AX361/AX384,"")</f>
        <v>0.175889472149315</v>
      </c>
      <c r="AY390" s="42" t="n">
        <f aca="false">IFERROR(AY361/AY384,"")</f>
        <v>0.167463286228872</v>
      </c>
      <c r="AZ390" s="42" t="n">
        <f aca="false">IFERROR(AZ361/AZ384,"")</f>
        <v>0.176960852123392</v>
      </c>
      <c r="BA390" s="42" t="n">
        <f aca="false">IFERROR(BA361/BA384,"")</f>
        <v>0.170686057928326</v>
      </c>
      <c r="BB390" s="42" t="n">
        <f aca="false">IFERROR(BB361/BB384,"")</f>
        <v>0.188877194173768</v>
      </c>
      <c r="BC390" s="42" t="n">
        <f aca="false">IFERROR(BC361/BC384,"")</f>
        <v>0.168444328824142</v>
      </c>
      <c r="BD390" s="42" t="n">
        <f aca="false">IFERROR(BD361/BD384,"")</f>
        <v>0.16536575925687</v>
      </c>
      <c r="BE390" s="42" t="n">
        <f aca="false">IFERROR(BE361/BE384,"")</f>
        <v>0.166579668537126</v>
      </c>
      <c r="BF390" s="42" t="n">
        <f aca="false">IFERROR(BF361/BF384,"")</f>
        <v>0.192809083263246</v>
      </c>
      <c r="BG390" s="42" t="n">
        <f aca="false">IFERROR(BG361/BG384,"")</f>
        <v>0.206508276095034</v>
      </c>
      <c r="BH390" s="42" t="n">
        <f aca="false">IFERROR(BH361/BH384,"")</f>
        <v>0.213397209615061</v>
      </c>
      <c r="BI390" s="42" t="n">
        <f aca="false">IFERROR(BI361/BI384,"")</f>
        <v>0.205429634641407</v>
      </c>
      <c r="BJ390" s="42" t="n">
        <f aca="false">IFERROR(BJ361/BJ384,"")</f>
        <v>0.21897226173542</v>
      </c>
      <c r="BK390" s="42" t="n">
        <f aca="false">IFERROR(BK361/BK384,"")</f>
        <v>0.187861046057767</v>
      </c>
      <c r="BL390" s="42" t="n">
        <f aca="false">IFERROR(BL361/BL384,"")</f>
        <v>0.201465048137296</v>
      </c>
      <c r="BM390" s="42" t="n">
        <f aca="false">IFERROR(BM361/BM384,"")</f>
        <v>0.187758799171843</v>
      </c>
      <c r="BN390" s="42" t="n">
        <f aca="false">IFERROR(BN361/BN384,"")</f>
        <v>0.189578617447327</v>
      </c>
      <c r="BO390" s="42" t="n">
        <f aca="false">IFERROR(BO361/BO384,"")</f>
        <v>0.195886512590548</v>
      </c>
      <c r="BP390" s="42" t="n">
        <f aca="false">IFERROR(BP361/BP384,"")</f>
        <v>0.173600489446314</v>
      </c>
      <c r="BQ390" s="42" t="n">
        <f aca="false">IFERROR(BQ361/BQ384,"")</f>
        <v>0.190157068062827</v>
      </c>
      <c r="BR390" s="42" t="n">
        <f aca="false">IFERROR(BR361/BR384,"")</f>
        <v>0.192562271381292</v>
      </c>
      <c r="BS390" s="42" t="n">
        <f aca="false">IFERROR(BS361/BS384,"")</f>
        <v>0.19225909703504</v>
      </c>
      <c r="BT390" s="42" t="n">
        <f aca="false">IFERROR(BT361/BT384,"")</f>
        <v>0.19011234098794</v>
      </c>
      <c r="BU390" s="42" t="n">
        <f aca="false">IFERROR(BU361/BU384,"")</f>
        <v>0.181376133372331</v>
      </c>
      <c r="BV390" s="42" t="n">
        <f aca="false">IFERROR(BV361/BV384,"")</f>
        <v>0.201929338977532</v>
      </c>
      <c r="BW390" s="42" t="n">
        <f aca="false">IFERROR(BW361/BW384,"")</f>
        <v>0.199420265501596</v>
      </c>
      <c r="BX390" s="42" t="n">
        <f aca="false">IFERROR(BX361/BX384,"")</f>
        <v>0.194413407821229</v>
      </c>
      <c r="BY390" s="31"/>
      <c r="BZ390" s="31"/>
      <c r="CA390" s="35" t="n">
        <v>0.202</v>
      </c>
      <c r="CB390" s="35" t="n">
        <v>0.202</v>
      </c>
      <c r="CC390" s="35" t="n">
        <v>0.202</v>
      </c>
      <c r="CD390" s="35" t="n">
        <v>0.202</v>
      </c>
      <c r="CE390" s="35" t="n">
        <v>0.202</v>
      </c>
      <c r="CF390" s="7" t="s">
        <v>574</v>
      </c>
    </row>
    <row r="391" customFormat="false" ht="15" hidden="false" customHeight="true" outlineLevel="0" collapsed="false">
      <c r="B391" s="27" t="s">
        <v>575</v>
      </c>
      <c r="C391" s="51" t="n">
        <f aca="false">IF(ISNUMBER(C349),C349+C350-C360-N(C361),"")</f>
        <v>231.7</v>
      </c>
      <c r="D391" s="51" t="n">
        <f aca="false">IF(ISNUMBER(D349),D349+D350-D360-N(D361),"")</f>
        <v>608.6</v>
      </c>
      <c r="E391" s="51" t="n">
        <f aca="false">IF(ISNUMBER(E349),E349+E350-E360-N(E361),"")</f>
        <v>357.9</v>
      </c>
      <c r="F391" s="51" t="n">
        <f aca="false">IF(ISNUMBER(F349),F349+F350-F360-N(F361),"")</f>
        <v>193</v>
      </c>
      <c r="G391" s="51" t="n">
        <f aca="false">IF(ISNUMBER(G349),G349+G350-G360-N(G361),"")</f>
        <v>180.2</v>
      </c>
      <c r="H391" s="51" t="n">
        <f aca="false">IF(ISNUMBER(H349),H349+H350-H360-N(H361),"")</f>
        <v>757.7</v>
      </c>
      <c r="I391" s="51" t="n">
        <f aca="false">IF(ISNUMBER(I349),I349+I350-I360-N(I361),"")</f>
        <v>930.1</v>
      </c>
      <c r="J391" s="51" t="n">
        <f aca="false">IF(ISNUMBER(J349),J349+J350-J360-N(J361),"")</f>
        <v>1125.3</v>
      </c>
      <c r="K391" s="51" t="n">
        <f aca="false">IF(ISNUMBER(K349),K349+K350-K360-N(K361),"")</f>
        <v>1113.8</v>
      </c>
      <c r="L391" s="51" t="n">
        <f aca="false">IF(ISNUMBER(L349),L349+L350-L360-N(L361),"")</f>
        <v>1115.5</v>
      </c>
      <c r="M391" s="51" t="n">
        <f aca="false">IF(ISNUMBER(M349),M349+M350-M360-N(M361),"")</f>
        <v>770.000000000001</v>
      </c>
      <c r="N391" s="51" t="n">
        <f aca="false">IF(ISNUMBER(N349),N349+N350-N360-N(N361),"")</f>
        <v>770.000000000001</v>
      </c>
      <c r="O391" s="51" t="n">
        <f aca="false">IF(ISNUMBER(O349),O349+O350-O360-N(O361),"")</f>
        <v>1098.6</v>
      </c>
      <c r="P391" s="51" t="n">
        <f aca="false">IF(ISNUMBER(P349),P349+P350-P360-N(P361),"")</f>
        <v>1168.3</v>
      </c>
      <c r="Q391" s="51" t="n">
        <f aca="false">IF(ISNUMBER(Q349),Q349+Q350-Q360-N(Q361),"")</f>
        <v>972.400000000001</v>
      </c>
      <c r="R391" s="51" t="n">
        <f aca="false">IF(ISNUMBER(R349),R349+R350-R360-N(R361),"")</f>
        <v>140.8</v>
      </c>
      <c r="S391" s="51" t="n">
        <f aca="false">IF(ISNUMBER(S349),S349+S350-S360-N(S361),"")</f>
        <v>140.8</v>
      </c>
      <c r="T391" s="51" t="n">
        <f aca="false">IF(ISNUMBER(T349),T349+T350-T360-N(T361),"")</f>
        <v>515.1</v>
      </c>
      <c r="U391" s="51" t="n">
        <f aca="false">IF(ISNUMBER(U349),U349+U350-U360-N(U361),"")</f>
        <v>531.9</v>
      </c>
      <c r="V391" s="51" t="n">
        <f aca="false">IF(ISNUMBER(V349),V349+V350-V360-N(V361),"")</f>
        <v>1152.8</v>
      </c>
      <c r="W391" s="51" t="n">
        <f aca="false">IF(ISNUMBER(W349),W349+W350-W360-N(W361),"")</f>
        <v>734.3</v>
      </c>
      <c r="X391" s="51" t="n">
        <f aca="false">IF(ISNUMBER(X349),X349+X350-X360-N(X361),"")</f>
        <v>734.3</v>
      </c>
      <c r="Y391" s="51" t="n">
        <f aca="false">IF(ISNUMBER(Y349),Y349+Y350-Y360-N(Y361),"")</f>
        <v>984.6</v>
      </c>
      <c r="Z391" s="51" t="n">
        <f aca="false">IF(ISNUMBER(Z349),Z349+Z350-Z360-N(Z361),"")</f>
        <v>853.6</v>
      </c>
      <c r="AA391" s="51" t="n">
        <f aca="false">IF(ISNUMBER(AA349),AA349+AA350-AA360-N(AA361),"")</f>
        <v>839.7</v>
      </c>
      <c r="AB391" s="51" t="n">
        <f aca="false">IF(ISNUMBER(AB349),AB349+AB350-AB360-N(AB361),"")</f>
        <v>616.3</v>
      </c>
      <c r="AC391" s="51" t="n">
        <f aca="false">IF(ISNUMBER(AC349),AC349+AC350-AC360-N(AC361),"")</f>
        <v>616.3</v>
      </c>
      <c r="AD391" s="51" t="n">
        <f aca="false">IF(ISNUMBER(AD349),AD349+AD350-AD360-N(AD361),"")</f>
        <v>1017.7</v>
      </c>
      <c r="AE391" s="51" t="n">
        <f aca="false">IF(ISNUMBER(AE349),AE349+AE350-AE360-N(AE361),"")</f>
        <v>973.4</v>
      </c>
      <c r="AF391" s="51" t="n">
        <f aca="false">IF(ISNUMBER(AF349),AF349+AF350-AF360-N(AF361),"")</f>
        <v>941.6</v>
      </c>
      <c r="AG391" s="51" t="n">
        <f aca="false">IF(ISNUMBER(AG349),AG349+AG350-AG360-N(AG361),"")</f>
        <v>765.000000000001</v>
      </c>
      <c r="AH391" s="51" t="n">
        <f aca="false">IF(ISNUMBER(AH349),AH349+AH350-AH360-N(AH361),"")</f>
        <v>765.000000000001</v>
      </c>
      <c r="AI391" s="51" t="n">
        <f aca="false">IF(ISNUMBER(AI349),AI349+AI350-AI360-N(AI361),"")</f>
        <v>875.6</v>
      </c>
      <c r="AJ391" s="51" t="n">
        <f aca="false">IF(ISNUMBER(AJ349),AJ349+AJ350-AJ360-N(AJ361),"")</f>
        <v>846.8</v>
      </c>
      <c r="AK391" s="51" t="n">
        <f aca="false">IF(ISNUMBER(AK349),AK349+AK350-AK360-N(AK361),"")</f>
        <v>947</v>
      </c>
      <c r="AL391" s="51" t="n">
        <f aca="false">IF(ISNUMBER(AL349),AL349+AL350-AL360-N(AL361),"")</f>
        <v>610</v>
      </c>
      <c r="AM391" s="51" t="n">
        <f aca="false">IF(ISNUMBER(AM349),AM349+AM350-AM360-N(AM361),"")</f>
        <v>610</v>
      </c>
      <c r="AN391" s="51" t="n">
        <f aca="false">IF(ISNUMBER(AN349),AN349+AN350-AN360-N(AN361),"")</f>
        <v>840.900000000001</v>
      </c>
      <c r="AO391" s="51" t="n">
        <f aca="false">IF(ISNUMBER(AO349),AO349+AO350-AO360-N(AO361),"")</f>
        <v>683.2</v>
      </c>
      <c r="AP391" s="51" t="n">
        <f aca="false">IF(ISNUMBER(AP349),AP349+AP350-AP360-N(AP361),"")</f>
        <v>625.4</v>
      </c>
      <c r="AQ391" s="51" t="n">
        <f aca="false">IF(ISNUMBER(AQ349),AQ349+AQ350-AQ360-N(AQ361),"")</f>
        <v>99.9999999999996</v>
      </c>
      <c r="AR391" s="51" t="n">
        <f aca="false">IF(ISNUMBER(AR349),AR349+AR350-AR360-N(AR361),"")</f>
        <v>99.9999999999996</v>
      </c>
      <c r="AS391" s="51" t="n">
        <f aca="false">IF(ISNUMBER(AS349),AS349+AS350-AS360-N(AS361),"")</f>
        <v>777</v>
      </c>
      <c r="AT391" s="51" t="n">
        <f aca="false">IF(ISNUMBER(AT349),AT349+AT350-AT360-N(AT361),"")</f>
        <v>388.600000000001</v>
      </c>
      <c r="AU391" s="51" t="n">
        <f aca="false">IF(ISNUMBER(AU349),AU349+AU350-AU360-N(AU361),"")</f>
        <v>-101.3</v>
      </c>
      <c r="AV391" s="51" t="n">
        <f aca="false">IF(ISNUMBER(AV349),AV349+AV350-AV360-N(AV361),"")</f>
        <v>-1054</v>
      </c>
      <c r="AW391" s="51" t="n">
        <f aca="false">IF(ISNUMBER(AW349),AW349+AW350-AW360-N(AW361),"")</f>
        <v>-1054</v>
      </c>
      <c r="AX391" s="51" t="n">
        <f aca="false">IF(ISNUMBER(AX349),AX349+AX350-AX360-N(AX361),"")</f>
        <v>-441</v>
      </c>
      <c r="AY391" s="51" t="n">
        <f aca="false">IF(ISNUMBER(AY349),AY349+AY350-AY360-N(AY361),"")</f>
        <v>-152</v>
      </c>
      <c r="AZ391" s="51" t="n">
        <f aca="false">IF(ISNUMBER(AZ349),AZ349+AZ350-AZ360-N(AZ361),"")</f>
        <v>-319</v>
      </c>
      <c r="BA391" s="51" t="n">
        <f aca="false">IF(ISNUMBER(BA349),BA349+BA350-BA360-N(BA361),"")</f>
        <v>-734</v>
      </c>
      <c r="BB391" s="51" t="n">
        <f aca="false">IF(ISNUMBER(BB349),BB349+BB350-BB360-N(BB361),"")</f>
        <v>-734</v>
      </c>
      <c r="BC391" s="51" t="n">
        <f aca="false">IF(ISNUMBER(BC349),BC349+BC350-BC360-N(BC361),"")</f>
        <v>-58</v>
      </c>
      <c r="BD391" s="51" t="n">
        <f aca="false">IF(ISNUMBER(BD349),BD349+BD350-BD360-N(BD361),"")</f>
        <v>238</v>
      </c>
      <c r="BE391" s="51" t="n">
        <f aca="false">IF(ISNUMBER(BE349),BE349+BE350-BE360-N(BE361),"")</f>
        <v>348</v>
      </c>
      <c r="BF391" s="51" t="n">
        <f aca="false">IF(ISNUMBER(BF349),BF349+BF350-BF360-N(BF361),"")</f>
        <v>230</v>
      </c>
      <c r="BG391" s="51" t="n">
        <f aca="false">IF(ISNUMBER(BG349),BG349+BG350-BG360-N(BG361),"")</f>
        <v>230</v>
      </c>
      <c r="BH391" s="51" t="n">
        <f aca="false">IF(ISNUMBER(BH349),BH349+BH350-BH360-N(BH361),"")</f>
        <v>537</v>
      </c>
      <c r="BI391" s="51" t="n">
        <f aca="false">IF(ISNUMBER(BI349),BI349+BI350-BI360-N(BI361),"")</f>
        <v>568</v>
      </c>
      <c r="BJ391" s="51" t="n">
        <f aca="false">IF(ISNUMBER(BJ349),BJ349+BJ350-BJ360-N(BJ361),"")</f>
        <v>405</v>
      </c>
      <c r="BK391" s="51" t="n">
        <f aca="false">IF(ISNUMBER(BK349),BK349+BK350-BK360-N(BK361),"")</f>
        <v>-63</v>
      </c>
      <c r="BL391" s="51" t="n">
        <f aca="false">IF(ISNUMBER(BL349),BL349+BL350-BL360-N(BL361),"")</f>
        <v>-63</v>
      </c>
      <c r="BM391" s="51" t="n">
        <f aca="false">IF(ISNUMBER(BM349),BM349+BM350-BM360-N(BM361),"")</f>
        <v>-8</v>
      </c>
      <c r="BN391" s="51" t="n">
        <f aca="false">IF(ISNUMBER(BN349),BN349+BN350-BN360-N(BN361),"")</f>
        <v>-31</v>
      </c>
      <c r="BO391" s="51" t="n">
        <f aca="false">IF(ISNUMBER(BO349),BO349+BO350-BO360-N(BO361),"")</f>
        <v>46</v>
      </c>
      <c r="BP391" s="51" t="n">
        <f aca="false">IF(ISNUMBER(BP349),BP349+BP350-BP360-N(BP361),"")</f>
        <v>-426</v>
      </c>
      <c r="BQ391" s="51" t="n">
        <f aca="false">IF(ISNUMBER(BQ349),BQ349+BQ350-BQ360-N(BQ361),"")</f>
        <v>-426</v>
      </c>
      <c r="BR391" s="51" t="n">
        <f aca="false">IF(ISNUMBER(BR349),BR349+BR350-BR360-N(BR361),"")</f>
        <v>-106</v>
      </c>
      <c r="BS391" s="51" t="n">
        <f aca="false">IF(ISNUMBER(BS349),BS349+BS350-BS360-N(BS361),"")</f>
        <v>-37</v>
      </c>
      <c r="BT391" s="51" t="n">
        <f aca="false">IF(ISNUMBER(BT349),BT349+BT350-BT360-N(BT361),"")</f>
        <v>128</v>
      </c>
      <c r="BU391" s="51" t="n">
        <f aca="false">IF(ISNUMBER(BU349),BU349+BU350-BU360-N(BU361),"")</f>
        <v>-403</v>
      </c>
      <c r="BV391" s="51" t="n">
        <f aca="false">IF(ISNUMBER(BV349),BV349+BV350-BV360-N(BV361),"")</f>
        <v>-403</v>
      </c>
      <c r="BW391" s="51" t="n">
        <f aca="false">IF(ISNUMBER(BW349),BW349+BW350-BW360-N(BW361),"")</f>
        <v>-110</v>
      </c>
      <c r="BX391" s="51" t="n">
        <f aca="false">IF(ISNUMBER(BX349),BX349+BX350-BX360-N(BX361),"")</f>
        <v>531</v>
      </c>
      <c r="BY391" s="45"/>
      <c r="BZ391" s="45"/>
      <c r="CA391" s="41" t="n">
        <f aca="false">IF(ISNUMBER(CA349),CA349+CA350-CA360-N(CA361),"")</f>
        <v>-459.246290231408</v>
      </c>
      <c r="CB391" s="41" t="n">
        <f aca="false">IF(ISNUMBER(CB349),CB349+CB350-CB360-N(CB361),"")</f>
        <v>-517.918363297285</v>
      </c>
      <c r="CC391" s="41" t="n">
        <f aca="false">IF(ISNUMBER(CC349),CC349+CC350-CC360-N(CC361),"")</f>
        <v>-568.973735715966</v>
      </c>
      <c r="CD391" s="41" t="n">
        <f aca="false">IF(ISNUMBER(CD349),CD349+CD350-CD360-N(CD361),"")</f>
        <v>-625.917348480347</v>
      </c>
      <c r="CE391" s="41" t="n">
        <f aca="false">IF(ISNUMBER(CE349),CE349+CE350-CE360-N(CE361),"")</f>
        <v>-699.682638519072</v>
      </c>
      <c r="CF391" s="37"/>
    </row>
    <row r="392" customFormat="false" ht="15" hidden="false" customHeight="true" outlineLevel="0" collapsed="false">
      <c r="B392" s="27" t="s">
        <v>576</v>
      </c>
      <c r="C392" s="42" t="n">
        <f aca="false">IFERROR(C391/C384,"")</f>
        <v>0.0244768172742735</v>
      </c>
      <c r="D392" s="42" t="n">
        <f aca="false">IFERROR(D391/D384,"")</f>
        <v>0.0551973081562503</v>
      </c>
      <c r="E392" s="42" t="n">
        <f aca="false">IFERROR(E391/E384,"")</f>
        <v>0.0281866509155345</v>
      </c>
      <c r="F392" s="42" t="n">
        <f aca="false">IFERROR(F391/F384,"")</f>
        <v>0.0172554068431546</v>
      </c>
      <c r="G392" s="42" t="n">
        <f aca="false">IFERROR(G391/G384,"")</f>
        <v>0.0143585657370518</v>
      </c>
      <c r="H392" s="42" t="n">
        <f aca="false">IFERROR(H391/H384,"")</f>
        <v>0.0470898977657624</v>
      </c>
      <c r="I392" s="42" t="n">
        <f aca="false">IFERROR(I391/I384,"")</f>
        <v>0.0509353573853804</v>
      </c>
      <c r="J392" s="42" t="n">
        <f aca="false">IFERROR(J391/J384,"")</f>
        <v>0.0632944855670799</v>
      </c>
      <c r="K392" s="42" t="n">
        <f aca="false">IFERROR(K391/K384,"")</f>
        <v>0.0587757255936675</v>
      </c>
      <c r="L392" s="42" t="n">
        <f aca="false">IFERROR(L391/L384,"")</f>
        <v>0.0597277847979268</v>
      </c>
      <c r="M392" s="42" t="n">
        <f aca="false">IFERROR(M391/M384,"")</f>
        <v>0.0365504015797369</v>
      </c>
      <c r="N392" s="42" t="n">
        <f aca="false">IFERROR(N391/N384,"")</f>
        <v>0.0402761795166859</v>
      </c>
      <c r="O392" s="42" t="n">
        <f aca="false">IFERROR(O391/O384,"")</f>
        <v>0.0589036395221652</v>
      </c>
      <c r="P392" s="42" t="n">
        <f aca="false">IFERROR(P391/P384,"")</f>
        <v>0.0588433798049802</v>
      </c>
      <c r="Q392" s="42" t="n">
        <f aca="false">IFERROR(Q391/Q384,"")</f>
        <v>0.0516453867561769</v>
      </c>
      <c r="R392" s="42" t="n">
        <f aca="false">IFERROR(R391/R384,"")</f>
        <v>0.0067378737414341</v>
      </c>
      <c r="S392" s="42" t="n">
        <f aca="false">IFERROR(S391/S384,"")</f>
        <v>0.00735094497232955</v>
      </c>
      <c r="T392" s="42" t="n">
        <f aca="false">IFERROR(T391/T384,"")</f>
        <v>0.0274298677231772</v>
      </c>
      <c r="U392" s="42" t="n">
        <f aca="false">IFERROR(U391/U384,"")</f>
        <v>0.0268083948227894</v>
      </c>
      <c r="V392" s="42" t="n">
        <f aca="false">IFERROR(V391/V384,"")</f>
        <v>0.0820568304766243</v>
      </c>
      <c r="W392" s="42" t="n">
        <f aca="false">IFERROR(W391/W384,"")</f>
        <v>0.0424647235715938</v>
      </c>
      <c r="X392" s="42" t="n">
        <f aca="false">IFERROR(X391/X384,"")</f>
        <v>0.050873996272612</v>
      </c>
      <c r="Y392" s="42" t="n">
        <f aca="false">IFERROR(Y391/Y384,"")</f>
        <v>0.0627277592314161</v>
      </c>
      <c r="Z392" s="42" t="n">
        <f aca="false">IFERROR(Z391/Z384,"")</f>
        <v>0.050307645159009</v>
      </c>
      <c r="AA392" s="42" t="n">
        <f aca="false">IFERROR(AA391/AA384,"")</f>
        <v>0.0508034655502045</v>
      </c>
      <c r="AB392" s="42" t="n">
        <f aca="false">IFERROR(AB391/AB384,"")</f>
        <v>0.0336092751346989</v>
      </c>
      <c r="AC392" s="42" t="n">
        <f aca="false">IFERROR(AC391/AC384,"")</f>
        <v>0.0365054731554755</v>
      </c>
      <c r="AD392" s="42" t="n">
        <f aca="false">IFERROR(AD391/AD384,"")</f>
        <v>0.0604952802149464</v>
      </c>
      <c r="AE392" s="42" t="n">
        <f aca="false">IFERROR(AE391/AE384,"")</f>
        <v>0.0539566750182923</v>
      </c>
      <c r="AF392" s="42" t="n">
        <f aca="false">IFERROR(AF391/AF384,"")</f>
        <v>0.0519853363367342</v>
      </c>
      <c r="AG392" s="42" t="n">
        <f aca="false">IFERROR(AG391/AG384,"")</f>
        <v>0.0376054427119178</v>
      </c>
      <c r="AH392" s="42" t="n">
        <f aca="false">IFERROR(AH391/AH384,"")</f>
        <v>0.0417355439532562</v>
      </c>
      <c r="AI392" s="42" t="n">
        <f aca="false">IFERROR(AI391/AI384,"")</f>
        <v>0.046620096264429</v>
      </c>
      <c r="AJ392" s="42" t="n">
        <f aca="false">IFERROR(AJ391/AJ384,"")</f>
        <v>0.0425015057217426</v>
      </c>
      <c r="AK392" s="42" t="n">
        <f aca="false">IFERROR(AK391/AK384,"")</f>
        <v>0.0487832519420577</v>
      </c>
      <c r="AL392" s="42" t="n">
        <f aca="false">IFERROR(AL391/AL384,"")</f>
        <v>0.0331197741339993</v>
      </c>
      <c r="AM392" s="42" t="n">
        <f aca="false">IFERROR(AM391/AM384,"")</f>
        <v>0.0357802739243922</v>
      </c>
      <c r="AN392" s="42" t="n">
        <f aca="false">IFERROR(AN391/AN384,"")</f>
        <v>0.0498139898583006</v>
      </c>
      <c r="AO392" s="42" t="n">
        <f aca="false">IFERROR(AO391/AO384,"")</f>
        <v>0.0384295196310046</v>
      </c>
      <c r="AP392" s="42" t="n">
        <f aca="false">IFERROR(AP391/AP384,"")</f>
        <v>0.0357126541799909</v>
      </c>
      <c r="AQ392" s="42" t="n">
        <f aca="false">IFERROR(AQ391/AQ384,"")</f>
        <v>0.00513515734122091</v>
      </c>
      <c r="AR392" s="42" t="n">
        <f aca="false">IFERROR(AR391/AR384,"")</f>
        <v>0.00558313001434862</v>
      </c>
      <c r="AS392" s="42" t="n">
        <f aca="false">IFERROR(AS391/AS384,"")</f>
        <v>0.0447261172894937</v>
      </c>
      <c r="AT392" s="42" t="n">
        <f aca="false">IFERROR(AT391/AT384,"")</f>
        <v>0.018339185260694</v>
      </c>
      <c r="AU392" s="42" t="n">
        <f aca="false">IFERROR(AU391/AU384,"")</f>
        <v>-0.00430463013326082</v>
      </c>
      <c r="AV392" s="42" t="n">
        <f aca="false">IFERROR(AV391/AV384,"")</f>
        <v>-0.0389792899408284</v>
      </c>
      <c r="AW392" s="42" t="n">
        <f aca="false">IFERROR(AW391/AW384,"")</f>
        <v>-0.0472985101418058</v>
      </c>
      <c r="AX392" s="42" t="n">
        <f aca="false">IFERROR(AX391/AX384,"")</f>
        <v>-0.0160761154855643</v>
      </c>
      <c r="AY392" s="42" t="n">
        <f aca="false">IFERROR(AY391/AY384,"")</f>
        <v>-0.00526461623718482</v>
      </c>
      <c r="AZ392" s="42" t="n">
        <f aca="false">IFERROR(AZ391/AZ384,"")</f>
        <v>-0.011031954627196</v>
      </c>
      <c r="BA392" s="42" t="n">
        <f aca="false">IFERROR(BA391/BA384,"")</f>
        <v>-0.0225208640157094</v>
      </c>
      <c r="BB392" s="42" t="n">
        <f aca="false">IFERROR(BB391/BB384,"")</f>
        <v>-0.0249210606729365</v>
      </c>
      <c r="BC392" s="42" t="n">
        <f aca="false">IFERROR(BC391/BC384,"")</f>
        <v>-0.00188605619146722</v>
      </c>
      <c r="BD392" s="42" t="n">
        <f aca="false">IFERROR(BD391/BD384,"")</f>
        <v>0.00767642884789059</v>
      </c>
      <c r="BE392" s="42" t="n">
        <f aca="false">IFERROR(BE391/BE384,"")</f>
        <v>0.011353255904998</v>
      </c>
      <c r="BF392" s="42" t="n">
        <f aca="false">IFERROR(BF391/BF384,"")</f>
        <v>0.00805999439304738</v>
      </c>
      <c r="BG392" s="42" t="n">
        <f aca="false">IFERROR(BG391/BG384,"")</f>
        <v>0.00863266148706978</v>
      </c>
      <c r="BH392" s="42" t="n">
        <f aca="false">IFERROR(BH391/BH384,"")</f>
        <v>0.0225668179525971</v>
      </c>
      <c r="BI392" s="42" t="n">
        <f aca="false">IFERROR(BI391/BI384,"")</f>
        <v>0.0240189445196211</v>
      </c>
      <c r="BJ392" s="42" t="n">
        <f aca="false">IFERROR(BJ391/BJ384,"")</f>
        <v>0.01800320056899</v>
      </c>
      <c r="BK392" s="42" t="n">
        <f aca="false">IFERROR(BK391/BK384,"")</f>
        <v>-0.00245901639344262</v>
      </c>
      <c r="BL392" s="42" t="n">
        <f aca="false">IFERROR(BL391/BL384,"")</f>
        <v>-0.00263708664713269</v>
      </c>
      <c r="BM392" s="42" t="n">
        <f aca="false">IFERROR(BM391/BM384,"")</f>
        <v>-0.000345065562456867</v>
      </c>
      <c r="BN392" s="42" t="n">
        <f aca="false">IFERROR(BN391/BN384,"")</f>
        <v>-0.00134946891868361</v>
      </c>
      <c r="BO392" s="42" t="n">
        <f aca="false">IFERROR(BO391/BO384,"")</f>
        <v>0.00198344256640221</v>
      </c>
      <c r="BP392" s="42" t="n">
        <f aca="false">IFERROR(BP391/BP384,"")</f>
        <v>-0.0162893851330682</v>
      </c>
      <c r="BQ392" s="42" t="n">
        <f aca="false">IFERROR(BQ391/BQ384,"")</f>
        <v>-0.0178429319371728</v>
      </c>
      <c r="BR392" s="42" t="n">
        <f aca="false">IFERROR(BR391/BR384,"")</f>
        <v>-0.00461592057132904</v>
      </c>
      <c r="BS392" s="42" t="n">
        <f aca="false">IFERROR(BS391/BS384,"")</f>
        <v>-0.0015582884097035</v>
      </c>
      <c r="BT392" s="42" t="n">
        <f aca="false">IFERROR(BT391/BT384,"")</f>
        <v>0.00528663472658186</v>
      </c>
      <c r="BU392" s="42" t="n">
        <f aca="false">IFERROR(BU391/BU384,"")</f>
        <v>-0.0147338403041825</v>
      </c>
      <c r="BV392" s="42" t="n">
        <f aca="false">IFERROR(BV391/BV384,"")</f>
        <v>-0.0164034516444155</v>
      </c>
      <c r="BW392" s="42" t="n">
        <f aca="false">IFERROR(BW391/BW384,"")</f>
        <v>-0.00462107208872458</v>
      </c>
      <c r="BX392" s="42" t="n">
        <f aca="false">IFERROR(BX391/BX384,"")</f>
        <v>0.0211891460494812</v>
      </c>
      <c r="BY392" s="31"/>
      <c r="BZ392" s="31"/>
      <c r="CA392" s="26" t="n">
        <f aca="false">IFERROR(CA391/CA384,"")</f>
        <v>-0.0173310826669096</v>
      </c>
      <c r="CB392" s="26" t="n">
        <f aca="false">IFERROR(CB391/CB384,"")</f>
        <v>-0.0178680256528281</v>
      </c>
      <c r="CC392" s="26" t="n">
        <f aca="false">IFERROR(CC391/CC384,"")</f>
        <v>-0.0184225912341281</v>
      </c>
      <c r="CD392" s="26" t="n">
        <f aca="false">IFERROR(CD391/CD384,"")</f>
        <v>-0.0189253065337665</v>
      </c>
      <c r="CE392" s="26" t="n">
        <f aca="false">IFERROR(CE391/CE384,"")</f>
        <v>-0.0197461463515986</v>
      </c>
      <c r="CF392" s="7"/>
      <c r="CH392" s="32" t="n">
        <f aca="false">IFERROR(AVERAGE(CA392,CB392,CC392,CD392,CE392),"n/m")</f>
        <v>-0.0184586304878462</v>
      </c>
      <c r="CI392" s="32" t="n">
        <f aca="false">IFERROR(AVERAGE(BB392,BG392,BL392,BQ392,BV392),"n/m")</f>
        <v>-0.0106343738829175</v>
      </c>
      <c r="CJ392" s="32" t="n">
        <f aca="false">IFERROR(AVERAGE(AC392,AH392,AM392,AR392,AW392,BB392,BG392,BL392,BQ392,BV392),"n/m")</f>
        <v>0.0019134041491079</v>
      </c>
      <c r="CK392" s="32" t="n">
        <f aca="false">IFERROR(AVERAGE(C392,D392,E392,F392,G392,H392,I392,N392,S392,X392,AC392,AH392,AM392,AR392,AW392,BB392,BG392,BL392,BQ392,BV392),"n/m")</f>
        <v>0.0177567583165057</v>
      </c>
    </row>
    <row r="393" customFormat="false" ht="15" hidden="false" customHeight="true" outlineLevel="0" collapsed="false">
      <c r="B393" s="27" t="s">
        <v>577</v>
      </c>
      <c r="C393" s="39"/>
      <c r="D393" s="51" t="n">
        <f aca="false">IFERROR(D391-C391,"")</f>
        <v>376.9</v>
      </c>
      <c r="E393" s="51" t="n">
        <f aca="false">IFERROR(E391-D391,"")</f>
        <v>-250.700000000001</v>
      </c>
      <c r="F393" s="51" t="n">
        <f aca="false">IFERROR(F391-E391,"")</f>
        <v>-164.899999999999</v>
      </c>
      <c r="G393" s="51" t="n">
        <f aca="false">IFERROR(G391-F391,"")</f>
        <v>-12.8000000000004</v>
      </c>
      <c r="H393" s="51" t="n">
        <f aca="false">IFERROR(H391-G391,"")</f>
        <v>577.500000000001</v>
      </c>
      <c r="I393" s="51" t="n">
        <f aca="false">IFERROR(I391-H391,"")</f>
        <v>172.4</v>
      </c>
      <c r="J393" s="39"/>
      <c r="K393" s="39"/>
      <c r="L393" s="39"/>
      <c r="M393" s="39"/>
      <c r="N393" s="51" t="n">
        <f aca="false">IFERROR(N391-I391,"")</f>
        <v>-160.1</v>
      </c>
      <c r="O393" s="51" t="n">
        <f aca="false">IFERROR(O391-J391,"")</f>
        <v>-26.7000000000007</v>
      </c>
      <c r="P393" s="51" t="n">
        <f aca="false">IFERROR(P391-K391,"")</f>
        <v>54.5</v>
      </c>
      <c r="Q393" s="51" t="n">
        <f aca="false">IFERROR(Q391-L391,"")</f>
        <v>-143.099999999999</v>
      </c>
      <c r="R393" s="51" t="n">
        <f aca="false">IFERROR(R391-M391,"")</f>
        <v>-629.2</v>
      </c>
      <c r="S393" s="51" t="n">
        <f aca="false">IFERROR(S391-N391,"")</f>
        <v>-629.2</v>
      </c>
      <c r="T393" s="51" t="n">
        <f aca="false">IFERROR(T391-O391,"")</f>
        <v>-583.499999999999</v>
      </c>
      <c r="U393" s="51" t="n">
        <f aca="false">IFERROR(U391-P391,"")</f>
        <v>-636.4</v>
      </c>
      <c r="V393" s="51" t="n">
        <f aca="false">IFERROR(V391-Q391,"")</f>
        <v>180.399999999999</v>
      </c>
      <c r="W393" s="51" t="n">
        <f aca="false">IFERROR(W391-R391,"")</f>
        <v>593.5</v>
      </c>
      <c r="X393" s="51" t="n">
        <f aca="false">IFERROR(X391-S391,"")</f>
        <v>593.5</v>
      </c>
      <c r="Y393" s="51" t="n">
        <f aca="false">IFERROR(Y391-T391,"")</f>
        <v>469.499999999999</v>
      </c>
      <c r="Z393" s="51" t="n">
        <f aca="false">IFERROR(Z391-U391,"")</f>
        <v>321.700000000001</v>
      </c>
      <c r="AA393" s="51" t="n">
        <f aca="false">IFERROR(AA391-V391,"")</f>
        <v>-313.099999999999</v>
      </c>
      <c r="AB393" s="51" t="n">
        <f aca="false">IFERROR(AB391-W391,"")</f>
        <v>-118</v>
      </c>
      <c r="AC393" s="51" t="n">
        <f aca="false">IFERROR(AC391-X391,"")</f>
        <v>-118</v>
      </c>
      <c r="AD393" s="51" t="n">
        <f aca="false">IFERROR(AD391-Y391,"")</f>
        <v>33.1000000000008</v>
      </c>
      <c r="AE393" s="51" t="n">
        <f aca="false">IFERROR(AE391-Z391,"")</f>
        <v>119.8</v>
      </c>
      <c r="AF393" s="51" t="n">
        <f aca="false">IFERROR(AF391-AA391,"")</f>
        <v>101.9</v>
      </c>
      <c r="AG393" s="51" t="n">
        <f aca="false">IFERROR(AG391-AB391,"")</f>
        <v>148.7</v>
      </c>
      <c r="AH393" s="51" t="n">
        <f aca="false">IFERROR(AH391-AC391,"")</f>
        <v>148.7</v>
      </c>
      <c r="AI393" s="51" t="n">
        <f aca="false">IFERROR(AI391-AD391,"")</f>
        <v>-142.100000000001</v>
      </c>
      <c r="AJ393" s="51" t="n">
        <f aca="false">IFERROR(AJ391-AE391,"")</f>
        <v>-126.6</v>
      </c>
      <c r="AK393" s="51" t="n">
        <f aca="false">IFERROR(AK391-AF391,"")</f>
        <v>5.40000000000055</v>
      </c>
      <c r="AL393" s="51" t="n">
        <f aca="false">IFERROR(AL391-AG391,"")</f>
        <v>-155.000000000001</v>
      </c>
      <c r="AM393" s="51" t="n">
        <f aca="false">IFERROR(AM391-AH391,"")</f>
        <v>-155.000000000001</v>
      </c>
      <c r="AN393" s="51" t="n">
        <f aca="false">IFERROR(AN391-AI391,"")</f>
        <v>-34.6999999999989</v>
      </c>
      <c r="AO393" s="51" t="n">
        <f aca="false">IFERROR(AO391-AJ391,"")</f>
        <v>-163.6</v>
      </c>
      <c r="AP393" s="51" t="n">
        <f aca="false">IFERROR(AP391-AK391,"")</f>
        <v>-321.6</v>
      </c>
      <c r="AQ393" s="51" t="n">
        <f aca="false">IFERROR(AQ391-AL391,"")</f>
        <v>-510</v>
      </c>
      <c r="AR393" s="51" t="n">
        <f aca="false">IFERROR(AR391-AM391,"")</f>
        <v>-510</v>
      </c>
      <c r="AS393" s="51" t="n">
        <f aca="false">IFERROR(AS391-AN391,"")</f>
        <v>-63.9000000000005</v>
      </c>
      <c r="AT393" s="51" t="n">
        <f aca="false">IFERROR(AT391-AO391,"")</f>
        <v>-294.599999999999</v>
      </c>
      <c r="AU393" s="51" t="n">
        <f aca="false">IFERROR(AU391-AP391,"")</f>
        <v>-726.7</v>
      </c>
      <c r="AV393" s="51" t="n">
        <f aca="false">IFERROR(AV391-AQ391,"")</f>
        <v>-1154</v>
      </c>
      <c r="AW393" s="51" t="n">
        <f aca="false">IFERROR(AW391-AR391,"")</f>
        <v>-1154</v>
      </c>
      <c r="AX393" s="51" t="n">
        <f aca="false">IFERROR(AX391-AS391,"")</f>
        <v>-1218</v>
      </c>
      <c r="AY393" s="51" t="n">
        <f aca="false">IFERROR(AY391-AT391,"")</f>
        <v>-540.600000000001</v>
      </c>
      <c r="AZ393" s="51" t="n">
        <f aca="false">IFERROR(AZ391-AU391,"")</f>
        <v>-217.7</v>
      </c>
      <c r="BA393" s="51" t="n">
        <f aca="false">IFERROR(BA391-AV391,"")</f>
        <v>320</v>
      </c>
      <c r="BB393" s="51" t="n">
        <f aca="false">IFERROR(BB391-AW391,"")</f>
        <v>320</v>
      </c>
      <c r="BC393" s="51" t="n">
        <f aca="false">IFERROR(BC391-AX391,"")</f>
        <v>383</v>
      </c>
      <c r="BD393" s="51" t="n">
        <f aca="false">IFERROR(BD391-AY391,"")</f>
        <v>390</v>
      </c>
      <c r="BE393" s="51" t="n">
        <f aca="false">IFERROR(BE391-AZ391,"")</f>
        <v>667</v>
      </c>
      <c r="BF393" s="51" t="n">
        <f aca="false">IFERROR(BF391-BA391,"")</f>
        <v>964</v>
      </c>
      <c r="BG393" s="51" t="n">
        <f aca="false">IFERROR(BG391-BB391,"")</f>
        <v>964</v>
      </c>
      <c r="BH393" s="51" t="n">
        <f aca="false">IFERROR(BH391-BC391,"")</f>
        <v>595</v>
      </c>
      <c r="BI393" s="51" t="n">
        <f aca="false">IFERROR(BI391-BD391,"")</f>
        <v>330</v>
      </c>
      <c r="BJ393" s="51" t="n">
        <f aca="false">IFERROR(BJ391-BE391,"")</f>
        <v>57</v>
      </c>
      <c r="BK393" s="51" t="n">
        <f aca="false">IFERROR(BK391-BF391,"")</f>
        <v>-293</v>
      </c>
      <c r="BL393" s="51" t="n">
        <f aca="false">IFERROR(BL391-BG391,"")</f>
        <v>-293</v>
      </c>
      <c r="BM393" s="51" t="n">
        <f aca="false">IFERROR(BM391-BH391,"")</f>
        <v>-545</v>
      </c>
      <c r="BN393" s="51" t="n">
        <f aca="false">IFERROR(BN391-BI391,"")</f>
        <v>-599</v>
      </c>
      <c r="BO393" s="51" t="n">
        <f aca="false">IFERROR(BO391-BJ391,"")</f>
        <v>-359</v>
      </c>
      <c r="BP393" s="51" t="n">
        <f aca="false">IFERROR(BP391-BK391,"")</f>
        <v>-363</v>
      </c>
      <c r="BQ393" s="51" t="n">
        <f aca="false">IFERROR(BQ391-BL391,"")</f>
        <v>-363</v>
      </c>
      <c r="BR393" s="51" t="n">
        <f aca="false">IFERROR(BR391-BM391,"")</f>
        <v>-98</v>
      </c>
      <c r="BS393" s="51" t="n">
        <f aca="false">IFERROR(BS391-BN391,"")</f>
        <v>-6</v>
      </c>
      <c r="BT393" s="51" t="n">
        <f aca="false">IFERROR(BT391-BO391,"")</f>
        <v>82</v>
      </c>
      <c r="BU393" s="51" t="n">
        <f aca="false">IFERROR(BU391-BP391,"")</f>
        <v>23</v>
      </c>
      <c r="BV393" s="51" t="n">
        <f aca="false">IFERROR(BV391-BQ391,"")</f>
        <v>23</v>
      </c>
      <c r="BW393" s="51" t="n">
        <f aca="false">IFERROR(BW391-BR391,"")</f>
        <v>-4</v>
      </c>
      <c r="BX393" s="51" t="n">
        <f aca="false">IFERROR(BX391-BS391,"")</f>
        <v>568</v>
      </c>
      <c r="BY393" s="45"/>
      <c r="BZ393" s="45"/>
      <c r="CA393" s="41" t="n">
        <f aca="false">IFERROR(CA391-BV391,"")</f>
        <v>-56.2462902314082</v>
      </c>
      <c r="CB393" s="41" t="n">
        <f aca="false">IFERROR(CB391-CA391,"")</f>
        <v>-58.6720730658772</v>
      </c>
      <c r="CC393" s="41" t="n">
        <f aca="false">IFERROR(CC391-CB391,"")</f>
        <v>-51.0553724186802</v>
      </c>
      <c r="CD393" s="41" t="n">
        <f aca="false">IFERROR(CD391-CC391,"")</f>
        <v>-56.9436127643812</v>
      </c>
      <c r="CE393" s="41" t="n">
        <f aca="false">IFERROR(CE391-CD391,"")</f>
        <v>-73.7652900387247</v>
      </c>
      <c r="CF393" s="37"/>
    </row>
    <row r="394" customFormat="false" ht="15" hidden="false" customHeight="true" outlineLevel="0" collapsed="false"/>
    <row r="395" customFormat="false" ht="15" hidden="false" customHeight="true" outlineLevel="0" collapsed="false">
      <c r="B395" s="12" t="s">
        <v>578</v>
      </c>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c r="CA395" s="12"/>
      <c r="CB395" s="12"/>
      <c r="CC395" s="12"/>
      <c r="CD395" s="12"/>
      <c r="CE395" s="12"/>
      <c r="CF395" s="12" t="s">
        <v>579</v>
      </c>
    </row>
    <row r="396" customFormat="false" ht="15" hidden="false" customHeight="true" outlineLevel="0" collapsed="false">
      <c r="B396" s="27" t="s">
        <v>580</v>
      </c>
      <c r="CF396" s="7"/>
    </row>
    <row r="397" customFormat="false" ht="15" hidden="false" customHeight="true" outlineLevel="0" collapsed="false">
      <c r="B397" s="89" t="s">
        <v>581</v>
      </c>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s="70"/>
      <c r="BI397" s="70"/>
      <c r="BJ397" s="70"/>
      <c r="BK397" s="70"/>
      <c r="BL397" s="70"/>
      <c r="BM397" s="70"/>
      <c r="BN397" s="70"/>
      <c r="BO397" s="70"/>
      <c r="BP397" s="70"/>
      <c r="BQ397" s="70"/>
      <c r="BR397" s="70"/>
      <c r="BS397" s="70"/>
      <c r="BT397" s="70"/>
      <c r="BU397" s="70"/>
      <c r="BV397" s="70"/>
      <c r="BW397" s="70"/>
      <c r="BX397" s="40" t="n">
        <v>9843</v>
      </c>
      <c r="BY397" s="7"/>
      <c r="BZ397" s="7"/>
      <c r="CA397" s="45"/>
      <c r="CB397" s="45"/>
      <c r="CC397" s="45"/>
      <c r="CD397" s="45"/>
      <c r="CE397" s="45"/>
      <c r="CF397" s="37"/>
    </row>
    <row r="398" customFormat="false" ht="15" hidden="false" customHeight="true" outlineLevel="0" collapsed="false">
      <c r="B398" s="89" t="s">
        <v>582</v>
      </c>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c r="BA398" s="70"/>
      <c r="BB398" s="70"/>
      <c r="BC398" s="70"/>
      <c r="BD398" s="70"/>
      <c r="BE398" s="70"/>
      <c r="BF398" s="70"/>
      <c r="BG398" s="70"/>
      <c r="BH398" s="70"/>
      <c r="BI398" s="70"/>
      <c r="BJ398" s="70"/>
      <c r="BK398" s="70"/>
      <c r="BL398" s="70"/>
      <c r="BM398" s="70"/>
      <c r="BN398" s="70"/>
      <c r="BO398" s="70"/>
      <c r="BP398" s="70"/>
      <c r="BQ398" s="70"/>
      <c r="BR398" s="70"/>
      <c r="BS398" s="70"/>
      <c r="BT398" s="70"/>
      <c r="BU398" s="70"/>
      <c r="BV398" s="70"/>
      <c r="BW398" s="70"/>
      <c r="BX398" s="40" t="n">
        <v>45</v>
      </c>
      <c r="BY398" s="7"/>
      <c r="BZ398" s="7"/>
      <c r="CA398" s="45"/>
      <c r="CB398" s="45"/>
      <c r="CC398" s="45"/>
      <c r="CD398" s="45"/>
      <c r="CE398" s="45"/>
      <c r="CF398" s="37"/>
    </row>
    <row r="399" customFormat="false" ht="15" hidden="false" customHeight="true" outlineLevel="0" collapsed="false">
      <c r="B399" s="89" t="s">
        <v>583</v>
      </c>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c r="BA399" s="70"/>
      <c r="BB399" s="70"/>
      <c r="BC399" s="70"/>
      <c r="BD399" s="70"/>
      <c r="BE399" s="70"/>
      <c r="BF399" s="70"/>
      <c r="BG399" s="70"/>
      <c r="BH399" s="70"/>
      <c r="BI399" s="70"/>
      <c r="BJ399" s="70"/>
      <c r="BK399" s="70"/>
      <c r="BL399" s="70"/>
      <c r="BM399" s="70"/>
      <c r="BN399" s="70"/>
      <c r="BO399" s="70"/>
      <c r="BP399" s="70"/>
      <c r="BQ399" s="70"/>
      <c r="BR399" s="70"/>
      <c r="BS399" s="70"/>
      <c r="BT399" s="70"/>
      <c r="BU399" s="70"/>
      <c r="BV399" s="70"/>
      <c r="BW399" s="70"/>
      <c r="BX399" s="40" t="n">
        <v>232</v>
      </c>
      <c r="BY399" s="7"/>
      <c r="BZ399" s="7"/>
      <c r="CA399" s="45"/>
      <c r="CB399" s="45"/>
      <c r="CC399" s="45"/>
      <c r="CD399" s="45"/>
      <c r="CE399" s="45"/>
      <c r="CF399" s="37"/>
    </row>
    <row r="400" customFormat="false" ht="15" hidden="false" customHeight="true" outlineLevel="0" collapsed="false">
      <c r="B400" s="89" t="s">
        <v>584</v>
      </c>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c r="BA400" s="70"/>
      <c r="BB400" s="70"/>
      <c r="BC400" s="70"/>
      <c r="BD400" s="70"/>
      <c r="BE400" s="70"/>
      <c r="BF400" s="70"/>
      <c r="BG400" s="70"/>
      <c r="BH400" s="70"/>
      <c r="BI400" s="70"/>
      <c r="BJ400" s="70"/>
      <c r="BK400" s="70"/>
      <c r="BL400" s="70"/>
      <c r="BM400" s="70"/>
      <c r="BN400" s="70"/>
      <c r="BO400" s="70"/>
      <c r="BP400" s="70"/>
      <c r="BQ400" s="70"/>
      <c r="BR400" s="70"/>
      <c r="BS400" s="70"/>
      <c r="BT400" s="70"/>
      <c r="BU400" s="70"/>
      <c r="BV400" s="70"/>
      <c r="BW400" s="70"/>
      <c r="BX400" s="40" t="n">
        <v>667</v>
      </c>
      <c r="BY400" s="7"/>
      <c r="BZ400" s="7"/>
      <c r="CA400" s="45"/>
      <c r="CB400" s="45"/>
      <c r="CC400" s="45"/>
      <c r="CD400" s="45"/>
      <c r="CE400" s="45"/>
      <c r="CF400" s="37"/>
    </row>
    <row r="401" customFormat="false" ht="15" hidden="false" customHeight="true" outlineLevel="0" collapsed="false">
      <c r="B401" s="89" t="s">
        <v>585</v>
      </c>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40" t="n">
        <v>355</v>
      </c>
      <c r="BY401" s="7"/>
      <c r="BZ401" s="7"/>
      <c r="CA401" s="45"/>
      <c r="CB401" s="45"/>
      <c r="CC401" s="45"/>
      <c r="CD401" s="45"/>
      <c r="CE401" s="45"/>
      <c r="CF401" s="37"/>
    </row>
    <row r="402" customFormat="false" ht="15" hidden="false" customHeight="true" outlineLevel="0" collapsed="false">
      <c r="B402" s="89" t="s">
        <v>586</v>
      </c>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c r="BA402" s="70"/>
      <c r="BB402" s="70"/>
      <c r="BC402" s="70"/>
      <c r="BD402" s="70"/>
      <c r="BE402" s="70"/>
      <c r="BF402" s="70"/>
      <c r="BG402" s="70"/>
      <c r="BH402" s="70"/>
      <c r="BI402" s="70"/>
      <c r="BJ402" s="70"/>
      <c r="BK402" s="70"/>
      <c r="BL402" s="70"/>
      <c r="BM402" s="70"/>
      <c r="BN402" s="70"/>
      <c r="BO402" s="70"/>
      <c r="BP402" s="70"/>
      <c r="BQ402" s="70"/>
      <c r="BR402" s="70"/>
      <c r="BS402" s="70"/>
      <c r="BT402" s="70"/>
      <c r="BU402" s="70"/>
      <c r="BV402" s="70"/>
      <c r="BW402" s="70"/>
      <c r="BX402" s="40" t="n">
        <v>4844</v>
      </c>
      <c r="BY402" s="7"/>
      <c r="BZ402" s="7"/>
      <c r="CA402" s="45"/>
      <c r="CB402" s="45"/>
      <c r="CC402" s="45"/>
      <c r="CD402" s="45"/>
      <c r="CE402" s="45"/>
      <c r="CF402" s="37"/>
    </row>
    <row r="403" customFormat="false" ht="15" hidden="false" customHeight="true" outlineLevel="0" collapsed="false">
      <c r="B403" s="89" t="s">
        <v>587</v>
      </c>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40" t="n">
        <v>4960</v>
      </c>
      <c r="BY403" s="7"/>
      <c r="BZ403" s="7"/>
      <c r="CA403" s="45"/>
      <c r="CB403" s="45"/>
      <c r="CC403" s="45"/>
      <c r="CD403" s="45"/>
      <c r="CE403" s="45"/>
      <c r="CF403" s="37"/>
    </row>
    <row r="404" customFormat="false" ht="15" hidden="false" customHeight="true" outlineLevel="0" collapsed="false">
      <c r="B404" s="89" t="s">
        <v>540</v>
      </c>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40" t="n">
        <v>-77</v>
      </c>
      <c r="BY404" s="7"/>
      <c r="BZ404" s="7"/>
      <c r="CA404" s="45"/>
      <c r="CB404" s="45"/>
      <c r="CC404" s="45"/>
      <c r="CD404" s="45"/>
      <c r="CE404" s="45"/>
      <c r="CF404" s="37"/>
    </row>
    <row r="405" customFormat="false" ht="15" hidden="false" customHeight="true" outlineLevel="0" collapsed="false">
      <c r="B405" s="89" t="s">
        <v>588</v>
      </c>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40" t="n">
        <v>-1088</v>
      </c>
      <c r="BY405" s="7"/>
      <c r="BZ405" s="7"/>
      <c r="CA405" s="45"/>
      <c r="CB405" s="45"/>
      <c r="CC405" s="45"/>
      <c r="CD405" s="45"/>
      <c r="CE405" s="45"/>
      <c r="CF405" s="37"/>
    </row>
    <row r="406" customFormat="false" ht="15" hidden="false" customHeight="true" outlineLevel="0" collapsed="false">
      <c r="B406" s="89" t="s">
        <v>589</v>
      </c>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c r="BA406" s="70"/>
      <c r="BB406" s="70"/>
      <c r="BC406" s="70"/>
      <c r="BD406" s="70"/>
      <c r="BE406" s="70"/>
      <c r="BF406" s="70"/>
      <c r="BG406" s="70"/>
      <c r="BH406" s="70"/>
      <c r="BI406" s="70"/>
      <c r="BJ406" s="70"/>
      <c r="BK406" s="70"/>
      <c r="BL406" s="70"/>
      <c r="BM406" s="70"/>
      <c r="BN406" s="70"/>
      <c r="BO406" s="70"/>
      <c r="BP406" s="70"/>
      <c r="BQ406" s="70"/>
      <c r="BR406" s="70"/>
      <c r="BS406" s="70"/>
      <c r="BT406" s="70"/>
      <c r="BU406" s="70"/>
      <c r="BV406" s="70"/>
      <c r="BW406" s="70"/>
      <c r="BX406" s="40" t="n">
        <v>-5</v>
      </c>
      <c r="BY406" s="7"/>
      <c r="BZ406" s="7"/>
      <c r="CA406" s="45"/>
      <c r="CB406" s="45"/>
      <c r="CC406" s="45"/>
      <c r="CD406" s="45"/>
      <c r="CE406" s="45"/>
      <c r="CF406" s="37"/>
    </row>
    <row r="407" customFormat="false" ht="15" hidden="false" customHeight="true" outlineLevel="0" collapsed="false">
      <c r="B407" s="89" t="s">
        <v>590</v>
      </c>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c r="BA407" s="70"/>
      <c r="BB407" s="70"/>
      <c r="BC407" s="70"/>
      <c r="BD407" s="70"/>
      <c r="BE407" s="70"/>
      <c r="BF407" s="70"/>
      <c r="BG407" s="70"/>
      <c r="BH407" s="70"/>
      <c r="BI407" s="70"/>
      <c r="BJ407" s="70"/>
      <c r="BK407" s="70"/>
      <c r="BL407" s="70"/>
      <c r="BM407" s="70"/>
      <c r="BN407" s="70"/>
      <c r="BO407" s="70"/>
      <c r="BP407" s="70"/>
      <c r="BQ407" s="70"/>
      <c r="BR407" s="70"/>
      <c r="BS407" s="70"/>
      <c r="BT407" s="70"/>
      <c r="BU407" s="70"/>
      <c r="BV407" s="70"/>
      <c r="BW407" s="70"/>
      <c r="BX407" s="52" t="n">
        <v>20</v>
      </c>
      <c r="BY407" s="7"/>
      <c r="BZ407" s="7"/>
      <c r="CA407" s="45"/>
      <c r="CB407" s="45"/>
      <c r="CC407" s="45"/>
      <c r="CD407" s="45"/>
      <c r="CE407" s="45"/>
      <c r="CF407" s="37" t="s">
        <v>591</v>
      </c>
    </row>
    <row r="408" customFormat="false" ht="15" hidden="false" customHeight="true" outlineLevel="0" collapsed="false">
      <c r="B408" s="65" t="s">
        <v>592</v>
      </c>
      <c r="C408" s="66" t="str">
        <f aca="false">IF(ISNUMBER(C397),ROUND(N(C399)+N(C400)+N(C401)+N(C402)+N(C403)+N(C404)+N(C405)+N(C406)-C397-N(C398),0),"")</f>
        <v/>
      </c>
      <c r="D408" s="66" t="str">
        <f aca="false">IF(ISNUMBER(D397),ROUND(N(D399)+N(D400)+N(D401)+N(D402)+N(D403)+N(D404)+N(D405)+N(D406)-D397-N(D398),0),"")</f>
        <v/>
      </c>
      <c r="E408" s="66" t="str">
        <f aca="false">IF(ISNUMBER(E397),ROUND(N(E399)+N(E400)+N(E401)+N(E402)+N(E403)+N(E404)+N(E405)+N(E406)-E397-N(E398),0),"")</f>
        <v/>
      </c>
      <c r="F408" s="66" t="str">
        <f aca="false">IF(ISNUMBER(F397),ROUND(N(F399)+N(F400)+N(F401)+N(F402)+N(F403)+N(F404)+N(F405)+N(F406)-F397-N(F398),0),"")</f>
        <v/>
      </c>
      <c r="G408" s="66" t="str">
        <f aca="false">IF(ISNUMBER(G397),ROUND(N(G399)+N(G400)+N(G401)+N(G402)+N(G403)+N(G404)+N(G405)+N(G406)-G397-N(G398),0),"")</f>
        <v/>
      </c>
      <c r="H408" s="66" t="str">
        <f aca="false">IF(ISNUMBER(H397),ROUND(N(H399)+N(H400)+N(H401)+N(H402)+N(H403)+N(H404)+N(H405)+N(H406)-H397-N(H398),0),"")</f>
        <v/>
      </c>
      <c r="I408" s="66" t="str">
        <f aca="false">IF(ISNUMBER(I397),ROUND(N(I399)+N(I400)+N(I401)+N(I402)+N(I403)+N(I404)+N(I405)+N(I406)-I397-N(I398),0),"")</f>
        <v/>
      </c>
      <c r="J408" s="66" t="str">
        <f aca="false">IF(ISNUMBER(J397),ROUND(N(J399)+N(J400)+N(J401)+N(J402)+N(J403)+N(J404)+N(J405)+N(J406)-J397-N(J398),0),"")</f>
        <v/>
      </c>
      <c r="K408" s="66" t="str">
        <f aca="false">IF(ISNUMBER(K397),ROUND(N(K399)+N(K400)+N(K401)+N(K402)+N(K403)+N(K404)+N(K405)+N(K406)-K397-N(K398),0),"")</f>
        <v/>
      </c>
      <c r="L408" s="66" t="str">
        <f aca="false">IF(ISNUMBER(L397),ROUND(N(L399)+N(L400)+N(L401)+N(L402)+N(L403)+N(L404)+N(L405)+N(L406)-L397-N(L398),0),"")</f>
        <v/>
      </c>
      <c r="M408" s="66" t="str">
        <f aca="false">IF(ISNUMBER(M397),ROUND(N(M399)+N(M400)+N(M401)+N(M402)+N(M403)+N(M404)+N(M405)+N(M406)-M397-N(M398),0),"")</f>
        <v/>
      </c>
      <c r="N408" s="66" t="str">
        <f aca="false">IF(ISNUMBER(N397),ROUND(N(N399)+N(N400)+N(N401)+N(N402)+N(N403)+N(N404)+N(N405)+N(N406)-N397-N(N398),0),"")</f>
        <v/>
      </c>
      <c r="O408" s="66" t="str">
        <f aca="false">IF(ISNUMBER(O397),ROUND(N(O399)+N(O400)+N(O401)+N(O402)+N(O403)+N(O404)+N(O405)+N(O406)-O397-N(O398),0),"")</f>
        <v/>
      </c>
      <c r="P408" s="66" t="str">
        <f aca="false">IF(ISNUMBER(P397),ROUND(N(P399)+N(P400)+N(P401)+N(P402)+N(P403)+N(P404)+N(P405)+N(P406)-P397-N(P398),0),"")</f>
        <v/>
      </c>
      <c r="Q408" s="66" t="str">
        <f aca="false">IF(ISNUMBER(Q397),ROUND(N(Q399)+N(Q400)+N(Q401)+N(Q402)+N(Q403)+N(Q404)+N(Q405)+N(Q406)-Q397-N(Q398),0),"")</f>
        <v/>
      </c>
      <c r="R408" s="66" t="str">
        <f aca="false">IF(ISNUMBER(R397),ROUND(N(R399)+N(R400)+N(R401)+N(R402)+N(R403)+N(R404)+N(R405)+N(R406)-R397-N(R398),0),"")</f>
        <v/>
      </c>
      <c r="S408" s="66" t="str">
        <f aca="false">IF(ISNUMBER(S397),ROUND(N(S399)+N(S400)+N(S401)+N(S402)+N(S403)+N(S404)+N(S405)+N(S406)-S397-N(S398),0),"")</f>
        <v/>
      </c>
      <c r="T408" s="66" t="str">
        <f aca="false">IF(ISNUMBER(T397),ROUND(N(T399)+N(T400)+N(T401)+N(T402)+N(T403)+N(T404)+N(T405)+N(T406)-T397-N(T398),0),"")</f>
        <v/>
      </c>
      <c r="U408" s="66" t="str">
        <f aca="false">IF(ISNUMBER(U397),ROUND(N(U399)+N(U400)+N(U401)+N(U402)+N(U403)+N(U404)+N(U405)+N(U406)-U397-N(U398),0),"")</f>
        <v/>
      </c>
      <c r="V408" s="66" t="str">
        <f aca="false">IF(ISNUMBER(V397),ROUND(N(V399)+N(V400)+N(V401)+N(V402)+N(V403)+N(V404)+N(V405)+N(V406)-V397-N(V398),0),"")</f>
        <v/>
      </c>
      <c r="W408" s="66" t="str">
        <f aca="false">IF(ISNUMBER(W397),ROUND(N(W399)+N(W400)+N(W401)+N(W402)+N(W403)+N(W404)+N(W405)+N(W406)-W397-N(W398),0),"")</f>
        <v/>
      </c>
      <c r="X408" s="66" t="str">
        <f aca="false">IF(ISNUMBER(X397),ROUND(N(X399)+N(X400)+N(X401)+N(X402)+N(X403)+N(X404)+N(X405)+N(X406)-X397-N(X398),0),"")</f>
        <v/>
      </c>
      <c r="Y408" s="66" t="str">
        <f aca="false">IF(ISNUMBER(Y397),ROUND(N(Y399)+N(Y400)+N(Y401)+N(Y402)+N(Y403)+N(Y404)+N(Y405)+N(Y406)-Y397-N(Y398),0),"")</f>
        <v/>
      </c>
      <c r="Z408" s="66" t="str">
        <f aca="false">IF(ISNUMBER(Z397),ROUND(N(Z399)+N(Z400)+N(Z401)+N(Z402)+N(Z403)+N(Z404)+N(Z405)+N(Z406)-Z397-N(Z398),0),"")</f>
        <v/>
      </c>
      <c r="AA408" s="66" t="str">
        <f aca="false">IF(ISNUMBER(AA397),ROUND(N(AA399)+N(AA400)+N(AA401)+N(AA402)+N(AA403)+N(AA404)+N(AA405)+N(AA406)-AA397-N(AA398),0),"")</f>
        <v/>
      </c>
      <c r="AB408" s="66" t="str">
        <f aca="false">IF(ISNUMBER(AB397),ROUND(N(AB399)+N(AB400)+N(AB401)+N(AB402)+N(AB403)+N(AB404)+N(AB405)+N(AB406)-AB397-N(AB398),0),"")</f>
        <v/>
      </c>
      <c r="AC408" s="66" t="str">
        <f aca="false">IF(ISNUMBER(AC397),ROUND(N(AC399)+N(AC400)+N(AC401)+N(AC402)+N(AC403)+N(AC404)+N(AC405)+N(AC406)-AC397-N(AC398),0),"")</f>
        <v/>
      </c>
      <c r="AD408" s="66" t="str">
        <f aca="false">IF(ISNUMBER(AD397),ROUND(N(AD399)+N(AD400)+N(AD401)+N(AD402)+N(AD403)+N(AD404)+N(AD405)+N(AD406)-AD397-N(AD398),0),"")</f>
        <v/>
      </c>
      <c r="AE408" s="66" t="str">
        <f aca="false">IF(ISNUMBER(AE397),ROUND(N(AE399)+N(AE400)+N(AE401)+N(AE402)+N(AE403)+N(AE404)+N(AE405)+N(AE406)-AE397-N(AE398),0),"")</f>
        <v/>
      </c>
      <c r="AF408" s="66" t="str">
        <f aca="false">IF(ISNUMBER(AF397),ROUND(N(AF399)+N(AF400)+N(AF401)+N(AF402)+N(AF403)+N(AF404)+N(AF405)+N(AF406)-AF397-N(AF398),0),"")</f>
        <v/>
      </c>
      <c r="AG408" s="66" t="str">
        <f aca="false">IF(ISNUMBER(AG397),ROUND(N(AG399)+N(AG400)+N(AG401)+N(AG402)+N(AG403)+N(AG404)+N(AG405)+N(AG406)-AG397-N(AG398),0),"")</f>
        <v/>
      </c>
      <c r="AH408" s="66" t="str">
        <f aca="false">IF(ISNUMBER(AH397),ROUND(N(AH399)+N(AH400)+N(AH401)+N(AH402)+N(AH403)+N(AH404)+N(AH405)+N(AH406)-AH397-N(AH398),0),"")</f>
        <v/>
      </c>
      <c r="AI408" s="66" t="str">
        <f aca="false">IF(ISNUMBER(AI397),ROUND(N(AI399)+N(AI400)+N(AI401)+N(AI402)+N(AI403)+N(AI404)+N(AI405)+N(AI406)-AI397-N(AI398),0),"")</f>
        <v/>
      </c>
      <c r="AJ408" s="66" t="str">
        <f aca="false">IF(ISNUMBER(AJ397),ROUND(N(AJ399)+N(AJ400)+N(AJ401)+N(AJ402)+N(AJ403)+N(AJ404)+N(AJ405)+N(AJ406)-AJ397-N(AJ398),0),"")</f>
        <v/>
      </c>
      <c r="AK408" s="66" t="str">
        <f aca="false">IF(ISNUMBER(AK397),ROUND(N(AK399)+N(AK400)+N(AK401)+N(AK402)+N(AK403)+N(AK404)+N(AK405)+N(AK406)-AK397-N(AK398),0),"")</f>
        <v/>
      </c>
      <c r="AL408" s="66" t="str">
        <f aca="false">IF(ISNUMBER(AL397),ROUND(N(AL399)+N(AL400)+N(AL401)+N(AL402)+N(AL403)+N(AL404)+N(AL405)+N(AL406)-AL397-N(AL398),0),"")</f>
        <v/>
      </c>
      <c r="AM408" s="66" t="str">
        <f aca="false">IF(ISNUMBER(AM397),ROUND(N(AM399)+N(AM400)+N(AM401)+N(AM402)+N(AM403)+N(AM404)+N(AM405)+N(AM406)-AM397-N(AM398),0),"")</f>
        <v/>
      </c>
      <c r="AN408" s="66" t="str">
        <f aca="false">IF(ISNUMBER(AN397),ROUND(N(AN399)+N(AN400)+N(AN401)+N(AN402)+N(AN403)+N(AN404)+N(AN405)+N(AN406)-AN397-N(AN398),0),"")</f>
        <v/>
      </c>
      <c r="AO408" s="66" t="str">
        <f aca="false">IF(ISNUMBER(AO397),ROUND(N(AO399)+N(AO400)+N(AO401)+N(AO402)+N(AO403)+N(AO404)+N(AO405)+N(AO406)-AO397-N(AO398),0),"")</f>
        <v/>
      </c>
      <c r="AP408" s="66" t="str">
        <f aca="false">IF(ISNUMBER(AP397),ROUND(N(AP399)+N(AP400)+N(AP401)+N(AP402)+N(AP403)+N(AP404)+N(AP405)+N(AP406)-AP397-N(AP398),0),"")</f>
        <v/>
      </c>
      <c r="AQ408" s="66" t="str">
        <f aca="false">IF(ISNUMBER(AQ397),ROUND(N(AQ399)+N(AQ400)+N(AQ401)+N(AQ402)+N(AQ403)+N(AQ404)+N(AQ405)+N(AQ406)-AQ397-N(AQ398),0),"")</f>
        <v/>
      </c>
      <c r="AR408" s="66" t="str">
        <f aca="false">IF(ISNUMBER(AR397),ROUND(N(AR399)+N(AR400)+N(AR401)+N(AR402)+N(AR403)+N(AR404)+N(AR405)+N(AR406)-AR397-N(AR398),0),"")</f>
        <v/>
      </c>
      <c r="AS408" s="66" t="str">
        <f aca="false">IF(ISNUMBER(AS397),ROUND(N(AS399)+N(AS400)+N(AS401)+N(AS402)+N(AS403)+N(AS404)+N(AS405)+N(AS406)-AS397-N(AS398),0),"")</f>
        <v/>
      </c>
      <c r="AT408" s="66" t="str">
        <f aca="false">IF(ISNUMBER(AT397),ROUND(N(AT399)+N(AT400)+N(AT401)+N(AT402)+N(AT403)+N(AT404)+N(AT405)+N(AT406)-AT397-N(AT398),0),"")</f>
        <v/>
      </c>
      <c r="AU408" s="66" t="str">
        <f aca="false">IF(ISNUMBER(AU397),ROUND(N(AU399)+N(AU400)+N(AU401)+N(AU402)+N(AU403)+N(AU404)+N(AU405)+N(AU406)-AU397-N(AU398),0),"")</f>
        <v/>
      </c>
      <c r="AV408" s="66" t="str">
        <f aca="false">IF(ISNUMBER(AV397),ROUND(N(AV399)+N(AV400)+N(AV401)+N(AV402)+N(AV403)+N(AV404)+N(AV405)+N(AV406)-AV397-N(AV398),0),"")</f>
        <v/>
      </c>
      <c r="AW408" s="66" t="str">
        <f aca="false">IF(ISNUMBER(AW397),ROUND(N(AW399)+N(AW400)+N(AW401)+N(AW402)+N(AW403)+N(AW404)+N(AW405)+N(AW406)-AW397-N(AW398),0),"")</f>
        <v/>
      </c>
      <c r="AX408" s="66" t="str">
        <f aca="false">IF(ISNUMBER(AX397),ROUND(N(AX399)+N(AX400)+N(AX401)+N(AX402)+N(AX403)+N(AX404)+N(AX405)+N(AX406)-AX397-N(AX398),0),"")</f>
        <v/>
      </c>
      <c r="AY408" s="66" t="str">
        <f aca="false">IF(ISNUMBER(AY397),ROUND(N(AY399)+N(AY400)+N(AY401)+N(AY402)+N(AY403)+N(AY404)+N(AY405)+N(AY406)-AY397-N(AY398),0),"")</f>
        <v/>
      </c>
      <c r="AZ408" s="66" t="str">
        <f aca="false">IF(ISNUMBER(AZ397),ROUND(N(AZ399)+N(AZ400)+N(AZ401)+N(AZ402)+N(AZ403)+N(AZ404)+N(AZ405)+N(AZ406)-AZ397-N(AZ398),0),"")</f>
        <v/>
      </c>
      <c r="BA408" s="66" t="str">
        <f aca="false">IF(ISNUMBER(BA397),ROUND(N(BA399)+N(BA400)+N(BA401)+N(BA402)+N(BA403)+N(BA404)+N(BA405)+N(BA406)-BA397-N(BA398),0),"")</f>
        <v/>
      </c>
      <c r="BB408" s="66" t="str">
        <f aca="false">IF(ISNUMBER(BB397),ROUND(N(BB399)+N(BB400)+N(BB401)+N(BB402)+N(BB403)+N(BB404)+N(BB405)+N(BB406)-BB397-N(BB398),0),"")</f>
        <v/>
      </c>
      <c r="BC408" s="66" t="str">
        <f aca="false">IF(ISNUMBER(BC397),ROUND(N(BC399)+N(BC400)+N(BC401)+N(BC402)+N(BC403)+N(BC404)+N(BC405)+N(BC406)-BC397-N(BC398),0),"")</f>
        <v/>
      </c>
      <c r="BD408" s="66" t="str">
        <f aca="false">IF(ISNUMBER(BD397),ROUND(N(BD399)+N(BD400)+N(BD401)+N(BD402)+N(BD403)+N(BD404)+N(BD405)+N(BD406)-BD397-N(BD398),0),"")</f>
        <v/>
      </c>
      <c r="BE408" s="66" t="str">
        <f aca="false">IF(ISNUMBER(BE397),ROUND(N(BE399)+N(BE400)+N(BE401)+N(BE402)+N(BE403)+N(BE404)+N(BE405)+N(BE406)-BE397-N(BE398),0),"")</f>
        <v/>
      </c>
      <c r="BF408" s="66" t="str">
        <f aca="false">IF(ISNUMBER(BF397),ROUND(N(BF399)+N(BF400)+N(BF401)+N(BF402)+N(BF403)+N(BF404)+N(BF405)+N(BF406)-BF397-N(BF398),0),"")</f>
        <v/>
      </c>
      <c r="BG408" s="66" t="str">
        <f aca="false">IF(ISNUMBER(BG397),ROUND(N(BG399)+N(BG400)+N(BG401)+N(BG402)+N(BG403)+N(BG404)+N(BG405)+N(BG406)-BG397-N(BG398),0),"")</f>
        <v/>
      </c>
      <c r="BH408" s="66" t="str">
        <f aca="false">IF(ISNUMBER(BH397),ROUND(N(BH399)+N(BH400)+N(BH401)+N(BH402)+N(BH403)+N(BH404)+N(BH405)+N(BH406)-BH397-N(BH398),0),"")</f>
        <v/>
      </c>
      <c r="BI408" s="66" t="str">
        <f aca="false">IF(ISNUMBER(BI397),ROUND(N(BI399)+N(BI400)+N(BI401)+N(BI402)+N(BI403)+N(BI404)+N(BI405)+N(BI406)-BI397-N(BI398),0),"")</f>
        <v/>
      </c>
      <c r="BJ408" s="66" t="str">
        <f aca="false">IF(ISNUMBER(BJ397),ROUND(N(BJ399)+N(BJ400)+N(BJ401)+N(BJ402)+N(BJ403)+N(BJ404)+N(BJ405)+N(BJ406)-BJ397-N(BJ398),0),"")</f>
        <v/>
      </c>
      <c r="BK408" s="66" t="str">
        <f aca="false">IF(ISNUMBER(BK397),ROUND(N(BK399)+N(BK400)+N(BK401)+N(BK402)+N(BK403)+N(BK404)+N(BK405)+N(BK406)-BK397-N(BK398),0),"")</f>
        <v/>
      </c>
      <c r="BL408" s="66" t="str">
        <f aca="false">IF(ISNUMBER(BL397),ROUND(N(BL399)+N(BL400)+N(BL401)+N(BL402)+N(BL403)+N(BL404)+N(BL405)+N(BL406)-BL397-N(BL398),0),"")</f>
        <v/>
      </c>
      <c r="BM408" s="66" t="str">
        <f aca="false">IF(ISNUMBER(BM397),ROUND(N(BM399)+N(BM400)+N(BM401)+N(BM402)+N(BM403)+N(BM404)+N(BM405)+N(BM406)-BM397-N(BM398),0),"")</f>
        <v/>
      </c>
      <c r="BN408" s="66" t="str">
        <f aca="false">IF(ISNUMBER(BN397),ROUND(N(BN399)+N(BN400)+N(BN401)+N(BN402)+N(BN403)+N(BN404)+N(BN405)+N(BN406)-BN397-N(BN398),0),"")</f>
        <v/>
      </c>
      <c r="BO408" s="66" t="str">
        <f aca="false">IF(ISNUMBER(BO397),ROUND(N(BO399)+N(BO400)+N(BO401)+N(BO402)+N(BO403)+N(BO404)+N(BO405)+N(BO406)-BO397-N(BO398),0),"")</f>
        <v/>
      </c>
      <c r="BP408" s="66" t="str">
        <f aca="false">IF(ISNUMBER(BP397),ROUND(N(BP399)+N(BP400)+N(BP401)+N(BP402)+N(BP403)+N(BP404)+N(BP405)+N(BP406)-BP397-N(BP398),0),"")</f>
        <v/>
      </c>
      <c r="BQ408" s="66" t="str">
        <f aca="false">IF(ISNUMBER(BQ397),ROUND(N(BQ399)+N(BQ400)+N(BQ401)+N(BQ402)+N(BQ403)+N(BQ404)+N(BQ405)+N(BQ406)-BQ397-N(BQ398),0),"")</f>
        <v/>
      </c>
      <c r="BR408" s="66" t="str">
        <f aca="false">IF(ISNUMBER(BR397),ROUND(N(BR399)+N(BR400)+N(BR401)+N(BR402)+N(BR403)+N(BR404)+N(BR405)+N(BR406)-BR397-N(BR398),0),"")</f>
        <v/>
      </c>
      <c r="BS408" s="66" t="str">
        <f aca="false">IF(ISNUMBER(BS397),ROUND(N(BS399)+N(BS400)+N(BS401)+N(BS402)+N(BS403)+N(BS404)+N(BS405)+N(BS406)-BS397-N(BS398),0),"")</f>
        <v/>
      </c>
      <c r="BT408" s="66" t="str">
        <f aca="false">IF(ISNUMBER(BT397),ROUND(N(BT399)+N(BT400)+N(BT401)+N(BT402)+N(BT403)+N(BT404)+N(BT405)+N(BT406)-BT397-N(BT398),0),"")</f>
        <v/>
      </c>
      <c r="BU408" s="66" t="str">
        <f aca="false">IF(ISNUMBER(BU397),ROUND(N(BU399)+N(BU400)+N(BU401)+N(BU402)+N(BU403)+N(BU404)+N(BU405)+N(BU406)-BU397-N(BU398),0),"")</f>
        <v/>
      </c>
      <c r="BV408" s="66" t="str">
        <f aca="false">IF(ISNUMBER(BV397),ROUND(N(BV399)+N(BV400)+N(BV401)+N(BV402)+N(BV403)+N(BV404)+N(BV405)+N(BV406)-BV397-N(BV398),0),"")</f>
        <v/>
      </c>
      <c r="BW408" s="66" t="str">
        <f aca="false">IF(ISNUMBER(BW397),ROUND(N(BW399)+N(BW400)+N(BW401)+N(BW402)+N(BW403)+N(BW404)+N(BW405)+N(BW406)-BW397-N(BW398),0),"")</f>
        <v/>
      </c>
      <c r="BX408" s="66" t="n">
        <f aca="false">IF(ISNUMBER(BX397),ROUND(N(BX399)+N(BX400)+N(BX401)+N(BX402)+N(BX403)+N(BX404)+N(BX405)+N(BX406)-BX397-N(BX398),0),"")</f>
        <v>0</v>
      </c>
      <c r="BY408" s="7"/>
      <c r="BZ408" s="7"/>
      <c r="CA408" s="7"/>
      <c r="CB408" s="7"/>
      <c r="CC408" s="7"/>
      <c r="CD408" s="7"/>
      <c r="CE408" s="7"/>
      <c r="CF408" s="7"/>
    </row>
    <row r="409" customFormat="false" ht="15" hidden="false" customHeight="true" outlineLevel="0" collapsed="false">
      <c r="B409" s="27" t="s">
        <v>593</v>
      </c>
      <c r="CF409" s="7"/>
    </row>
    <row r="410" customFormat="false" ht="15" hidden="false" customHeight="true" outlineLevel="0" collapsed="false">
      <c r="B410" s="89" t="s">
        <v>594</v>
      </c>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c r="BC410" s="70"/>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
      <c r="BZ410" s="7"/>
      <c r="CA410" s="45"/>
      <c r="CB410" s="90" t="n">
        <v>2.3</v>
      </c>
      <c r="CC410" s="90" t="n">
        <v>2.3</v>
      </c>
      <c r="CD410" s="90" t="n">
        <v>2.3</v>
      </c>
      <c r="CE410" s="90" t="n">
        <v>2.3</v>
      </c>
      <c r="CF410" s="37"/>
    </row>
    <row r="411" customFormat="false" ht="15" hidden="false" customHeight="true" outlineLevel="0" collapsed="false">
      <c r="B411" s="89" t="s">
        <v>595</v>
      </c>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c r="BA411" s="70"/>
      <c r="BB411" s="70"/>
      <c r="BC411" s="70"/>
      <c r="BD411" s="70"/>
      <c r="BE411" s="70"/>
      <c r="BF411" s="70"/>
      <c r="BG411" s="70"/>
      <c r="BH411" s="70"/>
      <c r="BI411" s="70"/>
      <c r="BJ411" s="70"/>
      <c r="BK411" s="70"/>
      <c r="BL411" s="70"/>
      <c r="BM411" s="70"/>
      <c r="BN411" s="70"/>
      <c r="BO411" s="70"/>
      <c r="BP411" s="70"/>
      <c r="BQ411" s="70"/>
      <c r="BR411" s="70"/>
      <c r="BS411" s="70"/>
      <c r="BT411" s="70"/>
      <c r="BU411" s="70"/>
      <c r="BV411" s="70"/>
      <c r="BW411" s="70"/>
      <c r="BX411" s="70"/>
      <c r="BY411" s="7"/>
      <c r="BZ411" s="7"/>
      <c r="CA411" s="45"/>
      <c r="CB411" s="35" t="n">
        <v>0.07</v>
      </c>
      <c r="CC411" s="35" t="n">
        <v>0.07</v>
      </c>
      <c r="CD411" s="35" t="n">
        <v>0.07</v>
      </c>
      <c r="CE411" s="35" t="n">
        <v>0.07</v>
      </c>
      <c r="CF411" s="37"/>
    </row>
    <row r="412" customFormat="false" ht="15" hidden="false" customHeight="true" outlineLevel="0" collapsed="false">
      <c r="B412" s="27" t="s">
        <v>596</v>
      </c>
      <c r="CF412" s="7"/>
    </row>
    <row r="413" customFormat="false" ht="15" hidden="false" customHeight="true" outlineLevel="0" collapsed="false">
      <c r="B413" s="89" t="s">
        <v>597</v>
      </c>
      <c r="C413" s="51" t="n">
        <f aca="false">IF(ISNUMBER(C365),N(C359)+C365,"")</f>
        <v>2433.8</v>
      </c>
      <c r="D413" s="51" t="n">
        <f aca="false">IF(ISNUMBER(D365),N(D359)+D365,"")</f>
        <v>3726.3</v>
      </c>
      <c r="E413" s="51" t="n">
        <f aca="false">IF(ISNUMBER(E365),N(E359)+E365,"")</f>
        <v>2619.4</v>
      </c>
      <c r="F413" s="51" t="n">
        <f aca="false">IF(ISNUMBER(F365),N(F359)+F365,"")</f>
        <v>2933.2</v>
      </c>
      <c r="G413" s="51" t="n">
        <f aca="false">IF(ISNUMBER(G365),N(G359)+G365,"")</f>
        <v>2824.7</v>
      </c>
      <c r="H413" s="51" t="n">
        <f aca="false">IF(ISNUMBER(H365),N(H359)+H365,"")</f>
        <v>5305.2</v>
      </c>
      <c r="I413" s="51" t="n">
        <f aca="false">IF(ISNUMBER(I365),N(I359)+I365,"")</f>
        <v>5343.1</v>
      </c>
      <c r="J413" s="51" t="n">
        <f aca="false">IF(ISNUMBER(J365),N(J359)+J365,"")</f>
        <v>4471.3</v>
      </c>
      <c r="K413" s="51" t="n">
        <f aca="false">IF(ISNUMBER(K365),N(K359)+K365,"")</f>
        <v>4154.8</v>
      </c>
      <c r="L413" s="51" t="n">
        <f aca="false">IF(ISNUMBER(L365),N(L359)+L365,"")</f>
        <v>3502</v>
      </c>
      <c r="M413" s="51" t="n">
        <f aca="false">IF(ISNUMBER(M365),N(M359)+M365,"")</f>
        <v>3499</v>
      </c>
      <c r="N413" s="51" t="n">
        <f aca="false">IF(ISNUMBER(N365),N(N359)+N365,"")</f>
        <v>3499</v>
      </c>
      <c r="O413" s="51" t="n">
        <f aca="false">IF(ISNUMBER(O365),N(O359)+O365,"")</f>
        <v>3487</v>
      </c>
      <c r="P413" s="51" t="n">
        <f aca="false">IF(ISNUMBER(P365),N(P359)+P365,"")</f>
        <v>3069</v>
      </c>
      <c r="Q413" s="51" t="n">
        <f aca="false">IF(ISNUMBER(Q365),N(Q359)+Q365,"")</f>
        <v>3036.1</v>
      </c>
      <c r="R413" s="51" t="n">
        <f aca="false">IF(ISNUMBER(R365),N(R359)+R365,"")</f>
        <v>3473.4</v>
      </c>
      <c r="S413" s="51" t="n">
        <f aca="false">IF(ISNUMBER(S365),N(S359)+S365,"")</f>
        <v>3473.4</v>
      </c>
      <c r="T413" s="51" t="n">
        <f aca="false">IF(ISNUMBER(T365),N(T359)+T365,"")</f>
        <v>3177.5</v>
      </c>
      <c r="U413" s="51" t="n">
        <f aca="false">IF(ISNUMBER(U365),N(U359)+U365,"")</f>
        <v>3162.8</v>
      </c>
      <c r="V413" s="51" t="n">
        <f aca="false">IF(ISNUMBER(V365),N(V359)+V365,"")</f>
        <v>15012</v>
      </c>
      <c r="W413" s="51" t="n">
        <f aca="false">IF(ISNUMBER(W365),N(W359)+W365,"")</f>
        <v>12870.4</v>
      </c>
      <c r="X413" s="51" t="n">
        <f aca="false">IF(ISNUMBER(X365),N(X359)+X365,"")</f>
        <v>12870.4</v>
      </c>
      <c r="Y413" s="51" t="n">
        <f aca="false">IF(ISNUMBER(Y365),N(Y359)+Y365,"")</f>
        <v>12391.7</v>
      </c>
      <c r="Z413" s="51" t="n">
        <f aca="false">IF(ISNUMBER(Z365),N(Z359)+Z365,"")</f>
        <v>14652.2</v>
      </c>
      <c r="AA413" s="51" t="n">
        <f aca="false">IF(ISNUMBER(AA365),N(AA359)+AA365,"")</f>
        <v>8312.2</v>
      </c>
      <c r="AB413" s="51" t="n">
        <f aca="false">IF(ISNUMBER(AB365),N(AB359)+AB365,"")</f>
        <v>12269</v>
      </c>
      <c r="AC413" s="51" t="n">
        <f aca="false">IF(ISNUMBER(AC365),N(AC359)+AC365,"")</f>
        <v>12269</v>
      </c>
      <c r="AD413" s="51" t="n">
        <f aca="false">IF(ISNUMBER(AD365),N(AD359)+AD365,"")</f>
        <v>11950.3</v>
      </c>
      <c r="AE413" s="51" t="n">
        <f aca="false">IF(ISNUMBER(AE365),N(AE359)+AE365,"")</f>
        <v>11592</v>
      </c>
      <c r="AF413" s="51" t="n">
        <f aca="false">IF(ISNUMBER(AF365),N(AF359)+AF365,"")</f>
        <v>10909</v>
      </c>
      <c r="AG413" s="51" t="n">
        <f aca="false">IF(ISNUMBER(AG365),N(AG359)+AG365,"")</f>
        <v>10522.1</v>
      </c>
      <c r="AH413" s="51" t="n">
        <f aca="false">IF(ISNUMBER(AH365),N(AH359)+AH365,"")</f>
        <v>10522.1</v>
      </c>
      <c r="AI413" s="51" t="n">
        <f aca="false">IF(ISNUMBER(AI365),N(AI359)+AI365,"")</f>
        <v>10509.4</v>
      </c>
      <c r="AJ413" s="51" t="n">
        <f aca="false">IF(ISNUMBER(AJ365),N(AJ359)+AJ365,"")</f>
        <v>11320.7</v>
      </c>
      <c r="AK413" s="51" t="n">
        <f aca="false">IF(ISNUMBER(AK365),N(AK359)+AK365,"")</f>
        <v>10617.8</v>
      </c>
      <c r="AL413" s="51" t="n">
        <f aca="false">IF(ISNUMBER(AL365),N(AL359)+AL365,"")</f>
        <v>9740.3</v>
      </c>
      <c r="AM413" s="51" t="n">
        <f aca="false">IF(ISNUMBER(AM365),N(AM359)+AM365,"")</f>
        <v>9740.3</v>
      </c>
      <c r="AN413" s="51" t="n">
        <f aca="false">IF(ISNUMBER(AN365),N(AN359)+AN365,"")</f>
        <v>9494.8</v>
      </c>
      <c r="AO413" s="51" t="n">
        <f aca="false">IF(ISNUMBER(AO365),N(AO359)+AO365,"")</f>
        <v>10298.1</v>
      </c>
      <c r="AP413" s="51" t="n">
        <f aca="false">IF(ISNUMBER(AP365),N(AP359)+AP365,"")</f>
        <v>17604.8</v>
      </c>
      <c r="AQ413" s="51" t="n">
        <f aca="false">IF(ISNUMBER(AQ365),N(AQ359)+AQ365,"")</f>
        <v>21729.1</v>
      </c>
      <c r="AR413" s="51" t="n">
        <f aca="false">IF(ISNUMBER(AR365),N(AR359)+AR365,"")</f>
        <v>21729.1</v>
      </c>
      <c r="AS413" s="51" t="n">
        <f aca="false">IF(ISNUMBER(AS365),N(AS359)+AS365,"")</f>
        <v>25971.5</v>
      </c>
      <c r="AT413" s="51" t="n">
        <f aca="false">IF(ISNUMBER(AT365),N(AT359)+AT365,"")</f>
        <v>22387.2</v>
      </c>
      <c r="AU413" s="51" t="n">
        <f aca="false">IF(ISNUMBER(AU365),N(AU359)+AU365,"")</f>
        <v>21825.8</v>
      </c>
      <c r="AV413" s="51" t="n">
        <f aca="false">IF(ISNUMBER(AV365),N(AV359)+AV365,"")</f>
        <v>21204</v>
      </c>
      <c r="AW413" s="51" t="n">
        <f aca="false">IF(ISNUMBER(AW365),N(AW359)+AW365,"")</f>
        <v>21204</v>
      </c>
      <c r="AX413" s="51" t="n">
        <f aca="false">IF(ISNUMBER(AX365),N(AX359)+AX365,"")</f>
        <v>20277</v>
      </c>
      <c r="AY413" s="51" t="n">
        <f aca="false">IF(ISNUMBER(AY365),N(AY359)+AY365,"")</f>
        <v>20423</v>
      </c>
      <c r="AZ413" s="51" t="n">
        <f aca="false">IF(ISNUMBER(AZ365),N(AZ359)+AZ365,"")</f>
        <v>23598</v>
      </c>
      <c r="BA413" s="51" t="n">
        <f aca="false">IF(ISNUMBER(BA365),N(BA359)+BA365,"")</f>
        <v>22176</v>
      </c>
      <c r="BB413" s="51" t="n">
        <f aca="false">IF(ISNUMBER(BB365),N(BB359)+BB365,"")</f>
        <v>22176</v>
      </c>
      <c r="BC413" s="51" t="n">
        <f aca="false">IF(ISNUMBER(BC365),N(BC359)+BC365,"")</f>
        <v>21778</v>
      </c>
      <c r="BD413" s="51" t="n">
        <f aca="false">IF(ISNUMBER(BD365),N(BD359)+BD365,"")</f>
        <v>20062</v>
      </c>
      <c r="BE413" s="51" t="n">
        <f aca="false">IF(ISNUMBER(BE365),N(BE359)+BE365,"")</f>
        <v>19247</v>
      </c>
      <c r="BF413" s="51" t="n">
        <f aca="false">IF(ISNUMBER(BF365),N(BF359)+BF365,"")</f>
        <v>19677</v>
      </c>
      <c r="BG413" s="51" t="n">
        <f aca="false">IF(ISNUMBER(BG365),N(BG359)+BG365,"")</f>
        <v>19677</v>
      </c>
      <c r="BH413" s="51" t="n">
        <f aca="false">IF(ISNUMBER(BH365),N(BH359)+BH365,"")</f>
        <v>19832</v>
      </c>
      <c r="BI413" s="51" t="n">
        <f aca="false">IF(ISNUMBER(BI365),N(BI359)+BI365,"")</f>
        <v>19875</v>
      </c>
      <c r="BJ413" s="51" t="n">
        <f aca="false">IF(ISNUMBER(BJ365),N(BJ359)+BJ365,"")</f>
        <v>22060</v>
      </c>
      <c r="BK413" s="51" t="n">
        <f aca="false">IF(ISNUMBER(BK365),N(BK359)+BK365,"")</f>
        <v>18402</v>
      </c>
      <c r="BL413" s="51" t="n">
        <f aca="false">IF(ISNUMBER(BL365),N(BL359)+BL365,"")</f>
        <v>18402</v>
      </c>
      <c r="BM413" s="51" t="n">
        <f aca="false">IF(ISNUMBER(BM365),N(BM359)+BM365,"")</f>
        <v>18163</v>
      </c>
      <c r="BN413" s="51" t="n">
        <f aca="false">IF(ISNUMBER(BN365),N(BN359)+BN365,"")</f>
        <v>17010</v>
      </c>
      <c r="BO413" s="51" t="n">
        <f aca="false">IF(ISNUMBER(BO365),N(BO359)+BO365,"")</f>
        <v>17524</v>
      </c>
      <c r="BP413" s="51" t="n">
        <f aca="false">IF(ISNUMBER(BP365),N(BP359)+BP365,"")</f>
        <v>16005</v>
      </c>
      <c r="BQ413" s="51" t="n">
        <f aca="false">IF(ISNUMBER(BQ365),N(BQ359)+BQ365,"")</f>
        <v>16005</v>
      </c>
      <c r="BR413" s="51" t="n">
        <f aca="false">IF(ISNUMBER(BR365),N(BR359)+BR365,"")</f>
        <v>16477</v>
      </c>
      <c r="BS413" s="51" t="n">
        <f aca="false">IF(ISNUMBER(BS365),N(BS359)+BS365,"")</f>
        <v>17355</v>
      </c>
      <c r="BT413" s="51" t="n">
        <f aca="false">IF(ISNUMBER(BT365),N(BT359)+BT365,"")</f>
        <v>16856</v>
      </c>
      <c r="BU413" s="51" t="n">
        <f aca="false">IF(ISNUMBER(BU365),N(BU359)+BU365,"")</f>
        <v>18418</v>
      </c>
      <c r="BV413" s="51" t="n">
        <f aca="false">IF(ISNUMBER(BV365),N(BV359)+BV365,"")</f>
        <v>18418</v>
      </c>
      <c r="BW413" s="51" t="n">
        <f aca="false">IF(ISNUMBER(BW365),N(BW359)+BW365,"")</f>
        <v>18484</v>
      </c>
      <c r="BX413" s="51" t="n">
        <f aca="false">IF(ISNUMBER(BX365),N(BX359)+BX365,"")</f>
        <v>26558</v>
      </c>
      <c r="BY413" s="7"/>
      <c r="BZ413" s="7"/>
      <c r="CA413" s="41" t="n">
        <f aca="false">CA417+CA420</f>
        <v>23167.8876953299</v>
      </c>
      <c r="CB413" s="41" t="n">
        <f aca="false">CB417+CB420</f>
        <v>20943</v>
      </c>
      <c r="CC413" s="41" t="n">
        <f aca="false">CC417+CC420</f>
        <v>22110.0955446158</v>
      </c>
      <c r="CD413" s="41" t="n">
        <f aca="false">CD417+CD420</f>
        <v>23906.508690618</v>
      </c>
      <c r="CE413" s="41" t="n">
        <f aca="false">CE417+CE420</f>
        <v>25839.8479643874</v>
      </c>
      <c r="CF413" s="37" t="s">
        <v>598</v>
      </c>
    </row>
    <row r="414" customFormat="false" ht="15" hidden="false" customHeight="true" outlineLevel="0" collapsed="false">
      <c r="B414" s="89" t="s">
        <v>599</v>
      </c>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c r="AV414" s="70"/>
      <c r="AW414" s="70"/>
      <c r="AX414" s="70"/>
      <c r="AY414" s="70"/>
      <c r="AZ414" s="70"/>
      <c r="BA414" s="70"/>
      <c r="BB414" s="70"/>
      <c r="BC414" s="70"/>
      <c r="BD414" s="70"/>
      <c r="BE414" s="70"/>
      <c r="BF414" s="70"/>
      <c r="BG414" s="70"/>
      <c r="BH414" s="70"/>
      <c r="BI414" s="70"/>
      <c r="BJ414" s="70"/>
      <c r="BK414" s="70"/>
      <c r="BL414" s="70"/>
      <c r="BM414" s="70"/>
      <c r="BN414" s="70"/>
      <c r="BO414" s="70"/>
      <c r="BP414" s="70"/>
      <c r="BQ414" s="70"/>
      <c r="BR414" s="70"/>
      <c r="BS414" s="70"/>
      <c r="BT414" s="70"/>
      <c r="BU414" s="70"/>
      <c r="BV414" s="70"/>
      <c r="BW414" s="70"/>
      <c r="BX414" s="70"/>
      <c r="BY414" s="7"/>
      <c r="BZ414" s="7"/>
      <c r="CA414" s="43" t="n">
        <v>-912</v>
      </c>
      <c r="CB414" s="43" t="n">
        <v>-1181</v>
      </c>
      <c r="CC414" s="43" t="n">
        <v>-2249</v>
      </c>
      <c r="CD414" s="43" t="n">
        <v>-1198</v>
      </c>
      <c r="CE414" s="43" t="n">
        <v>-1760</v>
      </c>
      <c r="CF414" s="37" t="s">
        <v>600</v>
      </c>
    </row>
    <row r="415" customFormat="false" ht="15" hidden="false" customHeight="true" outlineLevel="0" collapsed="false">
      <c r="B415" s="89" t="s">
        <v>601</v>
      </c>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c r="AV415" s="70"/>
      <c r="AW415" s="70"/>
      <c r="AX415" s="70"/>
      <c r="AY415" s="70"/>
      <c r="AZ415" s="70"/>
      <c r="BA415" s="70"/>
      <c r="BB415" s="70"/>
      <c r="BC415" s="70"/>
      <c r="BD415" s="70"/>
      <c r="BE415" s="70"/>
      <c r="BF415" s="70"/>
      <c r="BG415" s="70"/>
      <c r="BH415" s="70"/>
      <c r="BI415" s="70"/>
      <c r="BJ415" s="70"/>
      <c r="BK415" s="70"/>
      <c r="BL415" s="70"/>
      <c r="BM415" s="70"/>
      <c r="BN415" s="70"/>
      <c r="BO415" s="70"/>
      <c r="BP415" s="70"/>
      <c r="BQ415" s="70"/>
      <c r="BR415" s="70"/>
      <c r="BS415" s="70"/>
      <c r="BT415" s="70"/>
      <c r="BU415" s="70"/>
      <c r="BV415" s="70"/>
      <c r="BW415" s="70"/>
      <c r="BX415" s="70"/>
      <c r="BY415" s="7"/>
      <c r="BZ415" s="7"/>
      <c r="CA415" s="35" t="n">
        <v>0</v>
      </c>
      <c r="CB415" s="35" t="n">
        <v>1</v>
      </c>
      <c r="CC415" s="35" t="n">
        <v>1</v>
      </c>
      <c r="CD415" s="35" t="n">
        <v>1</v>
      </c>
      <c r="CE415" s="35" t="n">
        <v>1</v>
      </c>
      <c r="CF415" s="37" t="s">
        <v>602</v>
      </c>
    </row>
    <row r="416" customFormat="false" ht="15" hidden="false" customHeight="true" outlineLevel="0" collapsed="false">
      <c r="B416" s="89" t="s">
        <v>603</v>
      </c>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c r="AV416" s="70"/>
      <c r="AW416" s="70"/>
      <c r="AX416" s="70"/>
      <c r="AY416" s="70"/>
      <c r="AZ416" s="70"/>
      <c r="BA416" s="70"/>
      <c r="BB416" s="70"/>
      <c r="BC416" s="70"/>
      <c r="BD416" s="70"/>
      <c r="BE416" s="70"/>
      <c r="BF416" s="70"/>
      <c r="BG416" s="70"/>
      <c r="BH416" s="70"/>
      <c r="BI416" s="70"/>
      <c r="BJ416" s="70"/>
      <c r="BK416" s="70"/>
      <c r="BL416" s="70"/>
      <c r="BM416" s="70"/>
      <c r="BN416" s="70"/>
      <c r="BO416" s="70"/>
      <c r="BP416" s="70"/>
      <c r="BQ416" s="70"/>
      <c r="BR416" s="70"/>
      <c r="BS416" s="70"/>
      <c r="BT416" s="70"/>
      <c r="BU416" s="70"/>
      <c r="BV416" s="70"/>
      <c r="BW416" s="70"/>
      <c r="BX416" s="70"/>
      <c r="BY416" s="7"/>
      <c r="BZ416" s="7"/>
      <c r="CA416" s="41" t="n">
        <f aca="false">-CA414*CA415</f>
        <v>0</v>
      </c>
      <c r="CB416" s="41" t="n">
        <f aca="false">-CB414*CB415</f>
        <v>1181</v>
      </c>
      <c r="CC416" s="41" t="n">
        <f aca="false">-CC414*CC415</f>
        <v>2249</v>
      </c>
      <c r="CD416" s="41" t="n">
        <f aca="false">-CD414*CD415</f>
        <v>1198</v>
      </c>
      <c r="CE416" s="41" t="n">
        <f aca="false">-CE414*CE415</f>
        <v>1760</v>
      </c>
      <c r="CF416" s="37"/>
    </row>
    <row r="417" customFormat="false" ht="15" hidden="false" customHeight="true" outlineLevel="0" collapsed="false">
      <c r="B417" s="89" t="s">
        <v>604</v>
      </c>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c r="AV417" s="70"/>
      <c r="AW417" s="70"/>
      <c r="AX417" s="70"/>
      <c r="AY417" s="70"/>
      <c r="AZ417" s="70"/>
      <c r="BA417" s="70"/>
      <c r="BB417" s="70"/>
      <c r="BC417" s="70"/>
      <c r="BD417" s="70"/>
      <c r="BE417" s="70"/>
      <c r="BF417" s="70"/>
      <c r="BG417" s="70"/>
      <c r="BH417" s="70"/>
      <c r="BI417" s="70"/>
      <c r="BJ417" s="70"/>
      <c r="BK417" s="70"/>
      <c r="BL417" s="70"/>
      <c r="BM417" s="70"/>
      <c r="BN417" s="70"/>
      <c r="BO417" s="70"/>
      <c r="BP417" s="70"/>
      <c r="BQ417" s="70"/>
      <c r="BR417" s="70"/>
      <c r="BS417" s="70"/>
      <c r="BT417" s="70"/>
      <c r="BU417" s="70"/>
      <c r="BV417" s="70"/>
      <c r="BW417" s="70"/>
      <c r="BX417" s="40" t="n">
        <v>21855</v>
      </c>
      <c r="BY417" s="7"/>
      <c r="BZ417" s="7"/>
      <c r="CA417" s="41" t="n">
        <f aca="false">BX417+CA414+CA416</f>
        <v>20943</v>
      </c>
      <c r="CB417" s="41" t="n">
        <f aca="false">CA417+CB414+CB416</f>
        <v>20943</v>
      </c>
      <c r="CC417" s="41" t="n">
        <f aca="false">CB417+CC414+CC416</f>
        <v>20943</v>
      </c>
      <c r="CD417" s="41" t="n">
        <f aca="false">CC417+CD414+CD416</f>
        <v>20943</v>
      </c>
      <c r="CE417" s="41" t="n">
        <f aca="false">CD417+CE414+CE416</f>
        <v>20943</v>
      </c>
      <c r="CF417" s="37"/>
    </row>
    <row r="418" customFormat="false" ht="15" hidden="false" customHeight="true" outlineLevel="0" collapsed="false">
      <c r="B418" s="89" t="s">
        <v>605</v>
      </c>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c r="AV418" s="70"/>
      <c r="AW418" s="70"/>
      <c r="AX418" s="70"/>
      <c r="AY418" s="70"/>
      <c r="AZ418" s="70"/>
      <c r="BA418" s="70"/>
      <c r="BB418" s="70"/>
      <c r="BC418" s="70"/>
      <c r="BD418" s="70"/>
      <c r="BE418" s="70"/>
      <c r="BF418" s="70"/>
      <c r="BG418" s="70"/>
      <c r="BH418" s="70"/>
      <c r="BI418" s="70"/>
      <c r="BJ418" s="70"/>
      <c r="BK418" s="70"/>
      <c r="BL418" s="70"/>
      <c r="BM418" s="70"/>
      <c r="BN418" s="70"/>
      <c r="BO418" s="70"/>
      <c r="BP418" s="70"/>
      <c r="BQ418" s="70"/>
      <c r="BR418" s="70"/>
      <c r="BS418" s="70"/>
      <c r="BT418" s="70"/>
      <c r="BU418" s="70"/>
      <c r="BV418" s="70"/>
      <c r="BW418" s="70"/>
      <c r="BX418" s="70"/>
      <c r="BY418" s="7"/>
      <c r="BZ418" s="7"/>
      <c r="CA418" s="41" t="n">
        <f aca="false">CA317+CA302+CA308+CA309+CA310+CA311+CA313+CA315+(BW312+BX312)+(BX417-BX413)+CA414+CA416+BX413-BX417</f>
        <v>4478.11230467013</v>
      </c>
      <c r="CB418" s="41" t="n">
        <f aca="false">CB317+CB302+CB308+CB309+CB310+CB311+CB313+CB315+CB414+CB416</f>
        <v>4644.64734072494</v>
      </c>
      <c r="CC418" s="41" t="n">
        <f aca="false">CC317+CC302+CC308+CC309+CC310+CC311+CC313+CC315+CC414+CC416</f>
        <v>832.904455384196</v>
      </c>
      <c r="CD418" s="41" t="n">
        <f aca="false">CD317+CD302+CD308+CD309+CD310+CD311+CD313+CD315+CD414+CD416</f>
        <v>203.586853997839</v>
      </c>
      <c r="CE418" s="41" t="n">
        <f aca="false">CE317+CE302+CE308+CE309+CE310+CE311+CE313+CE315+CE414+CE416</f>
        <v>66.6607262305952</v>
      </c>
      <c r="CF418" s="37"/>
    </row>
    <row r="419" customFormat="false" ht="15" hidden="false" customHeight="true" outlineLevel="0" collapsed="false">
      <c r="B419" s="89" t="s">
        <v>606</v>
      </c>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c r="AV419" s="70"/>
      <c r="AW419" s="70"/>
      <c r="AX419" s="70"/>
      <c r="AY419" s="70"/>
      <c r="AZ419" s="70"/>
      <c r="BA419" s="70"/>
      <c r="BB419" s="70"/>
      <c r="BC419" s="70"/>
      <c r="BD419" s="70"/>
      <c r="BE419" s="70"/>
      <c r="BF419" s="70"/>
      <c r="BG419" s="70"/>
      <c r="BH419" s="70"/>
      <c r="BI419" s="70"/>
      <c r="BJ419" s="70"/>
      <c r="BK419" s="70"/>
      <c r="BL419" s="70"/>
      <c r="BM419" s="70"/>
      <c r="BN419" s="70"/>
      <c r="BO419" s="70"/>
      <c r="BP419" s="70"/>
      <c r="BQ419" s="70"/>
      <c r="BR419" s="70"/>
      <c r="BS419" s="70"/>
      <c r="BT419" s="70"/>
      <c r="BU419" s="70"/>
      <c r="BV419" s="70"/>
      <c r="BW419" s="70"/>
      <c r="BX419" s="70"/>
      <c r="BY419" s="7"/>
      <c r="BZ419" s="7"/>
      <c r="CA419" s="43" t="n">
        <v>2000</v>
      </c>
      <c r="CB419" s="43" t="n">
        <v>2000</v>
      </c>
      <c r="CC419" s="43" t="n">
        <v>2000</v>
      </c>
      <c r="CD419" s="43" t="n">
        <v>2000</v>
      </c>
      <c r="CE419" s="43" t="n">
        <v>2000</v>
      </c>
      <c r="CF419" s="37"/>
    </row>
    <row r="420" customFormat="false" ht="15" hidden="false" customHeight="true" outlineLevel="0" collapsed="false">
      <c r="B420" s="89" t="s">
        <v>607</v>
      </c>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c r="AV420" s="70"/>
      <c r="AW420" s="70"/>
      <c r="AX420" s="70"/>
      <c r="AY420" s="70"/>
      <c r="AZ420" s="70"/>
      <c r="BA420" s="70"/>
      <c r="BB420" s="70"/>
      <c r="BC420" s="70"/>
      <c r="BD420" s="70"/>
      <c r="BE420" s="70"/>
      <c r="BF420" s="70"/>
      <c r="BG420" s="70"/>
      <c r="BH420" s="70"/>
      <c r="BI420" s="70"/>
      <c r="BJ420" s="70"/>
      <c r="BK420" s="70"/>
      <c r="BL420" s="70"/>
      <c r="BM420" s="70"/>
      <c r="BN420" s="70"/>
      <c r="BO420" s="70"/>
      <c r="BP420" s="70"/>
      <c r="BQ420" s="70"/>
      <c r="BR420" s="70"/>
      <c r="BS420" s="70"/>
      <c r="BT420" s="70"/>
      <c r="BU420" s="70"/>
      <c r="BV420" s="70"/>
      <c r="BW420" s="70"/>
      <c r="BX420" s="40" t="n">
        <v>4703</v>
      </c>
      <c r="BY420" s="7"/>
      <c r="BZ420" s="7"/>
      <c r="CA420" s="41" t="n">
        <f aca="false">MAX(0,BX420+CA419-CA418)</f>
        <v>2224.88769532988</v>
      </c>
      <c r="CB420" s="41" t="n">
        <f aca="false">MAX(0,CA420+CB419-CB418)</f>
        <v>0</v>
      </c>
      <c r="CC420" s="41" t="n">
        <f aca="false">MAX(0,CB420+CC419-CC418)</f>
        <v>1167.0955446158</v>
      </c>
      <c r="CD420" s="41" t="n">
        <f aca="false">MAX(0,CC420+CD419-CD418)</f>
        <v>2963.50869061797</v>
      </c>
      <c r="CE420" s="41" t="n">
        <f aca="false">MAX(0,CD420+CE419-CE418)</f>
        <v>4896.84796438737</v>
      </c>
      <c r="CF420" s="37" t="s">
        <v>608</v>
      </c>
    </row>
    <row r="421" customFormat="false" ht="15" hidden="false" customHeight="true" outlineLevel="0" collapsed="false">
      <c r="B421" s="89" t="s">
        <v>609</v>
      </c>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c r="AV421" s="70"/>
      <c r="AW421" s="70"/>
      <c r="AX421" s="70"/>
      <c r="AY421" s="70"/>
      <c r="AZ421" s="70"/>
      <c r="BA421" s="70"/>
      <c r="BB421" s="70"/>
      <c r="BC421" s="70"/>
      <c r="BD421" s="70"/>
      <c r="BE421" s="70"/>
      <c r="BF421" s="70"/>
      <c r="BG421" s="70"/>
      <c r="BH421" s="70"/>
      <c r="BI421" s="70"/>
      <c r="BJ421" s="70"/>
      <c r="BK421" s="70"/>
      <c r="BL421" s="70"/>
      <c r="BM421" s="70"/>
      <c r="BN421" s="70"/>
      <c r="BO421" s="70"/>
      <c r="BP421" s="70"/>
      <c r="BQ421" s="70"/>
      <c r="BR421" s="70"/>
      <c r="BS421" s="70"/>
      <c r="BT421" s="70"/>
      <c r="BU421" s="70"/>
      <c r="BV421" s="70"/>
      <c r="BW421" s="70"/>
      <c r="BX421" s="70"/>
      <c r="BY421" s="7"/>
      <c r="BZ421" s="7"/>
      <c r="CA421" s="41" t="n">
        <f aca="false">IFERROR(CA413-BV413,"")</f>
        <v>4749.88769532988</v>
      </c>
      <c r="CB421" s="41" t="n">
        <f aca="false">IFERROR(CB413-CA413,"")</f>
        <v>-2224.88769532988</v>
      </c>
      <c r="CC421" s="41" t="n">
        <f aca="false">IFERROR(CC413-CB413,"")</f>
        <v>1167.0955446158</v>
      </c>
      <c r="CD421" s="41" t="n">
        <f aca="false">IFERROR(CD413-CC413,"")</f>
        <v>1796.41314600216</v>
      </c>
      <c r="CE421" s="41" t="n">
        <f aca="false">IFERROR(CE413-CD413,"")</f>
        <v>1933.3392737694</v>
      </c>
      <c r="CF421" s="37"/>
    </row>
    <row r="422" customFormat="false" ht="15" hidden="false" customHeight="true" outlineLevel="0" collapsed="false">
      <c r="B422" s="89" t="s">
        <v>610</v>
      </c>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c r="AV422" s="70"/>
      <c r="AW422" s="70"/>
      <c r="AX422" s="70"/>
      <c r="AY422" s="70"/>
      <c r="AZ422" s="70"/>
      <c r="BA422" s="70"/>
      <c r="BB422" s="70"/>
      <c r="BC422" s="70"/>
      <c r="BD422" s="70"/>
      <c r="BE422" s="70"/>
      <c r="BF422" s="70"/>
      <c r="BG422" s="70"/>
      <c r="BH422" s="70"/>
      <c r="BI422" s="70"/>
      <c r="BJ422" s="70"/>
      <c r="BK422" s="70"/>
      <c r="BL422" s="70"/>
      <c r="BM422" s="70"/>
      <c r="BN422" s="70"/>
      <c r="BO422" s="70"/>
      <c r="BP422" s="70"/>
      <c r="BQ422" s="70"/>
      <c r="BR422" s="70"/>
      <c r="BS422" s="70"/>
      <c r="BT422" s="70"/>
      <c r="BU422" s="70"/>
      <c r="BV422" s="70"/>
      <c r="BW422" s="70"/>
      <c r="BX422" s="70"/>
      <c r="BY422" s="7"/>
      <c r="BZ422" s="7"/>
      <c r="CA422" s="45"/>
      <c r="CB422" s="35" t="n">
        <v>0.021</v>
      </c>
      <c r="CC422" s="35" t="n">
        <v>0.022</v>
      </c>
      <c r="CD422" s="35" t="n">
        <v>0.024</v>
      </c>
      <c r="CE422" s="35" t="n">
        <v>0.025</v>
      </c>
      <c r="CF422" s="37" t="s">
        <v>611</v>
      </c>
    </row>
    <row r="423" customFormat="false" ht="15" hidden="false" customHeight="true" outlineLevel="0" collapsed="false">
      <c r="B423" s="89" t="s">
        <v>612</v>
      </c>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c r="AV423" s="70"/>
      <c r="AW423" s="70"/>
      <c r="AX423" s="70"/>
      <c r="AY423" s="70"/>
      <c r="AZ423" s="70"/>
      <c r="BA423" s="70"/>
      <c r="BB423" s="70"/>
      <c r="BC423" s="70"/>
      <c r="BD423" s="70"/>
      <c r="BE423" s="70"/>
      <c r="BF423" s="70"/>
      <c r="BG423" s="70"/>
      <c r="BH423" s="70"/>
      <c r="BI423" s="70"/>
      <c r="BJ423" s="70"/>
      <c r="BK423" s="70"/>
      <c r="BL423" s="70"/>
      <c r="BM423" s="70"/>
      <c r="BN423" s="70"/>
      <c r="BO423" s="70"/>
      <c r="BP423" s="70"/>
      <c r="BQ423" s="70"/>
      <c r="BR423" s="70"/>
      <c r="BS423" s="70"/>
      <c r="BT423" s="70"/>
      <c r="BU423" s="70"/>
      <c r="BV423" s="70"/>
      <c r="BW423" s="70"/>
      <c r="BX423" s="70"/>
      <c r="BY423" s="7"/>
      <c r="BZ423" s="7"/>
      <c r="CA423" s="45"/>
      <c r="CB423" s="35" t="n">
        <v>0.025</v>
      </c>
      <c r="CC423" s="35" t="n">
        <v>0.025</v>
      </c>
      <c r="CD423" s="35" t="n">
        <v>0.025</v>
      </c>
      <c r="CE423" s="35" t="n">
        <v>0.025</v>
      </c>
      <c r="CF423" s="37"/>
    </row>
    <row r="424" customFormat="false" ht="15" hidden="false" customHeight="true" outlineLevel="0" collapsed="false">
      <c r="B424" s="89" t="s">
        <v>613</v>
      </c>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c r="AV424" s="70"/>
      <c r="AW424" s="70"/>
      <c r="AX424" s="70"/>
      <c r="AY424" s="70"/>
      <c r="AZ424" s="70"/>
      <c r="BA424" s="70"/>
      <c r="BB424" s="70"/>
      <c r="BC424" s="70"/>
      <c r="BD424" s="70"/>
      <c r="BE424" s="70"/>
      <c r="BF424" s="70"/>
      <c r="BG424" s="70"/>
      <c r="BH424" s="70"/>
      <c r="BI424" s="70"/>
      <c r="BJ424" s="70"/>
      <c r="BK424" s="70"/>
      <c r="BL424" s="70"/>
      <c r="BM424" s="70"/>
      <c r="BN424" s="70"/>
      <c r="BO424" s="70"/>
      <c r="BP424" s="70"/>
      <c r="BQ424" s="70"/>
      <c r="BR424" s="70"/>
      <c r="BS424" s="70"/>
      <c r="BT424" s="70"/>
      <c r="BU424" s="70"/>
      <c r="BV424" s="70"/>
      <c r="BW424" s="70"/>
      <c r="BX424" s="70"/>
      <c r="BY424" s="7"/>
      <c r="BZ424" s="7"/>
      <c r="CA424" s="45"/>
      <c r="CB424" s="35" t="n">
        <v>0.03</v>
      </c>
      <c r="CC424" s="35" t="n">
        <v>0.03</v>
      </c>
      <c r="CD424" s="35" t="n">
        <v>0.03</v>
      </c>
      <c r="CE424" s="35" t="n">
        <v>0.03</v>
      </c>
      <c r="CF424" s="37"/>
    </row>
    <row r="425" customFormat="false" ht="15" hidden="false" customHeight="true" outlineLevel="0" collapsed="false">
      <c r="B425" s="27" t="s">
        <v>614</v>
      </c>
      <c r="CF425" s="7"/>
    </row>
    <row r="426" customFormat="false" ht="15" hidden="false" customHeight="true" outlineLevel="0" collapsed="false">
      <c r="B426" s="89" t="s">
        <v>615</v>
      </c>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c r="AV426" s="70"/>
      <c r="AW426" s="70"/>
      <c r="AX426" s="70"/>
      <c r="AY426" s="70"/>
      <c r="AZ426" s="70"/>
      <c r="BA426" s="70"/>
      <c r="BB426" s="70"/>
      <c r="BC426" s="70"/>
      <c r="BD426" s="70"/>
      <c r="BE426" s="70"/>
      <c r="BF426" s="70"/>
      <c r="BG426" s="70"/>
      <c r="BH426" s="70"/>
      <c r="BI426" s="70"/>
      <c r="BJ426" s="70"/>
      <c r="BK426" s="70"/>
      <c r="BL426" s="70"/>
      <c r="BM426" s="70"/>
      <c r="BN426" s="70"/>
      <c r="BO426" s="70"/>
      <c r="BP426" s="70"/>
      <c r="BQ426" s="70"/>
      <c r="BR426" s="70"/>
      <c r="BS426" s="70"/>
      <c r="BT426" s="70"/>
      <c r="BU426" s="70"/>
      <c r="BV426" s="70"/>
      <c r="BW426" s="70"/>
      <c r="BX426" s="70"/>
      <c r="BY426" s="7"/>
      <c r="BZ426" s="7"/>
      <c r="CA426" s="45"/>
      <c r="CB426" s="91" t="n">
        <f aca="false">CHOOSE(MATCH($CF$2,{"Bull","Base","Bear"},0),$CO$30,$CP$30,$CQ$30)</f>
        <v>2</v>
      </c>
      <c r="CC426" s="91" t="n">
        <f aca="false">CHOOSE(MATCH($CF$2,{"Bull","Base","Bear"},0),$CO$30,$CP$30,$CQ$30)</f>
        <v>2</v>
      </c>
      <c r="CD426" s="91" t="n">
        <f aca="false">CHOOSE(MATCH($CF$2,{"Bull","Base","Bear"},0),$CO$30,$CP$30,$CQ$30)</f>
        <v>2</v>
      </c>
      <c r="CE426" s="91" t="n">
        <f aca="false">CHOOSE(MATCH($CF$2,{"Bull","Base","Bear"},0),$CO$30,$CP$30,$CQ$30)</f>
        <v>2</v>
      </c>
      <c r="CF426" s="37" t="s">
        <v>138</v>
      </c>
    </row>
    <row r="427" customFormat="false" ht="15" hidden="false" customHeight="true" outlineLevel="0" collapsed="false">
      <c r="B427" s="89" t="s">
        <v>616</v>
      </c>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c r="AV427" s="70"/>
      <c r="AW427" s="70"/>
      <c r="AX427" s="70"/>
      <c r="AY427" s="70"/>
      <c r="AZ427" s="70"/>
      <c r="BA427" s="70"/>
      <c r="BB427" s="70"/>
      <c r="BC427" s="70"/>
      <c r="BD427" s="70"/>
      <c r="BE427" s="70"/>
      <c r="BF427" s="70"/>
      <c r="BG427" s="70"/>
      <c r="BH427" s="70"/>
      <c r="BI427" s="70"/>
      <c r="BJ427" s="70"/>
      <c r="BK427" s="70"/>
      <c r="BL427" s="70"/>
      <c r="BM427" s="70"/>
      <c r="BN427" s="70"/>
      <c r="BO427" s="70"/>
      <c r="BP427" s="70"/>
      <c r="BQ427" s="70"/>
      <c r="BR427" s="70"/>
      <c r="BS427" s="70"/>
      <c r="BT427" s="70"/>
      <c r="BU427" s="70"/>
      <c r="BV427" s="70"/>
      <c r="BW427" s="70"/>
      <c r="BX427" s="70"/>
      <c r="BY427" s="7"/>
      <c r="BZ427" s="7"/>
      <c r="CA427" s="45"/>
      <c r="CB427" s="41" t="n">
        <f aca="false">CA417+CA420-CA318-CB302-CB308-CB310-CB309-CB313-CB315</f>
        <v>17008.0668824374</v>
      </c>
      <c r="CC427" s="41" t="n">
        <f aca="false">CB417+CB420-CB318-CC302-CC308-CC310-CC309-CC313-CC315</f>
        <v>14833.2545022517</v>
      </c>
      <c r="CD427" s="41" t="n">
        <f aca="false">CC417+CC420-CC318-CD302-CD308-CD310-CD309-CD313-CD315</f>
        <v>16382.4010276066</v>
      </c>
      <c r="CE427" s="41" t="n">
        <f aca="false">CD417+CD420-CD318-CE302-CE308-CE310-CE309-CE313-CE315</f>
        <v>17604.590187747</v>
      </c>
      <c r="CF427" s="37"/>
    </row>
    <row r="428" customFormat="false" ht="15" hidden="false" customHeight="true" outlineLevel="0" collapsed="false">
      <c r="B428" s="89" t="s">
        <v>617</v>
      </c>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c r="AV428" s="70"/>
      <c r="AW428" s="70"/>
      <c r="AX428" s="70"/>
      <c r="AY428" s="70"/>
      <c r="AZ428" s="70"/>
      <c r="BA428" s="70"/>
      <c r="BB428" s="70"/>
      <c r="BC428" s="70"/>
      <c r="BD428" s="70"/>
      <c r="BE428" s="70"/>
      <c r="BF428" s="70"/>
      <c r="BG428" s="70"/>
      <c r="BH428" s="70"/>
      <c r="BI428" s="70"/>
      <c r="BJ428" s="70"/>
      <c r="BK428" s="70"/>
      <c r="BL428" s="70"/>
      <c r="BM428" s="70"/>
      <c r="BN428" s="70"/>
      <c r="BO428" s="70"/>
      <c r="BP428" s="70"/>
      <c r="BQ428" s="70"/>
      <c r="BR428" s="70"/>
      <c r="BS428" s="70"/>
      <c r="BT428" s="70"/>
      <c r="BU428" s="70"/>
      <c r="BV428" s="70"/>
      <c r="BW428" s="70"/>
      <c r="BX428" s="70"/>
      <c r="BY428" s="7"/>
      <c r="BZ428" s="7"/>
      <c r="CA428" s="45"/>
      <c r="CB428" s="41" t="n">
        <f aca="false">CB426*CB227</f>
        <v>18523.2403546049</v>
      </c>
      <c r="CC428" s="41" t="n">
        <f aca="false">CC426*CC227</f>
        <v>20110.0955446158</v>
      </c>
      <c r="CD428" s="41" t="n">
        <f aca="false">CD426*CD227</f>
        <v>21906.508690618</v>
      </c>
      <c r="CE428" s="41" t="n">
        <f aca="false">CE426*CE227</f>
        <v>23839.8479643874</v>
      </c>
      <c r="CF428" s="37"/>
    </row>
    <row r="429" customFormat="false" ht="15" hidden="false" customHeight="true" outlineLevel="0" collapsed="false">
      <c r="B429" s="89" t="s">
        <v>618</v>
      </c>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c r="AV429" s="70"/>
      <c r="AW429" s="70"/>
      <c r="AX429" s="70"/>
      <c r="AY429" s="70"/>
      <c r="AZ429" s="70"/>
      <c r="BA429" s="70"/>
      <c r="BB429" s="70"/>
      <c r="BC429" s="70"/>
      <c r="BD429" s="70"/>
      <c r="BE429" s="70"/>
      <c r="BF429" s="70"/>
      <c r="BG429" s="70"/>
      <c r="BH429" s="70"/>
      <c r="BI429" s="70"/>
      <c r="BJ429" s="70"/>
      <c r="BK429" s="70"/>
      <c r="BL429" s="70"/>
      <c r="BM429" s="70"/>
      <c r="BN429" s="70"/>
      <c r="BO429" s="70"/>
      <c r="BP429" s="70"/>
      <c r="BQ429" s="70"/>
      <c r="BR429" s="70"/>
      <c r="BS429" s="70"/>
      <c r="BT429" s="70"/>
      <c r="BU429" s="70"/>
      <c r="BV429" s="70"/>
      <c r="BW429" s="70"/>
      <c r="BX429" s="70"/>
      <c r="BY429" s="7"/>
      <c r="BZ429" s="7"/>
      <c r="CA429" s="45"/>
      <c r="CB429" s="41" t="n">
        <f aca="false">MAX(0,CB428-CB427)</f>
        <v>1515.1734721675</v>
      </c>
      <c r="CC429" s="41" t="n">
        <f aca="false">MAX(0,CC428-CC427)</f>
        <v>5276.84104236413</v>
      </c>
      <c r="CD429" s="41" t="n">
        <f aca="false">MAX(0,CD428-CD427)</f>
        <v>5524.10766301139</v>
      </c>
      <c r="CE429" s="41" t="n">
        <f aca="false">MAX(0,CE428-CE427)</f>
        <v>6235.25777664038</v>
      </c>
      <c r="CF429" s="37" t="s">
        <v>619</v>
      </c>
    </row>
    <row r="430" customFormat="false" ht="15" hidden="false" customHeight="true" outlineLevel="0" collapsed="false">
      <c r="B430" s="27" t="s">
        <v>620</v>
      </c>
      <c r="CF430" s="7"/>
    </row>
    <row r="431" customFormat="false" ht="15" hidden="false" customHeight="true" outlineLevel="0" collapsed="false">
      <c r="B431" s="27" t="s">
        <v>621</v>
      </c>
      <c r="C431" s="42" t="n">
        <f aca="false">IF(AND(ISNUMBER(C205),ISNUMBER(C178)),IFERROR(C205/C178,""),"")</f>
        <v>0.0229450354422624</v>
      </c>
      <c r="D431" s="42" t="n">
        <f aca="false">IF(AND(ISNUMBER(D205),ISNUMBER(D178)),IFERROR(D205/D178,""),"")</f>
        <v>0.0243517535983457</v>
      </c>
      <c r="E431" s="42" t="n">
        <f aca="false">IF(AND(ISNUMBER(E205),ISNUMBER(E178)),IFERROR(E205/E178,""),"")</f>
        <v>0.0267217956290608</v>
      </c>
      <c r="F431" s="42" t="n">
        <f aca="false">IF(AND(ISNUMBER(F205),ISNUMBER(F178)),IFERROR(F205/F178,""),"")</f>
        <v>0.0305411760498529</v>
      </c>
      <c r="G431" s="42" t="n">
        <f aca="false">IF(AND(ISNUMBER(G205),ISNUMBER(G178)),IFERROR(G205/G178,""),"")</f>
        <v>0.0316414342629482</v>
      </c>
      <c r="H431" s="42" t="n">
        <f aca="false">IF(AND(ISNUMBER(H205),ISNUMBER(H178)),IFERROR(H205/H178,""),"")</f>
        <v>0.0394642801653149</v>
      </c>
      <c r="I431" s="42" t="n">
        <f aca="false">IF(AND(ISNUMBER(I205),ISNUMBER(I178)),IFERROR(I205/I178,""),"")</f>
        <v>0.0459902302249677</v>
      </c>
      <c r="J431" s="42" t="n">
        <f aca="false">IF(AND(ISNUMBER(J205),ISNUMBER(J178)),IFERROR(J205/J178,""),"")</f>
        <v>0.0487771953112696</v>
      </c>
      <c r="K431" s="42" t="n">
        <f aca="false">IF(AND(ISNUMBER(K205),ISNUMBER(K178)),IFERROR(K205/K178,""),"")</f>
        <v>0.0463535620052771</v>
      </c>
      <c r="L431" s="42" t="n">
        <f aca="false">IF(AND(ISNUMBER(L205),ISNUMBER(L178)),IFERROR(L205/L178,""),"")</f>
        <v>0.0482534107215523</v>
      </c>
      <c r="M431" s="42" t="n">
        <f aca="false">IF(AND(ISNUMBER(M205),ISNUMBER(M178)),IFERROR(M205/M178,""),"")</f>
        <v>0.0442971879924811</v>
      </c>
      <c r="N431" s="42" t="n">
        <f aca="false">IF(AND(ISNUMBER(N205),ISNUMBER(N178)),IFERROR(N205/N178,""),"")</f>
        <v>0.0468145203473167</v>
      </c>
      <c r="O431" s="42" t="n">
        <f aca="false">IF(AND(ISNUMBER(O205),ISNUMBER(O178)),IFERROR(O205/O178,""),"")</f>
        <v>0.0481909623179703</v>
      </c>
      <c r="P431" s="42" t="n">
        <f aca="false">IF(AND(ISNUMBER(P205),ISNUMBER(P178)),IFERROR(P205/P178,""),"")</f>
        <v>0.0474252558626803</v>
      </c>
      <c r="Q431" s="42" t="n">
        <f aca="false">IF(AND(ISNUMBER(Q205),ISNUMBER(Q178)),IFERROR(Q205/Q178,""),"")</f>
        <v>0.0493722249367976</v>
      </c>
      <c r="R431" s="42" t="n">
        <f aca="false">IF(AND(ISNUMBER(R205),ISNUMBER(R178)),IFERROR(R205/R178,""),"")</f>
        <v>0.0439493128134451</v>
      </c>
      <c r="S431" s="42" t="n">
        <f aca="false">IF(AND(ISNUMBER(S205),ISNUMBER(S178)),IFERROR(S205/S178,""),"")</f>
        <v>0.0472277331105774</v>
      </c>
      <c r="T431" s="42" t="n">
        <f aca="false">IF(AND(ISNUMBER(T205),ISNUMBER(T178)),IFERROR(T205/T178,""),"")</f>
        <v>0.0510149743327582</v>
      </c>
      <c r="U431" s="42" t="n">
        <f aca="false">IF(AND(ISNUMBER(U205),ISNUMBER(U178)),IFERROR(U205/U178,""),"")</f>
        <v>0.0484254667150518</v>
      </c>
      <c r="V431" s="42" t="n">
        <f aca="false">IF(AND(ISNUMBER(V205),ISNUMBER(V178)),IFERROR(V205/V178,""),"")</f>
        <v>0.067479072945732</v>
      </c>
      <c r="W431" s="42" t="n">
        <f aca="false">IF(AND(ISNUMBER(W205),ISNUMBER(W178)),IFERROR(W205/W178,""),"")</f>
        <v>0.0681933842239186</v>
      </c>
      <c r="X431" s="42" t="n">
        <f aca="false">IF(AND(ISNUMBER(X205),ISNUMBER(X178)),IFERROR(X205/X178,""),"")</f>
        <v>0.067224620159765</v>
      </c>
      <c r="Y431" s="42" t="n">
        <f aca="false">IF(AND(ISNUMBER(Y205),ISNUMBER(Y178)),IFERROR(Y205/Y178,""),"")</f>
        <v>0.0738258454167835</v>
      </c>
      <c r="Z431" s="42" t="n">
        <f aca="false">IF(AND(ISNUMBER(Z205),ISNUMBER(Z178)),IFERROR(Z205/Z178,""),"")</f>
        <v>0.0707701737428982</v>
      </c>
      <c r="AA431" s="42" t="n">
        <f aca="false">IF(AND(ISNUMBER(AA205),ISNUMBER(AA178)),IFERROR(AA205/AA178,""),"")</f>
        <v>0.0562909900534837</v>
      </c>
      <c r="AB431" s="42" t="n">
        <f aca="false">IF(AND(ISNUMBER(AB205),ISNUMBER(AB178)),IFERROR(AB205/AB178,""),"")</f>
        <v>0.0666623039504396</v>
      </c>
      <c r="AC431" s="42" t="n">
        <f aca="false">IF(AND(ISNUMBER(AC205),ISNUMBER(AC178)),IFERROR(AC205/AC178,""),"")</f>
        <v>0.0668210680945837</v>
      </c>
      <c r="AD431" s="42" t="n">
        <f aca="false">IF(AND(ISNUMBER(AD205),ISNUMBER(AD178)),IFERROR(AD205/AD178,""),"")</f>
        <v>0.0726632902965024</v>
      </c>
      <c r="AE431" s="42" t="n">
        <f aca="false">IF(AND(ISNUMBER(AE205),ISNUMBER(AE178)),IFERROR(AE205/AE178,""),"")</f>
        <v>0.0672268907563025</v>
      </c>
      <c r="AF431" s="42" t="n">
        <f aca="false">IF(AND(ISNUMBER(AF205),ISNUMBER(AF178)),IFERROR(AF205/AF178,""),"")</f>
        <v>0.0687469634733448</v>
      </c>
      <c r="AG431" s="42" t="n">
        <f aca="false">IF(AND(ISNUMBER(AG205),ISNUMBER(AG178)),IFERROR(AG205/AG178,""),"")</f>
        <v>0.0625675914819985</v>
      </c>
      <c r="AH431" s="42" t="n">
        <f aca="false">IF(AND(ISNUMBER(AH205),ISNUMBER(AH178)),IFERROR(AH205/AH178,""),"")</f>
        <v>0.0675570249376695</v>
      </c>
      <c r="AI431" s="42" t="n">
        <f aca="false">IF(AND(ISNUMBER(AI205),ISNUMBER(AI178)),IFERROR(AI205/AI178,""),"")</f>
        <v>0.0683221876730417</v>
      </c>
      <c r="AJ431" s="42" t="n">
        <f aca="false">IF(AND(ISNUMBER(AJ205),ISNUMBER(AJ178)),IFERROR(AJ205/AJ178,""),"")</f>
        <v>0.0671752660108412</v>
      </c>
      <c r="AK431" s="42" t="n">
        <f aca="false">IF(AND(ISNUMBER(AK205),ISNUMBER(AK178)),IFERROR(AK205/AK178,""),"")</f>
        <v>0.0662463167872082</v>
      </c>
      <c r="AL431" s="42" t="n">
        <f aca="false">IF(AND(ISNUMBER(AL205),ISNUMBER(AL178)),IFERROR(AL205/AL178,""),"")</f>
        <v>0.0669345205776957</v>
      </c>
      <c r="AM431" s="42" t="n">
        <f aca="false">IF(AND(ISNUMBER(AM205),ISNUMBER(AM178)),IFERROR(AM205/AM178,""),"")</f>
        <v>0.0713904449071766</v>
      </c>
      <c r="AN431" s="42" t="n">
        <f aca="false">IF(AND(ISNUMBER(AN205),ISNUMBER(AN178)),IFERROR(AN205/AN178,""),"")</f>
        <v>0.0724847163641534</v>
      </c>
      <c r="AO431" s="42" t="n">
        <f aca="false">IF(AND(ISNUMBER(AO205),ISNUMBER(AO178)),IFERROR(AO205/AO178,""),"")</f>
        <v>0.0693666329170885</v>
      </c>
      <c r="AP431" s="42" t="n">
        <f aca="false">IF(AND(ISNUMBER(AP205),ISNUMBER(AP178)),IFERROR(AP205/AP178,""),"")</f>
        <v>0.0697578803106441</v>
      </c>
      <c r="AQ431" s="42" t="n">
        <f aca="false">IF(AND(ISNUMBER(AQ205),ISNUMBER(AQ178)),IFERROR(AQ205/AQ178,""),"")</f>
        <v>0.0554391586558212</v>
      </c>
      <c r="AR431" s="42" t="n">
        <f aca="false">IF(AND(ISNUMBER(AR205),ISNUMBER(AR178)),IFERROR(AR205/AR178,""),"")</f>
        <v>0.0664113315206771</v>
      </c>
      <c r="AS431" s="42" t="n">
        <f aca="false">IF(AND(ISNUMBER(AS205),ISNUMBER(AS178)),IFERROR(AS205/AS178,""),"")</f>
        <v>0.0685685339964541</v>
      </c>
      <c r="AT431" s="42" t="n">
        <f aca="false">IF(AND(ISNUMBER(AT205),ISNUMBER(AT178)),IFERROR(AT205/AT178,""),"")</f>
        <v>0.0900630497980141</v>
      </c>
      <c r="AU431" s="42" t="n">
        <f aca="false">IF(AND(ISNUMBER(AU205),ISNUMBER(AU178)),IFERROR(AU205/AU178,""),"")</f>
        <v>0.083542969812347</v>
      </c>
      <c r="AV431" s="42" t="n">
        <f aca="false">IF(AND(ISNUMBER(AV205),ISNUMBER(AV178)),IFERROR(AV205/AV178,""),"")</f>
        <v>0.0751775147928994</v>
      </c>
      <c r="AW431" s="42" t="n">
        <f aca="false">IF(AND(ISNUMBER(AW205),ISNUMBER(AW178)),IFERROR(AW205/AW178,""),"")</f>
        <v>0.079653563094597</v>
      </c>
      <c r="AX431" s="42" t="n">
        <f aca="false">IF(AND(ISNUMBER(AX205),ISNUMBER(AX178)),IFERROR(AX205/AX178,""),"")</f>
        <v>0.0731991834354039</v>
      </c>
      <c r="AY431" s="42" t="n">
        <f aca="false">IF(AND(ISNUMBER(AY205),ISNUMBER(AY178)),IFERROR(AY205/AY178,""),"")</f>
        <v>0.072734829592685</v>
      </c>
      <c r="AZ431" s="42" t="n">
        <f aca="false">IF(AND(ISNUMBER(AZ205),ISNUMBER(AZ178)),IFERROR(AZ205/AZ178,""),"")</f>
        <v>0.0766357725826532</v>
      </c>
      <c r="BA431" s="42" t="n">
        <f aca="false">IF(AND(ISNUMBER(BA205),ISNUMBER(BA178)),IFERROR(BA205/BA178,""),"")</f>
        <v>0.0720422189494354</v>
      </c>
      <c r="BB431" s="42" t="n">
        <f aca="false">IF(AND(ISNUMBER(BB205),ISNUMBER(BB178)),IFERROR(BB205/BB178,""),"")</f>
        <v>0.0736088004617526</v>
      </c>
      <c r="BC431" s="42" t="n">
        <f aca="false">IF(AND(ISNUMBER(BC205),ISNUMBER(BC178)),IFERROR(BC205/BC178,""),"")</f>
        <v>0.0734911550468262</v>
      </c>
      <c r="BD431" s="42" t="n">
        <f aca="false">IF(AND(ISNUMBER(BD205),ISNUMBER(BD178)),IFERROR(BD205/BD178,""),"")</f>
        <v>0.0712166172106825</v>
      </c>
      <c r="BE431" s="42" t="n">
        <f aca="false">IF(AND(ISNUMBER(BE205),ISNUMBER(BE178)),IFERROR(BE205/BE178,""),"")</f>
        <v>0.0704684849275741</v>
      </c>
      <c r="BF431" s="42" t="n">
        <f aca="false">IF(AND(ISNUMBER(BF205),ISNUMBER(BF178)),IFERROR(BF205/BF178,""),"")</f>
        <v>0.0775161199887861</v>
      </c>
      <c r="BG431" s="42" t="n">
        <f aca="false">IF(AND(ISNUMBER(BG205),ISNUMBER(BG178)),IFERROR(BG205/BG178,""),"")</f>
        <v>0.0815223510865894</v>
      </c>
      <c r="BH431" s="42" t="n">
        <f aca="false">IF(AND(ISNUMBER(BH205),ISNUMBER(BH178)),IFERROR(BH205/BH178,""),"")</f>
        <v>0.0916120356362414</v>
      </c>
      <c r="BI431" s="42" t="n">
        <f aca="false">IF(AND(ISNUMBER(BI205),ISNUMBER(BI178)),IFERROR(BI205/BI178,""),"")</f>
        <v>0.0930311231393775</v>
      </c>
      <c r="BJ431" s="42" t="n">
        <f aca="false">IF(AND(ISNUMBER(BJ205),ISNUMBER(BJ178)),IFERROR(BJ205/BJ178,""),"")</f>
        <v>0.0963726884779516</v>
      </c>
      <c r="BK431" s="42" t="n">
        <f aca="false">IF(AND(ISNUMBER(BK205),ISNUMBER(BK178)),IFERROR(BK205/BK178,""),"")</f>
        <v>0.082591725214676</v>
      </c>
      <c r="BL431" s="42" t="n">
        <f aca="false">IF(AND(ISNUMBER(BL205),ISNUMBER(BL178)),IFERROR(BL205/BL178,""),"")</f>
        <v>0.0906655504395144</v>
      </c>
      <c r="BM431" s="42" t="n">
        <f aca="false">IF(AND(ISNUMBER(BM205),ISNUMBER(BM178)),IFERROR(BM205/BM178,""),"")</f>
        <v>0.101104209799862</v>
      </c>
      <c r="BN431" s="42" t="n">
        <f aca="false">IF(AND(ISNUMBER(BN205),ISNUMBER(BN178)),IFERROR(BN205/BN178,""),"")</f>
        <v>0.100992512624064</v>
      </c>
      <c r="BO431" s="42" t="n">
        <f aca="false">IF(AND(ISNUMBER(BO205),ISNUMBER(BO178)),IFERROR(BO205/BO178,""),"")</f>
        <v>0.101931700586409</v>
      </c>
      <c r="BP431" s="42" t="n">
        <f aca="false">IF(AND(ISNUMBER(BP205),ISNUMBER(BP178)),IFERROR(BP205/BP178,""),"")</f>
        <v>0.0910064239828694</v>
      </c>
      <c r="BQ431" s="42" t="n">
        <f aca="false">IF(AND(ISNUMBER(BQ205),ISNUMBER(BQ178)),IFERROR(BQ205/BQ178,""),"")</f>
        <v>0.0985130890052356</v>
      </c>
      <c r="BR431" s="42" t="n">
        <f aca="false">IF(AND(ISNUMBER(BR205),ISNUMBER(BR178)),IFERROR(BR205/BR178,""),"")</f>
        <v>0.102943738024734</v>
      </c>
      <c r="BS431" s="42" t="n">
        <f aca="false">IF(AND(ISNUMBER(BS205),ISNUMBER(BS178)),IFERROR(BS205/BS178,""),"")</f>
        <v>0.102931266846361</v>
      </c>
      <c r="BT431" s="42" t="n">
        <f aca="false">IF(AND(ISNUMBER(BT205),ISNUMBER(BT178)),IFERROR(BT205/BT178,""),"")</f>
        <v>0.102758962497935</v>
      </c>
      <c r="BU431" s="42" t="n">
        <f aca="false">IF(AND(ISNUMBER(BU205),ISNUMBER(BU178)),IFERROR(BU205/BU178,""),"")</f>
        <v>0.0911085112606025</v>
      </c>
      <c r="BV431" s="42" t="n">
        <f aca="false">IF(AND(ISNUMBER(BV205),ISNUMBER(BV178)),IFERROR(BV205/BV178,""),"")</f>
        <v>0.0996011071312276</v>
      </c>
      <c r="BW431" s="42" t="n">
        <f aca="false">IF(AND(ISNUMBER(BW205),ISNUMBER(BW178)),IFERROR(BW205/BW178,""),"")</f>
        <v>0.105360443622921</v>
      </c>
      <c r="BX431" s="42" t="n">
        <f aca="false">IF(AND(ISNUMBER(BX205),ISNUMBER(BX178)),IFERROR(BX205/BX178,""),"")</f>
        <v>0.105187549880287</v>
      </c>
      <c r="BY431" s="31"/>
      <c r="BZ431" s="31"/>
      <c r="CA431" s="26" t="n">
        <f aca="false">IF(AND(ISNUMBER(CA205),ISNUMBER(CA178)),IFERROR(CA205/CA178,""),"")</f>
        <v>0.10354587495472</v>
      </c>
      <c r="CB431" s="26" t="n">
        <f aca="false">IF(AND(ISNUMBER(CB205),ISNUMBER(CB178)),IFERROR(CB205/CB178,""),"")</f>
        <v>0.0968783179026724</v>
      </c>
      <c r="CC431" s="26" t="n">
        <f aca="false">IF(AND(ISNUMBER(CC205),ISNUMBER(CC178)),IFERROR(CC205/CC178,""),"")</f>
        <v>0.0941232224666981</v>
      </c>
      <c r="CD431" s="26" t="n">
        <f aca="false">IF(AND(ISNUMBER(CD205),ISNUMBER(CD178)),IFERROR(CD205/CD178,""),"")</f>
        <v>0.0917604732725331</v>
      </c>
      <c r="CE431" s="26" t="n">
        <f aca="false">IF(AND(ISNUMBER(CE205),ISNUMBER(CE178)),IFERROR(CE205/CE178,""),"")</f>
        <v>0.0839493197991641</v>
      </c>
      <c r="CF431" s="7"/>
    </row>
    <row r="432" customFormat="false" ht="15" hidden="false" customHeight="true" outlineLevel="0" collapsed="false">
      <c r="B432" s="27" t="s">
        <v>622</v>
      </c>
      <c r="C432" s="42" t="n">
        <f aca="false">IF(AND(ISNUMBER(C204),ISNUMBER(C178)),IFERROR(C204/C178,""),"")</f>
        <v>0.00678209611138695</v>
      </c>
      <c r="D432" s="42" t="n">
        <f aca="false">IF(AND(ISNUMBER(D204),ISNUMBER(D178)),IFERROR(D204/D178,""),"")</f>
        <v>0.00857979847450095</v>
      </c>
      <c r="E432" s="42" t="n">
        <f aca="false">IF(AND(ISNUMBER(E204),ISNUMBER(E178)),IFERROR(E204/E178,""),"")</f>
        <v>0.0114431974798189</v>
      </c>
      <c r="F432" s="42" t="n">
        <f aca="false">IF(AND(ISNUMBER(F204),ISNUMBER(F178)),IFERROR(F204/F178,""),"")</f>
        <v>0.0140457223578217</v>
      </c>
      <c r="G432" s="42" t="n">
        <f aca="false">IF(AND(ISNUMBER(G204),ISNUMBER(G178)),IFERROR(G204/G178,""),"")</f>
        <v>0.0158645418326693</v>
      </c>
      <c r="H432" s="42" t="n">
        <f aca="false">IF(AND(ISNUMBER(H204),ISNUMBER(H178)),IFERROR(H204/H178,""),"")</f>
        <v>0.0176688107889749</v>
      </c>
      <c r="I432" s="42" t="n">
        <f aca="false">IF(AND(ISNUMBER(I204),ISNUMBER(I178)),IFERROR(I204/I178,""),"")</f>
        <v>0.0187290530327923</v>
      </c>
      <c r="J432" s="42" t="n">
        <f aca="false">IF(AND(ISNUMBER(J204),ISNUMBER(J178)),IFERROR(J204/J178,""),"")</f>
        <v>0.020091344747677</v>
      </c>
      <c r="K432" s="42" t="n">
        <f aca="false">IF(AND(ISNUMBER(K204),ISNUMBER(K178)),IFERROR(K204/K178,""),"")</f>
        <v>0.0190184696569921</v>
      </c>
      <c r="L432" s="42" t="n">
        <f aca="false">IF(AND(ISNUMBER(L204),ISNUMBER(L178)),IFERROR(L204/L178,""),"")</f>
        <v>0.0196825940759461</v>
      </c>
      <c r="M432" s="42" t="n">
        <f aca="false">IF(AND(ISNUMBER(M204),ISNUMBER(M178)),IFERROR(M204/M178,""),"")</f>
        <v>0.0178100138606718</v>
      </c>
      <c r="N432" s="42" t="n">
        <f aca="false">IF(AND(ISNUMBER(N204),ISNUMBER(N178)),IFERROR(N204/N178,""),"")</f>
        <v>0.0190971858981065</v>
      </c>
      <c r="O432" s="42" t="n">
        <f aca="false">IF(AND(ISNUMBER(O204),ISNUMBER(O178)),IFERROR(O204/O178,""),"")</f>
        <v>0.0198382911188796</v>
      </c>
      <c r="P432" s="42" t="n">
        <f aca="false">IF(AND(ISNUMBER(P204),ISNUMBER(P178)),IFERROR(P204/P178,""),"")</f>
        <v>0.0191393343540978</v>
      </c>
      <c r="Q432" s="42" t="n">
        <f aca="false">IF(AND(ISNUMBER(Q204),ISNUMBER(Q178)),IFERROR(Q204/Q178,""),"")</f>
        <v>0.0191200526863674</v>
      </c>
      <c r="R432" s="42" t="n">
        <f aca="false">IF(AND(ISNUMBER(R204),ISNUMBER(R178)),IFERROR(R204/R178,""),"")</f>
        <v>0.0176103518242028</v>
      </c>
      <c r="S432" s="42" t="n">
        <f aca="false">IF(AND(ISNUMBER(S204),ISNUMBER(S178)),IFERROR(S204/S178,""),"")</f>
        <v>0.0183773624308239</v>
      </c>
      <c r="T432" s="42" t="n">
        <f aca="false">IF(AND(ISNUMBER(T204),ISNUMBER(T178)),IFERROR(T204/T178,""),"")</f>
        <v>0.0215136217436684</v>
      </c>
      <c r="U432" s="42" t="n">
        <f aca="false">IF(AND(ISNUMBER(U204),ISNUMBER(U178)),IFERROR(U204/U178,""),"")</f>
        <v>0.0199588726261038</v>
      </c>
      <c r="V432" s="42" t="n">
        <f aca="false">IF(AND(ISNUMBER(V204),ISNUMBER(V178)),IFERROR(V204/V178,""),"")</f>
        <v>0.0286430157735892</v>
      </c>
      <c r="W432" s="42" t="n">
        <f aca="false">IF(AND(ISNUMBER(W204),ISNUMBER(W178)),IFERROR(W204/W178,""),"")</f>
        <v>0.0317834836918806</v>
      </c>
      <c r="X432" s="42" t="n">
        <f aca="false">IF(AND(ISNUMBER(X204),ISNUMBER(X178)),IFERROR(X204/X178,""),"")</f>
        <v>0.0274912184678911</v>
      </c>
      <c r="Y432" s="42" t="n">
        <f aca="false">IF(AND(ISNUMBER(Y204),ISNUMBER(Y178)),IFERROR(Y204/Y178,""),"")</f>
        <v>0.0354731021125863</v>
      </c>
      <c r="Z432" s="42" t="n">
        <f aca="false">IF(AND(ISNUMBER(Z204),ISNUMBER(Z178)),IFERROR(Z204/Z178,""),"")</f>
        <v>0.0339942007119451</v>
      </c>
      <c r="AA432" s="42" t="n">
        <f aca="false">IF(AND(ISNUMBER(AA204),ISNUMBER(AA178)),IFERROR(AA204/AA178,""),"")</f>
        <v>0.034655502044965</v>
      </c>
      <c r="AB432" s="42" t="n">
        <f aca="false">IF(AND(ISNUMBER(AB204),ISNUMBER(AB178)),IFERROR(AB204/AB178,""),"")</f>
        <v>0.0341382544772375</v>
      </c>
      <c r="AC432" s="42" t="n">
        <f aca="false">IF(AND(ISNUMBER(AC204),ISNUMBER(AC178)),IFERROR(AC204/AC178,""),"")</f>
        <v>0.0345389281144861</v>
      </c>
      <c r="AD432" s="42" t="n">
        <f aca="false">IF(AND(ISNUMBER(AD204),ISNUMBER(AD178)),IFERROR(AD204/AD178,""),"")</f>
        <v>0.0394940200204484</v>
      </c>
      <c r="AE432" s="42" t="n">
        <f aca="false">IF(AND(ISNUMBER(AE204),ISNUMBER(AE178)),IFERROR(AE204/AE178,""),"")</f>
        <v>0.0355424491696415</v>
      </c>
      <c r="AF432" s="42" t="n">
        <f aca="false">IF(AND(ISNUMBER(AF204),ISNUMBER(AF178)),IFERROR(AF204/AF178,""),"")</f>
        <v>0.0367474934852701</v>
      </c>
      <c r="AG432" s="42" t="n">
        <f aca="false">IF(AND(ISNUMBER(AG204),ISNUMBER(AG178)),IFERROR(AG204/AG178,""),"")</f>
        <v>0.0329748117269992</v>
      </c>
      <c r="AH432" s="42" t="n">
        <f aca="false">IF(AND(ISNUMBER(AH204),ISNUMBER(AH178)),IFERROR(AH204/AH178,""),"")</f>
        <v>0.0360344140929748</v>
      </c>
      <c r="AI432" s="42" t="n">
        <f aca="false">IF(AND(ISNUMBER(AI204),ISNUMBER(AI178)),IFERROR(AI204/AI178,""),"")</f>
        <v>0.0366954892021979</v>
      </c>
      <c r="AJ432" s="42" t="n">
        <f aca="false">IF(AND(ISNUMBER(AJ204),ISNUMBER(AJ178)),IFERROR(AJ204/AJ178,""),"")</f>
        <v>0.036358161011845</v>
      </c>
      <c r="AK432" s="42" t="n">
        <f aca="false">IF(AND(ISNUMBER(AK204),ISNUMBER(AK178)),IFERROR(AK204/AK178,""),"")</f>
        <v>0.0358739774577074</v>
      </c>
      <c r="AL432" s="42" t="n">
        <f aca="false">IF(AND(ISNUMBER(AL204),ISNUMBER(AL178)),IFERROR(AL204/AL178,""),"")</f>
        <v>0.0339016179824085</v>
      </c>
      <c r="AM432" s="42" t="n">
        <f aca="false">IF(AND(ISNUMBER(AM204),ISNUMBER(AM178)),IFERROR(AM204/AM178,""),"")</f>
        <v>0.0361087485702555</v>
      </c>
      <c r="AN432" s="42" t="n">
        <f aca="false">IF(AND(ISNUMBER(AN204),ISNUMBER(AN178)),IFERROR(AN204/AN178,""),"")</f>
        <v>0.0372968105776977</v>
      </c>
      <c r="AO432" s="42" t="n">
        <f aca="false">IF(AND(ISNUMBER(AO204),ISNUMBER(AO178)),IFERROR(AO204/AO178,""),"")</f>
        <v>0.0351670604117449</v>
      </c>
      <c r="AP432" s="42" t="n">
        <f aca="false">IF(AND(ISNUMBER(AP204),ISNUMBER(AP178)),IFERROR(AP204/AP178,""),"")</f>
        <v>0.0355413430790315</v>
      </c>
      <c r="AQ432" s="42" t="n">
        <f aca="false">IF(AND(ISNUMBER(AQ204),ISNUMBER(AQ178)),IFERROR(AQ204/AQ178,""),"")</f>
        <v>0.0320023005504889</v>
      </c>
      <c r="AR432" s="42" t="n">
        <f aca="false">IF(AND(ISNUMBER(AR204),ISNUMBER(AR178)),IFERROR(AR204/AR178,""),"")</f>
        <v>0.0349001457196934</v>
      </c>
      <c r="AS432" s="42" t="n">
        <f aca="false">IF(AND(ISNUMBER(AS204),ISNUMBER(AS178)),IFERROR(AS204/AS178,""),"")</f>
        <v>0.0360111441136515</v>
      </c>
      <c r="AT432" s="42" t="n">
        <f aca="false">IF(AND(ISNUMBER(AT204),ISNUMBER(AT178)),IFERROR(AT204/AT178,""),"")</f>
        <v>0.0592932381923208</v>
      </c>
      <c r="AU432" s="42" t="n">
        <f aca="false">IF(AND(ISNUMBER(AU204),ISNUMBER(AU178)),IFERROR(AU204/AU178,""),"")</f>
        <v>0.0562788958389992</v>
      </c>
      <c r="AV432" s="42" t="n">
        <f aca="false">IF(AND(ISNUMBER(AV204),ISNUMBER(AV178)),IFERROR(AV204/AV178,""),"")</f>
        <v>0.0497041420118343</v>
      </c>
      <c r="AW432" s="42" t="n">
        <f aca="false">IF(AND(ISNUMBER(AW204),ISNUMBER(AW178)),IFERROR(AW204/AW178,""),"")</f>
        <v>0.0510680308741698</v>
      </c>
      <c r="AX432" s="42" t="n">
        <f aca="false">IF(AND(ISNUMBER(AX204),ISNUMBER(AX178)),IFERROR(AX204/AX178,""),"")</f>
        <v>0.0501603966170895</v>
      </c>
      <c r="AY432" s="42" t="n">
        <f aca="false">IF(AND(ISNUMBER(AY204),ISNUMBER(AY178)),IFERROR(AY204/AY178,""),"")</f>
        <v>0.0480742587974508</v>
      </c>
      <c r="AZ432" s="42" t="n">
        <f aca="false">IF(AND(ISNUMBER(AZ204),ISNUMBER(AZ178)),IFERROR(AZ204/AZ178,""),"")</f>
        <v>0.0504910776040946</v>
      </c>
      <c r="BA432" s="42" t="n">
        <f aca="false">IF(AND(ISNUMBER(BA204),ISNUMBER(BA178)),IFERROR(BA204/BA178,""),"")</f>
        <v>0.0483554246440844</v>
      </c>
      <c r="BB432" s="42" t="n">
        <f aca="false">IF(AND(ISNUMBER(BB204),ISNUMBER(BB178)),IFERROR(BB204/BB178,""),"")</f>
        <v>0.0492309781686076</v>
      </c>
      <c r="BC432" s="42" t="n">
        <f aca="false">IF(AND(ISNUMBER(BC204),ISNUMBER(BC178)),IFERROR(BC204/BC178,""),"")</f>
        <v>0.0502081165452654</v>
      </c>
      <c r="BD432" s="42" t="n">
        <f aca="false">IF(AND(ISNUMBER(BD204),ISNUMBER(BD178)),IFERROR(BD204/BD178,""),"")</f>
        <v>0.0481228228615663</v>
      </c>
      <c r="BE432" s="42" t="n">
        <f aca="false">IF(AND(ISNUMBER(BE204),ISNUMBER(BE178)),IFERROR(BE204/BE178,""),"")</f>
        <v>0.0471094871460264</v>
      </c>
      <c r="BF432" s="42" t="n">
        <f aca="false">IF(AND(ISNUMBER(BF204),ISNUMBER(BF178)),IFERROR(BF204/BF178,""),"")</f>
        <v>0.0493411830670031</v>
      </c>
      <c r="BG432" s="42" t="n">
        <f aca="false">IF(AND(ISNUMBER(BG204),ISNUMBER(BG178)),IFERROR(BG204/BG178,""),"")</f>
        <v>0.0538227677063394</v>
      </c>
      <c r="BH432" s="42" t="n">
        <f aca="false">IF(AND(ISNUMBER(BH204),ISNUMBER(BH178)),IFERROR(BH204/BH178,""),"")</f>
        <v>0.0625315179021684</v>
      </c>
      <c r="BI432" s="42" t="n">
        <f aca="false">IF(AND(ISNUMBER(BI204),ISNUMBER(BI178)),IFERROR(BI204/BI178,""),"")</f>
        <v>0.0629228687415426</v>
      </c>
      <c r="BJ432" s="42" t="n">
        <f aca="false">IF(AND(ISNUMBER(BJ204),ISNUMBER(BJ178)),IFERROR(BJ204/BJ178,""),"")</f>
        <v>0.0652560455192034</v>
      </c>
      <c r="BK432" s="42" t="n">
        <f aca="false">IF(AND(ISNUMBER(BK204),ISNUMBER(BK178)),IFERROR(BK204/BK178,""),"")</f>
        <v>0.0593286494925839</v>
      </c>
      <c r="BL432" s="42" t="n">
        <f aca="false">IF(AND(ISNUMBER(BL204),ISNUMBER(BL178)),IFERROR(BL204/BL178,""),"")</f>
        <v>0.062411050648807</v>
      </c>
      <c r="BM432" s="42" t="n">
        <f aca="false">IF(AND(ISNUMBER(BM204),ISNUMBER(BM178)),IFERROR(BM204/BM178,""),"")</f>
        <v>0.0702208419599724</v>
      </c>
      <c r="BN432" s="42" t="n">
        <f aca="false">IF(AND(ISNUMBER(BN204),ISNUMBER(BN178)),IFERROR(BN204/BN178,""),"")</f>
        <v>0.0699982587497823</v>
      </c>
      <c r="BO432" s="42" t="n">
        <f aca="false">IF(AND(ISNUMBER(BO204),ISNUMBER(BO178)),IFERROR(BO204/BO178,""),"")</f>
        <v>0.0714039323904795</v>
      </c>
      <c r="BP432" s="42" t="n">
        <f aca="false">IF(AND(ISNUMBER(BP204),ISNUMBER(BP178)),IFERROR(BP204/BP178,""),"")</f>
        <v>0.0624044050168247</v>
      </c>
      <c r="BQ432" s="42" t="n">
        <f aca="false">IF(AND(ISNUMBER(BQ204),ISNUMBER(BQ178)),IFERROR(BQ204/BQ178,""),"")</f>
        <v>0.0683141361256545</v>
      </c>
      <c r="BR432" s="42" t="n">
        <f aca="false">IF(AND(ISNUMBER(BR204),ISNUMBER(BR178)),IFERROR(BR204/BR178,""),"")</f>
        <v>0.0714161295941474</v>
      </c>
      <c r="BS432" s="42" t="n">
        <f aca="false">IF(AND(ISNUMBER(BS204),ISNUMBER(BS178)),IFERROR(BS204/BS178,""),"")</f>
        <v>0.0717654986522911</v>
      </c>
      <c r="BT432" s="42" t="n">
        <f aca="false">IF(AND(ISNUMBER(BT204),ISNUMBER(BT178)),IFERROR(BT204/BT178,""),"")</f>
        <v>0.0715347761440608</v>
      </c>
      <c r="BU432" s="42" t="n">
        <f aca="false">IF(AND(ISNUMBER(BU204),ISNUMBER(BU178)),IFERROR(BU204/BU178,""),"")</f>
        <v>0.0625914009944428</v>
      </c>
      <c r="BV432" s="42" t="n">
        <f aca="false">IF(AND(ISNUMBER(BV204),ISNUMBER(BV178)),IFERROR(BV204/BV178,""),"")</f>
        <v>0.0690735916639531</v>
      </c>
      <c r="BW432" s="42" t="n">
        <f aca="false">IF(AND(ISNUMBER(BW204),ISNUMBER(BW178)),IFERROR(BW204/BW178,""),"")</f>
        <v>0.0729289195093262</v>
      </c>
      <c r="BX432" s="42" t="n">
        <f aca="false">IF(AND(ISNUMBER(BX204),ISNUMBER(BX178)),IFERROR(BX204/BX178,""),"")</f>
        <v>0.07390263367917</v>
      </c>
      <c r="BY432" s="31"/>
      <c r="BZ432" s="31"/>
      <c r="CA432" s="26" t="n">
        <f aca="false">IF(AND(ISNUMBER(CA204),ISNUMBER(CA178)),IFERROR(CA204/CA178,""),"")</f>
        <v>0.0717023909992517</v>
      </c>
      <c r="CB432" s="26" t="n">
        <f aca="false">IF(AND(ISNUMBER(CB204),ISNUMBER(CB178)),IFERROR(CB204/CB178,""),"")</f>
        <v>0.0658783179026724</v>
      </c>
      <c r="CC432" s="26" t="n">
        <f aca="false">IF(AND(ISNUMBER(CC204),ISNUMBER(CC178)),IFERROR(CC204/CC178,""),"")</f>
        <v>0.0631232224666981</v>
      </c>
      <c r="CD432" s="26" t="n">
        <f aca="false">IF(AND(ISNUMBER(CD204),ISNUMBER(CD178)),IFERROR(CD204/CD178,""),"")</f>
        <v>0.0607604732725331</v>
      </c>
      <c r="CE432" s="26" t="n">
        <f aca="false">IF(AND(ISNUMBER(CE204),ISNUMBER(CE178)),IFERROR(CE204/CE178,""),"")</f>
        <v>0.0529493197991641</v>
      </c>
      <c r="CF432" s="7"/>
    </row>
    <row r="433" customFormat="false" ht="15" hidden="false" customHeight="true" outlineLevel="0" collapsed="false"/>
    <row r="434" customFormat="false" ht="15" hidden="false" customHeight="true" outlineLevel="0" collapsed="false">
      <c r="B434" s="12" t="s">
        <v>623</v>
      </c>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c r="CA434" s="12"/>
      <c r="CB434" s="12"/>
      <c r="CC434" s="12"/>
      <c r="CD434" s="12"/>
      <c r="CE434" s="12"/>
      <c r="CF434" s="12" t="s">
        <v>624</v>
      </c>
    </row>
    <row r="435" customFormat="false" ht="15" hidden="false" customHeight="true" outlineLevel="0" collapsed="false">
      <c r="B435" s="27" t="s">
        <v>625</v>
      </c>
      <c r="CF435" s="7"/>
    </row>
    <row r="436" customFormat="false" ht="15" hidden="false" customHeight="true" outlineLevel="0" collapsed="false">
      <c r="B436" s="27" t="s">
        <v>626</v>
      </c>
      <c r="C436" s="51" t="n">
        <f aca="false">C235</f>
        <v>1489.5</v>
      </c>
      <c r="D436" s="51" t="n">
        <f aca="false">D235</f>
        <v>1798.6</v>
      </c>
      <c r="E436" s="51" t="n">
        <f aca="false">E235</f>
        <v>1975.5</v>
      </c>
      <c r="F436" s="51" t="n">
        <f aca="false">F235</f>
        <v>1665.2</v>
      </c>
      <c r="G436" s="51" t="n">
        <f aca="false">G235</f>
        <v>2096</v>
      </c>
      <c r="H436" s="51" t="n">
        <f aca="false">H235</f>
        <v>2733.8</v>
      </c>
      <c r="I436" s="51" t="n">
        <f aca="false">I235</f>
        <v>3165.1</v>
      </c>
      <c r="J436" s="39"/>
      <c r="K436" s="39"/>
      <c r="L436" s="39"/>
      <c r="M436" s="39"/>
      <c r="N436" s="51" t="n">
        <f aca="false">N235</f>
        <v>3293.9</v>
      </c>
      <c r="O436" s="39"/>
      <c r="P436" s="39"/>
      <c r="Q436" s="39"/>
      <c r="R436" s="39"/>
      <c r="S436" s="51" t="n">
        <f aca="false">S235</f>
        <v>3431.6</v>
      </c>
      <c r="T436" s="39"/>
      <c r="U436" s="39"/>
      <c r="V436" s="39"/>
      <c r="W436" s="39"/>
      <c r="X436" s="51" t="n">
        <f aca="false">X235</f>
        <v>2277.2</v>
      </c>
      <c r="Y436" s="39"/>
      <c r="Z436" s="39"/>
      <c r="AA436" s="39"/>
      <c r="AB436" s="39"/>
      <c r="AC436" s="51" t="n">
        <f aca="false">AC235</f>
        <v>2816.9</v>
      </c>
      <c r="AD436" s="39"/>
      <c r="AE436" s="39"/>
      <c r="AF436" s="39"/>
      <c r="AG436" s="39"/>
      <c r="AH436" s="51" t="n">
        <f aca="false">AH235</f>
        <v>3055.4</v>
      </c>
      <c r="AI436" s="39"/>
      <c r="AJ436" s="39"/>
      <c r="AK436" s="39"/>
      <c r="AL436" s="39"/>
      <c r="AM436" s="51" t="n">
        <f aca="false">AM235</f>
        <v>3077.1</v>
      </c>
      <c r="AN436" s="39"/>
      <c r="AO436" s="39"/>
      <c r="AP436" s="39"/>
      <c r="AQ436" s="39"/>
      <c r="AR436" s="51" t="n">
        <f aca="false">AR235</f>
        <v>3362.4</v>
      </c>
      <c r="AS436" s="39"/>
      <c r="AT436" s="39"/>
      <c r="AU436" s="39"/>
      <c r="AV436" s="39"/>
      <c r="AW436" s="51" t="n">
        <f aca="false">AW235</f>
        <v>4821</v>
      </c>
      <c r="AX436" s="39"/>
      <c r="AY436" s="39"/>
      <c r="AZ436" s="39"/>
      <c r="BA436" s="39"/>
      <c r="BB436" s="51" t="n">
        <f aca="false">BB235</f>
        <v>8126</v>
      </c>
      <c r="BC436" s="39"/>
      <c r="BD436" s="39"/>
      <c r="BE436" s="39"/>
      <c r="BF436" s="39"/>
      <c r="BG436" s="51" t="n">
        <f aca="false">BG235</f>
        <v>7597</v>
      </c>
      <c r="BH436" s="39"/>
      <c r="BI436" s="39"/>
      <c r="BJ436" s="39"/>
      <c r="BK436" s="39"/>
      <c r="BL436" s="51" t="n">
        <f aca="false">BL235</f>
        <v>5364</v>
      </c>
      <c r="BM436" s="39"/>
      <c r="BN436" s="39"/>
      <c r="BO436" s="39"/>
      <c r="BP436" s="39"/>
      <c r="BQ436" s="51" t="n">
        <f aca="false">BQ235</f>
        <v>5209</v>
      </c>
      <c r="BR436" s="39"/>
      <c r="BS436" s="39"/>
      <c r="BT436" s="39"/>
      <c r="BU436" s="39"/>
      <c r="BV436" s="51" t="n">
        <f aca="false">BV235</f>
        <v>5242</v>
      </c>
      <c r="BW436" s="39"/>
      <c r="BX436" s="39"/>
      <c r="BY436" s="45"/>
      <c r="BZ436" s="45"/>
      <c r="CA436" s="41" t="n">
        <f aca="false">CA235</f>
        <v>5672.70752397956</v>
      </c>
      <c r="CB436" s="41" t="n">
        <f aca="false">CB235</f>
        <v>6453.52817978484</v>
      </c>
      <c r="CC436" s="41" t="n">
        <f aca="false">CC235</f>
        <v>7148.09289153666</v>
      </c>
      <c r="CD436" s="41" t="n">
        <f aca="false">CD235</f>
        <v>7918.45688913192</v>
      </c>
      <c r="CE436" s="41" t="n">
        <f aca="false">CE235</f>
        <v>8945.27361077044</v>
      </c>
      <c r="CF436" s="37"/>
    </row>
    <row r="437" customFormat="false" ht="15" hidden="false" customHeight="true" outlineLevel="0" collapsed="false">
      <c r="B437" s="27" t="s">
        <v>627</v>
      </c>
      <c r="C437" s="42" t="n">
        <f aca="false">C194</f>
        <v>0.223668556232067</v>
      </c>
      <c r="D437" s="42" t="n">
        <f aca="false">D194</f>
        <v>0.258444810946185</v>
      </c>
      <c r="E437" s="42" t="n">
        <f aca="false">E194</f>
        <v>0.246784428056937</v>
      </c>
      <c r="F437" s="42" t="n">
        <f aca="false">F194</f>
        <v>0.191689478486699</v>
      </c>
      <c r="G437" s="42" t="n">
        <f aca="false">G194</f>
        <v>0.229378784480825</v>
      </c>
      <c r="H437" s="42" t="n">
        <f aca="false">H194</f>
        <v>0.209412533703734</v>
      </c>
      <c r="I437" s="42" t="n">
        <f aca="false">I194</f>
        <v>0.236315929321111</v>
      </c>
      <c r="J437" s="39"/>
      <c r="K437" s="39"/>
      <c r="L437" s="39"/>
      <c r="M437" s="39"/>
      <c r="N437" s="42" t="n">
        <f aca="false">N194</f>
        <v>0.244251261918116</v>
      </c>
      <c r="O437" s="39"/>
      <c r="P437" s="39"/>
      <c r="Q437" s="39"/>
      <c r="R437" s="39"/>
      <c r="S437" s="42" t="n">
        <f aca="false">S194</f>
        <v>0.252183374011233</v>
      </c>
      <c r="T437" s="39"/>
      <c r="U437" s="39"/>
      <c r="V437" s="39"/>
      <c r="W437" s="39"/>
      <c r="X437" s="42" t="n">
        <f aca="false">X194</f>
        <v>0.143522604687653</v>
      </c>
      <c r="Y437" s="39"/>
      <c r="Z437" s="39"/>
      <c r="AA437" s="39"/>
      <c r="AB437" s="39"/>
      <c r="AC437" s="42" t="n">
        <f aca="false">AC194</f>
        <v>0.175353272316471</v>
      </c>
      <c r="AD437" s="39"/>
      <c r="AE437" s="39"/>
      <c r="AF437" s="39"/>
      <c r="AG437" s="39"/>
      <c r="AH437" s="42" t="n">
        <f aca="false">AH194</f>
        <v>0.159588947869879</v>
      </c>
      <c r="AI437" s="39"/>
      <c r="AJ437" s="39"/>
      <c r="AK437" s="39"/>
      <c r="AL437" s="39"/>
      <c r="AM437" s="42" t="n">
        <f aca="false">AM194</f>
        <v>0.187582295148385</v>
      </c>
      <c r="AN437" s="39"/>
      <c r="AO437" s="39"/>
      <c r="AP437" s="39"/>
      <c r="AQ437" s="39"/>
      <c r="AR437" s="42" t="n">
        <f aca="false">AR194</f>
        <v>0.264121259794875</v>
      </c>
      <c r="AS437" s="39"/>
      <c r="AT437" s="39"/>
      <c r="AU437" s="39"/>
      <c r="AV437" s="39"/>
      <c r="AW437" s="42" t="n">
        <f aca="false">AW194</f>
        <v>0.188876529477197</v>
      </c>
      <c r="AX437" s="39"/>
      <c r="AY437" s="39"/>
      <c r="AZ437" s="39"/>
      <c r="BA437" s="39"/>
      <c r="BB437" s="42" t="n">
        <f aca="false">BB194</f>
        <v>0.164648591734667</v>
      </c>
      <c r="BC437" s="39"/>
      <c r="BD437" s="39"/>
      <c r="BE437" s="39"/>
      <c r="BF437" s="39"/>
      <c r="BG437" s="42" t="n">
        <f aca="false">BG194</f>
        <v>0.114469633361321</v>
      </c>
      <c r="BH437" s="39"/>
      <c r="BI437" s="39"/>
      <c r="BJ437" s="39"/>
      <c r="BK437" s="39"/>
      <c r="BL437" s="42" t="n">
        <f aca="false">BL194</f>
        <v>0.163164155432197</v>
      </c>
      <c r="BM437" s="39"/>
      <c r="BN437" s="39"/>
      <c r="BO437" s="39"/>
      <c r="BP437" s="39"/>
      <c r="BQ437" s="42" t="n">
        <f aca="false">BQ194</f>
        <v>0.160783469651313</v>
      </c>
      <c r="BR437" s="39"/>
      <c r="BS437" s="39"/>
      <c r="BT437" s="39"/>
      <c r="BU437" s="39"/>
      <c r="BV437" s="42" t="n">
        <f aca="false">BV194</f>
        <v>0.149539333805811</v>
      </c>
      <c r="BW437" s="39"/>
      <c r="BX437" s="39"/>
      <c r="BY437" s="45"/>
      <c r="BZ437" s="45"/>
      <c r="CA437" s="26" t="n">
        <f aca="false">CA194</f>
        <v>0.172038307902608</v>
      </c>
      <c r="CB437" s="26" t="n">
        <f aca="false">CB194</f>
        <v>0.166827017853748</v>
      </c>
      <c r="CC437" s="26" t="n">
        <f aca="false">CC194</f>
        <v>0.167116049217359</v>
      </c>
      <c r="CD437" s="26" t="n">
        <f aca="false">CD194</f>
        <v>0.167301425462674</v>
      </c>
      <c r="CE437" s="26" t="n">
        <f aca="false">CE194</f>
        <v>0.167768450486393</v>
      </c>
      <c r="CF437" s="37"/>
    </row>
    <row r="438" customFormat="false" ht="15" hidden="false" customHeight="true" outlineLevel="0" collapsed="false">
      <c r="B438" s="27" t="s">
        <v>628</v>
      </c>
      <c r="C438" s="51" t="n">
        <f aca="false">IFERROR(C436*(1-C437),"n/a")</f>
        <v>1156.34568549234</v>
      </c>
      <c r="D438" s="51" t="n">
        <f aca="false">IFERROR(D436*(1-D437),"n/a")</f>
        <v>1333.76116303219</v>
      </c>
      <c r="E438" s="51" t="n">
        <f aca="false">IFERROR(E436*(1-E437),"n/a")</f>
        <v>1487.97736237352</v>
      </c>
      <c r="F438" s="51" t="n">
        <f aca="false">IFERROR(F436*(1-F437),"n/a")</f>
        <v>1345.99868042395</v>
      </c>
      <c r="G438" s="51" t="n">
        <f aca="false">IFERROR(G436*(1-G437),"n/a")</f>
        <v>1615.22206772819</v>
      </c>
      <c r="H438" s="51" t="n">
        <f aca="false">IFERROR(H436*(1-H437),"n/a")</f>
        <v>2161.30801536073</v>
      </c>
      <c r="I438" s="51" t="n">
        <f aca="false">IFERROR(I436*(1-I437),"n/a")</f>
        <v>2417.13645210575</v>
      </c>
      <c r="J438" s="39"/>
      <c r="K438" s="39"/>
      <c r="L438" s="39"/>
      <c r="M438" s="39"/>
      <c r="N438" s="51" t="n">
        <f aca="false">IFERROR(N436*(1-N437),"n/a")</f>
        <v>2489.36076836792</v>
      </c>
      <c r="O438" s="39"/>
      <c r="P438" s="39"/>
      <c r="Q438" s="39"/>
      <c r="R438" s="39"/>
      <c r="S438" s="51" t="n">
        <f aca="false">IFERROR(S436*(1-S437),"n/a")</f>
        <v>2566.20753374305</v>
      </c>
      <c r="T438" s="39"/>
      <c r="U438" s="39"/>
      <c r="V438" s="39"/>
      <c r="W438" s="39"/>
      <c r="X438" s="51" t="n">
        <f aca="false">IFERROR(X436*(1-X437),"n/a")</f>
        <v>1950.37032460528</v>
      </c>
      <c r="Y438" s="39"/>
      <c r="Z438" s="39"/>
      <c r="AA438" s="39"/>
      <c r="AB438" s="39"/>
      <c r="AC438" s="51" t="n">
        <f aca="false">IFERROR(AC436*(1-AC437),"n/a")</f>
        <v>2322.94736721174</v>
      </c>
      <c r="AD438" s="39"/>
      <c r="AE438" s="39"/>
      <c r="AF438" s="39"/>
      <c r="AG438" s="39"/>
      <c r="AH438" s="51" t="n">
        <f aca="false">IFERROR(AH436*(1-AH437),"n/a")</f>
        <v>2567.79192867837</v>
      </c>
      <c r="AI438" s="39"/>
      <c r="AJ438" s="39"/>
      <c r="AK438" s="39"/>
      <c r="AL438" s="39"/>
      <c r="AM438" s="51" t="n">
        <f aca="false">IFERROR(AM436*(1-AM437),"n/a")</f>
        <v>2499.89051959891</v>
      </c>
      <c r="AN438" s="39"/>
      <c r="AO438" s="39"/>
      <c r="AP438" s="39"/>
      <c r="AQ438" s="39"/>
      <c r="AR438" s="51" t="n">
        <f aca="false">IFERROR(AR436*(1-AR437),"n/a")</f>
        <v>2474.31867606571</v>
      </c>
      <c r="AS438" s="39"/>
      <c r="AT438" s="39"/>
      <c r="AU438" s="39"/>
      <c r="AV438" s="39"/>
      <c r="AW438" s="51" t="n">
        <f aca="false">IFERROR(AW436*(1-AW437),"n/a")</f>
        <v>3910.42625139043</v>
      </c>
      <c r="AX438" s="39"/>
      <c r="AY438" s="39"/>
      <c r="AZ438" s="39"/>
      <c r="BA438" s="39"/>
      <c r="BB438" s="51" t="n">
        <f aca="false">IFERROR(BB436*(1-BB437),"n/a")</f>
        <v>6788.0655435641</v>
      </c>
      <c r="BC438" s="39"/>
      <c r="BD438" s="39"/>
      <c r="BE438" s="39"/>
      <c r="BF438" s="39"/>
      <c r="BG438" s="51" t="n">
        <f aca="false">IFERROR(BG436*(1-BG437),"n/a")</f>
        <v>6727.37419535405</v>
      </c>
      <c r="BH438" s="39"/>
      <c r="BI438" s="39"/>
      <c r="BJ438" s="39"/>
      <c r="BK438" s="39"/>
      <c r="BL438" s="51" t="n">
        <f aca="false">IFERROR(BL436*(1-BL437),"n/a")</f>
        <v>4488.7874702617</v>
      </c>
      <c r="BM438" s="39"/>
      <c r="BN438" s="39"/>
      <c r="BO438" s="39"/>
      <c r="BP438" s="39"/>
      <c r="BQ438" s="51" t="n">
        <f aca="false">IFERROR(BQ436*(1-BQ437),"n/a")</f>
        <v>4371.47890658631</v>
      </c>
      <c r="BR438" s="39"/>
      <c r="BS438" s="39"/>
      <c r="BT438" s="39"/>
      <c r="BU438" s="39"/>
      <c r="BV438" s="51" t="n">
        <f aca="false">IFERROR(BV436*(1-BV437),"n/a")</f>
        <v>4458.11481218994</v>
      </c>
      <c r="BW438" s="39"/>
      <c r="BX438" s="39"/>
      <c r="BY438" s="45"/>
      <c r="BZ438" s="45"/>
      <c r="CA438" s="41" t="n">
        <f aca="false">IFERROR(CA436*(1-CA437),"n/a")</f>
        <v>4696.78452032772</v>
      </c>
      <c r="CB438" s="41" t="n">
        <f aca="false">IFERROR(CB436*(1-CB437),"n/a")</f>
        <v>5376.90531891621</v>
      </c>
      <c r="CC438" s="41" t="n">
        <f aca="false">IFERROR(CC436*(1-CC437),"n/a")</f>
        <v>5953.53184806437</v>
      </c>
      <c r="CD438" s="41" t="n">
        <f aca="false">IFERROR(CD436*(1-CD437),"n/a")</f>
        <v>6593.68776411542</v>
      </c>
      <c r="CE438" s="41" t="n">
        <f aca="false">IFERROR(CE436*(1-CE437),"n/a")</f>
        <v>7444.53891791466</v>
      </c>
      <c r="CF438" s="37"/>
    </row>
    <row r="439" customFormat="false" ht="15" hidden="false" customHeight="true" outlineLevel="0" collapsed="false">
      <c r="B439" s="27" t="s">
        <v>629</v>
      </c>
      <c r="C439" s="51" t="n">
        <f aca="false">IFERROR(C440+C441,"n/a")</f>
        <v>8760.7</v>
      </c>
      <c r="D439" s="51" t="n">
        <f aca="false">IFERROR(D440+D441,"n/a")</f>
        <v>12572.9</v>
      </c>
      <c r="E439" s="51" t="n">
        <f aca="false">IFERROR(E440+E441,"n/a")</f>
        <v>12035.1</v>
      </c>
      <c r="F439" s="51" t="n">
        <f aca="false">IFERROR(F440+F441,"n/a")</f>
        <v>12841.5</v>
      </c>
      <c r="G439" s="51" t="n">
        <f aca="false">IFERROR(G440+G441,"n/a")</f>
        <v>14964.5</v>
      </c>
      <c r="H439" s="51" t="n">
        <f aca="false">IFERROR(H440+H441,"n/a")</f>
        <v>21740</v>
      </c>
      <c r="I439" s="51" t="n">
        <f aca="false">IFERROR(I440+I441,"n/a")</f>
        <v>22748.3</v>
      </c>
      <c r="J439" s="39"/>
      <c r="K439" s="39"/>
      <c r="L439" s="39"/>
      <c r="M439" s="39"/>
      <c r="N439" s="51" t="n">
        <f aca="false">IFERROR(N440+N441,"n/a")</f>
        <v>22835.2</v>
      </c>
      <c r="O439" s="39"/>
      <c r="P439" s="39"/>
      <c r="Q439" s="39"/>
      <c r="R439" s="39"/>
      <c r="S439" s="51" t="n">
        <f aca="false">IFERROR(S440+S441,"n/a")</f>
        <v>23917.6</v>
      </c>
      <c r="T439" s="39"/>
      <c r="U439" s="39"/>
      <c r="V439" s="39"/>
      <c r="W439" s="39"/>
      <c r="X439" s="51" t="n">
        <f aca="false">IFERROR(X440+X441,"n/a")</f>
        <v>35843.6</v>
      </c>
      <c r="Y439" s="39"/>
      <c r="Z439" s="39"/>
      <c r="AA439" s="39"/>
      <c r="AB439" s="39"/>
      <c r="AC439" s="51" t="n">
        <f aca="false">IFERROR(AC440+AC441,"n/a")</f>
        <v>34382.1</v>
      </c>
      <c r="AD439" s="39"/>
      <c r="AE439" s="39"/>
      <c r="AF439" s="39"/>
      <c r="AG439" s="39"/>
      <c r="AH439" s="51" t="n">
        <f aca="false">IFERROR(AH440+AH441,"n/a")</f>
        <v>36259.6</v>
      </c>
      <c r="AI439" s="39"/>
      <c r="AJ439" s="39"/>
      <c r="AK439" s="39"/>
      <c r="AL439" s="39"/>
      <c r="AM439" s="51" t="n">
        <f aca="false">IFERROR(AM440+AM441,"n/a")</f>
        <v>37179.2</v>
      </c>
      <c r="AN439" s="39"/>
      <c r="AO439" s="39"/>
      <c r="AP439" s="39"/>
      <c r="AQ439" s="39"/>
      <c r="AR439" s="51" t="n">
        <f aca="false">IFERROR(AR440+AR441,"n/a")</f>
        <v>32098.7</v>
      </c>
      <c r="AS439" s="39"/>
      <c r="AT439" s="39"/>
      <c r="AU439" s="39"/>
      <c r="AV439" s="39"/>
      <c r="AW439" s="51" t="n">
        <f aca="false">IFERROR(AW440+AW441,"n/a")</f>
        <v>54946</v>
      </c>
      <c r="AX439" s="39"/>
      <c r="AY439" s="39"/>
      <c r="AZ439" s="39"/>
      <c r="BA439" s="39"/>
      <c r="BB439" s="51" t="n">
        <f aca="false">IFERROR(BB440+BB441,"n/a")</f>
        <v>64767</v>
      </c>
      <c r="BC439" s="39"/>
      <c r="BD439" s="39"/>
      <c r="BE439" s="39"/>
      <c r="BF439" s="39"/>
      <c r="BG439" s="51" t="n">
        <f aca="false">IFERROR(BG440+BG441,"n/a")</f>
        <v>63772</v>
      </c>
      <c r="BH439" s="39"/>
      <c r="BI439" s="39"/>
      <c r="BJ439" s="39"/>
      <c r="BK439" s="39"/>
      <c r="BL439" s="51" t="n">
        <f aca="false">IFERROR(BL440+BL441,"n/a")</f>
        <v>66028</v>
      </c>
      <c r="BM439" s="39"/>
      <c r="BN439" s="39"/>
      <c r="BO439" s="39"/>
      <c r="BP439" s="39"/>
      <c r="BQ439" s="51" t="n">
        <f aca="false">IFERROR(BQ440+BQ441,"n/a")</f>
        <v>63477</v>
      </c>
      <c r="BR439" s="39"/>
      <c r="BS439" s="39"/>
      <c r="BT439" s="39"/>
      <c r="BU439" s="39"/>
      <c r="BV439" s="51" t="n">
        <f aca="false">IFERROR(BV440+BV441,"n/a")</f>
        <v>66344</v>
      </c>
      <c r="BW439" s="39"/>
      <c r="BX439" s="39"/>
      <c r="BY439" s="45"/>
      <c r="BZ439" s="45"/>
      <c r="CA439" s="41" t="n">
        <f aca="false">IFERROR(CA440+CA441,"n/a")</f>
        <v>75222.9517294968</v>
      </c>
      <c r="CB439" s="41" t="n">
        <f aca="false">IFERROR(CB440+CB441,"n/a")</f>
        <v>75160.5470101486</v>
      </c>
      <c r="CC439" s="41" t="n">
        <f aca="false">IFERROR(CC440+CC441,"n/a")</f>
        <v>76092.3422290459</v>
      </c>
      <c r="CD439" s="41" t="n">
        <f aca="false">IFERROR(CD440+CD441,"n/a")</f>
        <v>77488.8877900389</v>
      </c>
      <c r="CE439" s="41" t="n">
        <f aca="false">IFERROR(CE440+CE441,"n/a")</f>
        <v>79034.9968612881</v>
      </c>
      <c r="CF439" s="37"/>
    </row>
    <row r="440" customFormat="false" ht="15" hidden="false" customHeight="true" outlineLevel="0" collapsed="false">
      <c r="B440" s="27" t="s">
        <v>630</v>
      </c>
      <c r="C440" s="51" t="n">
        <f aca="false">C375</f>
        <v>6644.7</v>
      </c>
      <c r="D440" s="51" t="n">
        <f aca="false">D375</f>
        <v>9085.7</v>
      </c>
      <c r="E440" s="51" t="n">
        <f aca="false">E375</f>
        <v>9808.6</v>
      </c>
      <c r="F440" s="51" t="n">
        <f aca="false">F375</f>
        <v>11630.2</v>
      </c>
      <c r="G440" s="51" t="n">
        <f aca="false">G375</f>
        <v>13772.8</v>
      </c>
      <c r="H440" s="51" t="n">
        <f aca="false">H375</f>
        <v>16971.8</v>
      </c>
      <c r="I440" s="51" t="n">
        <f aca="false">I375</f>
        <v>19083.9</v>
      </c>
      <c r="J440" s="39"/>
      <c r="K440" s="39"/>
      <c r="L440" s="39"/>
      <c r="M440" s="39"/>
      <c r="N440" s="51" t="n">
        <f aca="false">N375</f>
        <v>22451.4</v>
      </c>
      <c r="O440" s="39"/>
      <c r="P440" s="39"/>
      <c r="Q440" s="39"/>
      <c r="R440" s="39"/>
      <c r="S440" s="51" t="n">
        <f aca="false">S375</f>
        <v>23449.8</v>
      </c>
      <c r="T440" s="39"/>
      <c r="U440" s="39"/>
      <c r="V440" s="39"/>
      <c r="W440" s="39"/>
      <c r="X440" s="51" t="n">
        <f aca="false">X375</f>
        <v>23764</v>
      </c>
      <c r="Y440" s="39"/>
      <c r="Z440" s="39"/>
      <c r="AA440" s="39"/>
      <c r="AB440" s="39"/>
      <c r="AC440" s="51" t="n">
        <f aca="false">AC375</f>
        <v>23076.8</v>
      </c>
      <c r="AD440" s="39"/>
      <c r="AE440" s="39"/>
      <c r="AF440" s="39"/>
      <c r="AG440" s="39"/>
      <c r="AH440" s="51" t="n">
        <f aca="false">AH375</f>
        <v>26367.8</v>
      </c>
      <c r="AI440" s="39"/>
      <c r="AJ440" s="39"/>
      <c r="AK440" s="39"/>
      <c r="AL440" s="39"/>
      <c r="AM440" s="51" t="n">
        <f aca="false">AM375</f>
        <v>28226.7</v>
      </c>
      <c r="AN440" s="39"/>
      <c r="AO440" s="39"/>
      <c r="AP440" s="39"/>
      <c r="AQ440" s="39"/>
      <c r="AR440" s="51" t="n">
        <f aca="false">AR375</f>
        <v>30281.9</v>
      </c>
      <c r="AS440" s="39"/>
      <c r="AT440" s="39"/>
      <c r="AU440" s="39"/>
      <c r="AV440" s="39"/>
      <c r="AW440" s="51" t="n">
        <f aca="false">AW375</f>
        <v>39777</v>
      </c>
      <c r="AX440" s="39"/>
      <c r="AY440" s="39"/>
      <c r="AZ440" s="39"/>
      <c r="BA440" s="39"/>
      <c r="BB440" s="51" t="n">
        <f aca="false">BB375</f>
        <v>45177</v>
      </c>
      <c r="BC440" s="39"/>
      <c r="BD440" s="39"/>
      <c r="BE440" s="39"/>
      <c r="BF440" s="39"/>
      <c r="BG440" s="51" t="n">
        <f aca="false">BG375</f>
        <v>50090</v>
      </c>
      <c r="BH440" s="39"/>
      <c r="BI440" s="39"/>
      <c r="BJ440" s="39"/>
      <c r="BK440" s="39"/>
      <c r="BL440" s="51" t="n">
        <f aca="false">BL375</f>
        <v>53490</v>
      </c>
      <c r="BM440" s="39"/>
      <c r="BN440" s="39"/>
      <c r="BO440" s="39"/>
      <c r="BP440" s="39"/>
      <c r="BQ440" s="51" t="n">
        <f aca="false">BQ375</f>
        <v>49550</v>
      </c>
      <c r="BR440" s="39"/>
      <c r="BS440" s="39"/>
      <c r="BT440" s="39"/>
      <c r="BU440" s="39"/>
      <c r="BV440" s="51" t="n">
        <f aca="false">BV375</f>
        <v>52541</v>
      </c>
      <c r="BW440" s="39"/>
      <c r="BX440" s="39"/>
      <c r="BY440" s="45"/>
      <c r="BZ440" s="45"/>
      <c r="CA440" s="41" t="n">
        <f aca="false">CA375</f>
        <v>54055.0640341669</v>
      </c>
      <c r="CB440" s="41" t="n">
        <f aca="false">CB375</f>
        <v>56637.3066555436</v>
      </c>
      <c r="CC440" s="41" t="n">
        <f aca="false">CC375</f>
        <v>55982.2466844301</v>
      </c>
      <c r="CD440" s="41" t="n">
        <f aca="false">CD375</f>
        <v>55582.379099421</v>
      </c>
      <c r="CE440" s="41" t="n">
        <f aca="false">CE375</f>
        <v>55195.1488969007</v>
      </c>
      <c r="CF440" s="37"/>
    </row>
    <row r="441" customFormat="false" ht="15" hidden="false" customHeight="true" outlineLevel="0" collapsed="false">
      <c r="B441" s="27" t="s">
        <v>631</v>
      </c>
      <c r="C441" s="51" t="n">
        <f aca="false">IFERROR(C413-C348,"n/a")</f>
        <v>2116</v>
      </c>
      <c r="D441" s="51" t="n">
        <f aca="false">IFERROR(D413-D348,"n/a")</f>
        <v>3487.2</v>
      </c>
      <c r="E441" s="51" t="n">
        <f aca="false">IFERROR(E413-E348,"n/a")</f>
        <v>2226.5</v>
      </c>
      <c r="F441" s="51" t="n">
        <f aca="false">IFERROR(F413-F348,"n/a")</f>
        <v>1211.3</v>
      </c>
      <c r="G441" s="51" t="n">
        <f aca="false">IFERROR(G413-G348,"n/a")</f>
        <v>1191.7</v>
      </c>
      <c r="H441" s="51" t="n">
        <f aca="false">IFERROR(H413-H348,"n/a")</f>
        <v>4768.2</v>
      </c>
      <c r="I441" s="51" t="n">
        <f aca="false">IFERROR(I413-I348,"n/a")</f>
        <v>3664.4</v>
      </c>
      <c r="J441" s="39"/>
      <c r="K441" s="39"/>
      <c r="L441" s="39"/>
      <c r="M441" s="39"/>
      <c r="N441" s="51" t="n">
        <f aca="false">IFERROR(N413-N348,"n/a")</f>
        <v>383.8</v>
      </c>
      <c r="O441" s="39"/>
      <c r="P441" s="39"/>
      <c r="Q441" s="39"/>
      <c r="R441" s="39"/>
      <c r="S441" s="51" t="n">
        <f aca="false">IFERROR(S413-S348,"n/a")</f>
        <v>467.8</v>
      </c>
      <c r="T441" s="39"/>
      <c r="U441" s="39"/>
      <c r="V441" s="39"/>
      <c r="W441" s="39"/>
      <c r="X441" s="51" t="n">
        <f aca="false">IFERROR(X413-X348,"n/a")</f>
        <v>12079.6</v>
      </c>
      <c r="Y441" s="39"/>
      <c r="Z441" s="39"/>
      <c r="AA441" s="39"/>
      <c r="AB441" s="39"/>
      <c r="AC441" s="51" t="n">
        <f aca="false">IFERROR(AC413-AC348,"n/a")</f>
        <v>11305.3</v>
      </c>
      <c r="AD441" s="39"/>
      <c r="AE441" s="39"/>
      <c r="AF441" s="39"/>
      <c r="AG441" s="39"/>
      <c r="AH441" s="51" t="n">
        <f aca="false">IFERROR(AH413-AH348,"n/a")</f>
        <v>9891.8</v>
      </c>
      <c r="AI441" s="39"/>
      <c r="AJ441" s="39"/>
      <c r="AK441" s="39"/>
      <c r="AL441" s="39"/>
      <c r="AM441" s="51" t="n">
        <f aca="false">IFERROR(AM413-AM348,"n/a")</f>
        <v>8952.5</v>
      </c>
      <c r="AN441" s="39"/>
      <c r="AO441" s="39"/>
      <c r="AP441" s="39"/>
      <c r="AQ441" s="39"/>
      <c r="AR441" s="51" t="n">
        <f aca="false">IFERROR(AR413-AR348,"n/a")</f>
        <v>1816.8</v>
      </c>
      <c r="AS441" s="39"/>
      <c r="AT441" s="39"/>
      <c r="AU441" s="39"/>
      <c r="AV441" s="39"/>
      <c r="AW441" s="51" t="n">
        <f aca="false">IFERROR(AW413-AW348,"n/a")</f>
        <v>15169</v>
      </c>
      <c r="AX441" s="39"/>
      <c r="AY441" s="39"/>
      <c r="AZ441" s="39"/>
      <c r="BA441" s="39"/>
      <c r="BB441" s="51" t="n">
        <f aca="false">IFERROR(BB413-BB348,"n/a")</f>
        <v>19590</v>
      </c>
      <c r="BC441" s="39"/>
      <c r="BD441" s="39"/>
      <c r="BE441" s="39"/>
      <c r="BF441" s="39"/>
      <c r="BG441" s="51" t="n">
        <f aca="false">IFERROR(BG413-BG348,"n/a")</f>
        <v>13682</v>
      </c>
      <c r="BH441" s="39"/>
      <c r="BI441" s="39"/>
      <c r="BJ441" s="39"/>
      <c r="BK441" s="39"/>
      <c r="BL441" s="51" t="n">
        <f aca="false">IFERROR(BL413-BL348,"n/a")</f>
        <v>12538</v>
      </c>
      <c r="BM441" s="39"/>
      <c r="BN441" s="39"/>
      <c r="BO441" s="39"/>
      <c r="BP441" s="39"/>
      <c r="BQ441" s="51" t="n">
        <f aca="false">IFERROR(BQ413-BQ348,"n/a")</f>
        <v>13927</v>
      </c>
      <c r="BR441" s="39"/>
      <c r="BS441" s="39"/>
      <c r="BT441" s="39"/>
      <c r="BU441" s="39"/>
      <c r="BV441" s="51" t="n">
        <f aca="false">IFERROR(BV413-BV348,"n/a")</f>
        <v>13803</v>
      </c>
      <c r="BW441" s="39"/>
      <c r="BX441" s="39"/>
      <c r="BY441" s="45"/>
      <c r="BZ441" s="45"/>
      <c r="CA441" s="41" t="n">
        <f aca="false">IFERROR(CA413-CA348,"n/a")</f>
        <v>21167.8876953299</v>
      </c>
      <c r="CB441" s="41" t="n">
        <f aca="false">IFERROR(CB413-CB348,"n/a")</f>
        <v>18523.2403546049</v>
      </c>
      <c r="CC441" s="41" t="n">
        <f aca="false">IFERROR(CC413-CC348,"n/a")</f>
        <v>20110.0955446158</v>
      </c>
      <c r="CD441" s="41" t="n">
        <f aca="false">IFERROR(CD413-CD348,"n/a")</f>
        <v>21906.508690618</v>
      </c>
      <c r="CE441" s="41" t="n">
        <f aca="false">IFERROR(CE413-CE348,"n/a")</f>
        <v>23839.8479643874</v>
      </c>
      <c r="CF441" s="37"/>
    </row>
    <row r="442" customFormat="false" ht="15" hidden="false" customHeight="true" outlineLevel="0" collapsed="false">
      <c r="B442" s="62" t="s">
        <v>632</v>
      </c>
      <c r="C442" s="92" t="n">
        <f aca="false">IFERROR(C438/C439,"n/a")</f>
        <v>0.131992384797144</v>
      </c>
      <c r="D442" s="92" t="n">
        <f aca="false">IFERROR(D438/D439,"n/a")</f>
        <v>0.106082221526632</v>
      </c>
      <c r="E442" s="92" t="n">
        <f aca="false">IFERROR(E438/E439,"n/a")</f>
        <v>0.12363647683638</v>
      </c>
      <c r="F442" s="92" t="n">
        <f aca="false">IFERROR(F438/F439,"n/a")</f>
        <v>0.104816312769065</v>
      </c>
      <c r="G442" s="92" t="n">
        <f aca="false">IFERROR(G438/G439,"n/a")</f>
        <v>0.107936921897036</v>
      </c>
      <c r="H442" s="92" t="n">
        <f aca="false">IFERROR(H438/H439,"n/a")</f>
        <v>0.0994161920589113</v>
      </c>
      <c r="I442" s="92" t="n">
        <f aca="false">IFERROR(I438/I439,"n/a")</f>
        <v>0.106255696122601</v>
      </c>
      <c r="J442" s="64"/>
      <c r="K442" s="64"/>
      <c r="L442" s="64"/>
      <c r="M442" s="64"/>
      <c r="N442" s="92" t="n">
        <f aca="false">IFERROR(N438/N439,"n/a")</f>
        <v>0.109014187235843</v>
      </c>
      <c r="O442" s="64"/>
      <c r="P442" s="64"/>
      <c r="Q442" s="64"/>
      <c r="R442" s="64"/>
      <c r="S442" s="92" t="n">
        <f aca="false">IFERROR(S438/S439,"n/a")</f>
        <v>0.107293688904533</v>
      </c>
      <c r="T442" s="64"/>
      <c r="U442" s="64"/>
      <c r="V442" s="64"/>
      <c r="W442" s="64"/>
      <c r="X442" s="92" t="n">
        <f aca="false">IFERROR(X438/X439,"n/a")</f>
        <v>0.0544133492340411</v>
      </c>
      <c r="Y442" s="64"/>
      <c r="Z442" s="64"/>
      <c r="AA442" s="64"/>
      <c r="AB442" s="64"/>
      <c r="AC442" s="92" t="n">
        <f aca="false">IFERROR(AC438/AC439,"n/a")</f>
        <v>0.0675626959147852</v>
      </c>
      <c r="AD442" s="64"/>
      <c r="AE442" s="64"/>
      <c r="AF442" s="64"/>
      <c r="AG442" s="64"/>
      <c r="AH442" s="92" t="n">
        <f aca="false">IFERROR(AH438/AH439,"n/a")</f>
        <v>0.0708168851470609</v>
      </c>
      <c r="AI442" s="64"/>
      <c r="AJ442" s="64"/>
      <c r="AK442" s="64"/>
      <c r="AL442" s="64"/>
      <c r="AM442" s="92" t="n">
        <f aca="false">IFERROR(AM438/AM439,"n/a")</f>
        <v>0.0672389540280293</v>
      </c>
      <c r="AN442" s="64"/>
      <c r="AO442" s="64"/>
      <c r="AP442" s="64"/>
      <c r="AQ442" s="64"/>
      <c r="AR442" s="92" t="n">
        <f aca="false">IFERROR(AR438/AR439,"n/a")</f>
        <v>0.0770847005039367</v>
      </c>
      <c r="AS442" s="64"/>
      <c r="AT442" s="64"/>
      <c r="AU442" s="64"/>
      <c r="AV442" s="64"/>
      <c r="AW442" s="92" t="n">
        <f aca="false">IFERROR(AW438/AW439,"n/a")</f>
        <v>0.0711685336765267</v>
      </c>
      <c r="AX442" s="64"/>
      <c r="AY442" s="64"/>
      <c r="AZ442" s="64"/>
      <c r="BA442" s="64"/>
      <c r="BB442" s="92" t="n">
        <f aca="false">IFERROR(BB438/BB439,"n/a")</f>
        <v>0.104807472070099</v>
      </c>
      <c r="BC442" s="64"/>
      <c r="BD442" s="64"/>
      <c r="BE442" s="64"/>
      <c r="BF442" s="64"/>
      <c r="BG442" s="92" t="n">
        <f aca="false">IFERROR(BG438/BG439,"n/a")</f>
        <v>0.105491033609641</v>
      </c>
      <c r="BH442" s="64"/>
      <c r="BI442" s="64"/>
      <c r="BJ442" s="64"/>
      <c r="BK442" s="64"/>
      <c r="BL442" s="92" t="n">
        <f aca="false">IFERROR(BL438/BL439,"n/a")</f>
        <v>0.0679830900566684</v>
      </c>
      <c r="BM442" s="64"/>
      <c r="BN442" s="64"/>
      <c r="BO442" s="64"/>
      <c r="BP442" s="64"/>
      <c r="BQ442" s="92" t="n">
        <f aca="false">IFERROR(BQ438/BQ439,"n/a")</f>
        <v>0.0688671315056841</v>
      </c>
      <c r="BR442" s="64"/>
      <c r="BS442" s="64"/>
      <c r="BT442" s="64"/>
      <c r="BU442" s="64"/>
      <c r="BV442" s="92" t="n">
        <f aca="false">IFERROR(BV438/BV439,"n/a")</f>
        <v>0.0671969554472136</v>
      </c>
      <c r="BW442" s="64"/>
      <c r="BX442" s="64"/>
      <c r="BY442" s="64"/>
      <c r="BZ442" s="64"/>
      <c r="CA442" s="92" t="n">
        <f aca="false">IFERROR(CA438/CA439,"n/a")</f>
        <v>0.0624381842554843</v>
      </c>
      <c r="CB442" s="92" t="n">
        <f aca="false">IFERROR(CB438/CB439,"n/a")</f>
        <v>0.0715389327620273</v>
      </c>
      <c r="CC442" s="92" t="n">
        <f aca="false">IFERROR(CC438/CC439,"n/a")</f>
        <v>0.0782408804048062</v>
      </c>
      <c r="CD442" s="92" t="n">
        <f aca="false">IFERROR(CD438/CD439,"n/a")</f>
        <v>0.0850920429001566</v>
      </c>
      <c r="CE442" s="92" t="n">
        <f aca="false">IFERROR(CE438/CE439,"n/a")</f>
        <v>0.0941929425388647</v>
      </c>
      <c r="CF442" s="7"/>
      <c r="CH442" s="32" t="n">
        <f aca="false">IFERROR(AVERAGE(CA442,CB442,CC442,CD442,CE442),"n/m")</f>
        <v>0.0783005965722678</v>
      </c>
      <c r="CI442" s="32" t="n">
        <f aca="false">IFERROR(AVERAGE(BB442,BG442,BL442,BQ442,BV442),"n/m")</f>
        <v>0.0828691365378612</v>
      </c>
      <c r="CJ442" s="32" t="n">
        <f aca="false">IFERROR(AVERAGE(AC442,AH442,AM442,AR442,AW442,BB442,BG442,BL442,BQ442,BV442),"n/m")</f>
        <v>0.0768217451959645</v>
      </c>
      <c r="CK442" s="32" t="n">
        <f aca="false">IFERROR(AVERAGE(C442,D442,E442,F442,G442,H442,I442,N442,S442,X442,AC442,AH442,AM442,AR442,AW442,BB442,BG442,BL442,BQ442,BV442),"n/m")</f>
        <v>0.0909537441670915</v>
      </c>
    </row>
    <row r="443" customFormat="false" ht="15" hidden="false" customHeight="true" outlineLevel="0" collapsed="false">
      <c r="B443" s="27" t="s">
        <v>633</v>
      </c>
      <c r="C443" s="42" t="n">
        <f aca="false">IFERROR(C436/C178,"n/a")</f>
        <v>0.157350968191758</v>
      </c>
      <c r="D443" s="42" t="n">
        <f aca="false">IFERROR(D436/D178,"n/a")</f>
        <v>0.163125005668471</v>
      </c>
      <c r="E443" s="42" t="n">
        <f aca="false">IFERROR(E436/E178,"n/a")</f>
        <v>0.15558180744241</v>
      </c>
      <c r="F443" s="42" t="n">
        <f aca="false">IFERROR(F436/F178,"n/a")</f>
        <v>0.148879292617726</v>
      </c>
      <c r="G443" s="42" t="n">
        <f aca="false">IFERROR(G436/G178,"n/a")</f>
        <v>0.167011952191235</v>
      </c>
      <c r="H443" s="42" t="n">
        <f aca="false">IFERROR(H436/H178,"n/a")</f>
        <v>0.169901494670769</v>
      </c>
      <c r="I443" s="42" t="n">
        <f aca="false">IFERROR(I436/I178,"n/a")</f>
        <v>0.173331361854067</v>
      </c>
      <c r="J443" s="39"/>
      <c r="K443" s="39"/>
      <c r="L443" s="39"/>
      <c r="M443" s="39"/>
      <c r="N443" s="42" t="n">
        <f aca="false">IFERROR(N436/N178,"n/a")</f>
        <v>0.172293126896119</v>
      </c>
      <c r="O443" s="39"/>
      <c r="P443" s="39"/>
      <c r="Q443" s="39"/>
      <c r="R443" s="39"/>
      <c r="S443" s="42" t="n">
        <f aca="false">IFERROR(S436/S178,"n/a")</f>
        <v>0.179158400334134</v>
      </c>
      <c r="T443" s="39"/>
      <c r="U443" s="39"/>
      <c r="V443" s="39"/>
      <c r="W443" s="39"/>
      <c r="X443" s="42" t="n">
        <f aca="false">IFERROR(X436/X178,"n/a")</f>
        <v>0.157769664050105</v>
      </c>
      <c r="Y443" s="39"/>
      <c r="Z443" s="39"/>
      <c r="AA443" s="39"/>
      <c r="AB443" s="39"/>
      <c r="AC443" s="42" t="n">
        <f aca="false">IFERROR(AC436/AC178,"n/a")</f>
        <v>0.166854238733829</v>
      </c>
      <c r="AD443" s="39"/>
      <c r="AE443" s="39"/>
      <c r="AF443" s="39"/>
      <c r="AG443" s="39"/>
      <c r="AH443" s="42" t="n">
        <f aca="false">IFERROR(AH436/AH178,"n/a")</f>
        <v>0.166691216986639</v>
      </c>
      <c r="AI443" s="39"/>
      <c r="AJ443" s="39"/>
      <c r="AK443" s="39"/>
      <c r="AL443" s="39"/>
      <c r="AM443" s="42" t="n">
        <f aca="false">IFERROR(AM436/AM178,"n/a")</f>
        <v>0.180490952283192</v>
      </c>
      <c r="AN443" s="39"/>
      <c r="AO443" s="39"/>
      <c r="AP443" s="39"/>
      <c r="AQ443" s="39"/>
      <c r="AR443" s="42" t="n">
        <f aca="false">IFERROR(AR436/AR178,"n/a")</f>
        <v>0.187727163602459</v>
      </c>
      <c r="AS443" s="39"/>
      <c r="AT443" s="39"/>
      <c r="AU443" s="39"/>
      <c r="AV443" s="39"/>
      <c r="AW443" s="42" t="n">
        <f aca="false">IFERROR(AW436/AW178,"n/a")</f>
        <v>0.216343564889607</v>
      </c>
      <c r="AX443" s="39"/>
      <c r="AY443" s="39"/>
      <c r="AZ443" s="39"/>
      <c r="BA443" s="39"/>
      <c r="BB443" s="42" t="n">
        <f aca="false">IFERROR(BB436/BB178,"n/a")</f>
        <v>0.275897192136624</v>
      </c>
      <c r="BC443" s="39"/>
      <c r="BD443" s="39"/>
      <c r="BE443" s="39"/>
      <c r="BF443" s="39"/>
      <c r="BG443" s="42" t="n">
        <f aca="false">IFERROR(BG436/BG178,"n/a")</f>
        <v>0.285140562248996</v>
      </c>
      <c r="BH443" s="39"/>
      <c r="BI443" s="39"/>
      <c r="BJ443" s="39"/>
      <c r="BK443" s="39"/>
      <c r="BL443" s="42" t="n">
        <f aca="false">IFERROR(BL436/BL178,"n/a")</f>
        <v>0.224529091670155</v>
      </c>
      <c r="BM443" s="39"/>
      <c r="BN443" s="39"/>
      <c r="BO443" s="39"/>
      <c r="BP443" s="39"/>
      <c r="BQ443" s="42" t="n">
        <f aca="false">IFERROR(BQ436/BQ178,"n/a")</f>
        <v>0.218178010471204</v>
      </c>
      <c r="BR443" s="39"/>
      <c r="BS443" s="39"/>
      <c r="BT443" s="39"/>
      <c r="BU443" s="39"/>
      <c r="BV443" s="42" t="n">
        <f aca="false">IFERROR(BV436/BV178,"n/a")</f>
        <v>0.213366981439271</v>
      </c>
      <c r="BW443" s="39"/>
      <c r="BX443" s="39"/>
      <c r="BY443" s="45"/>
      <c r="BZ443" s="45"/>
      <c r="CA443" s="26" t="n">
        <f aca="false">IFERROR(CA436/CA178,"n/a")</f>
        <v>0.214077206794094</v>
      </c>
      <c r="CB443" s="26" t="n">
        <f aca="false">IFERROR(CB436/CB178,"n/a")</f>
        <v>0.222644754925316</v>
      </c>
      <c r="CC443" s="26" t="n">
        <f aca="false">IFERROR(CC436/CC178,"n/a")</f>
        <v>0.231445469585076</v>
      </c>
      <c r="CD443" s="26" t="n">
        <f aca="false">IFERROR(CD436/CD178,"n/a")</f>
        <v>0.239423342818468</v>
      </c>
      <c r="CE443" s="26" t="n">
        <f aca="false">IFERROR(CE436/CE178,"n/a")</f>
        <v>0.252449713840586</v>
      </c>
      <c r="CF443" s="37"/>
    </row>
    <row r="444" customFormat="false" ht="15" hidden="false" customHeight="true" outlineLevel="0" collapsed="false">
      <c r="B444" s="27" t="s">
        <v>634</v>
      </c>
      <c r="C444" s="83" t="n">
        <f aca="false">IFERROR(C178/C439,"n/a")</f>
        <v>1.08051868001415</v>
      </c>
      <c r="D444" s="83" t="n">
        <f aca="false">IFERROR(D178/D439,"n/a")</f>
        <v>0.876957583373764</v>
      </c>
      <c r="E444" s="83" t="n">
        <f aca="false">IFERROR(E178/E439,"n/a")</f>
        <v>1.05503901089314</v>
      </c>
      <c r="F444" s="83" t="n">
        <f aca="false">IFERROR(F178/F439,"n/a")</f>
        <v>0.870996378927695</v>
      </c>
      <c r="G444" s="83" t="n">
        <f aca="false">IFERROR(G178/G439,"n/a")</f>
        <v>0.838651475157874</v>
      </c>
      <c r="H444" s="83" t="n">
        <f aca="false">IFERROR(H178/H439,"n/a")</f>
        <v>0.740133394664214</v>
      </c>
      <c r="I444" s="83" t="n">
        <f aca="false">IFERROR(I178/I439,"n/a")</f>
        <v>0.802714928148477</v>
      </c>
      <c r="J444" s="39"/>
      <c r="K444" s="39"/>
      <c r="L444" s="39"/>
      <c r="M444" s="39"/>
      <c r="N444" s="83" t="n">
        <f aca="false">IFERROR(N178/N439,"n/a")</f>
        <v>0.837216227578476</v>
      </c>
      <c r="O444" s="39"/>
      <c r="P444" s="39"/>
      <c r="Q444" s="39"/>
      <c r="R444" s="39"/>
      <c r="S444" s="83" t="n">
        <f aca="false">IFERROR(S178/S439,"n/a")</f>
        <v>0.800832859484229</v>
      </c>
      <c r="T444" s="39"/>
      <c r="U444" s="39"/>
      <c r="V444" s="39"/>
      <c r="W444" s="39"/>
      <c r="X444" s="83" t="n">
        <f aca="false">IFERROR(X178/X439,"n/a")</f>
        <v>0.402685556138334</v>
      </c>
      <c r="Y444" s="39"/>
      <c r="Z444" s="39"/>
      <c r="AA444" s="39"/>
      <c r="AB444" s="39"/>
      <c r="AC444" s="83" t="n">
        <f aca="false">IFERROR(AC178/AC439,"n/a")</f>
        <v>0.49102294507898</v>
      </c>
      <c r="AD444" s="39"/>
      <c r="AE444" s="39"/>
      <c r="AF444" s="39"/>
      <c r="AG444" s="39"/>
      <c r="AH444" s="83" t="n">
        <f aca="false">IFERROR(AH178/AH439,"n/a")</f>
        <v>0.505513022758111</v>
      </c>
      <c r="AI444" s="39"/>
      <c r="AJ444" s="39"/>
      <c r="AK444" s="39"/>
      <c r="AL444" s="39"/>
      <c r="AM444" s="83" t="n">
        <f aca="false">IFERROR(AM178/AM439,"n/a")</f>
        <v>0.45854940396781</v>
      </c>
      <c r="AN444" s="39"/>
      <c r="AO444" s="39"/>
      <c r="AP444" s="39"/>
      <c r="AQ444" s="39"/>
      <c r="AR444" s="83" t="n">
        <f aca="false">IFERROR(AR178/AR439,"n/a")</f>
        <v>0.558000791309305</v>
      </c>
      <c r="AS444" s="39"/>
      <c r="AT444" s="39"/>
      <c r="AU444" s="39"/>
      <c r="AV444" s="39"/>
      <c r="AW444" s="83" t="n">
        <f aca="false">IFERROR(AW178/AW439,"n/a")</f>
        <v>0.405561824336621</v>
      </c>
      <c r="AX444" s="39"/>
      <c r="AY444" s="39"/>
      <c r="AZ444" s="39"/>
      <c r="BA444" s="39"/>
      <c r="BB444" s="83" t="n">
        <f aca="false">IFERROR(BB178/BB439,"n/a")</f>
        <v>0.454753192212083</v>
      </c>
      <c r="BC444" s="39"/>
      <c r="BD444" s="39"/>
      <c r="BE444" s="39"/>
      <c r="BF444" s="39"/>
      <c r="BG444" s="83" t="n">
        <f aca="false">IFERROR(BG178/BG439,"n/a")</f>
        <v>0.417785234899329</v>
      </c>
      <c r="BH444" s="39"/>
      <c r="BI444" s="39"/>
      <c r="BJ444" s="39"/>
      <c r="BK444" s="39"/>
      <c r="BL444" s="83" t="n">
        <f aca="false">IFERROR(BL178/BL439,"n/a")</f>
        <v>0.361816199188223</v>
      </c>
      <c r="BM444" s="39"/>
      <c r="BN444" s="39"/>
      <c r="BO444" s="39"/>
      <c r="BP444" s="39"/>
      <c r="BQ444" s="83" t="n">
        <f aca="false">IFERROR(BQ178/BQ439,"n/a")</f>
        <v>0.376120484584968</v>
      </c>
      <c r="BR444" s="39"/>
      <c r="BS444" s="39"/>
      <c r="BT444" s="39"/>
      <c r="BU444" s="39"/>
      <c r="BV444" s="83" t="n">
        <f aca="false">IFERROR(BV178/BV439,"n/a")</f>
        <v>0.370312311588086</v>
      </c>
      <c r="BW444" s="39"/>
      <c r="BX444" s="39"/>
      <c r="BY444" s="45"/>
      <c r="BZ444" s="45"/>
      <c r="CA444" s="84" t="n">
        <f aca="false">IFERROR(CA178/CA439,"n/a")</f>
        <v>0.35226507855327</v>
      </c>
      <c r="CB444" s="84" t="n">
        <f aca="false">IFERROR(CB178/CB439,"n/a")</f>
        <v>0.38565130928158</v>
      </c>
      <c r="CC444" s="84" t="n">
        <f aca="false">IFERROR(CC178/CC439,"n/a")</f>
        <v>0.405882709634805</v>
      </c>
      <c r="CD444" s="84" t="n">
        <f aca="false">IFERROR(CD178/CD439,"n/a")</f>
        <v>0.426810051918397</v>
      </c>
      <c r="CE444" s="84" t="n">
        <f aca="false">IFERROR(CE178/CE439,"n/a")</f>
        <v>0.448331553821984</v>
      </c>
      <c r="CF444" s="37"/>
    </row>
    <row r="445" customFormat="false" ht="15" hidden="false" customHeight="true" outlineLevel="0" collapsed="false">
      <c r="B445" s="27" t="s">
        <v>635</v>
      </c>
      <c r="C445" s="42" t="n">
        <f aca="false">IFERROR(1-C437,"n/a")</f>
        <v>0.776331443767933</v>
      </c>
      <c r="D445" s="42" t="n">
        <f aca="false">IFERROR(1-D437,"n/a")</f>
        <v>0.741555189053815</v>
      </c>
      <c r="E445" s="42" t="n">
        <f aca="false">IFERROR(1-E437,"n/a")</f>
        <v>0.753215571943063</v>
      </c>
      <c r="F445" s="42" t="n">
        <f aca="false">IFERROR(1-F437,"n/a")</f>
        <v>0.808310521513301</v>
      </c>
      <c r="G445" s="42" t="n">
        <f aca="false">IFERROR(1-G437,"n/a")</f>
        <v>0.770621215519175</v>
      </c>
      <c r="H445" s="42" t="n">
        <f aca="false">IFERROR(1-H437,"n/a")</f>
        <v>0.790587466296266</v>
      </c>
      <c r="I445" s="42" t="n">
        <f aca="false">IFERROR(1-I437,"n/a")</f>
        <v>0.763684070678889</v>
      </c>
      <c r="J445" s="39"/>
      <c r="K445" s="39"/>
      <c r="L445" s="39"/>
      <c r="M445" s="39"/>
      <c r="N445" s="42" t="n">
        <f aca="false">IFERROR(1-N437,"n/a")</f>
        <v>0.755748738081885</v>
      </c>
      <c r="O445" s="39"/>
      <c r="P445" s="39"/>
      <c r="Q445" s="39"/>
      <c r="R445" s="39"/>
      <c r="S445" s="42" t="n">
        <f aca="false">IFERROR(1-S437,"n/a")</f>
        <v>0.747816625988767</v>
      </c>
      <c r="T445" s="39"/>
      <c r="U445" s="39"/>
      <c r="V445" s="39"/>
      <c r="W445" s="39"/>
      <c r="X445" s="42" t="n">
        <f aca="false">IFERROR(1-X437,"n/a")</f>
        <v>0.856477395312347</v>
      </c>
      <c r="Y445" s="39"/>
      <c r="Z445" s="39"/>
      <c r="AA445" s="39"/>
      <c r="AB445" s="39"/>
      <c r="AC445" s="42" t="n">
        <f aca="false">IFERROR(1-AC437,"n/a")</f>
        <v>0.824646727683529</v>
      </c>
      <c r="AD445" s="39"/>
      <c r="AE445" s="39"/>
      <c r="AF445" s="39"/>
      <c r="AG445" s="39"/>
      <c r="AH445" s="42" t="n">
        <f aca="false">IFERROR(1-AH437,"n/a")</f>
        <v>0.840411052130121</v>
      </c>
      <c r="AI445" s="39"/>
      <c r="AJ445" s="39"/>
      <c r="AK445" s="39"/>
      <c r="AL445" s="39"/>
      <c r="AM445" s="42" t="n">
        <f aca="false">IFERROR(1-AM437,"n/a")</f>
        <v>0.812417704851616</v>
      </c>
      <c r="AN445" s="39"/>
      <c r="AO445" s="39"/>
      <c r="AP445" s="39"/>
      <c r="AQ445" s="39"/>
      <c r="AR445" s="42" t="n">
        <f aca="false">IFERROR(1-AR437,"n/a")</f>
        <v>0.735878740205125</v>
      </c>
      <c r="AS445" s="39"/>
      <c r="AT445" s="39"/>
      <c r="AU445" s="39"/>
      <c r="AV445" s="39"/>
      <c r="AW445" s="42" t="n">
        <f aca="false">IFERROR(1-AW437,"n/a")</f>
        <v>0.811123470522803</v>
      </c>
      <c r="AX445" s="39"/>
      <c r="AY445" s="39"/>
      <c r="AZ445" s="39"/>
      <c r="BA445" s="39"/>
      <c r="BB445" s="42" t="n">
        <f aca="false">IFERROR(1-BB437,"n/a")</f>
        <v>0.835351408265333</v>
      </c>
      <c r="BC445" s="39"/>
      <c r="BD445" s="39"/>
      <c r="BE445" s="39"/>
      <c r="BF445" s="39"/>
      <c r="BG445" s="42" t="n">
        <f aca="false">IFERROR(1-BG437,"n/a")</f>
        <v>0.885530366638679</v>
      </c>
      <c r="BH445" s="39"/>
      <c r="BI445" s="39"/>
      <c r="BJ445" s="39"/>
      <c r="BK445" s="39"/>
      <c r="BL445" s="42" t="n">
        <f aca="false">IFERROR(1-BL437,"n/a")</f>
        <v>0.836835844567803</v>
      </c>
      <c r="BM445" s="39"/>
      <c r="BN445" s="39"/>
      <c r="BO445" s="39"/>
      <c r="BP445" s="39"/>
      <c r="BQ445" s="42" t="n">
        <f aca="false">IFERROR(1-BQ437,"n/a")</f>
        <v>0.839216530348687</v>
      </c>
      <c r="BR445" s="39"/>
      <c r="BS445" s="39"/>
      <c r="BT445" s="39"/>
      <c r="BU445" s="39"/>
      <c r="BV445" s="42" t="n">
        <f aca="false">IFERROR(1-BV437,"n/a")</f>
        <v>0.850460666194189</v>
      </c>
      <c r="BW445" s="39"/>
      <c r="BX445" s="39"/>
      <c r="BY445" s="45"/>
      <c r="BZ445" s="45"/>
      <c r="CA445" s="26" t="n">
        <f aca="false">IFERROR(1-CA437,"n/a")</f>
        <v>0.827961692097392</v>
      </c>
      <c r="CB445" s="26" t="n">
        <f aca="false">IFERROR(1-CB437,"n/a")</f>
        <v>0.833172982146252</v>
      </c>
      <c r="CC445" s="26" t="n">
        <f aca="false">IFERROR(1-CC437,"n/a")</f>
        <v>0.832883950782641</v>
      </c>
      <c r="CD445" s="26" t="n">
        <f aca="false">IFERROR(1-CD437,"n/a")</f>
        <v>0.832698574537326</v>
      </c>
      <c r="CE445" s="26" t="n">
        <f aca="false">IFERROR(1-CE437,"n/a")</f>
        <v>0.832231549513607</v>
      </c>
      <c r="CF445" s="37"/>
    </row>
    <row r="446" customFormat="false" ht="15" hidden="false" customHeight="true" outlineLevel="0" collapsed="false">
      <c r="B446" s="27" t="s">
        <v>636</v>
      </c>
      <c r="C446" s="42" t="n">
        <f aca="false">IFERROR(C443*C444*C445,"n/a")</f>
        <v>0.131992384797144</v>
      </c>
      <c r="D446" s="42" t="n">
        <f aca="false">IFERROR(D443*D444*D445,"n/a")</f>
        <v>0.106082221526632</v>
      </c>
      <c r="E446" s="42" t="n">
        <f aca="false">IFERROR(E443*E444*E445,"n/a")</f>
        <v>0.12363647683638</v>
      </c>
      <c r="F446" s="42" t="n">
        <f aca="false">IFERROR(F443*F444*F445,"n/a")</f>
        <v>0.104816312769065</v>
      </c>
      <c r="G446" s="42" t="n">
        <f aca="false">IFERROR(G443*G444*G445,"n/a")</f>
        <v>0.107936921897036</v>
      </c>
      <c r="H446" s="42" t="n">
        <f aca="false">IFERROR(H443*H444*H445,"n/a")</f>
        <v>0.0994161920589114</v>
      </c>
      <c r="I446" s="42" t="n">
        <f aca="false">IFERROR(I443*I444*I445,"n/a")</f>
        <v>0.106255696122601</v>
      </c>
      <c r="J446" s="39"/>
      <c r="K446" s="39"/>
      <c r="L446" s="39"/>
      <c r="M446" s="39"/>
      <c r="N446" s="42" t="n">
        <f aca="false">IFERROR(N443*N444*N445,"n/a")</f>
        <v>0.109014187235843</v>
      </c>
      <c r="O446" s="39"/>
      <c r="P446" s="39"/>
      <c r="Q446" s="39"/>
      <c r="R446" s="39"/>
      <c r="S446" s="42" t="n">
        <f aca="false">IFERROR(S443*S444*S445,"n/a")</f>
        <v>0.107293688904533</v>
      </c>
      <c r="T446" s="39"/>
      <c r="U446" s="39"/>
      <c r="V446" s="39"/>
      <c r="W446" s="39"/>
      <c r="X446" s="42" t="n">
        <f aca="false">IFERROR(X443*X444*X445,"n/a")</f>
        <v>0.0544133492340411</v>
      </c>
      <c r="Y446" s="39"/>
      <c r="Z446" s="39"/>
      <c r="AA446" s="39"/>
      <c r="AB446" s="39"/>
      <c r="AC446" s="42" t="n">
        <f aca="false">IFERROR(AC443*AC444*AC445,"n/a")</f>
        <v>0.0675626959147852</v>
      </c>
      <c r="AD446" s="39"/>
      <c r="AE446" s="39"/>
      <c r="AF446" s="39"/>
      <c r="AG446" s="39"/>
      <c r="AH446" s="42" t="n">
        <f aca="false">IFERROR(AH443*AH444*AH445,"n/a")</f>
        <v>0.0708168851470609</v>
      </c>
      <c r="AI446" s="39"/>
      <c r="AJ446" s="39"/>
      <c r="AK446" s="39"/>
      <c r="AL446" s="39"/>
      <c r="AM446" s="42" t="n">
        <f aca="false">IFERROR(AM443*AM444*AM445,"n/a")</f>
        <v>0.0672389540280293</v>
      </c>
      <c r="AN446" s="39"/>
      <c r="AO446" s="39"/>
      <c r="AP446" s="39"/>
      <c r="AQ446" s="39"/>
      <c r="AR446" s="42" t="n">
        <f aca="false">IFERROR(AR443*AR444*AR445,"n/a")</f>
        <v>0.0770847005039367</v>
      </c>
      <c r="AS446" s="39"/>
      <c r="AT446" s="39"/>
      <c r="AU446" s="39"/>
      <c r="AV446" s="39"/>
      <c r="AW446" s="42" t="n">
        <f aca="false">IFERROR(AW443*AW444*AW445,"n/a")</f>
        <v>0.0711685336765267</v>
      </c>
      <c r="AX446" s="39"/>
      <c r="AY446" s="39"/>
      <c r="AZ446" s="39"/>
      <c r="BA446" s="39"/>
      <c r="BB446" s="42" t="n">
        <f aca="false">IFERROR(BB443*BB444*BB445,"n/a")</f>
        <v>0.104807472070099</v>
      </c>
      <c r="BC446" s="39"/>
      <c r="BD446" s="39"/>
      <c r="BE446" s="39"/>
      <c r="BF446" s="39"/>
      <c r="BG446" s="42" t="n">
        <f aca="false">IFERROR(BG443*BG444*BG445,"n/a")</f>
        <v>0.105491033609641</v>
      </c>
      <c r="BH446" s="39"/>
      <c r="BI446" s="39"/>
      <c r="BJ446" s="39"/>
      <c r="BK446" s="39"/>
      <c r="BL446" s="42" t="n">
        <f aca="false">IFERROR(BL443*BL444*BL445,"n/a")</f>
        <v>0.0679830900566684</v>
      </c>
      <c r="BM446" s="39"/>
      <c r="BN446" s="39"/>
      <c r="BO446" s="39"/>
      <c r="BP446" s="39"/>
      <c r="BQ446" s="42" t="n">
        <f aca="false">IFERROR(BQ443*BQ444*BQ445,"n/a")</f>
        <v>0.0688671315056841</v>
      </c>
      <c r="BR446" s="39"/>
      <c r="BS446" s="39"/>
      <c r="BT446" s="39"/>
      <c r="BU446" s="39"/>
      <c r="BV446" s="42" t="n">
        <f aca="false">IFERROR(BV443*BV444*BV445,"n/a")</f>
        <v>0.0671969554472136</v>
      </c>
      <c r="BW446" s="39"/>
      <c r="BX446" s="39"/>
      <c r="BY446" s="45"/>
      <c r="BZ446" s="45"/>
      <c r="CA446" s="26" t="n">
        <f aca="false">IFERROR(CA443*CA444*CA445,"n/a")</f>
        <v>0.0624381842554843</v>
      </c>
      <c r="CB446" s="26" t="n">
        <f aca="false">IFERROR(CB443*CB444*CB445,"n/a")</f>
        <v>0.0715389327620273</v>
      </c>
      <c r="CC446" s="26" t="n">
        <f aca="false">IFERROR(CC443*CC444*CC445,"n/a")</f>
        <v>0.0782408804048062</v>
      </c>
      <c r="CD446" s="26" t="n">
        <f aca="false">IFERROR(CD443*CD444*CD445,"n/a")</f>
        <v>0.0850920429001566</v>
      </c>
      <c r="CE446" s="26" t="n">
        <f aca="false">IFERROR(CE443*CE444*CE445,"n/a")</f>
        <v>0.0941929425388647</v>
      </c>
      <c r="CF446" s="37"/>
    </row>
    <row r="447" customFormat="false" ht="15" hidden="false" customHeight="true" outlineLevel="0" collapsed="false">
      <c r="B447" s="27" t="s">
        <v>637</v>
      </c>
      <c r="CF447" s="7"/>
    </row>
    <row r="448" customFormat="false" ht="15" hidden="false" customHeight="true" outlineLevel="0" collapsed="false">
      <c r="B448" s="27" t="s">
        <v>628</v>
      </c>
      <c r="C448" s="51" t="n">
        <f aca="false">C438</f>
        <v>1156.34568549234</v>
      </c>
      <c r="D448" s="51" t="n">
        <f aca="false">D438</f>
        <v>1333.76116303219</v>
      </c>
      <c r="E448" s="51" t="n">
        <f aca="false">E438</f>
        <v>1487.97736237352</v>
      </c>
      <c r="F448" s="51" t="n">
        <f aca="false">F438</f>
        <v>1345.99868042395</v>
      </c>
      <c r="G448" s="51" t="n">
        <f aca="false">G438</f>
        <v>1615.22206772819</v>
      </c>
      <c r="H448" s="51" t="n">
        <f aca="false">H438</f>
        <v>2161.30801536073</v>
      </c>
      <c r="I448" s="51" t="n">
        <f aca="false">I438</f>
        <v>2417.13645210575</v>
      </c>
      <c r="J448" s="39"/>
      <c r="K448" s="39"/>
      <c r="L448" s="39"/>
      <c r="M448" s="39"/>
      <c r="N448" s="51" t="n">
        <f aca="false">N438</f>
        <v>2489.36076836792</v>
      </c>
      <c r="O448" s="39"/>
      <c r="P448" s="39"/>
      <c r="Q448" s="39"/>
      <c r="R448" s="39"/>
      <c r="S448" s="51" t="n">
        <f aca="false">S438</f>
        <v>2566.20753374305</v>
      </c>
      <c r="T448" s="39"/>
      <c r="U448" s="39"/>
      <c r="V448" s="39"/>
      <c r="W448" s="39"/>
      <c r="X448" s="51" t="n">
        <f aca="false">X438</f>
        <v>1950.37032460528</v>
      </c>
      <c r="Y448" s="39"/>
      <c r="Z448" s="39"/>
      <c r="AA448" s="39"/>
      <c r="AB448" s="39"/>
      <c r="AC448" s="51" t="n">
        <f aca="false">AC438</f>
        <v>2322.94736721174</v>
      </c>
      <c r="AD448" s="39"/>
      <c r="AE448" s="39"/>
      <c r="AF448" s="39"/>
      <c r="AG448" s="39"/>
      <c r="AH448" s="51" t="n">
        <f aca="false">AH438</f>
        <v>2567.79192867837</v>
      </c>
      <c r="AI448" s="39"/>
      <c r="AJ448" s="39"/>
      <c r="AK448" s="39"/>
      <c r="AL448" s="39"/>
      <c r="AM448" s="51" t="n">
        <f aca="false">AM438</f>
        <v>2499.89051959891</v>
      </c>
      <c r="AN448" s="39"/>
      <c r="AO448" s="39"/>
      <c r="AP448" s="39"/>
      <c r="AQ448" s="39"/>
      <c r="AR448" s="51" t="n">
        <f aca="false">AR438</f>
        <v>2474.31867606571</v>
      </c>
      <c r="AS448" s="39"/>
      <c r="AT448" s="39"/>
      <c r="AU448" s="39"/>
      <c r="AV448" s="39"/>
      <c r="AW448" s="51" t="n">
        <f aca="false">AW438</f>
        <v>3910.42625139043</v>
      </c>
      <c r="AX448" s="39"/>
      <c r="AY448" s="39"/>
      <c r="AZ448" s="39"/>
      <c r="BA448" s="39"/>
      <c r="BB448" s="51" t="n">
        <f aca="false">BB438</f>
        <v>6788.0655435641</v>
      </c>
      <c r="BC448" s="39"/>
      <c r="BD448" s="39"/>
      <c r="BE448" s="39"/>
      <c r="BF448" s="39"/>
      <c r="BG448" s="51" t="n">
        <f aca="false">BG438</f>
        <v>6727.37419535405</v>
      </c>
      <c r="BH448" s="39"/>
      <c r="BI448" s="39"/>
      <c r="BJ448" s="39"/>
      <c r="BK448" s="39"/>
      <c r="BL448" s="51" t="n">
        <f aca="false">BL438</f>
        <v>4488.7874702617</v>
      </c>
      <c r="BM448" s="39"/>
      <c r="BN448" s="39"/>
      <c r="BO448" s="39"/>
      <c r="BP448" s="39"/>
      <c r="BQ448" s="51" t="n">
        <f aca="false">BQ438</f>
        <v>4371.47890658631</v>
      </c>
      <c r="BR448" s="39"/>
      <c r="BS448" s="39"/>
      <c r="BT448" s="39"/>
      <c r="BU448" s="39"/>
      <c r="BV448" s="51" t="n">
        <f aca="false">BV438</f>
        <v>4458.11481218994</v>
      </c>
      <c r="BW448" s="39"/>
      <c r="BX448" s="39"/>
      <c r="BY448" s="45"/>
      <c r="BZ448" s="45"/>
      <c r="CA448" s="41" t="n">
        <f aca="false">CA438</f>
        <v>4696.78452032772</v>
      </c>
      <c r="CB448" s="41" t="n">
        <f aca="false">CB438</f>
        <v>5376.90531891621</v>
      </c>
      <c r="CC448" s="41" t="n">
        <f aca="false">CC438</f>
        <v>5953.53184806437</v>
      </c>
      <c r="CD448" s="41" t="n">
        <f aca="false">CD438</f>
        <v>6593.68776411542</v>
      </c>
      <c r="CE448" s="41" t="n">
        <f aca="false">CE438</f>
        <v>7444.53891791466</v>
      </c>
      <c r="CF448" s="37"/>
    </row>
    <row r="449" customFormat="false" ht="15" hidden="false" customHeight="true" outlineLevel="0" collapsed="false">
      <c r="B449" s="27" t="s">
        <v>638</v>
      </c>
      <c r="C449" s="51" t="n">
        <f aca="false">C357</f>
        <v>12864.2</v>
      </c>
      <c r="D449" s="51" t="n">
        <f aca="false">D357</f>
        <v>17471.9</v>
      </c>
      <c r="E449" s="51" t="n">
        <f aca="false">E357</f>
        <v>17490.1</v>
      </c>
      <c r="F449" s="51" t="n">
        <f aca="false">F357</f>
        <v>19595.4</v>
      </c>
      <c r="G449" s="51" t="n">
        <f aca="false">G357</f>
        <v>22217.1</v>
      </c>
      <c r="H449" s="51" t="n">
        <f aca="false">H357</f>
        <v>29949.4</v>
      </c>
      <c r="I449" s="51" t="n">
        <f aca="false">I357</f>
        <v>32941</v>
      </c>
      <c r="J449" s="39"/>
      <c r="K449" s="39"/>
      <c r="L449" s="39"/>
      <c r="M449" s="39"/>
      <c r="N449" s="51" t="n">
        <f aca="false">N357</f>
        <v>34672.2</v>
      </c>
      <c r="O449" s="39"/>
      <c r="P449" s="39"/>
      <c r="Q449" s="39"/>
      <c r="R449" s="39"/>
      <c r="S449" s="51" t="n">
        <f aca="false">S357</f>
        <v>36991.7</v>
      </c>
      <c r="T449" s="39"/>
      <c r="U449" s="39"/>
      <c r="V449" s="39"/>
      <c r="W449" s="39"/>
      <c r="X449" s="51" t="n">
        <f aca="false">X357</f>
        <v>48222.2</v>
      </c>
      <c r="Y449" s="39"/>
      <c r="Z449" s="39"/>
      <c r="AA449" s="39"/>
      <c r="AB449" s="39"/>
      <c r="AC449" s="51" t="n">
        <f aca="false">AC357</f>
        <v>45295.3</v>
      </c>
      <c r="AD449" s="39"/>
      <c r="AE449" s="39"/>
      <c r="AF449" s="39"/>
      <c r="AG449" s="39"/>
      <c r="AH449" s="51" t="n">
        <f aca="false">AH357</f>
        <v>46648.6</v>
      </c>
      <c r="AI449" s="39"/>
      <c r="AJ449" s="39"/>
      <c r="AK449" s="39"/>
      <c r="AL449" s="39"/>
      <c r="AM449" s="51" t="n">
        <f aca="false">AM357</f>
        <v>47832.5</v>
      </c>
      <c r="AN449" s="39"/>
      <c r="AO449" s="39"/>
      <c r="AP449" s="39"/>
      <c r="AQ449" s="39"/>
      <c r="AR449" s="51" t="n">
        <f aca="false">AR357</f>
        <v>62081.6</v>
      </c>
      <c r="AS449" s="39"/>
      <c r="AT449" s="39"/>
      <c r="AU449" s="39"/>
      <c r="AV449" s="39"/>
      <c r="AW449" s="51" t="n">
        <f aca="false">AW357</f>
        <v>76161</v>
      </c>
      <c r="AX449" s="39"/>
      <c r="AY449" s="39"/>
      <c r="AZ449" s="39"/>
      <c r="BA449" s="39"/>
      <c r="BB449" s="51" t="n">
        <f aca="false">BB357</f>
        <v>83184</v>
      </c>
      <c r="BC449" s="39"/>
      <c r="BD449" s="39"/>
      <c r="BE449" s="39"/>
      <c r="BF449" s="39"/>
      <c r="BG449" s="51" t="n">
        <f aca="false">BG357</f>
        <v>84350</v>
      </c>
      <c r="BH449" s="39"/>
      <c r="BI449" s="39"/>
      <c r="BJ449" s="39"/>
      <c r="BK449" s="39"/>
      <c r="BL449" s="51" t="n">
        <f aca="false">BL357</f>
        <v>84488</v>
      </c>
      <c r="BM449" s="39"/>
      <c r="BN449" s="39"/>
      <c r="BO449" s="39"/>
      <c r="BP449" s="39"/>
      <c r="BQ449" s="51" t="n">
        <f aca="false">BQ357</f>
        <v>77542</v>
      </c>
      <c r="BR449" s="39"/>
      <c r="BS449" s="39"/>
      <c r="BT449" s="39"/>
      <c r="BU449" s="39"/>
      <c r="BV449" s="51" t="n">
        <f aca="false">BV357</f>
        <v>83464</v>
      </c>
      <c r="BW449" s="39"/>
      <c r="BX449" s="39"/>
      <c r="BY449" s="45"/>
      <c r="BZ449" s="45"/>
      <c r="CA449" s="41" t="n">
        <f aca="false">CA357</f>
        <v>90887.444844052</v>
      </c>
      <c r="CB449" s="41" t="n">
        <f aca="false">CB357</f>
        <v>91488.5907459202</v>
      </c>
      <c r="CC449" s="41" t="n">
        <f aca="false">CC357</f>
        <v>92073.8340159201</v>
      </c>
      <c r="CD449" s="41" t="n">
        <f aca="false">CD357</f>
        <v>93621.3123212065</v>
      </c>
      <c r="CE449" s="41" t="n">
        <f aca="false">CE357</f>
        <v>95325.8121108722</v>
      </c>
      <c r="CF449" s="37"/>
    </row>
    <row r="450" customFormat="false" ht="15" hidden="false" customHeight="true" outlineLevel="0" collapsed="false">
      <c r="B450" s="27" t="s">
        <v>639</v>
      </c>
      <c r="C450" s="51" t="n">
        <f aca="false">-(C355+C356)</f>
        <v>-8294.4</v>
      </c>
      <c r="D450" s="51" t="n">
        <f aca="false">-(D355+D356)</f>
        <v>-11806</v>
      </c>
      <c r="E450" s="51" t="n">
        <f aca="false">-(E355+E356)</f>
        <v>-11730</v>
      </c>
      <c r="F450" s="51" t="n">
        <f aca="false">-(F355+F356)</f>
        <v>-12473.4</v>
      </c>
      <c r="G450" s="51" t="n">
        <f aca="false">-(G355+G356)</f>
        <v>-14082.9</v>
      </c>
      <c r="H450" s="51" t="n">
        <f aca="false">-(H355+H356)</f>
        <v>-20314.5</v>
      </c>
      <c r="I450" s="51" t="n">
        <f aca="false">-(I355+I356)</f>
        <v>-21806</v>
      </c>
      <c r="J450" s="39"/>
      <c r="K450" s="39"/>
      <c r="L450" s="39"/>
      <c r="M450" s="39"/>
      <c r="N450" s="51" t="n">
        <f aca="false">-(N355+N356)</f>
        <v>-22285.9</v>
      </c>
      <c r="O450" s="39"/>
      <c r="P450" s="39"/>
      <c r="Q450" s="39"/>
      <c r="R450" s="39"/>
      <c r="S450" s="51" t="n">
        <f aca="false">-(S355+S356)</f>
        <v>-24333.4</v>
      </c>
      <c r="T450" s="39"/>
      <c r="U450" s="39"/>
      <c r="V450" s="39"/>
      <c r="W450" s="39"/>
      <c r="X450" s="51" t="n">
        <f aca="false">-(X355+X356)</f>
        <v>-36340.6</v>
      </c>
      <c r="Y450" s="39"/>
      <c r="Z450" s="39"/>
      <c r="AA450" s="39"/>
      <c r="AB450" s="39"/>
      <c r="AC450" s="51" t="n">
        <f aca="false">-(AC355+AC356)</f>
        <v>-35644.9</v>
      </c>
      <c r="AD450" s="39"/>
      <c r="AE450" s="39"/>
      <c r="AF450" s="39"/>
      <c r="AG450" s="39"/>
      <c r="AH450" s="51" t="n">
        <f aca="false">-(AH355+AH356)</f>
        <v>-36805.7</v>
      </c>
      <c r="AI450" s="39"/>
      <c r="AJ450" s="39"/>
      <c r="AK450" s="39"/>
      <c r="AL450" s="39"/>
      <c r="AM450" s="51" t="n">
        <f aca="false">-(AM355+AM356)</f>
        <v>-37579.1</v>
      </c>
      <c r="AN450" s="39"/>
      <c r="AO450" s="39"/>
      <c r="AP450" s="39"/>
      <c r="AQ450" s="39"/>
      <c r="AR450" s="51" t="n">
        <f aca="false">-(AR355+AR356)</f>
        <v>-32462.2</v>
      </c>
      <c r="AS450" s="39"/>
      <c r="AT450" s="39"/>
      <c r="AU450" s="39"/>
      <c r="AV450" s="39"/>
      <c r="AW450" s="51" t="n">
        <f aca="false">-(AW355+AW356)</f>
        <v>-56702</v>
      </c>
      <c r="AX450" s="39"/>
      <c r="AY450" s="39"/>
      <c r="AZ450" s="39"/>
      <c r="BA450" s="39"/>
      <c r="BB450" s="51" t="n">
        <f aca="false">-(BB355+BB356)</f>
        <v>-64027</v>
      </c>
      <c r="BC450" s="39"/>
      <c r="BD450" s="39"/>
      <c r="BE450" s="39"/>
      <c r="BF450" s="39"/>
      <c r="BG450" s="51" t="n">
        <f aca="false">-(BG355+BG356)</f>
        <v>-60052</v>
      </c>
      <c r="BH450" s="39"/>
      <c r="BI450" s="39"/>
      <c r="BJ450" s="39"/>
      <c r="BK450" s="39"/>
      <c r="BL450" s="51" t="n">
        <f aca="false">-(BL355+BL356)</f>
        <v>-62354</v>
      </c>
      <c r="BM450" s="39"/>
      <c r="BN450" s="39"/>
      <c r="BO450" s="39"/>
      <c r="BP450" s="39"/>
      <c r="BQ450" s="51" t="n">
        <f aca="false">-(BQ355+BQ356)</f>
        <v>-59065</v>
      </c>
      <c r="BR450" s="39"/>
      <c r="BS450" s="39"/>
      <c r="BT450" s="39"/>
      <c r="BU450" s="39"/>
      <c r="BV450" s="51" t="n">
        <f aca="false">-(BV355+BV356)</f>
        <v>-60968</v>
      </c>
      <c r="BW450" s="39"/>
      <c r="BX450" s="39"/>
      <c r="BY450" s="45"/>
      <c r="BZ450" s="45"/>
      <c r="CA450" s="41" t="n">
        <f aca="false">-(CA355+CA356)</f>
        <v>-69692.75</v>
      </c>
      <c r="CB450" s="41" t="n">
        <f aca="false">-(CB355+CB356)</f>
        <v>-68733.2166666667</v>
      </c>
      <c r="CC450" s="41" t="n">
        <f aca="false">-(CC355+CC356)</f>
        <v>-68683.6833333333</v>
      </c>
      <c r="CD450" s="41" t="n">
        <f aca="false">-(CD355+CD356)</f>
        <v>-69049.15</v>
      </c>
      <c r="CE450" s="41" t="n">
        <f aca="false">-(CE355+CE356)</f>
        <v>-69547.95</v>
      </c>
      <c r="CF450" s="37"/>
    </row>
    <row r="451" customFormat="false" ht="15" hidden="false" customHeight="true" outlineLevel="0" collapsed="false">
      <c r="B451" s="27" t="s">
        <v>640</v>
      </c>
      <c r="C451" s="51" t="n">
        <f aca="false">-(C363-N(C359))</f>
        <v>-2448.7</v>
      </c>
      <c r="D451" s="51" t="n">
        <f aca="false">-(D363-N(D359))</f>
        <v>-2569.4</v>
      </c>
      <c r="E451" s="51" t="n">
        <f aca="false">-(E363-N(E359))</f>
        <v>-2678.9</v>
      </c>
      <c r="F451" s="51" t="n">
        <f aca="false">-(F363-N(F359))</f>
        <v>-2716.8</v>
      </c>
      <c r="G451" s="51" t="n">
        <f aca="false">-(G363-N(G359))</f>
        <v>-3264</v>
      </c>
      <c r="H451" s="51" t="n">
        <f aca="false">-(H363-N(H359))</f>
        <v>-4073.6</v>
      </c>
      <c r="I451" s="51" t="n">
        <f aca="false">-(I363-N(I359))</f>
        <v>-4150.6</v>
      </c>
      <c r="J451" s="39"/>
      <c r="K451" s="39"/>
      <c r="L451" s="39"/>
      <c r="M451" s="39"/>
      <c r="N451" s="51" t="n">
        <f aca="false">-(N363-N(N359))</f>
        <v>-4465.1</v>
      </c>
      <c r="O451" s="39"/>
      <c r="P451" s="39"/>
      <c r="Q451" s="39"/>
      <c r="R451" s="39"/>
      <c r="S451" s="51" t="n">
        <f aca="false">-(S363-N(S359))</f>
        <v>-5324.5</v>
      </c>
      <c r="T451" s="39"/>
      <c r="U451" s="39"/>
      <c r="V451" s="39"/>
      <c r="W451" s="39"/>
      <c r="X451" s="51" t="n">
        <f aca="false">-(X363-N(X359))</f>
        <v>-5325.2</v>
      </c>
      <c r="Y451" s="39"/>
      <c r="Z451" s="39"/>
      <c r="AA451" s="39"/>
      <c r="AB451" s="39"/>
      <c r="AC451" s="51" t="n">
        <f aca="false">-(AC363-N(AC359))</f>
        <v>-4279.2</v>
      </c>
      <c r="AD451" s="39"/>
      <c r="AE451" s="39"/>
      <c r="AF451" s="39"/>
      <c r="AG451" s="39"/>
      <c r="AH451" s="51" t="n">
        <f aca="false">-(AH363-N(AH359))</f>
        <v>-4597.6</v>
      </c>
      <c r="AI451" s="39"/>
      <c r="AJ451" s="39"/>
      <c r="AK451" s="39"/>
      <c r="AL451" s="39"/>
      <c r="AM451" s="51" t="n">
        <f aca="false">-(AM363-N(AM359))</f>
        <v>-4789.7</v>
      </c>
      <c r="AN451" s="39"/>
      <c r="AO451" s="39"/>
      <c r="AP451" s="39"/>
      <c r="AQ451" s="39"/>
      <c r="AR451" s="51" t="n">
        <f aca="false">-(AR363-N(AR359))</f>
        <v>-4719.7</v>
      </c>
      <c r="AS451" s="39"/>
      <c r="AT451" s="39"/>
      <c r="AU451" s="39"/>
      <c r="AV451" s="39"/>
      <c r="AW451" s="51" t="n">
        <f aca="false">-(AW363-N(AW359))</f>
        <v>-7391</v>
      </c>
      <c r="AX451" s="39"/>
      <c r="AY451" s="39"/>
      <c r="AZ451" s="39"/>
      <c r="BA451" s="39"/>
      <c r="BB451" s="51" t="n">
        <f aca="false">-(BB363-N(BB359))</f>
        <v>-8132</v>
      </c>
      <c r="BC451" s="39"/>
      <c r="BD451" s="39"/>
      <c r="BE451" s="39"/>
      <c r="BF451" s="39"/>
      <c r="BG451" s="51" t="n">
        <f aca="false">-(BG363-N(BG359))</f>
        <v>-7798</v>
      </c>
      <c r="BH451" s="39"/>
      <c r="BI451" s="39"/>
      <c r="BJ451" s="39"/>
      <c r="BK451" s="39"/>
      <c r="BL451" s="51" t="n">
        <f aca="false">-(BL363-N(BL359))</f>
        <v>-6579</v>
      </c>
      <c r="BM451" s="39"/>
      <c r="BN451" s="39"/>
      <c r="BO451" s="39"/>
      <c r="BP451" s="39"/>
      <c r="BQ451" s="51" t="n">
        <f aca="false">-(BQ363-N(BQ359))</f>
        <v>-6293</v>
      </c>
      <c r="BR451" s="39"/>
      <c r="BS451" s="39"/>
      <c r="BT451" s="39"/>
      <c r="BU451" s="39"/>
      <c r="BV451" s="51" t="n">
        <f aca="false">-(BV363-N(BV359))</f>
        <v>-6805</v>
      </c>
      <c r="BW451" s="39"/>
      <c r="BX451" s="39"/>
      <c r="BY451" s="45"/>
      <c r="BZ451" s="45"/>
      <c r="CA451" s="41" t="n">
        <f aca="false">-(CA363-N(CA359))</f>
        <v>-7341.4931145552</v>
      </c>
      <c r="CB451" s="41" t="n">
        <f aca="false">-(CB363-N(CB359))</f>
        <v>-7985.28409037658</v>
      </c>
      <c r="CC451" s="41" t="n">
        <f aca="false">-(CC363-N(CC359))</f>
        <v>-8458.49178687413</v>
      </c>
      <c r="CD451" s="41" t="n">
        <f aca="false">-(CD363-N(CD359))</f>
        <v>-9009.42453116756</v>
      </c>
      <c r="CE451" s="41" t="n">
        <f aca="false">-(CE363-N(CE359))</f>
        <v>-9567.81524958404</v>
      </c>
      <c r="CF451" s="37"/>
    </row>
    <row r="452" customFormat="false" ht="15" hidden="false" customHeight="true" outlineLevel="0" collapsed="false">
      <c r="B452" s="27" t="s">
        <v>641</v>
      </c>
      <c r="C452" s="51" t="n">
        <f aca="false">SUM(C449:C451)</f>
        <v>2121.1</v>
      </c>
      <c r="D452" s="51" t="n">
        <f aca="false">SUM(D449:D451)</f>
        <v>3096.5</v>
      </c>
      <c r="E452" s="51" t="n">
        <f aca="false">SUM(E449:E451)</f>
        <v>3081.2</v>
      </c>
      <c r="F452" s="51" t="n">
        <f aca="false">SUM(F449:F451)</f>
        <v>4405.2</v>
      </c>
      <c r="G452" s="51" t="n">
        <f aca="false">SUM(G449:G451)</f>
        <v>4870.2</v>
      </c>
      <c r="H452" s="51" t="n">
        <f aca="false">SUM(H449:H451)</f>
        <v>5561.3</v>
      </c>
      <c r="I452" s="51" t="n">
        <f aca="false">SUM(I449:I451)</f>
        <v>6984.4</v>
      </c>
      <c r="J452" s="39"/>
      <c r="K452" s="39"/>
      <c r="L452" s="39"/>
      <c r="M452" s="39"/>
      <c r="N452" s="51" t="n">
        <f aca="false">SUM(N449:N451)</f>
        <v>7921.2</v>
      </c>
      <c r="O452" s="39"/>
      <c r="P452" s="39"/>
      <c r="Q452" s="39"/>
      <c r="R452" s="39"/>
      <c r="S452" s="51" t="n">
        <f aca="false">SUM(S449:S451)</f>
        <v>7333.8</v>
      </c>
      <c r="T452" s="39"/>
      <c r="U452" s="39"/>
      <c r="V452" s="39"/>
      <c r="W452" s="39"/>
      <c r="X452" s="51" t="n">
        <f aca="false">SUM(X449:X451)</f>
        <v>6556.4</v>
      </c>
      <c r="Y452" s="39"/>
      <c r="Z452" s="39"/>
      <c r="AA452" s="39"/>
      <c r="AB452" s="39"/>
      <c r="AC452" s="51" t="n">
        <f aca="false">SUM(AC449:AC451)</f>
        <v>5371.2</v>
      </c>
      <c r="AD452" s="39"/>
      <c r="AE452" s="39"/>
      <c r="AF452" s="39"/>
      <c r="AG452" s="39"/>
      <c r="AH452" s="51" t="n">
        <f aca="false">SUM(AH449:AH451)</f>
        <v>5245.3</v>
      </c>
      <c r="AI452" s="39"/>
      <c r="AJ452" s="39"/>
      <c r="AK452" s="39"/>
      <c r="AL452" s="39"/>
      <c r="AM452" s="51" t="n">
        <f aca="false">SUM(AM449:AM451)</f>
        <v>5463.7</v>
      </c>
      <c r="AN452" s="39"/>
      <c r="AO452" s="39"/>
      <c r="AP452" s="39"/>
      <c r="AQ452" s="39"/>
      <c r="AR452" s="51" t="n">
        <f aca="false">SUM(AR449:AR451)</f>
        <v>24899.7</v>
      </c>
      <c r="AS452" s="39"/>
      <c r="AT452" s="39"/>
      <c r="AU452" s="39"/>
      <c r="AV452" s="39"/>
      <c r="AW452" s="51" t="n">
        <f aca="false">SUM(AW449:AW451)</f>
        <v>12068</v>
      </c>
      <c r="AX452" s="39"/>
      <c r="AY452" s="39"/>
      <c r="AZ452" s="39"/>
      <c r="BA452" s="39"/>
      <c r="BB452" s="51" t="n">
        <f aca="false">SUM(BB449:BB451)</f>
        <v>11025</v>
      </c>
      <c r="BC452" s="39"/>
      <c r="BD452" s="39"/>
      <c r="BE452" s="39"/>
      <c r="BF452" s="39"/>
      <c r="BG452" s="51" t="n">
        <f aca="false">SUM(BG449:BG451)</f>
        <v>16500</v>
      </c>
      <c r="BH452" s="39"/>
      <c r="BI452" s="39"/>
      <c r="BJ452" s="39"/>
      <c r="BK452" s="39"/>
      <c r="BL452" s="51" t="n">
        <f aca="false">SUM(BL449:BL451)</f>
        <v>15555</v>
      </c>
      <c r="BM452" s="39"/>
      <c r="BN452" s="39"/>
      <c r="BO452" s="39"/>
      <c r="BP452" s="39"/>
      <c r="BQ452" s="51" t="n">
        <f aca="false">SUM(BQ449:BQ451)</f>
        <v>12184</v>
      </c>
      <c r="BR452" s="39"/>
      <c r="BS452" s="39"/>
      <c r="BT452" s="39"/>
      <c r="BU452" s="39"/>
      <c r="BV452" s="51" t="n">
        <f aca="false">SUM(BV449:BV451)</f>
        <v>15691</v>
      </c>
      <c r="BW452" s="39"/>
      <c r="BX452" s="39"/>
      <c r="BY452" s="45"/>
      <c r="BZ452" s="45"/>
      <c r="CA452" s="41" t="n">
        <f aca="false">SUM(CA449:CA451)</f>
        <v>13853.2017294968</v>
      </c>
      <c r="CB452" s="41" t="n">
        <f aca="false">SUM(CB449:CB451)</f>
        <v>14770.089988877</v>
      </c>
      <c r="CC452" s="41" t="n">
        <f aca="false">SUM(CC449:CC451)</f>
        <v>14931.6588957126</v>
      </c>
      <c r="CD452" s="41" t="n">
        <f aca="false">SUM(CD449:CD451)</f>
        <v>15562.737790039</v>
      </c>
      <c r="CE452" s="41" t="n">
        <f aca="false">SUM(CE449:CE451)</f>
        <v>16210.0468612881</v>
      </c>
      <c r="CF452" s="37"/>
    </row>
    <row r="453" customFormat="false" ht="15" hidden="false" customHeight="true" outlineLevel="0" collapsed="false">
      <c r="B453" s="62" t="s">
        <v>642</v>
      </c>
      <c r="C453" s="92" t="n">
        <f aca="false">IFERROR(C448/C452,"n/a")</f>
        <v>0.545163210358935</v>
      </c>
      <c r="D453" s="92" t="n">
        <f aca="false">IFERROR(D448/D452,"n/a")</f>
        <v>0.430731846611397</v>
      </c>
      <c r="E453" s="92" t="n">
        <f aca="false">IFERROR(E448/E452,"n/a")</f>
        <v>0.482921382050344</v>
      </c>
      <c r="F453" s="92" t="n">
        <f aca="false">IFERROR(F448/F452,"n/a")</f>
        <v>0.305547689190944</v>
      </c>
      <c r="G453" s="92" t="n">
        <f aca="false">IFERROR(G448/G452,"n/a")</f>
        <v>0.331654155420351</v>
      </c>
      <c r="H453" s="92" t="n">
        <f aca="false">IFERROR(H448/H452,"n/a")</f>
        <v>0.388633595627053</v>
      </c>
      <c r="I453" s="92" t="n">
        <f aca="false">IFERROR(I448/I452,"n/a")</f>
        <v>0.346076463562476</v>
      </c>
      <c r="J453" s="64"/>
      <c r="K453" s="64"/>
      <c r="L453" s="64"/>
      <c r="M453" s="64"/>
      <c r="N453" s="92" t="n">
        <f aca="false">IFERROR(N448/N452,"n/a")</f>
        <v>0.314265612327415</v>
      </c>
      <c r="O453" s="64"/>
      <c r="P453" s="64"/>
      <c r="Q453" s="64"/>
      <c r="R453" s="64"/>
      <c r="S453" s="92" t="n">
        <f aca="false">IFERROR(S448/S452,"n/a")</f>
        <v>0.349915123638912</v>
      </c>
      <c r="T453" s="64"/>
      <c r="U453" s="64"/>
      <c r="V453" s="64"/>
      <c r="W453" s="64"/>
      <c r="X453" s="92" t="n">
        <f aca="false">IFERROR(X448/X452,"n/a")</f>
        <v>0.297475798396266</v>
      </c>
      <c r="Y453" s="64"/>
      <c r="Z453" s="64"/>
      <c r="AA453" s="64"/>
      <c r="AB453" s="64"/>
      <c r="AC453" s="92" t="n">
        <f aca="false">IFERROR(AC448/AC452,"n/a")</f>
        <v>0.432482009087678</v>
      </c>
      <c r="AD453" s="64"/>
      <c r="AE453" s="64"/>
      <c r="AF453" s="64"/>
      <c r="AG453" s="64"/>
      <c r="AH453" s="92" t="n">
        <f aca="false">IFERROR(AH448/AH452,"n/a")</f>
        <v>0.489541480692881</v>
      </c>
      <c r="AI453" s="64"/>
      <c r="AJ453" s="64"/>
      <c r="AK453" s="64"/>
      <c r="AL453" s="64"/>
      <c r="AM453" s="92" t="n">
        <f aca="false">IFERROR(AM448/AM452,"n/a")</f>
        <v>0.457545348316874</v>
      </c>
      <c r="AN453" s="64"/>
      <c r="AO453" s="64"/>
      <c r="AP453" s="64"/>
      <c r="AQ453" s="64"/>
      <c r="AR453" s="92" t="n">
        <f aca="false">IFERROR(AR448/AR452,"n/a")</f>
        <v>0.099371425200533</v>
      </c>
      <c r="AS453" s="64"/>
      <c r="AT453" s="64"/>
      <c r="AU453" s="64"/>
      <c r="AV453" s="64"/>
      <c r="AW453" s="92" t="n">
        <f aca="false">IFERROR(AW448/AW452,"n/a")</f>
        <v>0.324032669157311</v>
      </c>
      <c r="AX453" s="64"/>
      <c r="AY453" s="64"/>
      <c r="AZ453" s="64"/>
      <c r="BA453" s="64"/>
      <c r="BB453" s="92" t="n">
        <f aca="false">IFERROR(BB448/BB452,"n/a")</f>
        <v>0.6156975549718</v>
      </c>
      <c r="BC453" s="64"/>
      <c r="BD453" s="64"/>
      <c r="BE453" s="64"/>
      <c r="BF453" s="64"/>
      <c r="BG453" s="92" t="n">
        <f aca="false">IFERROR(BG448/BG452,"n/a")</f>
        <v>0.407719648203275</v>
      </c>
      <c r="BH453" s="64"/>
      <c r="BI453" s="64"/>
      <c r="BJ453" s="64"/>
      <c r="BK453" s="64"/>
      <c r="BL453" s="92" t="n">
        <f aca="false">IFERROR(BL448/BL452,"n/a")</f>
        <v>0.288575215060218</v>
      </c>
      <c r="BM453" s="64"/>
      <c r="BN453" s="64"/>
      <c r="BO453" s="64"/>
      <c r="BP453" s="64"/>
      <c r="BQ453" s="92" t="n">
        <f aca="false">IFERROR(BQ448/BQ452,"n/a")</f>
        <v>0.358788485438798</v>
      </c>
      <c r="BR453" s="64"/>
      <c r="BS453" s="64"/>
      <c r="BT453" s="64"/>
      <c r="BU453" s="64"/>
      <c r="BV453" s="92" t="n">
        <f aca="false">IFERROR(BV448/BV452,"n/a")</f>
        <v>0.284119228359565</v>
      </c>
      <c r="BW453" s="64"/>
      <c r="BX453" s="64"/>
      <c r="BY453" s="64"/>
      <c r="BZ453" s="64"/>
      <c r="CA453" s="92" t="n">
        <f aca="false">IFERROR(CA448/CA452,"n/a")</f>
        <v>0.339039639502768</v>
      </c>
      <c r="CB453" s="92" t="n">
        <f aca="false">IFERROR(CB448/CB452,"n/a")</f>
        <v>0.364040119116772</v>
      </c>
      <c r="CC453" s="92" t="n">
        <f aca="false">IFERROR(CC448/CC452,"n/a")</f>
        <v>0.398718715023274</v>
      </c>
      <c r="CD453" s="92" t="n">
        <f aca="false">IFERROR(CD448/CD452,"n/a")</f>
        <v>0.423684306262344</v>
      </c>
      <c r="CE453" s="92" t="n">
        <f aca="false">IFERROR(CE448/CE452,"n/a")</f>
        <v>0.459254620397999</v>
      </c>
      <c r="CF453" s="7"/>
      <c r="CH453" s="32" t="n">
        <f aca="false">IFERROR(AVERAGE(CA453,CB453,CC453,CD453,CE453),"n/m")</f>
        <v>0.396947480060631</v>
      </c>
      <c r="CI453" s="32" t="n">
        <f aca="false">IFERROR(AVERAGE(BB453,BG453,BL453,BQ453,BV453),"n/m")</f>
        <v>0.390980026406731</v>
      </c>
      <c r="CJ453" s="32" t="n">
        <f aca="false">IFERROR(AVERAGE(AC453,AH453,AM453,AR453,AW453,BB453,BG453,BL453,BQ453,BV453),"n/m")</f>
        <v>0.375787306448893</v>
      </c>
      <c r="CK453" s="32" t="n">
        <f aca="false">IFERROR(AVERAGE(C453,D453,E453,F453,G453,H453,I453,N453,S453,X453,AC453,AH453,AM453,AR453,AW453,BB453,BG453,BL453,BQ453,BV453),"n/m")</f>
        <v>0.377512897083651</v>
      </c>
    </row>
    <row r="454" customFormat="false" ht="15" hidden="false" customHeight="true" outlineLevel="0" collapsed="false">
      <c r="B454" s="27" t="s">
        <v>643</v>
      </c>
      <c r="CF454" s="7"/>
    </row>
    <row r="455" customFormat="false" ht="15" hidden="false" customHeight="true" outlineLevel="0" collapsed="false">
      <c r="B455" s="27" t="s">
        <v>348</v>
      </c>
      <c r="C455" s="51" t="n">
        <f aca="false">C200</f>
        <v>1122.1</v>
      </c>
      <c r="D455" s="51" t="n">
        <f aca="false">D200</f>
        <v>1369.9</v>
      </c>
      <c r="E455" s="51" t="n">
        <f aca="false">E200</f>
        <v>1317.6</v>
      </c>
      <c r="F455" s="51" t="n">
        <f aca="false">F200</f>
        <v>1151.6</v>
      </c>
      <c r="G455" s="51" t="n">
        <f aca="false">G200</f>
        <v>1792.9</v>
      </c>
      <c r="H455" s="51" t="n">
        <f aca="false">H200</f>
        <v>2172.2</v>
      </c>
      <c r="I455" s="51" t="n">
        <f aca="false">I200</f>
        <v>2392.2</v>
      </c>
      <c r="J455" s="39"/>
      <c r="K455" s="39"/>
      <c r="L455" s="39"/>
      <c r="M455" s="39"/>
      <c r="N455" s="51" t="n">
        <f aca="false">N200</f>
        <v>2695</v>
      </c>
      <c r="O455" s="39"/>
      <c r="P455" s="39"/>
      <c r="Q455" s="39"/>
      <c r="R455" s="39"/>
      <c r="S455" s="51" t="n">
        <f aca="false">S200</f>
        <v>2598.4</v>
      </c>
      <c r="T455" s="39"/>
      <c r="U455" s="39"/>
      <c r="V455" s="39"/>
      <c r="W455" s="39"/>
      <c r="X455" s="51" t="n">
        <f aca="false">X200</f>
        <v>3357.4</v>
      </c>
      <c r="Y455" s="39"/>
      <c r="Z455" s="39"/>
      <c r="AA455" s="39"/>
      <c r="AB455" s="39"/>
      <c r="AC455" s="51" t="n">
        <f aca="false">AC200</f>
        <v>2553.7</v>
      </c>
      <c r="AD455" s="39"/>
      <c r="AE455" s="39"/>
      <c r="AF455" s="39"/>
      <c r="AG455" s="39"/>
      <c r="AH455" s="51" t="n">
        <f aca="false">AH200</f>
        <v>2492.1</v>
      </c>
      <c r="AI455" s="39"/>
      <c r="AJ455" s="39"/>
      <c r="AK455" s="39"/>
      <c r="AL455" s="39"/>
      <c r="AM455" s="51" t="n">
        <f aca="false">AM200</f>
        <v>2650.9</v>
      </c>
      <c r="AN455" s="39"/>
      <c r="AO455" s="39"/>
      <c r="AP455" s="39"/>
      <c r="AQ455" s="39"/>
      <c r="AR455" s="51" t="n">
        <f aca="false">AR200</f>
        <v>2939.8</v>
      </c>
      <c r="AS455" s="39"/>
      <c r="AT455" s="39"/>
      <c r="AU455" s="39"/>
      <c r="AV455" s="39"/>
      <c r="AW455" s="51" t="n">
        <f aca="false">AW200</f>
        <v>3510</v>
      </c>
      <c r="AX455" s="39"/>
      <c r="AY455" s="39"/>
      <c r="AZ455" s="39"/>
      <c r="BA455" s="39"/>
      <c r="BB455" s="51" t="n">
        <f aca="false">BB200</f>
        <v>6269</v>
      </c>
      <c r="BC455" s="39"/>
      <c r="BD455" s="39"/>
      <c r="BE455" s="39"/>
      <c r="BF455" s="39"/>
      <c r="BG455" s="51" t="n">
        <f aca="false">BG200</f>
        <v>7103</v>
      </c>
      <c r="BH455" s="39"/>
      <c r="BI455" s="39"/>
      <c r="BJ455" s="39"/>
      <c r="BK455" s="39"/>
      <c r="BL455" s="51" t="n">
        <f aca="false">BL200</f>
        <v>4743</v>
      </c>
      <c r="BM455" s="39"/>
      <c r="BN455" s="39"/>
      <c r="BO455" s="39"/>
      <c r="BP455" s="39"/>
      <c r="BQ455" s="51" t="n">
        <f aca="false">BQ200</f>
        <v>3899</v>
      </c>
      <c r="BR455" s="39"/>
      <c r="BS455" s="39"/>
      <c r="BT455" s="39"/>
      <c r="BU455" s="39"/>
      <c r="BV455" s="51" t="n">
        <f aca="false">BV200</f>
        <v>3614</v>
      </c>
      <c r="BW455" s="39"/>
      <c r="BX455" s="39"/>
      <c r="BY455" s="45"/>
      <c r="BZ455" s="45"/>
      <c r="CA455" s="41" t="n">
        <f aca="false">CA200</f>
        <v>4248.85724490303</v>
      </c>
      <c r="CB455" s="41" t="n">
        <f aca="false">CB200</f>
        <v>5014.12081287666</v>
      </c>
      <c r="CC455" s="41" t="n">
        <f aca="false">CC200</f>
        <v>5630.2452684791</v>
      </c>
      <c r="CD455" s="41" t="n">
        <f aca="false">CD200</f>
        <v>6200.81275876205</v>
      </c>
      <c r="CE455" s="41" t="n">
        <f aca="false">CE200</f>
        <v>6997.07904160914</v>
      </c>
      <c r="CF455" s="37"/>
    </row>
    <row r="456" customFormat="false" ht="15" hidden="false" customHeight="true" outlineLevel="0" collapsed="false">
      <c r="B456" s="27" t="s">
        <v>644</v>
      </c>
      <c r="C456" s="51" t="n">
        <f aca="false">C373</f>
        <v>6644.7</v>
      </c>
      <c r="D456" s="51" t="n">
        <f aca="false">D373</f>
        <v>9085.7</v>
      </c>
      <c r="E456" s="51" t="n">
        <f aca="false">E373</f>
        <v>9808.6</v>
      </c>
      <c r="F456" s="51" t="n">
        <f aca="false">F373</f>
        <v>11630.2</v>
      </c>
      <c r="G456" s="51" t="n">
        <f aca="false">G373</f>
        <v>13711</v>
      </c>
      <c r="H456" s="51" t="n">
        <f aca="false">H373</f>
        <v>16904.8</v>
      </c>
      <c r="I456" s="51" t="n">
        <f aca="false">I373</f>
        <v>19016.5</v>
      </c>
      <c r="J456" s="39"/>
      <c r="K456" s="39"/>
      <c r="L456" s="39"/>
      <c r="M456" s="39"/>
      <c r="N456" s="51" t="n">
        <f aca="false">N373</f>
        <v>22385.3</v>
      </c>
      <c r="O456" s="39"/>
      <c r="P456" s="39"/>
      <c r="Q456" s="39"/>
      <c r="R456" s="39"/>
      <c r="S456" s="51" t="n">
        <f aca="false">S373</f>
        <v>23378.1</v>
      </c>
      <c r="T456" s="39"/>
      <c r="U456" s="39"/>
      <c r="V456" s="39"/>
      <c r="W456" s="39"/>
      <c r="X456" s="51" t="n">
        <f aca="false">X373</f>
        <v>23690.3</v>
      </c>
      <c r="Y456" s="39"/>
      <c r="Z456" s="39"/>
      <c r="AA456" s="39"/>
      <c r="AB456" s="39"/>
      <c r="AC456" s="51" t="n">
        <f aca="false">AC373</f>
        <v>23002.8</v>
      </c>
      <c r="AD456" s="39"/>
      <c r="AE456" s="39"/>
      <c r="AF456" s="39"/>
      <c r="AG456" s="39"/>
      <c r="AH456" s="51" t="n">
        <f aca="false">AH373</f>
        <v>26358.2</v>
      </c>
      <c r="AI456" s="39"/>
      <c r="AJ456" s="39"/>
      <c r="AK456" s="39"/>
      <c r="AL456" s="39"/>
      <c r="AM456" s="51" t="n">
        <f aca="false">AM373</f>
        <v>28214.4</v>
      </c>
      <c r="AN456" s="39"/>
      <c r="AO456" s="39"/>
      <c r="AP456" s="39"/>
      <c r="AQ456" s="39"/>
      <c r="AR456" s="51" t="n">
        <f aca="false">AR373</f>
        <v>30270.6</v>
      </c>
      <c r="AS456" s="39"/>
      <c r="AT456" s="39"/>
      <c r="AU456" s="39"/>
      <c r="AV456" s="39"/>
      <c r="AW456" s="51" t="n">
        <f aca="false">AW373</f>
        <v>39766</v>
      </c>
      <c r="AX456" s="39"/>
      <c r="AY456" s="39"/>
      <c r="AZ456" s="39"/>
      <c r="BA456" s="39"/>
      <c r="BB456" s="51" t="n">
        <f aca="false">BB373</f>
        <v>45167</v>
      </c>
      <c r="BC456" s="39"/>
      <c r="BD456" s="39"/>
      <c r="BE456" s="39"/>
      <c r="BF456" s="39"/>
      <c r="BG456" s="51" t="n">
        <f aca="false">BG373</f>
        <v>50082</v>
      </c>
      <c r="BH456" s="39"/>
      <c r="BI456" s="39"/>
      <c r="BJ456" s="39"/>
      <c r="BK456" s="39"/>
      <c r="BL456" s="51" t="n">
        <f aca="false">BL373</f>
        <v>53486</v>
      </c>
      <c r="BM456" s="39"/>
      <c r="BN456" s="39"/>
      <c r="BO456" s="39"/>
      <c r="BP456" s="39"/>
      <c r="BQ456" s="51" t="n">
        <f aca="false">BQ373</f>
        <v>49543</v>
      </c>
      <c r="BR456" s="39"/>
      <c r="BS456" s="39"/>
      <c r="BT456" s="39"/>
      <c r="BU456" s="39"/>
      <c r="BV456" s="51" t="n">
        <f aca="false">BV373</f>
        <v>52534</v>
      </c>
      <c r="BW456" s="39"/>
      <c r="BX456" s="39"/>
      <c r="BY456" s="45"/>
      <c r="BZ456" s="45"/>
      <c r="CA456" s="41" t="n">
        <f aca="false">CA373</f>
        <v>54044.0640341669</v>
      </c>
      <c r="CB456" s="41" t="n">
        <f aca="false">CB373</f>
        <v>56626.3066555436</v>
      </c>
      <c r="CC456" s="41" t="n">
        <f aca="false">CC373</f>
        <v>55971.2466844301</v>
      </c>
      <c r="CD456" s="41" t="n">
        <f aca="false">CD373</f>
        <v>55571.379099421</v>
      </c>
      <c r="CE456" s="41" t="n">
        <f aca="false">CE373</f>
        <v>55184.1488969007</v>
      </c>
      <c r="CF456" s="37"/>
    </row>
    <row r="457" customFormat="false" ht="15" hidden="false" customHeight="true" outlineLevel="0" collapsed="false">
      <c r="B457" s="27" t="s">
        <v>645</v>
      </c>
      <c r="C457" s="42" t="n">
        <f aca="false">IFERROR(C455/C456,"n/a")</f>
        <v>0.168871431366352</v>
      </c>
      <c r="D457" s="42" t="n">
        <f aca="false">IFERROR(D455/D456,"n/a")</f>
        <v>0.150775394300934</v>
      </c>
      <c r="E457" s="42" t="n">
        <f aca="false">IFERROR(E455/E456,"n/a")</f>
        <v>0.134331097200416</v>
      </c>
      <c r="F457" s="42" t="n">
        <f aca="false">IFERROR(F455/F456,"n/a")</f>
        <v>0.099018073635879</v>
      </c>
      <c r="G457" s="42" t="n">
        <f aca="false">IFERROR(G455/G456,"n/a")</f>
        <v>0.130763620450733</v>
      </c>
      <c r="H457" s="42" t="n">
        <f aca="false">IFERROR(H455/H456,"n/a")</f>
        <v>0.128496048459609</v>
      </c>
      <c r="I457" s="42" t="n">
        <f aca="false">IFERROR(I455/I456,"n/a")</f>
        <v>0.125796019246444</v>
      </c>
      <c r="J457" s="39"/>
      <c r="K457" s="39"/>
      <c r="L457" s="39"/>
      <c r="M457" s="39"/>
      <c r="N457" s="42" t="n">
        <f aca="false">IFERROR(N455/N456,"n/a")</f>
        <v>0.12039150692642</v>
      </c>
      <c r="O457" s="39"/>
      <c r="P457" s="39"/>
      <c r="Q457" s="39"/>
      <c r="R457" s="39"/>
      <c r="S457" s="42" t="n">
        <f aca="false">IFERROR(S455/S456,"n/a")</f>
        <v>0.111146757007627</v>
      </c>
      <c r="T457" s="39"/>
      <c r="U457" s="39"/>
      <c r="V457" s="39"/>
      <c r="W457" s="39"/>
      <c r="X457" s="42" t="n">
        <f aca="false">IFERROR(X455/X456,"n/a")</f>
        <v>0.141720450986269</v>
      </c>
      <c r="Y457" s="39"/>
      <c r="Z457" s="39"/>
      <c r="AA457" s="39"/>
      <c r="AB457" s="39"/>
      <c r="AC457" s="42" t="n">
        <f aca="false">IFERROR(AC455/AC456,"n/a")</f>
        <v>0.111016919679343</v>
      </c>
      <c r="AD457" s="39"/>
      <c r="AE457" s="39"/>
      <c r="AF457" s="39"/>
      <c r="AG457" s="39"/>
      <c r="AH457" s="42" t="n">
        <f aca="false">IFERROR(AH455/AH456,"n/a")</f>
        <v>0.0945474273660569</v>
      </c>
      <c r="AI457" s="39"/>
      <c r="AJ457" s="39"/>
      <c r="AK457" s="39"/>
      <c r="AL457" s="39"/>
      <c r="AM457" s="42" t="n">
        <f aca="false">IFERROR(AM455/AM456,"n/a")</f>
        <v>0.0939555687875694</v>
      </c>
      <c r="AN457" s="39"/>
      <c r="AO457" s="39"/>
      <c r="AP457" s="39"/>
      <c r="AQ457" s="39"/>
      <c r="AR457" s="42" t="n">
        <f aca="false">IFERROR(AR455/AR456,"n/a")</f>
        <v>0.0971173349718869</v>
      </c>
      <c r="AS457" s="39"/>
      <c r="AT457" s="39"/>
      <c r="AU457" s="39"/>
      <c r="AV457" s="39"/>
      <c r="AW457" s="42" t="n">
        <f aca="false">IFERROR(AW455/AW456,"n/a")</f>
        <v>0.0882663581954434</v>
      </c>
      <c r="AX457" s="39"/>
      <c r="AY457" s="39"/>
      <c r="AZ457" s="39"/>
      <c r="BA457" s="39"/>
      <c r="BB457" s="42" t="n">
        <f aca="false">IFERROR(BB455/BB456,"n/a")</f>
        <v>0.138796023645582</v>
      </c>
      <c r="BC457" s="39"/>
      <c r="BD457" s="39"/>
      <c r="BE457" s="39"/>
      <c r="BF457" s="39"/>
      <c r="BG457" s="42" t="n">
        <f aca="false">IFERROR(BG455/BG456,"n/a")</f>
        <v>0.141827403058983</v>
      </c>
      <c r="BH457" s="39"/>
      <c r="BI457" s="39"/>
      <c r="BJ457" s="39"/>
      <c r="BK457" s="39"/>
      <c r="BL457" s="42" t="n">
        <f aca="false">IFERROR(BL455/BL456,"n/a")</f>
        <v>0.0886774109112665</v>
      </c>
      <c r="BM457" s="39"/>
      <c r="BN457" s="39"/>
      <c r="BO457" s="39"/>
      <c r="BP457" s="39"/>
      <c r="BQ457" s="42" t="n">
        <f aca="false">IFERROR(BQ455/BQ456,"n/a")</f>
        <v>0.0786993117090205</v>
      </c>
      <c r="BR457" s="39"/>
      <c r="BS457" s="39"/>
      <c r="BT457" s="39"/>
      <c r="BU457" s="39"/>
      <c r="BV457" s="42" t="n">
        <f aca="false">IFERROR(BV455/BV456,"n/a")</f>
        <v>0.0687935432291468</v>
      </c>
      <c r="BW457" s="39"/>
      <c r="BX457" s="39"/>
      <c r="BY457" s="45"/>
      <c r="BZ457" s="45"/>
      <c r="CA457" s="26" t="n">
        <f aca="false">IFERROR(CA455/CA456,"n/a")</f>
        <v>0.0786183889171784</v>
      </c>
      <c r="CB457" s="26" t="n">
        <f aca="false">IFERROR(CB455/CB456,"n/a")</f>
        <v>0.0885475516419855</v>
      </c>
      <c r="CC457" s="26" t="n">
        <f aca="false">IFERROR(CC455/CC456,"n/a")</f>
        <v>0.100591743118084</v>
      </c>
      <c r="CD457" s="26" t="n">
        <f aca="false">IFERROR(CD455/CD456,"n/a")</f>
        <v>0.111582848208038</v>
      </c>
      <c r="CE457" s="26" t="n">
        <f aca="false">IFERROR(CE455/CE456,"n/a")</f>
        <v>0.12679508847154</v>
      </c>
      <c r="CF457" s="37"/>
      <c r="CH457" s="32" t="n">
        <f aca="false">IFERROR(AVERAGE(CA457,CB457,CC457,CD457,CE457),"n/m")</f>
        <v>0.101227124071365</v>
      </c>
      <c r="CI457" s="32" t="n">
        <f aca="false">IFERROR(AVERAGE(BB457,BG457,BL457,BQ457,BV457),"n/m")</f>
        <v>0.1033587385108</v>
      </c>
      <c r="CJ457" s="32" t="n">
        <f aca="false">IFERROR(AVERAGE(AC457,AH457,AM457,AR457,AW457,BB457,BG457,BL457,BQ457,BV457),"n/m")</f>
        <v>0.10016973015543</v>
      </c>
      <c r="CK457" s="32" t="n">
        <f aca="false">IFERROR(AVERAGE(C457,D457,E457,F457,G457,H457,I457,N457,S457,X457,AC457,AH457,AM457,AR457,AW457,BB457,BG457,BL457,BQ457,BV457),"n/m")</f>
        <v>0.115650385056749</v>
      </c>
    </row>
    <row r="458" customFormat="false" ht="15" hidden="false" customHeight="true" outlineLevel="0" collapsed="false">
      <c r="B458" s="27" t="s">
        <v>646</v>
      </c>
      <c r="CF458" s="7"/>
    </row>
    <row r="459" customFormat="false" ht="15" hidden="false" customHeight="true" outlineLevel="0" collapsed="false">
      <c r="B459" s="27" t="s">
        <v>647</v>
      </c>
      <c r="C459" s="51" t="n">
        <f aca="false">C441</f>
        <v>2116</v>
      </c>
      <c r="D459" s="51" t="n">
        <f aca="false">D441</f>
        <v>3487.2</v>
      </c>
      <c r="E459" s="51" t="n">
        <f aca="false">E441</f>
        <v>2226.5</v>
      </c>
      <c r="F459" s="51" t="n">
        <f aca="false">F441</f>
        <v>1211.3</v>
      </c>
      <c r="G459" s="51" t="n">
        <f aca="false">G441</f>
        <v>1191.7</v>
      </c>
      <c r="H459" s="51" t="n">
        <f aca="false">H441</f>
        <v>4768.2</v>
      </c>
      <c r="I459" s="51" t="n">
        <f aca="false">I441</f>
        <v>3664.4</v>
      </c>
      <c r="J459" s="39"/>
      <c r="K459" s="39"/>
      <c r="L459" s="39"/>
      <c r="M459" s="39"/>
      <c r="N459" s="51" t="n">
        <f aca="false">N441</f>
        <v>383.8</v>
      </c>
      <c r="O459" s="39"/>
      <c r="P459" s="39"/>
      <c r="Q459" s="39"/>
      <c r="R459" s="39"/>
      <c r="S459" s="51" t="n">
        <f aca="false">S441</f>
        <v>467.8</v>
      </c>
      <c r="T459" s="39"/>
      <c r="U459" s="39"/>
      <c r="V459" s="39"/>
      <c r="W459" s="39"/>
      <c r="X459" s="51" t="n">
        <f aca="false">X441</f>
        <v>12079.6</v>
      </c>
      <c r="Y459" s="39"/>
      <c r="Z459" s="39"/>
      <c r="AA459" s="39"/>
      <c r="AB459" s="39"/>
      <c r="AC459" s="51" t="n">
        <f aca="false">AC441</f>
        <v>11305.3</v>
      </c>
      <c r="AD459" s="39"/>
      <c r="AE459" s="39"/>
      <c r="AF459" s="39"/>
      <c r="AG459" s="39"/>
      <c r="AH459" s="51" t="n">
        <f aca="false">AH441</f>
        <v>9891.8</v>
      </c>
      <c r="AI459" s="39"/>
      <c r="AJ459" s="39"/>
      <c r="AK459" s="39"/>
      <c r="AL459" s="39"/>
      <c r="AM459" s="51" t="n">
        <f aca="false">AM441</f>
        <v>8952.5</v>
      </c>
      <c r="AN459" s="39"/>
      <c r="AO459" s="39"/>
      <c r="AP459" s="39"/>
      <c r="AQ459" s="39"/>
      <c r="AR459" s="51" t="n">
        <f aca="false">AR441</f>
        <v>1816.8</v>
      </c>
      <c r="AS459" s="39"/>
      <c r="AT459" s="39"/>
      <c r="AU459" s="39"/>
      <c r="AV459" s="39"/>
      <c r="AW459" s="51" t="n">
        <f aca="false">AW441</f>
        <v>15169</v>
      </c>
      <c r="AX459" s="39"/>
      <c r="AY459" s="39"/>
      <c r="AZ459" s="39"/>
      <c r="BA459" s="39"/>
      <c r="BB459" s="51" t="n">
        <f aca="false">BB441</f>
        <v>19590</v>
      </c>
      <c r="BC459" s="39"/>
      <c r="BD459" s="39"/>
      <c r="BE459" s="39"/>
      <c r="BF459" s="39"/>
      <c r="BG459" s="51" t="n">
        <f aca="false">BG441</f>
        <v>13682</v>
      </c>
      <c r="BH459" s="39"/>
      <c r="BI459" s="39"/>
      <c r="BJ459" s="39"/>
      <c r="BK459" s="39"/>
      <c r="BL459" s="51" t="n">
        <f aca="false">BL441</f>
        <v>12538</v>
      </c>
      <c r="BM459" s="39"/>
      <c r="BN459" s="39"/>
      <c r="BO459" s="39"/>
      <c r="BP459" s="39"/>
      <c r="BQ459" s="51" t="n">
        <f aca="false">BQ441</f>
        <v>13927</v>
      </c>
      <c r="BR459" s="39"/>
      <c r="BS459" s="39"/>
      <c r="BT459" s="39"/>
      <c r="BU459" s="39"/>
      <c r="BV459" s="51" t="n">
        <f aca="false">BV441</f>
        <v>13803</v>
      </c>
      <c r="BW459" s="39"/>
      <c r="BX459" s="39"/>
      <c r="BY459" s="45"/>
      <c r="BZ459" s="45"/>
      <c r="CA459" s="41" t="n">
        <f aca="false">CA441</f>
        <v>21167.8876953299</v>
      </c>
      <c r="CB459" s="41" t="n">
        <f aca="false">CB441</f>
        <v>18523.2403546049</v>
      </c>
      <c r="CC459" s="41" t="n">
        <f aca="false">CC441</f>
        <v>20110.0955446158</v>
      </c>
      <c r="CD459" s="41" t="n">
        <f aca="false">CD441</f>
        <v>21906.508690618</v>
      </c>
      <c r="CE459" s="41" t="n">
        <f aca="false">CE441</f>
        <v>23839.8479643874</v>
      </c>
      <c r="CF459" s="37"/>
    </row>
    <row r="460" customFormat="false" ht="15" hidden="false" customHeight="true" outlineLevel="0" collapsed="false">
      <c r="B460" s="27" t="s">
        <v>648</v>
      </c>
      <c r="C460" s="51" t="n">
        <f aca="false">C231</f>
        <v>1706.7</v>
      </c>
      <c r="D460" s="51" t="n">
        <f aca="false">D231</f>
        <v>2067.1</v>
      </c>
      <c r="E460" s="51" t="n">
        <f aca="false">E231</f>
        <v>2314.8</v>
      </c>
      <c r="F460" s="51" t="n">
        <f aca="false">F231</f>
        <v>2006.8</v>
      </c>
      <c r="G460" s="51" t="n">
        <f aca="false">G231</f>
        <v>2493.1</v>
      </c>
      <c r="H460" s="51" t="n">
        <f aca="false">H231</f>
        <v>3368.8</v>
      </c>
      <c r="I460" s="51" t="n">
        <f aca="false">I231</f>
        <v>4004.9</v>
      </c>
      <c r="J460" s="39"/>
      <c r="K460" s="39"/>
      <c r="L460" s="39"/>
      <c r="M460" s="39"/>
      <c r="N460" s="51" t="n">
        <f aca="false">N231</f>
        <v>4188.9</v>
      </c>
      <c r="O460" s="39"/>
      <c r="P460" s="39"/>
      <c r="Q460" s="39"/>
      <c r="R460" s="39"/>
      <c r="S460" s="51" t="n">
        <f aca="false">S231</f>
        <v>4336.2</v>
      </c>
      <c r="T460" s="39"/>
      <c r="U460" s="39"/>
      <c r="V460" s="39"/>
      <c r="W460" s="39"/>
      <c r="X460" s="51" t="n">
        <f aca="false">X231</f>
        <v>3247.5</v>
      </c>
      <c r="Y460" s="39"/>
      <c r="Z460" s="39"/>
      <c r="AA460" s="39"/>
      <c r="AB460" s="39"/>
      <c r="AC460" s="51" t="n">
        <f aca="false">AC231</f>
        <v>3945</v>
      </c>
      <c r="AD460" s="39"/>
      <c r="AE460" s="39"/>
      <c r="AF460" s="39"/>
      <c r="AG460" s="39"/>
      <c r="AH460" s="51" t="n">
        <f aca="false">AH231</f>
        <v>4293.7</v>
      </c>
      <c r="AI460" s="39"/>
      <c r="AJ460" s="39"/>
      <c r="AK460" s="39"/>
      <c r="AL460" s="39"/>
      <c r="AM460" s="51" t="n">
        <f aca="false">AM231</f>
        <v>4294.2</v>
      </c>
      <c r="AN460" s="39"/>
      <c r="AO460" s="39"/>
      <c r="AP460" s="39"/>
      <c r="AQ460" s="39"/>
      <c r="AR460" s="51" t="n">
        <f aca="false">AR231</f>
        <v>4551.9</v>
      </c>
      <c r="AS460" s="39"/>
      <c r="AT460" s="39"/>
      <c r="AU460" s="39"/>
      <c r="AV460" s="39"/>
      <c r="AW460" s="51" t="n">
        <f aca="false">AW231</f>
        <v>6596</v>
      </c>
      <c r="AX460" s="39"/>
      <c r="AY460" s="39"/>
      <c r="AZ460" s="39"/>
      <c r="BA460" s="39"/>
      <c r="BB460" s="51" t="n">
        <f aca="false">BB231</f>
        <v>10294</v>
      </c>
      <c r="BC460" s="39"/>
      <c r="BD460" s="39"/>
      <c r="BE460" s="39"/>
      <c r="BF460" s="39"/>
      <c r="BG460" s="51" t="n">
        <f aca="false">BG231</f>
        <v>9769</v>
      </c>
      <c r="BH460" s="39"/>
      <c r="BI460" s="39"/>
      <c r="BJ460" s="39"/>
      <c r="BK460" s="39"/>
      <c r="BL460" s="51" t="n">
        <f aca="false">BL231</f>
        <v>7530</v>
      </c>
      <c r="BM460" s="39"/>
      <c r="BN460" s="39"/>
      <c r="BO460" s="39"/>
      <c r="BP460" s="39"/>
      <c r="BQ460" s="51" t="n">
        <f aca="false">BQ231</f>
        <v>7561</v>
      </c>
      <c r="BR460" s="39"/>
      <c r="BS460" s="39"/>
      <c r="BT460" s="39"/>
      <c r="BU460" s="39"/>
      <c r="BV460" s="51" t="n">
        <f aca="false">BV231</f>
        <v>7689</v>
      </c>
      <c r="BW460" s="39"/>
      <c r="BX460" s="39"/>
      <c r="BY460" s="45"/>
      <c r="BZ460" s="45"/>
      <c r="CA460" s="41" t="n">
        <f aca="false">CA231</f>
        <v>8604.86113651631</v>
      </c>
      <c r="CB460" s="41" t="n">
        <f aca="false">CB231</f>
        <v>9261.62017730247</v>
      </c>
      <c r="CC460" s="41" t="n">
        <f aca="false">CC231</f>
        <v>10055.0477723079</v>
      </c>
      <c r="CD460" s="41" t="n">
        <f aca="false">CD231</f>
        <v>10953.254345309</v>
      </c>
      <c r="CE460" s="41" t="n">
        <f aca="false">CE231</f>
        <v>11919.9239821937</v>
      </c>
      <c r="CF460" s="37"/>
    </row>
    <row r="461" customFormat="false" ht="15" hidden="false" customHeight="true" outlineLevel="0" collapsed="false">
      <c r="B461" s="62" t="s">
        <v>649</v>
      </c>
      <c r="C461" s="93" t="n">
        <f aca="false">IFERROR(C459/C460,"n/a")</f>
        <v>1.23981953477471</v>
      </c>
      <c r="D461" s="93" t="n">
        <f aca="false">IFERROR(D459/D460,"n/a")</f>
        <v>1.68700111266992</v>
      </c>
      <c r="E461" s="93" t="n">
        <f aca="false">IFERROR(E459/E460,"n/a")</f>
        <v>0.961854155866598</v>
      </c>
      <c r="F461" s="93" t="n">
        <f aca="false">IFERROR(F459/F460,"n/a")</f>
        <v>0.603597767590193</v>
      </c>
      <c r="G461" s="93" t="n">
        <f aca="false">IFERROR(G459/G460,"n/a")</f>
        <v>0.4779992780073</v>
      </c>
      <c r="H461" s="93" t="n">
        <f aca="false">IFERROR(H459/H460,"n/a")</f>
        <v>1.41540014248397</v>
      </c>
      <c r="I461" s="93" t="n">
        <f aca="false">IFERROR(I459/I460,"n/a")</f>
        <v>0.914979150540588</v>
      </c>
      <c r="J461" s="64"/>
      <c r="K461" s="64"/>
      <c r="L461" s="64"/>
      <c r="M461" s="64"/>
      <c r="N461" s="93" t="n">
        <f aca="false">IFERROR(N459/N460,"n/a")</f>
        <v>0.0916230991429732</v>
      </c>
      <c r="O461" s="64"/>
      <c r="P461" s="64"/>
      <c r="Q461" s="64"/>
      <c r="R461" s="64"/>
      <c r="S461" s="93" t="n">
        <f aca="false">IFERROR(S459/S460,"n/a")</f>
        <v>0.107882477745491</v>
      </c>
      <c r="T461" s="64"/>
      <c r="U461" s="64"/>
      <c r="V461" s="64"/>
      <c r="W461" s="64"/>
      <c r="X461" s="93" t="n">
        <f aca="false">IFERROR(X459/X460,"n/a")</f>
        <v>3.71966127790608</v>
      </c>
      <c r="Y461" s="64"/>
      <c r="Z461" s="64"/>
      <c r="AA461" s="64"/>
      <c r="AB461" s="64"/>
      <c r="AC461" s="93" t="n">
        <f aca="false">IFERROR(AC459/AC460,"n/a")</f>
        <v>2.86572877059569</v>
      </c>
      <c r="AD461" s="64"/>
      <c r="AE461" s="64"/>
      <c r="AF461" s="64"/>
      <c r="AG461" s="64"/>
      <c r="AH461" s="93" t="n">
        <f aca="false">IFERROR(AH459/AH460,"n/a")</f>
        <v>2.30379393064257</v>
      </c>
      <c r="AI461" s="64"/>
      <c r="AJ461" s="64"/>
      <c r="AK461" s="64"/>
      <c r="AL461" s="64"/>
      <c r="AM461" s="93" t="n">
        <f aca="false">IFERROR(AM459/AM460,"n/a")</f>
        <v>2.08478878487262</v>
      </c>
      <c r="AN461" s="64"/>
      <c r="AO461" s="64"/>
      <c r="AP461" s="64"/>
      <c r="AQ461" s="64"/>
      <c r="AR461" s="93" t="n">
        <f aca="false">IFERROR(AR459/AR460,"n/a")</f>
        <v>0.399130033612338</v>
      </c>
      <c r="AS461" s="64"/>
      <c r="AT461" s="64"/>
      <c r="AU461" s="64"/>
      <c r="AV461" s="64"/>
      <c r="AW461" s="93" t="n">
        <f aca="false">IFERROR(AW459/AW460,"n/a")</f>
        <v>2.29972710733778</v>
      </c>
      <c r="AX461" s="64"/>
      <c r="AY461" s="64"/>
      <c r="AZ461" s="64"/>
      <c r="BA461" s="64"/>
      <c r="BB461" s="93" t="n">
        <f aca="false">IFERROR(BB459/BB460,"n/a")</f>
        <v>1.90305032057509</v>
      </c>
      <c r="BC461" s="64"/>
      <c r="BD461" s="64"/>
      <c r="BE461" s="64"/>
      <c r="BF461" s="64"/>
      <c r="BG461" s="93" t="n">
        <f aca="false">IFERROR(BG459/BG460,"n/a")</f>
        <v>1.40055276896305</v>
      </c>
      <c r="BH461" s="64"/>
      <c r="BI461" s="64"/>
      <c r="BJ461" s="64"/>
      <c r="BK461" s="64"/>
      <c r="BL461" s="93" t="n">
        <f aca="false">IFERROR(BL459/BL460,"n/a")</f>
        <v>1.66507304116866</v>
      </c>
      <c r="BM461" s="64"/>
      <c r="BN461" s="64"/>
      <c r="BO461" s="64"/>
      <c r="BP461" s="64"/>
      <c r="BQ461" s="93" t="n">
        <f aca="false">IFERROR(BQ459/BQ460,"n/a")</f>
        <v>1.84195212273509</v>
      </c>
      <c r="BR461" s="64"/>
      <c r="BS461" s="64"/>
      <c r="BT461" s="64"/>
      <c r="BU461" s="64"/>
      <c r="BV461" s="93" t="n">
        <f aca="false">IFERROR(BV459/BV460,"n/a")</f>
        <v>1.79516191962544</v>
      </c>
      <c r="BW461" s="64"/>
      <c r="BX461" s="64"/>
      <c r="BY461" s="64"/>
      <c r="BZ461" s="64"/>
      <c r="CA461" s="93" t="n">
        <f aca="false">IFERROR(CA459/CA460,"n/a")</f>
        <v>2.45999178365587</v>
      </c>
      <c r="CB461" s="93" t="n">
        <f aca="false">IFERROR(CB459/CB460,"n/a")</f>
        <v>2</v>
      </c>
      <c r="CC461" s="93" t="n">
        <f aca="false">IFERROR(CC459/CC460,"n/a")</f>
        <v>2</v>
      </c>
      <c r="CD461" s="93" t="n">
        <f aca="false">IFERROR(CD459/CD460,"n/a")</f>
        <v>2</v>
      </c>
      <c r="CE461" s="93" t="n">
        <f aca="false">IFERROR(CE459/CE460,"n/a")</f>
        <v>2</v>
      </c>
      <c r="CF461" s="7"/>
      <c r="CH461" s="32" t="n">
        <f aca="false">IFERROR(AVERAGE(CA461,CB461,CC461,CD461,CE461),"n/m")</f>
        <v>2.09199835673117</v>
      </c>
      <c r="CI461" s="32" t="n">
        <f aca="false">IFERROR(AVERAGE(BB461,BG461,BL461,BQ461,BV461),"n/m")</f>
        <v>1.72115803461347</v>
      </c>
      <c r="CJ461" s="32" t="n">
        <f aca="false">IFERROR(AVERAGE(AC461,AH461,AM461,AR461,AW461,BB461,BG461,BL461,BQ461,BV461),"n/m")</f>
        <v>1.85589588001283</v>
      </c>
      <c r="CK461" s="32" t="n">
        <f aca="false">IFERROR(AVERAGE(C461,D461,E461,F461,G461,H461,I461,N461,S461,X461,AC461,AH461,AM461,AR461,AW461,BB461,BG461,BL461,BQ461,BV461),"n/m")</f>
        <v>1.48893883984281</v>
      </c>
    </row>
    <row r="462" customFormat="false" ht="15" hidden="false" customHeight="true" outlineLevel="0" collapsed="false"/>
    <row r="463" customFormat="false" ht="15" hidden="false" customHeight="true" outlineLevel="0" collapsed="false">
      <c r="B463" s="12" t="s">
        <v>650</v>
      </c>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c r="CA463" s="12"/>
      <c r="CB463" s="12"/>
      <c r="CC463" s="12"/>
      <c r="CD463" s="12"/>
      <c r="CE463" s="12"/>
      <c r="CF463" s="12" t="s">
        <v>651</v>
      </c>
    </row>
    <row r="464" customFormat="false" ht="15" hidden="false" customHeight="true" outlineLevel="0" collapsed="false">
      <c r="B464" s="89" t="s">
        <v>652</v>
      </c>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70"/>
      <c r="AS464" s="70"/>
      <c r="AT464" s="70"/>
      <c r="AU464" s="70"/>
      <c r="AV464" s="70"/>
      <c r="AW464" s="70"/>
      <c r="AX464" s="70"/>
      <c r="AY464" s="70"/>
      <c r="AZ464" s="70"/>
      <c r="BA464" s="70"/>
      <c r="BB464" s="70"/>
      <c r="BC464" s="70"/>
      <c r="BD464" s="70"/>
      <c r="BE464" s="70"/>
      <c r="BF464" s="70"/>
      <c r="BG464" s="70"/>
      <c r="BH464" s="70"/>
      <c r="BI464" s="70"/>
      <c r="BJ464" s="70"/>
      <c r="BK464" s="70"/>
      <c r="BL464" s="70"/>
      <c r="BM464" s="70"/>
      <c r="BN464" s="70"/>
      <c r="BO464" s="70"/>
      <c r="BP464" s="70"/>
      <c r="BQ464" s="70"/>
      <c r="BR464" s="70"/>
      <c r="BS464" s="70"/>
      <c r="BT464" s="70"/>
      <c r="BU464" s="70"/>
      <c r="BV464" s="70"/>
      <c r="BW464" s="70"/>
      <c r="BX464" s="70"/>
      <c r="BY464" s="7"/>
      <c r="BZ464" s="7"/>
      <c r="CA464" s="86" t="n">
        <v>221.21</v>
      </c>
      <c r="CB464" s="85" t="n">
        <f aca="false">CA464</f>
        <v>221.21</v>
      </c>
      <c r="CC464" s="85" t="n">
        <f aca="false">CB464</f>
        <v>221.21</v>
      </c>
      <c r="CD464" s="85" t="n">
        <f aca="false">CC464</f>
        <v>221.21</v>
      </c>
      <c r="CE464" s="85" t="n">
        <f aca="false">CD464</f>
        <v>221.21</v>
      </c>
      <c r="CF464" s="37"/>
    </row>
    <row r="465" customFormat="false" ht="15" hidden="false" customHeight="true" outlineLevel="0" collapsed="false">
      <c r="B465" s="27" t="s">
        <v>653</v>
      </c>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39"/>
      <c r="BY465" s="45"/>
      <c r="BZ465" s="45"/>
      <c r="CA465" s="75" t="n">
        <f aca="false">CA342+(BX209-BX208)</f>
        <v>703.739704353329</v>
      </c>
      <c r="CB465" s="75" t="n">
        <f aca="false">CB342+N(CB410)</f>
        <v>699.138321169982</v>
      </c>
      <c r="CC465" s="75" t="n">
        <f aca="false">CC342+N(CC410)</f>
        <v>680.102927971924</v>
      </c>
      <c r="CD465" s="75" t="n">
        <f aca="false">CD342+N(CD410)</f>
        <v>661.51814718881</v>
      </c>
      <c r="CE465" s="75" t="n">
        <f aca="false">CE342+N(CE410)</f>
        <v>641.814380163444</v>
      </c>
      <c r="CF465" s="37"/>
    </row>
    <row r="466" customFormat="false" ht="15" hidden="false" customHeight="true" outlineLevel="0" collapsed="false">
      <c r="B466" s="27" t="s">
        <v>654</v>
      </c>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9"/>
      <c r="BT466" s="39"/>
      <c r="BU466" s="39"/>
      <c r="BV466" s="39"/>
      <c r="BW466" s="39"/>
      <c r="BX466" s="39"/>
      <c r="BY466" s="45"/>
      <c r="BZ466" s="45"/>
      <c r="CA466" s="41" t="n">
        <f aca="false">IFERROR(CA464*CA465,"n/a")</f>
        <v>155674.26</v>
      </c>
      <c r="CB466" s="41" t="n">
        <f aca="false">IFERROR(CB464*CB465,"n/a")</f>
        <v>154656.388026012</v>
      </c>
      <c r="CC466" s="41" t="n">
        <f aca="false">IFERROR(CC464*CC465,"n/a")</f>
        <v>150445.568696669</v>
      </c>
      <c r="CD466" s="41" t="n">
        <f aca="false">IFERROR(CD464*CD465,"n/a")</f>
        <v>146334.429339637</v>
      </c>
      <c r="CE466" s="41" t="n">
        <f aca="false">IFERROR(CE464*CE465,"n/a")</f>
        <v>141975.759035956</v>
      </c>
      <c r="CF466" s="37"/>
    </row>
    <row r="467" customFormat="false" ht="15" hidden="false" customHeight="true" outlineLevel="0" collapsed="false">
      <c r="B467" s="27" t="s">
        <v>655</v>
      </c>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9"/>
      <c r="BT467" s="39"/>
      <c r="BU467" s="39"/>
      <c r="BV467" s="39"/>
      <c r="BW467" s="39"/>
      <c r="BX467" s="39"/>
      <c r="BY467" s="45"/>
      <c r="BZ467" s="45"/>
      <c r="CA467" s="41" t="n">
        <f aca="false">CA459</f>
        <v>21167.8876953299</v>
      </c>
      <c r="CB467" s="41" t="n">
        <f aca="false">CB459</f>
        <v>18523.2403546049</v>
      </c>
      <c r="CC467" s="41" t="n">
        <f aca="false">CC459</f>
        <v>20110.0955446158</v>
      </c>
      <c r="CD467" s="41" t="n">
        <f aca="false">CD459</f>
        <v>21906.508690618</v>
      </c>
      <c r="CE467" s="41" t="n">
        <f aca="false">CE459</f>
        <v>23839.8479643874</v>
      </c>
      <c r="CF467" s="37"/>
    </row>
    <row r="468" customFormat="false" ht="15" hidden="false" customHeight="true" outlineLevel="0" collapsed="false">
      <c r="B468" s="27" t="s">
        <v>656</v>
      </c>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c r="BV468" s="39"/>
      <c r="BW468" s="39"/>
      <c r="BX468" s="39"/>
      <c r="BY468" s="45"/>
      <c r="BZ468" s="45"/>
      <c r="CA468" s="41" t="n">
        <f aca="false">N(CA374)</f>
        <v>11</v>
      </c>
      <c r="CB468" s="41" t="n">
        <f aca="false">N(CB374)</f>
        <v>11</v>
      </c>
      <c r="CC468" s="41" t="n">
        <f aca="false">N(CC374)</f>
        <v>11</v>
      </c>
      <c r="CD468" s="41" t="n">
        <f aca="false">N(CD374)</f>
        <v>11</v>
      </c>
      <c r="CE468" s="41" t="n">
        <f aca="false">N(CE374)</f>
        <v>11</v>
      </c>
      <c r="CF468" s="37"/>
    </row>
    <row r="469" customFormat="false" ht="15" hidden="false" customHeight="true" outlineLevel="0" collapsed="false">
      <c r="B469" s="18" t="s">
        <v>657</v>
      </c>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59"/>
      <c r="BZ469" s="59"/>
      <c r="CA469" s="21" t="n">
        <f aca="false">IFERROR(CA466+CA467+CA468,"n/a")</f>
        <v>176853.14769533</v>
      </c>
      <c r="CB469" s="21" t="n">
        <f aca="false">IFERROR(CB466+CB467+CB468,"n/a")</f>
        <v>173190.628380617</v>
      </c>
      <c r="CC469" s="21" t="n">
        <f aca="false">IFERROR(CC466+CC467+CC468,"n/a")</f>
        <v>170566.664241285</v>
      </c>
      <c r="CD469" s="21" t="n">
        <f aca="false">IFERROR(CD466+CD467+CD468,"n/a")</f>
        <v>168251.938030255</v>
      </c>
      <c r="CE469" s="21" t="n">
        <f aca="false">IFERROR(CE466+CE467+CE468,"n/a")</f>
        <v>165826.607000343</v>
      </c>
      <c r="CF469" s="7"/>
    </row>
    <row r="470" customFormat="false" ht="15" hidden="false" customHeight="true" outlineLevel="0" collapsed="false">
      <c r="B470" s="27" t="s">
        <v>658</v>
      </c>
      <c r="CF470" s="7"/>
    </row>
    <row r="471" customFormat="false" ht="15" hidden="false" customHeight="true" outlineLevel="0" collapsed="false">
      <c r="B471" s="27" t="s">
        <v>659</v>
      </c>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c r="BV471" s="39"/>
      <c r="BW471" s="39"/>
      <c r="BX471" s="39"/>
      <c r="BY471" s="45"/>
      <c r="BZ471" s="45"/>
      <c r="CA471" s="91" t="n">
        <f aca="false">IFERROR(CA469/CA178,"n/a")</f>
        <v>6.67410186605208</v>
      </c>
      <c r="CB471" s="91" t="n">
        <f aca="false">IFERROR(CB469/CB178,"n/a")</f>
        <v>5.97502388413672</v>
      </c>
      <c r="CC471" s="91" t="n">
        <f aca="false">IFERROR(CC469/CC178,"n/a")</f>
        <v>5.5227152612447</v>
      </c>
      <c r="CD471" s="91" t="n">
        <f aca="false">IFERROR(CD469/CD178,"n/a")</f>
        <v>5.08728430335692</v>
      </c>
      <c r="CE471" s="91" t="n">
        <f aca="false">IFERROR(CE469/CE178,"n/a")</f>
        <v>4.67988809576349</v>
      </c>
      <c r="CF471" s="37"/>
    </row>
    <row r="472" customFormat="false" ht="15" hidden="false" customHeight="true" outlineLevel="0" collapsed="false">
      <c r="B472" s="27" t="s">
        <v>660</v>
      </c>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9"/>
      <c r="BT472" s="39"/>
      <c r="BU472" s="39"/>
      <c r="BV472" s="39"/>
      <c r="BW472" s="39"/>
      <c r="BX472" s="39"/>
      <c r="BY472" s="45"/>
      <c r="BZ472" s="45"/>
      <c r="CA472" s="91" t="n">
        <f aca="false">IFERROR(CA469/CA227,"n/a")</f>
        <v>21.0126475358934</v>
      </c>
      <c r="CB472" s="91" t="n">
        <f aca="false">IFERROR(CB469/CB227,"n/a")</f>
        <v>18.6998198009735</v>
      </c>
      <c r="CC472" s="91" t="n">
        <f aca="false">IFERROR(CC469/CC227,"n/a")</f>
        <v>16.9632873064049</v>
      </c>
      <c r="CD472" s="91" t="n">
        <f aca="false">IFERROR(CD469/CD227,"n/a")</f>
        <v>15.3609085232566</v>
      </c>
      <c r="CE472" s="91" t="n">
        <f aca="false">IFERROR(CE469/CE227,"n/a")</f>
        <v>13.9117168237028</v>
      </c>
      <c r="CF472" s="37"/>
    </row>
    <row r="473" customFormat="false" ht="15" hidden="false" customHeight="true" outlineLevel="0" collapsed="false">
      <c r="B473" s="27" t="s">
        <v>661</v>
      </c>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9"/>
      <c r="BT473" s="39"/>
      <c r="BU473" s="39"/>
      <c r="BV473" s="39"/>
      <c r="BW473" s="39"/>
      <c r="BX473" s="39"/>
      <c r="BY473" s="45"/>
      <c r="BZ473" s="45"/>
      <c r="CA473" s="91" t="n">
        <f aca="false">IFERROR(CA469/CA243,"n/a")</f>
        <v>23.3540179830412</v>
      </c>
      <c r="CB473" s="91" t="n">
        <f aca="false">IFERROR(CB469/CB243,"n/a")</f>
        <v>20.708998505984</v>
      </c>
      <c r="CC473" s="91" t="n">
        <f aca="false">IFERROR(CC469/CC243,"n/a")</f>
        <v>18.7484801007773</v>
      </c>
      <c r="CD473" s="91" t="n">
        <f aca="false">IFERROR(CD469/CD243,"n/a")</f>
        <v>16.9472304323518</v>
      </c>
      <c r="CE473" s="91" t="n">
        <f aca="false">IFERROR(CE469/CE243,"n/a")</f>
        <v>15.3238470992803</v>
      </c>
      <c r="CF473" s="37"/>
    </row>
    <row r="474" customFormat="false" ht="15" hidden="false" customHeight="true" outlineLevel="0" collapsed="false">
      <c r="B474" s="27" t="s">
        <v>662</v>
      </c>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9"/>
      <c r="BT474" s="39"/>
      <c r="BU474" s="39"/>
      <c r="BV474" s="39"/>
      <c r="BW474" s="39"/>
      <c r="BX474" s="39"/>
      <c r="BY474" s="45"/>
      <c r="BZ474" s="45"/>
      <c r="CA474" s="91" t="n">
        <f aca="false">IFERROR(CA469/CA439,"n/a")</f>
        <v>2.35105301811736</v>
      </c>
      <c r="CB474" s="91" t="n">
        <f aca="false">IFERROR(CB469/CB439,"n/a")</f>
        <v>2.30427578390604</v>
      </c>
      <c r="CC474" s="91" t="n">
        <f aca="false">IFERROR(CC469/CC439,"n/a")</f>
        <v>2.24157463477549</v>
      </c>
      <c r="CD474" s="91" t="n">
        <f aca="false">IFERROR(CD469/CD439,"n/a")</f>
        <v>2.17130407763941</v>
      </c>
      <c r="CE474" s="91" t="n">
        <f aca="false">IFERROR(CE469/CE439,"n/a")</f>
        <v>2.09814150168665</v>
      </c>
      <c r="CF474" s="37"/>
    </row>
    <row r="475" customFormat="false" ht="15" hidden="false" customHeight="true" outlineLevel="0" collapsed="false">
      <c r="B475" s="27" t="s">
        <v>663</v>
      </c>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39"/>
      <c r="BY475" s="45"/>
      <c r="BZ475" s="45"/>
      <c r="CA475" s="91" t="n">
        <f aca="false">IFERROR(CA464/CA210,"n/a")</f>
        <v>36.8575068479558</v>
      </c>
      <c r="CB475" s="91" t="n">
        <f aca="false">IFERROR(CB464/CB210,"n/a")</f>
        <v>30.9456692017729</v>
      </c>
      <c r="CC475" s="91" t="n">
        <f aca="false">IFERROR(CC464/CC210,"n/a")</f>
        <v>27.0949081411065</v>
      </c>
      <c r="CD475" s="91" t="n">
        <f aca="false">IFERROR(CD464/CD210,"n/a")</f>
        <v>23.9307337265539</v>
      </c>
      <c r="CE475" s="91" t="n">
        <f aca="false">IFERROR(CE464/CE210,"n/a")</f>
        <v>20.6021817576387</v>
      </c>
      <c r="CF475" s="37"/>
    </row>
    <row r="476" customFormat="false" ht="15" hidden="false" customHeight="true" outlineLevel="0" collapsed="false">
      <c r="B476" s="27" t="s">
        <v>664</v>
      </c>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9"/>
      <c r="BT476" s="39"/>
      <c r="BU476" s="39"/>
      <c r="BV476" s="39"/>
      <c r="BW476" s="39"/>
      <c r="BX476" s="39"/>
      <c r="BY476" s="45"/>
      <c r="BZ476" s="45"/>
      <c r="CA476" s="91" t="n">
        <f aca="false">IFERROR(CA464/CA266,"n/a")</f>
        <v>25.9483870967742</v>
      </c>
      <c r="CB476" s="91" t="n">
        <f aca="false">IFERROR(CB464/CB266,"n/a")</f>
        <v>23.581577906227</v>
      </c>
      <c r="CC476" s="91" t="n">
        <f aca="false">IFERROR(CC464/CC266,"n/a")</f>
        <v>21.1030402380442</v>
      </c>
      <c r="CD476" s="91" t="n">
        <f aca="false">IFERROR(CD464/CD266,"n/a")</f>
        <v>18.9064839694256</v>
      </c>
      <c r="CE476" s="91" t="n">
        <f aca="false">IFERROR(CE464/CE266,"n/a")</f>
        <v>16.8887621689476</v>
      </c>
      <c r="CF476" s="37"/>
    </row>
    <row r="477" customFormat="false" ht="15" hidden="false" customHeight="true" outlineLevel="0" collapsed="false">
      <c r="B477" s="27" t="s">
        <v>665</v>
      </c>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9"/>
      <c r="BT477" s="39"/>
      <c r="BU477" s="39"/>
      <c r="BV477" s="39"/>
      <c r="BW477" s="39"/>
      <c r="BX477" s="39"/>
      <c r="BY477" s="45"/>
      <c r="BZ477" s="45"/>
      <c r="CA477" s="26" t="n">
        <f aca="false">IFERROR(CA325/CA466,"n/a")</f>
        <v>0.0416282575321794</v>
      </c>
      <c r="CB477" s="26" t="n">
        <f aca="false">IFERROR(CB325/CB466,"n/a")</f>
        <v>0.0421861313058531</v>
      </c>
      <c r="CC477" s="26" t="n">
        <f aca="false">IFERROR(CC325/CC466,"n/a")</f>
        <v>0.0476522167069788</v>
      </c>
      <c r="CD477" s="26" t="n">
        <f aca="false">IFERROR(CD325/CD466,"n/a")</f>
        <v>0.053310377247668</v>
      </c>
      <c r="CE477" s="26" t="n">
        <f aca="false">IFERROR(CE325/CE466,"n/a")</f>
        <v>0.0597015759824393</v>
      </c>
      <c r="CF477" s="37"/>
    </row>
    <row r="478" customFormat="false" ht="15" hidden="false" customHeight="true" outlineLevel="0" collapsed="false">
      <c r="B478" s="27" t="s">
        <v>666</v>
      </c>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9"/>
      <c r="BT478" s="39"/>
      <c r="BU478" s="39"/>
      <c r="BV478" s="39"/>
      <c r="BW478" s="39"/>
      <c r="BX478" s="39"/>
      <c r="BY478" s="45"/>
      <c r="BZ478" s="45"/>
      <c r="CA478" s="26" t="n">
        <f aca="false">IFERROR(CA214/CA464,"n/a")</f>
        <v>0.00723294606934587</v>
      </c>
      <c r="CB478" s="26" t="n">
        <f aca="false">IFERROR(CB214/CB464,"n/a")</f>
        <v>0.00795624067628046</v>
      </c>
      <c r="CC478" s="26" t="n">
        <f aca="false">IFERROR(CC214/CC464,"n/a")</f>
        <v>0.0087518647439085</v>
      </c>
      <c r="CD478" s="26" t="n">
        <f aca="false">IFERROR(CD214/CD464,"n/a")</f>
        <v>0.00962705121829936</v>
      </c>
      <c r="CE478" s="26" t="n">
        <f aca="false">IFERROR(CE214/CE464,"n/a")</f>
        <v>0.0105897563401293</v>
      </c>
      <c r="CF478" s="37"/>
    </row>
    <row r="479" customFormat="false" ht="15" hidden="false" customHeight="true" outlineLevel="0" collapsed="false"/>
  </sheetData>
  <dataValidations count="1">
    <dataValidation allowBlank="false" errorStyle="stop" operator="between" showDropDown="false" showErrorMessage="false" showInputMessage="false" sqref="CF2" type="list">
      <formula1>"Bull,Base,Bear"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J50"/>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selection pane="topLeft" activeCell="H26" activeCellId="0" sqref="H26"/>
    </sheetView>
  </sheetViews>
  <sheetFormatPr defaultColWidth="8.5703125" defaultRowHeight="15" zeroHeight="false" outlineLevelRow="0" outlineLevelCol="0"/>
  <cols>
    <col collapsed="false" customWidth="true" hidden="false" outlineLevel="0" max="1" min="1" style="1" width="2.15"/>
    <col collapsed="false" customWidth="true" hidden="false" outlineLevel="0" max="2" min="2" style="1" width="63.85"/>
    <col collapsed="false" customWidth="true" hidden="false" outlineLevel="0" max="8" min="3" style="1" width="11.85"/>
    <col collapsed="false" customWidth="true" hidden="false" outlineLevel="0" max="9" min="9" style="1" width="13.29"/>
    <col collapsed="false" customWidth="true" hidden="false" outlineLevel="0" max="12" min="10" style="1" width="12.57"/>
    <col collapsed="false" customWidth="true" hidden="false" outlineLevel="0" max="13" min="13" style="1" width="3.86"/>
    <col collapsed="false" customWidth="true" hidden="false" outlineLevel="0" max="14" min="14" style="1" width="63.85"/>
    <col collapsed="false" customWidth="true" hidden="false" outlineLevel="0" max="20" min="15" style="1" width="11.85"/>
    <col collapsed="false" customWidth="true" hidden="false" outlineLevel="0" max="21" min="21" style="1" width="13.29"/>
    <col collapsed="false" customWidth="true" hidden="false" outlineLevel="0" max="24" min="22" style="1" width="12.57"/>
    <col collapsed="false" customWidth="true" hidden="false" outlineLevel="0" max="25" min="25" style="1" width="3.86"/>
    <col collapsed="false" customWidth="true" hidden="false" outlineLevel="0" max="26" min="26" style="1" width="63.85"/>
    <col collapsed="false" customWidth="true" hidden="false" outlineLevel="0" max="32" min="27" style="1" width="11.85"/>
    <col collapsed="false" customWidth="true" hidden="false" outlineLevel="0" max="33" min="33" style="1" width="13.29"/>
    <col collapsed="false" customWidth="true" hidden="false" outlineLevel="0" max="36" min="34" style="1" width="12.57"/>
  </cols>
  <sheetData>
    <row r="2" customFormat="false" ht="19.5" hidden="false" customHeight="true" outlineLevel="0" collapsed="false">
      <c r="B2" s="94" t="s">
        <v>667</v>
      </c>
      <c r="J2" s="95" t="s">
        <v>668</v>
      </c>
      <c r="K2" s="96" t="n">
        <f aca="false">Model!$CA$464</f>
        <v>221.21</v>
      </c>
    </row>
    <row r="3" customFormat="false" ht="15" hidden="false" customHeight="true" outlineLevel="0" collapsed="false">
      <c r="B3" s="5" t="s">
        <v>669</v>
      </c>
      <c r="J3" s="95" t="s">
        <v>670</v>
      </c>
      <c r="K3" s="97" t="n">
        <f aca="true">TODAY()</f>
        <v>46301</v>
      </c>
    </row>
    <row r="5" customFormat="false" ht="15" hidden="false" customHeight="true" outlineLevel="0" collapsed="false">
      <c r="B5" s="12" t="s">
        <v>671</v>
      </c>
      <c r="C5" s="98" t="str">
        <f aca="false">Model!$CF$2</f>
        <v>Base</v>
      </c>
      <c r="N5" s="99" t="s">
        <v>671</v>
      </c>
      <c r="O5" s="100" t="s">
        <v>80</v>
      </c>
      <c r="P5" s="5" t="s">
        <v>672</v>
      </c>
      <c r="Z5" s="99" t="s">
        <v>671</v>
      </c>
      <c r="AA5" s="100" t="s">
        <v>81</v>
      </c>
      <c r="AB5" s="5" t="s">
        <v>673</v>
      </c>
    </row>
    <row r="7" customFormat="false" ht="31.5" hidden="false" customHeight="true" outlineLevel="0" collapsed="false">
      <c r="B7" s="101" t="s">
        <v>674</v>
      </c>
      <c r="C7" s="102" t="s">
        <v>675</v>
      </c>
      <c r="D7" s="102" t="s">
        <v>64</v>
      </c>
      <c r="E7" s="102" t="s">
        <v>65</v>
      </c>
      <c r="F7" s="102" t="s">
        <v>66</v>
      </c>
      <c r="G7" s="102" t="s">
        <v>67</v>
      </c>
      <c r="H7" s="102" t="s">
        <v>68</v>
      </c>
      <c r="I7" s="102" t="s">
        <v>676</v>
      </c>
      <c r="J7" s="103" t="s">
        <v>677</v>
      </c>
      <c r="K7" s="103" t="s">
        <v>678</v>
      </c>
      <c r="L7" s="103" t="s">
        <v>679</v>
      </c>
      <c r="N7" s="101" t="s">
        <v>674</v>
      </c>
      <c r="O7" s="102" t="s">
        <v>675</v>
      </c>
      <c r="P7" s="102" t="s">
        <v>64</v>
      </c>
      <c r="Q7" s="102" t="s">
        <v>65</v>
      </c>
      <c r="R7" s="102" t="s">
        <v>66</v>
      </c>
      <c r="S7" s="102" t="s">
        <v>67</v>
      </c>
      <c r="T7" s="102" t="s">
        <v>68</v>
      </c>
      <c r="U7" s="102" t="s">
        <v>676</v>
      </c>
      <c r="V7" s="103" t="s">
        <v>677</v>
      </c>
      <c r="W7" s="103" t="s">
        <v>678</v>
      </c>
      <c r="X7" s="103" t="s">
        <v>679</v>
      </c>
      <c r="Z7" s="101" t="s">
        <v>674</v>
      </c>
      <c r="AA7" s="102" t="s">
        <v>675</v>
      </c>
      <c r="AB7" s="102" t="s">
        <v>64</v>
      </c>
      <c r="AC7" s="102" t="s">
        <v>65</v>
      </c>
      <c r="AD7" s="102" t="s">
        <v>66</v>
      </c>
      <c r="AE7" s="102" t="s">
        <v>67</v>
      </c>
      <c r="AF7" s="102" t="s">
        <v>68</v>
      </c>
      <c r="AG7" s="102" t="s">
        <v>676</v>
      </c>
      <c r="AH7" s="103" t="s">
        <v>677</v>
      </c>
      <c r="AI7" s="103" t="s">
        <v>678</v>
      </c>
      <c r="AJ7" s="103" t="s">
        <v>679</v>
      </c>
    </row>
    <row r="9" customFormat="false" ht="15" hidden="false" customHeight="true" outlineLevel="0" collapsed="false">
      <c r="B9" s="104" t="s">
        <v>317</v>
      </c>
      <c r="C9" s="105" t="n">
        <f aca="false">Model!BV178</f>
        <v>24568</v>
      </c>
      <c r="D9" s="106" t="n">
        <f aca="false">Model!CA178</f>
        <v>26498.419</v>
      </c>
      <c r="E9" s="106" t="n">
        <f aca="false">Model!CB178</f>
        <v>28985.7633607835</v>
      </c>
      <c r="F9" s="106" t="n">
        <f aca="false">Model!CC178</f>
        <v>30884.5660463841</v>
      </c>
      <c r="G9" s="106" t="n">
        <f aca="false">Model!CD178</f>
        <v>33073.0362207654</v>
      </c>
      <c r="H9" s="106" t="n">
        <f aca="false">Model!CE178</f>
        <v>35433.882949137</v>
      </c>
      <c r="I9" s="107" t="n">
        <f aca="false">IFERROR((H9/C9)^(1/5)-1,"n/m")</f>
        <v>0.0759938487380838</v>
      </c>
      <c r="N9" s="104" t="s">
        <v>317</v>
      </c>
      <c r="O9" s="105" t="n">
        <v>24568</v>
      </c>
      <c r="P9" s="106" t="n">
        <v>26621.259</v>
      </c>
      <c r="Q9" s="106" t="n">
        <v>29702.4536874713</v>
      </c>
      <c r="R9" s="106" t="n">
        <v>32395.8071958736</v>
      </c>
      <c r="S9" s="106" t="n">
        <v>35464.9385547807</v>
      </c>
      <c r="T9" s="106" t="n">
        <v>38800.7188238117</v>
      </c>
      <c r="U9" s="107" t="n">
        <v>0.095705883390081</v>
      </c>
      <c r="Z9" s="104" t="s">
        <v>317</v>
      </c>
      <c r="AA9" s="105" t="n">
        <v>24568</v>
      </c>
      <c r="AB9" s="106" t="n">
        <v>26375.579</v>
      </c>
      <c r="AC9" s="106" t="n">
        <v>28168.3784010972</v>
      </c>
      <c r="AD9" s="106" t="n">
        <v>29224.2884706659</v>
      </c>
      <c r="AE9" s="106" t="n">
        <v>30495.9308686213</v>
      </c>
      <c r="AF9" s="106" t="n">
        <v>31860.7249020386</v>
      </c>
      <c r="AG9" s="107" t="n">
        <v>0.0533608423695255</v>
      </c>
    </row>
    <row r="10" customFormat="false" ht="15" hidden="false" customHeight="true" outlineLevel="0" collapsed="false">
      <c r="B10" s="108" t="s">
        <v>680</v>
      </c>
      <c r="C10" s="109"/>
      <c r="D10" s="110" t="n">
        <f aca="false">IFERROR(D9/C9-1,"")</f>
        <v>0.0785745278410941</v>
      </c>
      <c r="E10" s="110" t="n">
        <f aca="false">IFERROR(E9/D9-1,"")</f>
        <v>0.0938676515298342</v>
      </c>
      <c r="F10" s="110" t="n">
        <f aca="false">IFERROR(F9/E9-1,"")</f>
        <v>0.0655081138269944</v>
      </c>
      <c r="G10" s="110" t="n">
        <f aca="false">IFERROR(G9/F9-1,"")</f>
        <v>0.0708596705258719</v>
      </c>
      <c r="H10" s="110" t="n">
        <f aca="false">IFERROR(H9/G9-1,"")</f>
        <v>0.0713828241414765</v>
      </c>
      <c r="N10" s="108" t="s">
        <v>680</v>
      </c>
      <c r="O10" s="109"/>
      <c r="P10" s="110" t="n">
        <v>0.083574527841094</v>
      </c>
      <c r="Q10" s="110" t="n">
        <v>0.115741884614524</v>
      </c>
      <c r="R10" s="110" t="n">
        <v>0.0906778118986962</v>
      </c>
      <c r="S10" s="110" t="n">
        <v>0.0947385363899187</v>
      </c>
      <c r="T10" s="110" t="n">
        <v>0.0940585379523051</v>
      </c>
      <c r="Z10" s="108" t="s">
        <v>680</v>
      </c>
      <c r="AA10" s="109"/>
      <c r="AB10" s="110" t="n">
        <v>0.0735745278410942</v>
      </c>
      <c r="AC10" s="110" t="n">
        <v>0.0679719448470586</v>
      </c>
      <c r="AD10" s="110" t="n">
        <v>0.0374856533994707</v>
      </c>
      <c r="AE10" s="110" t="n">
        <v>0.0435132030410861</v>
      </c>
      <c r="AF10" s="110" t="n">
        <v>0.0447533160832814</v>
      </c>
    </row>
    <row r="11" customFormat="false" ht="15" hidden="false" customHeight="true" outlineLevel="0" collapsed="false">
      <c r="B11" s="104" t="s">
        <v>681</v>
      </c>
      <c r="C11" s="111" t="n">
        <f aca="false">Model!BV275</f>
        <v>0.02</v>
      </c>
      <c r="D11" s="112" t="n">
        <f aca="false">Model!CA275</f>
        <v>0.035</v>
      </c>
      <c r="E11" s="112" t="n">
        <f aca="false">Model!CB275</f>
        <v>0.0474060865132837</v>
      </c>
      <c r="F11" s="112" t="n">
        <f aca="false">Model!CC275</f>
        <v>0.0560206976573011</v>
      </c>
      <c r="G11" s="112" t="n">
        <f aca="false">Model!CD275</f>
        <v>0.0572412178861838</v>
      </c>
      <c r="H11" s="112" t="n">
        <f aca="false">Model!CE275</f>
        <v>0.0567454420929929</v>
      </c>
      <c r="N11" s="104" t="s">
        <v>681</v>
      </c>
      <c r="O11" s="111" t="n">
        <v>0.02</v>
      </c>
      <c r="P11" s="112" t="n">
        <v>0.04</v>
      </c>
      <c r="Q11" s="112" t="n">
        <v>0.063354709823613</v>
      </c>
      <c r="R11" s="112" t="n">
        <v>0.0724974956971502</v>
      </c>
      <c r="S11" s="112" t="n">
        <v>0.0730844996265019</v>
      </c>
      <c r="T11" s="112" t="n">
        <v>0.0720126329394154</v>
      </c>
      <c r="Z11" s="104" t="s">
        <v>681</v>
      </c>
      <c r="AA11" s="111" t="n">
        <v>0.02</v>
      </c>
      <c r="AB11" s="112" t="n">
        <v>0.03</v>
      </c>
      <c r="AC11" s="112" t="n">
        <v>0.0266404204434892</v>
      </c>
      <c r="AD11" s="112" t="n">
        <v>0.033994741287558</v>
      </c>
      <c r="AE11" s="112" t="n">
        <v>0.0355289767162075</v>
      </c>
      <c r="AF11" s="112" t="n">
        <v>0.035388132209066</v>
      </c>
    </row>
    <row r="12" customFormat="false" ht="15" hidden="false" customHeight="true" outlineLevel="0" collapsed="false">
      <c r="B12" s="104" t="s">
        <v>682</v>
      </c>
      <c r="C12" s="105" t="n">
        <f aca="false">Model!BV227</f>
        <v>7689</v>
      </c>
      <c r="D12" s="106" t="n">
        <f aca="false">Model!CA227</f>
        <v>8416.50950425133</v>
      </c>
      <c r="E12" s="106" t="n">
        <f aca="false">Model!CB227</f>
        <v>9261.62017730247</v>
      </c>
      <c r="F12" s="106" t="n">
        <f aca="false">Model!CC227</f>
        <v>10055.0477723079</v>
      </c>
      <c r="G12" s="106" t="n">
        <f aca="false">Model!CD227</f>
        <v>10953.254345309</v>
      </c>
      <c r="H12" s="106" t="n">
        <f aca="false">Model!CE227</f>
        <v>11919.9239821937</v>
      </c>
      <c r="I12" s="107" t="n">
        <f aca="false">IFERROR((H12/C12)^(1/5)-1,"n/m")</f>
        <v>0.0916432279918746</v>
      </c>
      <c r="N12" s="104" t="s">
        <v>682</v>
      </c>
      <c r="O12" s="105" t="n">
        <v>7689</v>
      </c>
      <c r="P12" s="106" t="n">
        <v>8478.53619856293</v>
      </c>
      <c r="Q12" s="106" t="n">
        <v>9760.66379964649</v>
      </c>
      <c r="R12" s="106" t="n">
        <v>10823.1604609568</v>
      </c>
      <c r="S12" s="106" t="n">
        <v>12026.3822503767</v>
      </c>
      <c r="T12" s="106" t="n">
        <v>13337.5558500043</v>
      </c>
      <c r="U12" s="107" t="n">
        <v>0.116455141387198</v>
      </c>
      <c r="Z12" s="104" t="s">
        <v>682</v>
      </c>
      <c r="AA12" s="105" t="n">
        <v>7689</v>
      </c>
      <c r="AB12" s="106" t="n">
        <v>8354.38068814847</v>
      </c>
      <c r="AC12" s="106" t="n">
        <v>8610.4472484412</v>
      </c>
      <c r="AD12" s="106" t="n">
        <v>9120.71525094168</v>
      </c>
      <c r="AE12" s="106" t="n">
        <v>9703.09388201915</v>
      </c>
      <c r="AF12" s="106" t="n">
        <v>10319.1837114537</v>
      </c>
      <c r="AG12" s="107" t="n">
        <v>0.060608483676426</v>
      </c>
    </row>
    <row r="13" customFormat="false" ht="15" hidden="false" customHeight="true" outlineLevel="0" collapsed="false">
      <c r="B13" s="108" t="s">
        <v>683</v>
      </c>
      <c r="C13" s="113" t="n">
        <f aca="false">IFERROR(C12/C9,"")</f>
        <v>0.312968088570498</v>
      </c>
      <c r="D13" s="114" t="n">
        <f aca="false">IFERROR(D12/D9,"")</f>
        <v>0.317623081748814</v>
      </c>
      <c r="E13" s="114" t="n">
        <f aca="false">IFERROR(E12/E9,"")</f>
        <v>0.319523072827988</v>
      </c>
      <c r="F13" s="114" t="n">
        <f aca="false">IFERROR(F12/F9,"")</f>
        <v>0.325568692051774</v>
      </c>
      <c r="G13" s="114" t="n">
        <f aca="false">IFERROR(G12/G9,"")</f>
        <v>0.331183816091001</v>
      </c>
      <c r="H13" s="114" t="n">
        <f aca="false">IFERROR(H12/H9,"")</f>
        <v>0.33639903363975</v>
      </c>
      <c r="J13" s="115" t="n">
        <f aca="false">IFERROR(AVERAGE(Model!C228,Model!D228,Model!E228,Model!F228,Model!G228,Model!H228,Model!I228,Model!N228,Model!S228,Model!X228,Model!AC228,Model!AH228,Model!AM228,Model!AR228,Model!AW228,Model!BB228,Model!BG228,Model!BL228,Model!BQ228,Model!BV228),"")</f>
        <v>0.24791444790241</v>
      </c>
      <c r="K13" s="115" t="n">
        <f aca="false">IFERROR(MIN(Model!C228,Model!D228,Model!E228,Model!F228,Model!G228,Model!H228,Model!I228,Model!N228,Model!S228,Model!X228,Model!AC228,Model!AH228,Model!AM228,Model!AR228,Model!AW228,Model!BB228,Model!BG228,Model!BL228,Model!BQ228,Model!BV228),"")</f>
        <v>0.179420468667579</v>
      </c>
      <c r="L13" s="115" t="n">
        <f aca="false">IFERROR(MAX(Model!C228,Model!D228,Model!E228,Model!F228,Model!G228,Model!H228,Model!I228,Model!N228,Model!S228,Model!X228,Model!AC228,Model!AH228,Model!AM228,Model!AR228,Model!AW228,Model!BB228,Model!BG228,Model!BL228,Model!BQ228,Model!BV228),"")</f>
        <v>0.366662913335585</v>
      </c>
      <c r="N13" s="108" t="s">
        <v>683</v>
      </c>
      <c r="O13" s="113" t="n">
        <v>0.312968088570498</v>
      </c>
      <c r="P13" s="114" t="n">
        <v>0.31848742385035</v>
      </c>
      <c r="Q13" s="114" t="n">
        <v>0.328614730026954</v>
      </c>
      <c r="R13" s="114" t="n">
        <v>0.334091396319194</v>
      </c>
      <c r="S13" s="114" t="n">
        <v>0.339106248042704</v>
      </c>
      <c r="T13" s="114" t="n">
        <v>0.343745071078919</v>
      </c>
      <c r="V13" s="115" t="n">
        <v>0.24791444790241</v>
      </c>
      <c r="W13" s="115" t="n">
        <v>0.179420468667579</v>
      </c>
      <c r="X13" s="115" t="n">
        <v>0.366662913335585</v>
      </c>
      <c r="Z13" s="108" t="s">
        <v>683</v>
      </c>
      <c r="AA13" s="113" t="n">
        <v>0.312968088570498</v>
      </c>
      <c r="AB13" s="114" t="n">
        <v>0.316746816748496</v>
      </c>
      <c r="AC13" s="114" t="n">
        <v>0.305677775476979</v>
      </c>
      <c r="AD13" s="114" t="n">
        <v>0.312093663464097</v>
      </c>
      <c r="AE13" s="114" t="n">
        <v>0.318176674908558</v>
      </c>
      <c r="AF13" s="114" t="n">
        <v>0.323884147117865</v>
      </c>
      <c r="AH13" s="115" t="n">
        <v>0.24791444790241</v>
      </c>
      <c r="AI13" s="115" t="n">
        <v>0.179420468667579</v>
      </c>
      <c r="AJ13" s="115" t="n">
        <v>0.366662913335585</v>
      </c>
    </row>
    <row r="15" customFormat="false" ht="15" hidden="false" customHeight="true" outlineLevel="0" collapsed="false">
      <c r="B15" s="104" t="s">
        <v>684</v>
      </c>
      <c r="C15" s="105" t="n">
        <f aca="false">Model!BV185</f>
        <v>4690</v>
      </c>
      <c r="D15" s="106" t="n">
        <f aca="false">Model!CA185</f>
        <v>5517.70752397956</v>
      </c>
      <c r="E15" s="106" t="n">
        <f aca="false">Model!CB185</f>
        <v>6453.52817978484</v>
      </c>
      <c r="F15" s="106" t="n">
        <f aca="false">Model!CC185</f>
        <v>7148.09289153666</v>
      </c>
      <c r="G15" s="106" t="n">
        <f aca="false">Model!CD185</f>
        <v>7918.45688913192</v>
      </c>
      <c r="H15" s="106" t="n">
        <f aca="false">Model!CE185</f>
        <v>8945.27361077044</v>
      </c>
      <c r="I15" s="107" t="n">
        <f aca="false">IFERROR((H15/C15)^(1/5)-1,"n/m")</f>
        <v>0.137847755716744</v>
      </c>
      <c r="N15" s="104" t="s">
        <v>684</v>
      </c>
      <c r="O15" s="105" t="n">
        <v>4690</v>
      </c>
      <c r="P15" s="106" t="n">
        <v>5575.82256472207</v>
      </c>
      <c r="Q15" s="106" t="n">
        <v>6910.35440200155</v>
      </c>
      <c r="R15" s="106" t="n">
        <v>7809.35710455139</v>
      </c>
      <c r="S15" s="106" t="n">
        <v>8817.43582184517</v>
      </c>
      <c r="T15" s="106" t="n">
        <v>10118.5335664661</v>
      </c>
      <c r="U15" s="107" t="n">
        <v>0.166242722740492</v>
      </c>
      <c r="Z15" s="104" t="s">
        <v>684</v>
      </c>
      <c r="AA15" s="105" t="n">
        <v>4690</v>
      </c>
      <c r="AB15" s="106" t="n">
        <v>5459.49036144578</v>
      </c>
      <c r="AC15" s="106" t="n">
        <v>5841.02751800718</v>
      </c>
      <c r="AD15" s="106" t="n">
        <v>6305.2289750177</v>
      </c>
      <c r="AE15" s="106" t="n">
        <v>6814.85335842523</v>
      </c>
      <c r="AF15" s="106" t="n">
        <v>7548.63457282382</v>
      </c>
      <c r="AG15" s="107" t="n">
        <v>0.0998643154806689</v>
      </c>
    </row>
    <row r="16" customFormat="false" ht="15" hidden="false" customHeight="true" outlineLevel="0" collapsed="false">
      <c r="B16" s="108" t="s">
        <v>685</v>
      </c>
      <c r="C16" s="109"/>
      <c r="D16" s="110" t="n">
        <f aca="false">IFERROR(D15/C15-1,"")</f>
        <v>0.176483480592656</v>
      </c>
      <c r="E16" s="110" t="n">
        <f aca="false">IFERROR(E15/D15-1,"")</f>
        <v>0.169603164310228</v>
      </c>
      <c r="F16" s="110" t="n">
        <f aca="false">IFERROR(F15/E15-1,"")</f>
        <v>0.107625579745276</v>
      </c>
      <c r="G16" s="110" t="n">
        <f aca="false">IFERROR(G15/F15-1,"")</f>
        <v>0.107771962296037</v>
      </c>
      <c r="H16" s="110" t="n">
        <f aca="false">IFERROR(H15/G15-1,"")</f>
        <v>0.129673841256599</v>
      </c>
      <c r="N16" s="108" t="s">
        <v>685</v>
      </c>
      <c r="O16" s="109"/>
      <c r="P16" s="110" t="n">
        <v>0.188874747275494</v>
      </c>
      <c r="Q16" s="110" t="n">
        <v>0.239342594171305</v>
      </c>
      <c r="R16" s="110" t="n">
        <v>0.130095021217646</v>
      </c>
      <c r="S16" s="110" t="n">
        <v>0.12908600590262</v>
      </c>
      <c r="T16" s="110" t="n">
        <v>0.147559650096628</v>
      </c>
      <c r="Z16" s="108" t="s">
        <v>685</v>
      </c>
      <c r="AA16" s="109"/>
      <c r="AB16" s="110" t="n">
        <v>0.164070439540679</v>
      </c>
      <c r="AC16" s="110" t="n">
        <v>0.0698851232077935</v>
      </c>
      <c r="AD16" s="110" t="n">
        <v>0.0794725680677662</v>
      </c>
      <c r="AE16" s="110" t="n">
        <v>0.0808256742818911</v>
      </c>
      <c r="AF16" s="110" t="n">
        <v>0.107673808342687</v>
      </c>
    </row>
    <row r="17" customFormat="false" ht="15" hidden="false" customHeight="true" outlineLevel="0" collapsed="false">
      <c r="B17" s="108" t="s">
        <v>686</v>
      </c>
      <c r="C17" s="113" t="n">
        <f aca="false">IFERROR(C15/C9,"")</f>
        <v>0.190898730055357</v>
      </c>
      <c r="D17" s="114" t="n">
        <f aca="false">IFERROR(D15/D9,"")</f>
        <v>0.208227801212576</v>
      </c>
      <c r="E17" s="114" t="n">
        <f aca="false">IFERROR(E15/E9,"")</f>
        <v>0.222644754925316</v>
      </c>
      <c r="F17" s="114" t="n">
        <f aca="false">IFERROR(F15/F9,"")</f>
        <v>0.231445469585076</v>
      </c>
      <c r="G17" s="114" t="n">
        <f aca="false">IFERROR(G15/G9,"")</f>
        <v>0.239423342818468</v>
      </c>
      <c r="H17" s="114" t="n">
        <f aca="false">IFERROR(H15/H9,"")</f>
        <v>0.252449713840586</v>
      </c>
      <c r="J17" s="115" t="n">
        <f aca="false">IFERROR(AVERAGE(Model!C288,Model!D288,Model!E288,Model!F288,Model!G288,Model!H288,Model!I288,Model!N288,Model!S288,Model!X288,Model!AC288,Model!AH288,Model!AM288,Model!AR288,Model!AW288,Model!BB288,Model!BG288,Model!BL288,Model!BQ288,Model!BV288),"")</f>
        <v>0.181147676418898</v>
      </c>
      <c r="K17" s="115" t="n">
        <f aca="false">IFERROR(MIN(Model!C288,Model!D288,Model!E288,Model!F288,Model!G288,Model!H288,Model!I288,Model!N288,Model!S288,Model!X288,Model!AC288,Model!AH288,Model!AM288,Model!AR288,Model!AW288,Model!BB288,Model!BG288,Model!BL288,Model!BQ288,Model!BV288),"")</f>
        <v>0.13790020474032</v>
      </c>
      <c r="L17" s="115" t="n">
        <f aca="false">IFERROR(MAX(Model!C288,Model!D288,Model!E288,Model!F288,Model!G288,Model!H288,Model!I288,Model!N288,Model!S288,Model!X288,Model!AC288,Model!AH288,Model!AM288,Model!AR288,Model!AW288,Model!BB288,Model!BG288,Model!BL288,Model!BQ288,Model!BV288),"")</f>
        <v>0.282851030289382</v>
      </c>
      <c r="N17" s="108" t="s">
        <v>686</v>
      </c>
      <c r="O17" s="113" t="n">
        <v>0.190898730055357</v>
      </c>
      <c r="P17" s="114" t="n">
        <v>0.209449995010456</v>
      </c>
      <c r="Q17" s="114" t="n">
        <v>0.232652644616912</v>
      </c>
      <c r="R17" s="114" t="n">
        <v>0.241060735339421</v>
      </c>
      <c r="S17" s="114" t="n">
        <v>0.248624026465614</v>
      </c>
      <c r="T17" s="114" t="n">
        <v>0.260782116238951</v>
      </c>
      <c r="V17" s="115" t="n">
        <v>0.181147676418898</v>
      </c>
      <c r="W17" s="115" t="n">
        <v>0.13790020474032</v>
      </c>
      <c r="X17" s="115" t="n">
        <v>0.282851030289382</v>
      </c>
      <c r="Z17" s="108" t="s">
        <v>686</v>
      </c>
      <c r="AA17" s="113" t="n">
        <v>0.190898730055357</v>
      </c>
      <c r="AB17" s="114" t="n">
        <v>0.206990351242935</v>
      </c>
      <c r="AC17" s="114" t="n">
        <v>0.207361156358921</v>
      </c>
      <c r="AD17" s="114" t="n">
        <v>0.215753036428812</v>
      </c>
      <c r="AE17" s="114" t="n">
        <v>0.223467628772643</v>
      </c>
      <c r="AF17" s="114" t="n">
        <v>0.236926014584836</v>
      </c>
      <c r="AH17" s="115" t="n">
        <v>0.181147676418898</v>
      </c>
      <c r="AI17" s="115" t="n">
        <v>0.13790020474032</v>
      </c>
      <c r="AJ17" s="115" t="n">
        <v>0.282851030289382</v>
      </c>
    </row>
    <row r="19" customFormat="false" ht="15" hidden="false" customHeight="true" outlineLevel="0" collapsed="false">
      <c r="B19" s="104" t="s">
        <v>687</v>
      </c>
      <c r="C19" s="105" t="n">
        <f aca="false">Model!BV262</f>
        <v>5582.678</v>
      </c>
      <c r="D19" s="106" t="n">
        <f aca="false">Model!CA262</f>
        <v>6035.14524490303</v>
      </c>
      <c r="E19" s="106" t="n">
        <f aca="false">Model!CB262</f>
        <v>6579.93814620999</v>
      </c>
      <c r="F19" s="106" t="n">
        <f aca="false">Model!CC262</f>
        <v>7228.86260181243</v>
      </c>
      <c r="G19" s="106" t="n">
        <f aca="false">Model!CD262</f>
        <v>7848.63009209538</v>
      </c>
      <c r="H19" s="106" t="n">
        <f aca="false">Model!CE262</f>
        <v>8535.56304160914</v>
      </c>
      <c r="I19" s="107" t="n">
        <f aca="false">IFERROR((H19/C19)^(1/5)-1,"n/m")</f>
        <v>0.0886240361081105</v>
      </c>
      <c r="N19" s="104" t="s">
        <v>687</v>
      </c>
      <c r="O19" s="105" t="n">
        <v>5582.678</v>
      </c>
      <c r="P19" s="106" t="n">
        <v>6083.38072871932</v>
      </c>
      <c r="Q19" s="106" t="n">
        <v>6966.54700969122</v>
      </c>
      <c r="R19" s="106" t="n">
        <v>7754.42614229832</v>
      </c>
      <c r="S19" s="106" t="n">
        <v>8589.76078477724</v>
      </c>
      <c r="T19" s="106" t="n">
        <v>9518.64713885242</v>
      </c>
      <c r="U19" s="107" t="n">
        <v>0.112619147691786</v>
      </c>
      <c r="Z19" s="104" t="s">
        <v>687</v>
      </c>
      <c r="AA19" s="105" t="n">
        <v>5582.678</v>
      </c>
      <c r="AB19" s="106" t="n">
        <v>5986.825</v>
      </c>
      <c r="AC19" s="106" t="n">
        <v>6069.65093890621</v>
      </c>
      <c r="AD19" s="106" t="n">
        <v>6555.93905422797</v>
      </c>
      <c r="AE19" s="106" t="n">
        <v>6975.76859376649</v>
      </c>
      <c r="AF19" s="106" t="n">
        <v>7409.24716286812</v>
      </c>
      <c r="AG19" s="107" t="n">
        <v>0.0582451839191409</v>
      </c>
    </row>
    <row r="21" customFormat="false" ht="15" hidden="false" customHeight="true" outlineLevel="0" collapsed="false">
      <c r="B21" s="104" t="s">
        <v>688</v>
      </c>
      <c r="C21" s="116" t="n">
        <f aca="false">Model!BV209</f>
        <v>716.1</v>
      </c>
      <c r="D21" s="117" t="n">
        <f aca="false">Model!CA209</f>
        <v>707.934926088332</v>
      </c>
      <c r="E21" s="117" t="n">
        <f aca="false">Model!CB209</f>
        <v>701.439012761656</v>
      </c>
      <c r="F21" s="117" t="n">
        <f aca="false">Model!CC209</f>
        <v>689.620624570953</v>
      </c>
      <c r="G21" s="117" t="n">
        <f aca="false">Model!CD209</f>
        <v>670.810537580367</v>
      </c>
      <c r="H21" s="117" t="n">
        <f aca="false">Model!CE209</f>
        <v>651.666263676127</v>
      </c>
      <c r="I21" s="107" t="n">
        <f aca="false">IFERROR((H21/C21)^(1/5)-1,"n/m")</f>
        <v>-0.0186807619770221</v>
      </c>
      <c r="N21" s="104" t="s">
        <v>688</v>
      </c>
      <c r="O21" s="116" t="n">
        <v>716.1</v>
      </c>
      <c r="P21" s="117" t="n">
        <v>707.369852176665</v>
      </c>
      <c r="Q21" s="117" t="n">
        <v>695.12895663998</v>
      </c>
      <c r="R21" s="117" t="n">
        <v>679.511353279146</v>
      </c>
      <c r="S21" s="117" t="n">
        <v>660.574424685933</v>
      </c>
      <c r="T21" s="117" t="n">
        <v>640.079805865784</v>
      </c>
      <c r="U21" s="107" t="n">
        <v>-0.0221953676771549</v>
      </c>
      <c r="Z21" s="104" t="s">
        <v>688</v>
      </c>
      <c r="AA21" s="116" t="n">
        <v>716.1</v>
      </c>
      <c r="AB21" s="117" t="n">
        <v>708.5</v>
      </c>
      <c r="AC21" s="117" t="n">
        <v>706.9</v>
      </c>
      <c r="AD21" s="117" t="n">
        <v>701.15759545571</v>
      </c>
      <c r="AE21" s="117" t="n">
        <v>686.528374272572</v>
      </c>
      <c r="AF21" s="117" t="n">
        <v>670.505983517882</v>
      </c>
      <c r="AG21" s="107" t="n">
        <v>-0.0130712583584721</v>
      </c>
    </row>
    <row r="23" customFormat="false" ht="15" hidden="false" customHeight="true" outlineLevel="0" collapsed="false">
      <c r="B23" s="104" t="s">
        <v>689</v>
      </c>
      <c r="C23" s="118" t="n">
        <f aca="false">Model!BV266</f>
        <v>7.79594749336685</v>
      </c>
      <c r="D23" s="119" t="n">
        <f aca="false">Model!CA266</f>
        <v>8.525</v>
      </c>
      <c r="E23" s="119" t="n">
        <f aca="false">Model!CB266</f>
        <v>9.38062757630764</v>
      </c>
      <c r="F23" s="119" t="n">
        <f aca="false">Model!CC266</f>
        <v>10.4823758806661</v>
      </c>
      <c r="G23" s="119" t="n">
        <f aca="false">Model!CD266</f>
        <v>11.7002188433199</v>
      </c>
      <c r="H23" s="119" t="n">
        <f aca="false">Model!CE266</f>
        <v>13.0980588030735</v>
      </c>
      <c r="I23" s="107" t="n">
        <f aca="false">IFERROR((H23/C23)^(1/5)-1,"n/m")</f>
        <v>0.109347492566553</v>
      </c>
      <c r="N23" s="104" t="s">
        <v>689</v>
      </c>
      <c r="O23" s="118" t="n">
        <v>7.79594749336685</v>
      </c>
      <c r="P23" s="119" t="n">
        <v>8.6</v>
      </c>
      <c r="Q23" s="119" t="n">
        <v>10.0219490831819</v>
      </c>
      <c r="R23" s="119" t="n">
        <v>11.4117683315775</v>
      </c>
      <c r="S23" s="119" t="n">
        <v>13.0034716207204</v>
      </c>
      <c r="T23" s="119" t="n">
        <v>14.8710317863838</v>
      </c>
      <c r="U23" s="107" t="n">
        <v>0.137874694915977</v>
      </c>
      <c r="Z23" s="104" t="s">
        <v>689</v>
      </c>
      <c r="AA23" s="118" t="n">
        <v>7.79594749336685</v>
      </c>
      <c r="AB23" s="119" t="n">
        <v>8.45</v>
      </c>
      <c r="AC23" s="119" t="n">
        <v>8.58629359019127</v>
      </c>
      <c r="AD23" s="119" t="n">
        <v>9.35016477995509</v>
      </c>
      <c r="AE23" s="119" t="n">
        <v>10.1609326798151</v>
      </c>
      <c r="AF23" s="119" t="n">
        <v>11.050232727223</v>
      </c>
      <c r="AG23" s="107" t="n">
        <v>0.0722609842722735</v>
      </c>
    </row>
    <row r="24" customFormat="false" ht="15" hidden="false" customHeight="true" outlineLevel="0" collapsed="false">
      <c r="B24" s="108" t="s">
        <v>690</v>
      </c>
      <c r="C24" s="109"/>
      <c r="D24" s="110" t="n">
        <f aca="false">IFERROR(D23/C23-1,"")</f>
        <v>0.0935168569636291</v>
      </c>
      <c r="E24" s="110" t="n">
        <f aca="false">IFERROR(E23/D23-1,"")</f>
        <v>0.100366871121131</v>
      </c>
      <c r="F24" s="110" t="n">
        <f aca="false">IFERROR(F23/E23-1,"")</f>
        <v>0.117449317265413</v>
      </c>
      <c r="G24" s="110" t="n">
        <f aca="false">IFERROR(G23/F23-1,"")</f>
        <v>0.116180050831804</v>
      </c>
      <c r="H24" s="110" t="n">
        <f aca="false">IFERROR(H23/G23-1,"")</f>
        <v>0.119471266176503</v>
      </c>
      <c r="N24" s="108" t="s">
        <v>690</v>
      </c>
      <c r="O24" s="109"/>
      <c r="P24" s="110" t="n">
        <v>0.103137239869468</v>
      </c>
      <c r="Q24" s="110" t="n">
        <v>0.165342916649055</v>
      </c>
      <c r="R24" s="110" t="n">
        <v>0.138677540352696</v>
      </c>
      <c r="S24" s="110" t="n">
        <v>0.139479109888564</v>
      </c>
      <c r="T24" s="110" t="n">
        <v>0.143620120851994</v>
      </c>
      <c r="Z24" s="108" t="s">
        <v>690</v>
      </c>
      <c r="AA24" s="109"/>
      <c r="AB24" s="110" t="n">
        <v>0.083896474057791</v>
      </c>
      <c r="AC24" s="110" t="n">
        <v>0.0161294189575469</v>
      </c>
      <c r="AD24" s="110" t="n">
        <v>0.0889640194270127</v>
      </c>
      <c r="AE24" s="110" t="n">
        <v>0.0867116162057504</v>
      </c>
      <c r="AF24" s="110" t="n">
        <v>0.0875214978221939</v>
      </c>
    </row>
    <row r="26" customFormat="false" ht="15" hidden="false" customHeight="true" outlineLevel="0" collapsed="false">
      <c r="B26" s="108" t="s">
        <v>691</v>
      </c>
      <c r="C26" s="120"/>
      <c r="D26" s="120"/>
      <c r="E26" s="120"/>
      <c r="F26" s="120"/>
      <c r="G26" s="120" t="n">
        <v>23</v>
      </c>
      <c r="H26" s="120" t="n">
        <v>25</v>
      </c>
      <c r="N26" s="108" t="s">
        <v>691</v>
      </c>
      <c r="O26" s="120"/>
      <c r="P26" s="120"/>
      <c r="Q26" s="120"/>
      <c r="R26" s="120"/>
      <c r="S26" s="120" t="n">
        <v>27</v>
      </c>
      <c r="T26" s="120" t="n">
        <v>28</v>
      </c>
      <c r="Z26" s="108" t="s">
        <v>691</v>
      </c>
      <c r="AA26" s="120"/>
      <c r="AB26" s="120"/>
      <c r="AC26" s="120"/>
      <c r="AD26" s="120" t="n">
        <v>18</v>
      </c>
      <c r="AE26" s="120" t="n">
        <v>18</v>
      </c>
      <c r="AF26" s="120" t="n">
        <v>20</v>
      </c>
    </row>
    <row r="27" customFormat="false" ht="15" hidden="false" customHeight="true" outlineLevel="0" collapsed="false">
      <c r="B27" s="12" t="s">
        <v>692</v>
      </c>
      <c r="C27" s="121"/>
      <c r="D27" s="121"/>
      <c r="E27" s="121"/>
      <c r="F27" s="121"/>
      <c r="G27" s="121" t="n">
        <f aca="false">G26*G23</f>
        <v>269.105033396359</v>
      </c>
      <c r="H27" s="121" t="n">
        <f aca="false">H26*H23</f>
        <v>327.451470076839</v>
      </c>
      <c r="N27" s="12" t="s">
        <v>692</v>
      </c>
      <c r="O27" s="121"/>
      <c r="P27" s="121"/>
      <c r="Q27" s="121"/>
      <c r="R27" s="121"/>
      <c r="S27" s="121" t="n">
        <f aca="false">S26*S23</f>
        <v>351.093733759451</v>
      </c>
      <c r="T27" s="121" t="n">
        <f aca="false">T26*T23</f>
        <v>416.388890018746</v>
      </c>
      <c r="Z27" s="12" t="s">
        <v>692</v>
      </c>
      <c r="AA27" s="121"/>
      <c r="AB27" s="121"/>
      <c r="AC27" s="121"/>
      <c r="AD27" s="121" t="n">
        <f aca="false">AD26*AD23</f>
        <v>168.302966039192</v>
      </c>
      <c r="AE27" s="121" t="n">
        <f aca="false">AE26*AE23</f>
        <v>182.896788236672</v>
      </c>
      <c r="AF27" s="121" t="n">
        <f aca="false">AF26*AF23</f>
        <v>221.00465454446</v>
      </c>
    </row>
    <row r="28" customFormat="false" ht="15" hidden="false" customHeight="true" outlineLevel="0" collapsed="false">
      <c r="B28" s="1" t="s">
        <v>693</v>
      </c>
      <c r="E28" s="122"/>
      <c r="F28" s="122"/>
      <c r="G28" s="122" t="n">
        <f aca="false">IFERROR(G27/$K$2-1,"")</f>
        <v>0.216513870965863</v>
      </c>
      <c r="H28" s="122" t="n">
        <f aca="false">IFERROR(H27/$K$2-1,"")</f>
        <v>0.480274264621123</v>
      </c>
      <c r="N28" s="1" t="s">
        <v>693</v>
      </c>
      <c r="O28" s="122"/>
      <c r="P28" s="122"/>
      <c r="Q28" s="122"/>
      <c r="R28" s="122"/>
      <c r="S28" s="122" t="n">
        <f aca="false">IFERROR(S27/$K$2-1,"")</f>
        <v>0.587151275979616</v>
      </c>
      <c r="T28" s="122" t="n">
        <f aca="false">IFERROR(T27/$K$2-1,"")</f>
        <v>0.882323990862739</v>
      </c>
      <c r="Z28" s="1" t="s">
        <v>693</v>
      </c>
      <c r="AA28" s="122"/>
      <c r="AB28" s="122"/>
      <c r="AC28" s="122"/>
      <c r="AD28" s="122" t="n">
        <f aca="false">IFERROR(AD27/$K$2-1,"")</f>
        <v>-0.239171077079736</v>
      </c>
      <c r="AE28" s="122" t="n">
        <f aca="false">IFERROR(AE27/$K$2-1,"")</f>
        <v>-0.173198371517238</v>
      </c>
      <c r="AF28" s="122" t="n">
        <f aca="false">IFERROR(AF27/$K$2-1,"")</f>
        <v>-0.000928282878441378</v>
      </c>
    </row>
    <row r="29" customFormat="false" ht="15" hidden="false" customHeight="true" outlineLevel="0" collapsed="false">
      <c r="B29" s="98" t="s">
        <v>694</v>
      </c>
      <c r="C29" s="123"/>
      <c r="D29" s="123"/>
      <c r="E29" s="123"/>
      <c r="F29" s="123"/>
      <c r="G29" s="123" t="n">
        <f aca="false">IFERROR((G27/$K$2)^(1/((DATE(2029-1,12,31)-$K$3)/365.25))-1,"")</f>
        <v>0.091572639517878</v>
      </c>
      <c r="H29" s="123" t="n">
        <f aca="false">IFERROR((H27/$K$2)^(1/((DATE(2030-1,12,31)-$K$3)/365.25))-1,"")</f>
        <v>0.128853192872233</v>
      </c>
      <c r="N29" s="98" t="s">
        <v>694</v>
      </c>
      <c r="O29" s="123"/>
      <c r="P29" s="123"/>
      <c r="Q29" s="123"/>
      <c r="R29" s="123"/>
      <c r="S29" s="123" t="n">
        <f aca="false">IFERROR((S27/$K$2)^(1/((DATE(2029-1,12,31)-$K$3)/365.25))-1,"")</f>
        <v>0.229387840965177</v>
      </c>
      <c r="T29" s="123" t="n">
        <f aca="false">IFERROR((T27/$K$2)^(1/((DATE(2030-1,12,31)-$K$3)/365.25))-1,"")</f>
        <v>0.215859385134962</v>
      </c>
      <c r="Z29" s="98" t="s">
        <v>694</v>
      </c>
      <c r="AA29" s="123"/>
      <c r="AB29" s="123"/>
      <c r="AC29" s="123"/>
      <c r="AD29" s="123" t="n">
        <f aca="false">IFERROR((AD27/$K$2)^(1/((DATE(2028-1,12,31)-$K$3)/365.25))-1,"")</f>
        <v>-0.198583509368045</v>
      </c>
      <c r="AE29" s="123" t="n">
        <f aca="false">IFERROR((AE27/$K$2)^(1/((DATE(2029-1,12,31)-$K$3)/365.25))-1,"")</f>
        <v>-0.0815125312707898</v>
      </c>
      <c r="AF29" s="123" t="n">
        <f aca="false">IFERROR((AF27/$K$2)^(1/((DATE(2030-1,12,31)-$K$3)/365.25))-1,"")</f>
        <v>-0.000286940879100528</v>
      </c>
    </row>
    <row r="31" customFormat="false" ht="15" hidden="false" customHeight="true" outlineLevel="0" collapsed="false">
      <c r="B31" s="104" t="s">
        <v>695</v>
      </c>
      <c r="C31" s="105" t="n">
        <f aca="false">Model!BV325</f>
        <v>5293</v>
      </c>
      <c r="D31" s="106" t="n">
        <f aca="false">Model!CA325</f>
        <v>6480.44818641146</v>
      </c>
      <c r="E31" s="106" t="n">
        <f aca="false">Model!CB325</f>
        <v>6524.3546925543</v>
      </c>
      <c r="F31" s="106" t="n">
        <f aca="false">Model!CC325</f>
        <v>7169.06484213834</v>
      </c>
      <c r="G31" s="106" t="n">
        <f aca="false">Model!CD325</f>
        <v>7801.14363241824</v>
      </c>
      <c r="H31" s="106" t="n">
        <f aca="false">Model!CE325</f>
        <v>8476.17656574959</v>
      </c>
      <c r="I31" s="107" t="n">
        <f aca="false">IFERROR((H31/C31)^(1/5)-1,"n/m")</f>
        <v>0.0987518521613127</v>
      </c>
      <c r="N31" s="104" t="s">
        <v>695</v>
      </c>
      <c r="O31" s="105" t="n">
        <v>5293</v>
      </c>
      <c r="P31" s="106" t="n">
        <v>6538.24763641144</v>
      </c>
      <c r="Q31" s="106" t="n">
        <v>6940.53349076405</v>
      </c>
      <c r="R31" s="106" t="n">
        <v>7718.33806331457</v>
      </c>
      <c r="S31" s="106" t="n">
        <v>8573.85009542545</v>
      </c>
      <c r="T31" s="106" t="n">
        <v>9498.75259513135</v>
      </c>
      <c r="U31" s="107" t="n">
        <v>0.12406891095017</v>
      </c>
      <c r="Z31" s="104" t="s">
        <v>695</v>
      </c>
      <c r="AA31" s="105" t="n">
        <v>5293</v>
      </c>
      <c r="AB31" s="106" t="n">
        <v>6422.55754025294</v>
      </c>
      <c r="AC31" s="106" t="n">
        <v>5975.70925077558</v>
      </c>
      <c r="AD31" s="106" t="n">
        <v>6474.51048692693</v>
      </c>
      <c r="AE31" s="106" t="n">
        <v>6901.48706577694</v>
      </c>
      <c r="AF31" s="106" t="n">
        <v>7317.9185469599</v>
      </c>
      <c r="AG31" s="107" t="n">
        <v>0.0669329692295304</v>
      </c>
    </row>
    <row r="32" customFormat="false" ht="15" hidden="false" customHeight="true" outlineLevel="0" collapsed="false">
      <c r="B32" s="108" t="s">
        <v>696</v>
      </c>
      <c r="C32" s="113" t="n">
        <f aca="false">IFERROR(C31/C9,"")</f>
        <v>0.215442852491045</v>
      </c>
      <c r="D32" s="114" t="n">
        <f aca="false">IFERROR(D31/D9,"")</f>
        <v>0.244559805111824</v>
      </c>
      <c r="E32" s="114" t="n">
        <f aca="false">IFERROR(E31/E9,"")</f>
        <v>0.225088248025286</v>
      </c>
      <c r="F32" s="114" t="n">
        <f aca="false">IFERROR(F31/F9,"")</f>
        <v>0.232124512656952</v>
      </c>
      <c r="G32" s="114" t="n">
        <f aca="false">IFERROR(G31/G9,"")</f>
        <v>0.235876246146405</v>
      </c>
      <c r="H32" s="114" t="n">
        <f aca="false">IFERROR(H31/H9,"")</f>
        <v>0.239211056206191</v>
      </c>
      <c r="J32" s="115" t="n">
        <f aca="false">IFERROR(AVERAGE(Model!C329,Model!D329,Model!E329,Model!F329,Model!G329,Model!H329,Model!I329,Model!N329,Model!S329,Model!X329,Model!AC329,Model!AH329,Model!AM329,Model!AR329,Model!AW329,Model!BB329,Model!BG329,Model!BL329,Model!BQ329,Model!BV329),"")</f>
        <v>0.183093833085765</v>
      </c>
      <c r="K32" s="115" t="n">
        <f aca="false">IFERROR(MIN(Model!C329,Model!D329,Model!E329,Model!F329,Model!G329,Model!H329,Model!I329,Model!N329,Model!S329,Model!X329,Model!AC329,Model!AH329,Model!AM329,Model!AR329,Model!AW329,Model!BB329,Model!BG329,Model!BL329,Model!BQ329,Model!BV329),"")</f>
        <v>0.131230557196298</v>
      </c>
      <c r="L32" s="115" t="n">
        <f aca="false">IFERROR(MAX(Model!C329,Model!D329,Model!E329,Model!F329,Model!G329,Model!H329,Model!I329,Model!N329,Model!S329,Model!X329,Model!AC329,Model!AH329,Model!AM329,Model!AR329,Model!AW329,Model!BB329,Model!BG329,Model!BL329,Model!BQ329,Model!BV329),"")</f>
        <v>0.276845700559246</v>
      </c>
      <c r="N32" s="108" t="s">
        <v>696</v>
      </c>
      <c r="O32" s="113" t="n">
        <v>0.215442852491045</v>
      </c>
      <c r="P32" s="114" t="n">
        <v>0.245602495224266</v>
      </c>
      <c r="Q32" s="114" t="n">
        <v>0.233668691610202</v>
      </c>
      <c r="R32" s="114" t="n">
        <v>0.238251142089082</v>
      </c>
      <c r="S32" s="114" t="n">
        <v>0.241755673203322</v>
      </c>
      <c r="T32" s="114" t="n">
        <v>0.244808675794482</v>
      </c>
      <c r="V32" s="115" t="n">
        <v>0.183093833085765</v>
      </c>
      <c r="W32" s="115" t="n">
        <v>0.131230557196298</v>
      </c>
      <c r="X32" s="115" t="n">
        <v>0.276845700559246</v>
      </c>
      <c r="Z32" s="108" t="s">
        <v>696</v>
      </c>
      <c r="AA32" s="113" t="n">
        <v>0.215442852491045</v>
      </c>
      <c r="AB32" s="114" t="n">
        <v>0.243503945079383</v>
      </c>
      <c r="AC32" s="114" t="n">
        <v>0.212142465770866</v>
      </c>
      <c r="AD32" s="114" t="n">
        <v>0.221545530301816</v>
      </c>
      <c r="AE32" s="114" t="n">
        <v>0.226308457200702</v>
      </c>
      <c r="AF32" s="114" t="n">
        <v>0.229684621723458</v>
      </c>
      <c r="AH32" s="115" t="n">
        <v>0.183093833085765</v>
      </c>
      <c r="AI32" s="115" t="n">
        <v>0.131230557196298</v>
      </c>
      <c r="AJ32" s="115" t="n">
        <v>0.276845700559246</v>
      </c>
    </row>
    <row r="33" customFormat="false" ht="15" hidden="false" customHeight="true" outlineLevel="0" collapsed="false">
      <c r="B33" s="108" t="s">
        <v>697</v>
      </c>
      <c r="C33" s="124" t="n">
        <f aca="false">IFERROR(C31/C21,"")</f>
        <v>7.39142577852255</v>
      </c>
      <c r="D33" s="125" t="n">
        <f aca="false">IFERROR(D31/D21,"")</f>
        <v>9.15401677131389</v>
      </c>
      <c r="E33" s="125" t="n">
        <f aca="false">IFERROR(E31/E21,"")</f>
        <v>9.30138554293848</v>
      </c>
      <c r="F33" s="125" t="n">
        <f aca="false">IFERROR(F31/F21,"")</f>
        <v>10.3956647854008</v>
      </c>
      <c r="G33" s="125" t="n">
        <f aca="false">IFERROR(G31/G21,"")</f>
        <v>11.6294291687146</v>
      </c>
      <c r="H33" s="125" t="n">
        <f aca="false">IFERROR(H31/H21,"")</f>
        <v>13.0069286047347</v>
      </c>
      <c r="N33" s="108" t="s">
        <v>697</v>
      </c>
      <c r="O33" s="124" t="n">
        <v>7.39142577852255</v>
      </c>
      <c r="P33" s="125" t="n">
        <v>9.24303971436222</v>
      </c>
      <c r="Q33" s="125" t="n">
        <v>9.98452650327251</v>
      </c>
      <c r="R33" s="125" t="n">
        <v>11.3586594632567</v>
      </c>
      <c r="S33" s="125" t="n">
        <v>12.9793854787851</v>
      </c>
      <c r="T33" s="125" t="n">
        <v>14.8399504375601</v>
      </c>
      <c r="Z33" s="108" t="s">
        <v>697</v>
      </c>
      <c r="AA33" s="124" t="n">
        <v>7.39142577852255</v>
      </c>
      <c r="AB33" s="125" t="n">
        <v>9.06500711397733</v>
      </c>
      <c r="AC33" s="125" t="n">
        <v>8.45340111865268</v>
      </c>
      <c r="AD33" s="125" t="n">
        <v>9.23403030772119</v>
      </c>
      <c r="AE33" s="125" t="n">
        <v>10.0527339064312</v>
      </c>
      <c r="AF33" s="125" t="n">
        <v>10.9140242247588</v>
      </c>
    </row>
    <row r="34" customFormat="false" ht="15" hidden="false" customHeight="true" outlineLevel="0" collapsed="false">
      <c r="B34" s="108" t="s">
        <v>698</v>
      </c>
      <c r="E34" s="126"/>
      <c r="F34" s="126" t="str">
        <f aca="false">IFERROR(F33/F$27,"")</f>
        <v/>
      </c>
      <c r="G34" s="126" t="n">
        <f aca="false">IFERROR(G33/G$27,"")</f>
        <v>0.0432152049403917</v>
      </c>
      <c r="H34" s="126" t="n">
        <f aca="false">IFERROR(H33/H$27,"")</f>
        <v>0.0397216986128739</v>
      </c>
      <c r="N34" s="108" t="s">
        <v>698</v>
      </c>
      <c r="Q34" s="126"/>
      <c r="R34" s="126" t="str">
        <f aca="false">IFERROR(R33/R$27,"")</f>
        <v/>
      </c>
      <c r="S34" s="126" t="n">
        <f aca="false">IFERROR(S33/S$27,"")</f>
        <v>0.036968433870363</v>
      </c>
      <c r="T34" s="126" t="n">
        <f aca="false">IFERROR(T33/T$27,"")</f>
        <v>0.0356396407139777</v>
      </c>
      <c r="Z34" s="108" t="s">
        <v>698</v>
      </c>
      <c r="AC34" s="126"/>
      <c r="AD34" s="126" t="n">
        <f aca="false">IFERROR(AD33/AD$27,"")</f>
        <v>0.0548655233180556</v>
      </c>
      <c r="AE34" s="126" t="n">
        <f aca="false">IFERROR(AE33/AE$27,"")</f>
        <v>0.0549639717752877</v>
      </c>
      <c r="AF34" s="126" t="n">
        <f aca="false">IFERROR(AF33/AF$27,"")</f>
        <v>0.0493836849149401</v>
      </c>
    </row>
    <row r="35" customFormat="false" ht="15" hidden="false" customHeight="true" outlineLevel="0" collapsed="false">
      <c r="B35" s="104" t="s">
        <v>699</v>
      </c>
      <c r="C35" s="105" t="n">
        <f aca="false">Model!BV231</f>
        <v>7689</v>
      </c>
      <c r="D35" s="106" t="n">
        <f aca="false">Model!CA231</f>
        <v>8604.86113651631</v>
      </c>
      <c r="E35" s="106" t="n">
        <f aca="false">Model!CB231</f>
        <v>9261.62017730247</v>
      </c>
      <c r="F35" s="106" t="n">
        <f aca="false">Model!CC231</f>
        <v>10055.0477723079</v>
      </c>
      <c r="G35" s="106" t="n">
        <f aca="false">Model!CD231</f>
        <v>10953.254345309</v>
      </c>
      <c r="H35" s="106" t="n">
        <f aca="false">Model!CE231</f>
        <v>11919.9239821937</v>
      </c>
      <c r="I35" s="107" t="n">
        <f aca="false">IFERROR((H35/C35)^(1/5)-1,"n/m")</f>
        <v>0.0916432279918746</v>
      </c>
      <c r="N35" s="104" t="s">
        <v>699</v>
      </c>
      <c r="O35" s="105" t="n">
        <v>7689</v>
      </c>
      <c r="P35" s="106" t="n">
        <v>8666.88783082792</v>
      </c>
      <c r="Q35" s="106" t="n">
        <v>9760.66379964649</v>
      </c>
      <c r="R35" s="106" t="n">
        <v>10823.1604609568</v>
      </c>
      <c r="S35" s="106" t="n">
        <v>12026.3822503767</v>
      </c>
      <c r="T35" s="106" t="n">
        <v>13337.5558500043</v>
      </c>
      <c r="U35" s="107" t="n">
        <v>0.116455141387198</v>
      </c>
      <c r="Z35" s="104" t="s">
        <v>699</v>
      </c>
      <c r="AA35" s="105" t="n">
        <v>7689</v>
      </c>
      <c r="AB35" s="106" t="n">
        <v>8542.73232041345</v>
      </c>
      <c r="AC35" s="106" t="n">
        <v>8610.4472484412</v>
      </c>
      <c r="AD35" s="106" t="n">
        <v>9120.71525094168</v>
      </c>
      <c r="AE35" s="106" t="n">
        <v>9703.09388201915</v>
      </c>
      <c r="AF35" s="106" t="n">
        <v>10319.1837114537</v>
      </c>
      <c r="AG35" s="107" t="n">
        <v>0.060608483676426</v>
      </c>
    </row>
    <row r="36" customFormat="false" ht="15" hidden="false" customHeight="true" outlineLevel="0" collapsed="false">
      <c r="B36" s="108" t="s">
        <v>700</v>
      </c>
      <c r="C36" s="113" t="n">
        <f aca="false">IFERROR(C35/C9,"")</f>
        <v>0.312968088570498</v>
      </c>
      <c r="D36" s="114" t="n">
        <f aca="false">IFERROR(D35/D9,"")</f>
        <v>0.324731114581452</v>
      </c>
      <c r="E36" s="114" t="n">
        <f aca="false">IFERROR(E35/E9,"")</f>
        <v>0.319523072827988</v>
      </c>
      <c r="F36" s="114" t="n">
        <f aca="false">IFERROR(F35/F9,"")</f>
        <v>0.325568692051774</v>
      </c>
      <c r="G36" s="114" t="n">
        <f aca="false">IFERROR(G35/G9,"")</f>
        <v>0.331183816091001</v>
      </c>
      <c r="H36" s="114" t="n">
        <f aca="false">IFERROR(H35/H9,"")</f>
        <v>0.33639903363975</v>
      </c>
      <c r="J36" s="115" t="n">
        <f aca="false">IFERROR(AVERAGE(Model!C286,Model!D286,Model!E286,Model!F286,Model!G286,Model!H286,Model!I286,Model!N286,Model!S286,Model!X286,Model!AC286,Model!AH286,Model!AM286,Model!AR286,Model!AW286,Model!BB286,Model!BG286,Model!BL286,Model!BQ286,Model!BV286),"")</f>
        <v>0.24791444790241</v>
      </c>
      <c r="K36" s="115" t="n">
        <f aca="false">IFERROR(MIN(Model!C286,Model!D286,Model!E286,Model!F286,Model!G286,Model!H286,Model!I286,Model!N286,Model!S286,Model!X286,Model!AC286,Model!AH286,Model!AM286,Model!AR286,Model!AW286,Model!BB286,Model!BG286,Model!BL286,Model!BQ286,Model!BV286),"")</f>
        <v>0.179420468667579</v>
      </c>
      <c r="L36" s="115" t="n">
        <f aca="false">IFERROR(MAX(Model!C286,Model!D286,Model!E286,Model!F286,Model!G286,Model!H286,Model!I286,Model!N286,Model!S286,Model!X286,Model!AC286,Model!AH286,Model!AM286,Model!AR286,Model!AW286,Model!BB286,Model!BG286,Model!BL286,Model!BQ286,Model!BV286),"")</f>
        <v>0.366662913335585</v>
      </c>
      <c r="N36" s="108" t="s">
        <v>700</v>
      </c>
      <c r="O36" s="113" t="n">
        <v>0.312968088570498</v>
      </c>
      <c r="P36" s="114" t="n">
        <v>0.325562657680011</v>
      </c>
      <c r="Q36" s="114" t="n">
        <v>0.328614730026954</v>
      </c>
      <c r="R36" s="114" t="n">
        <v>0.334091396319194</v>
      </c>
      <c r="S36" s="114" t="n">
        <v>0.339106248042704</v>
      </c>
      <c r="T36" s="114" t="n">
        <v>0.343745071078919</v>
      </c>
      <c r="V36" s="115" t="n">
        <v>0.24791444790241</v>
      </c>
      <c r="W36" s="115" t="n">
        <v>0.179420468667579</v>
      </c>
      <c r="X36" s="115" t="n">
        <v>0.366662913335585</v>
      </c>
      <c r="Z36" s="108" t="s">
        <v>700</v>
      </c>
      <c r="AA36" s="113" t="n">
        <v>0.312968088570498</v>
      </c>
      <c r="AB36" s="114" t="n">
        <v>0.323887954096229</v>
      </c>
      <c r="AC36" s="114" t="n">
        <v>0.305677775476979</v>
      </c>
      <c r="AD36" s="114" t="n">
        <v>0.312093663464097</v>
      </c>
      <c r="AE36" s="114" t="n">
        <v>0.318176674908558</v>
      </c>
      <c r="AF36" s="114" t="n">
        <v>0.323884147117865</v>
      </c>
      <c r="AH36" s="115" t="n">
        <v>0.24791444790241</v>
      </c>
      <c r="AI36" s="115" t="n">
        <v>0.179420468667579</v>
      </c>
      <c r="AJ36" s="115" t="n">
        <v>0.366662913335585</v>
      </c>
    </row>
    <row r="38" customFormat="false" ht="15" hidden="false" customHeight="true" outlineLevel="0" collapsed="false">
      <c r="B38" s="104" t="s">
        <v>701</v>
      </c>
      <c r="C38" s="105" t="n">
        <f aca="false">Model!BV459</f>
        <v>13803</v>
      </c>
      <c r="D38" s="106" t="n">
        <f aca="false">Model!CA459</f>
        <v>21167.8876953299</v>
      </c>
      <c r="E38" s="106" t="n">
        <f aca="false">Model!CB459</f>
        <v>18523.2403546049</v>
      </c>
      <c r="F38" s="106" t="n">
        <f aca="false">Model!CC459</f>
        <v>20110.0955446158</v>
      </c>
      <c r="G38" s="106" t="n">
        <f aca="false">Model!CD459</f>
        <v>21906.508690618</v>
      </c>
      <c r="H38" s="106" t="n">
        <f aca="false">Model!CE459</f>
        <v>23839.8479643874</v>
      </c>
      <c r="N38" s="104" t="s">
        <v>701</v>
      </c>
      <c r="O38" s="105" t="n">
        <v>13803</v>
      </c>
      <c r="P38" s="106" t="n">
        <v>21609.1841270712</v>
      </c>
      <c r="Q38" s="106" t="n">
        <v>21961.4935492046</v>
      </c>
      <c r="R38" s="106" t="n">
        <v>24352.1110371528</v>
      </c>
      <c r="S38" s="106" t="n">
        <v>27059.3600633476</v>
      </c>
      <c r="T38" s="106" t="n">
        <v>30009.5006625096</v>
      </c>
      <c r="Z38" s="104" t="s">
        <v>701</v>
      </c>
      <c r="AA38" s="105" t="n">
        <v>13803</v>
      </c>
      <c r="AB38" s="106" t="n">
        <v>20726.6824597471</v>
      </c>
      <c r="AC38" s="106" t="n">
        <v>16119.4852089715</v>
      </c>
      <c r="AD38" s="106" t="n">
        <v>15961.2516891479</v>
      </c>
      <c r="AE38" s="106" t="n">
        <v>16980.4142935335</v>
      </c>
      <c r="AF38" s="106" t="n">
        <v>18058.5714950439</v>
      </c>
    </row>
    <row r="39" customFormat="false" ht="15" hidden="false" customHeight="true" outlineLevel="0" collapsed="false">
      <c r="B39" s="108" t="s">
        <v>702</v>
      </c>
      <c r="C39" s="127" t="n">
        <f aca="false">IFERROR(C38/C35,"")</f>
        <v>1.79516191962544</v>
      </c>
      <c r="D39" s="128" t="n">
        <f aca="false">IFERROR(D38/D35,"")</f>
        <v>2.45999178365587</v>
      </c>
      <c r="E39" s="128" t="n">
        <f aca="false">IFERROR(E38/E35,"")</f>
        <v>2</v>
      </c>
      <c r="F39" s="128" t="n">
        <f aca="false">IFERROR(F38/F35,"")</f>
        <v>2</v>
      </c>
      <c r="G39" s="128" t="n">
        <f aca="false">IFERROR(G38/G35,"")</f>
        <v>2</v>
      </c>
      <c r="H39" s="128" t="n">
        <f aca="false">IFERROR(H38/H35,"")</f>
        <v>2</v>
      </c>
      <c r="N39" s="108" t="s">
        <v>702</v>
      </c>
      <c r="O39" s="127" t="n">
        <v>1.79516191962544</v>
      </c>
      <c r="P39" s="128" t="n">
        <v>2.49330377280387</v>
      </c>
      <c r="Q39" s="128" t="n">
        <v>2.25</v>
      </c>
      <c r="R39" s="128" t="n">
        <v>2.25</v>
      </c>
      <c r="S39" s="128" t="n">
        <v>2.25</v>
      </c>
      <c r="T39" s="128" t="n">
        <v>2.25</v>
      </c>
      <c r="Z39" s="108" t="s">
        <v>702</v>
      </c>
      <c r="AA39" s="127" t="n">
        <v>1.79516191962544</v>
      </c>
      <c r="AB39" s="128" t="n">
        <v>2.42623573844392</v>
      </c>
      <c r="AC39" s="128" t="n">
        <v>1.87208454379529</v>
      </c>
      <c r="AD39" s="128" t="n">
        <v>1.75</v>
      </c>
      <c r="AE39" s="128" t="n">
        <v>1.75</v>
      </c>
      <c r="AF39" s="128" t="n">
        <v>1.75</v>
      </c>
    </row>
    <row r="40" customFormat="false" ht="15" hidden="false" customHeight="true" outlineLevel="0" collapsed="false">
      <c r="B40" s="129" t="s">
        <v>703</v>
      </c>
      <c r="C40" s="127"/>
      <c r="D40" s="130" t="n">
        <f aca="false">Model!CA338</f>
        <v>500</v>
      </c>
      <c r="E40" s="130" t="n">
        <f aca="false">Model!CB338</f>
        <v>1515.1734721675</v>
      </c>
      <c r="F40" s="130" t="n">
        <f aca="false">Model!CC338</f>
        <v>5276.84104236413</v>
      </c>
      <c r="G40" s="130" t="n">
        <f aca="false">Model!CD338</f>
        <v>5524.10766301139</v>
      </c>
      <c r="H40" s="130" t="n">
        <f aca="false">Model!CE338</f>
        <v>6235.25777664038</v>
      </c>
      <c r="N40" s="129" t="s">
        <v>703</v>
      </c>
      <c r="O40" s="127"/>
      <c r="P40" s="130" t="n">
        <v>1000</v>
      </c>
      <c r="Q40" s="130" t="n">
        <v>3432.28715357371</v>
      </c>
      <c r="R40" s="130" t="n">
        <v>5149.93316640886</v>
      </c>
      <c r="S40" s="130" t="n">
        <v>5728.64514907299</v>
      </c>
      <c r="T40" s="130" t="n">
        <v>6799.4978915108</v>
      </c>
      <c r="Z40" s="108"/>
      <c r="AA40" s="127"/>
      <c r="AB40" s="128" t="n">
        <v>0</v>
      </c>
      <c r="AC40" s="128" t="n">
        <v>0</v>
      </c>
      <c r="AD40" s="128" t="n">
        <v>3820.42896710339</v>
      </c>
      <c r="AE40" s="128" t="n">
        <v>4816.50819959756</v>
      </c>
      <c r="AF40" s="128" t="n">
        <v>5181.93932521987</v>
      </c>
    </row>
    <row r="41" customFormat="false" ht="15" hidden="false" customHeight="true" outlineLevel="0" collapsed="false">
      <c r="B41" s="129" t="s">
        <v>704</v>
      </c>
      <c r="C41" s="127"/>
      <c r="D41" s="131" t="n">
        <f aca="false">Model!CA337</f>
        <v>221.21</v>
      </c>
      <c r="E41" s="131" t="n">
        <f aca="false">Model!CB337</f>
        <v>236.6947</v>
      </c>
      <c r="F41" s="131" t="n">
        <f aca="false">Model!CC337</f>
        <v>253.263329</v>
      </c>
      <c r="G41" s="131" t="n">
        <f aca="false">Model!CD337</f>
        <v>270.99176203</v>
      </c>
      <c r="H41" s="131" t="n">
        <f aca="false">Model!CE337</f>
        <v>289.9611853721</v>
      </c>
      <c r="N41" s="129" t="s">
        <v>704</v>
      </c>
      <c r="O41" s="127"/>
      <c r="P41" s="131" t="n">
        <v>221.21</v>
      </c>
      <c r="Q41" s="131" t="n">
        <v>236.6947</v>
      </c>
      <c r="R41" s="131" t="n">
        <v>253.263329</v>
      </c>
      <c r="S41" s="131" t="n">
        <v>270.99176203</v>
      </c>
      <c r="T41" s="131" t="n">
        <v>289.9611853721</v>
      </c>
      <c r="Z41" s="108"/>
      <c r="AA41" s="127"/>
      <c r="AB41" s="128" t="n">
        <v>221.21</v>
      </c>
      <c r="AC41" s="128" t="n">
        <v>236.6947</v>
      </c>
      <c r="AD41" s="128" t="n">
        <v>253.263329</v>
      </c>
      <c r="AE41" s="128" t="n">
        <v>270.99176203</v>
      </c>
      <c r="AF41" s="128" t="n">
        <v>289.9611853721</v>
      </c>
    </row>
    <row r="42" customFormat="false" ht="15" hidden="false" customHeight="true" outlineLevel="0" collapsed="false">
      <c r="B42" s="129" t="s">
        <v>705</v>
      </c>
      <c r="C42" s="127"/>
      <c r="D42" s="132" t="n">
        <f aca="false">Model!CA339</f>
        <v>2.26029564667058</v>
      </c>
      <c r="E42" s="132" t="n">
        <f aca="false">Model!CB339</f>
        <v>6.40138318334757</v>
      </c>
      <c r="F42" s="132" t="n">
        <f aca="false">Model!CC339</f>
        <v>20.835393198058</v>
      </c>
      <c r="G42" s="132" t="n">
        <f aca="false">Model!CD339</f>
        <v>20.3847807831142</v>
      </c>
      <c r="H42" s="132" t="n">
        <f aca="false">Model!CE339</f>
        <v>21.5037670253652</v>
      </c>
      <c r="N42" s="129" t="s">
        <v>705</v>
      </c>
      <c r="O42" s="127"/>
      <c r="P42" s="132" t="n">
        <v>4.52059129334117</v>
      </c>
      <c r="Q42" s="132" t="n">
        <v>14.5009041333571</v>
      </c>
      <c r="R42" s="132" t="n">
        <v>20.3343025883106</v>
      </c>
      <c r="S42" s="132" t="n">
        <v>21.1395545981165</v>
      </c>
      <c r="T42" s="132" t="n">
        <v>23.4496830421809</v>
      </c>
      <c r="Z42" s="108"/>
      <c r="AA42" s="127"/>
      <c r="AB42" s="128" t="n">
        <v>0</v>
      </c>
      <c r="AC42" s="128" t="n">
        <v>0</v>
      </c>
      <c r="AD42" s="128" t="n">
        <v>15.0848090885807</v>
      </c>
      <c r="AE42" s="128" t="n">
        <v>17.7736332776948</v>
      </c>
      <c r="AF42" s="128" t="n">
        <v>17.8711482316849</v>
      </c>
    </row>
    <row r="44" customFormat="false" ht="15" hidden="false" customHeight="true" outlineLevel="0" collapsed="false">
      <c r="B44" s="104" t="s">
        <v>706</v>
      </c>
      <c r="C44" s="111" t="n">
        <f aca="false">Model!BV442</f>
        <v>0.0671969554472136</v>
      </c>
      <c r="D44" s="112" t="n">
        <f aca="false">Model!CA442</f>
        <v>0.0624381842554843</v>
      </c>
      <c r="E44" s="112" t="n">
        <f aca="false">Model!CB442</f>
        <v>0.0715389327620273</v>
      </c>
      <c r="F44" s="112" t="n">
        <f aca="false">Model!CC442</f>
        <v>0.0782408804048062</v>
      </c>
      <c r="G44" s="112" t="n">
        <f aca="false">Model!CD442</f>
        <v>0.0850920429001566</v>
      </c>
      <c r="H44" s="112" t="n">
        <f aca="false">Model!CE442</f>
        <v>0.0941929425388647</v>
      </c>
      <c r="J44" s="115" t="n">
        <f aca="false">IFERROR(AVERAGE(Model!C442,Model!D442,Model!E442,Model!F442,Model!G442,Model!H442,Model!I442,Model!N442,Model!S442,Model!X442,Model!AC442,Model!AH442,Model!AM442,Model!AR442,Model!AW442,Model!BB442,Model!BG442,Model!BL442,Model!BQ442,Model!BV442),"")</f>
        <v>0.0909537441670915</v>
      </c>
      <c r="K44" s="115" t="n">
        <f aca="false">IFERROR(MIN(Model!C442,Model!D442,Model!E442,Model!F442,Model!G442,Model!H442,Model!I442,Model!N442,Model!S442,Model!X442,Model!AC442,Model!AH442,Model!AM442,Model!AR442,Model!AW442,Model!BB442,Model!BG442,Model!BL442,Model!BQ442,Model!BV442),"")</f>
        <v>0.0544133492340411</v>
      </c>
      <c r="L44" s="115" t="n">
        <f aca="false">IFERROR(MAX(Model!C442,Model!D442,Model!E442,Model!F442,Model!G442,Model!H442,Model!I442,Model!N442,Model!S442,Model!X442,Model!AC442,Model!AH442,Model!AM442,Model!AR442,Model!AW442,Model!BB442,Model!BG442,Model!BL442,Model!BQ442,Model!BV442),"")</f>
        <v>0.131992384797144</v>
      </c>
      <c r="N44" s="104" t="s">
        <v>706</v>
      </c>
      <c r="O44" s="111" t="n">
        <v>0.0671969554472136</v>
      </c>
      <c r="P44" s="112" t="n">
        <v>0.0630863294795096</v>
      </c>
      <c r="Q44" s="112" t="n">
        <v>0.0751316622363152</v>
      </c>
      <c r="R44" s="112" t="n">
        <v>0.0823267441137632</v>
      </c>
      <c r="S44" s="112" t="n">
        <v>0.0897396489906977</v>
      </c>
      <c r="T44" s="112" t="n">
        <v>0.0993670004650109</v>
      </c>
      <c r="V44" s="115" t="n">
        <v>0.0909537441670915</v>
      </c>
      <c r="W44" s="115" t="n">
        <v>0.0544133492340411</v>
      </c>
      <c r="X44" s="115" t="n">
        <v>0.131992384797144</v>
      </c>
      <c r="Z44" s="104" t="s">
        <v>706</v>
      </c>
      <c r="AA44" s="111" t="n">
        <v>0.0671969554472136</v>
      </c>
      <c r="AB44" s="112" t="n">
        <v>0.061789041641345</v>
      </c>
      <c r="AC44" s="112" t="n">
        <v>0.0656060686533257</v>
      </c>
      <c r="AD44" s="112" t="n">
        <v>0.070825569227198</v>
      </c>
      <c r="AE44" s="112" t="n">
        <v>0.0760748767184007</v>
      </c>
      <c r="AF44" s="112" t="n">
        <v>0.0835297125117357</v>
      </c>
      <c r="AH44" s="115" t="n">
        <v>0.0909537441670915</v>
      </c>
      <c r="AI44" s="115" t="n">
        <v>0.0544133492340411</v>
      </c>
      <c r="AJ44" s="115" t="n">
        <v>0.131992384797144</v>
      </c>
    </row>
    <row r="45" customFormat="false" ht="15" hidden="false" customHeight="true" outlineLevel="0" collapsed="false">
      <c r="B45" s="104" t="s">
        <v>707</v>
      </c>
      <c r="C45" s="111" t="n">
        <f aca="false">Model!BV453</f>
        <v>0.284119228359565</v>
      </c>
      <c r="D45" s="112" t="n">
        <f aca="false">Model!CA453</f>
        <v>0.339039639502768</v>
      </c>
      <c r="E45" s="112" t="n">
        <f aca="false">Model!CB453</f>
        <v>0.364040119116772</v>
      </c>
      <c r="F45" s="112" t="n">
        <f aca="false">Model!CC453</f>
        <v>0.398718715023274</v>
      </c>
      <c r="G45" s="112" t="n">
        <f aca="false">Model!CD453</f>
        <v>0.423684306262344</v>
      </c>
      <c r="H45" s="112" t="n">
        <f aca="false">Model!CE453</f>
        <v>0.459254620397999</v>
      </c>
      <c r="J45" s="115" t="n">
        <f aca="false">IFERROR(AVERAGE(Model!C453,Model!D453,Model!E453,Model!F453,Model!G453,Model!H453,Model!I453,Model!N453,Model!S453,Model!X453,Model!AC453,Model!AH453,Model!AM453,Model!AR453,Model!AW453,Model!BB453,Model!BG453,Model!BL453,Model!BQ453,Model!BV453),"")</f>
        <v>0.377512897083651</v>
      </c>
      <c r="K45" s="115" t="n">
        <f aca="false">IFERROR(MIN(Model!C453,Model!D453,Model!E453,Model!F453,Model!G453,Model!H453,Model!I453,Model!N453,Model!S453,Model!X453,Model!AC453,Model!AH453,Model!AM453,Model!AR453,Model!AW453,Model!BB453,Model!BG453,Model!BL453,Model!BQ453,Model!BV453),"")</f>
        <v>0.099371425200533</v>
      </c>
      <c r="L45" s="115" t="n">
        <f aca="false">IFERROR(MAX(Model!C453,Model!D453,Model!E453,Model!F453,Model!G453,Model!H453,Model!I453,Model!N453,Model!S453,Model!X453,Model!AC453,Model!AH453,Model!AM453,Model!AR453,Model!AW453,Model!BB453,Model!BG453,Model!BL453,Model!BQ453,Model!BV453),"")</f>
        <v>0.6156975549718</v>
      </c>
      <c r="N45" s="104" t="s">
        <v>707</v>
      </c>
      <c r="O45" s="111" t="n">
        <v>0.284119228359565</v>
      </c>
      <c r="P45" s="112" t="n">
        <v>0.342721475620543</v>
      </c>
      <c r="Q45" s="112" t="n">
        <v>0.399740009004774</v>
      </c>
      <c r="R45" s="112" t="n">
        <v>0.431775064442058</v>
      </c>
      <c r="S45" s="112" t="n">
        <v>0.465133229836168</v>
      </c>
      <c r="T45" s="112" t="n">
        <v>0.509341155270154</v>
      </c>
      <c r="V45" s="115" t="n">
        <v>0.377512897083651</v>
      </c>
      <c r="W45" s="115" t="n">
        <v>0.099371425200533</v>
      </c>
      <c r="X45" s="115" t="n">
        <v>0.6156975549718</v>
      </c>
      <c r="Z45" s="104" t="s">
        <v>707</v>
      </c>
      <c r="AA45" s="111" t="n">
        <v>0.284119228359565</v>
      </c>
      <c r="AB45" s="112" t="n">
        <v>0.335355784837538</v>
      </c>
      <c r="AC45" s="112" t="n">
        <v>0.283744448979616</v>
      </c>
      <c r="AD45" s="112" t="n">
        <v>0.294440576908383</v>
      </c>
      <c r="AE45" s="112" t="n">
        <v>0.326480949319279</v>
      </c>
      <c r="AF45" s="112" t="n">
        <v>0.37230207718797</v>
      </c>
      <c r="AH45" s="115" t="n">
        <v>0.377512897083651</v>
      </c>
      <c r="AI45" s="115" t="n">
        <v>0.099371425200533</v>
      </c>
      <c r="AJ45" s="115" t="n">
        <v>0.6156975549718</v>
      </c>
    </row>
    <row r="47" customFormat="false" ht="15" hidden="false" customHeight="true" outlineLevel="0" collapsed="false">
      <c r="B47" s="108" t="s">
        <v>708</v>
      </c>
      <c r="E47" s="133"/>
      <c r="F47" s="133" t="n">
        <f aca="false">F27*F21</f>
        <v>0</v>
      </c>
      <c r="G47" s="133" t="n">
        <f aca="false">G27*G21</f>
        <v>180518.492118194</v>
      </c>
      <c r="H47" s="133" t="n">
        <f aca="false">H27*H21</f>
        <v>213389.076040229</v>
      </c>
      <c r="N47" s="108" t="s">
        <v>708</v>
      </c>
      <c r="Q47" s="133"/>
      <c r="R47" s="133" t="n">
        <f aca="false">R27*R21</f>
        <v>0</v>
      </c>
      <c r="S47" s="133" t="n">
        <f aca="false">S27*S21</f>
        <v>231923.541188985</v>
      </c>
      <c r="T47" s="133" t="n">
        <f aca="false">T27*T21</f>
        <v>266522.119887868</v>
      </c>
      <c r="Z47" s="108" t="s">
        <v>708</v>
      </c>
      <c r="AC47" s="133"/>
      <c r="AD47" s="133" t="n">
        <f aca="false">AD27*AD21</f>
        <v>118006.902976104</v>
      </c>
      <c r="AE47" s="133" t="n">
        <f aca="false">AE27*AE21</f>
        <v>125563.834687797</v>
      </c>
      <c r="AF47" s="133" t="n">
        <f aca="false">AF27*AF21</f>
        <v>148184.943257363</v>
      </c>
    </row>
    <row r="48" customFormat="false" ht="15" hidden="false" customHeight="true" outlineLevel="0" collapsed="false">
      <c r="B48" s="108" t="s">
        <v>709</v>
      </c>
      <c r="E48" s="133"/>
      <c r="F48" s="133" t="n">
        <f aca="false">F38+Model!CC374</f>
        <v>20121.0955446158</v>
      </c>
      <c r="G48" s="133" t="n">
        <f aca="false">G38+Model!CD374</f>
        <v>21917.508690618</v>
      </c>
      <c r="H48" s="133" t="n">
        <f aca="false">H38+Model!CE374</f>
        <v>23850.8479643874</v>
      </c>
      <c r="N48" s="108" t="s">
        <v>709</v>
      </c>
      <c r="Q48" s="133"/>
      <c r="R48" s="133" t="n">
        <f aca="false">R38+Model!CC374</f>
        <v>24363.1110371528</v>
      </c>
      <c r="S48" s="133" t="n">
        <f aca="false">S38+Model!CD374</f>
        <v>27070.3600633476</v>
      </c>
      <c r="T48" s="133" t="n">
        <f aca="false">T38+Model!CE374</f>
        <v>30020.5006625096</v>
      </c>
      <c r="Z48" s="108" t="s">
        <v>709</v>
      </c>
      <c r="AC48" s="133"/>
      <c r="AD48" s="133" t="n">
        <f aca="false">AD38+Model!CC374</f>
        <v>15972.2516891479</v>
      </c>
      <c r="AE48" s="133" t="n">
        <f aca="false">AE38+Model!CD374</f>
        <v>16991.4142935335</v>
      </c>
      <c r="AF48" s="133" t="n">
        <f aca="false">AF38+Model!CE374</f>
        <v>18069.5714950439</v>
      </c>
    </row>
    <row r="49" customFormat="false" ht="15" hidden="false" customHeight="true" outlineLevel="0" collapsed="false">
      <c r="B49" s="108" t="s">
        <v>710</v>
      </c>
      <c r="E49" s="133"/>
      <c r="F49" s="133" t="n">
        <f aca="false">F47+F48</f>
        <v>20121.0955446158</v>
      </c>
      <c r="G49" s="133" t="n">
        <f aca="false">G47+G48</f>
        <v>202436.000808812</v>
      </c>
      <c r="H49" s="133" t="n">
        <f aca="false">H47+H48</f>
        <v>237239.924004616</v>
      </c>
      <c r="N49" s="108" t="s">
        <v>710</v>
      </c>
      <c r="Q49" s="133"/>
      <c r="R49" s="133" t="n">
        <f aca="false">R47+R48</f>
        <v>24363.1110371528</v>
      </c>
      <c r="S49" s="133" t="n">
        <f aca="false">S47+S48</f>
        <v>258993.901252333</v>
      </c>
      <c r="T49" s="133" t="n">
        <f aca="false">T47+T48</f>
        <v>296542.620550378</v>
      </c>
      <c r="Z49" s="108" t="s">
        <v>710</v>
      </c>
      <c r="AC49" s="133"/>
      <c r="AD49" s="133" t="n">
        <f aca="false">AD47+AD48</f>
        <v>133979.154665252</v>
      </c>
      <c r="AE49" s="133" t="n">
        <f aca="false">AE47+AE48</f>
        <v>142555.248981331</v>
      </c>
      <c r="AF49" s="133" t="n">
        <f aca="false">AF47+AF48</f>
        <v>166254.514752407</v>
      </c>
    </row>
    <row r="50" customFormat="false" ht="15" hidden="false" customHeight="true" outlineLevel="0" collapsed="false">
      <c r="B50" s="108" t="s">
        <v>711</v>
      </c>
      <c r="E50" s="134"/>
      <c r="F50" s="134" t="n">
        <f aca="false">IFERROR(F49/F35,"")</f>
        <v>2.00109397789539</v>
      </c>
      <c r="G50" s="134" t="n">
        <f aca="false">IFERROR(G49/G35,"")</f>
        <v>18.4818132060916</v>
      </c>
      <c r="H50" s="134" t="n">
        <f aca="false">IFERROR(H49/H35,"")</f>
        <v>19.9028051151175</v>
      </c>
      <c r="N50" s="108" t="s">
        <v>711</v>
      </c>
      <c r="Q50" s="134"/>
      <c r="R50" s="134" t="n">
        <f aca="false">IFERROR(R49/R35,"")</f>
        <v>2.25101633899263</v>
      </c>
      <c r="S50" s="134" t="n">
        <f aca="false">IFERROR(S49/S35,"")</f>
        <v>21.5354789046573</v>
      </c>
      <c r="T50" s="134" t="n">
        <f aca="false">IFERROR(T49/T35,"")</f>
        <v>22.2336553927369</v>
      </c>
      <c r="Z50" s="108" t="s">
        <v>711</v>
      </c>
      <c r="AC50" s="134"/>
      <c r="AD50" s="134" t="n">
        <f aca="false">IFERROR(AD49/AD35,"")</f>
        <v>14.6895447318585</v>
      </c>
      <c r="AE50" s="134" t="n">
        <f aca="false">IFERROR(AE49/AE35,"")</f>
        <v>14.6917313915204</v>
      </c>
      <c r="AF50" s="134" t="n">
        <f aca="false">IFERROR(AF49/AF35,"")</f>
        <v>16.111207959974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0"/>
  <sheetViews>
    <sheetView showFormulas="false" showGridLines="false" showRowColHeaders="true" showZeros="true" rightToLeft="false" tabSelected="false" showOutlineSymbols="true" defaultGridColor="true" view="normal" topLeftCell="A1" colorId="64" zoomScale="50" zoomScaleNormal="50" zoomScalePageLayoutView="100" workbookViewId="0">
      <selection pane="topLeft" activeCell="D61" activeCellId="0" sqref="D61"/>
    </sheetView>
  </sheetViews>
  <sheetFormatPr defaultColWidth="8.5703125" defaultRowHeight="15" zeroHeight="false" outlineLevelRow="0" outlineLevelCol="0"/>
  <cols>
    <col collapsed="false" customWidth="true" hidden="false" outlineLevel="0" max="1" min="1" style="1" width="3.42"/>
    <col collapsed="false" customWidth="true" hidden="false" outlineLevel="0" max="2" min="2" style="1" width="55.29"/>
    <col collapsed="false" customWidth="true" hidden="false" outlineLevel="0" max="14" min="3" style="1" width="12.57"/>
    <col collapsed="false" customWidth="true" hidden="false" outlineLevel="0" max="15" min="15" style="1" width="2.29"/>
    <col collapsed="false" customWidth="true" hidden="false" outlineLevel="0" max="17" min="16" style="1" width="14.86"/>
  </cols>
  <sheetData>
    <row r="1" customFormat="false" ht="15" hidden="false" customHeight="false" outlineLevel="0" collapsed="false">
      <c r="A1" s="135"/>
      <c r="B1" s="135"/>
      <c r="C1" s="135"/>
      <c r="D1" s="135"/>
      <c r="E1" s="135"/>
      <c r="F1" s="135"/>
      <c r="G1" s="135"/>
      <c r="H1" s="135"/>
      <c r="I1" s="135"/>
      <c r="J1" s="135"/>
      <c r="K1" s="135"/>
      <c r="L1" s="135"/>
      <c r="M1" s="135"/>
      <c r="N1" s="135"/>
      <c r="O1" s="135"/>
      <c r="P1" s="135"/>
      <c r="Q1" s="135"/>
    </row>
    <row r="2" customFormat="false" ht="24" hidden="false" customHeight="true" outlineLevel="0" collapsed="false">
      <c r="A2" s="135"/>
      <c r="B2" s="136" t="s">
        <v>712</v>
      </c>
      <c r="C2" s="137"/>
      <c r="D2" s="137"/>
      <c r="E2" s="137"/>
      <c r="F2" s="137"/>
      <c r="G2" s="137"/>
      <c r="H2" s="137"/>
      <c r="I2" s="137"/>
      <c r="J2" s="137"/>
      <c r="K2" s="137"/>
      <c r="L2" s="137"/>
      <c r="M2" s="137"/>
      <c r="N2" s="137"/>
      <c r="O2" s="135"/>
      <c r="P2" s="135"/>
      <c r="Q2" s="135"/>
    </row>
    <row r="3" customFormat="false" ht="15" hidden="false" customHeight="true" outlineLevel="0" collapsed="false">
      <c r="A3" s="135"/>
      <c r="B3" s="135"/>
      <c r="C3" s="135"/>
      <c r="D3" s="135"/>
      <c r="E3" s="135"/>
      <c r="F3" s="135"/>
      <c r="G3" s="135"/>
      <c r="H3" s="135"/>
      <c r="I3" s="135"/>
      <c r="J3" s="135"/>
      <c r="K3" s="135"/>
      <c r="L3" s="135"/>
      <c r="M3" s="135"/>
      <c r="N3" s="135"/>
      <c r="O3" s="135"/>
      <c r="P3" s="135"/>
      <c r="Q3" s="135"/>
    </row>
    <row r="4" customFormat="false" ht="15.75" hidden="false" customHeight="true" outlineLevel="0" collapsed="false">
      <c r="A4" s="135"/>
      <c r="B4" s="138" t="s">
        <v>713</v>
      </c>
      <c r="C4" s="139"/>
      <c r="D4" s="139"/>
      <c r="E4" s="139"/>
      <c r="F4" s="139"/>
      <c r="G4" s="139"/>
      <c r="H4" s="139"/>
      <c r="I4" s="139"/>
      <c r="J4" s="139"/>
      <c r="K4" s="139"/>
      <c r="L4" s="139"/>
      <c r="M4" s="139"/>
      <c r="N4" s="139"/>
      <c r="O4" s="135"/>
      <c r="P4" s="135"/>
      <c r="Q4" s="135"/>
    </row>
    <row r="5" customFormat="false" ht="15.75" hidden="false" customHeight="true" outlineLevel="0" collapsed="false">
      <c r="A5" s="135"/>
      <c r="B5" s="140" t="s">
        <v>714</v>
      </c>
      <c r="C5" s="141" t="n">
        <v>0.0425</v>
      </c>
      <c r="D5" s="142" t="s">
        <v>715</v>
      </c>
      <c r="E5" s="135"/>
      <c r="F5" s="135"/>
      <c r="G5" s="135"/>
      <c r="H5" s="135"/>
      <c r="I5" s="135"/>
      <c r="J5" s="135"/>
      <c r="K5" s="135"/>
      <c r="L5" s="135"/>
      <c r="M5" s="135"/>
      <c r="N5" s="135"/>
      <c r="O5" s="135"/>
      <c r="P5" s="135"/>
      <c r="Q5" s="135"/>
    </row>
    <row r="6" customFormat="false" ht="15.75" hidden="false" customHeight="true" outlineLevel="0" collapsed="false">
      <c r="A6" s="135"/>
      <c r="B6" s="140" t="s">
        <v>716</v>
      </c>
      <c r="C6" s="141" t="n">
        <v>0.05</v>
      </c>
      <c r="D6" s="142" t="s">
        <v>717</v>
      </c>
      <c r="E6" s="135"/>
      <c r="F6" s="135"/>
      <c r="G6" s="135"/>
      <c r="H6" s="135"/>
      <c r="I6" s="135"/>
      <c r="J6" s="135"/>
      <c r="K6" s="135"/>
      <c r="L6" s="135"/>
      <c r="M6" s="135"/>
      <c r="N6" s="135"/>
      <c r="O6" s="135"/>
      <c r="P6" s="135"/>
      <c r="Q6" s="135"/>
    </row>
    <row r="7" customFormat="false" ht="15.75" hidden="false" customHeight="true" outlineLevel="0" collapsed="false">
      <c r="A7" s="135"/>
      <c r="B7" s="140" t="s">
        <v>718</v>
      </c>
      <c r="C7" s="143" t="n">
        <v>0.95</v>
      </c>
      <c r="D7" s="142" t="s">
        <v>719</v>
      </c>
      <c r="E7" s="135"/>
      <c r="F7" s="135"/>
      <c r="G7" s="135"/>
      <c r="H7" s="135"/>
      <c r="I7" s="135"/>
      <c r="J7" s="135"/>
      <c r="K7" s="135"/>
      <c r="L7" s="135"/>
      <c r="M7" s="135"/>
      <c r="N7" s="135"/>
      <c r="O7" s="135"/>
      <c r="P7" s="135"/>
      <c r="Q7" s="135"/>
    </row>
    <row r="8" customFormat="false" ht="15.75" hidden="false" customHeight="true" outlineLevel="0" collapsed="false">
      <c r="A8" s="135"/>
      <c r="B8" s="140" t="s">
        <v>720</v>
      </c>
      <c r="C8" s="144" t="n">
        <f aca="false">C5+C7*C6</f>
        <v>0.09</v>
      </c>
      <c r="D8" s="142"/>
      <c r="E8" s="135"/>
      <c r="F8" s="135"/>
      <c r="G8" s="135"/>
      <c r="H8" s="135"/>
      <c r="I8" s="135"/>
      <c r="J8" s="135"/>
      <c r="K8" s="135"/>
      <c r="L8" s="135"/>
      <c r="M8" s="135"/>
      <c r="N8" s="135"/>
      <c r="O8" s="135"/>
      <c r="P8" s="135"/>
      <c r="Q8" s="135"/>
    </row>
    <row r="9" customFormat="false" ht="15.75" hidden="false" customHeight="true" outlineLevel="0" collapsed="false">
      <c r="A9" s="135"/>
      <c r="B9" s="140" t="s">
        <v>721</v>
      </c>
      <c r="C9" s="141" t="n">
        <v>0.045</v>
      </c>
      <c r="D9" s="142" t="s">
        <v>722</v>
      </c>
      <c r="E9" s="135"/>
      <c r="F9" s="135"/>
      <c r="G9" s="135"/>
      <c r="H9" s="135"/>
      <c r="I9" s="135"/>
      <c r="J9" s="135"/>
      <c r="K9" s="135"/>
      <c r="L9" s="135"/>
      <c r="M9" s="135"/>
      <c r="N9" s="135"/>
      <c r="O9" s="135"/>
      <c r="P9" s="135"/>
      <c r="Q9" s="135"/>
    </row>
    <row r="10" customFormat="false" ht="15.75" hidden="false" customHeight="true" outlineLevel="0" collapsed="false">
      <c r="A10" s="135"/>
      <c r="B10" s="140" t="s">
        <v>723</v>
      </c>
      <c r="C10" s="141" t="n">
        <v>0.17</v>
      </c>
      <c r="D10" s="142" t="s">
        <v>724</v>
      </c>
      <c r="E10" s="135"/>
      <c r="F10" s="135"/>
      <c r="G10" s="135"/>
      <c r="H10" s="135"/>
      <c r="I10" s="135"/>
      <c r="J10" s="135"/>
      <c r="K10" s="135"/>
      <c r="L10" s="135"/>
      <c r="M10" s="135"/>
      <c r="N10" s="135"/>
      <c r="O10" s="135"/>
      <c r="P10" s="135"/>
      <c r="Q10" s="135"/>
    </row>
    <row r="11" customFormat="false" ht="15.75" hidden="false" customHeight="true" outlineLevel="0" collapsed="false">
      <c r="A11" s="135"/>
      <c r="B11" s="140" t="s">
        <v>725</v>
      </c>
      <c r="C11" s="144" t="n">
        <f aca="false">C9*(1-C10)</f>
        <v>0.03735</v>
      </c>
      <c r="D11" s="142"/>
      <c r="E11" s="135"/>
      <c r="F11" s="135"/>
      <c r="G11" s="135"/>
      <c r="H11" s="135"/>
      <c r="I11" s="135"/>
      <c r="J11" s="135"/>
      <c r="K11" s="135"/>
      <c r="L11" s="135"/>
      <c r="M11" s="135"/>
      <c r="N11" s="135"/>
      <c r="O11" s="135"/>
      <c r="P11" s="135"/>
      <c r="Q11" s="135"/>
    </row>
    <row r="12" customFormat="false" ht="15.75" hidden="false" customHeight="true" outlineLevel="0" collapsed="false">
      <c r="A12" s="135"/>
      <c r="B12" s="140" t="s">
        <v>726</v>
      </c>
      <c r="C12" s="141" t="n">
        <v>0.15</v>
      </c>
      <c r="D12" s="142" t="s">
        <v>727</v>
      </c>
      <c r="E12" s="135"/>
      <c r="F12" s="135"/>
      <c r="G12" s="135"/>
      <c r="H12" s="135"/>
      <c r="I12" s="135"/>
      <c r="J12" s="135"/>
      <c r="K12" s="135"/>
      <c r="L12" s="135"/>
      <c r="M12" s="135"/>
      <c r="N12" s="135"/>
      <c r="O12" s="135"/>
      <c r="P12" s="135"/>
      <c r="Q12" s="135"/>
    </row>
    <row r="13" customFormat="false" ht="15.75" hidden="false" customHeight="true" outlineLevel="0" collapsed="false">
      <c r="A13" s="135"/>
      <c r="B13" s="145" t="s">
        <v>728</v>
      </c>
      <c r="C13" s="146" t="n">
        <f aca="false">C8*(1-C12)+C11*C12</f>
        <v>0.0821025</v>
      </c>
      <c r="D13" s="142"/>
      <c r="E13" s="135"/>
      <c r="F13" s="135"/>
      <c r="G13" s="135"/>
      <c r="H13" s="135"/>
      <c r="I13" s="135"/>
      <c r="J13" s="135"/>
      <c r="K13" s="135"/>
      <c r="L13" s="135"/>
      <c r="M13" s="135"/>
      <c r="N13" s="135"/>
      <c r="O13" s="135"/>
      <c r="P13" s="135"/>
      <c r="Q13" s="135"/>
    </row>
    <row r="14" customFormat="false" ht="15" hidden="false" customHeight="true" outlineLevel="0" collapsed="false">
      <c r="A14" s="135"/>
      <c r="B14" s="135"/>
      <c r="C14" s="135"/>
      <c r="D14" s="142"/>
      <c r="E14" s="135"/>
      <c r="F14" s="135"/>
      <c r="G14" s="135"/>
      <c r="H14" s="135"/>
      <c r="I14" s="135"/>
      <c r="J14" s="135"/>
      <c r="K14" s="135"/>
      <c r="L14" s="135"/>
      <c r="M14" s="135"/>
      <c r="N14" s="135"/>
      <c r="O14" s="135"/>
      <c r="P14" s="135"/>
      <c r="Q14" s="135"/>
    </row>
    <row r="15" customFormat="false" ht="15.75" hidden="false" customHeight="true" outlineLevel="0" collapsed="false">
      <c r="A15" s="135"/>
      <c r="B15" s="140" t="s">
        <v>729</v>
      </c>
      <c r="C15" s="147" t="n">
        <f aca="true">TODAY()</f>
        <v>46301</v>
      </c>
      <c r="D15" s="142" t="s">
        <v>730</v>
      </c>
      <c r="E15" s="135"/>
      <c r="F15" s="135"/>
      <c r="G15" s="135"/>
      <c r="H15" s="135"/>
      <c r="I15" s="135"/>
      <c r="J15" s="135"/>
      <c r="K15" s="135"/>
      <c r="L15" s="135"/>
      <c r="M15" s="135"/>
      <c r="N15" s="135"/>
      <c r="O15" s="135"/>
      <c r="P15" s="135"/>
      <c r="Q15" s="135"/>
    </row>
    <row r="16" customFormat="false" ht="15.75" hidden="false" customHeight="true" outlineLevel="0" collapsed="false">
      <c r="A16" s="135"/>
      <c r="B16" s="138" t="s">
        <v>731</v>
      </c>
      <c r="C16" s="139"/>
      <c r="D16" s="139"/>
      <c r="E16" s="139"/>
      <c r="F16" s="139"/>
      <c r="G16" s="139"/>
      <c r="H16" s="139"/>
      <c r="I16" s="139"/>
      <c r="J16" s="139"/>
      <c r="K16" s="139"/>
      <c r="L16" s="139"/>
      <c r="M16" s="139"/>
      <c r="N16" s="139"/>
      <c r="O16" s="135"/>
      <c r="P16" s="148"/>
      <c r="Q16" s="148"/>
    </row>
    <row r="17" customFormat="false" ht="15.75" hidden="false" customHeight="true" outlineLevel="0" collapsed="false">
      <c r="A17" s="135"/>
      <c r="B17" s="137"/>
      <c r="C17" s="137"/>
      <c r="D17" s="149" t="s">
        <v>64</v>
      </c>
      <c r="E17" s="149" t="s">
        <v>65</v>
      </c>
      <c r="F17" s="149" t="s">
        <v>66</v>
      </c>
      <c r="G17" s="149" t="s">
        <v>67</v>
      </c>
      <c r="H17" s="149" t="s">
        <v>68</v>
      </c>
      <c r="I17" s="149" t="s">
        <v>732</v>
      </c>
      <c r="J17" s="149" t="s">
        <v>733</v>
      </c>
      <c r="K17" s="149" t="s">
        <v>734</v>
      </c>
      <c r="L17" s="149" t="s">
        <v>735</v>
      </c>
      <c r="M17" s="149" t="s">
        <v>736</v>
      </c>
      <c r="N17" s="149" t="s">
        <v>737</v>
      </c>
      <c r="O17" s="135"/>
      <c r="P17" s="150" t="s">
        <v>738</v>
      </c>
      <c r="Q17" s="150" t="s">
        <v>739</v>
      </c>
    </row>
    <row r="18" customFormat="false" ht="15.75" hidden="false" customHeight="true" outlineLevel="0" collapsed="false">
      <c r="A18" s="135"/>
      <c r="B18" s="140" t="s">
        <v>740</v>
      </c>
      <c r="C18" s="135"/>
      <c r="D18" s="151" t="n">
        <f aca="false">Model!CA243-Model!CA241</f>
        <v>7417.70752397956</v>
      </c>
      <c r="E18" s="151" t="n">
        <f aca="false">Model!CB243-Model!CB241</f>
        <v>8363.06151311818</v>
      </c>
      <c r="F18" s="151" t="n">
        <f aca="false">Model!CC243-Model!CC241</f>
        <v>9097.62622486999</v>
      </c>
      <c r="G18" s="151" t="n">
        <f aca="false">Model!CD243-Model!CD241</f>
        <v>9927.99022246525</v>
      </c>
      <c r="H18" s="151" t="n">
        <f aca="false">Model!CE243-Model!CE241</f>
        <v>10821.4736107704</v>
      </c>
      <c r="I18" s="152" t="n">
        <f aca="false">H18*(1+I$26)</f>
        <v>11470.7620274167</v>
      </c>
      <c r="J18" s="152" t="n">
        <f aca="false">I18*(1+J$26)</f>
        <v>12115.9923914589</v>
      </c>
      <c r="K18" s="152" t="n">
        <f aca="false">J18*(1+K$26)</f>
        <v>12752.0819920104</v>
      </c>
      <c r="L18" s="152" t="n">
        <f aca="false">K18*(1+L$26)</f>
        <v>13373.745989121</v>
      </c>
      <c r="M18" s="152" t="n">
        <f aca="false">L18*(1+M$26)</f>
        <v>13975.5645586314</v>
      </c>
      <c r="N18" s="135"/>
      <c r="O18" s="135"/>
      <c r="P18" s="153" t="n">
        <f aca="false">(H18/D18)^(1/(COLUMNS(D18:H18)-1))-1</f>
        <v>0.0990164041485875</v>
      </c>
      <c r="Q18" s="153" t="n">
        <f aca="false">(M18/D18)^(1/(COLUMNS(D18:M18)-1))-1</f>
        <v>0.0729182396489103</v>
      </c>
    </row>
    <row r="19" customFormat="false" ht="15.75" hidden="false" customHeight="true" outlineLevel="0" collapsed="false">
      <c r="A19" s="135"/>
      <c r="B19" s="140" t="s">
        <v>741</v>
      </c>
      <c r="C19" s="135"/>
      <c r="D19" s="154" t="n">
        <f aca="false">1-$C$10</f>
        <v>0.83</v>
      </c>
      <c r="E19" s="154" t="n">
        <f aca="false">1-$C$10</f>
        <v>0.83</v>
      </c>
      <c r="F19" s="154" t="n">
        <f aca="false">1-$C$10</f>
        <v>0.83</v>
      </c>
      <c r="G19" s="154" t="n">
        <f aca="false">1-$C$10</f>
        <v>0.83</v>
      </c>
      <c r="H19" s="154" t="n">
        <f aca="false">1-$C$10</f>
        <v>0.83</v>
      </c>
      <c r="I19" s="154" t="n">
        <f aca="false">1-$C$10</f>
        <v>0.83</v>
      </c>
      <c r="J19" s="154" t="n">
        <f aca="false">1-$C$10</f>
        <v>0.83</v>
      </c>
      <c r="K19" s="154" t="n">
        <f aca="false">1-$C$10</f>
        <v>0.83</v>
      </c>
      <c r="L19" s="154" t="n">
        <f aca="false">1-$C$10</f>
        <v>0.83</v>
      </c>
      <c r="M19" s="154" t="n">
        <f aca="false">1-$C$10</f>
        <v>0.83</v>
      </c>
      <c r="N19" s="135"/>
      <c r="O19" s="135"/>
      <c r="P19" s="153"/>
      <c r="Q19" s="153"/>
    </row>
    <row r="20" customFormat="false" ht="15.75" hidden="false" customHeight="true" outlineLevel="0" collapsed="false">
      <c r="A20" s="135"/>
      <c r="B20" s="145" t="s">
        <v>742</v>
      </c>
      <c r="C20" s="135"/>
      <c r="D20" s="152" t="n">
        <f aca="false">D18*D19</f>
        <v>6156.69724490303</v>
      </c>
      <c r="E20" s="152" t="n">
        <f aca="false">E18*E19</f>
        <v>6941.34105588809</v>
      </c>
      <c r="F20" s="152" t="n">
        <f aca="false">F18*F19</f>
        <v>7551.02976664209</v>
      </c>
      <c r="G20" s="152" t="n">
        <f aca="false">G18*G19</f>
        <v>8240.23188464616</v>
      </c>
      <c r="H20" s="152" t="n">
        <f aca="false">H18*H19</f>
        <v>8981.82309693946</v>
      </c>
      <c r="I20" s="152" t="n">
        <f aca="false">I18*I19</f>
        <v>9520.73248275583</v>
      </c>
      <c r="J20" s="152" t="n">
        <f aca="false">J18*J19</f>
        <v>10056.2736849108</v>
      </c>
      <c r="K20" s="152" t="n">
        <f aca="false">K18*K19</f>
        <v>10584.2280533687</v>
      </c>
      <c r="L20" s="152" t="n">
        <f aca="false">L18*L19</f>
        <v>11100.2091709704</v>
      </c>
      <c r="M20" s="152" t="n">
        <f aca="false">M18*M19</f>
        <v>11599.7185836641</v>
      </c>
      <c r="N20" s="135"/>
      <c r="O20" s="135"/>
      <c r="P20" s="153"/>
      <c r="Q20" s="153"/>
    </row>
    <row r="21" customFormat="false" ht="15.75" hidden="false" customHeight="true" outlineLevel="0" collapsed="false">
      <c r="A21" s="135"/>
      <c r="B21" s="140" t="s">
        <v>743</v>
      </c>
      <c r="C21" s="135"/>
      <c r="D21" s="151" t="n">
        <f aca="false">Model!CA170</f>
        <v>843.801980271775</v>
      </c>
      <c r="E21" s="151" t="n">
        <f aca="false">Model!CB170</f>
        <v>898.55866418429</v>
      </c>
      <c r="F21" s="151" t="n">
        <f aca="false">Model!CC170</f>
        <v>957.421547437906</v>
      </c>
      <c r="G21" s="151" t="n">
        <f aca="false">Model!CD170</f>
        <v>1025.26412284373</v>
      </c>
      <c r="H21" s="151" t="n">
        <f aca="false">Model!CE170</f>
        <v>1098.45037142325</v>
      </c>
      <c r="I21" s="152" t="n">
        <f aca="false">H21*(1+I$26)</f>
        <v>1164.35739370864</v>
      </c>
      <c r="J21" s="152" t="n">
        <f aca="false">I21*(1+J$26)</f>
        <v>1229.85249710475</v>
      </c>
      <c r="K21" s="152" t="n">
        <f aca="false">J21*(1+K$26)</f>
        <v>1294.41975320275</v>
      </c>
      <c r="L21" s="152" t="n">
        <f aca="false">K21*(1+L$26)</f>
        <v>1357.52271617138</v>
      </c>
      <c r="M21" s="152" t="n">
        <f aca="false">L21*(1+M$26)</f>
        <v>1418.6112383991</v>
      </c>
      <c r="N21" s="135"/>
      <c r="O21" s="135"/>
      <c r="P21" s="153"/>
      <c r="Q21" s="153"/>
    </row>
    <row r="22" customFormat="false" ht="15.75" hidden="false" customHeight="true" outlineLevel="0" collapsed="false">
      <c r="A22" s="135"/>
      <c r="B22" s="140" t="s">
        <v>744</v>
      </c>
      <c r="C22" s="135"/>
      <c r="D22" s="151" t="n">
        <f aca="false">Model!CA303</f>
        <v>-1150</v>
      </c>
      <c r="E22" s="151" t="n">
        <f aca="false">Model!CB303+Model!CB305</f>
        <v>-2304.35935123526</v>
      </c>
      <c r="F22" s="151" t="n">
        <f aca="false">Model!CC303+Model!CC305</f>
        <v>-3389.80547208728</v>
      </c>
      <c r="G22" s="151" t="n">
        <f aca="false">Model!CD303+Model!CD305</f>
        <v>-3988.28662993444</v>
      </c>
      <c r="H22" s="151" t="n">
        <f aca="false">Model!CE303+Model!CE305</f>
        <v>-4094.52473271116</v>
      </c>
      <c r="I22" s="152" t="n">
        <f aca="false">Model!CE303*(1+I$26)</f>
        <v>-1690.19621667383</v>
      </c>
      <c r="J22" s="152" t="n">
        <f aca="false">I22*(1+J$26)</f>
        <v>-1785.26975386174</v>
      </c>
      <c r="K22" s="152" t="n">
        <f aca="false">J22*(1+K$26)</f>
        <v>-1878.99641593948</v>
      </c>
      <c r="L22" s="152" t="n">
        <f aca="false">K22*(1+L$26)</f>
        <v>-1970.59749121653</v>
      </c>
      <c r="M22" s="152" t="n">
        <f aca="false">L22*(1+M$26)</f>
        <v>-2059.27437832127</v>
      </c>
      <c r="N22" s="135"/>
      <c r="O22" s="135"/>
      <c r="P22" s="153"/>
      <c r="Q22" s="153"/>
    </row>
    <row r="23" customFormat="false" ht="15.75" hidden="false" customHeight="true" outlineLevel="0" collapsed="false">
      <c r="A23" s="135"/>
      <c r="B23" s="140" t="s">
        <v>745</v>
      </c>
      <c r="C23" s="135"/>
      <c r="D23" s="151" t="n">
        <f aca="false">Model!CA301</f>
        <v>380.246290231408</v>
      </c>
      <c r="E23" s="151" t="n">
        <f aca="false">Model!CB301</f>
        <v>58.6720730658774</v>
      </c>
      <c r="F23" s="151" t="n">
        <f aca="false">Model!CC301</f>
        <v>51.0553724186802</v>
      </c>
      <c r="G23" s="151" t="n">
        <f aca="false">Model!CD301</f>
        <v>56.9436127643812</v>
      </c>
      <c r="H23" s="151" t="n">
        <f aca="false">Model!CE301</f>
        <v>73.7652900387252</v>
      </c>
      <c r="I23" s="152" t="n">
        <f aca="false">H23*(1+I$26)</f>
        <v>78.1912074410487</v>
      </c>
      <c r="J23" s="152" t="n">
        <f aca="false">I23*(1+J$26)</f>
        <v>82.5894628596077</v>
      </c>
      <c r="K23" s="152" t="n">
        <f aca="false">J23*(1+K$26)</f>
        <v>86.9254096597371</v>
      </c>
      <c r="L23" s="152" t="n">
        <f aca="false">K23*(1+L$26)</f>
        <v>91.1630233806493</v>
      </c>
      <c r="M23" s="152" t="n">
        <f aca="false">L23*(1+M$26)</f>
        <v>95.2653594327785</v>
      </c>
      <c r="N23" s="135"/>
      <c r="O23" s="135"/>
      <c r="P23" s="153"/>
      <c r="Q23" s="153"/>
    </row>
    <row r="24" customFormat="false" ht="15.75" hidden="false" customHeight="true" outlineLevel="0" collapsed="false">
      <c r="A24" s="135"/>
      <c r="B24" s="155" t="s">
        <v>746</v>
      </c>
      <c r="C24" s="156"/>
      <c r="D24" s="157" t="n">
        <f aca="false">D20+D21+D22+D23</f>
        <v>6230.74551540621</v>
      </c>
      <c r="E24" s="157" t="n">
        <f aca="false">E20+E21+E22+E23</f>
        <v>5594.21244190299</v>
      </c>
      <c r="F24" s="157" t="n">
        <f aca="false">F20+F21+F22+F23</f>
        <v>5169.7012144114</v>
      </c>
      <c r="G24" s="157" t="n">
        <f aca="false">G20+G21+G22+G23</f>
        <v>5334.15299031983</v>
      </c>
      <c r="H24" s="157" t="n">
        <f aca="false">H20+H21+H22+H23</f>
        <v>6059.51402569027</v>
      </c>
      <c r="I24" s="157" t="n">
        <f aca="false">I20+I21+I22+I23</f>
        <v>9073.08486723169</v>
      </c>
      <c r="J24" s="157" t="n">
        <f aca="false">J20+J21+J22+J23</f>
        <v>9583.44589101347</v>
      </c>
      <c r="K24" s="157" t="n">
        <f aca="false">K20+K21+K22+K23</f>
        <v>10086.5768002917</v>
      </c>
      <c r="L24" s="157" t="n">
        <f aca="false">L20+L21+L22+L23</f>
        <v>10578.2974193059</v>
      </c>
      <c r="M24" s="157" t="n">
        <f aca="false">M20+M21+M22+M23</f>
        <v>11054.3208031747</v>
      </c>
      <c r="N24" s="157" t="n">
        <f aca="false">M24*(1+$C$27)</f>
        <v>11441.2220312858</v>
      </c>
      <c r="O24" s="135"/>
      <c r="P24" s="158" t="n">
        <f aca="false">(H24/D24)^(1/(COLUMNS(D24:H24)-1))-1</f>
        <v>-0.00694238650470058</v>
      </c>
      <c r="Q24" s="158" t="n">
        <f aca="false">(M24/D24)^(1/(COLUMNS(D24:M24)-1))-1</f>
        <v>0.0657756248982699</v>
      </c>
    </row>
    <row r="25" customFormat="false" ht="15.75" hidden="false" customHeight="true" outlineLevel="0" collapsed="false">
      <c r="A25" s="135"/>
      <c r="B25" s="145" t="s">
        <v>747</v>
      </c>
      <c r="C25" s="135"/>
      <c r="D25" s="135"/>
      <c r="E25" s="135"/>
      <c r="F25" s="135"/>
      <c r="G25" s="135"/>
      <c r="H25" s="135"/>
      <c r="I25" s="135"/>
      <c r="J25" s="135"/>
      <c r="K25" s="135"/>
      <c r="L25" s="135"/>
      <c r="M25" s="135"/>
      <c r="N25" s="159" t="n">
        <f aca="false">N24/($C$13-$C$27)</f>
        <v>242900.526114023</v>
      </c>
      <c r="O25" s="135"/>
      <c r="P25" s="135"/>
      <c r="Q25" s="135"/>
    </row>
    <row r="26" customFormat="false" ht="15.75" hidden="false" customHeight="true" outlineLevel="0" collapsed="false">
      <c r="A26" s="135"/>
      <c r="B26" s="140" t="s">
        <v>748</v>
      </c>
      <c r="C26" s="135"/>
      <c r="D26" s="135"/>
      <c r="E26" s="135"/>
      <c r="F26" s="135"/>
      <c r="G26" s="135"/>
      <c r="H26" s="135"/>
      <c r="I26" s="160" t="n">
        <v>0.06</v>
      </c>
      <c r="J26" s="161" t="n">
        <f aca="false">I26+($M$26-$I$26)/4</f>
        <v>0.05625</v>
      </c>
      <c r="K26" s="161" t="n">
        <f aca="false">J26+($M$26-$I$26)/4</f>
        <v>0.0525</v>
      </c>
      <c r="L26" s="161" t="n">
        <f aca="false">K26+($M$26-$I$26)/4</f>
        <v>0.04875</v>
      </c>
      <c r="M26" s="160" t="n">
        <v>0.045</v>
      </c>
      <c r="N26" s="135"/>
      <c r="O26" s="135"/>
      <c r="P26" s="135"/>
      <c r="Q26" s="135"/>
    </row>
    <row r="27" customFormat="false" ht="15.75" hidden="false" customHeight="true" outlineLevel="0" collapsed="false">
      <c r="A27" s="135"/>
      <c r="B27" s="140" t="s">
        <v>749</v>
      </c>
      <c r="C27" s="162" t="n">
        <v>0.035</v>
      </c>
      <c r="D27" s="135"/>
      <c r="E27" s="135"/>
      <c r="F27" s="135"/>
      <c r="G27" s="135"/>
      <c r="H27" s="135"/>
      <c r="I27" s="135"/>
      <c r="J27" s="135"/>
      <c r="K27" s="135"/>
      <c r="L27" s="135"/>
      <c r="M27" s="135"/>
      <c r="N27" s="135"/>
      <c r="O27" s="135"/>
      <c r="P27" s="135"/>
      <c r="Q27" s="135"/>
    </row>
    <row r="28" customFormat="false" ht="15" hidden="false" customHeight="true" outlineLevel="0" collapsed="false">
      <c r="A28" s="135"/>
      <c r="B28" s="135"/>
      <c r="C28" s="135"/>
      <c r="D28" s="135"/>
      <c r="E28" s="135"/>
      <c r="F28" s="135"/>
      <c r="G28" s="135"/>
      <c r="H28" s="135"/>
      <c r="I28" s="135"/>
      <c r="J28" s="135"/>
      <c r="K28" s="135"/>
      <c r="L28" s="135"/>
      <c r="M28" s="135"/>
      <c r="N28" s="135"/>
      <c r="O28" s="135"/>
      <c r="P28" s="135"/>
      <c r="Q28" s="135"/>
    </row>
    <row r="29" customFormat="false" ht="15.75" hidden="false" customHeight="true" outlineLevel="0" collapsed="false">
      <c r="A29" s="135"/>
      <c r="B29" s="140" t="s">
        <v>750</v>
      </c>
      <c r="C29" s="135"/>
      <c r="D29" s="154" t="n">
        <f aca="false">(DATE(2026,12,31)-$C$15)/365.25</f>
        <v>0.235455167693361</v>
      </c>
      <c r="E29" s="154" t="n">
        <f aca="false">(DATE(2027,12,31)-$C$15)/365.25</f>
        <v>1.23477070499658</v>
      </c>
      <c r="F29" s="154" t="n">
        <f aca="false">(DATE(2028,12,31)-$C$15)/365.25</f>
        <v>2.23682409308693</v>
      </c>
      <c r="G29" s="154" t="n">
        <f aca="false">(DATE(2029,12,31)-$C$15)/365.25</f>
        <v>3.23613963039014</v>
      </c>
      <c r="H29" s="154" t="n">
        <f aca="false">(DATE(2030,12,31)-$C$15)/365.25</f>
        <v>4.23545516769336</v>
      </c>
      <c r="I29" s="154" t="n">
        <f aca="false">(DATE(2031,12,31)-$C$15)/365.25</f>
        <v>5.23477070499658</v>
      </c>
      <c r="J29" s="154" t="n">
        <f aca="false">(DATE(2032,12,31)-$C$15)/365.25</f>
        <v>6.23682409308693</v>
      </c>
      <c r="K29" s="154" t="n">
        <f aca="false">(DATE(2033,12,31)-$C$15)/365.25</f>
        <v>7.23613963039014</v>
      </c>
      <c r="L29" s="154" t="n">
        <f aca="false">(DATE(2034,12,31)-$C$15)/365.25</f>
        <v>8.23545516769336</v>
      </c>
      <c r="M29" s="154" t="n">
        <f aca="false">(DATE(2035,12,31)-$C$15)/365.25</f>
        <v>9.23477070499658</v>
      </c>
      <c r="N29" s="154" t="n">
        <f aca="false">M29</f>
        <v>9.23477070499658</v>
      </c>
      <c r="O29" s="135"/>
      <c r="P29" s="135"/>
      <c r="Q29" s="135"/>
    </row>
    <row r="30" customFormat="false" ht="15.75" hidden="false" customHeight="true" outlineLevel="0" collapsed="false">
      <c r="A30" s="135"/>
      <c r="B30" s="140" t="s">
        <v>751</v>
      </c>
      <c r="C30" s="135"/>
      <c r="D30" s="163" t="n">
        <f aca="false">1/(1+$C$13)^D29</f>
        <v>0.981592718327029</v>
      </c>
      <c r="E30" s="163" t="n">
        <f aca="false">1/(1+$C$13)^E29</f>
        <v>0.907165202710403</v>
      </c>
      <c r="F30" s="163" t="n">
        <f aca="false">1/(1+$C$13)^F29</f>
        <v>0.838199922532959</v>
      </c>
      <c r="G30" s="163" t="n">
        <f aca="false">1/(1+$C$13)^G29</f>
        <v>0.774644909685571</v>
      </c>
      <c r="H30" s="163" t="n">
        <f aca="false">1/(1+$C$13)^H29</f>
        <v>0.715908842234677</v>
      </c>
      <c r="I30" s="163" t="n">
        <f aca="false">1/(1+$C$13)^I29</f>
        <v>0.661626332247933</v>
      </c>
      <c r="J30" s="163" t="n">
        <f aca="false">1/(1+$C$13)^J29</f>
        <v>0.611327615718768</v>
      </c>
      <c r="K30" s="163" t="n">
        <f aca="false">1/(1+$C$13)^K29</f>
        <v>0.564974790543648</v>
      </c>
      <c r="L30" s="163" t="n">
        <f aca="false">1/(1+$C$13)^L29</f>
        <v>0.522136585592561</v>
      </c>
      <c r="M30" s="163" t="n">
        <f aca="false">1/(1+$C$13)^M29</f>
        <v>0.482546511061003</v>
      </c>
      <c r="N30" s="163" t="n">
        <f aca="false">1/(1+$C$13)^N29</f>
        <v>0.482546511061003</v>
      </c>
      <c r="O30" s="135"/>
      <c r="P30" s="135"/>
      <c r="Q30" s="135"/>
    </row>
    <row r="31" customFormat="false" ht="15.75" hidden="false" customHeight="true" outlineLevel="0" collapsed="false">
      <c r="A31" s="135"/>
      <c r="B31" s="164" t="s">
        <v>752</v>
      </c>
      <c r="C31" s="165"/>
      <c r="D31" s="166" t="n">
        <f aca="false">D24*D30</f>
        <v>6116.05442767153</v>
      </c>
      <c r="E31" s="166" t="n">
        <f aca="false">E24*E30</f>
        <v>5074.87486386399</v>
      </c>
      <c r="F31" s="166" t="n">
        <f aca="false">F24*F30</f>
        <v>4333.24315743818</v>
      </c>
      <c r="G31" s="166" t="n">
        <f aca="false">G24*G30</f>
        <v>4132.07446143532</v>
      </c>
      <c r="H31" s="166" t="n">
        <f aca="false">H24*H30</f>
        <v>4338.05967063671</v>
      </c>
      <c r="I31" s="166" t="n">
        <f aca="false">I24*I30</f>
        <v>6002.99186288073</v>
      </c>
      <c r="J31" s="166" t="n">
        <f aca="false">J24*J30</f>
        <v>5858.62512692309</v>
      </c>
      <c r="K31" s="166" t="n">
        <f aca="false">K24*K30</f>
        <v>5698.66161504721</v>
      </c>
      <c r="L31" s="166" t="n">
        <f aca="false">L24*L30</f>
        <v>5523.31609589899</v>
      </c>
      <c r="M31" s="166" t="n">
        <f aca="false">M24*M30</f>
        <v>5334.223935721</v>
      </c>
      <c r="N31" s="166" t="n">
        <f aca="false">N25*N30</f>
        <v>117210.801411204</v>
      </c>
      <c r="O31" s="135"/>
      <c r="P31" s="135"/>
      <c r="Q31" s="135"/>
    </row>
    <row r="32" customFormat="false" ht="15" hidden="false" customHeight="true" outlineLevel="0" collapsed="false">
      <c r="A32" s="135"/>
      <c r="B32" s="135"/>
      <c r="C32" s="135"/>
      <c r="D32" s="142" t="s">
        <v>753</v>
      </c>
      <c r="E32" s="135"/>
      <c r="F32" s="135"/>
      <c r="G32" s="135"/>
      <c r="H32" s="135"/>
      <c r="I32" s="135"/>
      <c r="J32" s="135"/>
      <c r="K32" s="135"/>
      <c r="L32" s="135"/>
      <c r="M32" s="135"/>
      <c r="N32" s="135"/>
      <c r="O32" s="135"/>
      <c r="P32" s="135"/>
      <c r="Q32" s="135"/>
    </row>
    <row r="33" customFormat="false" ht="15.75" hidden="false" customHeight="true" outlineLevel="0" collapsed="false">
      <c r="A33" s="135"/>
      <c r="B33" s="138" t="s">
        <v>754</v>
      </c>
      <c r="C33" s="138"/>
      <c r="D33" s="138"/>
      <c r="E33" s="138"/>
      <c r="F33" s="138"/>
      <c r="G33" s="138"/>
      <c r="H33" s="138"/>
      <c r="I33" s="138"/>
      <c r="J33" s="138"/>
      <c r="K33" s="138"/>
      <c r="L33" s="138"/>
      <c r="M33" s="138"/>
      <c r="N33" s="138"/>
      <c r="O33" s="135"/>
      <c r="P33" s="135"/>
      <c r="Q33" s="135"/>
    </row>
    <row r="34" customFormat="false" ht="15.75" hidden="false" customHeight="true" outlineLevel="0" collapsed="false">
      <c r="A34" s="135"/>
      <c r="B34" s="140" t="s">
        <v>755</v>
      </c>
      <c r="C34" s="135"/>
      <c r="D34" s="151" t="n">
        <f aca="false">Model!BV439+Model!BX397+Model!BX398+Model!CA91</f>
        <v>78257</v>
      </c>
      <c r="E34" s="152" t="n">
        <f aca="false">D38</f>
        <v>78182.9517294968</v>
      </c>
      <c r="F34" s="152" t="n">
        <f aca="false">E38</f>
        <v>79530.0803434819</v>
      </c>
      <c r="G34" s="152" t="n">
        <f aca="false">F38</f>
        <v>81911.4088957126</v>
      </c>
      <c r="H34" s="152" t="n">
        <f aca="false">G38</f>
        <v>84817.4877900389</v>
      </c>
      <c r="I34" s="152" t="n">
        <f aca="false">H38</f>
        <v>87739.7968612881</v>
      </c>
      <c r="J34" s="152" t="n">
        <f aca="false">I38</f>
        <v>88187.4444768123</v>
      </c>
      <c r="K34" s="152" t="n">
        <f aca="false">J38</f>
        <v>88660.2722707097</v>
      </c>
      <c r="L34" s="152" t="n">
        <f aca="false">K38</f>
        <v>89157.9235237866</v>
      </c>
      <c r="M34" s="152" t="n">
        <f aca="false">L38</f>
        <v>89679.8352754511</v>
      </c>
      <c r="N34" s="152"/>
      <c r="O34" s="135"/>
      <c r="P34" s="135"/>
      <c r="Q34" s="135"/>
    </row>
    <row r="35" customFormat="false" ht="15.75" hidden="false" customHeight="true" outlineLevel="0" collapsed="false">
      <c r="A35" s="135"/>
      <c r="B35" s="140" t="s">
        <v>756</v>
      </c>
      <c r="C35" s="135"/>
      <c r="D35" s="152" t="n">
        <f aca="false">-D22</f>
        <v>1150</v>
      </c>
      <c r="E35" s="152" t="n">
        <f aca="false">-E22</f>
        <v>2304.35935123526</v>
      </c>
      <c r="F35" s="152" t="n">
        <f aca="false">-F22</f>
        <v>3389.80547208728</v>
      </c>
      <c r="G35" s="152" t="n">
        <f aca="false">-G22</f>
        <v>3988.28662993444</v>
      </c>
      <c r="H35" s="152" t="n">
        <f aca="false">-H22</f>
        <v>4094.52473271116</v>
      </c>
      <c r="I35" s="152" t="n">
        <f aca="false">-I22</f>
        <v>1690.19621667383</v>
      </c>
      <c r="J35" s="152" t="n">
        <f aca="false">-J22</f>
        <v>1785.26975386174</v>
      </c>
      <c r="K35" s="152" t="n">
        <f aca="false">-K22</f>
        <v>1878.99641593948</v>
      </c>
      <c r="L35" s="152" t="n">
        <f aca="false">-L22</f>
        <v>1970.59749121653</v>
      </c>
      <c r="M35" s="152" t="n">
        <f aca="false">-M22</f>
        <v>2059.27437832127</v>
      </c>
      <c r="N35" s="152"/>
      <c r="O35" s="135"/>
      <c r="P35" s="135"/>
      <c r="Q35" s="135"/>
    </row>
    <row r="36" customFormat="false" ht="15.75" hidden="false" customHeight="true" outlineLevel="0" collapsed="false">
      <c r="A36" s="135"/>
      <c r="B36" s="140" t="s">
        <v>757</v>
      </c>
      <c r="C36" s="135"/>
      <c r="D36" s="152" t="n">
        <f aca="false">-D21</f>
        <v>-843.801980271775</v>
      </c>
      <c r="E36" s="152" t="n">
        <f aca="false">-E21</f>
        <v>-898.55866418429</v>
      </c>
      <c r="F36" s="152" t="n">
        <f aca="false">-F21</f>
        <v>-957.421547437906</v>
      </c>
      <c r="G36" s="152" t="n">
        <f aca="false">-G21</f>
        <v>-1025.26412284373</v>
      </c>
      <c r="H36" s="152" t="n">
        <f aca="false">-H21</f>
        <v>-1098.45037142325</v>
      </c>
      <c r="I36" s="152" t="n">
        <f aca="false">-I21</f>
        <v>-1164.35739370864</v>
      </c>
      <c r="J36" s="152" t="n">
        <f aca="false">-J21</f>
        <v>-1229.85249710475</v>
      </c>
      <c r="K36" s="152" t="n">
        <f aca="false">-K21</f>
        <v>-1294.41975320275</v>
      </c>
      <c r="L36" s="152" t="n">
        <f aca="false">-L21</f>
        <v>-1357.52271617138</v>
      </c>
      <c r="M36" s="152" t="n">
        <f aca="false">-M21</f>
        <v>-1418.6112383991</v>
      </c>
      <c r="N36" s="152"/>
      <c r="O36" s="135"/>
      <c r="P36" s="135"/>
      <c r="Q36" s="135"/>
    </row>
    <row r="37" customFormat="false" ht="15.75" hidden="false" customHeight="true" outlineLevel="0" collapsed="false">
      <c r="A37" s="135"/>
      <c r="B37" s="140" t="s">
        <v>758</v>
      </c>
      <c r="C37" s="135"/>
      <c r="D37" s="152" t="n">
        <f aca="false">-D23</f>
        <v>-380.246290231408</v>
      </c>
      <c r="E37" s="152" t="n">
        <f aca="false">-E23</f>
        <v>-58.6720730658774</v>
      </c>
      <c r="F37" s="152" t="n">
        <f aca="false">-F23</f>
        <v>-51.0553724186802</v>
      </c>
      <c r="G37" s="152" t="n">
        <f aca="false">-G23</f>
        <v>-56.9436127643812</v>
      </c>
      <c r="H37" s="152" t="n">
        <f aca="false">-H23</f>
        <v>-73.7652900387252</v>
      </c>
      <c r="I37" s="152" t="n">
        <f aca="false">-I23</f>
        <v>-78.1912074410487</v>
      </c>
      <c r="J37" s="152" t="n">
        <f aca="false">-J23</f>
        <v>-82.5894628596077</v>
      </c>
      <c r="K37" s="152" t="n">
        <f aca="false">-K23</f>
        <v>-86.9254096597371</v>
      </c>
      <c r="L37" s="152" t="n">
        <f aca="false">-L23</f>
        <v>-91.1630233806493</v>
      </c>
      <c r="M37" s="152" t="n">
        <f aca="false">-M23</f>
        <v>-95.2653594327785</v>
      </c>
      <c r="N37" s="152"/>
      <c r="O37" s="135"/>
      <c r="P37" s="135"/>
      <c r="Q37" s="135"/>
    </row>
    <row r="38" customFormat="false" ht="15.75" hidden="false" customHeight="true" outlineLevel="0" collapsed="false">
      <c r="A38" s="135"/>
      <c r="B38" s="167" t="s">
        <v>759</v>
      </c>
      <c r="C38" s="167"/>
      <c r="D38" s="168" t="n">
        <f aca="false">SUM(D34:D37)</f>
        <v>78182.9517294968</v>
      </c>
      <c r="E38" s="168" t="n">
        <f aca="false">SUM(E34:E37)</f>
        <v>79530.0803434819</v>
      </c>
      <c r="F38" s="168" t="n">
        <f aca="false">SUM(F34:F37)</f>
        <v>81911.4088957126</v>
      </c>
      <c r="G38" s="168" t="n">
        <f aca="false">SUM(G34:G37)</f>
        <v>84817.4877900389</v>
      </c>
      <c r="H38" s="168" t="n">
        <f aca="false">SUM(H34:H37)</f>
        <v>87739.7968612881</v>
      </c>
      <c r="I38" s="168" t="n">
        <f aca="false">SUM(I34:I37)</f>
        <v>88187.4444768123</v>
      </c>
      <c r="J38" s="168" t="n">
        <f aca="false">SUM(J34:J37)</f>
        <v>88660.2722707097</v>
      </c>
      <c r="K38" s="168" t="n">
        <f aca="false">SUM(K34:K37)</f>
        <v>89157.9235237866</v>
      </c>
      <c r="L38" s="168" t="n">
        <f aca="false">SUM(L34:L37)</f>
        <v>89679.8352754511</v>
      </c>
      <c r="M38" s="168" t="n">
        <f aca="false">SUM(M34:M37)</f>
        <v>90225.2330559405</v>
      </c>
      <c r="N38" s="169"/>
      <c r="O38" s="135"/>
      <c r="P38" s="135"/>
      <c r="Q38" s="135"/>
    </row>
    <row r="39" customFormat="false" ht="15.75" hidden="false" customHeight="true" outlineLevel="0" collapsed="false">
      <c r="A39" s="135"/>
      <c r="B39" s="140" t="s">
        <v>760</v>
      </c>
      <c r="C39" s="135"/>
      <c r="D39" s="152" t="n">
        <f aca="false">D20</f>
        <v>6156.69724490303</v>
      </c>
      <c r="E39" s="152" t="n">
        <f aca="false">E20</f>
        <v>6941.34105588809</v>
      </c>
      <c r="F39" s="152" t="n">
        <f aca="false">F20</f>
        <v>7551.02976664209</v>
      </c>
      <c r="G39" s="152" t="n">
        <f aca="false">G20</f>
        <v>8240.23188464616</v>
      </c>
      <c r="H39" s="152" t="n">
        <f aca="false">H20</f>
        <v>8981.82309693946</v>
      </c>
      <c r="I39" s="152" t="n">
        <f aca="false">I20</f>
        <v>9520.73248275583</v>
      </c>
      <c r="J39" s="152" t="n">
        <f aca="false">J20</f>
        <v>10056.2736849108</v>
      </c>
      <c r="K39" s="152" t="n">
        <f aca="false">K20</f>
        <v>10584.2280533687</v>
      </c>
      <c r="L39" s="152" t="n">
        <f aca="false">L20</f>
        <v>11100.2091709704</v>
      </c>
      <c r="M39" s="152" t="n">
        <f aca="false">M20</f>
        <v>11599.7185836641</v>
      </c>
      <c r="N39" s="152"/>
      <c r="O39" s="135"/>
      <c r="P39" s="135"/>
      <c r="Q39" s="135"/>
    </row>
    <row r="40" customFormat="false" ht="15.75" hidden="false" customHeight="true" outlineLevel="0" collapsed="false">
      <c r="A40" s="135"/>
      <c r="B40" s="170" t="s">
        <v>761</v>
      </c>
      <c r="C40" s="170"/>
      <c r="D40" s="171" t="n">
        <f aca="false">IFERROR(D39/AVERAGE(D34,D38),"")</f>
        <v>0.0787100376449705</v>
      </c>
      <c r="E40" s="171" t="n">
        <f aca="false">IFERROR(E39/AVERAGE(E34,E38),"")</f>
        <v>0.0880249522141723</v>
      </c>
      <c r="F40" s="171" t="n">
        <f aca="false">IFERROR(F39/AVERAGE(F34,F38),"")</f>
        <v>0.0935450955293699</v>
      </c>
      <c r="G40" s="171" t="n">
        <f aca="false">IFERROR(G39/AVERAGE(G34,G38),"")</f>
        <v>0.0988458755314292</v>
      </c>
      <c r="H40" s="171" t="n">
        <f aca="false">IFERROR(H39/AVERAGE(H34,H38),"")</f>
        <v>0.10410250851001</v>
      </c>
      <c r="I40" s="171" t="n">
        <f aca="false">IFERROR(I39/AVERAGE(I34,I38),"")</f>
        <v>0.10823488631256</v>
      </c>
      <c r="J40" s="171" t="n">
        <f aca="false">IFERROR(J39/AVERAGE(J34,J38),"")</f>
        <v>0.113728057900434</v>
      </c>
      <c r="K40" s="171" t="n">
        <f aca="false">IFERROR(K39/AVERAGE(K34,K38),"")</f>
        <v>0.119045500445869</v>
      </c>
      <c r="L40" s="171" t="n">
        <f aca="false">IFERROR(L39/AVERAGE(L34,L38),"")</f>
        <v>0.124137198380253</v>
      </c>
      <c r="M40" s="171" t="n">
        <f aca="false">IFERROR(M39/AVERAGE(M34,M38),"")</f>
        <v>0.128953772022664</v>
      </c>
      <c r="N40" s="171"/>
      <c r="O40" s="135"/>
      <c r="P40" s="135"/>
      <c r="Q40" s="135"/>
    </row>
    <row r="41" customFormat="false" ht="15.75" hidden="false" customHeight="true" outlineLevel="0" collapsed="false">
      <c r="A41" s="135"/>
      <c r="B41" s="140" t="s">
        <v>762</v>
      </c>
      <c r="C41" s="135"/>
      <c r="D41" s="172" t="n">
        <f aca="false">IFERROR(SUM(D35:D37)/D39,"")</f>
        <v>-0.0120272716941677</v>
      </c>
      <c r="E41" s="172" t="n">
        <f aca="false">IFERROR(SUM(E35:E37)/E39,"")</f>
        <v>0.194073249410843</v>
      </c>
      <c r="F41" s="172" t="n">
        <f aca="false">IFERROR(SUM(F35:F37)/F39,"")</f>
        <v>0.315364741740339</v>
      </c>
      <c r="G41" s="172" t="n">
        <f aca="false">IFERROR(SUM(G35:G37)/G39,"")</f>
        <v>0.352669552872798</v>
      </c>
      <c r="H41" s="172" t="n">
        <f aca="false">IFERROR(SUM(H35:H37)/H39,"")</f>
        <v>0.32535811936053</v>
      </c>
      <c r="I41" s="172" t="n">
        <f aca="false">IFERROR(SUM(I35:I37)/I39,"")</f>
        <v>0.0470181907048573</v>
      </c>
      <c r="J41" s="172" t="n">
        <f aca="false">IFERROR(SUM(J35:J37)/J39,"")</f>
        <v>0.0470181907048574</v>
      </c>
      <c r="K41" s="172" t="n">
        <f aca="false">IFERROR(SUM(K35:K37)/K39,"")</f>
        <v>0.0470181907048574</v>
      </c>
      <c r="L41" s="172" t="n">
        <f aca="false">IFERROR(SUM(L35:L37)/L39,"")</f>
        <v>0.0470181907048574</v>
      </c>
      <c r="M41" s="172" t="n">
        <f aca="false">IFERROR(SUM(M35:M37)/M39,"")</f>
        <v>0.0470181907048574</v>
      </c>
      <c r="N41" s="172"/>
      <c r="O41" s="135"/>
      <c r="P41" s="135"/>
      <c r="Q41" s="135"/>
    </row>
    <row r="42" customFormat="false" ht="15.75" hidden="false" customHeight="true" outlineLevel="0" collapsed="false">
      <c r="A42" s="135"/>
      <c r="B42" s="140" t="s">
        <v>763</v>
      </c>
      <c r="C42" s="135"/>
      <c r="D42" s="172"/>
      <c r="E42" s="172"/>
      <c r="F42" s="172"/>
      <c r="G42" s="172"/>
      <c r="H42" s="172"/>
      <c r="I42" s="172"/>
      <c r="J42" s="172"/>
      <c r="K42" s="172"/>
      <c r="L42" s="172"/>
      <c r="M42" s="172"/>
      <c r="N42" s="172" t="n">
        <f aca="false">IFERROR($C$27/M41,"")</f>
        <v>0.744392744070099</v>
      </c>
      <c r="O42" s="135"/>
      <c r="P42" s="135"/>
      <c r="Q42" s="135"/>
    </row>
    <row r="43" customFormat="false" ht="15" hidden="false" customHeight="true" outlineLevel="0" collapsed="false">
      <c r="A43" s="135"/>
      <c r="B43" s="135"/>
      <c r="C43" s="135"/>
      <c r="D43" s="142" t="s">
        <v>764</v>
      </c>
      <c r="E43" s="135"/>
      <c r="F43" s="135"/>
      <c r="G43" s="135"/>
      <c r="H43" s="135"/>
      <c r="I43" s="135"/>
      <c r="J43" s="135"/>
      <c r="K43" s="135"/>
      <c r="L43" s="135"/>
      <c r="M43" s="135"/>
      <c r="N43" s="135"/>
      <c r="O43" s="135"/>
      <c r="P43" s="135"/>
      <c r="Q43" s="135"/>
    </row>
    <row r="44" customFormat="false" ht="15.75" hidden="false" customHeight="true" outlineLevel="0" collapsed="false">
      <c r="A44" s="135"/>
      <c r="B44" s="138" t="s">
        <v>765</v>
      </c>
      <c r="C44" s="139"/>
      <c r="D44" s="139"/>
      <c r="E44" s="139"/>
      <c r="F44" s="139"/>
      <c r="G44" s="139"/>
      <c r="H44" s="139"/>
      <c r="I44" s="139"/>
      <c r="J44" s="139"/>
      <c r="K44" s="139"/>
      <c r="L44" s="139"/>
      <c r="M44" s="139"/>
      <c r="N44" s="139"/>
      <c r="O44" s="135"/>
      <c r="P44" s="135"/>
      <c r="Q44" s="135"/>
    </row>
    <row r="45" customFormat="false" ht="15.75" hidden="false" customHeight="true" outlineLevel="0" collapsed="false">
      <c r="A45" s="135"/>
      <c r="B45" s="140" t="s">
        <v>766</v>
      </c>
      <c r="C45" s="152" t="n">
        <f aca="false">SUM(D31:M31)</f>
        <v>52412.1252175167</v>
      </c>
      <c r="D45" s="135"/>
      <c r="E45" s="135"/>
      <c r="F45" s="135"/>
      <c r="G45" s="135"/>
      <c r="H45" s="135"/>
      <c r="I45" s="135"/>
      <c r="J45" s="135"/>
      <c r="K45" s="135"/>
      <c r="L45" s="135"/>
      <c r="M45" s="135"/>
      <c r="N45" s="135"/>
      <c r="O45" s="135"/>
      <c r="P45" s="135"/>
      <c r="Q45" s="135"/>
    </row>
    <row r="46" customFormat="false" ht="15.75" hidden="false" customHeight="true" outlineLevel="0" collapsed="false">
      <c r="A46" s="135"/>
      <c r="B46" s="140" t="s">
        <v>767</v>
      </c>
      <c r="C46" s="152" t="n">
        <f aca="false">N31</f>
        <v>117210.801411204</v>
      </c>
      <c r="D46" s="135"/>
      <c r="E46" s="135"/>
      <c r="F46" s="135"/>
      <c r="G46" s="135"/>
      <c r="H46" s="135"/>
      <c r="I46" s="135"/>
      <c r="J46" s="135"/>
      <c r="K46" s="135"/>
      <c r="L46" s="135"/>
      <c r="M46" s="135"/>
      <c r="N46" s="135"/>
      <c r="O46" s="135"/>
      <c r="P46" s="135"/>
      <c r="Q46" s="135"/>
    </row>
    <row r="47" customFormat="false" ht="15.75" hidden="false" customHeight="true" outlineLevel="0" collapsed="false">
      <c r="A47" s="135"/>
      <c r="B47" s="145" t="s">
        <v>768</v>
      </c>
      <c r="C47" s="157" t="n">
        <f aca="false">C45+C46</f>
        <v>169622.926628721</v>
      </c>
      <c r="D47" s="135"/>
      <c r="E47" s="135"/>
      <c r="F47" s="135"/>
      <c r="G47" s="135"/>
      <c r="H47" s="135"/>
      <c r="I47" s="135"/>
      <c r="J47" s="135"/>
      <c r="K47" s="135"/>
      <c r="L47" s="135"/>
      <c r="M47" s="135"/>
      <c r="N47" s="135"/>
      <c r="O47" s="135"/>
      <c r="P47" s="135"/>
      <c r="Q47" s="135"/>
    </row>
    <row r="48" customFormat="false" ht="15.75" hidden="false" customHeight="true" outlineLevel="0" collapsed="false">
      <c r="A48" s="135"/>
      <c r="B48" s="140" t="s">
        <v>769</v>
      </c>
      <c r="C48" s="151" t="n">
        <f aca="false">Model!CA459+Model!CA374</f>
        <v>21178.8876953299</v>
      </c>
      <c r="D48" s="142" t="s">
        <v>770</v>
      </c>
      <c r="E48" s="135"/>
      <c r="F48" s="135"/>
      <c r="G48" s="135"/>
      <c r="H48" s="135"/>
      <c r="I48" s="135"/>
      <c r="J48" s="135"/>
      <c r="K48" s="135"/>
      <c r="L48" s="135"/>
      <c r="M48" s="135"/>
      <c r="N48" s="135"/>
      <c r="O48" s="135"/>
      <c r="P48" s="135"/>
      <c r="Q48" s="135"/>
    </row>
    <row r="49" customFormat="false" ht="15.75" hidden="false" customHeight="true" outlineLevel="0" collapsed="false">
      <c r="A49" s="135"/>
      <c r="B49" s="145" t="s">
        <v>771</v>
      </c>
      <c r="C49" s="169" t="n">
        <f aca="false">C47-C48</f>
        <v>148444.038933391</v>
      </c>
      <c r="D49" s="135"/>
      <c r="E49" s="135"/>
      <c r="F49" s="135"/>
      <c r="G49" s="135"/>
      <c r="H49" s="135"/>
      <c r="I49" s="135"/>
      <c r="J49" s="135"/>
      <c r="K49" s="135"/>
      <c r="L49" s="135"/>
      <c r="M49" s="135"/>
      <c r="N49" s="135"/>
      <c r="O49" s="135"/>
      <c r="P49" s="135"/>
      <c r="Q49" s="135"/>
    </row>
    <row r="50" customFormat="false" ht="15.75" hidden="false" customHeight="true" outlineLevel="0" collapsed="false">
      <c r="A50" s="135"/>
      <c r="B50" s="140" t="s">
        <v>772</v>
      </c>
      <c r="C50" s="173" t="n">
        <f aca="false">Model!CA465</f>
        <v>703.739704353329</v>
      </c>
      <c r="D50" s="135"/>
      <c r="E50" s="135"/>
      <c r="F50" s="135"/>
      <c r="G50" s="135"/>
      <c r="H50" s="135"/>
      <c r="I50" s="135"/>
      <c r="J50" s="135"/>
      <c r="K50" s="135"/>
      <c r="L50" s="135"/>
      <c r="M50" s="135"/>
      <c r="N50" s="135"/>
      <c r="O50" s="135"/>
      <c r="P50" s="135"/>
      <c r="Q50" s="135"/>
    </row>
    <row r="51" customFormat="false" ht="15.75" hidden="false" customHeight="true" outlineLevel="0" collapsed="false">
      <c r="A51" s="135"/>
      <c r="B51" s="145" t="s">
        <v>773</v>
      </c>
      <c r="C51" s="174" t="n">
        <f aca="false">C49/C50</f>
        <v>210.936000932045</v>
      </c>
      <c r="D51" s="135"/>
      <c r="E51" s="135"/>
      <c r="F51" s="135"/>
      <c r="G51" s="135"/>
      <c r="H51" s="135"/>
      <c r="I51" s="135"/>
      <c r="J51" s="135"/>
      <c r="K51" s="135"/>
      <c r="L51" s="135"/>
      <c r="M51" s="135"/>
      <c r="N51" s="135"/>
      <c r="O51" s="135"/>
      <c r="P51" s="135"/>
      <c r="Q51" s="135"/>
    </row>
    <row r="52" customFormat="false" ht="15.75" hidden="false" customHeight="true" outlineLevel="0" collapsed="false">
      <c r="A52" s="135"/>
      <c r="B52" s="140" t="s">
        <v>774</v>
      </c>
      <c r="C52" s="175" t="n">
        <f aca="false">Model!CA464</f>
        <v>221.21</v>
      </c>
      <c r="D52" s="135"/>
      <c r="E52" s="135"/>
      <c r="F52" s="135"/>
      <c r="G52" s="135"/>
      <c r="H52" s="135"/>
      <c r="I52" s="135"/>
      <c r="J52" s="135"/>
      <c r="K52" s="135"/>
      <c r="L52" s="135"/>
      <c r="M52" s="135"/>
      <c r="N52" s="135"/>
      <c r="O52" s="135"/>
      <c r="P52" s="135"/>
      <c r="Q52" s="135"/>
    </row>
    <row r="53" customFormat="false" ht="15.75" hidden="false" customHeight="true" outlineLevel="0" collapsed="false">
      <c r="A53" s="135"/>
      <c r="B53" s="145" t="s">
        <v>775</v>
      </c>
      <c r="C53" s="176" t="n">
        <f aca="false">C51/C52-1</f>
        <v>-0.0464445507343944</v>
      </c>
      <c r="D53" s="135"/>
      <c r="E53" s="135"/>
      <c r="F53" s="135"/>
      <c r="G53" s="135"/>
      <c r="H53" s="135"/>
      <c r="I53" s="135"/>
      <c r="J53" s="135"/>
      <c r="K53" s="135"/>
      <c r="L53" s="135"/>
      <c r="M53" s="135"/>
      <c r="N53" s="135"/>
      <c r="O53" s="135"/>
      <c r="P53" s="135"/>
      <c r="Q53" s="135"/>
    </row>
    <row r="54" customFormat="false" ht="15.75" hidden="false" customHeight="true" outlineLevel="0" collapsed="false">
      <c r="A54" s="135"/>
      <c r="B54" s="140" t="s">
        <v>776</v>
      </c>
      <c r="C54" s="172" t="n">
        <f aca="false">1-((1+C13)/(1+H54))^H55</f>
        <v>0.166872096829546</v>
      </c>
      <c r="D54" s="177" t="s">
        <v>777</v>
      </c>
      <c r="E54" s="178" t="s">
        <v>778</v>
      </c>
      <c r="F54" s="135"/>
      <c r="G54" s="135"/>
      <c r="H54" s="160" t="n">
        <v>0.15</v>
      </c>
      <c r="I54" s="135"/>
      <c r="J54" s="135"/>
      <c r="K54" s="135"/>
      <c r="L54" s="135"/>
      <c r="M54" s="135"/>
      <c r="N54" s="135"/>
      <c r="O54" s="135"/>
      <c r="P54" s="135"/>
      <c r="Q54" s="135"/>
    </row>
    <row r="55" customFormat="false" ht="15.75" hidden="false" customHeight="true" outlineLevel="0" collapsed="false">
      <c r="A55" s="135"/>
      <c r="B55" s="145" t="s">
        <v>779</v>
      </c>
      <c r="C55" s="179" t="n">
        <f aca="false">C51*(1-C54)</f>
        <v>175.736668159675</v>
      </c>
      <c r="D55" s="172" t="n">
        <f aca="false">C55/C52-1</f>
        <v>-0.205566347996586</v>
      </c>
      <c r="E55" s="178" t="s">
        <v>780</v>
      </c>
      <c r="F55" s="135"/>
      <c r="G55" s="135"/>
      <c r="H55" s="180" t="n">
        <v>3</v>
      </c>
      <c r="I55" s="135"/>
      <c r="J55" s="135"/>
      <c r="K55" s="135"/>
      <c r="L55" s="135"/>
      <c r="M55" s="135"/>
      <c r="N55" s="135"/>
      <c r="O55" s="135"/>
      <c r="P55" s="135"/>
      <c r="Q55" s="135"/>
    </row>
    <row r="56" customFormat="false" ht="15" hidden="false" customHeight="true" outlineLevel="0" collapsed="false">
      <c r="A56" s="135"/>
      <c r="B56" s="135"/>
      <c r="C56" s="135"/>
      <c r="D56" s="135"/>
      <c r="E56" s="135"/>
      <c r="F56" s="135"/>
      <c r="G56" s="135"/>
      <c r="H56" s="135"/>
      <c r="I56" s="135"/>
      <c r="J56" s="135"/>
      <c r="K56" s="135"/>
      <c r="L56" s="135"/>
      <c r="M56" s="135"/>
      <c r="N56" s="135"/>
      <c r="O56" s="135"/>
      <c r="P56" s="135"/>
      <c r="Q56" s="135"/>
    </row>
    <row r="57" customFormat="false" ht="15" hidden="false" customHeight="true" outlineLevel="0" collapsed="false">
      <c r="A57" s="135"/>
      <c r="B57" s="135"/>
      <c r="C57" s="135"/>
      <c r="D57" s="135"/>
      <c r="E57" s="135"/>
      <c r="F57" s="135"/>
      <c r="G57" s="135"/>
      <c r="H57" s="135"/>
      <c r="I57" s="135"/>
      <c r="J57" s="135"/>
      <c r="K57" s="135"/>
      <c r="L57" s="135"/>
      <c r="M57" s="135"/>
      <c r="N57" s="135"/>
      <c r="O57" s="135"/>
      <c r="P57" s="135"/>
      <c r="Q57" s="135"/>
    </row>
    <row r="58" customFormat="false" ht="15.75" hidden="false" customHeight="true" outlineLevel="0" collapsed="false">
      <c r="A58" s="135"/>
      <c r="B58" s="138" t="s">
        <v>781</v>
      </c>
      <c r="C58" s="139"/>
      <c r="D58" s="139"/>
      <c r="E58" s="139"/>
      <c r="F58" s="139"/>
      <c r="G58" s="139"/>
      <c r="H58" s="139"/>
      <c r="I58" s="139"/>
      <c r="J58" s="139"/>
      <c r="K58" s="139"/>
      <c r="L58" s="139"/>
      <c r="M58" s="139"/>
      <c r="N58" s="139"/>
      <c r="O58" s="135"/>
      <c r="P58" s="135"/>
      <c r="Q58" s="135"/>
    </row>
    <row r="59" customFormat="false" ht="15" hidden="false" customHeight="true" outlineLevel="0" collapsed="false">
      <c r="A59" s="135"/>
      <c r="B59" s="135"/>
      <c r="C59" s="135"/>
      <c r="D59" s="135"/>
      <c r="E59" s="135"/>
      <c r="F59" s="135"/>
      <c r="G59" s="135"/>
      <c r="H59" s="135"/>
      <c r="I59" s="135"/>
      <c r="J59" s="135"/>
      <c r="K59" s="135"/>
      <c r="L59" s="135"/>
      <c r="M59" s="135"/>
      <c r="N59" s="135"/>
      <c r="O59" s="135"/>
      <c r="P59" s="135"/>
      <c r="Q59" s="135"/>
    </row>
    <row r="60" customFormat="false" ht="15.75" hidden="false" customHeight="true" outlineLevel="0" collapsed="false">
      <c r="A60" s="135"/>
      <c r="B60" s="145"/>
      <c r="C60" s="135"/>
      <c r="D60" s="181" t="s">
        <v>782</v>
      </c>
      <c r="E60" s="181"/>
      <c r="F60" s="181"/>
      <c r="G60" s="181"/>
      <c r="H60" s="181"/>
      <c r="I60" s="135"/>
      <c r="J60" s="135"/>
      <c r="K60" s="135"/>
      <c r="L60" s="135"/>
      <c r="M60" s="135"/>
      <c r="N60" s="135"/>
      <c r="O60" s="135"/>
      <c r="P60" s="135"/>
      <c r="Q60" s="135"/>
    </row>
    <row r="61" customFormat="false" ht="15.75" hidden="false" customHeight="true" outlineLevel="0" collapsed="false">
      <c r="A61" s="135"/>
      <c r="B61" s="182" t="s">
        <v>783</v>
      </c>
      <c r="C61" s="183"/>
      <c r="D61" s="184" t="n">
        <f aca="false">F61-0.01</f>
        <v>0.0721025</v>
      </c>
      <c r="E61" s="184" t="n">
        <f aca="false">F61-0.005</f>
        <v>0.0771025</v>
      </c>
      <c r="F61" s="184" t="n">
        <f aca="false">$C$13</f>
        <v>0.0821025</v>
      </c>
      <c r="G61" s="184" t="n">
        <f aca="false">F61+0.005</f>
        <v>0.0871025</v>
      </c>
      <c r="H61" s="185" t="n">
        <f aca="false">F61+0.01</f>
        <v>0.0921025</v>
      </c>
      <c r="I61" s="135"/>
      <c r="J61" s="135"/>
      <c r="K61" s="135"/>
      <c r="L61" s="135"/>
      <c r="M61" s="135"/>
      <c r="N61" s="135"/>
      <c r="O61" s="135"/>
      <c r="P61" s="135"/>
      <c r="Q61" s="135"/>
    </row>
    <row r="62" customFormat="false" ht="15.75" hidden="false" customHeight="true" outlineLevel="0" collapsed="false">
      <c r="A62" s="135"/>
      <c r="B62" s="186" t="n">
        <f aca="false">B64-0.01</f>
        <v>0.025</v>
      </c>
      <c r="C62" s="135"/>
      <c r="D62" s="187" t="n">
        <f aca="false" t="array" ref="D62:D62">IFERROR((SUMPRODUCT($D$24:$M$24/(1+D$61)^$D$29:$M$29)+($M$24*(1+$B62)/(D$61-$B62))/(1+D$61)^$M$29-$C$48)/$C$50,"")</f>
        <v>227.536430710937</v>
      </c>
      <c r="E62" s="187" t="n">
        <f aca="false" t="array" ref="E62:E62">IFERROR((SUMPRODUCT($D$24:$M$24/(1+E$61)^$D$29:$M$29)+($M$24*(1+$B62)/(E$61-$B62))/(1+E$61)^$M$29-$C$48)/$C$50,"")</f>
        <v>201.705207888273</v>
      </c>
      <c r="F62" s="187" t="n">
        <f aca="false" t="array" ref="F62:F62">IFERROR((SUMPRODUCT($D$24:$M$24/(1+F$61)^$D$29:$M$29)+($M$24*(1+$B62)/(F$61-$B62))/(1+F$61)^$M$29-$C$48)/$C$50,"")</f>
        <v>180.441009948213</v>
      </c>
      <c r="G62" s="187" t="n">
        <f aca="false" t="array" ref="G62:G62">IFERROR((SUMPRODUCT($D$24:$M$24/(1+G$61)^$D$29:$M$29)+($M$24*(1+$B62)/(G$61-$B62))/(1+G$61)^$M$29-$C$48)/$C$50,"")</f>
        <v>162.639413220522</v>
      </c>
      <c r="H62" s="188" t="n">
        <f aca="false" t="array" ref="H62:H62">IFERROR((SUMPRODUCT($D$24:$M$24/(1+H$61)^$D$29:$M$29)+($M$24*(1+$B62)/(H$61-$B62))/(1+H$61)^$M$29-$C$48)/$C$50,"")</f>
        <v>147.52521613117</v>
      </c>
      <c r="I62" s="135"/>
      <c r="J62" s="135"/>
      <c r="K62" s="135"/>
      <c r="L62" s="135"/>
      <c r="M62" s="135"/>
      <c r="N62" s="135"/>
      <c r="O62" s="135"/>
      <c r="P62" s="135"/>
      <c r="Q62" s="135"/>
    </row>
    <row r="63" customFormat="false" ht="15.75" hidden="false" customHeight="true" outlineLevel="0" collapsed="false">
      <c r="A63" s="135"/>
      <c r="B63" s="186" t="n">
        <f aca="false">B64-0.005</f>
        <v>0.03</v>
      </c>
      <c r="C63" s="135"/>
      <c r="D63" s="187" t="n">
        <f aca="false" t="array" ref="D63:D63">IFERROR((SUMPRODUCT($D$24:$M$24/(1+D$61)^$D$29:$M$29)+($M$24*(1+$B63)/(D$61-$B63))/(1+D$61)^$M$29-$C$48)/$C$50,"")</f>
        <v>249.859253001932</v>
      </c>
      <c r="E63" s="187" t="n">
        <f aca="false" t="array" ref="E63:E63">IFERROR((SUMPRODUCT($D$24:$M$24/(1+E$61)^$D$29:$M$29)+($M$24*(1+$B63)/(E$61-$B63))/(1+E$61)^$M$29-$C$48)/$C$50,"")</f>
        <v>219.065547454853</v>
      </c>
      <c r="F63" s="187" t="n">
        <f aca="false" t="array" ref="F63:F63">IFERROR((SUMPRODUCT($D$24:$M$24/(1+F$61)^$D$29:$M$29)+($M$24*(1+$B63)/(F$61-$B63))/(1+F$61)^$M$29-$C$48)/$C$50,"")</f>
        <v>194.225284338271</v>
      </c>
      <c r="G63" s="187" t="n">
        <f aca="false" t="array" ref="G63:G63">IFERROR((SUMPRODUCT($D$24:$M$24/(1+G$61)^$D$29:$M$29)+($M$24*(1+$B63)/(G$61-$B63))/(1+G$61)^$M$29-$C$48)/$C$50,"")</f>
        <v>173.773294922788</v>
      </c>
      <c r="H63" s="188" t="n">
        <f aca="false" t="array" ref="H63:H63">IFERROR((SUMPRODUCT($D$24:$M$24/(1+H$61)^$D$29:$M$29)+($M$24*(1+$B63)/(H$61-$B63))/(1+H$61)^$M$29-$C$48)/$C$50,"")</f>
        <v>156.648514827998</v>
      </c>
      <c r="I63" s="135"/>
      <c r="J63" s="135"/>
      <c r="K63" s="135"/>
      <c r="L63" s="135"/>
      <c r="M63" s="135"/>
      <c r="N63" s="135"/>
      <c r="O63" s="135"/>
      <c r="P63" s="135"/>
      <c r="Q63" s="135"/>
    </row>
    <row r="64" customFormat="false" ht="15.75" hidden="false" customHeight="true" outlineLevel="0" collapsed="false">
      <c r="A64" s="135"/>
      <c r="B64" s="186" t="n">
        <f aca="false">$C$27</f>
        <v>0.035</v>
      </c>
      <c r="C64" s="135"/>
      <c r="D64" s="187" t="n">
        <f aca="false" t="array" ref="D64:D64">IFERROR((SUMPRODUCT($D$24:$M$24/(1+D$61)^$D$29:$M$29)+($M$24*(1+$B64)/(D$61-$B64))/(1+D$61)^$M$29-$C$48)/$C$50,"")</f>
        <v>278.198603098599</v>
      </c>
      <c r="E64" s="187" t="n">
        <f aca="false" t="array" ref="E64:E64">IFERROR((SUMPRODUCT($D$24:$M$24/(1+E$61)^$D$29:$M$29)+($M$24*(1+$B64)/(E$61-$B64))/(1+E$61)^$M$29-$C$48)/$C$50,"")</f>
        <v>240.549238263421</v>
      </c>
      <c r="F64" s="189" t="n">
        <f aca="false" t="array" ref="F64:F64">IFERROR((SUMPRODUCT($D$24:$M$24/(1+F$61)^$D$29:$M$29)+($M$24*(1+$B64)/(F$61-$B64))/(1+F$61)^$M$29-$C$48)/$C$50,"")</f>
        <v>210.936000932045</v>
      </c>
      <c r="G64" s="187" t="n">
        <f aca="false" t="array" ref="G64:G64">IFERROR((SUMPRODUCT($D$24:$M$24/(1+G$61)^$D$29:$M$29)+($M$24*(1+$B64)/(G$61-$B64))/(1+G$61)^$M$29-$C$48)/$C$50,"")</f>
        <v>187.044095525734</v>
      </c>
      <c r="H64" s="188" t="n">
        <f aca="false" t="array" ref="H64:H64">IFERROR((SUMPRODUCT($D$24:$M$24/(1+H$61)^$D$29:$M$29)+($M$24*(1+$B64)/(H$61-$B64))/(1+H$61)^$M$29-$C$48)/$C$50,"")</f>
        <v>167.369519176388</v>
      </c>
      <c r="I64" s="135"/>
      <c r="J64" s="135"/>
      <c r="K64" s="135"/>
      <c r="L64" s="135"/>
      <c r="M64" s="135"/>
      <c r="N64" s="135"/>
      <c r="O64" s="135"/>
      <c r="P64" s="135"/>
      <c r="Q64" s="135"/>
    </row>
    <row r="65" customFormat="false" ht="15.75" hidden="false" customHeight="true" outlineLevel="0" collapsed="false">
      <c r="A65" s="135"/>
      <c r="B65" s="186" t="n">
        <f aca="false">B64+0.005</f>
        <v>0.04</v>
      </c>
      <c r="C65" s="135"/>
      <c r="D65" s="187" t="n">
        <f aca="false" t="array" ref="D65:D65">IFERROR((SUMPRODUCT($D$24:$M$24/(1+D$61)^$D$29:$M$29)+($M$24*(1+$B65)/(D$61-$B65))/(1+D$61)^$M$29-$C$48)/$C$50,"")</f>
        <v>315.365723648243</v>
      </c>
      <c r="E65" s="187" t="n">
        <f aca="false" t="array" ref="E65:E65">IFERROR((SUMPRODUCT($D$24:$M$24/(1+E$61)^$D$29:$M$29)+($M$24*(1+$B65)/(E$61-$B65))/(1+E$61)^$M$29-$C$48)/$C$50,"")</f>
        <v>267.823291125373</v>
      </c>
      <c r="F65" s="187" t="n">
        <f aca="false" t="array" ref="F65:F65">IFERROR((SUMPRODUCT($D$24:$M$24/(1+F$61)^$D$29:$M$29)+($M$24*(1+$B65)/(F$61-$B65))/(1+F$61)^$M$29-$C$48)/$C$50,"")</f>
        <v>231.615773186118</v>
      </c>
      <c r="G65" s="187" t="n">
        <f aca="false" t="array" ref="G65:G65">IFERROR((SUMPRODUCT($D$24:$M$24/(1+G$61)^$D$29:$M$29)+($M$24*(1+$B65)/(G$61-$B65))/(1+G$61)^$M$29-$C$48)/$C$50,"")</f>
        <v>203.1323263294</v>
      </c>
      <c r="H65" s="188" t="n">
        <f aca="false" t="array" ref="H65:H65">IFERROR((SUMPRODUCT($D$24:$M$24/(1+H$61)^$D$29:$M$29)+($M$24*(1+$B65)/(H$61-$B65))/(1+H$61)^$M$29-$C$48)/$C$50,"")</f>
        <v>180.148199135045</v>
      </c>
      <c r="I65" s="135"/>
      <c r="J65" s="135"/>
      <c r="K65" s="135"/>
      <c r="L65" s="135"/>
      <c r="M65" s="135"/>
      <c r="N65" s="135"/>
      <c r="O65" s="135"/>
      <c r="P65" s="135"/>
      <c r="Q65" s="135"/>
    </row>
    <row r="66" customFormat="false" ht="15.75" hidden="false" customHeight="true" outlineLevel="0" collapsed="false">
      <c r="A66" s="135"/>
      <c r="B66" s="190" t="n">
        <f aca="false">B64+0.01</f>
        <v>0.045</v>
      </c>
      <c r="C66" s="191"/>
      <c r="D66" s="192" t="n">
        <f aca="false" t="array" ref="D66:D66">IFERROR((SUMPRODUCT($D$24:$M$24/(1+D$61)^$D$29:$M$29)+($M$24*(1+$B66)/(D$61-$B66))/(1+D$61)^$M$29-$C$48)/$C$50,"")</f>
        <v>366.246383742078</v>
      </c>
      <c r="E66" s="192" t="n">
        <f aca="false" t="array" ref="E66:E66">IFERROR((SUMPRODUCT($D$24:$M$24/(1+E$61)^$D$29:$M$29)+($M$24*(1+$B66)/(E$61-$B66))/(1+E$61)^$M$29-$C$48)/$C$50,"")</f>
        <v>303.59327198731</v>
      </c>
      <c r="F66" s="192" t="n">
        <f aca="false" t="array" ref="F66:F66">IFERROR((SUMPRODUCT($D$24:$M$24/(1+F$61)^$D$29:$M$29)+($M$24*(1+$B66)/(F$61-$B66))/(1+F$61)^$M$29-$C$48)/$C$50,"")</f>
        <v>257.869232456989</v>
      </c>
      <c r="G66" s="192" t="n">
        <f aca="false" t="array" ref="G66:G66">IFERROR((SUMPRODUCT($D$24:$M$24/(1+G$61)^$D$29:$M$29)+($M$24*(1+$B66)/(G$61-$B66))/(1+G$61)^$M$29-$C$48)/$C$50,"")</f>
        <v>223.041762715554</v>
      </c>
      <c r="H66" s="193" t="n">
        <f aca="false" t="array" ref="H66:H66">IFERROR((SUMPRODUCT($D$24:$M$24/(1+H$61)^$D$29:$M$29)+($M$24*(1+$B66)/(H$61-$B66))/(1+H$61)^$M$29-$C$48)/$C$50,"")</f>
        <v>195.639830626774</v>
      </c>
      <c r="I66" s="135"/>
      <c r="J66" s="135"/>
      <c r="K66" s="135"/>
      <c r="L66" s="135"/>
      <c r="M66" s="135"/>
      <c r="N66" s="135"/>
      <c r="O66" s="135"/>
      <c r="P66" s="135"/>
      <c r="Q66" s="135"/>
    </row>
    <row r="67" customFormat="false" ht="15" hidden="false" customHeight="true" outlineLevel="0" collapsed="false">
      <c r="A67" s="135"/>
      <c r="B67" s="135"/>
      <c r="C67" s="135"/>
      <c r="D67" s="135"/>
      <c r="E67" s="135"/>
      <c r="F67" s="135"/>
      <c r="G67" s="135"/>
      <c r="H67" s="135"/>
      <c r="I67" s="135"/>
      <c r="J67" s="135"/>
      <c r="K67" s="135"/>
      <c r="L67" s="135"/>
      <c r="M67" s="135"/>
      <c r="N67" s="135"/>
      <c r="O67" s="135"/>
      <c r="P67" s="135"/>
      <c r="Q67" s="135"/>
    </row>
    <row r="68" customFormat="false" ht="15" hidden="false" customHeight="true" outlineLevel="0" collapsed="false">
      <c r="A68" s="135"/>
      <c r="B68" s="135"/>
      <c r="C68" s="135"/>
      <c r="D68" s="135"/>
      <c r="E68" s="135"/>
      <c r="F68" s="135"/>
      <c r="G68" s="135"/>
      <c r="H68" s="135"/>
      <c r="I68" s="135"/>
      <c r="J68" s="135"/>
      <c r="K68" s="135"/>
      <c r="L68" s="135"/>
      <c r="M68" s="135"/>
      <c r="N68" s="135"/>
      <c r="O68" s="135"/>
      <c r="P68" s="135"/>
      <c r="Q68" s="135"/>
    </row>
    <row r="69" customFormat="false" ht="15.75" hidden="false" customHeight="true" outlineLevel="0" collapsed="false">
      <c r="A69" s="135"/>
      <c r="B69" s="138" t="s">
        <v>784</v>
      </c>
      <c r="C69" s="139"/>
      <c r="D69" s="139"/>
      <c r="E69" s="139"/>
      <c r="F69" s="139"/>
      <c r="G69" s="139"/>
      <c r="H69" s="139"/>
      <c r="I69" s="139"/>
      <c r="J69" s="139"/>
      <c r="K69" s="139"/>
      <c r="L69" s="139"/>
      <c r="M69" s="139"/>
      <c r="N69" s="139"/>
      <c r="O69" s="135"/>
      <c r="P69" s="135"/>
      <c r="Q69" s="135"/>
    </row>
    <row r="70" customFormat="false" ht="15" hidden="false" customHeight="true" outlineLevel="0" collapsed="false">
      <c r="A70" s="135"/>
      <c r="B70" s="142" t="s">
        <v>785</v>
      </c>
      <c r="C70" s="135"/>
      <c r="D70" s="135"/>
      <c r="E70" s="135"/>
      <c r="F70" s="135"/>
      <c r="G70" s="135"/>
      <c r="H70" s="135"/>
      <c r="I70" s="135"/>
      <c r="J70" s="135"/>
      <c r="K70" s="135"/>
      <c r="L70" s="135"/>
      <c r="M70" s="135"/>
      <c r="N70" s="135"/>
      <c r="O70" s="135"/>
      <c r="P70" s="135"/>
      <c r="Q70" s="135"/>
    </row>
    <row r="71" customFormat="false" ht="15" hidden="false" customHeight="true" outlineLevel="0" collapsed="false">
      <c r="A71" s="135"/>
      <c r="B71" s="135"/>
      <c r="C71" s="135"/>
      <c r="D71" s="135"/>
      <c r="E71" s="135"/>
      <c r="F71" s="135"/>
      <c r="G71" s="135"/>
      <c r="H71" s="135"/>
      <c r="I71" s="135"/>
      <c r="J71" s="135"/>
      <c r="K71" s="135"/>
      <c r="L71" s="135"/>
      <c r="M71" s="135"/>
      <c r="N71" s="135"/>
      <c r="O71" s="135"/>
      <c r="P71" s="135"/>
      <c r="Q71" s="135"/>
    </row>
    <row r="72" customFormat="false" ht="15.75" hidden="false" customHeight="true" outlineLevel="0" collapsed="false">
      <c r="A72" s="135"/>
      <c r="B72" s="138" t="s">
        <v>786</v>
      </c>
      <c r="C72" s="139"/>
      <c r="D72" s="139"/>
      <c r="E72" s="139"/>
      <c r="F72" s="139"/>
      <c r="G72" s="139"/>
      <c r="H72" s="139"/>
      <c r="I72" s="139"/>
      <c r="J72" s="139"/>
      <c r="K72" s="139"/>
      <c r="L72" s="139"/>
      <c r="M72" s="139"/>
      <c r="N72" s="139"/>
      <c r="O72" s="135"/>
      <c r="P72" s="135"/>
      <c r="Q72" s="135"/>
    </row>
    <row r="73" customFormat="false" ht="15" hidden="false" customHeight="true" outlineLevel="0" collapsed="false">
      <c r="A73" s="135"/>
      <c r="B73" s="142" t="s">
        <v>787</v>
      </c>
      <c r="C73" s="135"/>
      <c r="D73" s="135"/>
      <c r="E73" s="135"/>
      <c r="F73" s="135"/>
      <c r="G73" s="135"/>
      <c r="H73" s="135"/>
      <c r="I73" s="135"/>
      <c r="J73" s="135"/>
      <c r="K73" s="135"/>
      <c r="L73" s="135"/>
      <c r="M73" s="135"/>
      <c r="N73" s="135"/>
      <c r="O73" s="135"/>
      <c r="P73" s="135"/>
      <c r="Q73" s="135"/>
    </row>
    <row r="74" customFormat="false" ht="15" hidden="false" customHeight="true" outlineLevel="0" collapsed="false">
      <c r="A74" s="135"/>
      <c r="B74" s="142" t="s">
        <v>788</v>
      </c>
      <c r="C74" s="135"/>
      <c r="D74" s="135"/>
      <c r="E74" s="135"/>
      <c r="F74" s="135"/>
      <c r="G74" s="135"/>
      <c r="H74" s="135"/>
      <c r="I74" s="135"/>
      <c r="J74" s="135"/>
      <c r="K74" s="135"/>
      <c r="L74" s="135"/>
      <c r="M74" s="135"/>
      <c r="N74" s="135"/>
      <c r="O74" s="135"/>
      <c r="P74" s="135"/>
      <c r="Q74" s="135"/>
    </row>
    <row r="75" customFormat="false" ht="15" hidden="false" customHeight="true" outlineLevel="0" collapsed="false">
      <c r="A75" s="135"/>
      <c r="B75" s="135"/>
      <c r="C75" s="135"/>
      <c r="D75" s="135"/>
      <c r="E75" s="135"/>
      <c r="F75" s="135"/>
      <c r="G75" s="135"/>
      <c r="H75" s="135"/>
      <c r="I75" s="135"/>
      <c r="J75" s="135"/>
      <c r="K75" s="135"/>
      <c r="L75" s="135"/>
      <c r="M75" s="135"/>
      <c r="N75" s="135"/>
      <c r="O75" s="135"/>
      <c r="P75" s="135"/>
      <c r="Q75" s="135"/>
    </row>
    <row r="76" customFormat="false" ht="15.75" hidden="false" customHeight="true" outlineLevel="0" collapsed="false">
      <c r="A76" s="135"/>
      <c r="B76" s="138" t="s">
        <v>789</v>
      </c>
      <c r="C76" s="194" t="s">
        <v>790</v>
      </c>
      <c r="D76" s="138" t="s">
        <v>791</v>
      </c>
      <c r="E76" s="139"/>
      <c r="F76" s="139"/>
      <c r="G76" s="139"/>
      <c r="H76" s="139"/>
      <c r="I76" s="139"/>
      <c r="J76" s="139"/>
      <c r="K76" s="139"/>
      <c r="L76" s="139"/>
      <c r="M76" s="139"/>
      <c r="N76" s="139"/>
      <c r="O76" s="135"/>
      <c r="P76" s="135"/>
      <c r="Q76" s="135"/>
    </row>
    <row r="77" customFormat="false" ht="15.75" hidden="false" customHeight="true" outlineLevel="0" collapsed="false">
      <c r="A77" s="135"/>
      <c r="B77" s="140" t="s">
        <v>792</v>
      </c>
      <c r="C77" s="195" t="n">
        <f aca="false">$C$13</f>
        <v>0.0821025</v>
      </c>
      <c r="D77" s="142" t="s">
        <v>793</v>
      </c>
      <c r="E77" s="135"/>
      <c r="F77" s="135"/>
      <c r="G77" s="135"/>
      <c r="H77" s="135"/>
      <c r="I77" s="135"/>
      <c r="J77" s="135"/>
      <c r="K77" s="135"/>
      <c r="L77" s="135"/>
      <c r="M77" s="135"/>
      <c r="N77" s="135"/>
      <c r="O77" s="135"/>
      <c r="P77" s="135"/>
      <c r="Q77" s="135"/>
    </row>
    <row r="78" customFormat="false" ht="15.75" hidden="false" customHeight="true" outlineLevel="0" collapsed="false">
      <c r="A78" s="135"/>
      <c r="B78" s="140" t="s">
        <v>794</v>
      </c>
      <c r="C78" s="196" t="n">
        <v>0.08</v>
      </c>
      <c r="D78" s="142" t="s">
        <v>795</v>
      </c>
      <c r="E78" s="135"/>
      <c r="F78" s="135"/>
      <c r="G78" s="135"/>
      <c r="H78" s="135"/>
      <c r="I78" s="135"/>
      <c r="J78" s="135"/>
      <c r="K78" s="135"/>
      <c r="L78" s="135"/>
      <c r="M78" s="135"/>
      <c r="N78" s="135"/>
      <c r="O78" s="135"/>
      <c r="P78" s="135"/>
      <c r="Q78" s="135"/>
    </row>
    <row r="79" customFormat="false" ht="15.75" hidden="false" customHeight="true" outlineLevel="0" collapsed="false">
      <c r="A79" s="135"/>
      <c r="B79" s="140" t="s">
        <v>796</v>
      </c>
      <c r="C79" s="196" t="n">
        <v>0.12</v>
      </c>
      <c r="D79" s="142" t="s">
        <v>797</v>
      </c>
      <c r="E79" s="135"/>
      <c r="F79" s="135"/>
      <c r="G79" s="135"/>
      <c r="H79" s="135"/>
      <c r="I79" s="135"/>
      <c r="J79" s="135"/>
      <c r="K79" s="135"/>
      <c r="L79" s="135"/>
      <c r="M79" s="135"/>
      <c r="N79" s="135"/>
      <c r="O79" s="135"/>
      <c r="P79" s="135"/>
      <c r="Q79" s="135"/>
    </row>
    <row r="80" customFormat="false" ht="15.75" hidden="false" customHeight="true" outlineLevel="0" collapsed="false">
      <c r="A80" s="135"/>
      <c r="B80" s="140" t="s">
        <v>798</v>
      </c>
      <c r="C80" s="197" t="n">
        <v>15</v>
      </c>
      <c r="D80" s="142" t="s">
        <v>799</v>
      </c>
      <c r="E80" s="135"/>
      <c r="F80" s="135"/>
      <c r="G80" s="135"/>
      <c r="H80" s="135"/>
      <c r="I80" s="135"/>
      <c r="J80" s="135"/>
      <c r="K80" s="135"/>
      <c r="L80" s="135"/>
      <c r="M80" s="135"/>
      <c r="N80" s="135"/>
      <c r="O80" s="135"/>
      <c r="P80" s="135"/>
      <c r="Q80" s="135"/>
    </row>
    <row r="81" customFormat="false" ht="15" hidden="false" customHeight="true" outlineLevel="0" collapsed="false">
      <c r="A81" s="135"/>
      <c r="B81" s="135"/>
      <c r="C81" s="135"/>
      <c r="D81" s="135"/>
      <c r="E81" s="135"/>
      <c r="F81" s="135"/>
      <c r="G81" s="135"/>
      <c r="H81" s="135"/>
      <c r="I81" s="135"/>
      <c r="J81" s="135"/>
      <c r="K81" s="135"/>
      <c r="L81" s="135"/>
      <c r="M81" s="135"/>
      <c r="N81" s="135"/>
      <c r="O81" s="135"/>
      <c r="P81" s="135"/>
      <c r="Q81" s="135"/>
    </row>
    <row r="82" customFormat="false" ht="15.75" hidden="false" customHeight="true" outlineLevel="0" collapsed="false">
      <c r="A82" s="135"/>
      <c r="B82" s="138" t="s">
        <v>800</v>
      </c>
      <c r="C82" s="194" t="s">
        <v>790</v>
      </c>
      <c r="D82" s="135"/>
      <c r="E82" s="135"/>
      <c r="F82" s="135"/>
      <c r="G82" s="135"/>
      <c r="H82" s="135"/>
      <c r="I82" s="135"/>
      <c r="J82" s="135"/>
      <c r="K82" s="135"/>
      <c r="L82" s="135"/>
      <c r="M82" s="135"/>
      <c r="N82" s="135"/>
      <c r="O82" s="135"/>
      <c r="P82" s="135"/>
      <c r="Q82" s="135"/>
    </row>
    <row r="83" customFormat="false" ht="15.75" hidden="false" customHeight="true" outlineLevel="0" collapsed="false">
      <c r="A83" s="135"/>
      <c r="B83" s="140" t="s">
        <v>801</v>
      </c>
      <c r="C83" s="198" t="n">
        <f aca="false">1/C77</f>
        <v>12.1798970798697</v>
      </c>
      <c r="D83" s="135"/>
      <c r="E83" s="135"/>
      <c r="F83" s="135"/>
      <c r="G83" s="135"/>
      <c r="H83" s="135"/>
      <c r="I83" s="135"/>
      <c r="J83" s="135"/>
      <c r="K83" s="135"/>
      <c r="L83" s="135"/>
      <c r="M83" s="135"/>
      <c r="N83" s="135"/>
      <c r="O83" s="135"/>
      <c r="P83" s="135"/>
      <c r="Q83" s="135"/>
    </row>
    <row r="84" customFormat="false" ht="15.75" hidden="false" customHeight="true" outlineLevel="0" collapsed="false">
      <c r="A84" s="135"/>
      <c r="B84" s="140" t="s">
        <v>802</v>
      </c>
      <c r="C84" s="199" t="n">
        <f aca="false">1-C77/C79</f>
        <v>0.3158125</v>
      </c>
      <c r="D84" s="135"/>
      <c r="E84" s="135"/>
      <c r="F84" s="135"/>
      <c r="G84" s="135"/>
      <c r="H84" s="135"/>
      <c r="I84" s="135"/>
      <c r="J84" s="135"/>
      <c r="K84" s="135"/>
      <c r="L84" s="135"/>
      <c r="M84" s="135"/>
      <c r="N84" s="135"/>
      <c r="O84" s="135"/>
      <c r="P84" s="135"/>
      <c r="Q84" s="135"/>
    </row>
    <row r="85" customFormat="false" ht="15.75" hidden="false" customHeight="true" outlineLevel="0" collapsed="false">
      <c r="A85" s="135"/>
      <c r="B85" s="140" t="s">
        <v>803</v>
      </c>
      <c r="C85" s="199" t="n">
        <f aca="false">C78*C84/(C77*(C77-C78))</f>
        <v>146.36152186583</v>
      </c>
      <c r="D85" s="135"/>
      <c r="E85" s="135"/>
      <c r="F85" s="135"/>
      <c r="G85" s="135"/>
      <c r="H85" s="135"/>
      <c r="I85" s="135"/>
      <c r="J85" s="135"/>
      <c r="K85" s="135"/>
      <c r="L85" s="135"/>
      <c r="M85" s="135"/>
      <c r="N85" s="135"/>
      <c r="O85" s="135"/>
      <c r="P85" s="135"/>
      <c r="Q85" s="135"/>
    </row>
    <row r="86" customFormat="false" ht="15.75" hidden="false" customHeight="true" outlineLevel="0" collapsed="false">
      <c r="A86" s="135"/>
      <c r="B86" s="140" t="s">
        <v>804</v>
      </c>
      <c r="C86" s="200" t="n">
        <f aca="false">1-((1+C78)/(1+C77))^C80</f>
        <v>0.0287515776851426</v>
      </c>
      <c r="D86" s="135"/>
      <c r="E86" s="135"/>
      <c r="F86" s="135"/>
      <c r="G86" s="135"/>
      <c r="H86" s="135"/>
      <c r="I86" s="135"/>
      <c r="J86" s="135"/>
      <c r="K86" s="135"/>
      <c r="L86" s="135"/>
      <c r="M86" s="135"/>
      <c r="N86" s="135"/>
      <c r="O86" s="135"/>
      <c r="P86" s="135"/>
      <c r="Q86" s="135"/>
    </row>
    <row r="87" customFormat="false" ht="15.75" hidden="false" customHeight="true" outlineLevel="0" collapsed="false">
      <c r="A87" s="135"/>
      <c r="B87" s="140" t="s">
        <v>805</v>
      </c>
      <c r="C87" s="198" t="n">
        <f aca="false">C85*C86</f>
        <v>4.20812466604112</v>
      </c>
      <c r="D87" s="135"/>
      <c r="E87" s="135"/>
      <c r="F87" s="135"/>
      <c r="G87" s="135"/>
      <c r="H87" s="135"/>
      <c r="I87" s="135"/>
      <c r="J87" s="135"/>
      <c r="K87" s="135"/>
      <c r="L87" s="135"/>
      <c r="M87" s="135"/>
      <c r="N87" s="135"/>
      <c r="O87" s="135"/>
      <c r="P87" s="135"/>
      <c r="Q87" s="135"/>
    </row>
    <row r="88" customFormat="false" ht="15.75" hidden="false" customHeight="true" outlineLevel="0" collapsed="false">
      <c r="A88" s="135"/>
      <c r="B88" s="201" t="s">
        <v>806</v>
      </c>
      <c r="C88" s="202" t="n">
        <f aca="false">C83+C87</f>
        <v>16.3880217459108</v>
      </c>
      <c r="D88" s="135"/>
      <c r="E88" s="135"/>
      <c r="F88" s="135"/>
      <c r="G88" s="135"/>
      <c r="H88" s="135"/>
      <c r="I88" s="135"/>
      <c r="J88" s="135"/>
      <c r="K88" s="135"/>
      <c r="L88" s="135"/>
      <c r="M88" s="135"/>
      <c r="N88" s="135"/>
      <c r="O88" s="135"/>
      <c r="P88" s="135"/>
      <c r="Q88" s="135"/>
    </row>
    <row r="89" customFormat="false" ht="15" hidden="false" customHeight="true" outlineLevel="0" collapsed="false">
      <c r="A89" s="135"/>
      <c r="B89" s="135"/>
      <c r="C89" s="135"/>
      <c r="D89" s="135"/>
      <c r="E89" s="135"/>
      <c r="F89" s="135"/>
      <c r="G89" s="135"/>
      <c r="H89" s="135"/>
      <c r="I89" s="135"/>
      <c r="J89" s="135"/>
      <c r="K89" s="135"/>
      <c r="L89" s="135"/>
      <c r="M89" s="135"/>
      <c r="N89" s="135"/>
      <c r="O89" s="135"/>
      <c r="P89" s="135"/>
      <c r="Q89" s="135"/>
    </row>
    <row r="90" customFormat="false" ht="15.75" hidden="false" customHeight="true" outlineLevel="0" collapsed="false">
      <c r="A90" s="135"/>
      <c r="B90" s="138" t="s">
        <v>807</v>
      </c>
      <c r="C90" s="194" t="s">
        <v>808</v>
      </c>
      <c r="D90" s="135"/>
      <c r="E90" s="135"/>
      <c r="F90" s="135"/>
      <c r="G90" s="135"/>
      <c r="H90" s="135"/>
      <c r="I90" s="135"/>
      <c r="J90" s="135"/>
      <c r="K90" s="135"/>
      <c r="L90" s="135"/>
      <c r="M90" s="135"/>
      <c r="N90" s="135"/>
      <c r="O90" s="135"/>
      <c r="P90" s="135"/>
      <c r="Q90" s="135"/>
    </row>
    <row r="91" customFormat="false" ht="15.75" hidden="false" customHeight="true" outlineLevel="0" collapsed="false">
      <c r="A91" s="135"/>
      <c r="B91" s="140" t="s">
        <v>809</v>
      </c>
      <c r="C91" s="203" t="n">
        <f aca="false">Model!CC243-Model!CC241</f>
        <v>9097.62622486999</v>
      </c>
      <c r="D91" s="135"/>
      <c r="E91" s="135"/>
      <c r="F91" s="135"/>
      <c r="G91" s="135"/>
      <c r="H91" s="135"/>
      <c r="I91" s="135"/>
      <c r="J91" s="135"/>
      <c r="K91" s="135"/>
      <c r="L91" s="135"/>
      <c r="M91" s="135"/>
      <c r="N91" s="135"/>
      <c r="O91" s="135"/>
      <c r="P91" s="135"/>
      <c r="Q91" s="135"/>
    </row>
    <row r="92" customFormat="false" ht="15.75" hidden="false" customHeight="true" outlineLevel="0" collapsed="false">
      <c r="A92" s="135"/>
      <c r="B92" s="140" t="s">
        <v>810</v>
      </c>
      <c r="C92" s="204" t="n">
        <f aca="false">$C$10</f>
        <v>0.17</v>
      </c>
      <c r="D92" s="135"/>
      <c r="E92" s="135"/>
      <c r="F92" s="135"/>
      <c r="G92" s="135"/>
      <c r="H92" s="135"/>
      <c r="I92" s="135"/>
      <c r="J92" s="135"/>
      <c r="K92" s="135"/>
      <c r="L92" s="135"/>
      <c r="M92" s="135"/>
      <c r="N92" s="135"/>
      <c r="O92" s="135"/>
      <c r="P92" s="135"/>
      <c r="Q92" s="135"/>
    </row>
    <row r="93" customFormat="false" ht="15.75" hidden="false" customHeight="true" outlineLevel="0" collapsed="false">
      <c r="A93" s="135"/>
      <c r="B93" s="140" t="s">
        <v>811</v>
      </c>
      <c r="C93" s="51" t="n">
        <f aca="false">C91*(1-C92)</f>
        <v>7551.02976664209</v>
      </c>
      <c r="D93" s="135"/>
      <c r="E93" s="135"/>
      <c r="F93" s="135"/>
      <c r="G93" s="135"/>
      <c r="H93" s="135"/>
      <c r="I93" s="135"/>
      <c r="J93" s="135"/>
      <c r="K93" s="135"/>
      <c r="L93" s="135"/>
      <c r="M93" s="135"/>
      <c r="N93" s="135"/>
      <c r="O93" s="135"/>
      <c r="P93" s="135"/>
      <c r="Q93" s="135"/>
    </row>
    <row r="94" customFormat="false" ht="15.75" hidden="false" customHeight="true" outlineLevel="0" collapsed="false">
      <c r="A94" s="135"/>
      <c r="B94" s="140" t="s">
        <v>812</v>
      </c>
      <c r="C94" s="205" t="n">
        <f aca="false">C88</f>
        <v>16.3880217459108</v>
      </c>
      <c r="D94" s="135"/>
      <c r="E94" s="135"/>
      <c r="F94" s="135"/>
      <c r="G94" s="135"/>
      <c r="H94" s="135"/>
      <c r="I94" s="135"/>
      <c r="J94" s="135"/>
      <c r="K94" s="135"/>
      <c r="L94" s="135"/>
      <c r="M94" s="135"/>
      <c r="N94" s="135"/>
      <c r="O94" s="135"/>
      <c r="P94" s="135"/>
      <c r="Q94" s="135"/>
    </row>
    <row r="95" customFormat="false" ht="15.75" hidden="false" customHeight="true" outlineLevel="0" collapsed="false">
      <c r="A95" s="135"/>
      <c r="B95" s="140" t="s">
        <v>813</v>
      </c>
      <c r="C95" s="51" t="n">
        <f aca="false">C93*C94</f>
        <v>123746.44001975</v>
      </c>
      <c r="D95" s="135"/>
      <c r="E95" s="135"/>
      <c r="F95" s="135"/>
      <c r="G95" s="135"/>
      <c r="H95" s="135"/>
      <c r="I95" s="135"/>
      <c r="J95" s="135"/>
      <c r="K95" s="135"/>
      <c r="L95" s="135"/>
      <c r="M95" s="135"/>
      <c r="N95" s="135"/>
      <c r="O95" s="135"/>
      <c r="P95" s="135"/>
      <c r="Q95" s="135"/>
    </row>
    <row r="96" customFormat="false" ht="15.75" hidden="false" customHeight="true" outlineLevel="0" collapsed="false">
      <c r="A96" s="135"/>
      <c r="B96" s="140" t="s">
        <v>814</v>
      </c>
      <c r="C96" s="203" t="n">
        <f aca="false">Model!CB459+Model!CB374</f>
        <v>18534.2403546049</v>
      </c>
      <c r="D96" s="135"/>
      <c r="E96" s="135"/>
      <c r="F96" s="135"/>
      <c r="G96" s="135"/>
      <c r="H96" s="135"/>
      <c r="I96" s="135"/>
      <c r="J96" s="135"/>
      <c r="K96" s="135"/>
      <c r="L96" s="135"/>
      <c r="M96" s="135"/>
      <c r="N96" s="135"/>
      <c r="O96" s="135"/>
      <c r="P96" s="135"/>
      <c r="Q96" s="135"/>
    </row>
    <row r="97" customFormat="false" ht="15.75" hidden="false" customHeight="true" outlineLevel="0" collapsed="false">
      <c r="A97" s="135"/>
      <c r="B97" s="140" t="s">
        <v>815</v>
      </c>
      <c r="C97" s="51" t="n">
        <f aca="false">C95-C96</f>
        <v>105212.199665145</v>
      </c>
      <c r="D97" s="135"/>
      <c r="E97" s="135"/>
      <c r="F97" s="135"/>
      <c r="G97" s="135"/>
      <c r="H97" s="135"/>
      <c r="I97" s="135"/>
      <c r="J97" s="135"/>
      <c r="K97" s="135"/>
      <c r="L97" s="135"/>
      <c r="M97" s="135"/>
      <c r="N97" s="135"/>
      <c r="O97" s="135"/>
      <c r="P97" s="135"/>
      <c r="Q97" s="135"/>
    </row>
    <row r="98" customFormat="false" ht="15.75" hidden="false" customHeight="true" outlineLevel="0" collapsed="false">
      <c r="A98" s="135"/>
      <c r="B98" s="140" t="s">
        <v>816</v>
      </c>
      <c r="C98" s="206" t="n">
        <f aca="false">Model!CC465</f>
        <v>680.102927971924</v>
      </c>
      <c r="D98" s="135"/>
      <c r="E98" s="135"/>
      <c r="F98" s="135"/>
      <c r="G98" s="135"/>
      <c r="H98" s="135"/>
      <c r="I98" s="135"/>
      <c r="J98" s="135"/>
      <c r="K98" s="135"/>
      <c r="L98" s="135"/>
      <c r="M98" s="135"/>
      <c r="N98" s="135"/>
      <c r="O98" s="135"/>
      <c r="P98" s="135"/>
      <c r="Q98" s="135"/>
    </row>
    <row r="99" customFormat="false" ht="15.75" hidden="false" customHeight="true" outlineLevel="0" collapsed="false">
      <c r="A99" s="135"/>
      <c r="B99" s="201" t="s">
        <v>817</v>
      </c>
      <c r="C99" s="207" t="n">
        <f aca="false">C97/C98</f>
        <v>154.700406861781</v>
      </c>
      <c r="D99" s="135"/>
      <c r="E99" s="135"/>
      <c r="F99" s="135"/>
      <c r="G99" s="135"/>
      <c r="H99" s="135"/>
      <c r="I99" s="135"/>
      <c r="J99" s="135"/>
      <c r="K99" s="135"/>
      <c r="L99" s="135"/>
      <c r="M99" s="135"/>
      <c r="N99" s="135"/>
      <c r="O99" s="135"/>
      <c r="P99" s="135"/>
      <c r="Q99" s="135"/>
    </row>
    <row r="100" customFormat="false" ht="15" hidden="false" customHeight="true" outlineLevel="0" collapsed="false">
      <c r="A100" s="135"/>
      <c r="B100" s="135"/>
      <c r="C100" s="135"/>
      <c r="D100" s="135"/>
      <c r="E100" s="135"/>
      <c r="F100" s="135"/>
      <c r="G100" s="135"/>
      <c r="H100" s="135"/>
      <c r="I100" s="135"/>
      <c r="J100" s="135"/>
      <c r="K100" s="135"/>
      <c r="L100" s="135"/>
      <c r="M100" s="135"/>
      <c r="N100" s="135"/>
      <c r="O100" s="135"/>
      <c r="P100" s="135"/>
      <c r="Q100" s="135"/>
    </row>
    <row r="101" customFormat="false" ht="15.75" hidden="false" customHeight="true" outlineLevel="0" collapsed="false">
      <c r="A101" s="135"/>
      <c r="B101" s="140" t="s">
        <v>774</v>
      </c>
      <c r="C101" s="208" t="n">
        <f aca="false">C52</f>
        <v>221.21</v>
      </c>
      <c r="D101" s="135"/>
      <c r="E101" s="135"/>
      <c r="F101" s="135"/>
      <c r="G101" s="135"/>
      <c r="H101" s="135"/>
      <c r="I101" s="135"/>
      <c r="J101" s="135"/>
      <c r="K101" s="135"/>
      <c r="L101" s="135"/>
      <c r="M101" s="135"/>
      <c r="N101" s="135"/>
      <c r="O101" s="135"/>
      <c r="P101" s="135"/>
      <c r="Q101" s="135"/>
    </row>
    <row r="102" customFormat="false" ht="15.75" hidden="false" customHeight="true" outlineLevel="0" collapsed="false">
      <c r="A102" s="135"/>
      <c r="B102" s="145" t="s">
        <v>775</v>
      </c>
      <c r="C102" s="209" t="n">
        <f aca="false">C99/C101-1</f>
        <v>-0.300662687664295</v>
      </c>
      <c r="D102" s="135"/>
      <c r="E102" s="135"/>
      <c r="F102" s="135"/>
      <c r="G102" s="135"/>
      <c r="H102" s="135"/>
      <c r="I102" s="135"/>
      <c r="J102" s="135"/>
      <c r="K102" s="135"/>
      <c r="L102" s="135"/>
      <c r="M102" s="135"/>
      <c r="N102" s="135"/>
      <c r="O102" s="135"/>
      <c r="P102" s="135"/>
      <c r="Q102" s="135"/>
    </row>
    <row r="103" customFormat="false" ht="15" hidden="false" customHeight="true" outlineLevel="0" collapsed="false">
      <c r="A103" s="135"/>
      <c r="B103" s="135"/>
      <c r="C103" s="135"/>
      <c r="D103" s="135"/>
      <c r="E103" s="135"/>
      <c r="F103" s="135"/>
      <c r="G103" s="135"/>
      <c r="H103" s="135"/>
      <c r="I103" s="135"/>
      <c r="J103" s="135"/>
      <c r="K103" s="135"/>
      <c r="L103" s="135"/>
      <c r="M103" s="135"/>
      <c r="N103" s="135"/>
      <c r="O103" s="135"/>
      <c r="P103" s="135"/>
      <c r="Q103" s="135"/>
    </row>
    <row r="104" customFormat="false" ht="15.75" hidden="false" customHeight="true" outlineLevel="0" collapsed="false">
      <c r="A104" s="135"/>
      <c r="B104" s="138" t="s">
        <v>818</v>
      </c>
      <c r="C104" s="194" t="s">
        <v>808</v>
      </c>
      <c r="D104" s="135"/>
      <c r="E104" s="135"/>
      <c r="F104" s="135"/>
      <c r="G104" s="135"/>
      <c r="H104" s="135"/>
      <c r="I104" s="135"/>
      <c r="J104" s="135"/>
      <c r="K104" s="135"/>
      <c r="L104" s="135"/>
      <c r="M104" s="135"/>
      <c r="N104" s="135"/>
      <c r="O104" s="135"/>
      <c r="P104" s="135"/>
      <c r="Q104" s="135"/>
    </row>
    <row r="105" customFormat="false" ht="15.75" hidden="false" customHeight="true" outlineLevel="0" collapsed="false">
      <c r="A105" s="135"/>
      <c r="B105" s="140" t="s">
        <v>819</v>
      </c>
      <c r="C105" s="51" t="n">
        <f aca="false">C52*C50</f>
        <v>155674.26</v>
      </c>
      <c r="D105" s="135"/>
      <c r="E105" s="135"/>
      <c r="F105" s="135"/>
      <c r="G105" s="135"/>
      <c r="H105" s="135"/>
      <c r="I105" s="135"/>
      <c r="J105" s="135"/>
      <c r="K105" s="135"/>
      <c r="L105" s="135"/>
      <c r="M105" s="135"/>
      <c r="N105" s="135"/>
      <c r="O105" s="135"/>
      <c r="P105" s="135"/>
      <c r="Q105" s="135"/>
    </row>
    <row r="106" customFormat="false" ht="15.75" hidden="false" customHeight="true" outlineLevel="0" collapsed="false">
      <c r="A106" s="135"/>
      <c r="B106" s="140" t="s">
        <v>820</v>
      </c>
      <c r="C106" s="51" t="n">
        <f aca="false">C48</f>
        <v>21178.8876953299</v>
      </c>
      <c r="D106" s="135"/>
      <c r="E106" s="135"/>
      <c r="F106" s="135"/>
      <c r="G106" s="135"/>
      <c r="H106" s="135"/>
      <c r="I106" s="135"/>
      <c r="J106" s="135"/>
      <c r="K106" s="135"/>
      <c r="L106" s="135"/>
      <c r="M106" s="135"/>
      <c r="N106" s="135"/>
      <c r="O106" s="135"/>
      <c r="P106" s="135"/>
      <c r="Q106" s="135"/>
    </row>
    <row r="107" customFormat="false" ht="15.75" hidden="false" customHeight="true" outlineLevel="0" collapsed="false">
      <c r="A107" s="135"/>
      <c r="B107" s="140" t="s">
        <v>821</v>
      </c>
      <c r="C107" s="51" t="n">
        <f aca="false">C105+C106</f>
        <v>176853.14769533</v>
      </c>
      <c r="D107" s="135"/>
      <c r="E107" s="135"/>
      <c r="F107" s="135"/>
      <c r="G107" s="135"/>
      <c r="H107" s="135"/>
      <c r="I107" s="135"/>
      <c r="J107" s="135"/>
      <c r="K107" s="135"/>
      <c r="L107" s="135"/>
      <c r="M107" s="135"/>
      <c r="N107" s="135"/>
      <c r="O107" s="135"/>
      <c r="P107" s="135"/>
      <c r="Q107" s="135"/>
    </row>
    <row r="108" customFormat="false" ht="15.75" hidden="false" customHeight="true" outlineLevel="0" collapsed="false">
      <c r="A108" s="135"/>
      <c r="B108" s="201" t="s">
        <v>822</v>
      </c>
      <c r="C108" s="210" t="n">
        <f aca="false">C107/C93</f>
        <v>23.4210635053523</v>
      </c>
      <c r="D108" s="135"/>
      <c r="E108" s="135"/>
      <c r="F108" s="135"/>
      <c r="G108" s="135"/>
      <c r="H108" s="135"/>
      <c r="I108" s="135"/>
      <c r="J108" s="135"/>
      <c r="K108" s="135"/>
      <c r="L108" s="135"/>
      <c r="M108" s="135"/>
      <c r="N108" s="135"/>
      <c r="O108" s="135"/>
      <c r="P108" s="135"/>
      <c r="Q108" s="135"/>
    </row>
    <row r="109" customFormat="false" ht="15" hidden="false" customHeight="true" outlineLevel="0" collapsed="false">
      <c r="A109" s="135"/>
      <c r="B109" s="135"/>
      <c r="C109" s="135"/>
      <c r="D109" s="135"/>
      <c r="E109" s="135"/>
      <c r="F109" s="135"/>
      <c r="G109" s="135"/>
      <c r="H109" s="135"/>
      <c r="I109" s="135"/>
      <c r="J109" s="135"/>
      <c r="K109" s="135"/>
      <c r="L109" s="135"/>
      <c r="M109" s="135"/>
      <c r="N109" s="135"/>
      <c r="O109" s="135"/>
      <c r="P109" s="135"/>
      <c r="Q109" s="135"/>
    </row>
    <row r="110" customFormat="false" ht="15.75" hidden="false" customHeight="true" outlineLevel="0" collapsed="false">
      <c r="A110" s="135"/>
      <c r="B110" s="145" t="s">
        <v>823</v>
      </c>
      <c r="C110" s="211" t="n">
        <f aca="false">C88-C108</f>
        <v>-7.03304175944149</v>
      </c>
      <c r="D110" s="135"/>
      <c r="E110" s="135"/>
      <c r="F110" s="135"/>
      <c r="G110" s="135"/>
      <c r="H110" s="135"/>
      <c r="I110" s="135"/>
      <c r="J110" s="135"/>
      <c r="K110" s="135"/>
      <c r="L110" s="135"/>
      <c r="M110" s="135"/>
      <c r="N110" s="135"/>
      <c r="O110" s="135"/>
      <c r="P110" s="135"/>
      <c r="Q110" s="135"/>
    </row>
    <row r="111" customFormat="false" ht="15.75" hidden="false" customHeight="true" outlineLevel="0" collapsed="false">
      <c r="A111" s="135"/>
      <c r="B111" s="140" t="s">
        <v>824</v>
      </c>
      <c r="C111" s="42" t="n">
        <f aca="false">C88/C108-1</f>
        <v>-0.300287036830512</v>
      </c>
      <c r="D111" s="135"/>
      <c r="E111" s="135"/>
      <c r="F111" s="135"/>
      <c r="G111" s="135"/>
      <c r="H111" s="135"/>
      <c r="I111" s="135"/>
      <c r="J111" s="135"/>
      <c r="K111" s="135"/>
      <c r="L111" s="135"/>
      <c r="M111" s="135"/>
      <c r="N111" s="135"/>
      <c r="O111" s="135"/>
      <c r="P111" s="135"/>
      <c r="Q111" s="135"/>
    </row>
    <row r="112" customFormat="false" ht="15" hidden="false" customHeight="true" outlineLevel="0" collapsed="false">
      <c r="A112" s="135"/>
      <c r="B112" s="135"/>
      <c r="C112" s="135"/>
      <c r="D112" s="135"/>
      <c r="E112" s="135"/>
      <c r="F112" s="135"/>
      <c r="G112" s="135"/>
      <c r="H112" s="135"/>
      <c r="I112" s="135"/>
      <c r="J112" s="135"/>
      <c r="K112" s="135"/>
      <c r="L112" s="135"/>
      <c r="M112" s="135"/>
      <c r="N112" s="135"/>
      <c r="O112" s="135"/>
      <c r="P112" s="135"/>
      <c r="Q112" s="135"/>
    </row>
    <row r="113" customFormat="false" ht="15" hidden="false" customHeight="true" outlineLevel="0" collapsed="false">
      <c r="A113" s="135"/>
      <c r="B113" s="135"/>
      <c r="C113" s="135"/>
      <c r="D113" s="135"/>
      <c r="E113" s="135"/>
      <c r="F113" s="135"/>
      <c r="G113" s="135"/>
      <c r="H113" s="135"/>
      <c r="I113" s="135"/>
      <c r="J113" s="135"/>
      <c r="K113" s="135"/>
      <c r="L113" s="135"/>
      <c r="M113" s="135"/>
      <c r="N113" s="135"/>
      <c r="O113" s="135"/>
      <c r="P113" s="135"/>
      <c r="Q113" s="135"/>
    </row>
    <row r="114" customFormat="false" ht="15" hidden="false" customHeight="true" outlineLevel="0" collapsed="false">
      <c r="A114" s="135"/>
      <c r="B114" s="135"/>
      <c r="C114" s="135"/>
      <c r="D114" s="135"/>
      <c r="E114" s="135"/>
      <c r="F114" s="135"/>
      <c r="G114" s="135"/>
      <c r="H114" s="135"/>
      <c r="I114" s="135"/>
      <c r="J114" s="135"/>
      <c r="K114" s="135"/>
      <c r="L114" s="135"/>
      <c r="M114" s="135"/>
      <c r="N114" s="135"/>
      <c r="O114" s="135"/>
      <c r="P114" s="135"/>
      <c r="Q114" s="135"/>
    </row>
    <row r="115" customFormat="false" ht="15" hidden="false" customHeight="true" outlineLevel="0" collapsed="false">
      <c r="A115" s="135"/>
      <c r="B115" s="135"/>
      <c r="C115" s="135"/>
      <c r="D115" s="135"/>
      <c r="E115" s="135"/>
      <c r="F115" s="135"/>
      <c r="G115" s="135"/>
      <c r="H115" s="135"/>
      <c r="I115" s="135"/>
      <c r="J115" s="135"/>
      <c r="K115" s="135"/>
      <c r="L115" s="135"/>
      <c r="M115" s="135"/>
      <c r="N115" s="135"/>
      <c r="O115" s="135"/>
      <c r="P115" s="135"/>
      <c r="Q115" s="135"/>
    </row>
    <row r="116" customFormat="false" ht="15" hidden="false" customHeight="false" outlineLevel="0" collapsed="false">
      <c r="A116" s="135"/>
      <c r="B116" s="135"/>
      <c r="C116" s="135"/>
      <c r="D116" s="135"/>
      <c r="E116" s="135"/>
      <c r="F116" s="135"/>
      <c r="G116" s="135"/>
      <c r="H116" s="135"/>
      <c r="I116" s="135"/>
      <c r="J116" s="135"/>
      <c r="K116" s="135"/>
      <c r="L116" s="135"/>
      <c r="M116" s="135"/>
      <c r="N116" s="135"/>
      <c r="O116" s="135"/>
      <c r="P116" s="135"/>
      <c r="Q116" s="135"/>
    </row>
    <row r="117" customFormat="false" ht="15" hidden="false" customHeight="true" outlineLevel="0" collapsed="false">
      <c r="A117" s="135"/>
      <c r="B117" s="135"/>
      <c r="C117" s="135"/>
      <c r="D117" s="135"/>
      <c r="E117" s="135"/>
      <c r="F117" s="135"/>
      <c r="G117" s="135"/>
      <c r="H117" s="135"/>
      <c r="I117" s="135"/>
      <c r="J117" s="135"/>
      <c r="K117" s="135"/>
      <c r="L117" s="135"/>
      <c r="M117" s="135"/>
      <c r="N117" s="135"/>
      <c r="O117" s="135"/>
      <c r="P117" s="135"/>
      <c r="Q117" s="135"/>
    </row>
    <row r="118" customFormat="false" ht="15" hidden="false" customHeight="true" outlineLevel="0" collapsed="false">
      <c r="A118" s="135"/>
      <c r="B118" s="135"/>
      <c r="C118" s="135"/>
      <c r="D118" s="135"/>
      <c r="E118" s="135"/>
      <c r="F118" s="135"/>
      <c r="G118" s="135"/>
      <c r="H118" s="135"/>
      <c r="I118" s="135"/>
      <c r="J118" s="135"/>
      <c r="K118" s="135"/>
      <c r="L118" s="135"/>
      <c r="M118" s="135"/>
      <c r="N118" s="135"/>
      <c r="O118" s="135"/>
      <c r="P118" s="135"/>
      <c r="Q118" s="135"/>
    </row>
    <row r="119" customFormat="false" ht="15" hidden="false" customHeight="false" outlineLevel="0" collapsed="false">
      <c r="A119" s="135"/>
      <c r="B119" s="135"/>
      <c r="C119" s="135"/>
      <c r="D119" s="135"/>
      <c r="E119" s="135"/>
      <c r="F119" s="135"/>
      <c r="G119" s="135"/>
      <c r="H119" s="135"/>
      <c r="I119" s="135"/>
      <c r="J119" s="135"/>
      <c r="K119" s="135"/>
      <c r="L119" s="135"/>
      <c r="M119" s="135"/>
      <c r="N119" s="135"/>
      <c r="O119" s="135"/>
      <c r="P119" s="135"/>
      <c r="Q119" s="135"/>
    </row>
    <row r="120" customFormat="false" ht="15" hidden="false" customHeight="false" outlineLevel="0" collapsed="false">
      <c r="A120" s="135"/>
      <c r="B120" s="135"/>
      <c r="C120" s="135"/>
      <c r="D120" s="135"/>
      <c r="E120" s="135"/>
      <c r="F120" s="135"/>
      <c r="G120" s="135"/>
      <c r="H120" s="135"/>
      <c r="I120" s="135"/>
      <c r="J120" s="135"/>
      <c r="K120" s="135"/>
      <c r="L120" s="135"/>
      <c r="M120" s="135"/>
      <c r="N120" s="135"/>
      <c r="O120" s="135"/>
      <c r="P120" s="135"/>
      <c r="Q120" s="135"/>
    </row>
    <row r="121" customFormat="false" ht="15" hidden="false" customHeight="false" outlineLevel="0" collapsed="false">
      <c r="A121" s="135"/>
      <c r="B121" s="135"/>
      <c r="C121" s="135"/>
      <c r="D121" s="135"/>
      <c r="E121" s="135"/>
      <c r="F121" s="135"/>
      <c r="G121" s="135"/>
      <c r="H121" s="135"/>
      <c r="I121" s="135"/>
      <c r="J121" s="135"/>
      <c r="K121" s="135"/>
      <c r="L121" s="135"/>
      <c r="M121" s="135"/>
      <c r="N121" s="135"/>
      <c r="O121" s="135"/>
      <c r="P121" s="135"/>
      <c r="Q121" s="135"/>
    </row>
    <row r="122" customFormat="false" ht="15" hidden="false" customHeight="false" outlineLevel="0" collapsed="false">
      <c r="A122" s="135"/>
      <c r="B122" s="135"/>
      <c r="C122" s="135"/>
      <c r="D122" s="135"/>
      <c r="E122" s="135"/>
      <c r="F122" s="135"/>
      <c r="G122" s="135"/>
      <c r="H122" s="135"/>
      <c r="I122" s="135"/>
      <c r="J122" s="135"/>
      <c r="K122" s="135"/>
      <c r="L122" s="135"/>
      <c r="M122" s="135"/>
      <c r="N122" s="135"/>
      <c r="O122" s="135"/>
      <c r="P122" s="135"/>
      <c r="Q122" s="135"/>
    </row>
    <row r="123" customFormat="false" ht="15" hidden="false" customHeight="false" outlineLevel="0" collapsed="false">
      <c r="A123" s="135"/>
      <c r="B123" s="135"/>
      <c r="C123" s="135"/>
      <c r="D123" s="135"/>
      <c r="E123" s="135"/>
      <c r="F123" s="135"/>
      <c r="G123" s="135"/>
      <c r="H123" s="135"/>
      <c r="I123" s="135"/>
      <c r="J123" s="135"/>
      <c r="K123" s="135"/>
      <c r="L123" s="135"/>
      <c r="M123" s="135"/>
      <c r="N123" s="135"/>
      <c r="O123" s="135"/>
      <c r="P123" s="135"/>
      <c r="Q123" s="135"/>
    </row>
    <row r="124" customFormat="false" ht="15" hidden="false" customHeight="false" outlineLevel="0" collapsed="false">
      <c r="A124" s="135"/>
      <c r="B124" s="135"/>
      <c r="C124" s="135"/>
      <c r="D124" s="135"/>
      <c r="E124" s="135"/>
      <c r="F124" s="135"/>
      <c r="G124" s="135"/>
      <c r="H124" s="135"/>
      <c r="I124" s="135"/>
      <c r="J124" s="135"/>
      <c r="K124" s="135"/>
      <c r="L124" s="135"/>
      <c r="M124" s="135"/>
      <c r="N124" s="135"/>
      <c r="O124" s="135"/>
      <c r="P124" s="135"/>
      <c r="Q124" s="135"/>
    </row>
    <row r="125" customFormat="false" ht="15" hidden="false" customHeight="false" outlineLevel="0" collapsed="false">
      <c r="A125" s="135"/>
      <c r="B125" s="135"/>
      <c r="C125" s="135"/>
      <c r="D125" s="135"/>
      <c r="E125" s="135"/>
      <c r="F125" s="135"/>
      <c r="G125" s="135"/>
      <c r="H125" s="135"/>
      <c r="I125" s="135"/>
      <c r="J125" s="135"/>
      <c r="K125" s="135"/>
      <c r="L125" s="135"/>
      <c r="M125" s="135"/>
      <c r="N125" s="135"/>
      <c r="O125" s="135"/>
      <c r="P125" s="135"/>
      <c r="Q125" s="135"/>
    </row>
    <row r="126" customFormat="false" ht="15" hidden="false" customHeight="false" outlineLevel="0" collapsed="false">
      <c r="A126" s="135"/>
      <c r="B126" s="135"/>
      <c r="C126" s="135"/>
      <c r="D126" s="135"/>
      <c r="E126" s="135"/>
      <c r="F126" s="135"/>
      <c r="G126" s="135"/>
      <c r="H126" s="135"/>
      <c r="I126" s="135"/>
      <c r="J126" s="135"/>
      <c r="K126" s="135"/>
      <c r="L126" s="135"/>
      <c r="M126" s="135"/>
      <c r="N126" s="135"/>
      <c r="O126" s="135"/>
      <c r="P126" s="135"/>
      <c r="Q126" s="135"/>
    </row>
    <row r="127" customFormat="false" ht="15" hidden="false" customHeight="false" outlineLevel="0" collapsed="false">
      <c r="A127" s="135"/>
      <c r="B127" s="135"/>
      <c r="C127" s="135"/>
      <c r="D127" s="135"/>
      <c r="E127" s="135"/>
      <c r="F127" s="135"/>
      <c r="G127" s="135"/>
      <c r="H127" s="135"/>
      <c r="I127" s="135"/>
      <c r="J127" s="135"/>
      <c r="K127" s="135"/>
      <c r="L127" s="135"/>
      <c r="M127" s="135"/>
      <c r="N127" s="135"/>
      <c r="O127" s="135"/>
      <c r="P127" s="135"/>
      <c r="Q127" s="135"/>
    </row>
    <row r="128" customFormat="false" ht="15" hidden="false" customHeight="false" outlineLevel="0" collapsed="false">
      <c r="A128" s="135"/>
      <c r="B128" s="135"/>
      <c r="C128" s="135"/>
      <c r="D128" s="135"/>
      <c r="E128" s="135"/>
      <c r="F128" s="135"/>
      <c r="G128" s="135"/>
      <c r="H128" s="135"/>
      <c r="I128" s="135"/>
      <c r="J128" s="135"/>
      <c r="K128" s="135"/>
      <c r="L128" s="135"/>
      <c r="M128" s="135"/>
      <c r="N128" s="135"/>
      <c r="O128" s="135"/>
      <c r="P128" s="135"/>
      <c r="Q128" s="135"/>
    </row>
    <row r="129" customFormat="false" ht="15" hidden="false" customHeight="false" outlineLevel="0" collapsed="false">
      <c r="A129" s="135"/>
      <c r="B129" s="135"/>
      <c r="C129" s="135"/>
      <c r="D129" s="135"/>
      <c r="E129" s="135"/>
      <c r="F129" s="135"/>
      <c r="G129" s="135"/>
      <c r="H129" s="135"/>
      <c r="I129" s="135"/>
      <c r="J129" s="135"/>
      <c r="K129" s="135"/>
      <c r="L129" s="135"/>
      <c r="M129" s="135"/>
      <c r="N129" s="135"/>
      <c r="O129" s="135"/>
      <c r="P129" s="135"/>
      <c r="Q129" s="135"/>
    </row>
    <row r="130" customFormat="false" ht="15" hidden="false" customHeight="false" outlineLevel="0" collapsed="false">
      <c r="A130" s="135"/>
      <c r="B130" s="135"/>
      <c r="C130" s="135"/>
      <c r="D130" s="135"/>
      <c r="E130" s="135"/>
      <c r="F130" s="135"/>
      <c r="G130" s="135"/>
      <c r="H130" s="135"/>
      <c r="I130" s="135"/>
      <c r="J130" s="135"/>
      <c r="K130" s="135"/>
      <c r="L130" s="135"/>
      <c r="M130" s="135"/>
      <c r="N130" s="135"/>
      <c r="O130" s="135"/>
      <c r="P130" s="135"/>
      <c r="Q130" s="135"/>
    </row>
  </sheetData>
  <mergeCells count="1">
    <mergeCell ref="D60:H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V2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2" min="2" style="1" width="30"/>
  </cols>
  <sheetData>
    <row r="2" customFormat="false" ht="17.25" hidden="false" customHeight="true" outlineLevel="0" collapsed="false">
      <c r="B2" s="212" t="s">
        <v>825</v>
      </c>
    </row>
    <row r="3" customFormat="false" ht="15" hidden="false" customHeight="true" outlineLevel="0" collapsed="false">
      <c r="B3" s="5" t="s">
        <v>826</v>
      </c>
    </row>
    <row r="7" customFormat="false" ht="15" hidden="false" customHeight="true" outlineLevel="0" collapsed="false">
      <c r="C7" s="12" t="n">
        <v>2006</v>
      </c>
      <c r="D7" s="12" t="n">
        <v>2007</v>
      </c>
      <c r="E7" s="12" t="n">
        <v>2008</v>
      </c>
      <c r="F7" s="12" t="n">
        <v>2009</v>
      </c>
      <c r="G7" s="12" t="n">
        <v>2010</v>
      </c>
      <c r="H7" s="12" t="n">
        <v>2011</v>
      </c>
      <c r="I7" s="12" t="n">
        <v>2012</v>
      </c>
      <c r="J7" s="12" t="n">
        <v>2013</v>
      </c>
      <c r="K7" s="12" t="n">
        <v>2014</v>
      </c>
      <c r="L7" s="12" t="n">
        <v>2015</v>
      </c>
      <c r="M7" s="12" t="n">
        <v>2016</v>
      </c>
      <c r="N7" s="12" t="n">
        <v>2017</v>
      </c>
      <c r="O7" s="12" t="n">
        <v>2018</v>
      </c>
      <c r="P7" s="12" t="n">
        <v>2019</v>
      </c>
      <c r="Q7" s="12" t="n">
        <v>2020</v>
      </c>
      <c r="R7" s="12" t="n">
        <v>2021</v>
      </c>
      <c r="S7" s="12" t="n">
        <v>2022</v>
      </c>
      <c r="T7" s="12" t="n">
        <v>2023</v>
      </c>
      <c r="U7" s="12" t="n">
        <v>2024</v>
      </c>
      <c r="V7" s="12" t="n">
        <v>2025</v>
      </c>
    </row>
    <row r="8" customFormat="false" ht="15" hidden="false" customHeight="true" outlineLevel="0" collapsed="false">
      <c r="B8" s="1" t="s">
        <v>827</v>
      </c>
      <c r="C8" s="213" t="n">
        <f aca="false">IFERROR(Model!C275+0,IFERROR(Model!C275+0,0))</f>
        <v>0</v>
      </c>
      <c r="D8" s="213" t="n">
        <f aca="false">IFERROR(Model!D275+0,IFERROR(Model!D275+0,0))</f>
        <v>0.045</v>
      </c>
      <c r="E8" s="213" t="n">
        <f aca="false">IFERROR(Model!E275+0,IFERROR(Model!E275+0,0))</f>
        <v>0.025</v>
      </c>
      <c r="F8" s="213" t="n">
        <f aca="false">IFERROR(Model!F275+0,IFERROR(Model!F275+0,0))</f>
        <v>-0.12</v>
      </c>
      <c r="G8" s="213" t="n">
        <f aca="false">IFERROR(Model!G275+0,IFERROR(Model!G275+0,0))</f>
        <v>0.115</v>
      </c>
      <c r="H8" s="213" t="n">
        <f aca="false">IFERROR(Model!H275+0,IFERROR(Model!H275+0,0))</f>
        <v>0.07</v>
      </c>
      <c r="I8" s="213" t="n">
        <f aca="false">IFERROR(Model!I275+0,IFERROR(Model!I275+0,0))</f>
        <v>0.025</v>
      </c>
      <c r="J8" s="213" t="n">
        <f aca="false">IFERROR(Model!N275+0,IFERROR(Model!N275+0,0))</f>
        <v>0.025</v>
      </c>
      <c r="K8" s="213" t="n">
        <f aca="false">IFERROR(Model!S275+0,IFERROR(Model!S275+0,0))</f>
        <v>0.035</v>
      </c>
      <c r="L8" s="213" t="n">
        <f aca="false">IFERROR(Model!X275+0,IFERROR(Model!X275+0,0))</f>
        <v>0.03</v>
      </c>
      <c r="M8" s="213" t="n">
        <f aca="false">IFERROR(Model!AC275+0,IFERROR(Model!AC275+0,0))</f>
        <v>0.03</v>
      </c>
      <c r="N8" s="213" t="n">
        <f aca="false">IFERROR(Model!AH275+0,IFERROR(Model!AH275+0,0))</f>
        <v>0.035</v>
      </c>
      <c r="O8" s="213" t="n">
        <f aca="false">IFERROR(Model!AM275+0,IFERROR(Model!AM275+0,0))</f>
        <v>0.06</v>
      </c>
      <c r="P8" s="213" t="n">
        <f aca="false">IFERROR(Model!AR275+0,IFERROR(Model!AR275+0,0))</f>
        <v>0.06</v>
      </c>
      <c r="Q8" s="213" t="n">
        <f aca="false">IFERROR(Model!AW275+0,IFERROR(Model!AW275+0,0))</f>
        <v>0.065</v>
      </c>
      <c r="R8" s="213" t="n">
        <f aca="false">IFERROR(Model!BB275+0,IFERROR(Model!BB275+0,0))</f>
        <v>0.23</v>
      </c>
      <c r="S8" s="213" t="n">
        <f aca="false">IFERROR(Model!BG275+0,IFERROR(Model!BG275+0,0))</f>
        <v>0.095</v>
      </c>
      <c r="T8" s="213" t="n">
        <f aca="false">IFERROR(Model!BL275+0,IFERROR(Model!BL275+0,0))</f>
        <v>-0.1</v>
      </c>
      <c r="U8" s="213" t="n">
        <f aca="false">IFERROR(Model!BQ275+0,IFERROR(Model!BQ275+0,0))</f>
        <v>-0.015</v>
      </c>
      <c r="V8" s="213" t="n">
        <f aca="false">IFERROR(Model!BV275+0,IFERROR(Model!BV275+0,0))</f>
        <v>0.02</v>
      </c>
    </row>
    <row r="9" customFormat="false" ht="15" hidden="false" customHeight="true" outlineLevel="0" collapsed="false">
      <c r="B9" s="1" t="s">
        <v>828</v>
      </c>
      <c r="C9" s="213" t="n">
        <f aca="false">IFERROR(Model!C274+0,IFERROR(Model!C274+0,0))</f>
        <v>0</v>
      </c>
      <c r="D9" s="213" t="n">
        <f aca="false">IFERROR(Model!D274+0,IFERROR(Model!D274+0,0))</f>
        <v>0.164777469073853</v>
      </c>
      <c r="E9" s="213" t="n">
        <f aca="false">IFERROR(Model!E274+0,IFERROR(Model!E274+0,0))</f>
        <v>0.151606671564226</v>
      </c>
      <c r="F9" s="213" t="n">
        <f aca="false">IFERROR(Model!F274+0,IFERROR(Model!F274+0,0))</f>
        <v>-0.11912581216775</v>
      </c>
      <c r="G9" s="213" t="n">
        <f aca="false">IFERROR(Model!G274+0,IFERROR(Model!G274+0,0))</f>
        <v>0.122048476070416</v>
      </c>
      <c r="H9" s="213" t="n">
        <f aca="false">IFERROR(Model!H274+0,IFERROR(Model!H274+0,0))</f>
        <v>0.282111553784861</v>
      </c>
      <c r="I9" s="213" t="n">
        <f aca="false">IFERROR(Model!I274+0,IFERROR(Model!I274+0,0))</f>
        <v>0.134855970914515</v>
      </c>
      <c r="J9" s="213" t="n">
        <f aca="false">IFERROR(Model!N274+0,IFERROR(Model!N274+0,0))</f>
        <v>0.0469650171956801</v>
      </c>
      <c r="K9" s="213" t="n">
        <f aca="false">IFERROR(Model!S274+0,IFERROR(Model!S274+0,0))</f>
        <v>0.00188304215922175</v>
      </c>
      <c r="L9" s="213" t="n">
        <f aca="false">IFERROR(Model!X274+0,IFERROR(Model!X274+0,0))</f>
        <v>-0.246439386029028</v>
      </c>
      <c r="M9" s="213" t="n">
        <f aca="false">IFERROR(Model!AC274+0,IFERROR(Model!AC274+0,0))</f>
        <v>0.169651579290134</v>
      </c>
      <c r="N9" s="213" t="n">
        <f aca="false">IFERROR(Model!AH274+0,IFERROR(Model!AH274+0,0))</f>
        <v>0.0857283324645783</v>
      </c>
      <c r="O9" s="213" t="n">
        <f aca="false">IFERROR(Model!AM274+0,IFERROR(Model!AM274+0,0))</f>
        <v>-0.0698974887750482</v>
      </c>
      <c r="P9" s="213" t="n">
        <f aca="false">IFERROR(Model!AR274+0,IFERROR(Model!AR274+0,0))</f>
        <v>0.0505968267002961</v>
      </c>
      <c r="Q9" s="213" t="n">
        <f aca="false">IFERROR(Model!AW274+0,IFERROR(Model!AW274+0,0))</f>
        <v>0.244144692397452</v>
      </c>
      <c r="R9" s="213" t="n">
        <f aca="false">IFERROR(Model!BB274+0,IFERROR(Model!BB274+0,0))</f>
        <v>0.321710644408544</v>
      </c>
      <c r="S9" s="213" t="n">
        <f aca="false">IFERROR(Model!BG274+0,IFERROR(Model!BG274+0,0))</f>
        <v>-0.0954062404508879</v>
      </c>
      <c r="T9" s="213" t="n">
        <f aca="false">IFERROR(Model!BL274+0,IFERROR(Model!BL274+0,0))</f>
        <v>-0.103329204669144</v>
      </c>
      <c r="U9" s="213" t="n">
        <f aca="false">IFERROR(Model!BQ274+0,IFERROR(Model!BQ274+0,0))</f>
        <v>-0.000627877773126784</v>
      </c>
      <c r="V9" s="213" t="n">
        <f aca="false">IFERROR(Model!BV274+0,IFERROR(Model!BV274+0,0))</f>
        <v>0.0290261780104713</v>
      </c>
    </row>
    <row r="11" customFormat="false" ht="15" hidden="false" customHeight="true" outlineLevel="0" collapsed="false">
      <c r="C11" s="12" t="n">
        <f aca="false">C7</f>
        <v>2006</v>
      </c>
      <c r="D11" s="12" t="n">
        <f aca="false">D7</f>
        <v>2007</v>
      </c>
      <c r="E11" s="12" t="n">
        <f aca="false">E7</f>
        <v>2008</v>
      </c>
      <c r="F11" s="12" t="n">
        <f aca="false">F7</f>
        <v>2009</v>
      </c>
      <c r="G11" s="12" t="n">
        <f aca="false">G7</f>
        <v>2010</v>
      </c>
      <c r="H11" s="12" t="n">
        <f aca="false">H7</f>
        <v>2011</v>
      </c>
      <c r="I11" s="12" t="n">
        <f aca="false">I7</f>
        <v>2012</v>
      </c>
      <c r="J11" s="12" t="n">
        <f aca="false">J7</f>
        <v>2013</v>
      </c>
      <c r="K11" s="12" t="n">
        <f aca="false">K7</f>
        <v>2014</v>
      </c>
      <c r="L11" s="12" t="n">
        <f aca="false">L7</f>
        <v>2015</v>
      </c>
      <c r="M11" s="12" t="n">
        <f aca="false">M7</f>
        <v>2016</v>
      </c>
      <c r="N11" s="12" t="n">
        <f aca="false">N7</f>
        <v>2017</v>
      </c>
      <c r="O11" s="12" t="n">
        <f aca="false">O7</f>
        <v>2018</v>
      </c>
      <c r="P11" s="12" t="n">
        <f aca="false">P7</f>
        <v>2019</v>
      </c>
      <c r="Q11" s="12" t="n">
        <f aca="false">Q7</f>
        <v>2020</v>
      </c>
      <c r="R11" s="12" t="n">
        <f aca="false">R7</f>
        <v>2021</v>
      </c>
      <c r="S11" s="12" t="n">
        <f aca="false">S7</f>
        <v>2022</v>
      </c>
      <c r="T11" s="12" t="n">
        <f aca="false">T7</f>
        <v>2023</v>
      </c>
      <c r="U11" s="12" t="n">
        <f aca="false">U7</f>
        <v>2024</v>
      </c>
      <c r="V11" s="12" t="n">
        <f aca="false">V7</f>
        <v>2025</v>
      </c>
    </row>
    <row r="12" customFormat="false" ht="15" hidden="false" customHeight="true" outlineLevel="0" collapsed="false">
      <c r="B12" s="1" t="s">
        <v>829</v>
      </c>
      <c r="C12" s="214" t="n">
        <f aca="false">Model!C227</f>
        <v>1706.7</v>
      </c>
      <c r="D12" s="214" t="n">
        <f aca="false">Model!D227</f>
        <v>2067.1</v>
      </c>
      <c r="E12" s="214" t="n">
        <f aca="false">Model!E227</f>
        <v>2314.8</v>
      </c>
      <c r="F12" s="214" t="n">
        <f aca="false">Model!F227</f>
        <v>2006.8</v>
      </c>
      <c r="G12" s="214" t="n">
        <f aca="false">Model!G227</f>
        <v>2493.1</v>
      </c>
      <c r="H12" s="214" t="n">
        <f aca="false">Model!H227</f>
        <v>3368.8</v>
      </c>
      <c r="I12" s="214" t="n">
        <f aca="false">Model!I227</f>
        <v>4004.9</v>
      </c>
      <c r="J12" s="214" t="n">
        <f aca="false">Model!N227</f>
        <v>4188.9</v>
      </c>
      <c r="K12" s="214" t="n">
        <f aca="false">Model!S227</f>
        <v>4336.2</v>
      </c>
      <c r="L12" s="214" t="n">
        <f aca="false">Model!X227</f>
        <v>3247.5</v>
      </c>
      <c r="M12" s="214" t="n">
        <f aca="false">Model!AC227</f>
        <v>3945</v>
      </c>
      <c r="N12" s="214" t="n">
        <f aca="false">Model!AH227</f>
        <v>4293.7</v>
      </c>
      <c r="O12" s="214" t="n">
        <f aca="false">Model!AM227</f>
        <v>4294.2</v>
      </c>
      <c r="P12" s="214" t="n">
        <f aca="false">Model!AR227</f>
        <v>4551.9</v>
      </c>
      <c r="Q12" s="214" t="n">
        <f aca="false">Model!AW227</f>
        <v>6596</v>
      </c>
      <c r="R12" s="214" t="n">
        <f aca="false">Model!BB227</f>
        <v>10294</v>
      </c>
      <c r="S12" s="214" t="n">
        <f aca="false">Model!BG227</f>
        <v>9769</v>
      </c>
      <c r="T12" s="214" t="n">
        <f aca="false">Model!BL227</f>
        <v>7530</v>
      </c>
      <c r="U12" s="214" t="n">
        <f aca="false">Model!BQ227</f>
        <v>7561</v>
      </c>
      <c r="V12" s="214" t="n">
        <f aca="false">Model!BV227</f>
        <v>7689</v>
      </c>
    </row>
    <row r="13" customFormat="false" ht="15" hidden="false" customHeight="true" outlineLevel="0" collapsed="false">
      <c r="B13" s="1" t="s">
        <v>684</v>
      </c>
      <c r="C13" s="214" t="n">
        <f aca="false">Model!C185</f>
        <v>1500.3</v>
      </c>
      <c r="D13" s="214" t="n">
        <f aca="false">Model!D185</f>
        <v>1740.7</v>
      </c>
      <c r="E13" s="214" t="n">
        <f aca="false">Model!E185</f>
        <v>1869.5</v>
      </c>
      <c r="F13" s="214" t="n">
        <f aca="false">Model!F185</f>
        <v>1542.4</v>
      </c>
      <c r="G13" s="214" t="n">
        <f aca="false">Model!G185</f>
        <v>2049.6</v>
      </c>
      <c r="H13" s="214" t="n">
        <f aca="false">Model!H185</f>
        <v>2617.2</v>
      </c>
      <c r="I13" s="214" t="n">
        <f aca="false">Model!I185</f>
        <v>3165.1</v>
      </c>
      <c r="J13" s="214" t="n">
        <f aca="false">Model!N185</f>
        <v>3274.9</v>
      </c>
      <c r="K13" s="214" t="n">
        <f aca="false">Model!S185</f>
        <v>3346.6</v>
      </c>
      <c r="L13" s="214" t="n">
        <f aca="false">Model!X185</f>
        <v>2162.2</v>
      </c>
      <c r="M13" s="214" t="n">
        <f aca="false">Model!AC185</f>
        <v>2750.9</v>
      </c>
      <c r="N13" s="214" t="n">
        <f aca="false">Model!AH185</f>
        <v>2990.4</v>
      </c>
      <c r="O13" s="214" t="n">
        <f aca="false">Model!AM185</f>
        <v>3055.1</v>
      </c>
      <c r="P13" s="214" t="n">
        <f aca="false">Model!AR185</f>
        <v>3269.4</v>
      </c>
      <c r="Q13" s="214" t="n">
        <f aca="false">Model!AW185</f>
        <v>4231</v>
      </c>
      <c r="R13" s="214" t="n">
        <f aca="false">Model!BB185</f>
        <v>7465</v>
      </c>
      <c r="S13" s="214" t="n">
        <f aca="false">Model!BG185</f>
        <v>7536</v>
      </c>
      <c r="T13" s="214" t="n">
        <f aca="false">Model!BL185</f>
        <v>5202</v>
      </c>
      <c r="U13" s="214" t="n">
        <f aca="false">Model!BQ185</f>
        <v>4863</v>
      </c>
      <c r="V13" s="214" t="n">
        <f aca="false">Model!BV185</f>
        <v>4690</v>
      </c>
    </row>
    <row r="14" customFormat="false" ht="15" hidden="false" customHeight="true" outlineLevel="0" collapsed="false">
      <c r="B14" s="1" t="s">
        <v>830</v>
      </c>
      <c r="C14" s="213" t="n">
        <f aca="false">Model!C286</f>
        <v>0.18029600363402</v>
      </c>
      <c r="D14" s="213" t="n">
        <f aca="false">Model!D286</f>
        <v>0.187476759266817</v>
      </c>
      <c r="E14" s="213" t="n">
        <f aca="false">Model!E286</f>
        <v>0.182303603071471</v>
      </c>
      <c r="F14" s="213" t="n">
        <f aca="false">Model!F286</f>
        <v>0.179420468667579</v>
      </c>
      <c r="G14" s="213" t="n">
        <f aca="false">Model!G286</f>
        <v>0.198653386454183</v>
      </c>
      <c r="H14" s="213" t="n">
        <f aca="false">Model!H286</f>
        <v>0.209365774836083</v>
      </c>
      <c r="I14" s="213" t="n">
        <f aca="false">Model!I286</f>
        <v>0.219321592079034</v>
      </c>
      <c r="J14" s="213" t="n">
        <f aca="false">Model!N286</f>
        <v>0.219107647243435</v>
      </c>
      <c r="K14" s="213" t="n">
        <f aca="false">Model!S286</f>
        <v>0.226386133444711</v>
      </c>
      <c r="L14" s="213" t="n">
        <f aca="false">Model!X286</f>
        <v>0.22499428420987</v>
      </c>
      <c r="M14" s="213" t="n">
        <f aca="false">Model!AC286</f>
        <v>0.233675306828413</v>
      </c>
      <c r="N14" s="213" t="n">
        <f aca="false">Model!AH286</f>
        <v>0.234248241924309</v>
      </c>
      <c r="O14" s="213" t="n">
        <f aca="false">Model!AM286</f>
        <v>0.251881397190369</v>
      </c>
      <c r="P14" s="213" t="n">
        <f aca="false">Model!AR286</f>
        <v>0.254138495123136</v>
      </c>
      <c r="Q14" s="213" t="n">
        <f aca="false">Model!AW286</f>
        <v>0.295997127984204</v>
      </c>
      <c r="R14" s="213" t="n">
        <f aca="false">Model!BB286</f>
        <v>0.349505992598377</v>
      </c>
      <c r="S14" s="213" t="n">
        <f aca="false">Model!BG286</f>
        <v>0.366662913335585</v>
      </c>
      <c r="T14" s="213" t="n">
        <f aca="false">Model!BL286</f>
        <v>0.315194642109669</v>
      </c>
      <c r="U14" s="213" t="n">
        <f aca="false">Model!BQ286</f>
        <v>0.31669109947644</v>
      </c>
      <c r="V14" s="213" t="n">
        <f aca="false">Model!BV286</f>
        <v>0.312968088570498</v>
      </c>
    </row>
    <row r="15" customFormat="false" ht="15" hidden="false" customHeight="true" outlineLevel="0" collapsed="false">
      <c r="B15" s="1" t="s">
        <v>831</v>
      </c>
      <c r="C15" s="213" t="n">
        <f aca="false">Model!C288</f>
        <v>0.15849188155629</v>
      </c>
      <c r="D15" s="213" t="n">
        <f aca="false">Model!D288</f>
        <v>0.157873733663465</v>
      </c>
      <c r="E15" s="213" t="n">
        <f aca="false">Model!E288</f>
        <v>0.147233707422721</v>
      </c>
      <c r="F15" s="213" t="n">
        <f aca="false">Model!F288</f>
        <v>0.13790020474032</v>
      </c>
      <c r="G15" s="213" t="n">
        <f aca="false">Model!G288</f>
        <v>0.163314741035857</v>
      </c>
      <c r="H15" s="213" t="n">
        <f aca="false">Model!H288</f>
        <v>0.162654982753799</v>
      </c>
      <c r="I15" s="213" t="n">
        <f aca="false">Model!I288</f>
        <v>0.173331361854067</v>
      </c>
      <c r="J15" s="213" t="n">
        <f aca="false">Model!N288</f>
        <v>0.171299299089863</v>
      </c>
      <c r="K15" s="213" t="n">
        <f aca="false">Model!S288</f>
        <v>0.174720684974418</v>
      </c>
      <c r="L15" s="213" t="n">
        <f aca="false">Model!X288</f>
        <v>0.149802199020348</v>
      </c>
      <c r="M15" s="213" t="n">
        <f aca="false">Model!AC288</f>
        <v>0.162944841965597</v>
      </c>
      <c r="N15" s="213" t="n">
        <f aca="false">Model!AH288</f>
        <v>0.163145059657278</v>
      </c>
      <c r="O15" s="213" t="n">
        <f aca="false">Model!AM288</f>
        <v>0.179200516174443</v>
      </c>
      <c r="P15" s="213" t="n">
        <f aca="false">Model!AR288</f>
        <v>0.182534852689115</v>
      </c>
      <c r="Q15" s="213" t="n">
        <f aca="false">Model!AW288</f>
        <v>0.189867169269431</v>
      </c>
      <c r="R15" s="213" t="n">
        <f aca="false">Model!BB288</f>
        <v>0.253454656571487</v>
      </c>
      <c r="S15" s="213" t="n">
        <f aca="false">Model!BG288</f>
        <v>0.282851030289382</v>
      </c>
      <c r="T15" s="213" t="n">
        <f aca="false">Model!BL288</f>
        <v>0.217748011720385</v>
      </c>
      <c r="U15" s="213" t="n">
        <f aca="false">Model!BQ288</f>
        <v>0.203685863874346</v>
      </c>
      <c r="V15" s="213" t="n">
        <f aca="false">Model!BV288</f>
        <v>0.190898730055357</v>
      </c>
    </row>
    <row r="17" customFormat="false" ht="15" hidden="false" customHeight="true" outlineLevel="0" collapsed="false">
      <c r="C17" s="12" t="n">
        <f aca="false">C7</f>
        <v>2006</v>
      </c>
      <c r="D17" s="12" t="n">
        <f aca="false">D7</f>
        <v>2007</v>
      </c>
      <c r="E17" s="12" t="n">
        <f aca="false">E7</f>
        <v>2008</v>
      </c>
      <c r="F17" s="12" t="n">
        <f aca="false">F7</f>
        <v>2009</v>
      </c>
      <c r="G17" s="12" t="n">
        <f aca="false">G7</f>
        <v>2010</v>
      </c>
      <c r="H17" s="12" t="n">
        <f aca="false">H7</f>
        <v>2011</v>
      </c>
      <c r="I17" s="12" t="n">
        <f aca="false">I7</f>
        <v>2012</v>
      </c>
      <c r="J17" s="12" t="n">
        <f aca="false">J7</f>
        <v>2013</v>
      </c>
      <c r="K17" s="12" t="n">
        <f aca="false">K7</f>
        <v>2014</v>
      </c>
      <c r="L17" s="12" t="n">
        <f aca="false">L7</f>
        <v>2015</v>
      </c>
      <c r="M17" s="12" t="n">
        <f aca="false">M7</f>
        <v>2016</v>
      </c>
      <c r="N17" s="12" t="n">
        <f aca="false">N7</f>
        <v>2017</v>
      </c>
      <c r="O17" s="12" t="n">
        <f aca="false">O7</f>
        <v>2018</v>
      </c>
      <c r="P17" s="12" t="n">
        <f aca="false">P7</f>
        <v>2019</v>
      </c>
      <c r="Q17" s="12" t="n">
        <f aca="false">Q7</f>
        <v>2020</v>
      </c>
      <c r="R17" s="12" t="n">
        <f aca="false">R7</f>
        <v>2021</v>
      </c>
      <c r="S17" s="12" t="n">
        <f aca="false">S7</f>
        <v>2022</v>
      </c>
      <c r="T17" s="12" t="n">
        <f aca="false">T7</f>
        <v>2023</v>
      </c>
      <c r="U17" s="12" t="n">
        <f aca="false">U7</f>
        <v>2024</v>
      </c>
      <c r="V17" s="12" t="n">
        <f aca="false">V7</f>
        <v>2025</v>
      </c>
    </row>
    <row r="18" customFormat="false" ht="15" hidden="false" customHeight="true" outlineLevel="0" collapsed="false">
      <c r="B18" s="1" t="s">
        <v>706</v>
      </c>
      <c r="C18" s="213" t="n">
        <f aca="false">IFERROR(Model!C442+0,NA())</f>
        <v>0.131992384797144</v>
      </c>
      <c r="D18" s="213" t="n">
        <f aca="false">IFERROR(Model!D442+0,NA())</f>
        <v>0.106082221526632</v>
      </c>
      <c r="E18" s="213" t="n">
        <f aca="false">IFERROR(Model!E442+0,NA())</f>
        <v>0.12363647683638</v>
      </c>
      <c r="F18" s="213" t="n">
        <f aca="false">IFERROR(Model!F442+0,NA())</f>
        <v>0.104816312769065</v>
      </c>
      <c r="G18" s="213" t="n">
        <f aca="false">IFERROR(Model!G442+0,NA())</f>
        <v>0.107936921897036</v>
      </c>
      <c r="H18" s="213" t="n">
        <f aca="false">IFERROR(Model!H442+0,NA())</f>
        <v>0.0994161920589113</v>
      </c>
      <c r="I18" s="213" t="n">
        <f aca="false">IFERROR(Model!I442+0,NA())</f>
        <v>0.106255696122601</v>
      </c>
      <c r="J18" s="213" t="n">
        <f aca="false">IFERROR(Model!N442+0,NA())</f>
        <v>0.109014187235843</v>
      </c>
      <c r="K18" s="213" t="n">
        <f aca="false">IFERROR(Model!S442+0,NA())</f>
        <v>0.107293688904533</v>
      </c>
      <c r="L18" s="213" t="n">
        <f aca="false">IFERROR(Model!X442+0,NA())</f>
        <v>0.0544133492340411</v>
      </c>
      <c r="M18" s="213" t="n">
        <f aca="false">IFERROR(Model!AC442+0,NA())</f>
        <v>0.0675626959147852</v>
      </c>
      <c r="N18" s="213" t="n">
        <f aca="false">IFERROR(Model!AH442+0,NA())</f>
        <v>0.0708168851470609</v>
      </c>
      <c r="O18" s="213" t="n">
        <f aca="false">IFERROR(Model!AM442+0,NA())</f>
        <v>0.0672389540280293</v>
      </c>
      <c r="P18" s="213" t="n">
        <f aca="false">IFERROR(Model!AR442+0,NA())</f>
        <v>0.0770847005039367</v>
      </c>
      <c r="Q18" s="213" t="n">
        <f aca="false">IFERROR(Model!AW442+0,NA())</f>
        <v>0.0711685336765267</v>
      </c>
      <c r="R18" s="213" t="n">
        <f aca="false">IFERROR(Model!BB442+0,NA())</f>
        <v>0.104807472070099</v>
      </c>
      <c r="S18" s="213" t="n">
        <f aca="false">IFERROR(Model!BG442+0,NA())</f>
        <v>0.105491033609641</v>
      </c>
      <c r="T18" s="213" t="n">
        <f aca="false">IFERROR(Model!BL442+0,NA())</f>
        <v>0.0679830900566684</v>
      </c>
      <c r="U18" s="213" t="n">
        <f aca="false">IFERROR(Model!BQ442+0,NA())</f>
        <v>0.0688671315056841</v>
      </c>
      <c r="V18" s="213" t="n">
        <f aca="false">IFERROR(Model!BV442+0,NA())</f>
        <v>0.0671969554472136</v>
      </c>
    </row>
    <row r="19" customFormat="false" ht="15" hidden="false" customHeight="true" outlineLevel="0" collapsed="false">
      <c r="B19" s="1" t="s">
        <v>707</v>
      </c>
      <c r="C19" s="213" t="n">
        <f aca="false">IFERROR(Model!C453+0,NA())</f>
        <v>0.545163210358935</v>
      </c>
      <c r="D19" s="213" t="n">
        <f aca="false">IFERROR(Model!D453+0,NA())</f>
        <v>0.430731846611397</v>
      </c>
      <c r="E19" s="213" t="n">
        <f aca="false">IFERROR(Model!E453+0,NA())</f>
        <v>0.482921382050344</v>
      </c>
      <c r="F19" s="213" t="n">
        <f aca="false">IFERROR(Model!F453+0,NA())</f>
        <v>0.305547689190944</v>
      </c>
      <c r="G19" s="213" t="n">
        <f aca="false">IFERROR(Model!G453+0,NA())</f>
        <v>0.331654155420351</v>
      </c>
      <c r="H19" s="213" t="n">
        <f aca="false">IFERROR(Model!H453+0,NA())</f>
        <v>0.388633595627053</v>
      </c>
      <c r="I19" s="213" t="n">
        <f aca="false">IFERROR(Model!I453+0,NA())</f>
        <v>0.346076463562476</v>
      </c>
      <c r="J19" s="213" t="n">
        <f aca="false">IFERROR(Model!N453+0,NA())</f>
        <v>0.314265612327415</v>
      </c>
      <c r="K19" s="213" t="n">
        <f aca="false">IFERROR(Model!S453+0,NA())</f>
        <v>0.349915123638912</v>
      </c>
      <c r="L19" s="213" t="n">
        <f aca="false">IFERROR(Model!X453+0,NA())</f>
        <v>0.297475798396266</v>
      </c>
      <c r="M19" s="213" t="n">
        <f aca="false">IFERROR(Model!AC453+0,NA())</f>
        <v>0.432482009087678</v>
      </c>
      <c r="N19" s="213" t="n">
        <f aca="false">IFERROR(Model!AH453+0,NA())</f>
        <v>0.489541480692881</v>
      </c>
      <c r="O19" s="213" t="n">
        <f aca="false">IFERROR(Model!AM453+0,NA())</f>
        <v>0.457545348316874</v>
      </c>
      <c r="P19" s="213" t="n">
        <f aca="false">IFERROR(Model!AR453+0,NA())</f>
        <v>0.099371425200533</v>
      </c>
      <c r="Q19" s="213" t="n">
        <f aca="false">IFERROR(Model!AW453+0,NA())</f>
        <v>0.324032669157311</v>
      </c>
      <c r="R19" s="213" t="n">
        <f aca="false">IFERROR(Model!BB453+0,NA())</f>
        <v>0.6156975549718</v>
      </c>
      <c r="S19" s="213" t="n">
        <f aca="false">IFERROR(Model!BG453+0,NA())</f>
        <v>0.407719648203275</v>
      </c>
      <c r="T19" s="213" t="n">
        <f aca="false">IFERROR(Model!BL453+0,NA())</f>
        <v>0.288575215060218</v>
      </c>
      <c r="U19" s="213" t="n">
        <f aca="false">IFERROR(Model!BQ453+0,NA())</f>
        <v>0.358788485438798</v>
      </c>
      <c r="V19" s="213" t="n">
        <f aca="false">IFERROR(Model!BV453+0,NA())</f>
        <v>0.284119228359565</v>
      </c>
    </row>
    <row r="20" customFormat="false" ht="15" hidden="false" customHeight="true" outlineLevel="0" collapsed="false">
      <c r="B20" s="1" t="s">
        <v>832</v>
      </c>
      <c r="C20" s="213" t="n">
        <f aca="false">IFERROR(Model!C286+0,NA())</f>
        <v>0.18029600363402</v>
      </c>
      <c r="D20" s="213" t="n">
        <f aca="false">IFERROR(Model!D286+0,NA())</f>
        <v>0.187476759266817</v>
      </c>
      <c r="E20" s="213" t="n">
        <f aca="false">IFERROR(Model!E286+0,NA())</f>
        <v>0.182303603071471</v>
      </c>
      <c r="F20" s="213" t="n">
        <f aca="false">IFERROR(Model!F286+0,NA())</f>
        <v>0.179420468667579</v>
      </c>
      <c r="G20" s="213" t="n">
        <f aca="false">IFERROR(Model!G286+0,NA())</f>
        <v>0.198653386454183</v>
      </c>
      <c r="H20" s="213" t="n">
        <f aca="false">IFERROR(Model!H286+0,NA())</f>
        <v>0.209365774836083</v>
      </c>
      <c r="I20" s="213" t="n">
        <f aca="false">IFERROR(Model!I286+0,NA())</f>
        <v>0.219321592079034</v>
      </c>
      <c r="J20" s="213" t="n">
        <f aca="false">IFERROR(Model!N286+0,NA())</f>
        <v>0.219107647243435</v>
      </c>
      <c r="K20" s="213" t="n">
        <f aca="false">IFERROR(Model!S286+0,NA())</f>
        <v>0.226386133444711</v>
      </c>
      <c r="L20" s="213" t="n">
        <f aca="false">IFERROR(Model!X286+0,NA())</f>
        <v>0.22499428420987</v>
      </c>
      <c r="M20" s="213" t="n">
        <f aca="false">IFERROR(Model!AC286+0,NA())</f>
        <v>0.233675306828413</v>
      </c>
      <c r="N20" s="213" t="n">
        <f aca="false">IFERROR(Model!AH286+0,NA())</f>
        <v>0.234248241924309</v>
      </c>
      <c r="O20" s="213" t="n">
        <f aca="false">IFERROR(Model!AM286+0,NA())</f>
        <v>0.251881397190369</v>
      </c>
      <c r="P20" s="213" t="n">
        <f aca="false">IFERROR(Model!AR286+0,NA())</f>
        <v>0.254138495123136</v>
      </c>
      <c r="Q20" s="213" t="n">
        <f aca="false">IFERROR(Model!AW286+0,NA())</f>
        <v>0.295997127984204</v>
      </c>
      <c r="R20" s="213" t="n">
        <f aca="false">IFERROR(Model!BB286+0,NA())</f>
        <v>0.349505992598377</v>
      </c>
      <c r="S20" s="213" t="n">
        <f aca="false">IFERROR(Model!BG286+0,NA())</f>
        <v>0.366662913335585</v>
      </c>
      <c r="T20" s="213" t="n">
        <f aca="false">IFERROR(Model!BL286+0,NA())</f>
        <v>0.315194642109669</v>
      </c>
      <c r="U20" s="213" t="n">
        <f aca="false">IFERROR(Model!BQ286+0,NA())</f>
        <v>0.31669109947644</v>
      </c>
      <c r="V20" s="213" t="n">
        <f aca="false">IFERROR(Model!BV286+0,NA())</f>
        <v>0.312968088570498</v>
      </c>
    </row>
    <row r="21" customFormat="false" ht="15" hidden="false" customHeight="true" outlineLevel="0" collapsed="false">
      <c r="B21" s="1" t="s">
        <v>833</v>
      </c>
      <c r="C21" s="213" t="n">
        <f aca="false">IFERROR(Model!C329+0,NA())</f>
        <v>0.149966723360201</v>
      </c>
      <c r="D21" s="213" t="n">
        <f aca="false">IFERROR(Model!D329+0,NA())</f>
        <v>0.140822971367417</v>
      </c>
      <c r="E21" s="213" t="n">
        <f aca="false">IFERROR(Model!E329+0,NA())</f>
        <v>0.131230557196298</v>
      </c>
      <c r="F21" s="213" t="n">
        <f aca="false">IFERROR(Model!F329+0,NA())</f>
        <v>0.144695079973893</v>
      </c>
      <c r="G21" s="213" t="n">
        <f aca="false">IFERROR(Model!G329+0,NA())</f>
        <v>0.148772908366534</v>
      </c>
      <c r="H21" s="213" t="n">
        <f aca="false">IFERROR(Model!H329+0,NA())</f>
        <v>0.149000963301327</v>
      </c>
      <c r="I21" s="213" t="n">
        <f aca="false">IFERROR(Model!I329+0,NA())</f>
        <v>0.166688571991851</v>
      </c>
      <c r="J21" s="213" t="n">
        <f aca="false">IFERROR(Model!N329+0,NA())</f>
        <v>0.158688147295742</v>
      </c>
      <c r="K21" s="213" t="n">
        <f aca="false">IFERROR(Model!S329+0,NA())</f>
        <v>0.165025582123838</v>
      </c>
      <c r="L21" s="213" t="n">
        <f aca="false">IFERROR(Model!X329+0,NA())</f>
        <v>0.221356963218024</v>
      </c>
      <c r="M21" s="213" t="n">
        <f aca="false">IFERROR(Model!AC329+0,NA())</f>
        <v>0.147958821020708</v>
      </c>
      <c r="N21" s="213" t="n">
        <f aca="false">IFERROR(Model!AH329+0,NA())</f>
        <v>0.157711255503363</v>
      </c>
      <c r="O21" s="213" t="n">
        <f aca="false">IFERROR(Model!AM329+0,NA())</f>
        <v>0.197823855471156</v>
      </c>
      <c r="P21" s="213" t="n">
        <f aca="false">IFERROR(Model!AR329+0,NA())</f>
        <v>0.169431246545438</v>
      </c>
      <c r="Q21" s="213" t="n">
        <f aca="false">IFERROR(Model!AW329+0,NA())</f>
        <v>0.243493089211991</v>
      </c>
      <c r="R21" s="213" t="n">
        <f aca="false">IFERROR(Model!BB329+0,NA())</f>
        <v>0.240281125861542</v>
      </c>
      <c r="S21" s="213" t="n">
        <f aca="false">IFERROR(Model!BG329+0,NA())</f>
        <v>0.276845700559246</v>
      </c>
      <c r="T21" s="213" t="n">
        <f aca="false">IFERROR(Model!BL329+0,NA())</f>
        <v>0.214273754709083</v>
      </c>
      <c r="U21" s="213" t="n">
        <f aca="false">IFERROR(Model!BQ329+0,NA())</f>
        <v>0.222366492146597</v>
      </c>
      <c r="V21" s="213" t="n">
        <f aca="false">IFERROR(Model!BV329+0,NA())</f>
        <v>0.215442852491045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2026-10-04T02:35:31Z</dcterms:created>
  <dc:creator>openpyxl</dc:creator>
  <dc:description/>
  <dc:language>en-US</dc:language>
  <cp:lastModifiedBy/>
  <dcterms:modified xsi:type="dcterms:W3CDTF">2026-10-06T18:22:39Z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