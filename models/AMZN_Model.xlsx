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3">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 numFmtId="186" formatCode="#,##0.00;\(#,##0.00\);\-"/>
  </numFmts>
  <fonts count="58">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olor rgb="FFA6A6A6"/>
      <sz val="12"/>
    </font>
    <font>
      <name val="Calibri"/>
      <b val="1"/>
      <color rgb="FF0000FF"/>
      <sz val="11"/>
    </font>
    <font>
      <name val="Calibri"/>
      <b val="1"/>
      <i val="1"/>
      <color rgb="FFC00000"/>
      <sz val="10"/>
    </font>
  </fonts>
  <fills count="18">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302">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7" fontId="46" fillId="0" borderId="0" applyAlignment="1" pivotButton="0" quotePrefix="0" xfId="0">
      <alignment horizontal="right"/>
    </xf>
    <xf numFmtId="167" fontId="45" fillId="2" borderId="0" applyAlignment="1" pivotButton="0" quotePrefix="0" xfId="0">
      <alignment horizontal="right"/>
    </xf>
    <xf numFmtId="166" fontId="55" fillId="0" borderId="0" applyAlignment="1" pivotButton="0" quotePrefix="0" xfId="0">
      <alignment horizontal="right"/>
    </xf>
    <xf numFmtId="166" fontId="45" fillId="2" borderId="0" applyAlignment="1" pivotButton="0" quotePrefix="0" xfId="0">
      <alignment horizontal="right"/>
    </xf>
    <xf numFmtId="167" fontId="46" fillId="0" borderId="0" pivotButton="0" quotePrefix="0" xfId="0"/>
    <xf numFmtId="166" fontId="46" fillId="0" borderId="0" pivotButton="0" quotePrefix="0" xfId="0"/>
    <xf numFmtId="164" fontId="46" fillId="0" borderId="0" pivotButton="0" quotePrefix="0" xfId="0"/>
    <xf numFmtId="176" fontId="46" fillId="0" borderId="0" pivotButton="0" quotePrefix="0" xfId="0"/>
    <xf numFmtId="171" fontId="51" fillId="8" borderId="0" applyAlignment="1" pivotButton="0" quotePrefix="0" xfId="0">
      <alignment horizontal="center"/>
    </xf>
    <xf numFmtId="167" fontId="48" fillId="6" borderId="2" applyAlignment="1" pivotButton="0" quotePrefix="0" xfId="0">
      <alignment horizontal="right"/>
    </xf>
    <xf numFmtId="166" fontId="46" fillId="0" borderId="0" applyAlignment="1" pivotButton="0" quotePrefix="0" xfId="0">
      <alignment horizontal="right"/>
    </xf>
    <xf numFmtId="167" fontId="51" fillId="0" borderId="2" applyAlignment="1" pivotButton="0" quotePrefix="0" xfId="0">
      <alignment horizontal="right"/>
    </xf>
    <xf numFmtId="167" fontId="48" fillId="2" borderId="2" applyAlignment="1" pivotButton="0" quotePrefix="0" xfId="0">
      <alignment horizontal="right"/>
    </xf>
    <xf numFmtId="167" fontId="41" fillId="2" borderId="0" pivotButton="0" quotePrefix="0" xfId="0"/>
    <xf numFmtId="172" fontId="51" fillId="8" borderId="0" applyAlignment="1" pivotButton="0" quotePrefix="0" xfId="0">
      <alignment horizontal="center"/>
    </xf>
    <xf numFmtId="167" fontId="51" fillId="2" borderId="0" applyAlignment="1" pivotButton="0" quotePrefix="0" xfId="0">
      <alignment horizontal="right"/>
    </xf>
    <xf numFmtId="166" fontId="51" fillId="2" borderId="0" applyAlignment="1" pivotButton="0" quotePrefix="0" xfId="0">
      <alignment horizontal="right"/>
    </xf>
    <xf numFmtId="173" fontId="51" fillId="2" borderId="0" applyAlignment="1" pivotButton="0" quotePrefix="0" xfId="0">
      <alignment horizontal="right"/>
    </xf>
    <xf numFmtId="167" fontId="51" fillId="2" borderId="2" applyAlignment="1" pivotButton="0" quotePrefix="0" xfId="0">
      <alignment horizontal="right"/>
    </xf>
    <xf numFmtId="0" fontId="51" fillId="2" borderId="0" applyAlignment="1" pivotButton="0" quotePrefix="0" xfId="0">
      <alignment horizontal="right"/>
    </xf>
    <xf numFmtId="167" fontId="56" fillId="2" borderId="0" pivotButton="0" quotePrefix="0" xfId="0"/>
    <xf numFmtId="167" fontId="51" fillId="6" borderId="2" applyAlignment="1" pivotButton="0" quotePrefix="0" xfId="0">
      <alignment horizontal="right"/>
    </xf>
    <xf numFmtId="167" fontId="48" fillId="0" borderId="2" applyAlignment="1" pivotButton="0" quotePrefix="0" xfId="0">
      <alignment horizontal="right"/>
    </xf>
    <xf numFmtId="168" fontId="48" fillId="6" borderId="2" applyAlignment="1" pivotButton="0" quotePrefix="0" xfId="0">
      <alignment horizontal="right"/>
    </xf>
    <xf numFmtId="168" fontId="46" fillId="0" borderId="0" applyAlignment="1" pivotButton="0" quotePrefix="0" xfId="0">
      <alignment horizontal="right"/>
    </xf>
    <xf numFmtId="168" fontId="45" fillId="0" borderId="0" applyAlignment="1" pivotButton="0" quotePrefix="0" xfId="0">
      <alignment horizontal="right"/>
    </xf>
    <xf numFmtId="168" fontId="45" fillId="2" borderId="0" applyAlignment="1" pivotButton="0" quotePrefix="0" xfId="0">
      <alignment horizontal="right"/>
    </xf>
    <xf numFmtId="0" fontId="57" fillId="0" borderId="0" pivotButton="0" quotePrefix="0" xfId="0"/>
    <xf numFmtId="173" fontId="45" fillId="0" borderId="0" applyAlignment="1" pivotButton="0" quotePrefix="0" xfId="0">
      <alignment horizontal="right"/>
    </xf>
    <xf numFmtId="173" fontId="45" fillId="2" borderId="0" applyAlignment="1" pivotButton="0" quotePrefix="0" xfId="0">
      <alignment horizontal="right"/>
    </xf>
    <xf numFmtId="186" fontId="45" fillId="2" borderId="0" applyAlignment="1" pivotButton="0" quotePrefix="0" xfId="0">
      <alignment horizontal="right"/>
    </xf>
    <xf numFmtId="186" fontId="51" fillId="2" borderId="0" applyAlignment="1" pivotButton="0" quotePrefix="0" xfId="0">
      <alignment horizontal="right"/>
    </xf>
    <xf numFmtId="164" fontId="41" fillId="2" borderId="0" pivotButton="0" quotePrefix="0" xfId="0"/>
    <xf numFmtId="174" fontId="45" fillId="0" borderId="0" applyAlignment="1" pivotButton="0" quotePrefix="0" xfId="0">
      <alignment horizontal="right"/>
    </xf>
    <xf numFmtId="174" fontId="51" fillId="2" borderId="0" applyAlignment="1" pivotButton="0" quotePrefix="0" xfId="0">
      <alignment horizontal="right"/>
    </xf>
    <xf numFmtId="174" fontId="45" fillId="2" borderId="0" applyAlignment="1" pivotButton="0" quotePrefix="0" xfId="0">
      <alignment horizontal="right"/>
    </xf>
    <xf numFmtId="176" fontId="45" fillId="2" borderId="0" applyAlignment="1" pivotButton="0" quotePrefix="0" xfId="0">
      <alignment horizontal="right"/>
    </xf>
    <xf numFmtId="166" fontId="48" fillId="6" borderId="2" applyAlignment="1" pivotButton="0" quotePrefix="0" xfId="0">
      <alignment horizontal="right"/>
    </xf>
    <xf numFmtId="173" fontId="48" fillId="6" borderId="2"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5" fillId="0" borderId="0" applyAlignment="1" pivotButton="0" quotePrefix="0" xfId="0">
      <alignment horizontal="right"/>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Net Sales Growth: Retail vs. AWS Contribution, pp</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Charts!$C$8:$V$8</c:f>
            </c:numRef>
          </c:val>
          <c:extLst>
            <c:ext xmlns:c16="http://schemas.microsoft.com/office/drawing/2014/chart" uri="{C3380CC4-5D6E-409C-BE32-E72D297353CC}">
              <c16:uniqueId val="{00000000-FF49-44E0-9EFD-670A32200F47}"/>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Charts!$C$9:$V$9</c:f>
            </c:numRef>
          </c:val>
          <c:extLst>
            <c:ext xmlns:c16="http://schemas.microsoft.com/office/drawing/2014/chart" uri="{C3380CC4-5D6E-409C-BE32-E72D297353CC}">
              <c16:uniqueId val="{00000001-FF49-44E0-9EFD-670A32200F47}"/>
            </c:ext>
          </c:extLst>
        </c:ser>
        <c:dLbls>
          <c:showLegendKey val="0"/>
          <c:showVal val="0"/>
          <c:showCatName val="0"/>
          <c:showSerName val="0"/>
          <c:showPercent val="0"/>
          <c:showBubbleSize val="0"/>
        </c:dLbls>
        <c:gapWidth val="150"/>
        <c:overlap val="100"/>
        <c:axId val="20044735"/>
        <c:axId val="65342648"/>
      </c:barChart>
      <c:catAx>
        <c:axId val="200447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42648"/>
        <c:crosses val="autoZero"/>
        <c:auto val="1"/>
        <c:lblAlgn val="ctr"/>
        <c:lblOffset val="100"/>
        <c:noMultiLvlLbl val="0"/>
      </c:catAx>
      <c:valAx>
        <c:axId val="653426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447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EBITDA &amp; Operating Income (USDm)</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Charts!$C$12:$V$12</c:f>
            </c:numRef>
          </c:val>
          <c:extLst>
            <c:ext xmlns:c16="http://schemas.microsoft.com/office/drawing/2014/chart" uri="{C3380CC4-5D6E-409C-BE32-E72D297353CC}">
              <c16:uniqueId val="{00000000-70F1-4400-9151-F0905619F4D5}"/>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Charts!$C$13:$V$13</c:f>
            </c:numRef>
          </c:val>
          <c:extLst>
            <c:ext xmlns:c16="http://schemas.microsoft.com/office/drawing/2014/chart" uri="{C3380CC4-5D6E-409C-BE32-E72D297353CC}">
              <c16:uniqueId val="{00000001-70F1-4400-9151-F0905619F4D5}"/>
            </c:ext>
          </c:extLst>
        </c:ser>
        <c:dLbls>
          <c:showLegendKey val="0"/>
          <c:showVal val="0"/>
          <c:showCatName val="0"/>
          <c:showSerName val="0"/>
          <c:showPercent val="0"/>
          <c:showBubbleSize val="0"/>
        </c:dLbls>
        <c:gapWidth val="150"/>
        <c:axId val="22608424"/>
        <c:axId val="81960370"/>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Charts!$C$14:$V$14</c:f>
            </c:numRef>
          </c:val>
          <c:smooth val="1"/>
          <c:extLst>
            <c:ext xmlns:c16="http://schemas.microsoft.com/office/drawing/2014/chart" uri="{C3380CC4-5D6E-409C-BE32-E72D297353CC}">
              <c16:uniqueId val="{00000002-70F1-4400-9151-F0905619F4D5}"/>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Charts!$C$15:$V$15</c:f>
            </c:numRef>
          </c:val>
          <c:smooth val="1"/>
          <c:extLst>
            <c:ext xmlns:c16="http://schemas.microsoft.com/office/drawing/2014/chart" uri="{C3380CC4-5D6E-409C-BE32-E72D297353CC}">
              <c16:uniqueId val="{00000003-70F1-4400-9151-F0905619F4D5}"/>
            </c:ext>
          </c:extLst>
        </c:ser>
        <c:dLbls>
          <c:showLegendKey val="0"/>
          <c:showVal val="0"/>
          <c:showCatName val="0"/>
          <c:showSerName val="0"/>
          <c:showPercent val="0"/>
          <c:showBubbleSize val="0"/>
        </c:dLbls>
        <c:hiLowLines>
          <c:spPr>
            <a:ln w="0">
              <a:noFill/>
            </a:ln>
          </c:spPr>
        </c:hiLowLines>
        <c:marker val="1"/>
        <c:smooth val="0"/>
        <c:axId val="99874911"/>
        <c:axId val="65694817"/>
      </c:lineChart>
      <c:catAx>
        <c:axId val="226084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60370"/>
        <c:crosses val="autoZero"/>
        <c:auto val="1"/>
        <c:lblAlgn val="ctr"/>
        <c:lblOffset val="100"/>
        <c:noMultiLvlLbl val="0"/>
      </c:catAx>
      <c:valAx>
        <c:axId val="81960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608424"/>
        <c:crosses val="autoZero"/>
        <c:crossBetween val="between"/>
      </c:valAx>
      <c:catAx>
        <c:axId val="998749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4817"/>
        <c:crosses val="autoZero"/>
        <c:auto val="1"/>
        <c:lblAlgn val="ctr"/>
        <c:lblOffset val="100"/>
        <c:noMultiLvlLbl val="0"/>
      </c:catAx>
      <c:valAx>
        <c:axId val="6569481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491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Returns Profile: ROIC, RONTA, Adjusted EBITDA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Charts!$C$18:$V$18</c:f>
            </c:numRef>
          </c:val>
          <c:smooth val="1"/>
          <c:extLst>
            <c:ext xmlns:c16="http://schemas.microsoft.com/office/drawing/2014/chart" uri="{C3380CC4-5D6E-409C-BE32-E72D297353CC}">
              <c16:uniqueId val="{00000000-D2EB-4AF7-A066-6A1A3BE056BF}"/>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Charts!$C$19:$V$19</c:f>
            </c:numRef>
          </c:val>
          <c:smooth val="1"/>
          <c:extLst>
            <c:ext xmlns:c16="http://schemas.microsoft.com/office/drawing/2014/chart" uri="{C3380CC4-5D6E-409C-BE32-E72D297353CC}">
              <c16:uniqueId val="{00000001-D2EB-4AF7-A066-6A1A3BE056BF}"/>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Charts!$C$20:$V$20</c:f>
            </c:numRef>
          </c:val>
          <c:smooth val="1"/>
          <c:extLst>
            <c:ext xmlns:c16="http://schemas.microsoft.com/office/drawing/2014/chart" uri="{C3380CC4-5D6E-409C-BE32-E72D297353CC}">
              <c16:uniqueId val="{00000002-D2EB-4AF7-A066-6A1A3BE056BF}"/>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Charts!$C$21:$V$21</c:f>
            </c:numRef>
          </c:val>
          <c:smooth val="1"/>
          <c:extLst>
            <c:ext xmlns:c16="http://schemas.microsoft.com/office/drawing/2014/chart" uri="{C3380CC4-5D6E-409C-BE32-E72D297353CC}">
              <c16:uniqueId val="{00000003-D2EB-4AF7-A066-6A1A3BE056BF}"/>
            </c:ext>
          </c:extLst>
        </c:ser>
        <c:dLbls>
          <c:showLegendKey val="0"/>
          <c:showVal val="0"/>
          <c:showCatName val="0"/>
          <c:showSerName val="0"/>
          <c:showPercent val="0"/>
          <c:showBubbleSize val="0"/>
        </c:dLbls>
        <c:hiLowLines>
          <c:spPr>
            <a:ln w="0">
              <a:noFill/>
            </a:ln>
          </c:spPr>
        </c:hiLowLines>
        <c:smooth val="0"/>
        <c:axId val="27004353"/>
        <c:axId val="61682655"/>
      </c:lineChart>
      <c:catAx>
        <c:axId val="270043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682655"/>
        <c:crosses val="autoZero"/>
        <c:auto val="1"/>
        <c:lblAlgn val="ctr"/>
        <c:lblOffset val="100"/>
        <c:noMultiLvlLbl val="0"/>
      </c:catAx>
      <c:valAx>
        <c:axId val="616826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04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AMZN model</author>
  </authors>
  <commentList>
    <comment ref="CF2" authorId="0" shapeId="0">
      <text>
        <t>Scenario toggle. Choose Bull / Base / Bear. Drives: Q3-26 net-sales and operating-income guidance end-points (high / mid / low), 2027E–2030E product-group growth, segment margins, capex intensity, M&amp;A spend and the leverage target for 2027E+ buybacks (scenario table CN:CR).</t>
      </text>
    </comment>
    <comment ref="B11" authorId="0" shapeId="0">
      <text>
        <t>Source: Amazon.com earnings releases (Form 8-K Item 2.02, Ex. 99.1) — supplemental "Net Sales" by groups of similar products and services (quarterly from Q2-16); each quarter from the latest release that presents it (Amazon re-presents the groups: advertising services split out of "Other" in the Q4-21 release, back to Q3-20). FY = Σ quarters (computed).</t>
      </text>
    </comment>
    <comment ref="AW29" authorId="0" shapeId="0">
      <text>
        <t>FY2020: advertising services are split out only from Q3-20, so the FY "Other" includes Q1–Q2/20 advertising (FY advertising blank).</t>
      </text>
    </comment>
    <comment ref="B39" authorId="0" shapeId="0">
      <text>
        <t>Source: Amazon.com earnings releases (Form 8-K Item 2.02, Ex. 99.1) — supplemental financial information ("WW net sales — Y/Y growth, excluding F/X").</t>
      </text>
    </comment>
    <comment ref="B44" authorId="0" shapeId="0">
      <text>
        <t>Source: Amazon.com earnings releases (Form 8-K Item 2.02, Ex. 99.1) — segment information. AWS segment from Q1-15; FY2013 and Q1–Q4/FY2014 from the AWS recast (8-K 23-Apr-2015, Ex. 99.3). 2015 segment operating income from the restated comparatives in the 2016 releases (stock-based compensation and other operating items allocated to segments from 2016). FY2006–12 and 2013 quarters: legacy NA (incl. AWS) / International basis — memo rows.</t>
      </text>
    </comment>
    <comment ref="N44" authorId="0" shapeId="0">
      <text>
        <t>2013: AWS recast (8-K 23-Apr-2015, Ex. 99.3); originally reported NA incl. AWS in the legacy memo rows. Segment OI before SBC (unallocated row).</t>
      </text>
    </comment>
    <comment ref="O44" authorId="0" shapeId="0">
      <text>
        <t>Q1-14: AWS recast (8-K 23-Apr-2015, Ex. 99.3); originally reported NA incl. AWS in the legacy memo rows. Segment OI before SBC (unallocated row).</t>
      </text>
    </comment>
    <comment ref="P44" authorId="0" shapeId="0">
      <text>
        <t>Q2-14: AWS recast (8-K 23-Apr-2015, Ex. 99.3); originally reported NA incl. AWS in the legacy memo rows. Segment OI before SBC (unallocated row).</t>
      </text>
    </comment>
    <comment ref="Q44" authorId="0" shapeId="0">
      <text>
        <t>Q3-14: AWS recast (8-K 23-Apr-2015, Ex. 99.3); originally reported NA incl. AWS in the legacy memo rows. Segment OI before SBC (unallocated row).</t>
      </text>
    </comment>
    <comment ref="R44" authorId="0" shapeId="0">
      <text>
        <t>Q4-14: AWS recast (8-K 23-Apr-2015, Ex. 99.3); originally reported NA incl. AWS in the legacy memo rows. Segment OI before SBC (unallocated row).</t>
      </text>
    </comment>
    <comment ref="S44" authorId="0" shapeId="0">
      <text>
        <t>2014: AWS recast (8-K 23-Apr-2015, Ex. 99.3); originally reported NA incl. AWS in the legacy memo rows. Segment OI before SBC (unallocated row).</t>
      </text>
    </comment>
    <comment ref="T46" authorId="0" shapeId="0">
      <text>
        <t>Q1-15: restated comparative from the 2016 release (SBC and other operating items allocated). As originally reported: NA 517, International -76, AWS 265, unallocated -451 (memo rows).</t>
      </text>
    </comment>
    <comment ref="U46" authorId="0" shapeId="0">
      <text>
        <t>Q2-15: restated comparative from the 2016 release (SBC and other operating items allocated). As originally reported: NA 703, International -19, AWS 391, unallocated -611 (memo rows).</t>
      </text>
    </comment>
    <comment ref="V46" authorId="0" shapeId="0">
      <text>
        <t>Q3-15: restated comparative from the 2016 release (SBC and other operating items allocated). As originally reported: NA 528, International -56, AWS 521, unallocated -587 (memo rows).</t>
      </text>
    </comment>
    <comment ref="W46" authorId="0" shapeId="0">
      <text>
        <t>Q4-15: restated comparative from the 2016 release (SBC and other operating items allocated). As originally reported: NA 1,003, International 60, AWS 687, unallocated -642 (memo rows).</t>
      </text>
    </comment>
    <comment ref="X46" authorId="0" shapeId="0">
      <text>
        <t>2015: restated comparative from the 2016 release (SBC and other operating items allocated). As originally reported: NA 2,751, International -91, AWS 1,863, unallocated -2,290 (memo rows).</t>
      </text>
    </comment>
    <comment ref="B70" authorId="0" shapeId="0">
      <text>
        <t>Source: Amazon.com earnings releases (Form 8-K Item 2.02, Ex. 99.1) — segment information as originally reported (North America incl. AWS; segment OI before stock-based compensation and other operating expense) to Q4-14.</t>
      </text>
    </comment>
    <comment ref="B77" authorId="0" shapeId="0">
      <text>
        <t>Source: Amazon.com earnings releases (Form 8-K Item 2.02, Ex. 99.1) — 2015 quarterly / annual segment results as originally reported in the 2015 releases.</t>
      </text>
    </comment>
    <comment ref="B82" authorId="0" shapeId="0">
      <text>
        <t>Source: Amazon.com earnings releases (Form 8-K Item 2.02, Ex. 99.1) — supplemental net sales by segment: Media, Electronics and other general merchandise, Other (2006–2016; NA + International summed).</t>
      </text>
    </comment>
    <comment ref="B126" authorId="0" shapeId="0">
      <text>
        <t>Source: Amazon.com earnings releases (Form 8-K Item 2.02, Ex. 99.1) — consolidated statements of cash flows ("Depreciation and amortization of property and equipment and capitalized content costs, operating lease assets, and other").</t>
      </text>
    </comment>
    <comment ref="BG126" authorId="0" shapeId="0">
      <text>
        <t>FY2022 as presented in the Q4-22 release includes the 9M-22 "other operating expense (income), net" ($460m) shown separately in the Q1–Q3/22 releases, so Σ quarters is $460m lower (documented check_data exception).</t>
      </text>
    </comment>
    <comment ref="B127" authorId="0" shapeId="0">
      <text>
        <t>Source: XBRL company facts, us-gaap:Depreciation (10-K FY2014+; 10-Q quarters from Q2-24; Q4 = FY − 9M computed).</t>
      </text>
    </comment>
    <comment ref="B140" authorId="0" shapeId="0">
      <text>
        <t>Source: release text (Form 8-K Ex. 99.1) of Q4-22, Q1-23, Q3-25 and Q4-25 — amounts quoted verbatim in manual_items.json.</t>
      </text>
    </comment>
    <comment ref="BF140" authorId="0" shapeId="0">
      <text>
        <t>Q4-22: Fourth quarter 2022 operating income includes approximately $2.7 billion of charges for changes in estimates related to self-insurance liabilities, impairments of property and equipment and operating leases, and estimated severance costs. These charges primarily impacted the North America segment.</t>
      </text>
    </comment>
    <comment ref="BH140" authorId="0" shapeId="0">
      <text>
        <t>Q1-23: First quarter 2023 operating income includes approximately $0.5 billion of charges related to estimated severance costs.</t>
      </text>
    </comment>
    <comment ref="BT140" authorId="0" shapeId="0">
      <text>
        <t>Q3-25: Third quarter 2025 operating income includes two special charges — $2.5 billion related to a legal settlement with the Federal Trade Commission and $1.8 billion in estimated severance costs primarily related to planned role eliminations. Without these charges, operating income would have been $21.7 billion.</t>
      </text>
    </comment>
    <comment ref="BU140" authorId="0" shapeId="0">
      <text>
        <t>Q4-25: Fourth quarter 2025 operating income includes three special charges — $1.1 billion for the resolution of tax disputes associated with our stores business in Italy, and the settlement of a lawsuit, $730 million in estimated severance costs, and $610 million in asset impairments primarily related to physical stores. Without these charges, operating income would have been $27.4 billion.</t>
      </text>
    </comment>
    <comment ref="B141" authorId="0" shapeId="0">
      <text>
        <t>Source: Q2-26 Form 10-Q Note 1 (energy contracts subject to derivative accounting): net unrealized gains $551m in Q2-26 and $599m in 1H-26 (Q1-26 $48m computed).</t>
      </text>
    </comment>
    <comment ref="B144" authorId="0" shapeId="0">
      <text>
        <t>Source: Amazon.com earnings releases (Form 8-K Item 2.02, Ex. 99.1) — consolidated statements of operations (three-month columns; FY from the twelve-month columns of the Q4 release), as originally reported.</t>
      </text>
    </comment>
    <comment ref="BX144" authorId="0" shapeId="0">
      <text>
        <t>Q2-26 includes Prime Day (held in Q3 in 2025).</t>
      </text>
    </comment>
    <comment ref="BX158" authorId="0" shapeId="0">
      <text>
        <t>Q2-26: "non-operating pre-tax other income of $53.4 billion, primarily from our investments in Anthropic" (release text).</t>
      </text>
    </comment>
    <comment ref="B169" authorId="0" shapeId="0">
      <text>
        <t>Source: Amazon.com earnings releases (Form 8-K Item 2.02, Ex. 99.1) — statements of operations (weighted-average shares; ×20 for documents filed before the 20-for-1 split of 6-Jun-2022).</t>
      </text>
    </comment>
    <comment ref="B184" authorId="0" shapeId="0">
      <text>
        <t>Source: Q3-25 release ("Without these charges, operating income would have been $21.7 billion") and Q4-25 release ("… $27.4 billion").</t>
      </text>
    </comment>
    <comment ref="BF186" authorId="0" shapeId="0">
      <text>
        <t>Fourth quarter 2022 operating income includes approximately $2.7 billion of charges for changes in estimates related to self-insurance liabilities, impairments of property and equipment and operating leases, and estimated severance costs. These charges primarily impacted the North America segment.</t>
      </text>
    </comment>
    <comment ref="BH186" authorId="0" shapeId="0">
      <text>
        <t>First quarter 2023 operating income includes approximately $0.5 billion of charges related to estimated severance costs.</t>
      </text>
    </comment>
    <comment ref="BT186" authorId="0" shapeId="0">
      <text>
        <t>Third quarter 2025 operating income includes two special charges — $2.5 billion related to a legal settlement with the Federal Trade Commission and $1.8 billion in estimated severance costs primarily related to planned role eliminations. Without these charges, operating income would have been $21.7 billion.</t>
      </text>
    </comment>
    <comment ref="BU186" authorId="0" shapeId="0">
      <text>
        <t>Fourth quarter 2025 operating income includes three special charges — $1.1 billion for the resolution of tax disputes associated with our stores business in Italy, and the settlement of a lawsuit, $730 million in estimated severance costs, and $610 million in asset impairments primarily related to physical stores. Without these charges, operating income would have been $27.4 billion.</t>
      </text>
    </comment>
    <comment ref="BW186" authorId="0" shapeId="0">
      <text>
        <t>Q2-26 Form 10-Q (31-Jul-2026), Note 1 'Derivatives and Hedging — Energy Contracts': net unrealized gains of $551 million in Q2 2026 and $599 million for the six months ended June 30, 2026, recorded within technology and infrastructure, primarily AWS; Q1-26 = 599 − 551 (computed). Q3-26 guidance assumes no impact.</t>
      </text>
    </comment>
    <comment ref="BA228" authorId="0" shapeId="0">
      <text>
        <t>Second quarter 2026 net income includes non-operating pre-tax other income of $53.4 billion, primarily from our investments in Anthropic.</t>
      </text>
    </comment>
    <comment ref="B249" authorId="0" shapeId="0">
      <text>
        <t>Source: Amazon.com earnings releases (Form 8-K Item 2.02, Ex. 99.1) — consolidated statements of cash flows (three-month columns as published; FY twelve-month columns).</t>
      </text>
    </comment>
    <comment ref="AH258" authorId="0" shapeId="0">
      <text>
        <t>FY2017 (Q4-17 release) shows gross purchases and "proceeds from property and equipment incentives" separately; Q1–Q3/17 releases showed purchases net of proceeds and incentives.</t>
      </text>
    </comment>
    <comment ref="S265" authorId="0" shapeId="0">
      <text>
        <t>FY2014 (Q4-14 release) splits capital / finance lease repayments out; Q1–Q3/14 releases show one combined repayment line (in this row).</t>
      </text>
    </comment>
    <comment ref="AD279" authorId="0" shapeId="0">
      <text>
        <t>Q1-17: ASU 2016-09 (adopted Q1-17, retrospective): excess tax benefits from stock-based compensation reclassified from financing to operating cash flow in the prior-year quarters (Q2-Q4/16: $113m, $173m, $336m)</t>
      </text>
    </comment>
    <comment ref="AE279" authorId="0" shapeId="0">
      <text>
        <t>Q2-17: ASU 2016-09 restatement of the Q3-Q4/16 operating cash flows (excess tax benefits $173m + $336m)</t>
      </text>
    </comment>
    <comment ref="AF279" authorId="0" shapeId="0">
      <text>
        <t>Q3-17: ASU 2016-09 restatement of the Q4/16 operating cash flow (excess tax benefits $336m)</t>
      </text>
    </comment>
    <comment ref="AI279" authorId="0" shapeId="0">
      <text>
        <t>Q1-18: ASU 2016-15 / ASU 2016-18 (adopted Q1-18, retrospective): 2017 quarterly operating cash flows restated (Q1-17 -$29m, Q2-17 +$21m, Q3-17 -$74m, Q4-17 per the FY2017 restatement)</t>
      </text>
    </comment>
    <comment ref="AJ279" authorId="0" shapeId="0">
      <text>
        <t>Q2-18: ASU 2016-15 / ASU 2016-18 restatement of the Q3-Q4/17 operating cash flows</t>
      </text>
    </comment>
    <comment ref="AK279" authorId="0" shapeId="0">
      <text>
        <t>Q3-18: ASU 2016-15 / ASU 2016-18 restatement of the Q4/17 operating cash flow</t>
      </text>
    </comment>
    <comment ref="B280" authorId="0" shapeId="0">
      <text>
        <t>Source: Amazon.com earnings releases (Form 8-K Item 2.02, Ex. 99.1) — supplemental financial information / free-cash-flow reconciliations (TTM, as published in each quarter's release).</t>
      </text>
    </comment>
    <comment ref="B311" authorId="0" shapeId="0">
      <text>
        <t>Source: Amazon.com earnings releases (Form 8-K Item 2.02, Ex. 99.1) — consolidated balance sheets (period ends); common shares outstanding from the supplemental table (split-adjusted ×20 before 6-Jun-2022).</t>
      </text>
    </comment>
    <comment ref="B325" authorId="0" shapeId="0">
      <text>
        <t>Source: XBRL company facts LongTermDebtCurrent (2011+) and ShortTermBorrowings (2021+), as first filed.</t>
      </text>
    </comment>
    <comment ref="B359" authorId="0" shapeId="0">
      <text>
        <t>Source: release balance sheets; XBRL current portion / short-term borrowings; Q2-26 10-Q Note 5; 8-Ks of 13-Mar, 16-Mar, 12-Jun, 9-Jul and 14-Sep-2026 (notes) and 10-Jun-2026 (DDTL).</t>
      </text>
    </comment>
    <comment ref="B382" authorId="0" shapeId="0">
      <text>
        <t>Source: XBRL FinanceLeaseLiabilityCurrent / Noncurrent (2019+); CapitalLeaseObligationsCurrent / Noncurrent (2010–2018; absolute values — the 2010 current fact is tagged negative).</t>
      </text>
    </comment>
  </commentList>
</comments>
</file>

<file path=xl/comments/comment2.xml><?xml version="1.0" encoding="utf-8"?>
<comments xmlns="http://schemas.openxmlformats.org/spreadsheetml/2006/main">
  <authors>
    <author>AMZN model</author>
  </authors>
  <commentList>
    <comment ref="B26" authorId="0" shapeId="0">
      <text>
        <t>P/E on adjusted EPS (model definition: ex investment marks and equity-method activity, + Amazon-quantified special items, tax-effected at 21%). At $260.00 the stock trades on ~33x 2026E model adjusted EPS. Exit multiples are assumptions: Base 28x, Bull 32x, Bear 22x applied to 2029E–30E.</t>
      </text>
    </comment>
    <comment ref="P40" authorId="0" shapeId="0">
      <text>
        <t>Snapshot (values) of Model rows 301, 300 and 302 (Share Buyback Schedule) with the Model scenario switch (cell CF2) = Bull; Bear panel (AB40:AF42) likewise. Base panel (D40:H42) is live-linked.</t>
      </text>
    </comment>
  </commentList>
</comments>
</file>

<file path=xl/comments/comment3.xml><?xml version="1.0" encoding="utf-8"?>
<comments xmlns="http://schemas.openxmlformats.org/spreadsheetml/2006/main">
  <authors>
    <author>AMZN model</author>
  </authors>
  <commentList>
    <comment ref="D24" authorId="0" shapeId="0">
      <text>
        <t>2026E unlevered FCF excluded (×0): valuation net debt is taken at YE2026E, which already reflects the 2026 cash flows (playbook rule 5.7: do not double-count the current year).</t>
      </text>
    </comment>
    <comment ref="P24" authorId="0" shapeId="0">
      <text>
        <t>UFCF CAGRs start from 2027E because 2026E UFCF is excluded (zero) in this layout.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43</row>
      <rowOff>160560</rowOff>
    </from>
    <to>
      <col>12</col>
      <colOff>543600</colOff>
      <row>58</row>
      <rowOff>1800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64</row>
      <rowOff>160560</rowOff>
    </from>
    <to>
      <col>12</col>
      <colOff>543600</colOff>
      <row>79</row>
      <rowOff>2160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R431"/>
  <sheetViews>
    <sheetView showGridLines="0" tabSelected="1" zoomScale="70" zoomScaleNormal="70" workbookViewId="0">
      <pane xSplit="2" ySplit="7" topLeftCell="AR8" activePane="bottomRight" state="frozen"/>
      <selection pane="topRight" activeCell="A1" sqref="A1"/>
      <selection pane="bottomLeft" activeCell="A1" sqref="A1"/>
      <selection pane="bottomRight" activeCell="C1" sqref="C1"/>
      <selection pane="bottomLeft" activeCell="A8" sqref="A8"/>
      <selection pane="bottomRight" activeCell="CA164" sqref="CA164"/>
    </sheetView>
  </sheetViews>
  <sheetFormatPr baseColWidth="8" defaultColWidth="8.5703125" defaultRowHeight="15" outlineLevelRow="2"/>
  <cols>
    <col width="2.42578125" customWidth="1" style="251" min="1" max="1"/>
    <col width="62" customWidth="1" style="251" min="2" max="2"/>
    <col width="14.140625" customWidth="1" style="251" min="3" max="3"/>
    <col width="13" customWidth="1" style="251" min="4" max="4"/>
    <col width="13" customWidth="1" style="251" min="5" max="5"/>
    <col width="13" customWidth="1" style="251" min="6" max="6"/>
    <col width="13" customWidth="1" style="251" min="7" max="7"/>
    <col width="13" customWidth="1" style="251" min="8" max="8"/>
    <col width="13" customWidth="1" style="251" min="9" max="9"/>
    <col hidden="1" outlineLevel="1" width="9.5703125" customWidth="1" style="251" min="10" max="10"/>
    <col hidden="1" outlineLevel="1" width="13" customWidth="1" style="251" min="11" max="11"/>
    <col hidden="1" outlineLevel="1" width="13" customWidth="1" style="251" min="12" max="12"/>
    <col hidden="1" outlineLevel="1" width="13" customWidth="1" style="251" min="13" max="13"/>
    <col width="14.140625" customWidth="1" style="251" min="14" max="14"/>
    <col hidden="1" outlineLevel="1" width="9.5703125" customWidth="1" style="251" min="15" max="15"/>
    <col hidden="1" outlineLevel="1" width="13" customWidth="1" style="251" min="16" max="16"/>
    <col hidden="1" outlineLevel="1" width="13" customWidth="1" style="251" min="17" max="17"/>
    <col hidden="1" outlineLevel="1" width="13" customWidth="1" style="251" min="18" max="18"/>
    <col width="14.140625" customWidth="1" style="251" min="19" max="19"/>
    <col hidden="1" outlineLevel="1" width="9.5703125" customWidth="1" style="251" min="20" max="20"/>
    <col hidden="1" outlineLevel="1" width="13" customWidth="1" style="251" min="21" max="21"/>
    <col hidden="1" outlineLevel="1" width="13" customWidth="1" style="251" min="22" max="22"/>
    <col hidden="1" outlineLevel="1" width="13" customWidth="1" style="251" min="23" max="23"/>
    <col width="14.140625" customWidth="1" style="251" min="24" max="24"/>
    <col hidden="1" outlineLevel="1" width="9.5703125" customWidth="1" style="251" min="25" max="25"/>
    <col hidden="1" outlineLevel="1" width="13" customWidth="1" style="251" min="26" max="26"/>
    <col hidden="1" outlineLevel="1" width="13" customWidth="1" style="251" min="27" max="27"/>
    <col hidden="1" outlineLevel="1" width="13" customWidth="1" style="251" min="28" max="28"/>
    <col width="14.140625" customWidth="1" style="251" min="29" max="29"/>
    <col hidden="1" outlineLevel="1" width="9.5703125" customWidth="1" style="251" min="30" max="30"/>
    <col hidden="1" outlineLevel="1" width="13" customWidth="1" style="251" min="31" max="31"/>
    <col hidden="1" outlineLevel="1" width="13" customWidth="1" style="251" min="32" max="32"/>
    <col hidden="1" outlineLevel="1" width="13" customWidth="1" style="251" min="33" max="33"/>
    <col width="14.140625" customWidth="1" style="251" min="34" max="34"/>
    <col hidden="1" outlineLevel="1" width="9.5703125" customWidth="1" style="251" min="35" max="35"/>
    <col hidden="1" outlineLevel="1" width="13" customWidth="1" style="251" min="36" max="36"/>
    <col hidden="1" outlineLevel="1" width="13" customWidth="1" style="251" min="37" max="37"/>
    <col hidden="1" outlineLevel="1" width="13" customWidth="1" style="251" min="38" max="38"/>
    <col width="14.140625" customWidth="1" style="251" min="39" max="39"/>
    <col hidden="1" outlineLevel="1" width="9.5703125" customWidth="1" style="251" min="40" max="40"/>
    <col hidden="1" outlineLevel="1" width="13" customWidth="1" style="251" min="41" max="41"/>
    <col hidden="1" outlineLevel="1" width="13" customWidth="1" style="251" min="42" max="42"/>
    <col hidden="1" outlineLevel="1" width="13" customWidth="1" style="251" min="43" max="43"/>
    <col width="14.140625" customWidth="1" style="251" min="44" max="44"/>
    <col hidden="1" outlineLevel="1" width="9.5703125" customWidth="1" style="251" min="45" max="45"/>
    <col hidden="1" outlineLevel="1" width="13" customWidth="1" style="251" min="46" max="46"/>
    <col hidden="1" outlineLevel="1" width="13" customWidth="1" style="251" min="47" max="47"/>
    <col hidden="1" outlineLevel="1" width="13" customWidth="1" style="251" min="48" max="48"/>
    <col width="14.140625" customWidth="1" style="251" min="49" max="49"/>
    <col hidden="1" outlineLevel="1" width="9.5703125" customWidth="1" style="251" min="50" max="50"/>
    <col hidden="1" outlineLevel="1" width="13" customWidth="1" style="251" min="51" max="51"/>
    <col hidden="1" outlineLevel="1" width="13" customWidth="1" style="251" min="52" max="52"/>
    <col hidden="1" outlineLevel="1" width="13" customWidth="1" style="251" min="53" max="53"/>
    <col width="14.140625" customWidth="1" style="251" min="54" max="54"/>
    <col hidden="1" outlineLevel="1" width="9.5703125" customWidth="1" style="251" min="55" max="55"/>
    <col hidden="1" outlineLevel="1" width="13" customWidth="1" style="251" min="56" max="56"/>
    <col hidden="1" outlineLevel="1" width="13" customWidth="1" style="251" min="57" max="57"/>
    <col hidden="1" outlineLevel="1" width="13" customWidth="1" style="251" min="58" max="58"/>
    <col width="14.140625" customWidth="1" style="251" min="59" max="59"/>
    <col hidden="1" outlineLevel="1" width="9.5703125" customWidth="1" style="251" min="60" max="60"/>
    <col hidden="1" outlineLevel="1" width="13" customWidth="1" style="251" min="61" max="61"/>
    <col hidden="1" outlineLevel="1" width="13" customWidth="1" style="251" min="62" max="62"/>
    <col hidden="1" outlineLevel="1" width="13" customWidth="1" style="251" min="63" max="63"/>
    <col width="14.140625" customWidth="1" style="251" min="64" max="64"/>
    <col hidden="1" outlineLevel="1" width="9.5703125" customWidth="1" style="251" min="65" max="65"/>
    <col hidden="1" outlineLevel="1" width="13" customWidth="1" style="251" min="66" max="66"/>
    <col hidden="1" outlineLevel="1" width="13" customWidth="1" style="251" min="67" max="67"/>
    <col hidden="1" outlineLevel="1" width="13" customWidth="1" style="251" min="68" max="68"/>
    <col width="14.140625" customWidth="1" style="251" min="69" max="69"/>
    <col hidden="1" outlineLevel="1" width="9.5703125" customWidth="1" style="251" min="70" max="70"/>
    <col hidden="1" outlineLevel="1" width="13" customWidth="1" style="251" min="71" max="71"/>
    <col hidden="1" outlineLevel="1" width="13" customWidth="1" style="251" min="72" max="72"/>
    <col hidden="1" outlineLevel="1" width="13" customWidth="1" style="251" min="73" max="73"/>
    <col width="14.140625" customWidth="1" style="251" min="74" max="74"/>
    <col hidden="1" outlineLevel="1" width="9.5703125" customWidth="1" style="251" min="75" max="75"/>
    <col hidden="1" outlineLevel="1" width="13" customWidth="1" style="251" min="76" max="76"/>
    <col hidden="1" outlineLevel="1" width="11.42578125" customWidth="1" style="251" min="77" max="77"/>
    <col hidden="1" outlineLevel="1" width="13" customWidth="1" style="251" min="78" max="78"/>
    <col width="14.140625" customWidth="1" style="251" min="79" max="79"/>
    <col width="14.140625" customWidth="1" style="251" min="80" max="80"/>
    <col width="13" customWidth="1" style="251" min="81" max="81"/>
    <col width="13" customWidth="1" style="251" min="82" max="82"/>
    <col width="13" customWidth="1" style="251" min="83" max="83"/>
    <col width="86.85546875" customWidth="1" style="251" min="84" max="84"/>
    <col width="2" customWidth="1" style="251" min="85" max="85"/>
    <col width="14.140625" customWidth="1" style="251" min="86" max="86"/>
    <col width="12.42578125" customWidth="1" style="251" min="87" max="87"/>
    <col width="13.42578125" customWidth="1" style="251" min="88" max="88"/>
    <col width="13" customWidth="1" style="251" min="89" max="89"/>
    <col width="2" customWidth="1" style="251" min="90" max="90"/>
    <col width="6" customWidth="1" style="251" min="91" max="91"/>
    <col width="46" customWidth="1" style="251" min="92" max="92"/>
    <col width="11.5703125" customWidth="1" style="251" min="93" max="93"/>
    <col width="13" customWidth="1" style="251" min="94" max="94"/>
    <col width="13" customWidth="1" style="251" min="95" max="95"/>
    <col width="60" customWidth="1" style="251" min="96" max="96"/>
  </cols>
  <sheetData>
    <row r="1" ht="15" customHeight="1" s="251">
      <c r="CF1" s="1" t="inlineStr">
        <is>
          <t>SCENARIO SWITCH ▼ (Bull / Base / Bear) — drives all scenario-linked forecast drivers</t>
        </is>
      </c>
    </row>
    <row r="2" ht="21" customHeight="1" s="251">
      <c r="B2" s="2" t="inlineStr">
        <is>
          <t>Amazon.com, Inc. (NASDAQ: AMZN) — 3-Statement Financial Model</t>
        </is>
      </c>
      <c r="CF2" s="3" t="inlineStr">
        <is>
          <t>Base</t>
        </is>
      </c>
    </row>
    <row r="3" ht="15" customHeight="1" s="251">
      <c r="B3" s="4" t="inlineStr">
        <is>
          <t>US GAAP as reported · USD millions (per-share data in USD; shares in millions, split-adjusted) · Fiscal years ended 31 December · Source: Amazon.com Forms 10-K / 10-Q, Form 8-K earnings releases (Ex. 99.1, incl. the 23-Apr-2015 AWS recast Ex. 99.3) and financing 8-Ks, SEC EDGAR (CIK 0001018724); XBRL company facts; the investor-relations releases are the same documents as filed on EDGAR. Guidance: Q3-26 only (8-K 30-Jul-2026); the ~$200bn 2026 capex figure is from the call and UNVERIFIED (information row only).</t>
        </is>
      </c>
    </row>
    <row r="4" ht="15" customHeight="1" s="251">
      <c r="B4" s="5" t="inlineStr">
        <is>
          <t>Basis notes: as originally reported. Segments NA / International to 2014 (AWS inside NA), AWS from 2015 (FY2013–14 recast); 2015 segment OI restated for SBC allocation (2016 releases). 20-for-1 split 6-Jun-2022. ASC 606 (2018, modified retrospective), ASC 842 (2019). Acquisitions: Whole Foods 28-Aug-17 ($13.2bn), MGM 17-Mar-22 ($6.1bn + $2.5bn debt), One Medical 22-Feb-23 ($3.5bn). Q3/26E calibrated to Q3-26 guidance (net sales, operating income); Q4/26E carries the Q3 Δs (no guidance).</t>
        </is>
      </c>
    </row>
    <row r="5" ht="15" customHeight="1" s="251">
      <c r="BY5" s="153" t="n"/>
      <c r="BZ5" s="153" t="n"/>
      <c r="CA5" s="153" t="n"/>
      <c r="CB5" s="153" t="n"/>
      <c r="CC5" s="153" t="n"/>
      <c r="CD5" s="153" t="n"/>
      <c r="CE5" s="153" t="n"/>
      <c r="CH5" s="6" t="inlineStr">
        <is>
          <t>Forecast</t>
        </is>
      </c>
      <c r="CI5" s="6" t="inlineStr">
        <is>
          <t>Historical</t>
        </is>
      </c>
      <c r="CJ5" s="6" t="inlineStr">
        <is>
          <t>Historical</t>
        </is>
      </c>
      <c r="CK5" s="6" t="inlineStr">
        <is>
          <t>Historical</t>
        </is>
      </c>
    </row>
    <row r="6" ht="15" customHeight="1" s="251">
      <c r="B6" s="7" t="inlineStr">
        <is>
          <t>(USDm)</t>
        </is>
      </c>
      <c r="C6" s="8" t="n">
        <v>2006</v>
      </c>
      <c r="D6" s="8" t="n">
        <v>2007</v>
      </c>
      <c r="E6" s="8" t="n">
        <v>2008</v>
      </c>
      <c r="F6" s="8" t="n">
        <v>2009</v>
      </c>
      <c r="G6" s="8" t="n">
        <v>2010</v>
      </c>
      <c r="H6" s="8" t="n">
        <v>2011</v>
      </c>
      <c r="I6" s="8" t="n">
        <v>2012</v>
      </c>
      <c r="J6" s="8" t="inlineStr">
        <is>
          <t>Q1/13</t>
        </is>
      </c>
      <c r="K6" s="8" t="inlineStr">
        <is>
          <t>Q2/13</t>
        </is>
      </c>
      <c r="L6" s="8" t="inlineStr">
        <is>
          <t>Q3/13</t>
        </is>
      </c>
      <c r="M6" s="8" t="inlineStr">
        <is>
          <t>Q4/13</t>
        </is>
      </c>
      <c r="N6" s="8" t="n">
        <v>2013</v>
      </c>
      <c r="O6" s="8" t="inlineStr">
        <is>
          <t>Q1/14</t>
        </is>
      </c>
      <c r="P6" s="8" t="inlineStr">
        <is>
          <t>Q2/14</t>
        </is>
      </c>
      <c r="Q6" s="8" t="inlineStr">
        <is>
          <t>Q3/14</t>
        </is>
      </c>
      <c r="R6" s="8" t="inlineStr">
        <is>
          <t>Q4/14</t>
        </is>
      </c>
      <c r="S6" s="8" t="n">
        <v>2014</v>
      </c>
      <c r="T6" s="8" t="inlineStr">
        <is>
          <t>Q1/15</t>
        </is>
      </c>
      <c r="U6" s="8" t="inlineStr">
        <is>
          <t>Q2/15</t>
        </is>
      </c>
      <c r="V6" s="8" t="inlineStr">
        <is>
          <t>Q3/15</t>
        </is>
      </c>
      <c r="W6" s="8" t="inlineStr">
        <is>
          <t>Q4/15</t>
        </is>
      </c>
      <c r="X6" s="8" t="n">
        <v>2015</v>
      </c>
      <c r="Y6" s="8" t="inlineStr">
        <is>
          <t>Q1/16</t>
        </is>
      </c>
      <c r="Z6" s="8" t="inlineStr">
        <is>
          <t>Q2/16</t>
        </is>
      </c>
      <c r="AA6" s="8" t="inlineStr">
        <is>
          <t>Q3/16</t>
        </is>
      </c>
      <c r="AB6" s="8" t="inlineStr">
        <is>
          <t>Q4/16</t>
        </is>
      </c>
      <c r="AC6" s="8" t="n">
        <v>2016</v>
      </c>
      <c r="AD6" s="8" t="inlineStr">
        <is>
          <t>Q1/17</t>
        </is>
      </c>
      <c r="AE6" s="8" t="inlineStr">
        <is>
          <t>Q2/17</t>
        </is>
      </c>
      <c r="AF6" s="8" t="inlineStr">
        <is>
          <t>Q3/17</t>
        </is>
      </c>
      <c r="AG6" s="8" t="inlineStr">
        <is>
          <t>Q4/17</t>
        </is>
      </c>
      <c r="AH6" s="8" t="n">
        <v>2017</v>
      </c>
      <c r="AI6" s="8" t="inlineStr">
        <is>
          <t>Q1/18</t>
        </is>
      </c>
      <c r="AJ6" s="8" t="inlineStr">
        <is>
          <t>Q2/18</t>
        </is>
      </c>
      <c r="AK6" s="8" t="inlineStr">
        <is>
          <t>Q3/18</t>
        </is>
      </c>
      <c r="AL6" s="8" t="inlineStr">
        <is>
          <t>Q4/18</t>
        </is>
      </c>
      <c r="AM6" s="8" t="n">
        <v>2018</v>
      </c>
      <c r="AN6" s="8" t="inlineStr">
        <is>
          <t>Q1/19</t>
        </is>
      </c>
      <c r="AO6" s="8" t="inlineStr">
        <is>
          <t>Q2/19</t>
        </is>
      </c>
      <c r="AP6" s="8" t="inlineStr">
        <is>
          <t>Q3/19</t>
        </is>
      </c>
      <c r="AQ6" s="8" t="inlineStr">
        <is>
          <t>Q4/19</t>
        </is>
      </c>
      <c r="AR6" s="8" t="n">
        <v>2019</v>
      </c>
      <c r="AS6" s="8" t="inlineStr">
        <is>
          <t>Q1/20</t>
        </is>
      </c>
      <c r="AT6" s="8" t="inlineStr">
        <is>
          <t>Q2/20</t>
        </is>
      </c>
      <c r="AU6" s="8" t="inlineStr">
        <is>
          <t>Q3/20</t>
        </is>
      </c>
      <c r="AV6" s="8" t="inlineStr">
        <is>
          <t>Q4/20</t>
        </is>
      </c>
      <c r="AW6" s="8" t="n">
        <v>2020</v>
      </c>
      <c r="AX6" s="8" t="inlineStr">
        <is>
          <t>Q1/21</t>
        </is>
      </c>
      <c r="AY6" s="8" t="inlineStr">
        <is>
          <t>Q2/21</t>
        </is>
      </c>
      <c r="AZ6" s="8" t="inlineStr">
        <is>
          <t>Q3/21</t>
        </is>
      </c>
      <c r="BA6" s="8" t="inlineStr">
        <is>
          <t>Q4/21</t>
        </is>
      </c>
      <c r="BB6" s="8" t="n">
        <v>2021</v>
      </c>
      <c r="BC6" s="8" t="inlineStr">
        <is>
          <t>Q1/22</t>
        </is>
      </c>
      <c r="BD6" s="8" t="inlineStr">
        <is>
          <t>Q2/22</t>
        </is>
      </c>
      <c r="BE6" s="8" t="inlineStr">
        <is>
          <t>Q3/22</t>
        </is>
      </c>
      <c r="BF6" s="8" t="inlineStr">
        <is>
          <t>Q4/22</t>
        </is>
      </c>
      <c r="BG6" s="8" t="n">
        <v>2022</v>
      </c>
      <c r="BH6" s="8" t="inlineStr">
        <is>
          <t>Q1/23</t>
        </is>
      </c>
      <c r="BI6" s="8" t="inlineStr">
        <is>
          <t>Q2/23</t>
        </is>
      </c>
      <c r="BJ6" s="8" t="inlineStr">
        <is>
          <t>Q3/23</t>
        </is>
      </c>
      <c r="BK6" s="8" t="inlineStr">
        <is>
          <t>Q4/23</t>
        </is>
      </c>
      <c r="BL6" s="8" t="n">
        <v>2023</v>
      </c>
      <c r="BM6" s="8" t="inlineStr">
        <is>
          <t>Q1/24</t>
        </is>
      </c>
      <c r="BN6" s="8" t="inlineStr">
        <is>
          <t>Q2/24</t>
        </is>
      </c>
      <c r="BO6" s="8" t="inlineStr">
        <is>
          <t>Q3/24</t>
        </is>
      </c>
      <c r="BP6" s="8" t="inlineStr">
        <is>
          <t>Q4/24</t>
        </is>
      </c>
      <c r="BQ6" s="8" t="n">
        <v>2024</v>
      </c>
      <c r="BR6" s="8" t="inlineStr">
        <is>
          <t>Q1/25</t>
        </is>
      </c>
      <c r="BS6" s="8" t="inlineStr">
        <is>
          <t>Q2/25</t>
        </is>
      </c>
      <c r="BT6" s="8" t="inlineStr">
        <is>
          <t>Q3/25</t>
        </is>
      </c>
      <c r="BU6" s="8" t="inlineStr">
        <is>
          <t>Q4/25</t>
        </is>
      </c>
      <c r="BV6" s="8" t="n">
        <v>2025</v>
      </c>
      <c r="BW6" s="8" t="inlineStr">
        <is>
          <t>Q1/26</t>
        </is>
      </c>
      <c r="BX6" s="8" t="inlineStr">
        <is>
          <t>Q2/26</t>
        </is>
      </c>
      <c r="BY6" s="8" t="inlineStr">
        <is>
          <t>Q3/26E</t>
        </is>
      </c>
      <c r="BZ6" s="8" t="inlineStr">
        <is>
          <t>Q4/26E</t>
        </is>
      </c>
      <c r="CA6" s="8" t="inlineStr">
        <is>
          <t>2026E</t>
        </is>
      </c>
      <c r="CB6" s="8" t="inlineStr">
        <is>
          <t>2027E</t>
        </is>
      </c>
      <c r="CC6" s="8" t="inlineStr">
        <is>
          <t>2028E</t>
        </is>
      </c>
      <c r="CD6" s="8" t="inlineStr">
        <is>
          <t>2029E</t>
        </is>
      </c>
      <c r="CE6" s="8" t="inlineStr">
        <is>
          <t>2030E</t>
        </is>
      </c>
      <c r="CF6" s="8" t="inlineStr">
        <is>
          <t>Modelling Notes</t>
        </is>
      </c>
      <c r="CH6" s="6" t="inlineStr">
        <is>
          <t>5Y CAGR</t>
        </is>
      </c>
      <c r="CI6" s="6" t="inlineStr">
        <is>
          <t>5Y CAGR</t>
        </is>
      </c>
      <c r="CJ6" s="6" t="inlineStr">
        <is>
          <t>10Y CAGR</t>
        </is>
      </c>
      <c r="CK6" s="6" t="inlineStr">
        <is>
          <t>19Y CAGR</t>
        </is>
      </c>
    </row>
    <row r="7" ht="15" customHeight="1" s="251">
      <c r="CH7" s="9" t="inlineStr">
        <is>
          <t>25-'30</t>
        </is>
      </c>
      <c r="CI7" s="9" t="inlineStr">
        <is>
          <t>20-'25</t>
        </is>
      </c>
      <c r="CJ7" s="9" t="inlineStr">
        <is>
          <t>15-'25</t>
        </is>
      </c>
      <c r="CK7" s="9" t="inlineStr">
        <is>
          <t>06-'25</t>
        </is>
      </c>
    </row>
    <row r="8" ht="15" customHeight="1" s="251">
      <c r="B8" s="10" t="inlineStr">
        <is>
          <t>NET SALES BUILD — GROUPS OF SIMILAR PRODUCTS &amp; SERVICES → SEGMENTS (NORTH AMERICA · INTERNATIONAL · AWS)</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10" t="n"/>
      <c r="BZ8" s="10" t="n"/>
      <c r="CA8" s="10" t="n"/>
      <c r="CB8" s="10" t="n"/>
      <c r="CC8" s="10" t="n"/>
      <c r="CD8" s="10" t="n"/>
      <c r="CE8" s="10" t="n"/>
      <c r="CF8" s="10" t="inlineStr">
        <is>
          <t>NET SALES BUILD — modelling logic (product-group net sales → retail groups split NA / International by the NA share; AWS group = AWS segment → segment operating income at segment margins → GAAP P&amp;L)</t>
        </is>
      </c>
    </row>
    <row r="9" ht="15" customHeight="1" s="251">
      <c r="CN9" s="11" t="inlineStr">
        <is>
          <t>SCENARIO INPUT TABLE — driver assumptions per Bull / Base / Bear</t>
        </is>
      </c>
      <c r="CO9" s="12" t="inlineStr">
        <is>
          <t>Bull</t>
        </is>
      </c>
      <c r="CP9" s="12" t="inlineStr">
        <is>
          <t>Base</t>
        </is>
      </c>
      <c r="CQ9" s="12" t="inlineStr">
        <is>
          <t>Bear</t>
        </is>
      </c>
      <c r="CR9" s="13" t="inlineStr">
        <is>
          <t>Bull / Bear = Base + Δ (Δ inputs on each block header). Outlook block = high / mid / low end of the Q3-26 guidance ranges.</t>
        </is>
      </c>
    </row>
    <row r="10" ht="15" customHeight="1" s="251">
      <c r="B10" s="14" t="inlineStr">
        <is>
          <t>Net sales by groups of similar products and services (supplemental release table; from Q2-16; advertising services split out of "Other" from Q3-20)</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5" t="inlineStr">
        <is>
          <t>PRODUCT GROUPS — modelling logic: Q3/Q4-26E = prior-year quarter × (1 + growth); 2027E+ = prior year × (1 + scenario lever)</t>
        </is>
      </c>
    </row>
    <row r="11" ht="15" customHeight="1" s="251">
      <c r="B11" s="25" t="inlineStr">
        <is>
          <t xml:space="preserve">  Online stores</t>
        </is>
      </c>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253" t="n">
        <v>20378</v>
      </c>
      <c r="AA11" s="253" t="n">
        <v>21590</v>
      </c>
      <c r="AB11" s="253" t="n">
        <v>29548</v>
      </c>
      <c r="AC11" s="34" t="n"/>
      <c r="AD11" s="253" t="n">
        <v>22826</v>
      </c>
      <c r="AE11" s="253" t="n">
        <v>23754</v>
      </c>
      <c r="AF11" s="253" t="n">
        <v>26392</v>
      </c>
      <c r="AG11" s="253" t="n">
        <v>35383</v>
      </c>
      <c r="AH11" s="253" t="n">
        <v>108355</v>
      </c>
      <c r="AI11" s="253" t="n">
        <v>26939</v>
      </c>
      <c r="AJ11" s="253" t="n">
        <v>27165</v>
      </c>
      <c r="AK11" s="253" t="n">
        <v>29061</v>
      </c>
      <c r="AL11" s="253" t="n">
        <v>39822</v>
      </c>
      <c r="AM11" s="253" t="n">
        <v>122987</v>
      </c>
      <c r="AN11" s="253" t="n">
        <v>29498</v>
      </c>
      <c r="AO11" s="253" t="n">
        <v>31053</v>
      </c>
      <c r="AP11" s="253" t="n">
        <v>35039</v>
      </c>
      <c r="AQ11" s="253" t="n">
        <v>45657</v>
      </c>
      <c r="AR11" s="253" t="n">
        <v>141247</v>
      </c>
      <c r="AS11" s="253" t="n">
        <v>36652</v>
      </c>
      <c r="AT11" s="253" t="n">
        <v>45896</v>
      </c>
      <c r="AU11" s="253" t="n">
        <v>48350</v>
      </c>
      <c r="AV11" s="253" t="n">
        <v>66451</v>
      </c>
      <c r="AW11" s="253" t="n">
        <v>197349</v>
      </c>
      <c r="AX11" s="253" t="n">
        <v>52901</v>
      </c>
      <c r="AY11" s="253" t="n">
        <v>53157</v>
      </c>
      <c r="AZ11" s="253" t="n">
        <v>49942</v>
      </c>
      <c r="BA11" s="253" t="n">
        <v>66075</v>
      </c>
      <c r="BB11" s="253" t="n">
        <v>222075</v>
      </c>
      <c r="BC11" s="253" t="n">
        <v>51129</v>
      </c>
      <c r="BD11" s="253" t="n">
        <v>50855</v>
      </c>
      <c r="BE11" s="253" t="n">
        <v>53489</v>
      </c>
      <c r="BF11" s="253" t="n">
        <v>64531</v>
      </c>
      <c r="BG11" s="253" t="n">
        <v>220004</v>
      </c>
      <c r="BH11" s="253" t="n">
        <v>51096</v>
      </c>
      <c r="BI11" s="253" t="n">
        <v>52966</v>
      </c>
      <c r="BJ11" s="253" t="n">
        <v>57267</v>
      </c>
      <c r="BK11" s="253" t="n">
        <v>70543</v>
      </c>
      <c r="BL11" s="253" t="n">
        <v>231872</v>
      </c>
      <c r="BM11" s="253" t="n">
        <v>54670</v>
      </c>
      <c r="BN11" s="253" t="n">
        <v>55392</v>
      </c>
      <c r="BO11" s="253" t="n">
        <v>61411</v>
      </c>
      <c r="BP11" s="253" t="n">
        <v>75556</v>
      </c>
      <c r="BQ11" s="253" t="n">
        <v>247029</v>
      </c>
      <c r="BR11" s="253" t="n">
        <v>57407</v>
      </c>
      <c r="BS11" s="253" t="n">
        <v>61485</v>
      </c>
      <c r="BT11" s="253" t="n">
        <v>67407</v>
      </c>
      <c r="BU11" s="253" t="n">
        <v>82988</v>
      </c>
      <c r="BV11" s="253" t="n">
        <v>269287</v>
      </c>
      <c r="BW11" s="253" t="n">
        <v>64254</v>
      </c>
      <c r="BX11" s="253" t="n">
        <v>70432</v>
      </c>
      <c r="BY11" s="254">
        <f>BT11*(1+BY12)</f>
        <v>68792.3610943573</v>
      </c>
      <c r="BZ11" s="254">
        <f>BU11*(1+BZ12)</f>
        <v>89380.836622305</v>
      </c>
      <c r="CA11" s="254">
        <f>SUM(BW11:BZ11)</f>
        <v>292859.197716662</v>
      </c>
      <c r="CB11" s="254">
        <f>CA11*(1+CB12)</f>
        <v>317752.229522579</v>
      </c>
      <c r="CC11" s="254">
        <f>CB11*(1+CC12)</f>
        <v>343172.407884385</v>
      </c>
      <c r="CD11" s="254">
        <f>CC11*(1+CD12)</f>
        <v>368910.338475714</v>
      </c>
      <c r="CE11" s="254">
        <f>CD11*(1+CE12)</f>
        <v>394734.062169014</v>
      </c>
      <c r="CF11" s="19" t="inlineStr">
        <is>
          <t>Latest release presenting each quarter (Amazon re-presents the groups). FY = Σ quarters. Q3/Q4-26E: prior-year quarter × (1 + growth).</t>
        </is>
      </c>
      <c r="CH11" s="20">
        <f>IFERROR((CE11/BV11)^(1/5)-1,"n/m")</f>
        <v>0.0794880602807118</v>
      </c>
      <c r="CI11" s="20">
        <f>IFERROR((BV11/AW11)^(1/5)-1,"n/m")</f>
        <v>0.0641334415848041</v>
      </c>
      <c r="CJ11" s="20" t="str">
        <f>IFERROR((BV11/X11)^(1/10)-1,"n/m")</f>
        <v>n/m</v>
      </c>
      <c r="CK11" s="20" t="str">
        <f>IFERROR((BV11/C11)^(1/19)-1,"n/m")</f>
        <v>n/m</v>
      </c>
      <c r="CN11" s="15" t="inlineStr">
        <is>
          <t>Q3-26 guidance — Q2-26 release (8-K, 30-Jul-2026)</t>
        </is>
      </c>
      <c r="CO11" s="21" t="inlineStr">
        <is>
          <t>High</t>
        </is>
      </c>
      <c r="CP11" s="21" t="inlineStr">
        <is>
          <t>Mid</t>
        </is>
      </c>
      <c r="CQ11" s="21" t="inlineStr">
        <is>
          <t>Low</t>
        </is>
      </c>
      <c r="CR11" s="13" t="inlineStr">
        <is>
          <t>Net sales $197.0–202.0bn (+9–12% y/y; ~80 bp FX headwind; Prime Day in Q2 in 2026 vs Q3 in 2025 — ex Prime Day growth ~400 bp higher); operating income $22.5–26.5bn (assumes no energy-derivative remeasurement, acquisitions, restructurings or legal settlements). Amazon guides one quarter ahead.</t>
        </is>
      </c>
    </row>
    <row r="12" ht="15" customHeight="1" s="251">
      <c r="B12" s="22" t="inlineStr">
        <is>
          <t xml:space="preserve">    y/y %</t>
        </is>
      </c>
      <c r="D12" s="255">
        <f>IF(AND(ISNUMBER(D11),ISNUMBER(C11)),IFERROR(D11/C11-1,""),"")</f>
      </c>
      <c r="E12" s="255">
        <f>IF(AND(ISNUMBER(E11),ISNUMBER(D11)),IFERROR(E11/D11-1,""),"")</f>
      </c>
      <c r="F12" s="255">
        <f>IF(AND(ISNUMBER(F11),ISNUMBER(E11)),IFERROR(F11/E11-1,""),"")</f>
      </c>
      <c r="G12" s="255">
        <f>IF(AND(ISNUMBER(G11),ISNUMBER(F11)),IFERROR(G11/F11-1,""),"")</f>
      </c>
      <c r="H12" s="255">
        <f>IF(AND(ISNUMBER(H11),ISNUMBER(G11)),IFERROR(H11/G11-1,""),"")</f>
      </c>
      <c r="I12" s="255">
        <f>IF(AND(ISNUMBER(I11),ISNUMBER(H11)),IFERROR(I11/H11-1,""),"")</f>
      </c>
      <c r="N12" s="255">
        <f>IF(AND(ISNUMBER(N11),ISNUMBER(I11)),IFERROR(N11/I11-1,""),"")</f>
      </c>
      <c r="O12" s="255">
        <f>IF(AND(ISNUMBER(O11),ISNUMBER(J11)),IFERROR(O11/J11-1,""),"")</f>
      </c>
      <c r="P12" s="255">
        <f>IF(AND(ISNUMBER(P11),ISNUMBER(K11)),IFERROR(P11/K11-1,""),"")</f>
      </c>
      <c r="Q12" s="255">
        <f>IF(AND(ISNUMBER(Q11),ISNUMBER(L11)),IFERROR(Q11/L11-1,""),"")</f>
      </c>
      <c r="R12" s="255">
        <f>IF(AND(ISNUMBER(R11),ISNUMBER(M11)),IFERROR(R11/M11-1,""),"")</f>
      </c>
      <c r="S12" s="255">
        <f>IF(AND(ISNUMBER(S11),ISNUMBER(N11)),IFERROR(S11/N11-1,""),"")</f>
      </c>
      <c r="T12" s="255">
        <f>IF(AND(ISNUMBER(T11),ISNUMBER(O11)),IFERROR(T11/O11-1,""),"")</f>
      </c>
      <c r="U12" s="255">
        <f>IF(AND(ISNUMBER(U11),ISNUMBER(P11)),IFERROR(U11/P11-1,""),"")</f>
      </c>
      <c r="V12" s="255">
        <f>IF(AND(ISNUMBER(V11),ISNUMBER(Q11)),IFERROR(V11/Q11-1,""),"")</f>
      </c>
      <c r="W12" s="255">
        <f>IF(AND(ISNUMBER(W11),ISNUMBER(R11)),IFERROR(W11/R11-1,""),"")</f>
      </c>
      <c r="X12" s="255">
        <f>IF(AND(ISNUMBER(X11),ISNUMBER(S11)),IFERROR(X11/S11-1,""),"")</f>
      </c>
      <c r="Y12" s="255">
        <f>IF(AND(ISNUMBER(Y11),ISNUMBER(T11)),IFERROR(Y11/T11-1,""),"")</f>
      </c>
      <c r="Z12" s="255">
        <f>IF(AND(ISNUMBER(Z11),ISNUMBER(U11)),IFERROR(Z11/U11-1,""),"")</f>
      </c>
      <c r="AA12" s="255">
        <f>IF(AND(ISNUMBER(AA11),ISNUMBER(V11)),IFERROR(AA11/V11-1,""),"")</f>
      </c>
      <c r="AB12" s="255">
        <f>IF(AND(ISNUMBER(AB11),ISNUMBER(W11)),IFERROR(AB11/W11-1,""),"")</f>
      </c>
      <c r="AC12" s="255">
        <f>IF(AND(ISNUMBER(AC11),ISNUMBER(X11)),IFERROR(AC11/X11-1,""),"")</f>
      </c>
      <c r="AD12" s="255">
        <f>IF(AND(ISNUMBER(AD11),ISNUMBER(Y11)),IFERROR(AD11/Y11-1,""),"")</f>
      </c>
      <c r="AE12" s="255">
        <f>IF(AND(ISNUMBER(AE11),ISNUMBER(Z11)),IFERROR(AE11/Z11-1,""),"")</f>
        <v>0.165668858572971</v>
      </c>
      <c r="AF12" s="255">
        <f>IF(AND(ISNUMBER(AF11),ISNUMBER(AA11)),IFERROR(AF11/AA11-1,""),"")</f>
        <v>0.222417786012043</v>
      </c>
      <c r="AG12" s="255">
        <f>IF(AND(ISNUMBER(AG11),ISNUMBER(AB11)),IFERROR(AG11/AB11-1,""),"")</f>
        <v>0.197475294436172</v>
      </c>
      <c r="AH12" s="255">
        <f>IF(AND(ISNUMBER(AH11),ISNUMBER(AC11)),IFERROR(AH11/AC11-1,""),"")</f>
      </c>
      <c r="AI12" s="255">
        <f>IF(AND(ISNUMBER(AI11),ISNUMBER(AD11)),IFERROR(AI11/AD11-1,""),"")</f>
        <v>0.18018925786384</v>
      </c>
      <c r="AJ12" s="255">
        <f>IF(AND(ISNUMBER(AJ11),ISNUMBER(AE11)),IFERROR(AJ11/AE11-1,""),"")</f>
        <v>0.143596867895933</v>
      </c>
      <c r="AK12" s="255">
        <f>IF(AND(ISNUMBER(AK11),ISNUMBER(AF11)),IFERROR(AK11/AF11-1,""),"")</f>
        <v>0.101129130039406</v>
      </c>
      <c r="AL12" s="255">
        <f>IF(AND(ISNUMBER(AL11),ISNUMBER(AG11)),IFERROR(AL11/AG11-1,""),"")</f>
        <v>0.125455727326682</v>
      </c>
      <c r="AM12" s="255">
        <f>IF(AND(ISNUMBER(AM11),ISNUMBER(AH11)),IFERROR(AM11/AH11-1,""),"")</f>
        <v>0.135037607863043</v>
      </c>
      <c r="AN12" s="255">
        <f>IF(AND(ISNUMBER(AN11),ISNUMBER(AI11)),IFERROR(AN11/AI11-1,""),"")</f>
        <v>0.0949923902149301</v>
      </c>
      <c r="AO12" s="255">
        <f>IF(AND(ISNUMBER(AO11),ISNUMBER(AJ11)),IFERROR(AO11/AJ11-1,""),"")</f>
        <v>0.143125345113197</v>
      </c>
      <c r="AP12" s="255">
        <f>IF(AND(ISNUMBER(AP11),ISNUMBER(AK11)),IFERROR(AP11/AK11-1,""),"")</f>
        <v>0.205705240700595</v>
      </c>
      <c r="AQ12" s="255">
        <f>IF(AND(ISNUMBER(AQ11),ISNUMBER(AL11)),IFERROR(AQ11/AL11-1,""),"")</f>
        <v>0.146527045351816</v>
      </c>
      <c r="AR12" s="255">
        <f>IF(AND(ISNUMBER(AR11),ISNUMBER(AM11)),IFERROR(AR11/AM11-1,""),"")</f>
        <v>0.148470976607284</v>
      </c>
      <c r="AS12" s="255">
        <f>IF(AND(ISNUMBER(AS11),ISNUMBER(AN11)),IFERROR(AS11/AN11-1,""),"")</f>
        <v>0.242524916943522</v>
      </c>
      <c r="AT12" s="255">
        <f>IF(AND(ISNUMBER(AT11),ISNUMBER(AO11)),IFERROR(AT11/AO11-1,""),"")</f>
        <v>0.477989244195408</v>
      </c>
      <c r="AU12" s="255">
        <f>IF(AND(ISNUMBER(AU11),ISNUMBER(AP11)),IFERROR(AU11/AP11-1,""),"")</f>
        <v>0.379890978623819</v>
      </c>
      <c r="AV12" s="255">
        <f>IF(AND(ISNUMBER(AV11),ISNUMBER(AQ11)),IFERROR(AV11/AQ11-1,""),"")</f>
        <v>0.455439472589088</v>
      </c>
      <c r="AW12" s="255">
        <f>IF(AND(ISNUMBER(AW11),ISNUMBER(AR11)),IFERROR(AW11/AR11-1,""),"")</f>
        <v>0.39719073679441</v>
      </c>
      <c r="AX12" s="255">
        <f>IF(AND(ISNUMBER(AX11),ISNUMBER(AS11)),IFERROR(AX11/AS11-1,""),"")</f>
        <v>0.443331878205828</v>
      </c>
      <c r="AY12" s="255">
        <f>IF(AND(ISNUMBER(AY11),ISNUMBER(AT11)),IFERROR(AY11/AT11-1,""),"")</f>
        <v>0.158205508105282</v>
      </c>
      <c r="AZ12" s="255">
        <f>IF(AND(ISNUMBER(AZ11),ISNUMBER(AU11)),IFERROR(AZ11/AU11-1,""),"")</f>
        <v>0.0329265770423992</v>
      </c>
      <c r="BA12" s="255">
        <f>IF(AND(ISNUMBER(BA11),ISNUMBER(AV11)),IFERROR(BA11/AV11-1,""),"")</f>
        <v>-0.00565830461543093</v>
      </c>
      <c r="BB12" s="255">
        <f>IF(AND(ISNUMBER(BB11),ISNUMBER(AW11)),IFERROR(BB11/AW11-1,""),"")</f>
        <v>0.125290728607695</v>
      </c>
      <c r="BC12" s="255">
        <f>IF(AND(ISNUMBER(BC11),ISNUMBER(AX11)),IFERROR(BC11/AX11-1,""),"")</f>
        <v>-0.033496531256498</v>
      </c>
      <c r="BD12" s="255">
        <f>IF(AND(ISNUMBER(BD11),ISNUMBER(AY11)),IFERROR(BD11/AY11-1,""),"")</f>
        <v>-0.0433056794025246</v>
      </c>
      <c r="BE12" s="255">
        <f>IF(AND(ISNUMBER(BE11),ISNUMBER(AZ11)),IFERROR(BE11/AZ11-1,""),"")</f>
        <v>0.0710223859677226</v>
      </c>
      <c r="BF12" s="255">
        <f>IF(AND(ISNUMBER(BF11),ISNUMBER(BA11)),IFERROR(BF11/BA11-1,""),"")</f>
        <v>-0.0233673855467272</v>
      </c>
      <c r="BG12" s="255">
        <f>IF(AND(ISNUMBER(BG11),ISNUMBER(BB11)),IFERROR(BG11/BB11-1,""),"")</f>
        <v>-0.00932567826184849</v>
      </c>
      <c r="BH12" s="255">
        <f>IF(AND(ISNUMBER(BH11),ISNUMBER(BC11)),IFERROR(BH11/BC11-1,""),"")</f>
        <v>-0.000645426274716865</v>
      </c>
      <c r="BI12" s="255">
        <f>IF(AND(ISNUMBER(BI11),ISNUMBER(BD11)),IFERROR(BI11/BD11-1,""),"")</f>
        <v>0.0415101759905614</v>
      </c>
      <c r="BJ12" s="255">
        <f>IF(AND(ISNUMBER(BJ11),ISNUMBER(BE11)),IFERROR(BJ11/BE11-1,""),"")</f>
        <v>0.0706313447624745</v>
      </c>
      <c r="BK12" s="255">
        <f>IF(AND(ISNUMBER(BK11),ISNUMBER(BF11)),IFERROR(BK11/BF11-1,""),"")</f>
        <v>0.0931645255768545</v>
      </c>
      <c r="BL12" s="255">
        <f>IF(AND(ISNUMBER(BL11),ISNUMBER(BG11)),IFERROR(BL11/BG11-1,""),"")</f>
        <v>0.0539444737368411</v>
      </c>
      <c r="BM12" s="255">
        <f>IF(AND(ISNUMBER(BM11),ISNUMBER(BH11)),IFERROR(BM11/BH11-1,""),"")</f>
        <v>0.0699467668702052</v>
      </c>
      <c r="BN12" s="255">
        <f>IF(AND(ISNUMBER(BN11),ISNUMBER(BI11)),IFERROR(BN11/BI11-1,""),"")</f>
        <v>0.0458029679416985</v>
      </c>
      <c r="BO12" s="255">
        <f>IF(AND(ISNUMBER(BO11),ISNUMBER(BJ11)),IFERROR(BO11/BJ11-1,""),"")</f>
        <v>0.0723627918347389</v>
      </c>
      <c r="BP12" s="255">
        <f>IF(AND(ISNUMBER(BP11),ISNUMBER(BK11)),IFERROR(BP11/BK11-1,""),"")</f>
        <v>0.0710630395645209</v>
      </c>
      <c r="BQ12" s="255">
        <f>IF(AND(ISNUMBER(BQ11),ISNUMBER(BL11)),IFERROR(BQ11/BL11-1,""),"")</f>
        <v>0.0653679616340051</v>
      </c>
      <c r="BR12" s="255">
        <f>IF(AND(ISNUMBER(BR11),ISNUMBER(BM11)),IFERROR(BR11/BM11-1,""),"")</f>
        <v>0.0500640204865557</v>
      </c>
      <c r="BS12" s="255">
        <f>IF(AND(ISNUMBER(BS11),ISNUMBER(BN11)),IFERROR(BS11/BN11-1,""),"")</f>
        <v>0.109997833622184</v>
      </c>
      <c r="BT12" s="255">
        <f>IF(AND(ISNUMBER(BT11),ISNUMBER(BO11)),IFERROR(BT11/BO11-1,""),"")</f>
        <v>0.0976372311149469</v>
      </c>
      <c r="BU12" s="255">
        <f>IF(AND(ISNUMBER(BU11),ISNUMBER(BP11)),IFERROR(BU11/BP11-1,""),"")</f>
        <v>0.0983641272698397</v>
      </c>
      <c r="BV12" s="255">
        <f>IF(AND(ISNUMBER(BV11),ISNUMBER(BQ11)),IFERROR(BV11/BQ11-1,""),"")</f>
        <v>0.090102781454809</v>
      </c>
      <c r="BW12" s="255">
        <f>IF(AND(ISNUMBER(BW11),ISNUMBER(BR11)),IFERROR(BW11/BR11-1,""),"")</f>
        <v>0.1192711690212</v>
      </c>
      <c r="BX12" s="255">
        <f>IF(AND(ISNUMBER(BX11),ISNUMBER(BS11)),IFERROR(BX11/BS11-1,""),"")</f>
        <v>0.145515166300724</v>
      </c>
      <c r="BY12" s="256">
        <f>BY13+BY32+BY114</f>
        <v>0.0205521844075147</v>
      </c>
      <c r="BZ12" s="256">
        <f>BZ13+BZ32+BZ114</f>
        <v>0.077033265319142</v>
      </c>
      <c r="CA12" s="256">
        <f>IF(AND(ISNUMBER(CA11),ISNUMBER(BV11)),IFERROR(CA11/BV11-1,""),"")</f>
        <v>0.087535594799089</v>
      </c>
      <c r="CB12" s="256">
        <f>CHOOSE(MATCH($CF$2,{"Bull","Base","Bear"},0),$CO$32,$CP$32,$CQ$32)</f>
        <v>0.085</v>
      </c>
      <c r="CC12" s="256">
        <f>CHOOSE(MATCH($CF$2,{"Bull","Base","Bear"},0),$CO$33,$CP$33,$CQ$33)</f>
        <v>0.08</v>
      </c>
      <c r="CD12" s="256">
        <f>CHOOSE(MATCH($CF$2,{"Bull","Base","Bear"},0),$CO$34,$CP$34,$CQ$34)</f>
        <v>0.075</v>
      </c>
      <c r="CE12" s="256">
        <f>CHOOSE(MATCH($CF$2,{"Bull","Base","Bear"},0),$CO$35,$CP$35,$CQ$35)</f>
        <v>0.07</v>
      </c>
      <c r="CF12" s="153" t="inlineStr">
        <is>
          <t>Q3/Q4-26E: Q1-26 y/y (before the Prime Day shift) + Prime Day timing shift (Q3 only; online stores, third-party seller services, advertising) + net-sales guidance calibration Δ (retail groups only). 2027E+: scenario lever.</t>
        </is>
      </c>
      <c r="CN12" s="25" t="inlineStr">
        <is>
          <t xml:space="preserve">  Q3-26 net sales ($m)</t>
        </is>
      </c>
      <c r="CO12" s="257" t="n">
        <v>202000</v>
      </c>
      <c r="CP12" s="257" t="n">
        <v>199500</v>
      </c>
      <c r="CQ12" s="257" t="n">
        <v>197000</v>
      </c>
      <c r="CR12" s="13" t="inlineStr">
        <is>
          <t>Guided $197.0–202.0bn. Drives the Q3/26E net-sales calibration (retail product groups).</t>
        </is>
      </c>
    </row>
    <row r="13" ht="15" customHeight="1" s="251">
      <c r="B13" s="25" t="inlineStr">
        <is>
          <t xml:space="preserve">    Q3/Q4-26E growth before calibration (Q1-26 y/y)</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c r="BP13" s="36" t="n"/>
      <c r="BQ13" s="36" t="n"/>
      <c r="BR13" s="36" t="n"/>
      <c r="BS13" s="36" t="n"/>
      <c r="BT13" s="36" t="n"/>
      <c r="BU13" s="36" t="n"/>
      <c r="BV13" s="36" t="n"/>
      <c r="BW13" s="36" t="n"/>
      <c r="BX13" s="36" t="n"/>
      <c r="BY13" s="256">
        <f>IFERROR(BW11/BR11-1,0)</f>
        <v>0.1192711690212</v>
      </c>
      <c r="BZ13" s="256">
        <f>IFERROR(BW11/BR11-1,0)</f>
        <v>0.1192711690212</v>
      </c>
      <c r="CA13" s="24" t="n"/>
      <c r="CB13" s="46" t="n"/>
      <c r="CC13" s="46" t="n"/>
      <c r="CD13" s="46" t="n"/>
      <c r="CE13" s="46" t="n"/>
      <c r="CF13" s="19" t="n"/>
      <c r="CN13" s="25" t="inlineStr">
        <is>
          <t xml:space="preserve">  Q3-26 operating income ($m)</t>
        </is>
      </c>
      <c r="CO13" s="257" t="n">
        <v>26500</v>
      </c>
      <c r="CP13" s="257" t="n">
        <v>24500</v>
      </c>
      <c r="CQ13" s="257" t="n">
        <v>22500</v>
      </c>
      <c r="CR13" s="13" t="inlineStr">
        <is>
          <t>Guided $22.5–26.5bn (Q3-25 $17.4bn incl. $4.3bn special charges). Drives the segment-margin calibration.</t>
        </is>
      </c>
    </row>
    <row r="14" ht="15" customHeight="1" s="251">
      <c r="B14" s="25" t="inlineStr">
        <is>
          <t xml:space="preserve">  Physical stores</t>
        </is>
      </c>
      <c r="C14" s="34" t="n"/>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34" t="n"/>
      <c r="Y14" s="34" t="n"/>
      <c r="Z14" s="253" t="n">
        <v>0</v>
      </c>
      <c r="AA14" s="253" t="n">
        <v>0</v>
      </c>
      <c r="AB14" s="253" t="n">
        <v>0</v>
      </c>
      <c r="AC14" s="34" t="n"/>
      <c r="AD14" s="253" t="n">
        <v>0</v>
      </c>
      <c r="AE14" s="253" t="n">
        <v>0</v>
      </c>
      <c r="AF14" s="253" t="n">
        <v>1276</v>
      </c>
      <c r="AG14" s="253" t="n">
        <v>4522</v>
      </c>
      <c r="AH14" s="253" t="n">
        <v>5798</v>
      </c>
      <c r="AI14" s="253" t="n">
        <v>4263</v>
      </c>
      <c r="AJ14" s="253" t="n">
        <v>4312</v>
      </c>
      <c r="AK14" s="253" t="n">
        <v>4248</v>
      </c>
      <c r="AL14" s="253" t="n">
        <v>4401</v>
      </c>
      <c r="AM14" s="253" t="n">
        <v>17224</v>
      </c>
      <c r="AN14" s="253" t="n">
        <v>4307</v>
      </c>
      <c r="AO14" s="253" t="n">
        <v>4330</v>
      </c>
      <c r="AP14" s="253" t="n">
        <v>4192</v>
      </c>
      <c r="AQ14" s="253" t="n">
        <v>4363</v>
      </c>
      <c r="AR14" s="253" t="n">
        <v>17192</v>
      </c>
      <c r="AS14" s="253" t="n">
        <v>4640</v>
      </c>
      <c r="AT14" s="253" t="n">
        <v>3774</v>
      </c>
      <c r="AU14" s="253" t="n">
        <v>3788</v>
      </c>
      <c r="AV14" s="253" t="n">
        <v>4022</v>
      </c>
      <c r="AW14" s="253" t="n">
        <v>16224</v>
      </c>
      <c r="AX14" s="253" t="n">
        <v>3920</v>
      </c>
      <c r="AY14" s="253" t="n">
        <v>4198</v>
      </c>
      <c r="AZ14" s="253" t="n">
        <v>4269</v>
      </c>
      <c r="BA14" s="253" t="n">
        <v>4688</v>
      </c>
      <c r="BB14" s="253" t="n">
        <v>17075</v>
      </c>
      <c r="BC14" s="253" t="n">
        <v>4591</v>
      </c>
      <c r="BD14" s="253" t="n">
        <v>4721</v>
      </c>
      <c r="BE14" s="253" t="n">
        <v>4694</v>
      </c>
      <c r="BF14" s="253" t="n">
        <v>4957</v>
      </c>
      <c r="BG14" s="253" t="n">
        <v>18963</v>
      </c>
      <c r="BH14" s="253" t="n">
        <v>4895</v>
      </c>
      <c r="BI14" s="253" t="n">
        <v>5024</v>
      </c>
      <c r="BJ14" s="253" t="n">
        <v>4959</v>
      </c>
      <c r="BK14" s="253" t="n">
        <v>5152</v>
      </c>
      <c r="BL14" s="253" t="n">
        <v>20030</v>
      </c>
      <c r="BM14" s="253" t="n">
        <v>5202</v>
      </c>
      <c r="BN14" s="253" t="n">
        <v>5206</v>
      </c>
      <c r="BO14" s="253" t="n">
        <v>5228</v>
      </c>
      <c r="BP14" s="253" t="n">
        <v>5579</v>
      </c>
      <c r="BQ14" s="253" t="n">
        <v>21215</v>
      </c>
      <c r="BR14" s="253" t="n">
        <v>5533</v>
      </c>
      <c r="BS14" s="253" t="n">
        <v>5595</v>
      </c>
      <c r="BT14" s="253" t="n">
        <v>5578</v>
      </c>
      <c r="BU14" s="253" t="n">
        <v>5855</v>
      </c>
      <c r="BV14" s="253" t="n">
        <v>22561</v>
      </c>
      <c r="BW14" s="253" t="n">
        <v>5785</v>
      </c>
      <c r="BX14" s="253" t="n">
        <v>5794</v>
      </c>
      <c r="BY14" s="254">
        <f>BT14*(1+BY15)</f>
        <v>5596.44649420541</v>
      </c>
      <c r="BZ14" s="254">
        <f>BU14*(1+BZ15)</f>
        <v>5874.36253559926</v>
      </c>
      <c r="CA14" s="254">
        <f>SUM(BW14:BZ14)</f>
        <v>23049.8090298047</v>
      </c>
      <c r="CB14" s="254">
        <f>CA14*(1+CB15)</f>
        <v>24202.2994812949</v>
      </c>
      <c r="CC14" s="254">
        <f>CB14*(1+CC15)</f>
        <v>25412.4144553596</v>
      </c>
      <c r="CD14" s="254">
        <f>CC14*(1+CD15)</f>
        <v>26555.9731058508</v>
      </c>
      <c r="CE14" s="254">
        <f>CD14*(1+CE15)</f>
        <v>27618.2120300849</v>
      </c>
      <c r="CF14" s="19" t="inlineStr">
        <is>
          <t>Whole Foods Market from 28-Aug-2017 (blank before = 0).</t>
        </is>
      </c>
      <c r="CH14" s="20">
        <f>IFERROR((CE14/BV14)^(1/5)-1,"n/m")</f>
        <v>0.0412797982718502</v>
      </c>
      <c r="CI14" s="20">
        <f>IFERROR((BV14/AW14)^(1/5)-1,"n/m")</f>
        <v>0.0681692747076492</v>
      </c>
      <c r="CJ14" s="20" t="str">
        <f>IFERROR((BV14/X14)^(1/10)-1,"n/m")</f>
        <v>n/m</v>
      </c>
      <c r="CK14" s="20" t="str">
        <f>IFERROR((BV14/C14)^(1/19)-1,"n/m")</f>
        <v>n/m</v>
      </c>
    </row>
    <row r="15" ht="15" customHeight="1" s="251">
      <c r="B15" s="22" t="inlineStr">
        <is>
          <t xml:space="preserve">    y/y %</t>
        </is>
      </c>
      <c r="D15" s="255">
        <f>IF(AND(ISNUMBER(D14),ISNUMBER(C14)),IFERROR(D14/C14-1,""),"")</f>
      </c>
      <c r="E15" s="255">
        <f>IF(AND(ISNUMBER(E14),ISNUMBER(D14)),IFERROR(E14/D14-1,""),"")</f>
      </c>
      <c r="F15" s="255">
        <f>IF(AND(ISNUMBER(F14),ISNUMBER(E14)),IFERROR(F14/E14-1,""),"")</f>
      </c>
      <c r="G15" s="255">
        <f>IF(AND(ISNUMBER(G14),ISNUMBER(F14)),IFERROR(G14/F14-1,""),"")</f>
      </c>
      <c r="H15" s="255">
        <f>IF(AND(ISNUMBER(H14),ISNUMBER(G14)),IFERROR(H14/G14-1,""),"")</f>
      </c>
      <c r="I15" s="255">
        <f>IF(AND(ISNUMBER(I14),ISNUMBER(H14)),IFERROR(I14/H14-1,""),"")</f>
      </c>
      <c r="N15" s="255">
        <f>IF(AND(ISNUMBER(N14),ISNUMBER(I14)),IFERROR(N14/I14-1,""),"")</f>
      </c>
      <c r="O15" s="255">
        <f>IF(AND(ISNUMBER(O14),ISNUMBER(J14)),IFERROR(O14/J14-1,""),"")</f>
      </c>
      <c r="P15" s="255">
        <f>IF(AND(ISNUMBER(P14),ISNUMBER(K14)),IFERROR(P14/K14-1,""),"")</f>
      </c>
      <c r="Q15" s="255">
        <f>IF(AND(ISNUMBER(Q14),ISNUMBER(L14)),IFERROR(Q14/L14-1,""),"")</f>
      </c>
      <c r="R15" s="255">
        <f>IF(AND(ISNUMBER(R14),ISNUMBER(M14)),IFERROR(R14/M14-1,""),"")</f>
      </c>
      <c r="S15" s="255">
        <f>IF(AND(ISNUMBER(S14),ISNUMBER(N14)),IFERROR(S14/N14-1,""),"")</f>
      </c>
      <c r="T15" s="255">
        <f>IF(AND(ISNUMBER(T14),ISNUMBER(O14)),IFERROR(T14/O14-1,""),"")</f>
      </c>
      <c r="U15" s="255">
        <f>IF(AND(ISNUMBER(U14),ISNUMBER(P14)),IFERROR(U14/P14-1,""),"")</f>
      </c>
      <c r="V15" s="255">
        <f>IF(AND(ISNUMBER(V14),ISNUMBER(Q14)),IFERROR(V14/Q14-1,""),"")</f>
      </c>
      <c r="W15" s="255">
        <f>IF(AND(ISNUMBER(W14),ISNUMBER(R14)),IFERROR(W14/R14-1,""),"")</f>
      </c>
      <c r="X15" s="255">
        <f>IF(AND(ISNUMBER(X14),ISNUMBER(S14)),IFERROR(X14/S14-1,""),"")</f>
      </c>
      <c r="Y15" s="255">
        <f>IF(AND(ISNUMBER(Y14),ISNUMBER(T14)),IFERROR(Y14/T14-1,""),"")</f>
      </c>
      <c r="Z15" s="255">
        <f>IF(AND(ISNUMBER(Z14),ISNUMBER(U14)),IFERROR(Z14/U14-1,""),"")</f>
      </c>
      <c r="AA15" s="255">
        <f>IF(AND(ISNUMBER(AA14),ISNUMBER(V14)),IFERROR(AA14/V14-1,""),"")</f>
      </c>
      <c r="AB15" s="255">
        <f>IF(AND(ISNUMBER(AB14),ISNUMBER(W14)),IFERROR(AB14/W14-1,""),"")</f>
      </c>
      <c r="AC15" s="255">
        <f>IF(AND(ISNUMBER(AC14),ISNUMBER(X14)),IFERROR(AC14/X14-1,""),"")</f>
      </c>
      <c r="AD15" s="255">
        <f>IF(AND(ISNUMBER(AD14),ISNUMBER(Y14)),IFERROR(AD14/Y14-1,""),"")</f>
      </c>
      <c r="AE15" s="255">
        <f>IF(AND(ISNUMBER(AE14),ISNUMBER(Z14)),IFERROR(AE14/Z14-1,""),"")</f>
      </c>
      <c r="AF15" s="255">
        <f>IF(AND(ISNUMBER(AF14),ISNUMBER(AA14)),IFERROR(AF14/AA14-1,""),"")</f>
      </c>
      <c r="AG15" s="255">
        <f>IF(AND(ISNUMBER(AG14),ISNUMBER(AB14)),IFERROR(AG14/AB14-1,""),"")</f>
      </c>
      <c r="AH15" s="255">
        <f>IF(AND(ISNUMBER(AH14),ISNUMBER(AC14)),IFERROR(AH14/AC14-1,""),"")</f>
      </c>
      <c r="AI15" s="255">
        <f>IF(AND(ISNUMBER(AI14),ISNUMBER(AD14)),IFERROR(AI14/AD14-1,""),"")</f>
      </c>
      <c r="AJ15" s="255">
        <f>IF(AND(ISNUMBER(AJ14),ISNUMBER(AE14)),IFERROR(AJ14/AE14-1,""),"")</f>
      </c>
      <c r="AK15" s="255">
        <f>IF(AND(ISNUMBER(AK14),ISNUMBER(AF14)),IFERROR(AK14/AF14-1,""),"")</f>
        <v>2.32915360501567</v>
      </c>
      <c r="AL15" s="255">
        <f>IF(AND(ISNUMBER(AL14),ISNUMBER(AG14)),IFERROR(AL14/AG14-1,""),"")</f>
        <v>-0.0267580716497126</v>
      </c>
      <c r="AM15" s="255">
        <f>IF(AND(ISNUMBER(AM14),ISNUMBER(AH14)),IFERROR(AM14/AH14-1,""),"")</f>
        <v>1.97067954467058</v>
      </c>
      <c r="AN15" s="255">
        <f>IF(AND(ISNUMBER(AN14),ISNUMBER(AI14)),IFERROR(AN14/AI14-1,""),"")</f>
        <v>0.0103213699272813</v>
      </c>
      <c r="AO15" s="255">
        <f>IF(AND(ISNUMBER(AO14),ISNUMBER(AJ14)),IFERROR(AO14/AJ14-1,""),"")</f>
        <v>0.00417439703153999</v>
      </c>
      <c r="AP15" s="255">
        <f>IF(AND(ISNUMBER(AP14),ISNUMBER(AK14)),IFERROR(AP14/AK14-1,""),"")</f>
        <v>-0.0131826741996234</v>
      </c>
      <c r="AQ15" s="255">
        <f>IF(AND(ISNUMBER(AQ14),ISNUMBER(AL14)),IFERROR(AQ14/AL14-1,""),"")</f>
        <v>-0.00863440127243809</v>
      </c>
      <c r="AR15" s="255">
        <f>IF(AND(ISNUMBER(AR14),ISNUMBER(AM14)),IFERROR(AR14/AM14-1,""),"")</f>
        <v>-0.00185787273571758</v>
      </c>
      <c r="AS15" s="255">
        <f>IF(AND(ISNUMBER(AS14),ISNUMBER(AN14)),IFERROR(AS14/AN14-1,""),"")</f>
        <v>0.077315997213838</v>
      </c>
      <c r="AT15" s="255">
        <f>IF(AND(ISNUMBER(AT14),ISNUMBER(AO14)),IFERROR(AT14/AO14-1,""),"")</f>
        <v>-0.128406466512702</v>
      </c>
      <c r="AU15" s="255">
        <f>IF(AND(ISNUMBER(AU14),ISNUMBER(AP14)),IFERROR(AU14/AP14-1,""),"")</f>
        <v>-0.0963740458015268</v>
      </c>
      <c r="AV15" s="255">
        <f>IF(AND(ISNUMBER(AV14),ISNUMBER(AQ14)),IFERROR(AV14/AQ14-1,""),"")</f>
        <v>-0.0781572312628925</v>
      </c>
      <c r="AW15" s="255">
        <f>IF(AND(ISNUMBER(AW14),ISNUMBER(AR14)),IFERROR(AW14/AR14-1,""),"")</f>
        <v>-0.0563052582596556</v>
      </c>
      <c r="AX15" s="255">
        <f>IF(AND(ISNUMBER(AX14),ISNUMBER(AS14)),IFERROR(AX14/AS14-1,""),"")</f>
        <v>-0.155172413793103</v>
      </c>
      <c r="AY15" s="255">
        <f>IF(AND(ISNUMBER(AY14),ISNUMBER(AT14)),IFERROR(AY14/AT14-1,""),"")</f>
        <v>0.112347641759406</v>
      </c>
      <c r="AZ15" s="255">
        <f>IF(AND(ISNUMBER(AZ14),ISNUMBER(AU14)),IFERROR(AZ14/AU14-1,""),"")</f>
        <v>0.126979936642027</v>
      </c>
      <c r="BA15" s="255">
        <f>IF(AND(ISNUMBER(BA14),ISNUMBER(AV14)),IFERROR(BA14/AV14-1,""),"")</f>
        <v>0.165589259075087</v>
      </c>
      <c r="BB15" s="255">
        <f>IF(AND(ISNUMBER(BB14),ISNUMBER(AW14)),IFERROR(BB14/AW14-1,""),"")</f>
        <v>0.0524531558185404</v>
      </c>
      <c r="BC15" s="255">
        <f>IF(AND(ISNUMBER(BC14),ISNUMBER(AX14)),IFERROR(BC14/AX14-1,""),"")</f>
        <v>0.171173469387755</v>
      </c>
      <c r="BD15" s="255">
        <f>IF(AND(ISNUMBER(BD14),ISNUMBER(AY14)),IFERROR(BD14/AY14-1,""),"")</f>
        <v>0.124583134826108</v>
      </c>
      <c r="BE15" s="255">
        <f>IF(AND(ISNUMBER(BE14),ISNUMBER(AZ14)),IFERROR(BE14/AZ14-1,""),"")</f>
        <v>0.0995549308971657</v>
      </c>
      <c r="BF15" s="255">
        <f>IF(AND(ISNUMBER(BF14),ISNUMBER(BA14)),IFERROR(BF14/BA14-1,""),"")</f>
        <v>0.0573805460750854</v>
      </c>
      <c r="BG15" s="255">
        <f>IF(AND(ISNUMBER(BG14),ISNUMBER(BB14)),IFERROR(BG14/BB14-1,""),"")</f>
        <v>0.110571010248902</v>
      </c>
      <c r="BH15" s="255">
        <f>IF(AND(ISNUMBER(BH14),ISNUMBER(BC14)),IFERROR(BH14/BC14-1,""),"")</f>
        <v>0.0662165105641472</v>
      </c>
      <c r="BI15" s="255">
        <f>IF(AND(ISNUMBER(BI14),ISNUMBER(BD14)),IFERROR(BI14/BD14-1,""),"")</f>
        <v>0.064181317517475</v>
      </c>
      <c r="BJ15" s="255">
        <f>IF(AND(ISNUMBER(BJ14),ISNUMBER(BE14)),IFERROR(BJ14/BE14-1,""),"")</f>
        <v>0.0564550489987217</v>
      </c>
      <c r="BK15" s="255">
        <f>IF(AND(ISNUMBER(BK14),ISNUMBER(BF14)),IFERROR(BK14/BF14-1,""),"")</f>
        <v>0.0393383094613677</v>
      </c>
      <c r="BL15" s="255">
        <f>IF(AND(ISNUMBER(BL14),ISNUMBER(BG14)),IFERROR(BL14/BG14-1,""),"")</f>
        <v>0.0562674682276012</v>
      </c>
      <c r="BM15" s="255">
        <f>IF(AND(ISNUMBER(BM14),ISNUMBER(BH14)),IFERROR(BM14/BH14-1,""),"")</f>
        <v>0.0627170582226762</v>
      </c>
      <c r="BN15" s="255">
        <f>IF(AND(ISNUMBER(BN14),ISNUMBER(BI14)),IFERROR(BN14/BI14-1,""),"")</f>
        <v>0.0362261146496816</v>
      </c>
      <c r="BO15" s="255">
        <f>IF(AND(ISNUMBER(BO14),ISNUMBER(BJ14)),IFERROR(BO14/BJ14-1,""),"")</f>
        <v>0.054244807420851</v>
      </c>
      <c r="BP15" s="255">
        <f>IF(AND(ISNUMBER(BP14),ISNUMBER(BK14)),IFERROR(BP14/BK14-1,""),"")</f>
        <v>0.0828804347826087</v>
      </c>
      <c r="BQ15" s="255">
        <f>IF(AND(ISNUMBER(BQ14),ISNUMBER(BL14)),IFERROR(BQ14/BL14-1,""),"")</f>
        <v>0.0591612581128307</v>
      </c>
      <c r="BR15" s="255">
        <f>IF(AND(ISNUMBER(BR14),ISNUMBER(BM14)),IFERROR(BR14/BM14-1,""),"")</f>
        <v>0.0636293733179547</v>
      </c>
      <c r="BS15" s="255">
        <f>IF(AND(ISNUMBER(BS14),ISNUMBER(BN14)),IFERROR(BS14/BN14-1,""),"")</f>
        <v>0.0747214752208989</v>
      </c>
      <c r="BT15" s="255">
        <f>IF(AND(ISNUMBER(BT14),ISNUMBER(BO14)),IFERROR(BT14/BO14-1,""),"")</f>
        <v>0.066947207345065</v>
      </c>
      <c r="BU15" s="255">
        <f>IF(AND(ISNUMBER(BU14),ISNUMBER(BP14)),IFERROR(BU14/BP14-1,""),"")</f>
        <v>0.0494712314034773</v>
      </c>
      <c r="BV15" s="255">
        <f>IF(AND(ISNUMBER(BV14),ISNUMBER(BQ14)),IFERROR(BV14/BQ14-1,""),"")</f>
        <v>0.0634456752297903</v>
      </c>
      <c r="BW15" s="255">
        <f>IF(AND(ISNUMBER(BW14),ISNUMBER(BR14)),IFERROR(BW14/BR14-1,""),"")</f>
        <v>0.0455449123441172</v>
      </c>
      <c r="BX15" s="255">
        <f>IF(AND(ISNUMBER(BX14),ISNUMBER(BS14)),IFERROR(BX14/BS14-1,""),"")</f>
        <v>0.0355674709562108</v>
      </c>
      <c r="BY15" s="256">
        <f>BY16+BY114</f>
        <v>0.00330700864205957</v>
      </c>
      <c r="BZ15" s="256">
        <f>BZ16+BZ114</f>
        <v>0.00330700864205957</v>
      </c>
      <c r="CA15" s="256">
        <f>IF(AND(ISNUMBER(CA14),ISNUMBER(BV14)),IFERROR(CA14/BV14-1,""),"")</f>
        <v>0.0216661065469024</v>
      </c>
      <c r="CB15" s="256">
        <f>CHOOSE(MATCH($CF$2,{"Bull","Base","Bear"},0),$CO$37,$CP$37,$CQ$37)</f>
        <v>0.05</v>
      </c>
      <c r="CC15" s="256">
        <f>CHOOSE(MATCH($CF$2,{"Bull","Base","Bear"},0),$CO$38,$CP$38,$CQ$38)</f>
        <v>0.05</v>
      </c>
      <c r="CD15" s="256">
        <f>CHOOSE(MATCH($CF$2,{"Bull","Base","Bear"},0),$CO$39,$CP$39,$CQ$39)</f>
        <v>0.045</v>
      </c>
      <c r="CE15" s="256">
        <f>CHOOSE(MATCH($CF$2,{"Bull","Base","Bear"},0),$CO$40,$CP$40,$CQ$40)</f>
        <v>0.04</v>
      </c>
      <c r="CF15" s="153" t="n"/>
      <c r="CN15" s="15" t="inlineStr">
        <is>
          <t>Q3/26E–Q4/26E point estimates (all cases)</t>
        </is>
      </c>
      <c r="CO15" s="21" t="n"/>
      <c r="CP15" s="21" t="n"/>
      <c r="CQ15" s="21" t="n"/>
    </row>
    <row r="16" ht="15" customHeight="1" s="251">
      <c r="B16" s="25" t="inlineStr">
        <is>
          <t xml:space="preserve">    Q3/Q4-26E growth before calibration (Q1-26 y/y)</t>
        </is>
      </c>
      <c r="C16" s="36"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c r="BP16" s="36" t="n"/>
      <c r="BQ16" s="36" t="n"/>
      <c r="BR16" s="36" t="n"/>
      <c r="BS16" s="36" t="n"/>
      <c r="BT16" s="36" t="n"/>
      <c r="BU16" s="36" t="n"/>
      <c r="BV16" s="36" t="n"/>
      <c r="BW16" s="36" t="n"/>
      <c r="BX16" s="36" t="n"/>
      <c r="BY16" s="256">
        <f>IFERROR(BW14/BR14-1,0)</f>
        <v>0.0455449123441172</v>
      </c>
      <c r="BZ16" s="256">
        <f>IFERROR(BW14/BR14-1,0)</f>
        <v>0.0455449123441172</v>
      </c>
      <c r="CA16" s="24" t="n"/>
      <c r="CB16" s="46" t="n"/>
      <c r="CC16" s="46" t="n"/>
      <c r="CD16" s="46" t="n"/>
      <c r="CE16" s="46" t="n"/>
      <c r="CF16" s="19" t="n"/>
      <c r="CN16" s="25" t="inlineStr">
        <is>
          <t xml:space="preserve">  Prime Day timing shift on Q3-26 total growth (pp)</t>
        </is>
      </c>
      <c r="CP16" s="258" t="n">
        <v>-0.04</v>
      </c>
      <c r="CR16" s="13" t="inlineStr">
        <is>
          <t>Guidance: "nearly 400 basis points" (8-K 30-Jul-2026).</t>
        </is>
      </c>
    </row>
    <row r="17" ht="15" customHeight="1" s="251">
      <c r="B17" s="25" t="inlineStr">
        <is>
          <t xml:space="preserve">  Third-party seller services</t>
        </is>
      </c>
      <c r="C17" s="34" t="n"/>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253" t="n">
        <v>5083</v>
      </c>
      <c r="AA17" s="253" t="n">
        <v>5652</v>
      </c>
      <c r="AB17" s="253" t="n">
        <v>7456</v>
      </c>
      <c r="AC17" s="34" t="n"/>
      <c r="AD17" s="253" t="n">
        <v>6438</v>
      </c>
      <c r="AE17" s="253" t="n">
        <v>6991</v>
      </c>
      <c r="AF17" s="253" t="n">
        <v>7928</v>
      </c>
      <c r="AG17" s="253" t="n">
        <v>10523</v>
      </c>
      <c r="AH17" s="253" t="n">
        <v>31880</v>
      </c>
      <c r="AI17" s="253" t="n">
        <v>9265</v>
      </c>
      <c r="AJ17" s="253" t="n">
        <v>9702</v>
      </c>
      <c r="AK17" s="253" t="n">
        <v>10395</v>
      </c>
      <c r="AL17" s="253" t="n">
        <v>13383</v>
      </c>
      <c r="AM17" s="253" t="n">
        <v>42745</v>
      </c>
      <c r="AN17" s="253" t="n">
        <v>11141</v>
      </c>
      <c r="AO17" s="253" t="n">
        <v>11962</v>
      </c>
      <c r="AP17" s="253" t="n">
        <v>13212</v>
      </c>
      <c r="AQ17" s="253" t="n">
        <v>17446</v>
      </c>
      <c r="AR17" s="253" t="n">
        <v>53761</v>
      </c>
      <c r="AS17" s="253" t="n">
        <v>14479</v>
      </c>
      <c r="AT17" s="253" t="n">
        <v>18195</v>
      </c>
      <c r="AU17" s="253" t="n">
        <v>20436</v>
      </c>
      <c r="AV17" s="253" t="n">
        <v>27327</v>
      </c>
      <c r="AW17" s="253" t="n">
        <v>80437</v>
      </c>
      <c r="AX17" s="253" t="n">
        <v>23709</v>
      </c>
      <c r="AY17" s="253" t="n">
        <v>25085</v>
      </c>
      <c r="AZ17" s="253" t="n">
        <v>24252</v>
      </c>
      <c r="BA17" s="253" t="n">
        <v>30320</v>
      </c>
      <c r="BB17" s="253" t="n">
        <v>103366</v>
      </c>
      <c r="BC17" s="253" t="n">
        <v>25335</v>
      </c>
      <c r="BD17" s="253" t="n">
        <v>27376</v>
      </c>
      <c r="BE17" s="253" t="n">
        <v>28666</v>
      </c>
      <c r="BF17" s="253" t="n">
        <v>36339</v>
      </c>
      <c r="BG17" s="253" t="n">
        <v>117716</v>
      </c>
      <c r="BH17" s="253" t="n">
        <v>29820</v>
      </c>
      <c r="BI17" s="253" t="n">
        <v>32332</v>
      </c>
      <c r="BJ17" s="253" t="n">
        <v>34342</v>
      </c>
      <c r="BK17" s="253" t="n">
        <v>43559</v>
      </c>
      <c r="BL17" s="253" t="n">
        <v>140053</v>
      </c>
      <c r="BM17" s="253" t="n">
        <v>34596</v>
      </c>
      <c r="BN17" s="253" t="n">
        <v>36201</v>
      </c>
      <c r="BO17" s="253" t="n">
        <v>37864</v>
      </c>
      <c r="BP17" s="253" t="n">
        <v>47485</v>
      </c>
      <c r="BQ17" s="253" t="n">
        <v>156146</v>
      </c>
      <c r="BR17" s="253" t="n">
        <v>36512</v>
      </c>
      <c r="BS17" s="253" t="n">
        <v>40348</v>
      </c>
      <c r="BT17" s="253" t="n">
        <v>42486</v>
      </c>
      <c r="BU17" s="253" t="n">
        <v>52816</v>
      </c>
      <c r="BV17" s="253" t="n">
        <v>172162</v>
      </c>
      <c r="BW17" s="253" t="n">
        <v>41578</v>
      </c>
      <c r="BX17" s="253" t="n">
        <v>46780</v>
      </c>
      <c r="BY17" s="254">
        <f>BT17*(1+BY18)</f>
        <v>44186.7111750054</v>
      </c>
      <c r="BZ17" s="254">
        <f>BU17*(1+BZ18)</f>
        <v>57913.3250165472</v>
      </c>
      <c r="CA17" s="254">
        <f>SUM(BW17:BZ17)</f>
        <v>190458.036191553</v>
      </c>
      <c r="CB17" s="254">
        <f>CA17*(1+CB18)</f>
        <v>211408.420172623</v>
      </c>
      <c r="CC17" s="254">
        <f>CB17*(1+CC18)</f>
        <v>232549.262189886</v>
      </c>
      <c r="CD17" s="254">
        <f>CC17*(1+CD18)</f>
        <v>254641.442097925</v>
      </c>
      <c r="CE17" s="254">
        <f>CD17*(1+CE18)</f>
        <v>277559.171886738</v>
      </c>
      <c r="CF17" s="19" t="n"/>
      <c r="CH17" s="20">
        <f>IFERROR((CE17/BV17)^(1/5)-1,"n/m")</f>
        <v>0.10023044101385</v>
      </c>
      <c r="CI17" s="20">
        <f>IFERROR((BV17/AW17)^(1/5)-1,"n/m")</f>
        <v>0.164384155005903</v>
      </c>
      <c r="CJ17" s="20" t="str">
        <f>IFERROR((BV17/X17)^(1/10)-1,"n/m")</f>
        <v>n/m</v>
      </c>
      <c r="CK17" s="20" t="str">
        <f>IFERROR((BV17/C17)^(1/19)-1,"n/m")</f>
        <v>n/m</v>
      </c>
      <c r="CN17" s="25" t="inlineStr">
        <is>
          <t xml:space="preserve">  Gross capex per quarter, Q3/Q4-26E ($m)</t>
        </is>
      </c>
      <c r="CP17" s="257" t="n">
        <v>54208</v>
      </c>
      <c r="CR17" s="13" t="inlineStr">
        <is>
          <t>Q2-26 purchases of P&amp;E $54.2bn (Q1 $44.2bn); held at the Q2 run-rate (assumption).</t>
        </is>
      </c>
    </row>
    <row r="18" ht="15" customHeight="1" s="251">
      <c r="B18" s="22" t="inlineStr">
        <is>
          <t xml:space="preserve">    y/y %</t>
        </is>
      </c>
      <c r="D18" s="255">
        <f>IF(AND(ISNUMBER(D17),ISNUMBER(C17)),IFERROR(D17/C17-1,""),"")</f>
      </c>
      <c r="E18" s="255">
        <f>IF(AND(ISNUMBER(E17),ISNUMBER(D17)),IFERROR(E17/D17-1,""),"")</f>
      </c>
      <c r="F18" s="255">
        <f>IF(AND(ISNUMBER(F17),ISNUMBER(E17)),IFERROR(F17/E17-1,""),"")</f>
      </c>
      <c r="G18" s="255">
        <f>IF(AND(ISNUMBER(G17),ISNUMBER(F17)),IFERROR(G17/F17-1,""),"")</f>
      </c>
      <c r="H18" s="255">
        <f>IF(AND(ISNUMBER(H17),ISNUMBER(G17)),IFERROR(H17/G17-1,""),"")</f>
      </c>
      <c r="I18" s="255">
        <f>IF(AND(ISNUMBER(I17),ISNUMBER(H17)),IFERROR(I17/H17-1,""),"")</f>
      </c>
      <c r="N18" s="255">
        <f>IF(AND(ISNUMBER(N17),ISNUMBER(I17)),IFERROR(N17/I17-1,""),"")</f>
      </c>
      <c r="O18" s="255">
        <f>IF(AND(ISNUMBER(O17),ISNUMBER(J17)),IFERROR(O17/J17-1,""),"")</f>
      </c>
      <c r="P18" s="255">
        <f>IF(AND(ISNUMBER(P17),ISNUMBER(K17)),IFERROR(P17/K17-1,""),"")</f>
      </c>
      <c r="Q18" s="255">
        <f>IF(AND(ISNUMBER(Q17),ISNUMBER(L17)),IFERROR(Q17/L17-1,""),"")</f>
      </c>
      <c r="R18" s="255">
        <f>IF(AND(ISNUMBER(R17),ISNUMBER(M17)),IFERROR(R17/M17-1,""),"")</f>
      </c>
      <c r="S18" s="255">
        <f>IF(AND(ISNUMBER(S17),ISNUMBER(N17)),IFERROR(S17/N17-1,""),"")</f>
      </c>
      <c r="T18" s="255">
        <f>IF(AND(ISNUMBER(T17),ISNUMBER(O17)),IFERROR(T17/O17-1,""),"")</f>
      </c>
      <c r="U18" s="255">
        <f>IF(AND(ISNUMBER(U17),ISNUMBER(P17)),IFERROR(U17/P17-1,""),"")</f>
      </c>
      <c r="V18" s="255">
        <f>IF(AND(ISNUMBER(V17),ISNUMBER(Q17)),IFERROR(V17/Q17-1,""),"")</f>
      </c>
      <c r="W18" s="255">
        <f>IF(AND(ISNUMBER(W17),ISNUMBER(R17)),IFERROR(W17/R17-1,""),"")</f>
      </c>
      <c r="X18" s="255">
        <f>IF(AND(ISNUMBER(X17),ISNUMBER(S17)),IFERROR(X17/S17-1,""),"")</f>
      </c>
      <c r="Y18" s="255">
        <f>IF(AND(ISNUMBER(Y17),ISNUMBER(T17)),IFERROR(Y17/T17-1,""),"")</f>
      </c>
      <c r="Z18" s="255">
        <f>IF(AND(ISNUMBER(Z17),ISNUMBER(U17)),IFERROR(Z17/U17-1,""),"")</f>
      </c>
      <c r="AA18" s="255">
        <f>IF(AND(ISNUMBER(AA17),ISNUMBER(V17)),IFERROR(AA17/V17-1,""),"")</f>
      </c>
      <c r="AB18" s="255">
        <f>IF(AND(ISNUMBER(AB17),ISNUMBER(W17)),IFERROR(AB17/W17-1,""),"")</f>
      </c>
      <c r="AC18" s="255">
        <f>IF(AND(ISNUMBER(AC17),ISNUMBER(X17)),IFERROR(AC17/X17-1,""),"")</f>
      </c>
      <c r="AD18" s="255">
        <f>IF(AND(ISNUMBER(AD17),ISNUMBER(Y17)),IFERROR(AD17/Y17-1,""),"")</f>
      </c>
      <c r="AE18" s="255">
        <f>IF(AND(ISNUMBER(AE17),ISNUMBER(Z17)),IFERROR(AE17/Z17-1,""),"")</f>
        <v>0.375368876647649</v>
      </c>
      <c r="AF18" s="255">
        <f>IF(AND(ISNUMBER(AF17),ISNUMBER(AA17)),IFERROR(AF17/AA17-1,""),"")</f>
        <v>0.402689313517339</v>
      </c>
      <c r="AG18" s="255">
        <f>IF(AND(ISNUMBER(AG17),ISNUMBER(AB17)),IFERROR(AG17/AB17-1,""),"")</f>
        <v>0.411346566523605</v>
      </c>
      <c r="AH18" s="255">
        <f>IF(AND(ISNUMBER(AH17),ISNUMBER(AC17)),IFERROR(AH17/AC17-1,""),"")</f>
      </c>
      <c r="AI18" s="255">
        <f>IF(AND(ISNUMBER(AI17),ISNUMBER(AD17)),IFERROR(AI17/AD17-1,""),"")</f>
        <v>0.439111525318422</v>
      </c>
      <c r="AJ18" s="255">
        <f>IF(AND(ISNUMBER(AJ17),ISNUMBER(AE17)),IFERROR(AJ17/AE17-1,""),"")</f>
        <v>0.387784294092405</v>
      </c>
      <c r="AK18" s="255">
        <f>IF(AND(ISNUMBER(AK17),ISNUMBER(AF17)),IFERROR(AK17/AF17-1,""),"")</f>
        <v>0.311175580221998</v>
      </c>
      <c r="AL18" s="255">
        <f>IF(AND(ISNUMBER(AL17),ISNUMBER(AG17)),IFERROR(AL17/AG17-1,""),"")</f>
        <v>0.271785612467927</v>
      </c>
      <c r="AM18" s="255">
        <f>IF(AND(ISNUMBER(AM17),ISNUMBER(AH17)),IFERROR(AM17/AH17-1,""),"")</f>
        <v>0.340809284818068</v>
      </c>
      <c r="AN18" s="255">
        <f>IF(AND(ISNUMBER(AN17),ISNUMBER(AI17)),IFERROR(AN17/AI17-1,""),"")</f>
        <v>0.202482460874258</v>
      </c>
      <c r="AO18" s="255">
        <f>IF(AND(ISNUMBER(AO17),ISNUMBER(AJ17)),IFERROR(AO17/AJ17-1,""),"")</f>
        <v>0.23294166151309</v>
      </c>
      <c r="AP18" s="255">
        <f>IF(AND(ISNUMBER(AP17),ISNUMBER(AK17)),IFERROR(AP17/AK17-1,""),"")</f>
        <v>0.270995670995671</v>
      </c>
      <c r="AQ18" s="255">
        <f>IF(AND(ISNUMBER(AQ17),ISNUMBER(AL17)),IFERROR(AQ17/AL17-1,""),"")</f>
        <v>0.303594111933049</v>
      </c>
      <c r="AR18" s="255">
        <f>IF(AND(ISNUMBER(AR17),ISNUMBER(AM17)),IFERROR(AR17/AM17-1,""),"")</f>
        <v>0.257714352555855</v>
      </c>
      <c r="AS18" s="255">
        <f>IF(AND(ISNUMBER(AS17),ISNUMBER(AN17)),IFERROR(AS17/AN17-1,""),"")</f>
        <v>0.299614038237142</v>
      </c>
      <c r="AT18" s="255">
        <f>IF(AND(ISNUMBER(AT17),ISNUMBER(AO17)),IFERROR(AT17/AO17-1,""),"")</f>
        <v>0.521066711252299</v>
      </c>
      <c r="AU18" s="255">
        <f>IF(AND(ISNUMBER(AU17),ISNUMBER(AP17)),IFERROR(AU17/AP17-1,""),"")</f>
        <v>0.54677565849228</v>
      </c>
      <c r="AV18" s="255">
        <f>IF(AND(ISNUMBER(AV17),ISNUMBER(AQ17)),IFERROR(AV17/AQ17-1,""),"")</f>
        <v>0.566376246704116</v>
      </c>
      <c r="AW18" s="255">
        <f>IF(AND(ISNUMBER(AW17),ISNUMBER(AR17)),IFERROR(AW17/AR17-1,""),"")</f>
        <v>0.49619612730418</v>
      </c>
      <c r="AX18" s="255">
        <f>IF(AND(ISNUMBER(AX17),ISNUMBER(AS17)),IFERROR(AX17/AS17-1,""),"")</f>
        <v>0.63747496374059</v>
      </c>
      <c r="AY18" s="255">
        <f>IF(AND(ISNUMBER(AY17),ISNUMBER(AT17)),IFERROR(AY17/AT17-1,""),"")</f>
        <v>0.378675460291289</v>
      </c>
      <c r="AZ18" s="255">
        <f>IF(AND(ISNUMBER(AZ17),ISNUMBER(AU17)),IFERROR(AZ17/AU17-1,""),"")</f>
        <v>0.186729301233118</v>
      </c>
      <c r="BA18" s="255">
        <f>IF(AND(ISNUMBER(BA17),ISNUMBER(AV17)),IFERROR(BA17/AV17-1,""),"")</f>
        <v>0.109525377831449</v>
      </c>
      <c r="BB18" s="255">
        <f>IF(AND(ISNUMBER(BB17),ISNUMBER(AW17)),IFERROR(BB17/AW17-1,""),"")</f>
        <v>0.285055384959658</v>
      </c>
      <c r="BC18" s="255">
        <f>IF(AND(ISNUMBER(BC17),ISNUMBER(AX17)),IFERROR(BC17/AX17-1,""),"")</f>
        <v>0.0685815513096293</v>
      </c>
      <c r="BD18" s="255">
        <f>IF(AND(ISNUMBER(BD17),ISNUMBER(AY17)),IFERROR(BD17/AY17-1,""),"")</f>
        <v>0.091329479768786</v>
      </c>
      <c r="BE18" s="255">
        <f>IF(AND(ISNUMBER(BE17),ISNUMBER(AZ17)),IFERROR(BE17/AZ17-1,""),"")</f>
        <v>0.182005607784925</v>
      </c>
      <c r="BF18" s="255">
        <f>IF(AND(ISNUMBER(BF17),ISNUMBER(BA17)),IFERROR(BF17/BA17-1,""),"")</f>
        <v>0.198515831134565</v>
      </c>
      <c r="BG18" s="255">
        <f>IF(AND(ISNUMBER(BG17),ISNUMBER(BB17)),IFERROR(BG17/BB17-1,""),"")</f>
        <v>0.138827080471335</v>
      </c>
      <c r="BH18" s="255">
        <f>IF(AND(ISNUMBER(BH17),ISNUMBER(BC17)),IFERROR(BH17/BC17-1,""),"")</f>
        <v>0.177027827116637</v>
      </c>
      <c r="BI18" s="255">
        <f>IF(AND(ISNUMBER(BI17),ISNUMBER(BD17)),IFERROR(BI17/BD17-1,""),"")</f>
        <v>0.181034482758621</v>
      </c>
      <c r="BJ18" s="255">
        <f>IF(AND(ISNUMBER(BJ17),ISNUMBER(BE17)),IFERROR(BJ17/BE17-1,""),"")</f>
        <v>0.19800460475825</v>
      </c>
      <c r="BK18" s="255">
        <f>IF(AND(ISNUMBER(BK17),ISNUMBER(BF17)),IFERROR(BK17/BF17-1,""),"")</f>
        <v>0.198684608822477</v>
      </c>
      <c r="BL18" s="255">
        <f>IF(AND(ISNUMBER(BL17),ISNUMBER(BG17)),IFERROR(BL17/BG17-1,""),"")</f>
        <v>0.189753304563526</v>
      </c>
      <c r="BM18" s="255">
        <f>IF(AND(ISNUMBER(BM17),ISNUMBER(BH17)),IFERROR(BM17/BH17-1,""),"")</f>
        <v>0.160160965794769</v>
      </c>
      <c r="BN18" s="255">
        <f>IF(AND(ISNUMBER(BN17),ISNUMBER(BI17)),IFERROR(BN17/BI17-1,""),"")</f>
        <v>0.11966472844241</v>
      </c>
      <c r="BO18" s="255">
        <f>IF(AND(ISNUMBER(BO17),ISNUMBER(BJ17)),IFERROR(BO17/BJ17-1,""),"")</f>
        <v>0.102556636188923</v>
      </c>
      <c r="BP18" s="255">
        <f>IF(AND(ISNUMBER(BP17),ISNUMBER(BK17)),IFERROR(BP17/BK17-1,""),"")</f>
        <v>0.0901306274248721</v>
      </c>
      <c r="BQ18" s="255">
        <f>IF(AND(ISNUMBER(BQ17),ISNUMBER(BL17)),IFERROR(BQ17/BL17-1,""),"")</f>
        <v>0.114906499682263</v>
      </c>
      <c r="BR18" s="255">
        <f>IF(AND(ISNUMBER(BR17),ISNUMBER(BM17)),IFERROR(BR17/BM17-1,""),"")</f>
        <v>0.0553821251011677</v>
      </c>
      <c r="BS18" s="255">
        <f>IF(AND(ISNUMBER(BS17),ISNUMBER(BN17)),IFERROR(BS17/BN17-1,""),"")</f>
        <v>0.1145548465512</v>
      </c>
      <c r="BT18" s="255">
        <f>IF(AND(ISNUMBER(BT17),ISNUMBER(BO17)),IFERROR(BT17/BO17-1,""),"")</f>
        <v>0.122068455525037</v>
      </c>
      <c r="BU18" s="255">
        <f>IF(AND(ISNUMBER(BU17),ISNUMBER(BP17)),IFERROR(BU17/BP17-1,""),"")</f>
        <v>0.112267031694219</v>
      </c>
      <c r="BV18" s="255">
        <f>IF(AND(ISNUMBER(BV17),ISNUMBER(BQ17)),IFERROR(BV17/BQ17-1,""),"")</f>
        <v>0.102570671038643</v>
      </c>
      <c r="BW18" s="255">
        <f>IF(AND(ISNUMBER(BW17),ISNUMBER(BR17)),IFERROR(BW17/BR17-1,""),"")</f>
        <v>0.138748904469763</v>
      </c>
      <c r="BX18" s="255">
        <f>IF(AND(ISNUMBER(BX17),ISNUMBER(BS17)),IFERROR(BX17/BS17-1,""),"")</f>
        <v>0.159413105977992</v>
      </c>
      <c r="BY18" s="256">
        <f>BY19+BY32+BY114</f>
        <v>0.0400299198560785</v>
      </c>
      <c r="BZ18" s="256">
        <f>BZ19+BZ32+BZ114</f>
        <v>0.0965110007677058</v>
      </c>
      <c r="CA18" s="256">
        <f>IF(AND(ISNUMBER(CA17),ISNUMBER(BV17)),IFERROR(CA17/BV17-1,""),"")</f>
        <v>0.106272209846264</v>
      </c>
      <c r="CB18" s="256">
        <f>CHOOSE(MATCH($CF$2,{"Bull","Base","Bear"},0),$CO$42,$CP$42,$CQ$42)</f>
        <v>0.11</v>
      </c>
      <c r="CC18" s="256">
        <f>CHOOSE(MATCH($CF$2,{"Bull","Base","Bear"},0),$CO$43,$CP$43,$CQ$43)</f>
        <v>0.1</v>
      </c>
      <c r="CD18" s="256">
        <f>CHOOSE(MATCH($CF$2,{"Bull","Base","Bear"},0),$CO$44,$CP$44,$CQ$44)</f>
        <v>0.095</v>
      </c>
      <c r="CE18" s="256">
        <f>CHOOSE(MATCH($CF$2,{"Bull","Base","Bear"},0),$CO$45,$CP$45,$CQ$45)</f>
        <v>0.09</v>
      </c>
      <c r="CF18" s="153" t="n"/>
      <c r="CN18" s="25" t="inlineStr">
        <is>
          <t xml:space="preserve">  Proceeds from P&amp;E sales and incentives, % of gross capex</t>
        </is>
      </c>
      <c r="CP18" s="258" t="n">
        <v>0.02</v>
      </c>
      <c r="CR18" s="13" t="inlineStr">
        <is>
          <t>1H-26 2.1%; FY2025 2.7%.</t>
        </is>
      </c>
    </row>
    <row r="19" ht="15" customHeight="1" s="251">
      <c r="B19" s="25" t="inlineStr">
        <is>
          <t xml:space="preserve">    Q3/Q4-26E growth before calibration (Q1-26 y/y)</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c r="BX19" s="36" t="n"/>
      <c r="BY19" s="256">
        <f>IFERROR(BW17/BR17-1,0)</f>
        <v>0.138748904469763</v>
      </c>
      <c r="BZ19" s="256">
        <f>IFERROR(BW17/BR17-1,0)</f>
        <v>0.138748904469763</v>
      </c>
      <c r="CA19" s="24" t="n"/>
      <c r="CB19" s="46" t="n"/>
      <c r="CC19" s="46" t="n"/>
      <c r="CD19" s="46" t="n"/>
      <c r="CE19" s="46" t="n"/>
      <c r="CF19" s="19" t="n"/>
      <c r="CN19" s="25" t="inlineStr">
        <is>
          <t xml:space="preserve">  Other operating expense (income), net per quarter ($m)</t>
        </is>
      </c>
      <c r="CP19" s="257" t="n">
        <v>300</v>
      </c>
      <c r="CR19" s="13" t="inlineStr">
        <is>
          <t>1H-26 $537m.</t>
        </is>
      </c>
    </row>
    <row r="20" ht="15" customHeight="1" s="251">
      <c r="B20" s="25" t="inlineStr">
        <is>
          <t xml:space="preserve">  Subscription services</t>
        </is>
      </c>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253" t="n">
        <v>1431</v>
      </c>
      <c r="AA20" s="253" t="n">
        <v>1532</v>
      </c>
      <c r="AB20" s="253" t="n">
        <v>2130</v>
      </c>
      <c r="AC20" s="34" t="n"/>
      <c r="AD20" s="253" t="n">
        <v>1939</v>
      </c>
      <c r="AE20" s="253" t="n">
        <v>2165</v>
      </c>
      <c r="AF20" s="253" t="n">
        <v>2441</v>
      </c>
      <c r="AG20" s="253" t="n">
        <v>3177</v>
      </c>
      <c r="AH20" s="253" t="n">
        <v>9722</v>
      </c>
      <c r="AI20" s="253" t="n">
        <v>3102</v>
      </c>
      <c r="AJ20" s="253" t="n">
        <v>3408</v>
      </c>
      <c r="AK20" s="253" t="n">
        <v>3698</v>
      </c>
      <c r="AL20" s="253" t="n">
        <v>3959</v>
      </c>
      <c r="AM20" s="253" t="n">
        <v>14167</v>
      </c>
      <c r="AN20" s="253" t="n">
        <v>4342</v>
      </c>
      <c r="AO20" s="253" t="n">
        <v>4676</v>
      </c>
      <c r="AP20" s="253" t="n">
        <v>4957</v>
      </c>
      <c r="AQ20" s="253" t="n">
        <v>5235</v>
      </c>
      <c r="AR20" s="253" t="n">
        <v>19210</v>
      </c>
      <c r="AS20" s="253" t="n">
        <v>5556</v>
      </c>
      <c r="AT20" s="253" t="n">
        <v>6018</v>
      </c>
      <c r="AU20" s="253" t="n">
        <v>6572</v>
      </c>
      <c r="AV20" s="253" t="n">
        <v>7061</v>
      </c>
      <c r="AW20" s="253" t="n">
        <v>25207</v>
      </c>
      <c r="AX20" s="253" t="n">
        <v>7580</v>
      </c>
      <c r="AY20" s="253" t="n">
        <v>7917</v>
      </c>
      <c r="AZ20" s="253" t="n">
        <v>8148</v>
      </c>
      <c r="BA20" s="253" t="n">
        <v>8123</v>
      </c>
      <c r="BB20" s="253" t="n">
        <v>31768</v>
      </c>
      <c r="BC20" s="253" t="n">
        <v>8410</v>
      </c>
      <c r="BD20" s="253" t="n">
        <v>8716</v>
      </c>
      <c r="BE20" s="253" t="n">
        <v>8903</v>
      </c>
      <c r="BF20" s="253" t="n">
        <v>9189</v>
      </c>
      <c r="BG20" s="253" t="n">
        <v>35218</v>
      </c>
      <c r="BH20" s="253" t="n">
        <v>9657</v>
      </c>
      <c r="BI20" s="253" t="n">
        <v>9894</v>
      </c>
      <c r="BJ20" s="253" t="n">
        <v>10170</v>
      </c>
      <c r="BK20" s="253" t="n">
        <v>10488</v>
      </c>
      <c r="BL20" s="253" t="n">
        <v>40209</v>
      </c>
      <c r="BM20" s="253" t="n">
        <v>10722</v>
      </c>
      <c r="BN20" s="253" t="n">
        <v>10866</v>
      </c>
      <c r="BO20" s="253" t="n">
        <v>11278</v>
      </c>
      <c r="BP20" s="253" t="n">
        <v>11508</v>
      </c>
      <c r="BQ20" s="253" t="n">
        <v>44374</v>
      </c>
      <c r="BR20" s="253" t="n">
        <v>11715</v>
      </c>
      <c r="BS20" s="253" t="n">
        <v>12208</v>
      </c>
      <c r="BT20" s="253" t="n">
        <v>12574</v>
      </c>
      <c r="BU20" s="253" t="n">
        <v>13122</v>
      </c>
      <c r="BV20" s="253" t="n">
        <v>49619</v>
      </c>
      <c r="BW20" s="253" t="n">
        <v>13427</v>
      </c>
      <c r="BX20" s="253" t="n">
        <v>13730</v>
      </c>
      <c r="BY20" s="254">
        <f>BT20*(1+BY21)</f>
        <v>13880.4326517739</v>
      </c>
      <c r="BZ20" s="254">
        <f>BU20*(1+BZ21)</f>
        <v>14485.3695925384</v>
      </c>
      <c r="CA20" s="254">
        <f>SUM(BW20:BZ20)</f>
        <v>55522.8022443123</v>
      </c>
      <c r="CB20" s="254">
        <f>CA20*(1+CB21)</f>
        <v>61630.3104911867</v>
      </c>
      <c r="CC20" s="254">
        <f>CB20*(1+CC21)</f>
        <v>67793.3415403053</v>
      </c>
      <c r="CD20" s="254">
        <f>CC20*(1+CD21)</f>
        <v>74233.7089866343</v>
      </c>
      <c r="CE20" s="254">
        <f>CD20*(1+CE21)</f>
        <v>80914.7427954314</v>
      </c>
      <c r="CF20" s="19" t="n"/>
      <c r="CH20" s="20">
        <f>IFERROR((CE20/BV20)^(1/5)-1,"n/m")</f>
        <v>0.102747114625756</v>
      </c>
      <c r="CI20" s="20">
        <f>IFERROR((BV20/AW20)^(1/5)-1,"n/m")</f>
        <v>0.145052420706786</v>
      </c>
      <c r="CJ20" s="20" t="str">
        <f>IFERROR((BV20/X20)^(1/10)-1,"n/m")</f>
        <v>n/m</v>
      </c>
      <c r="CK20" s="20" t="str">
        <f>IFERROR((BV20/C20)^(1/19)-1,"n/m")</f>
        <v>n/m</v>
      </c>
      <c r="CN20" s="25" t="inlineStr">
        <is>
          <t xml:space="preserve">  Interest income yield on cash &amp; marketable securities (annual)</t>
        </is>
      </c>
      <c r="CP20" s="258" t="n">
        <v>0.036</v>
      </c>
      <c r="CR20" s="13" t="inlineStr">
        <is>
          <t>Q2-26 $1,295m on $143.1bn opening cash and securities (3.6%).</t>
        </is>
      </c>
    </row>
    <row r="21" ht="15" customHeight="1" s="251">
      <c r="B21" s="22" t="inlineStr">
        <is>
          <t xml:space="preserve">    y/y %</t>
        </is>
      </c>
      <c r="D21" s="255">
        <f>IF(AND(ISNUMBER(D20),ISNUMBER(C20)),IFERROR(D20/C20-1,""),"")</f>
      </c>
      <c r="E21" s="255">
        <f>IF(AND(ISNUMBER(E20),ISNUMBER(D20)),IFERROR(E20/D20-1,""),"")</f>
      </c>
      <c r="F21" s="255">
        <f>IF(AND(ISNUMBER(F20),ISNUMBER(E20)),IFERROR(F20/E20-1,""),"")</f>
      </c>
      <c r="G21" s="255">
        <f>IF(AND(ISNUMBER(G20),ISNUMBER(F20)),IFERROR(G20/F20-1,""),"")</f>
      </c>
      <c r="H21" s="255">
        <f>IF(AND(ISNUMBER(H20),ISNUMBER(G20)),IFERROR(H20/G20-1,""),"")</f>
      </c>
      <c r="I21" s="255">
        <f>IF(AND(ISNUMBER(I20),ISNUMBER(H20)),IFERROR(I20/H20-1,""),"")</f>
      </c>
      <c r="N21" s="255">
        <f>IF(AND(ISNUMBER(N20),ISNUMBER(I20)),IFERROR(N20/I20-1,""),"")</f>
      </c>
      <c r="O21" s="255">
        <f>IF(AND(ISNUMBER(O20),ISNUMBER(J20)),IFERROR(O20/J20-1,""),"")</f>
      </c>
      <c r="P21" s="255">
        <f>IF(AND(ISNUMBER(P20),ISNUMBER(K20)),IFERROR(P20/K20-1,""),"")</f>
      </c>
      <c r="Q21" s="255">
        <f>IF(AND(ISNUMBER(Q20),ISNUMBER(L20)),IFERROR(Q20/L20-1,""),"")</f>
      </c>
      <c r="R21" s="255">
        <f>IF(AND(ISNUMBER(R20),ISNUMBER(M20)),IFERROR(R20/M20-1,""),"")</f>
      </c>
      <c r="S21" s="255">
        <f>IF(AND(ISNUMBER(S20),ISNUMBER(N20)),IFERROR(S20/N20-1,""),"")</f>
      </c>
      <c r="T21" s="255">
        <f>IF(AND(ISNUMBER(T20),ISNUMBER(O20)),IFERROR(T20/O20-1,""),"")</f>
      </c>
      <c r="U21" s="255">
        <f>IF(AND(ISNUMBER(U20),ISNUMBER(P20)),IFERROR(U20/P20-1,""),"")</f>
      </c>
      <c r="V21" s="255">
        <f>IF(AND(ISNUMBER(V20),ISNUMBER(Q20)),IFERROR(V20/Q20-1,""),"")</f>
      </c>
      <c r="W21" s="255">
        <f>IF(AND(ISNUMBER(W20),ISNUMBER(R20)),IFERROR(W20/R20-1,""),"")</f>
      </c>
      <c r="X21" s="255">
        <f>IF(AND(ISNUMBER(X20),ISNUMBER(S20)),IFERROR(X20/S20-1,""),"")</f>
      </c>
      <c r="Y21" s="255">
        <f>IF(AND(ISNUMBER(Y20),ISNUMBER(T20)),IFERROR(Y20/T20-1,""),"")</f>
      </c>
      <c r="Z21" s="255">
        <f>IF(AND(ISNUMBER(Z20),ISNUMBER(U20)),IFERROR(Z20/U20-1,""),"")</f>
      </c>
      <c r="AA21" s="255">
        <f>IF(AND(ISNUMBER(AA20),ISNUMBER(V20)),IFERROR(AA20/V20-1,""),"")</f>
      </c>
      <c r="AB21" s="255">
        <f>IF(AND(ISNUMBER(AB20),ISNUMBER(W20)),IFERROR(AB20/W20-1,""),"")</f>
      </c>
      <c r="AC21" s="255">
        <f>IF(AND(ISNUMBER(AC20),ISNUMBER(X20)),IFERROR(AC20/X20-1,""),"")</f>
      </c>
      <c r="AD21" s="255">
        <f>IF(AND(ISNUMBER(AD20),ISNUMBER(Y20)),IFERROR(AD20/Y20-1,""),"")</f>
      </c>
      <c r="AE21" s="255">
        <f>IF(AND(ISNUMBER(AE20),ISNUMBER(Z20)),IFERROR(AE20/Z20-1,""),"")</f>
        <v>0.512928022361985</v>
      </c>
      <c r="AF21" s="255">
        <f>IF(AND(ISNUMBER(AF20),ISNUMBER(AA20)),IFERROR(AF20/AA20-1,""),"")</f>
        <v>0.593342036553525</v>
      </c>
      <c r="AG21" s="255">
        <f>IF(AND(ISNUMBER(AG20),ISNUMBER(AB20)),IFERROR(AG20/AB20-1,""),"")</f>
        <v>0.491549295774648</v>
      </c>
      <c r="AH21" s="255">
        <f>IF(AND(ISNUMBER(AH20),ISNUMBER(AC20)),IFERROR(AH20/AC20-1,""),"")</f>
      </c>
      <c r="AI21" s="255">
        <f>IF(AND(ISNUMBER(AI20),ISNUMBER(AD20)),IFERROR(AI20/AD20-1,""),"")</f>
        <v>0.599793708096957</v>
      </c>
      <c r="AJ21" s="255">
        <f>IF(AND(ISNUMBER(AJ20),ISNUMBER(AE20)),IFERROR(AJ20/AE20-1,""),"")</f>
        <v>0.574133949191686</v>
      </c>
      <c r="AK21" s="255">
        <f>IF(AND(ISNUMBER(AK20),ISNUMBER(AF20)),IFERROR(AK20/AF20-1,""),"")</f>
        <v>0.51495288816059</v>
      </c>
      <c r="AL21" s="255">
        <f>IF(AND(ISNUMBER(AL20),ISNUMBER(AG20)),IFERROR(AL20/AG20-1,""),"")</f>
        <v>0.246144161158326</v>
      </c>
      <c r="AM21" s="255">
        <f>IF(AND(ISNUMBER(AM20),ISNUMBER(AH20)),IFERROR(AM20/AH20-1,""),"")</f>
        <v>0.457210450524583</v>
      </c>
      <c r="AN21" s="255">
        <f>IF(AND(ISNUMBER(AN20),ISNUMBER(AI20)),IFERROR(AN20/AI20-1,""),"")</f>
        <v>0.399742101869761</v>
      </c>
      <c r="AO21" s="255">
        <f>IF(AND(ISNUMBER(AO20),ISNUMBER(AJ20)),IFERROR(AO20/AJ20-1,""),"")</f>
        <v>0.372065727699531</v>
      </c>
      <c r="AP21" s="255">
        <f>IF(AND(ISNUMBER(AP20),ISNUMBER(AK20)),IFERROR(AP20/AK20-1,""),"")</f>
        <v>0.340454299621417</v>
      </c>
      <c r="AQ21" s="255">
        <f>IF(AND(ISNUMBER(AQ20),ISNUMBER(AL20)),IFERROR(AQ20/AL20-1,""),"")</f>
        <v>0.322303612023238</v>
      </c>
      <c r="AR21" s="255">
        <f>IF(AND(ISNUMBER(AR20),ISNUMBER(AM20)),IFERROR(AR20/AM20-1,""),"")</f>
        <v>0.355968094868356</v>
      </c>
      <c r="AS21" s="255">
        <f>IF(AND(ISNUMBER(AS20),ISNUMBER(AN20)),IFERROR(AS20/AN20-1,""),"")</f>
        <v>0.279594656840166</v>
      </c>
      <c r="AT21" s="255">
        <f>IF(AND(ISNUMBER(AT20),ISNUMBER(AO20)),IFERROR(AT20/AO20-1,""),"")</f>
        <v>0.28699743370402</v>
      </c>
      <c r="AU21" s="255">
        <f>IF(AND(ISNUMBER(AU20),ISNUMBER(AP20)),IFERROR(AU20/AP20-1,""),"")</f>
        <v>0.325801896308251</v>
      </c>
      <c r="AV21" s="255">
        <f>IF(AND(ISNUMBER(AV20),ISNUMBER(AQ20)),IFERROR(AV20/AQ20-1,""),"")</f>
        <v>0.348806112702961</v>
      </c>
      <c r="AW21" s="255">
        <f>IF(AND(ISNUMBER(AW20),ISNUMBER(AR20)),IFERROR(AW20/AR20-1,""),"")</f>
        <v>0.3121811556481</v>
      </c>
      <c r="AX21" s="255">
        <f>IF(AND(ISNUMBER(AX20),ISNUMBER(AS20)),IFERROR(AX20/AS20-1,""),"")</f>
        <v>0.364290856731462</v>
      </c>
      <c r="AY21" s="255">
        <f>IF(AND(ISNUMBER(AY20),ISNUMBER(AT20)),IFERROR(AY20/AT20-1,""),"")</f>
        <v>0.31555333998006</v>
      </c>
      <c r="AZ21" s="255">
        <f>IF(AND(ISNUMBER(AZ20),ISNUMBER(AU20)),IFERROR(AZ20/AU20-1,""),"")</f>
        <v>0.23980523432745</v>
      </c>
      <c r="BA21" s="255">
        <f>IF(AND(ISNUMBER(BA20),ISNUMBER(AV20)),IFERROR(BA20/AV20-1,""),"")</f>
        <v>0.150403625548789</v>
      </c>
      <c r="BB21" s="255">
        <f>IF(AND(ISNUMBER(BB20),ISNUMBER(AW20)),IFERROR(BB20/AW20-1,""),"")</f>
        <v>0.260284841512278</v>
      </c>
      <c r="BC21" s="255">
        <f>IF(AND(ISNUMBER(BC20),ISNUMBER(AX20)),IFERROR(BC20/AX20-1,""),"")</f>
        <v>0.109498680738786</v>
      </c>
      <c r="BD21" s="255">
        <f>IF(AND(ISNUMBER(BD20),ISNUMBER(AY20)),IFERROR(BD20/AY20-1,""),"")</f>
        <v>0.100922066439308</v>
      </c>
      <c r="BE21" s="255">
        <f>IF(AND(ISNUMBER(BE20),ISNUMBER(AZ20)),IFERROR(BE20/AZ20-1,""),"")</f>
        <v>0.0926607756504663</v>
      </c>
      <c r="BF21" s="255">
        <f>IF(AND(ISNUMBER(BF20),ISNUMBER(BA20)),IFERROR(BF20/BA20-1,""),"")</f>
        <v>0.131232303336206</v>
      </c>
      <c r="BG21" s="255">
        <f>IF(AND(ISNUMBER(BG20),ISNUMBER(BB20)),IFERROR(BG20/BB20-1,""),"")</f>
        <v>0.108599848904558</v>
      </c>
      <c r="BH21" s="255">
        <f>IF(AND(ISNUMBER(BH20),ISNUMBER(BC20)),IFERROR(BH20/BC20-1,""),"")</f>
        <v>0.148275862068965</v>
      </c>
      <c r="BI21" s="255">
        <f>IF(AND(ISNUMBER(BI20),ISNUMBER(BD20)),IFERROR(BI20/BD20-1,""),"")</f>
        <v>0.13515374024782</v>
      </c>
      <c r="BJ21" s="255">
        <f>IF(AND(ISNUMBER(BJ20),ISNUMBER(BE20)),IFERROR(BJ20/BE20-1,""),"")</f>
        <v>0.142311580366169</v>
      </c>
      <c r="BK21" s="255">
        <f>IF(AND(ISNUMBER(BK20),ISNUMBER(BF20)),IFERROR(BK20/BF20-1,""),"")</f>
        <v>0.141364675155077</v>
      </c>
      <c r="BL21" s="255">
        <f>IF(AND(ISNUMBER(BL20),ISNUMBER(BG20)),IFERROR(BL20/BG20-1,""),"")</f>
        <v>0.141717303651542</v>
      </c>
      <c r="BM21" s="255">
        <f>IF(AND(ISNUMBER(BM20),ISNUMBER(BH20)),IFERROR(BM20/BH20-1,""),"")</f>
        <v>0.110282696489593</v>
      </c>
      <c r="BN21" s="255">
        <f>IF(AND(ISNUMBER(BN20),ISNUMBER(BI20)),IFERROR(BN20/BI20-1,""),"")</f>
        <v>0.0982413583990298</v>
      </c>
      <c r="BO21" s="255">
        <f>IF(AND(ISNUMBER(BO20),ISNUMBER(BJ20)),IFERROR(BO20/BJ20-1,""),"")</f>
        <v>0.108947885939036</v>
      </c>
      <c r="BP21" s="255">
        <f>IF(AND(ISNUMBER(BP20),ISNUMBER(BK20)),IFERROR(BP20/BK20-1,""),"")</f>
        <v>0.097254004576659</v>
      </c>
      <c r="BQ21" s="255">
        <f>IF(AND(ISNUMBER(BQ20),ISNUMBER(BL20)),IFERROR(BQ20/BL20-1,""),"")</f>
        <v>0.103583774776791</v>
      </c>
      <c r="BR21" s="255">
        <f>IF(AND(ISNUMBER(BR20),ISNUMBER(BM20)),IFERROR(BR20/BM20-1,""),"")</f>
        <v>0.0926133184107443</v>
      </c>
      <c r="BS21" s="255">
        <f>IF(AND(ISNUMBER(BS20),ISNUMBER(BN20)),IFERROR(BS20/BN20-1,""),"")</f>
        <v>0.123504509479109</v>
      </c>
      <c r="BT21" s="255">
        <f>IF(AND(ISNUMBER(BT20),ISNUMBER(BO20)),IFERROR(BT20/BO20-1,""),"")</f>
        <v>0.114913991842525</v>
      </c>
      <c r="BU21" s="255">
        <f>IF(AND(ISNUMBER(BU20),ISNUMBER(BP20)),IFERROR(BU20/BP20-1,""),"")</f>
        <v>0.140250260688217</v>
      </c>
      <c r="BV21" s="255">
        <f>IF(AND(ISNUMBER(BV20),ISNUMBER(BQ20)),IFERROR(BV20/BQ20-1,""),"")</f>
        <v>0.11819984675711</v>
      </c>
      <c r="BW21" s="255">
        <f>IF(AND(ISNUMBER(BW20),ISNUMBER(BR20)),IFERROR(BW20/BR20-1,""),"")</f>
        <v>0.146137430644473</v>
      </c>
      <c r="BX21" s="255">
        <f>IF(AND(ISNUMBER(BX20),ISNUMBER(BS20)),IFERROR(BX20/BS20-1,""),"")</f>
        <v>0.124672346002621</v>
      </c>
      <c r="BY21" s="256">
        <f>BY22+BY114</f>
        <v>0.103899526942415</v>
      </c>
      <c r="BZ21" s="256">
        <f>BZ22+BZ114</f>
        <v>0.103899526942415</v>
      </c>
      <c r="CA21" s="256">
        <f>IF(AND(ISNUMBER(CA20),ISNUMBER(BV20)),IFERROR(CA20/BV20-1,""),"")</f>
        <v>0.118982693006959</v>
      </c>
      <c r="CB21" s="256">
        <f>CHOOSE(MATCH($CF$2,{"Bull","Base","Bear"},0),$CO$47,$CP$47,$CQ$47)</f>
        <v>0.11</v>
      </c>
      <c r="CC21" s="256">
        <f>CHOOSE(MATCH($CF$2,{"Bull","Base","Bear"},0),$CO$48,$CP$48,$CQ$48)</f>
        <v>0.1</v>
      </c>
      <c r="CD21" s="256">
        <f>CHOOSE(MATCH($CF$2,{"Bull","Base","Bear"},0),$CO$49,$CP$49,$CQ$49)</f>
        <v>0.095</v>
      </c>
      <c r="CE21" s="256">
        <f>CHOOSE(MATCH($CF$2,{"Bull","Base","Bear"},0),$CO$50,$CP$50,$CQ$50)</f>
        <v>0.09</v>
      </c>
      <c r="CF21" s="153" t="n"/>
      <c r="CN21" s="25" t="inlineStr">
        <is>
          <t xml:space="preserve">  Q3/26E interest expense ($m)</t>
        </is>
      </c>
      <c r="CP21" s="257" t="n">
        <v>1750</v>
      </c>
      <c r="CR21" s="13" t="inlineStr">
        <is>
          <t>Q2-26 $1,314m on $122bn opening debt; + $25.0bn July notes (4.60–6.25%) from 9-Jul (assumption).</t>
        </is>
      </c>
    </row>
    <row r="22" ht="15" customHeight="1" s="251">
      <c r="B22" s="25" t="inlineStr">
        <is>
          <t xml:space="preserve">    Q3/Q4-26E growth before calibration (Q1-26 y/y)</t>
        </is>
      </c>
      <c r="C22" s="36"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c r="BP22" s="36" t="n"/>
      <c r="BQ22" s="36" t="n"/>
      <c r="BR22" s="36" t="n"/>
      <c r="BS22" s="36" t="n"/>
      <c r="BT22" s="36" t="n"/>
      <c r="BU22" s="36" t="n"/>
      <c r="BV22" s="36" t="n"/>
      <c r="BW22" s="36" t="n"/>
      <c r="BX22" s="36" t="n"/>
      <c r="BY22" s="256">
        <f>IFERROR(BW20/BR20-1,0)</f>
        <v>0.146137430644473</v>
      </c>
      <c r="BZ22" s="256">
        <f>IFERROR(BW20/BR20-1,0)</f>
        <v>0.146137430644473</v>
      </c>
      <c r="CA22" s="24" t="n"/>
      <c r="CB22" s="46" t="n"/>
      <c r="CC22" s="46" t="n"/>
      <c r="CD22" s="46" t="n"/>
      <c r="CE22" s="46" t="n"/>
      <c r="CF22" s="19" t="n"/>
      <c r="CN22" s="25" t="inlineStr">
        <is>
          <t xml:space="preserve">  Q4/26E interest expense ($m)</t>
        </is>
      </c>
      <c r="CP22" s="257" t="n">
        <v>1950</v>
      </c>
      <c r="CR22" s="13" t="inlineStr">
        <is>
          <t>Full quarter of the July notes + £4.25bn September notes (5.20–6.65%) (assumption).</t>
        </is>
      </c>
    </row>
    <row r="23" ht="15" customHeight="1" s="251">
      <c r="B23" s="25" t="inlineStr">
        <is>
          <t xml:space="preserve">  Advertising services</t>
        </is>
      </c>
      <c r="C23" s="34"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34" t="n"/>
      <c r="Y23" s="34" t="n"/>
      <c r="Z23" s="34" t="n"/>
      <c r="AA23" s="34" t="n"/>
      <c r="AB23" s="34" t="n"/>
      <c r="AC23" s="34" t="n"/>
      <c r="AD23" s="34" t="n"/>
      <c r="AE23" s="34" t="n"/>
      <c r="AF23" s="34" t="n"/>
      <c r="AG23" s="34" t="n"/>
      <c r="AH23" s="34" t="n"/>
      <c r="AI23" s="34" t="n"/>
      <c r="AJ23" s="34" t="n"/>
      <c r="AK23" s="34" t="n"/>
      <c r="AL23" s="34" t="n"/>
      <c r="AM23" s="34" t="n"/>
      <c r="AN23" s="34" t="n"/>
      <c r="AO23" s="34" t="n"/>
      <c r="AP23" s="34" t="n"/>
      <c r="AQ23" s="34" t="n"/>
      <c r="AR23" s="34" t="n"/>
      <c r="AS23" s="34" t="n"/>
      <c r="AT23" s="34" t="n"/>
      <c r="AU23" s="253" t="n">
        <v>4982</v>
      </c>
      <c r="AV23" s="253" t="n">
        <v>7350</v>
      </c>
      <c r="AW23" s="34" t="n"/>
      <c r="AX23" s="253" t="n">
        <v>6381</v>
      </c>
      <c r="AY23" s="253" t="n">
        <v>7451</v>
      </c>
      <c r="AZ23" s="253" t="n">
        <v>7612</v>
      </c>
      <c r="BA23" s="253" t="n">
        <v>9716</v>
      </c>
      <c r="BB23" s="253" t="n">
        <v>31160</v>
      </c>
      <c r="BC23" s="253" t="n">
        <v>7877</v>
      </c>
      <c r="BD23" s="253" t="n">
        <v>8757</v>
      </c>
      <c r="BE23" s="253" t="n">
        <v>9548</v>
      </c>
      <c r="BF23" s="253" t="n">
        <v>11557</v>
      </c>
      <c r="BG23" s="253" t="n">
        <v>37739</v>
      </c>
      <c r="BH23" s="253" t="n">
        <v>9509</v>
      </c>
      <c r="BI23" s="253" t="n">
        <v>10683</v>
      </c>
      <c r="BJ23" s="253" t="n">
        <v>12060</v>
      </c>
      <c r="BK23" s="253" t="n">
        <v>14654</v>
      </c>
      <c r="BL23" s="253" t="n">
        <v>46906</v>
      </c>
      <c r="BM23" s="253" t="n">
        <v>11824</v>
      </c>
      <c r="BN23" s="253" t="n">
        <v>12771</v>
      </c>
      <c r="BO23" s="253" t="n">
        <v>14331</v>
      </c>
      <c r="BP23" s="253" t="n">
        <v>17288</v>
      </c>
      <c r="BQ23" s="253" t="n">
        <v>56214</v>
      </c>
      <c r="BR23" s="253" t="n">
        <v>13921</v>
      </c>
      <c r="BS23" s="253" t="n">
        <v>15694</v>
      </c>
      <c r="BT23" s="253" t="n">
        <v>17703</v>
      </c>
      <c r="BU23" s="253" t="n">
        <v>21317</v>
      </c>
      <c r="BV23" s="253" t="n">
        <v>68635</v>
      </c>
      <c r="BW23" s="253" t="n">
        <v>17243</v>
      </c>
      <c r="BX23" s="253" t="n">
        <v>19809</v>
      </c>
      <c r="BY23" s="254">
        <f>BT23*(1+BY24)</f>
        <v>20179.8851065268</v>
      </c>
      <c r="BZ23" s="254">
        <f>BU23*(1+BZ24)</f>
        <v>25503.5389656655</v>
      </c>
      <c r="CA23" s="254">
        <f>SUM(BW23:BZ23)</f>
        <v>82735.4240721923</v>
      </c>
      <c r="CB23" s="254">
        <f>CA23*(1+CB24)</f>
        <v>98455.1546459088</v>
      </c>
      <c r="CC23" s="254">
        <f>CB23*(1+CC24)</f>
        <v>115192.530935713</v>
      </c>
      <c r="CD23" s="254">
        <f>CC23*(1+CD24)</f>
        <v>132471.41057607</v>
      </c>
      <c r="CE23" s="254">
        <f>CD23*(1+CE24)</f>
        <v>149692.693950959</v>
      </c>
      <c r="CF23" s="19" t="n"/>
      <c r="CH23" s="20">
        <f>IFERROR((CE23/BV23)^(1/5)-1,"n/m")</f>
        <v>0.168775214609682</v>
      </c>
      <c r="CI23" s="20" t="str">
        <f>IFERROR((BV23/AW23)^(1/5)-1,"n/m")</f>
        <v>n/m</v>
      </c>
      <c r="CJ23" s="20" t="str">
        <f>IFERROR((BV23/X23)^(1/10)-1,"n/m")</f>
        <v>n/m</v>
      </c>
      <c r="CK23" s="20" t="str">
        <f>IFERROR((BV23/C23)^(1/19)-1,"n/m")</f>
        <v>n/m</v>
      </c>
      <c r="CN23" s="25" t="inlineStr">
        <is>
          <t xml:space="preserve">  Q3/Q4-26E effective tax rate</t>
        </is>
      </c>
      <c r="CP23" s="258" t="n">
        <v>0.19</v>
      </c>
      <c r="CR23" s="13" t="inlineStr">
        <is>
          <t>FY2025 19.6%; FY2024 13.5% (assumption; no investment marks forecast).</t>
        </is>
      </c>
    </row>
    <row r="24" ht="15" customHeight="1" s="251">
      <c r="B24" s="22" t="inlineStr">
        <is>
          <t xml:space="preserve">    y/y %</t>
        </is>
      </c>
      <c r="D24" s="255">
        <f>IF(AND(ISNUMBER(D23),ISNUMBER(C23)),IFERROR(D23/C23-1,""),"")</f>
      </c>
      <c r="E24" s="255">
        <f>IF(AND(ISNUMBER(E23),ISNUMBER(D23)),IFERROR(E23/D23-1,""),"")</f>
      </c>
      <c r="F24" s="255">
        <f>IF(AND(ISNUMBER(F23),ISNUMBER(E23)),IFERROR(F23/E23-1,""),"")</f>
      </c>
      <c r="G24" s="255">
        <f>IF(AND(ISNUMBER(G23),ISNUMBER(F23)),IFERROR(G23/F23-1,""),"")</f>
      </c>
      <c r="H24" s="255">
        <f>IF(AND(ISNUMBER(H23),ISNUMBER(G23)),IFERROR(H23/G23-1,""),"")</f>
      </c>
      <c r="I24" s="255">
        <f>IF(AND(ISNUMBER(I23),ISNUMBER(H23)),IFERROR(I23/H23-1,""),"")</f>
      </c>
      <c r="N24" s="255">
        <f>IF(AND(ISNUMBER(N23),ISNUMBER(I23)),IFERROR(N23/I23-1,""),"")</f>
      </c>
      <c r="O24" s="255">
        <f>IF(AND(ISNUMBER(O23),ISNUMBER(J23)),IFERROR(O23/J23-1,""),"")</f>
      </c>
      <c r="P24" s="255">
        <f>IF(AND(ISNUMBER(P23),ISNUMBER(K23)),IFERROR(P23/K23-1,""),"")</f>
      </c>
      <c r="Q24" s="255">
        <f>IF(AND(ISNUMBER(Q23),ISNUMBER(L23)),IFERROR(Q23/L23-1,""),"")</f>
      </c>
      <c r="R24" s="255">
        <f>IF(AND(ISNUMBER(R23),ISNUMBER(M23)),IFERROR(R23/M23-1,""),"")</f>
      </c>
      <c r="S24" s="255">
        <f>IF(AND(ISNUMBER(S23),ISNUMBER(N23)),IFERROR(S23/N23-1,""),"")</f>
      </c>
      <c r="T24" s="255">
        <f>IF(AND(ISNUMBER(T23),ISNUMBER(O23)),IFERROR(T23/O23-1,""),"")</f>
      </c>
      <c r="U24" s="255">
        <f>IF(AND(ISNUMBER(U23),ISNUMBER(P23)),IFERROR(U23/P23-1,""),"")</f>
      </c>
      <c r="V24" s="255">
        <f>IF(AND(ISNUMBER(V23),ISNUMBER(Q23)),IFERROR(V23/Q23-1,""),"")</f>
      </c>
      <c r="W24" s="255">
        <f>IF(AND(ISNUMBER(W23),ISNUMBER(R23)),IFERROR(W23/R23-1,""),"")</f>
      </c>
      <c r="X24" s="255">
        <f>IF(AND(ISNUMBER(X23),ISNUMBER(S23)),IFERROR(X23/S23-1,""),"")</f>
      </c>
      <c r="Y24" s="255">
        <f>IF(AND(ISNUMBER(Y23),ISNUMBER(T23)),IFERROR(Y23/T23-1,""),"")</f>
      </c>
      <c r="Z24" s="255">
        <f>IF(AND(ISNUMBER(Z23),ISNUMBER(U23)),IFERROR(Z23/U23-1,""),"")</f>
      </c>
      <c r="AA24" s="255">
        <f>IF(AND(ISNUMBER(AA23),ISNUMBER(V23)),IFERROR(AA23/V23-1,""),"")</f>
      </c>
      <c r="AB24" s="255">
        <f>IF(AND(ISNUMBER(AB23),ISNUMBER(W23)),IFERROR(AB23/W23-1,""),"")</f>
      </c>
      <c r="AC24" s="255">
        <f>IF(AND(ISNUMBER(AC23),ISNUMBER(X23)),IFERROR(AC23/X23-1,""),"")</f>
      </c>
      <c r="AD24" s="255">
        <f>IF(AND(ISNUMBER(AD23),ISNUMBER(Y23)),IFERROR(AD23/Y23-1,""),"")</f>
      </c>
      <c r="AE24" s="255">
        <f>IF(AND(ISNUMBER(AE23),ISNUMBER(Z23)),IFERROR(AE23/Z23-1,""),"")</f>
      </c>
      <c r="AF24" s="255">
        <f>IF(AND(ISNUMBER(AF23),ISNUMBER(AA23)),IFERROR(AF23/AA23-1,""),"")</f>
      </c>
      <c r="AG24" s="255">
        <f>IF(AND(ISNUMBER(AG23),ISNUMBER(AB23)),IFERROR(AG23/AB23-1,""),"")</f>
      </c>
      <c r="AH24" s="255">
        <f>IF(AND(ISNUMBER(AH23),ISNUMBER(AC23)),IFERROR(AH23/AC23-1,""),"")</f>
      </c>
      <c r="AI24" s="255">
        <f>IF(AND(ISNUMBER(AI23),ISNUMBER(AD23)),IFERROR(AI23/AD23-1,""),"")</f>
      </c>
      <c r="AJ24" s="255">
        <f>IF(AND(ISNUMBER(AJ23),ISNUMBER(AE23)),IFERROR(AJ23/AE23-1,""),"")</f>
      </c>
      <c r="AK24" s="255">
        <f>IF(AND(ISNUMBER(AK23),ISNUMBER(AF23)),IFERROR(AK23/AF23-1,""),"")</f>
      </c>
      <c r="AL24" s="255">
        <f>IF(AND(ISNUMBER(AL23),ISNUMBER(AG23)),IFERROR(AL23/AG23-1,""),"")</f>
      </c>
      <c r="AM24" s="255">
        <f>IF(AND(ISNUMBER(AM23),ISNUMBER(AH23)),IFERROR(AM23/AH23-1,""),"")</f>
      </c>
      <c r="AN24" s="255">
        <f>IF(AND(ISNUMBER(AN23),ISNUMBER(AI23)),IFERROR(AN23/AI23-1,""),"")</f>
      </c>
      <c r="AO24" s="255">
        <f>IF(AND(ISNUMBER(AO23),ISNUMBER(AJ23)),IFERROR(AO23/AJ23-1,""),"")</f>
      </c>
      <c r="AP24" s="255">
        <f>IF(AND(ISNUMBER(AP23),ISNUMBER(AK23)),IFERROR(AP23/AK23-1,""),"")</f>
      </c>
      <c r="AQ24" s="255">
        <f>IF(AND(ISNUMBER(AQ23),ISNUMBER(AL23)),IFERROR(AQ23/AL23-1,""),"")</f>
      </c>
      <c r="AR24" s="255">
        <f>IF(AND(ISNUMBER(AR23),ISNUMBER(AM23)),IFERROR(AR23/AM23-1,""),"")</f>
      </c>
      <c r="AS24" s="255">
        <f>IF(AND(ISNUMBER(AS23),ISNUMBER(AN23)),IFERROR(AS23/AN23-1,""),"")</f>
      </c>
      <c r="AT24" s="255">
        <f>IF(AND(ISNUMBER(AT23),ISNUMBER(AO23)),IFERROR(AT23/AO23-1,""),"")</f>
      </c>
      <c r="AU24" s="255">
        <f>IF(AND(ISNUMBER(AU23),ISNUMBER(AP23)),IFERROR(AU23/AP23-1,""),"")</f>
      </c>
      <c r="AV24" s="255">
        <f>IF(AND(ISNUMBER(AV23),ISNUMBER(AQ23)),IFERROR(AV23/AQ23-1,""),"")</f>
      </c>
      <c r="AW24" s="255">
        <f>IF(AND(ISNUMBER(AW23),ISNUMBER(AR23)),IFERROR(AW23/AR23-1,""),"")</f>
      </c>
      <c r="AX24" s="255">
        <f>IF(AND(ISNUMBER(AX23),ISNUMBER(AS23)),IFERROR(AX23/AS23-1,""),"")</f>
      </c>
      <c r="AY24" s="255">
        <f>IF(AND(ISNUMBER(AY23),ISNUMBER(AT23)),IFERROR(AY23/AT23-1,""),"")</f>
      </c>
      <c r="AZ24" s="255">
        <f>IF(AND(ISNUMBER(AZ23),ISNUMBER(AU23)),IFERROR(AZ23/AU23-1,""),"")</f>
        <v>0.527900441589723</v>
      </c>
      <c r="BA24" s="255">
        <f>IF(AND(ISNUMBER(BA23),ISNUMBER(AV23)),IFERROR(BA23/AV23-1,""),"")</f>
        <v>0.321904761904762</v>
      </c>
      <c r="BB24" s="255">
        <f>IF(AND(ISNUMBER(BB23),ISNUMBER(AW23)),IFERROR(BB23/AW23-1,""),"")</f>
      </c>
      <c r="BC24" s="255">
        <f>IF(AND(ISNUMBER(BC23),ISNUMBER(AX23)),IFERROR(BC23/AX23-1,""),"")</f>
        <v>0.234446011596928</v>
      </c>
      <c r="BD24" s="255">
        <f>IF(AND(ISNUMBER(BD23),ISNUMBER(AY23)),IFERROR(BD23/AY23-1,""),"")</f>
        <v>0.175278486109247</v>
      </c>
      <c r="BE24" s="255">
        <f>IF(AND(ISNUMBER(BE23),ISNUMBER(AZ23)),IFERROR(BE23/AZ23-1,""),"")</f>
        <v>0.254335260115607</v>
      </c>
      <c r="BF24" s="255">
        <f>IF(AND(ISNUMBER(BF23),ISNUMBER(BA23)),IFERROR(BF23/BA23-1,""),"")</f>
        <v>0.189481268011527</v>
      </c>
      <c r="BG24" s="255">
        <f>IF(AND(ISNUMBER(BG23),ISNUMBER(BB23)),IFERROR(BG23/BB23-1,""),"")</f>
        <v>0.211136071887035</v>
      </c>
      <c r="BH24" s="255">
        <f>IF(AND(ISNUMBER(BH23),ISNUMBER(BC23)),IFERROR(BH23/BC23-1,""),"")</f>
        <v>0.207185476704329</v>
      </c>
      <c r="BI24" s="255">
        <f>IF(AND(ISNUMBER(BI23),ISNUMBER(BD23)),IFERROR(BI23/BD23-1,""),"")</f>
        <v>0.219938335046249</v>
      </c>
      <c r="BJ24" s="255">
        <f>IF(AND(ISNUMBER(BJ23),ISNUMBER(BE23)),IFERROR(BJ23/BE23-1,""),"")</f>
        <v>0.263091746962715</v>
      </c>
      <c r="BK24" s="255">
        <f>IF(AND(ISNUMBER(BK23),ISNUMBER(BF23)),IFERROR(BK23/BF23-1,""),"")</f>
        <v>0.267976118369819</v>
      </c>
      <c r="BL24" s="255">
        <f>IF(AND(ISNUMBER(BL23),ISNUMBER(BG23)),IFERROR(BL23/BG23-1,""),"")</f>
        <v>0.242905217414346</v>
      </c>
      <c r="BM24" s="255">
        <f>IF(AND(ISNUMBER(BM23),ISNUMBER(BH23)),IFERROR(BM23/BH23-1,""),"")</f>
        <v>0.243453570301819</v>
      </c>
      <c r="BN24" s="255">
        <f>IF(AND(ISNUMBER(BN23),ISNUMBER(BI23)),IFERROR(BN23/BI23-1,""),"")</f>
        <v>0.195450716090986</v>
      </c>
      <c r="BO24" s="255">
        <f>IF(AND(ISNUMBER(BO23),ISNUMBER(BJ23)),IFERROR(BO23/BJ23-1,""),"")</f>
        <v>0.188308457711443</v>
      </c>
      <c r="BP24" s="255">
        <f>IF(AND(ISNUMBER(BP23),ISNUMBER(BK23)),IFERROR(BP23/BK23-1,""),"")</f>
        <v>0.179746144397434</v>
      </c>
      <c r="BQ24" s="255">
        <f>IF(AND(ISNUMBER(BQ23),ISNUMBER(BL23)),IFERROR(BQ23/BL23-1,""),"")</f>
        <v>0.198439432055601</v>
      </c>
      <c r="BR24" s="255">
        <f>IF(AND(ISNUMBER(BR23),ISNUMBER(BM23)),IFERROR(BR23/BM23-1,""),"")</f>
        <v>0.177351150202977</v>
      </c>
      <c r="BS24" s="255">
        <f>IF(AND(ISNUMBER(BS23),ISNUMBER(BN23)),IFERROR(BS23/BN23-1,""),"")</f>
        <v>0.228877926552345</v>
      </c>
      <c r="BT24" s="255">
        <f>IF(AND(ISNUMBER(BT23),ISNUMBER(BO23)),IFERROR(BT23/BO23-1,""),"")</f>
        <v>0.235294117647059</v>
      </c>
      <c r="BU24" s="255">
        <f>IF(AND(ISNUMBER(BU23),ISNUMBER(BP23)),IFERROR(BU23/BP23-1,""),"")</f>
        <v>0.233051827857473</v>
      </c>
      <c r="BV24" s="255">
        <f>IF(AND(ISNUMBER(BV23),ISNUMBER(BQ23)),IFERROR(BV23/BQ23-1,""),"")</f>
        <v>0.220959191660441</v>
      </c>
      <c r="BW24" s="255">
        <f>IF(AND(ISNUMBER(BW23),ISNUMBER(BR23)),IFERROR(BW23/BR23-1,""),"")</f>
        <v>0.238632282163638</v>
      </c>
      <c r="BX24" s="255">
        <f>IF(AND(ISNUMBER(BX23),ISNUMBER(BS23)),IFERROR(BX23/BS23-1,""),"")</f>
        <v>0.262202115458137</v>
      </c>
      <c r="BY24" s="256">
        <f>BY25+BY32+BY114</f>
        <v>0.139913297549953</v>
      </c>
      <c r="BZ24" s="256">
        <f>BZ25+BZ32+BZ114</f>
        <v>0.19639437846158</v>
      </c>
      <c r="CA24" s="256">
        <f>IF(AND(ISNUMBER(CA23),ISNUMBER(BV23)),IFERROR(CA23/BV23-1,""),"")</f>
        <v>0.205440723715194</v>
      </c>
      <c r="CB24" s="256">
        <f>CHOOSE(MATCH($CF$2,{"Bull","Base","Bear"},0),$CO$52,$CP$52,$CQ$52)</f>
        <v>0.19</v>
      </c>
      <c r="CC24" s="256">
        <f>CHOOSE(MATCH($CF$2,{"Bull","Base","Bear"},0),$CO$53,$CP$53,$CQ$53)</f>
        <v>0.17</v>
      </c>
      <c r="CD24" s="256">
        <f>CHOOSE(MATCH($CF$2,{"Bull","Base","Bear"},0),$CO$54,$CP$54,$CQ$54)</f>
        <v>0.15</v>
      </c>
      <c r="CE24" s="256">
        <f>CHOOSE(MATCH($CF$2,{"Bull","Base","Bear"},0),$CO$55,$CP$55,$CQ$55)</f>
        <v>0.13</v>
      </c>
      <c r="CF24" s="153" t="n"/>
      <c r="CN24" s="25" t="inlineStr">
        <is>
          <t xml:space="preserve">  Shares issued under equity plans per quarter (m)</t>
        </is>
      </c>
      <c r="CP24" s="259" t="n">
        <v>30</v>
      </c>
      <c r="CR24" s="13" t="inlineStr">
        <is>
          <t>Shares outstanding +52m in 1H-26; +138m in 2025.</t>
        </is>
      </c>
    </row>
    <row r="25" ht="15" customHeight="1" s="251">
      <c r="B25" s="25" t="inlineStr">
        <is>
          <t xml:space="preserve">    Q3/Q4-26E growth before calibration (Q1-26 y/y)</t>
        </is>
      </c>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c r="BX25" s="36" t="n"/>
      <c r="BY25" s="256">
        <f>IFERROR(BW23/BR23-1,0)</f>
        <v>0.238632282163638</v>
      </c>
      <c r="BZ25" s="256">
        <f>IFERROR(BW23/BR23-1,0)</f>
        <v>0.238632282163638</v>
      </c>
      <c r="CA25" s="24" t="n"/>
      <c r="CB25" s="46" t="n"/>
      <c r="CC25" s="46" t="n"/>
      <c r="CD25" s="46" t="n"/>
      <c r="CE25" s="46" t="n"/>
      <c r="CF25" s="19" t="n"/>
      <c r="CN25" s="25" t="inlineStr">
        <is>
          <t xml:space="preserve">  2H-26E deferred income taxes ($m)</t>
        </is>
      </c>
      <c r="CP25" s="257" t="n">
        <v>4000</v>
      </c>
      <c r="CR25" s="13" t="inlineStr">
        <is>
          <t>1H-26 $30.5bn incl. deferred tax on Anthropic gains; underlying ~$2bn a quarter (assumption).</t>
        </is>
      </c>
    </row>
    <row r="26" ht="15" customHeight="1" s="251">
      <c r="B26" s="25" t="inlineStr">
        <is>
          <t xml:space="preserve">  AWS</t>
        </is>
      </c>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253" t="n">
        <v>2886</v>
      </c>
      <c r="AA26" s="253" t="n">
        <v>3231</v>
      </c>
      <c r="AB26" s="253" t="n">
        <v>3536</v>
      </c>
      <c r="AC26" s="34" t="n"/>
      <c r="AD26" s="253" t="n">
        <v>3661</v>
      </c>
      <c r="AE26" s="253" t="n">
        <v>4100</v>
      </c>
      <c r="AF26" s="253" t="n">
        <v>4584</v>
      </c>
      <c r="AG26" s="253" t="n">
        <v>5113</v>
      </c>
      <c r="AH26" s="253" t="n">
        <v>17458</v>
      </c>
      <c r="AI26" s="253" t="n">
        <v>5442</v>
      </c>
      <c r="AJ26" s="253" t="n">
        <v>6105</v>
      </c>
      <c r="AK26" s="253" t="n">
        <v>6679</v>
      </c>
      <c r="AL26" s="253" t="n">
        <v>7430</v>
      </c>
      <c r="AM26" s="253" t="n">
        <v>25656</v>
      </c>
      <c r="AN26" s="253" t="n">
        <v>7696</v>
      </c>
      <c r="AO26" s="253" t="n">
        <v>8381</v>
      </c>
      <c r="AP26" s="253" t="n">
        <v>8995</v>
      </c>
      <c r="AQ26" s="253" t="n">
        <v>9954</v>
      </c>
      <c r="AR26" s="253" t="n">
        <v>35026</v>
      </c>
      <c r="AS26" s="253" t="n">
        <v>10219</v>
      </c>
      <c r="AT26" s="253" t="n">
        <v>10808</v>
      </c>
      <c r="AU26" s="253" t="n">
        <v>11601</v>
      </c>
      <c r="AV26" s="253" t="n">
        <v>12742</v>
      </c>
      <c r="AW26" s="253" t="n">
        <v>45370</v>
      </c>
      <c r="AX26" s="253" t="n">
        <v>13503</v>
      </c>
      <c r="AY26" s="253" t="n">
        <v>14809</v>
      </c>
      <c r="AZ26" s="253" t="n">
        <v>16110</v>
      </c>
      <c r="BA26" s="253" t="n">
        <v>17780</v>
      </c>
      <c r="BB26" s="253" t="n">
        <v>62202</v>
      </c>
      <c r="BC26" s="253" t="n">
        <v>18441</v>
      </c>
      <c r="BD26" s="253" t="n">
        <v>19739</v>
      </c>
      <c r="BE26" s="253" t="n">
        <v>20538</v>
      </c>
      <c r="BF26" s="253" t="n">
        <v>21378</v>
      </c>
      <c r="BG26" s="253" t="n">
        <v>80096</v>
      </c>
      <c r="BH26" s="253" t="n">
        <v>21354</v>
      </c>
      <c r="BI26" s="253" t="n">
        <v>22140</v>
      </c>
      <c r="BJ26" s="253" t="n">
        <v>23059</v>
      </c>
      <c r="BK26" s="253" t="n">
        <v>24204</v>
      </c>
      <c r="BL26" s="253" t="n">
        <v>90757</v>
      </c>
      <c r="BM26" s="253" t="n">
        <v>25037</v>
      </c>
      <c r="BN26" s="253" t="n">
        <v>26281</v>
      </c>
      <c r="BO26" s="253" t="n">
        <v>27452</v>
      </c>
      <c r="BP26" s="253" t="n">
        <v>28786</v>
      </c>
      <c r="BQ26" s="253" t="n">
        <v>107556</v>
      </c>
      <c r="BR26" s="253" t="n">
        <v>29267</v>
      </c>
      <c r="BS26" s="253" t="n">
        <v>30873</v>
      </c>
      <c r="BT26" s="253" t="n">
        <v>33006</v>
      </c>
      <c r="BU26" s="253" t="n">
        <v>35579</v>
      </c>
      <c r="BV26" s="253" t="n">
        <v>128725</v>
      </c>
      <c r="BW26" s="253" t="n">
        <v>37587</v>
      </c>
      <c r="BX26" s="253" t="n">
        <v>42232</v>
      </c>
      <c r="BY26" s="254">
        <f>BT26*(1+BY27)</f>
        <v>45149.7875813818</v>
      </c>
      <c r="BZ26" s="254">
        <f>BU26*(1+BZ27)</f>
        <v>48669.462896382</v>
      </c>
      <c r="CA26" s="254">
        <f>SUM(BW26:BZ26)</f>
        <v>173638.250477764</v>
      </c>
      <c r="CB26" s="254">
        <f>CA26*(1+CB27)</f>
        <v>222256.960611538</v>
      </c>
      <c r="CC26" s="254">
        <f>CB26*(1+CC27)</f>
        <v>275598.631158307</v>
      </c>
      <c r="CD26" s="254">
        <f>CC26*(1+CD27)</f>
        <v>330718.357389968</v>
      </c>
      <c r="CE26" s="254">
        <f>CD26*(1+CE27)</f>
        <v>386940.478146262</v>
      </c>
      <c r="CF26" s="19" t="n"/>
      <c r="CH26" s="20">
        <f>IFERROR((CE26/BV26)^(1/5)-1,"n/m")</f>
        <v>0.246224407412229</v>
      </c>
      <c r="CI26" s="20">
        <f>IFERROR((BV26/AW26)^(1/5)-1,"n/m")</f>
        <v>0.231909556458786</v>
      </c>
      <c r="CJ26" s="20" t="str">
        <f>IFERROR((BV26/X26)^(1/10)-1,"n/m")</f>
        <v>n/m</v>
      </c>
      <c r="CK26" s="20" t="str">
        <f>IFERROR((BV26/C26)^(1/19)-1,"n/m")</f>
        <v>n/m</v>
      </c>
      <c r="CN26" s="25" t="inlineStr">
        <is>
          <t xml:space="preserve">  2H-26E principal repayments of finance leases &amp; financing obligations ($m)</t>
        </is>
      </c>
      <c r="CP26" s="257" t="n">
        <v>-1000</v>
      </c>
      <c r="CR26" s="13" t="inlineStr">
        <is>
          <t>1H-26 −$1,037m.</t>
        </is>
      </c>
    </row>
    <row r="27" ht="15" customHeight="1" s="251">
      <c r="B27" s="22" t="inlineStr">
        <is>
          <t xml:space="preserve">    y/y %</t>
        </is>
      </c>
      <c r="D27" s="255">
        <f>IF(AND(ISNUMBER(D26),ISNUMBER(C26)),IFERROR(D26/C26-1,""),"")</f>
      </c>
      <c r="E27" s="255">
        <f>IF(AND(ISNUMBER(E26),ISNUMBER(D26)),IFERROR(E26/D26-1,""),"")</f>
      </c>
      <c r="F27" s="255">
        <f>IF(AND(ISNUMBER(F26),ISNUMBER(E26)),IFERROR(F26/E26-1,""),"")</f>
      </c>
      <c r="G27" s="255">
        <f>IF(AND(ISNUMBER(G26),ISNUMBER(F26)),IFERROR(G26/F26-1,""),"")</f>
      </c>
      <c r="H27" s="255">
        <f>IF(AND(ISNUMBER(H26),ISNUMBER(G26)),IFERROR(H26/G26-1,""),"")</f>
      </c>
      <c r="I27" s="255">
        <f>IF(AND(ISNUMBER(I26),ISNUMBER(H26)),IFERROR(I26/H26-1,""),"")</f>
      </c>
      <c r="N27" s="255">
        <f>IF(AND(ISNUMBER(N26),ISNUMBER(I26)),IFERROR(N26/I26-1,""),"")</f>
      </c>
      <c r="O27" s="255">
        <f>IF(AND(ISNUMBER(O26),ISNUMBER(J26)),IFERROR(O26/J26-1,""),"")</f>
      </c>
      <c r="P27" s="255">
        <f>IF(AND(ISNUMBER(P26),ISNUMBER(K26)),IFERROR(P26/K26-1,""),"")</f>
      </c>
      <c r="Q27" s="255">
        <f>IF(AND(ISNUMBER(Q26),ISNUMBER(L26)),IFERROR(Q26/L26-1,""),"")</f>
      </c>
      <c r="R27" s="255">
        <f>IF(AND(ISNUMBER(R26),ISNUMBER(M26)),IFERROR(R26/M26-1,""),"")</f>
      </c>
      <c r="S27" s="255">
        <f>IF(AND(ISNUMBER(S26),ISNUMBER(N26)),IFERROR(S26/N26-1,""),"")</f>
      </c>
      <c r="T27" s="255">
        <f>IF(AND(ISNUMBER(T26),ISNUMBER(O26)),IFERROR(T26/O26-1,""),"")</f>
      </c>
      <c r="U27" s="255">
        <f>IF(AND(ISNUMBER(U26),ISNUMBER(P26)),IFERROR(U26/P26-1,""),"")</f>
      </c>
      <c r="V27" s="255">
        <f>IF(AND(ISNUMBER(V26),ISNUMBER(Q26)),IFERROR(V26/Q26-1,""),"")</f>
      </c>
      <c r="W27" s="255">
        <f>IF(AND(ISNUMBER(W26),ISNUMBER(R26)),IFERROR(W26/R26-1,""),"")</f>
      </c>
      <c r="X27" s="255">
        <f>IF(AND(ISNUMBER(X26),ISNUMBER(S26)),IFERROR(X26/S26-1,""),"")</f>
      </c>
      <c r="Y27" s="255">
        <f>IF(AND(ISNUMBER(Y26),ISNUMBER(T26)),IFERROR(Y26/T26-1,""),"")</f>
      </c>
      <c r="Z27" s="255">
        <f>IF(AND(ISNUMBER(Z26),ISNUMBER(U26)),IFERROR(Z26/U26-1,""),"")</f>
      </c>
      <c r="AA27" s="255">
        <f>IF(AND(ISNUMBER(AA26),ISNUMBER(V26)),IFERROR(AA26/V26-1,""),"")</f>
      </c>
      <c r="AB27" s="255">
        <f>IF(AND(ISNUMBER(AB26),ISNUMBER(W26)),IFERROR(AB26/W26-1,""),"")</f>
      </c>
      <c r="AC27" s="255">
        <f>IF(AND(ISNUMBER(AC26),ISNUMBER(X26)),IFERROR(AC26/X26-1,""),"")</f>
      </c>
      <c r="AD27" s="255">
        <f>IF(AND(ISNUMBER(AD26),ISNUMBER(Y26)),IFERROR(AD26/Y26-1,""),"")</f>
      </c>
      <c r="AE27" s="255">
        <f>IF(AND(ISNUMBER(AE26),ISNUMBER(Z26)),IFERROR(AE26/Z26-1,""),"")</f>
        <v>0.420651420651421</v>
      </c>
      <c r="AF27" s="255">
        <f>IF(AND(ISNUMBER(AF26),ISNUMBER(AA26)),IFERROR(AF26/AA26-1,""),"")</f>
        <v>0.418755803156917</v>
      </c>
      <c r="AG27" s="255">
        <f>IF(AND(ISNUMBER(AG26),ISNUMBER(AB26)),IFERROR(AG26/AB26-1,""),"")</f>
        <v>0.445984162895928</v>
      </c>
      <c r="AH27" s="255">
        <f>IF(AND(ISNUMBER(AH26),ISNUMBER(AC26)),IFERROR(AH26/AC26-1,""),"")</f>
      </c>
      <c r="AI27" s="255">
        <f>IF(AND(ISNUMBER(AI26),ISNUMBER(AD26)),IFERROR(AI26/AD26-1,""),"")</f>
        <v>0.486479104069926</v>
      </c>
      <c r="AJ27" s="255">
        <f>IF(AND(ISNUMBER(AJ26),ISNUMBER(AE26)),IFERROR(AJ26/AE26-1,""),"")</f>
        <v>0.489024390243902</v>
      </c>
      <c r="AK27" s="255">
        <f>IF(AND(ISNUMBER(AK26),ISNUMBER(AF26)),IFERROR(AK26/AF26-1,""),"")</f>
        <v>0.457024432809773</v>
      </c>
      <c r="AL27" s="255">
        <f>IF(AND(ISNUMBER(AL26),ISNUMBER(AG26)),IFERROR(AL26/AG26-1,""),"")</f>
        <v>0.453158615294348</v>
      </c>
      <c r="AM27" s="255">
        <f>IF(AND(ISNUMBER(AM26),ISNUMBER(AH26)),IFERROR(AM26/AH26-1,""),"")</f>
        <v>0.469584144804674</v>
      </c>
      <c r="AN27" s="255">
        <f>IF(AND(ISNUMBER(AN26),ISNUMBER(AI26)),IFERROR(AN26/AI26-1,""),"")</f>
        <v>0.414185961043734</v>
      </c>
      <c r="AO27" s="255">
        <f>IF(AND(ISNUMBER(AO26),ISNUMBER(AJ26)),IFERROR(AO26/AJ26-1,""),"")</f>
        <v>0.372809172809173</v>
      </c>
      <c r="AP27" s="255">
        <f>IF(AND(ISNUMBER(AP26),ISNUMBER(AK26)),IFERROR(AP26/AK26-1,""),"")</f>
        <v>0.346758496780955</v>
      </c>
      <c r="AQ27" s="255">
        <f>IF(AND(ISNUMBER(AQ26),ISNUMBER(AL26)),IFERROR(AQ26/AL26-1,""),"")</f>
        <v>0.339703903095559</v>
      </c>
      <c r="AR27" s="255">
        <f>IF(AND(ISNUMBER(AR26),ISNUMBER(AM26)),IFERROR(AR26/AM26-1,""),"")</f>
        <v>0.365216713439351</v>
      </c>
      <c r="AS27" s="255">
        <f>IF(AND(ISNUMBER(AS26),ISNUMBER(AN26)),IFERROR(AS26/AN26-1,""),"")</f>
        <v>0.32783264033264</v>
      </c>
      <c r="AT27" s="255">
        <f>IF(AND(ISNUMBER(AT26),ISNUMBER(AO26)),IFERROR(AT26/AO26-1,""),"")</f>
        <v>0.289583581911467</v>
      </c>
      <c r="AU27" s="255">
        <f>IF(AND(ISNUMBER(AU26),ISNUMBER(AP26)),IFERROR(AU26/AP26-1,""),"")</f>
        <v>0.289716509171762</v>
      </c>
      <c r="AV27" s="255">
        <f>IF(AND(ISNUMBER(AV26),ISNUMBER(AQ26)),IFERROR(AV26/AQ26-1,""),"")</f>
        <v>0.280088406670685</v>
      </c>
      <c r="AW27" s="255">
        <f>IF(AND(ISNUMBER(AW26),ISNUMBER(AR26)),IFERROR(AW26/AR26-1,""),"")</f>
        <v>0.29532347399075</v>
      </c>
      <c r="AX27" s="255">
        <f>IF(AND(ISNUMBER(AX26),ISNUMBER(AS26)),IFERROR(AX26/AS26-1,""),"")</f>
        <v>0.321362168509639</v>
      </c>
      <c r="AY27" s="255">
        <f>IF(AND(ISNUMBER(AY26),ISNUMBER(AT26)),IFERROR(AY26/AT26-1,""),"")</f>
        <v>0.37018874907476</v>
      </c>
      <c r="AZ27" s="255">
        <f>IF(AND(ISNUMBER(AZ26),ISNUMBER(AU26)),IFERROR(AZ26/AU26-1,""),"")</f>
        <v>0.388673390224981</v>
      </c>
      <c r="BA27" s="255">
        <f>IF(AND(ISNUMBER(BA26),ISNUMBER(AV26)),IFERROR(BA26/AV26-1,""),"")</f>
        <v>0.395385339821064</v>
      </c>
      <c r="BB27" s="255">
        <f>IF(AND(ISNUMBER(BB26),ISNUMBER(AW26)),IFERROR(BB26/AW26-1,""),"")</f>
        <v>0.370994048931012</v>
      </c>
      <c r="BC27" s="255">
        <f>IF(AND(ISNUMBER(BC26),ISNUMBER(AX26)),IFERROR(BC26/AX26-1,""),"")</f>
        <v>0.365696511886247</v>
      </c>
      <c r="BD27" s="255">
        <f>IF(AND(ISNUMBER(BD26),ISNUMBER(AY26)),IFERROR(BD26/AY26-1,""),"")</f>
        <v>0.332905665473698</v>
      </c>
      <c r="BE27" s="255">
        <f>IF(AND(ISNUMBER(BE26),ISNUMBER(AZ26)),IFERROR(BE26/AZ26-1,""),"")</f>
        <v>0.274860335195531</v>
      </c>
      <c r="BF27" s="255">
        <f>IF(AND(ISNUMBER(BF26),ISNUMBER(BA26)),IFERROR(BF26/BA26-1,""),"")</f>
        <v>0.202362204724409</v>
      </c>
      <c r="BG27" s="255">
        <f>IF(AND(ISNUMBER(BG26),ISNUMBER(BB26)),IFERROR(BG26/BB26-1,""),"")</f>
        <v>0.287675637439311</v>
      </c>
      <c r="BH27" s="255">
        <f>IF(AND(ISNUMBER(BH26),ISNUMBER(BC26)),IFERROR(BH26/BC26-1,""),"")</f>
        <v>0.157963234097934</v>
      </c>
      <c r="BI27" s="255">
        <f>IF(AND(ISNUMBER(BI26),ISNUMBER(BD26)),IFERROR(BI26/BD26-1,""),"")</f>
        <v>0.121637367647804</v>
      </c>
      <c r="BJ27" s="255">
        <f>IF(AND(ISNUMBER(BJ26),ISNUMBER(BE26)),IFERROR(BJ26/BE26-1,""),"")</f>
        <v>0.122748076735807</v>
      </c>
      <c r="BK27" s="255">
        <f>IF(AND(ISNUMBER(BK26),ISNUMBER(BF26)),IFERROR(BK26/BF26-1,""),"")</f>
        <v>0.132191973056413</v>
      </c>
      <c r="BL27" s="255">
        <f>IF(AND(ISNUMBER(BL26),ISNUMBER(BG26)),IFERROR(BL26/BG26-1,""),"")</f>
        <v>0.133102776667998</v>
      </c>
      <c r="BM27" s="255">
        <f>IF(AND(ISNUMBER(BM26),ISNUMBER(BH26)),IFERROR(BM26/BH26-1,""),"")</f>
        <v>0.172473541256907</v>
      </c>
      <c r="BN27" s="255">
        <f>IF(AND(ISNUMBER(BN26),ISNUMBER(BI26)),IFERROR(BN26/BI26-1,""),"")</f>
        <v>0.187037037037037</v>
      </c>
      <c r="BO27" s="255">
        <f>IF(AND(ISNUMBER(BO26),ISNUMBER(BJ26)),IFERROR(BO26/BJ26-1,""),"")</f>
        <v>0.19051129710742</v>
      </c>
      <c r="BP27" s="255">
        <f>IF(AND(ISNUMBER(BP26),ISNUMBER(BK26)),IFERROR(BP26/BK26-1,""),"")</f>
        <v>0.189307552470666</v>
      </c>
      <c r="BQ27" s="255">
        <f>IF(AND(ISNUMBER(BQ26),ISNUMBER(BL26)),IFERROR(BQ26/BL26-1,""),"")</f>
        <v>0.185098670075035</v>
      </c>
      <c r="BR27" s="255">
        <f>IF(AND(ISNUMBER(BR26),ISNUMBER(BM26)),IFERROR(BR26/BM26-1,""),"")</f>
        <v>0.168949954067979</v>
      </c>
      <c r="BS27" s="255">
        <f>IF(AND(ISNUMBER(BS26),ISNUMBER(BN26)),IFERROR(BS26/BN26-1,""),"")</f>
        <v>0.174726989079563</v>
      </c>
      <c r="BT27" s="255">
        <f>IF(AND(ISNUMBER(BT26),ISNUMBER(BO26)),IFERROR(BT26/BO26-1,""),"")</f>
        <v>0.202316771091359</v>
      </c>
      <c r="BU27" s="255">
        <f>IF(AND(ISNUMBER(BU26),ISNUMBER(BP26)),IFERROR(BU26/BP26-1,""),"")</f>
        <v>0.235982769401793</v>
      </c>
      <c r="BV27" s="255">
        <f>IF(AND(ISNUMBER(BV26),ISNUMBER(BQ26)),IFERROR(BV26/BQ26-1,""),"")</f>
        <v>0.196818401576853</v>
      </c>
      <c r="BW27" s="255">
        <f>IF(AND(ISNUMBER(BW26),ISNUMBER(BR26)),IFERROR(BW26/BR26-1,""),"")</f>
        <v>0.28427922233232</v>
      </c>
      <c r="BX27" s="255">
        <f>IF(AND(ISNUMBER(BX26),ISNUMBER(BS26)),IFERROR(BX26/BS26-1,""),"")</f>
        <v>0.367926667314482</v>
      </c>
      <c r="BY27" s="256">
        <f>BY28</f>
        <v>0.367926667314482</v>
      </c>
      <c r="BZ27" s="256">
        <f>BZ28</f>
        <v>0.367926667314482</v>
      </c>
      <c r="CA27" s="256">
        <f>IF(AND(ISNUMBER(CA26),ISNUMBER(BV26)),IFERROR(CA26/BV26-1,""),"")</f>
        <v>0.348908529638871</v>
      </c>
      <c r="CB27" s="256">
        <f>CHOOSE(MATCH($CF$2,{"Bull","Base","Bear"},0),$CO$57,$CP$57,$CQ$57)</f>
        <v>0.28</v>
      </c>
      <c r="CC27" s="256">
        <f>CHOOSE(MATCH($CF$2,{"Bull","Base","Bear"},0),$CO$58,$CP$58,$CQ$58)</f>
        <v>0.24</v>
      </c>
      <c r="CD27" s="256">
        <f>CHOOSE(MATCH($CF$2,{"Bull","Base","Bear"},0),$CO$59,$CP$59,$CQ$59)</f>
        <v>0.2</v>
      </c>
      <c r="CE27" s="256">
        <f>CHOOSE(MATCH($CF$2,{"Bull","Base","Bear"},0),$CO$60,$CP$60,$CQ$60)</f>
        <v>0.17</v>
      </c>
      <c r="CF27" s="153" t="inlineStr">
        <is>
          <t>Q3/Q4-26E: Q2-26 y/y (+37%, the fastest in 18 quarters; not part of the calibration Δ). 2027E+: scenario lever.</t>
        </is>
      </c>
      <c r="CN27" s="25" t="inlineStr">
        <is>
          <t xml:space="preserve">  2H-26E P&amp;E acquired under finance leases ($m; non-cash)</t>
        </is>
      </c>
      <c r="CP27" s="257" t="n">
        <v>1500</v>
      </c>
      <c r="CR27" s="13" t="inlineStr">
        <is>
          <t>1H-26 $2,128m; FY2025 $2,911m.</t>
        </is>
      </c>
    </row>
    <row r="28" ht="15" customHeight="1" s="251">
      <c r="B28" s="25" t="inlineStr">
        <is>
          <t xml:space="preserve">    Q3/Q4-26E growth (Q2-26 y/y)</t>
        </is>
      </c>
      <c r="C28" s="36"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c r="BP28" s="36" t="n"/>
      <c r="BQ28" s="36" t="n"/>
      <c r="BR28" s="36" t="n"/>
      <c r="BS28" s="36" t="n"/>
      <c r="BT28" s="36" t="n"/>
      <c r="BU28" s="36" t="n"/>
      <c r="BV28" s="36" t="n"/>
      <c r="BW28" s="36" t="n"/>
      <c r="BX28" s="36" t="n"/>
      <c r="BY28" s="256">
        <f>IFERROR(BX26/BS26-1,0)</f>
        <v>0.367926667314482</v>
      </c>
      <c r="BZ28" s="256">
        <f>IFERROR(BX26/BS26-1,0)</f>
        <v>0.367926667314482</v>
      </c>
      <c r="CA28" s="24" t="n"/>
      <c r="CB28" s="46" t="n"/>
      <c r="CC28" s="46" t="n"/>
      <c r="CD28" s="46" t="n"/>
      <c r="CE28" s="46" t="n"/>
      <c r="CF28" s="19" t="n"/>
    </row>
    <row r="29" ht="15" customHeight="1" s="251">
      <c r="B29" s="25" t="inlineStr">
        <is>
          <t xml:space="preserve">  Other</t>
        </is>
      </c>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253" t="n">
        <v>626</v>
      </c>
      <c r="AA29" s="253" t="n">
        <v>709</v>
      </c>
      <c r="AB29" s="253" t="n">
        <v>1071</v>
      </c>
      <c r="AC29" s="34" t="n"/>
      <c r="AD29" s="253" t="n">
        <v>850</v>
      </c>
      <c r="AE29" s="253" t="n">
        <v>945</v>
      </c>
      <c r="AF29" s="253" t="n">
        <v>1123</v>
      </c>
      <c r="AG29" s="253" t="n">
        <v>1735</v>
      </c>
      <c r="AH29" s="253" t="n">
        <v>4653</v>
      </c>
      <c r="AI29" s="253" t="n">
        <v>2031</v>
      </c>
      <c r="AJ29" s="253" t="n">
        <v>2194</v>
      </c>
      <c r="AK29" s="253" t="n">
        <v>2495</v>
      </c>
      <c r="AL29" s="253" t="n">
        <v>3388</v>
      </c>
      <c r="AM29" s="253" t="n">
        <v>10108</v>
      </c>
      <c r="AN29" s="253" t="n">
        <v>2716</v>
      </c>
      <c r="AO29" s="253" t="n">
        <v>3002</v>
      </c>
      <c r="AP29" s="253" t="n">
        <v>3586</v>
      </c>
      <c r="AQ29" s="253" t="n">
        <v>4782</v>
      </c>
      <c r="AR29" s="253" t="n">
        <v>14086</v>
      </c>
      <c r="AS29" s="253" t="n">
        <v>3906</v>
      </c>
      <c r="AT29" s="253" t="n">
        <v>4221</v>
      </c>
      <c r="AU29" s="253" t="n">
        <v>416</v>
      </c>
      <c r="AV29" s="253" t="n">
        <v>602</v>
      </c>
      <c r="AW29" s="253" t="n">
        <v>21477</v>
      </c>
      <c r="AX29" s="253" t="n">
        <v>524</v>
      </c>
      <c r="AY29" s="253" t="n">
        <v>463</v>
      </c>
      <c r="AZ29" s="253" t="n">
        <v>479</v>
      </c>
      <c r="BA29" s="253" t="n">
        <v>710</v>
      </c>
      <c r="BB29" s="253" t="n">
        <v>2176</v>
      </c>
      <c r="BC29" s="253" t="n">
        <v>661</v>
      </c>
      <c r="BD29" s="253" t="n">
        <v>1070</v>
      </c>
      <c r="BE29" s="253" t="n">
        <v>1263</v>
      </c>
      <c r="BF29" s="253" t="n">
        <v>1253</v>
      </c>
      <c r="BG29" s="253" t="n">
        <v>4247</v>
      </c>
      <c r="BH29" s="253" t="n">
        <v>1027</v>
      </c>
      <c r="BI29" s="253" t="n">
        <v>1344</v>
      </c>
      <c r="BJ29" s="253" t="n">
        <v>1226</v>
      </c>
      <c r="BK29" s="253" t="n">
        <v>1361</v>
      </c>
      <c r="BL29" s="253" t="n">
        <v>4958</v>
      </c>
      <c r="BM29" s="253" t="n">
        <v>1262</v>
      </c>
      <c r="BN29" s="253" t="n">
        <v>1260</v>
      </c>
      <c r="BO29" s="253" t="n">
        <v>1313</v>
      </c>
      <c r="BP29" s="253" t="n">
        <v>1590</v>
      </c>
      <c r="BQ29" s="253" t="n">
        <v>5425</v>
      </c>
      <c r="BR29" s="253" t="n">
        <v>1312</v>
      </c>
      <c r="BS29" s="253" t="n">
        <v>1499</v>
      </c>
      <c r="BT29" s="253" t="n">
        <v>1415</v>
      </c>
      <c r="BU29" s="253" t="n">
        <v>1709</v>
      </c>
      <c r="BV29" s="253" t="n">
        <v>5935</v>
      </c>
      <c r="BW29" s="253" t="n">
        <v>1645</v>
      </c>
      <c r="BX29" s="253" t="n">
        <v>1829</v>
      </c>
      <c r="BY29" s="254">
        <f>BT29*(1+BY30)</f>
        <v>1714.37589674939</v>
      </c>
      <c r="BZ29" s="254">
        <f>BU29*(1+BZ30)</f>
        <v>2070.57837989026</v>
      </c>
      <c r="CA29" s="254">
        <f>SUM(BW29:BZ29)</f>
        <v>7258.95427663965</v>
      </c>
      <c r="CB29" s="254">
        <f>CA29*(1+CB30)</f>
        <v>7839.67061877082</v>
      </c>
      <c r="CC29" s="254">
        <f>CB29*(1+CC30)</f>
        <v>8388.44756208478</v>
      </c>
      <c r="CD29" s="254">
        <f>CC29*(1+CD30)</f>
        <v>8891.75441580987</v>
      </c>
      <c r="CE29" s="254">
        <f>CD29*(1+CE30)</f>
        <v>9425.25968075846</v>
      </c>
      <c r="CF29" s="19" t="inlineStr">
        <is>
          <t>Includes advertising services until Q2-20 (split out from Q3-20 in the Q4-21 release).</t>
        </is>
      </c>
      <c r="CH29" s="20">
        <f>IFERROR((CE29/BV29)^(1/5)-1,"n/m")</f>
        <v>0.09691890195512</v>
      </c>
      <c r="CI29" s="20">
        <f>IFERROR((BV29/AW29)^(1/5)-1,"n/m")</f>
        <v>-0.226804315801806</v>
      </c>
      <c r="CJ29" s="20" t="str">
        <f>IFERROR((BV29/X29)^(1/10)-1,"n/m")</f>
        <v>n/m</v>
      </c>
      <c r="CK29" s="20" t="str">
        <f>IFERROR((BV29/C29)^(1/19)-1,"n/m")</f>
        <v>n/m</v>
      </c>
      <c r="CN29" s="25" t="inlineStr">
        <is>
          <t xml:space="preserve">  Target net debt / adjusted EBITDA (x) — buyback floor 2027E+</t>
        </is>
      </c>
      <c r="CO29" s="260" t="n">
        <v>0.25</v>
      </c>
      <c r="CP29" s="260" t="n">
        <v>0</v>
      </c>
      <c r="CQ29" s="260" t="n">
        <v>-0.25</v>
      </c>
      <c r="CR29" s="13" t="inlineStr">
        <is>
          <t>Amazon has not repurchased shares since 2022 ($10bn authorization of Mar-2022, $6bn used) and has financed the AI build-out with $66bn of notes in 1H-26. Target = net debt / adjusted EBITDA up to which surplus cash is returned via buybacks (model assumption; no company target): Base 0.0x (free cash flow beyond net-debt neutrality returned), Bull 0.25x, Bear −0.25x (keeps a net-cash cushion). Net debt was −$54bn at YE2025 and +$9bn at 30-Jun-2026.</t>
        </is>
      </c>
    </row>
    <row r="30" ht="15" customHeight="1" s="251">
      <c r="B30" s="22" t="inlineStr">
        <is>
          <t xml:space="preserve">    y/y %</t>
        </is>
      </c>
      <c r="D30" s="255">
        <f>IF(AND(ISNUMBER(D29),ISNUMBER(C29)),IFERROR(D29/C29-1,""),"")</f>
      </c>
      <c r="E30" s="255">
        <f>IF(AND(ISNUMBER(E29),ISNUMBER(D29)),IFERROR(E29/D29-1,""),"")</f>
      </c>
      <c r="F30" s="255">
        <f>IF(AND(ISNUMBER(F29),ISNUMBER(E29)),IFERROR(F29/E29-1,""),"")</f>
      </c>
      <c r="G30" s="255">
        <f>IF(AND(ISNUMBER(G29),ISNUMBER(F29)),IFERROR(G29/F29-1,""),"")</f>
      </c>
      <c r="H30" s="255">
        <f>IF(AND(ISNUMBER(H29),ISNUMBER(G29)),IFERROR(H29/G29-1,""),"")</f>
      </c>
      <c r="I30" s="255">
        <f>IF(AND(ISNUMBER(I29),ISNUMBER(H29)),IFERROR(I29/H29-1,""),"")</f>
      </c>
      <c r="N30" s="255">
        <f>IF(AND(ISNUMBER(N29),ISNUMBER(I29)),IFERROR(N29/I29-1,""),"")</f>
      </c>
      <c r="O30" s="255">
        <f>IF(AND(ISNUMBER(O29),ISNUMBER(J29)),IFERROR(O29/J29-1,""),"")</f>
      </c>
      <c r="P30" s="255">
        <f>IF(AND(ISNUMBER(P29),ISNUMBER(K29)),IFERROR(P29/K29-1,""),"")</f>
      </c>
      <c r="Q30" s="255">
        <f>IF(AND(ISNUMBER(Q29),ISNUMBER(L29)),IFERROR(Q29/L29-1,""),"")</f>
      </c>
      <c r="R30" s="255">
        <f>IF(AND(ISNUMBER(R29),ISNUMBER(M29)),IFERROR(R29/M29-1,""),"")</f>
      </c>
      <c r="S30" s="255">
        <f>IF(AND(ISNUMBER(S29),ISNUMBER(N29)),IFERROR(S29/N29-1,""),"")</f>
      </c>
      <c r="T30" s="255">
        <f>IF(AND(ISNUMBER(T29),ISNUMBER(O29)),IFERROR(T29/O29-1,""),"")</f>
      </c>
      <c r="U30" s="255">
        <f>IF(AND(ISNUMBER(U29),ISNUMBER(P29)),IFERROR(U29/P29-1,""),"")</f>
      </c>
      <c r="V30" s="255">
        <f>IF(AND(ISNUMBER(V29),ISNUMBER(Q29)),IFERROR(V29/Q29-1,""),"")</f>
      </c>
      <c r="W30" s="255">
        <f>IF(AND(ISNUMBER(W29),ISNUMBER(R29)),IFERROR(W29/R29-1,""),"")</f>
      </c>
      <c r="X30" s="255">
        <f>IF(AND(ISNUMBER(X29),ISNUMBER(S29)),IFERROR(X29/S29-1,""),"")</f>
      </c>
      <c r="Y30" s="255">
        <f>IF(AND(ISNUMBER(Y29),ISNUMBER(T29)),IFERROR(Y29/T29-1,""),"")</f>
      </c>
      <c r="Z30" s="255">
        <f>IF(AND(ISNUMBER(Z29),ISNUMBER(U29)),IFERROR(Z29/U29-1,""),"")</f>
      </c>
      <c r="AA30" s="255">
        <f>IF(AND(ISNUMBER(AA29),ISNUMBER(V29)),IFERROR(AA29/V29-1,""),"")</f>
      </c>
      <c r="AB30" s="255">
        <f>IF(AND(ISNUMBER(AB29),ISNUMBER(W29)),IFERROR(AB29/W29-1,""),"")</f>
      </c>
      <c r="AC30" s="255">
        <f>IF(AND(ISNUMBER(AC29),ISNUMBER(X29)),IFERROR(AC29/X29-1,""),"")</f>
      </c>
      <c r="AD30" s="255">
        <f>IF(AND(ISNUMBER(AD29),ISNUMBER(Y29)),IFERROR(AD29/Y29-1,""),"")</f>
      </c>
      <c r="AE30" s="255">
        <f>IF(AND(ISNUMBER(AE29),ISNUMBER(Z29)),IFERROR(AE29/Z29-1,""),"")</f>
        <v>0.509584664536741</v>
      </c>
      <c r="AF30" s="255">
        <f>IF(AND(ISNUMBER(AF29),ISNUMBER(AA29)),IFERROR(AF29/AA29-1,""),"")</f>
        <v>0.58392101551481</v>
      </c>
      <c r="AG30" s="255">
        <f>IF(AND(ISNUMBER(AG29),ISNUMBER(AB29)),IFERROR(AG29/AB29-1,""),"")</f>
        <v>0.619981325863679</v>
      </c>
      <c r="AH30" s="255">
        <f>IF(AND(ISNUMBER(AH29),ISNUMBER(AC29)),IFERROR(AH29/AC29-1,""),"")</f>
      </c>
      <c r="AI30" s="255">
        <f>IF(AND(ISNUMBER(AI29),ISNUMBER(AD29)),IFERROR(AI29/AD29-1,""),"")</f>
        <v>1.38941176470588</v>
      </c>
      <c r="AJ30" s="255">
        <f>IF(AND(ISNUMBER(AJ29),ISNUMBER(AE29)),IFERROR(AJ29/AE29-1,""),"")</f>
        <v>1.32169312169312</v>
      </c>
      <c r="AK30" s="255">
        <f>IF(AND(ISNUMBER(AK29),ISNUMBER(AF29)),IFERROR(AK29/AF29-1,""),"")</f>
        <v>1.22172751558326</v>
      </c>
      <c r="AL30" s="255">
        <f>IF(AND(ISNUMBER(AL29),ISNUMBER(AG29)),IFERROR(AL29/AG29-1,""),"")</f>
        <v>0.952737752161383</v>
      </c>
      <c r="AM30" s="255">
        <f>IF(AND(ISNUMBER(AM29),ISNUMBER(AH29)),IFERROR(AM29/AH29-1,""),"")</f>
        <v>1.17236191704277</v>
      </c>
      <c r="AN30" s="255">
        <f>IF(AND(ISNUMBER(AN29),ISNUMBER(AI29)),IFERROR(AN29/AI29-1,""),"")</f>
        <v>0.337272279665189</v>
      </c>
      <c r="AO30" s="255">
        <f>IF(AND(ISNUMBER(AO29),ISNUMBER(AJ29)),IFERROR(AO29/AJ29-1,""),"")</f>
        <v>0.368277119416591</v>
      </c>
      <c r="AP30" s="255">
        <f>IF(AND(ISNUMBER(AP29),ISNUMBER(AK29)),IFERROR(AP29/AK29-1,""),"")</f>
        <v>0.437274549098196</v>
      </c>
      <c r="AQ30" s="255">
        <f>IF(AND(ISNUMBER(AQ29),ISNUMBER(AL29)),IFERROR(AQ29/AL29-1,""),"")</f>
        <v>0.411452184179457</v>
      </c>
      <c r="AR30" s="255">
        <f>IF(AND(ISNUMBER(AR29),ISNUMBER(AM29)),IFERROR(AR29/AM29-1,""),"")</f>
        <v>0.393549663632766</v>
      </c>
      <c r="AS30" s="255">
        <f>IF(AND(ISNUMBER(AS29),ISNUMBER(AN29)),IFERROR(AS29/AN29-1,""),"")</f>
        <v>0.438144329896907</v>
      </c>
      <c r="AT30" s="255">
        <f>IF(AND(ISNUMBER(AT29),ISNUMBER(AO29)),IFERROR(AT29/AO29-1,""),"")</f>
        <v>0.406062624916722</v>
      </c>
      <c r="AU30" s="255">
        <f>IF(AND(ISNUMBER(AU29),ISNUMBER(AP29)),IFERROR(AU29/AP29-1,""),"")</f>
        <v>-0.883993307306191</v>
      </c>
      <c r="AV30" s="255">
        <f>IF(AND(ISNUMBER(AV29),ISNUMBER(AQ29)),IFERROR(AV29/AQ29-1,""),"")</f>
        <v>-0.874111250522794</v>
      </c>
      <c r="AW30" s="255">
        <f>IF(AND(ISNUMBER(AW29),ISNUMBER(AR29)),IFERROR(AW29/AR29-1,""),"")</f>
        <v>0.52470538122959</v>
      </c>
      <c r="AX30" s="255">
        <f>IF(AND(ISNUMBER(AX29),ISNUMBER(AS29)),IFERROR(AX29/AS29-1,""),"")</f>
        <v>-0.865847414234511</v>
      </c>
      <c r="AY30" s="255">
        <f>IF(AND(ISNUMBER(AY29),ISNUMBER(AT29)),IFERROR(AY29/AT29-1,""),"")</f>
        <v>-0.89031035299692</v>
      </c>
      <c r="AZ30" s="255">
        <f>IF(AND(ISNUMBER(AZ29),ISNUMBER(AU29)),IFERROR(AZ29/AU29-1,""),"")</f>
        <v>0.151442307692308</v>
      </c>
      <c r="BA30" s="255">
        <f>IF(AND(ISNUMBER(BA29),ISNUMBER(AV29)),IFERROR(BA29/AV29-1,""),"")</f>
        <v>0.179401993355482</v>
      </c>
      <c r="BB30" s="255">
        <f>IF(AND(ISNUMBER(BB29),ISNUMBER(AW29)),IFERROR(BB29/AW29-1,""),"")</f>
        <v>-0.898682311309773</v>
      </c>
      <c r="BC30" s="255">
        <f>IF(AND(ISNUMBER(BC29),ISNUMBER(AX29)),IFERROR(BC29/AX29-1,""),"")</f>
        <v>0.261450381679389</v>
      </c>
      <c r="BD30" s="255">
        <f>IF(AND(ISNUMBER(BD29),ISNUMBER(AY29)),IFERROR(BD29/AY29-1,""),"")</f>
        <v>1.3110151187905</v>
      </c>
      <c r="BE30" s="255">
        <f>IF(AND(ISNUMBER(BE29),ISNUMBER(AZ29)),IFERROR(BE29/AZ29-1,""),"")</f>
        <v>1.63674321503132</v>
      </c>
      <c r="BF30" s="255">
        <f>IF(AND(ISNUMBER(BF29),ISNUMBER(BA29)),IFERROR(BF29/BA29-1,""),"")</f>
        <v>0.764788732394366</v>
      </c>
      <c r="BG30" s="255">
        <f>IF(AND(ISNUMBER(BG29),ISNUMBER(BB29)),IFERROR(BG29/BB29-1,""),"")</f>
        <v>0.951746323529412</v>
      </c>
      <c r="BH30" s="255">
        <f>IF(AND(ISNUMBER(BH29),ISNUMBER(BC29)),IFERROR(BH29/BC29-1,""),"")</f>
        <v>0.553706505295008</v>
      </c>
      <c r="BI30" s="255">
        <f>IF(AND(ISNUMBER(BI29),ISNUMBER(BD29)),IFERROR(BI29/BD29-1,""),"")</f>
        <v>0.25607476635514</v>
      </c>
      <c r="BJ30" s="255">
        <f>IF(AND(ISNUMBER(BJ29),ISNUMBER(BE29)),IFERROR(BJ29/BE29-1,""),"")</f>
        <v>-0.0292953285827395</v>
      </c>
      <c r="BK30" s="255">
        <f>IF(AND(ISNUMBER(BK29),ISNUMBER(BF29)),IFERROR(BK29/BF29-1,""),"")</f>
        <v>0.0861931364724662</v>
      </c>
      <c r="BL30" s="255">
        <f>IF(AND(ISNUMBER(BL29),ISNUMBER(BG29)),IFERROR(BL29/BG29-1,""),"")</f>
        <v>0.167412291028962</v>
      </c>
      <c r="BM30" s="255">
        <f>IF(AND(ISNUMBER(BM29),ISNUMBER(BH29)),IFERROR(BM29/BH29-1,""),"")</f>
        <v>0.228821811100292</v>
      </c>
      <c r="BN30" s="255">
        <f>IF(AND(ISNUMBER(BN29),ISNUMBER(BI29)),IFERROR(BN29/BI29-1,""),"")</f>
        <v>-0.0625</v>
      </c>
      <c r="BO30" s="255">
        <f>IF(AND(ISNUMBER(BO29),ISNUMBER(BJ29)),IFERROR(BO29/BJ29-1,""),"")</f>
        <v>0.0709624796084829</v>
      </c>
      <c r="BP30" s="255">
        <f>IF(AND(ISNUMBER(BP29),ISNUMBER(BK29)),IFERROR(BP29/BK29-1,""),"")</f>
        <v>0.168258633357825</v>
      </c>
      <c r="BQ30" s="255">
        <f>IF(AND(ISNUMBER(BQ29),ISNUMBER(BL29)),IFERROR(BQ29/BL29-1,""),"")</f>
        <v>0.0941912061315047</v>
      </c>
      <c r="BR30" s="255">
        <f>IF(AND(ISNUMBER(BR29),ISNUMBER(BM29)),IFERROR(BR29/BM29-1,""),"")</f>
        <v>0.0396196513470681</v>
      </c>
      <c r="BS30" s="255">
        <f>IF(AND(ISNUMBER(BS29),ISNUMBER(BN29)),IFERROR(BS29/BN29-1,""),"")</f>
        <v>0.18968253968254</v>
      </c>
      <c r="BT30" s="255">
        <f>IF(AND(ISNUMBER(BT29),ISNUMBER(BO29)),IFERROR(BT29/BO29-1,""),"")</f>
        <v>0.0776846915460776</v>
      </c>
      <c r="BU30" s="255">
        <f>IF(AND(ISNUMBER(BU29),ISNUMBER(BP29)),IFERROR(BU29/BP29-1,""),"")</f>
        <v>0.0748427672955976</v>
      </c>
      <c r="BV30" s="255">
        <f>IF(AND(ISNUMBER(BV29),ISNUMBER(BQ29)),IFERROR(BV29/BQ29-1,""),"")</f>
        <v>0.0940092165898618</v>
      </c>
      <c r="BW30" s="255">
        <f>IF(AND(ISNUMBER(BW29),ISNUMBER(BR29)),IFERROR(BW29/BR29-1,""),"")</f>
        <v>0.253810975609756</v>
      </c>
      <c r="BX30" s="255">
        <f>IF(AND(ISNUMBER(BX29),ISNUMBER(BS29)),IFERROR(BX29/BS29-1,""),"")</f>
        <v>0.220146764509673</v>
      </c>
      <c r="BY30" s="256">
        <f>BY31+BY114</f>
        <v>0.211573071907699</v>
      </c>
      <c r="BZ30" s="256">
        <f>BZ31+BZ114</f>
        <v>0.211573071907699</v>
      </c>
      <c r="CA30" s="256">
        <f>IF(AND(ISNUMBER(CA29),ISNUMBER(BV29)),IFERROR(CA29/BV29-1,""),"")</f>
        <v>0.223075699518054</v>
      </c>
      <c r="CB30" s="256">
        <f>CHOOSE(MATCH($CF$2,{"Bull","Base","Bear"},0),$CO$62,$CP$62,$CQ$62)</f>
        <v>0.08</v>
      </c>
      <c r="CC30" s="256">
        <f>CHOOSE(MATCH($CF$2,{"Bull","Base","Bear"},0),$CO$63,$CP$63,$CQ$63)</f>
        <v>0.07</v>
      </c>
      <c r="CD30" s="256">
        <f>CHOOSE(MATCH($CF$2,{"Bull","Base","Bear"},0),$CO$64,$CP$64,$CQ$64)</f>
        <v>0.06</v>
      </c>
      <c r="CE30" s="256">
        <f>CHOOSE(MATCH($CF$2,{"Bull","Base","Bear"},0),$CO$65,$CP$65,$CQ$65)</f>
        <v>0.06</v>
      </c>
      <c r="CF30" s="153" t="n"/>
    </row>
    <row r="31" ht="15" customHeight="1" s="251">
      <c r="B31" s="25" t="inlineStr">
        <is>
          <t xml:space="preserve">    Q3/Q4-26E growth before calibration (Q1-26 y/y)</t>
        </is>
      </c>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c r="BP31" s="36" t="n"/>
      <c r="BQ31" s="36" t="n"/>
      <c r="BR31" s="36" t="n"/>
      <c r="BS31" s="36" t="n"/>
      <c r="BT31" s="36" t="n"/>
      <c r="BU31" s="36" t="n"/>
      <c r="BV31" s="36" t="n"/>
      <c r="BW31" s="36" t="n"/>
      <c r="BX31" s="36" t="n"/>
      <c r="BY31" s="256">
        <f>IFERROR(BW29/BR29-1,0)</f>
        <v>0.253810975609756</v>
      </c>
      <c r="BZ31" s="256">
        <f>IFERROR(BW29/BR29-1,0)</f>
        <v>0.253810975609756</v>
      </c>
      <c r="CA31" s="24" t="n"/>
      <c r="CB31" s="46" t="n"/>
      <c r="CC31" s="46" t="n"/>
      <c r="CD31" s="46" t="n"/>
      <c r="CE31" s="46" t="n"/>
      <c r="CF31" s="19" t="n"/>
      <c r="CN31" s="15" t="inlineStr">
        <is>
          <t>ONLINE (Online stores y/y)</t>
        </is>
      </c>
      <c r="CO31" s="261" t="n">
        <v>0.02</v>
      </c>
      <c r="CP31" s="21" t="inlineStr">
        <is>
          <t>Δ →</t>
        </is>
      </c>
      <c r="CQ31" s="261" t="n">
        <v>-0.03</v>
      </c>
      <c r="CR31" s="13" t="inlineStr">
        <is>
          <t>FY2025 +9.0%; 1H-26 +13.3% (Q1 +11.9%, Q2 incl. Prime Day). Faster delivery, everyday essentials; maturing category.</t>
        </is>
      </c>
    </row>
    <row r="32" ht="15" customHeight="1" s="251">
      <c r="B32" s="25" t="inlineStr">
        <is>
          <t xml:space="preserve">  Prime Day timing shift — pp of growth on online stores, third-party seller services and advertising (Q3/26E)</t>
        </is>
      </c>
      <c r="C32" s="36"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c r="AC32" s="36" t="n"/>
      <c r="AD32" s="36" t="n"/>
      <c r="AE32" s="36" t="n"/>
      <c r="AF32" s="36" t="n"/>
      <c r="AG32" s="36" t="n"/>
      <c r="AH32" s="36" t="n"/>
      <c r="AI32" s="36" t="n"/>
      <c r="AJ32" s="36" t="n"/>
      <c r="AK32" s="36" t="n"/>
      <c r="AL32" s="36" t="n"/>
      <c r="AM32" s="36" t="n"/>
      <c r="AN32" s="36" t="n"/>
      <c r="AO32" s="36" t="n"/>
      <c r="AP32" s="36" t="n"/>
      <c r="AQ32" s="36" t="n"/>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c r="BP32" s="36" t="n"/>
      <c r="BQ32" s="36" t="n"/>
      <c r="BR32" s="36" t="n"/>
      <c r="BS32" s="36" t="n"/>
      <c r="BT32" s="36" t="n"/>
      <c r="BU32" s="36" t="n"/>
      <c r="BV32" s="36" t="n"/>
      <c r="BW32" s="36" t="n"/>
      <c r="BX32" s="36" t="n"/>
      <c r="BY32" s="256">
        <f>$CP$16*$BT$144/($BT$11+$BT$17+$BT$23)</f>
        <v>-0.0564810809116273</v>
      </c>
      <c r="BZ32" s="256">
        <f>0</f>
        <v>0</v>
      </c>
      <c r="CA32" s="24" t="n"/>
      <c r="CB32" s="46" t="n"/>
      <c r="CC32" s="46" t="n"/>
      <c r="CD32" s="46" t="n"/>
      <c r="CE32" s="46" t="n"/>
      <c r="CF32" s="19" t="inlineStr">
        <is>
          <t>Guidance (30-Jul-2026): "excluding the impact of Prime Day in both 2025 and 2026, Q3-26 y/y growth would be nearly 400 bp higher" (Prime Day in Q3 in 2025, Q2 in 2026). −4.0 pp of total Q3 net sales allocated to the Prime-Day-sensitive groups pro rata to Q3-25 revenue.</t>
        </is>
      </c>
      <c r="CN32" s="25" t="inlineStr">
        <is>
          <t xml:space="preserve">  2027E</t>
        </is>
      </c>
      <c r="CO32" s="33">
        <f>CP32+$CO$31</f>
        <v>0.105</v>
      </c>
      <c r="CP32" s="258" t="n">
        <v>0.08500000000000001</v>
      </c>
      <c r="CQ32" s="33">
        <f>CP32+$CQ$31</f>
        <v>0.055</v>
      </c>
    </row>
    <row r="33" ht="15" customHeight="1" s="251">
      <c r="B33" s="25" t="inlineStr">
        <is>
          <t xml:space="preserve">  Not split by product group (before Q2-16)</t>
        </is>
      </c>
      <c r="C33" s="211">
        <f>IF(ISNUMBER(C11),ROUND(C144-(C11+C14+C17+C20+N(C23)+C26+C29),0),C144)</f>
        <v>10711</v>
      </c>
      <c r="D33" s="211">
        <f>IF(ISNUMBER(D11),ROUND(D144-(D11+D14+D17+D20+N(D23)+D26+D29),0),D144)</f>
        <v>14835</v>
      </c>
      <c r="E33" s="211">
        <f>IF(ISNUMBER(E11),ROUND(E144-(E11+E14+E17+E20+N(E23)+E26+E29),0),E144)</f>
        <v>19166</v>
      </c>
      <c r="F33" s="211">
        <f>IF(ISNUMBER(F11),ROUND(F144-(F11+F14+F17+F20+N(F23)+F26+F29),0),F144)</f>
        <v>24509</v>
      </c>
      <c r="G33" s="211">
        <f>IF(ISNUMBER(G11),ROUND(G144-(G11+G14+G17+G20+N(G23)+G26+G29),0),G144)</f>
        <v>34204</v>
      </c>
      <c r="H33" s="211">
        <f>IF(ISNUMBER(H11),ROUND(H144-(H11+H14+H17+H20+N(H23)+H26+H29),0),H144)</f>
        <v>48077</v>
      </c>
      <c r="I33" s="211">
        <f>IF(ISNUMBER(I11),ROUND(I144-(I11+I14+I17+I20+N(I23)+I26+I29),0),I144)</f>
        <v>61093</v>
      </c>
      <c r="J33" s="211">
        <f>IF(ISNUMBER(J11),ROUND(J144-(J11+J14+J17+J20+N(J23)+J26+J29),0),J144)</f>
        <v>16070</v>
      </c>
      <c r="K33" s="211">
        <f>IF(ISNUMBER(K11),ROUND(K144-(K11+K14+K17+K20+N(K23)+K26+K29),0),K144)</f>
        <v>15704</v>
      </c>
      <c r="L33" s="211">
        <f>IF(ISNUMBER(L11),ROUND(L144-(L11+L14+L17+L20+N(L23)+L26+L29),0),L144)</f>
        <v>17092</v>
      </c>
      <c r="M33" s="211">
        <f>IF(ISNUMBER(M11),ROUND(M144-(M11+M14+M17+M20+N(M23)+M26+M29),0),M144)</f>
        <v>25587</v>
      </c>
      <c r="N33" s="211">
        <f>IF(ISNUMBER(N11),ROUND(N144-(N11+N14+N17+N20+N(N23)+N26+N29),0),N144)</f>
        <v>74452</v>
      </c>
      <c r="O33" s="211">
        <f>IF(ISNUMBER(O11),ROUND(O144-(O11+O14+O17+O20+N(O23)+O26+O29),0),O144)</f>
        <v>19741</v>
      </c>
      <c r="P33" s="211">
        <f>IF(ISNUMBER(P11),ROUND(P144-(P11+P14+P17+P20+N(P23)+P26+P29),0),P144)</f>
        <v>19340</v>
      </c>
      <c r="Q33" s="211">
        <f>IF(ISNUMBER(Q11),ROUND(Q144-(Q11+Q14+Q17+Q20+N(Q23)+Q26+Q29),0),Q144)</f>
        <v>20579</v>
      </c>
      <c r="R33" s="211">
        <f>IF(ISNUMBER(R11),ROUND(R144-(R11+R14+R17+R20+N(R23)+R26+R29),0),R144)</f>
        <v>29328</v>
      </c>
      <c r="S33" s="211">
        <f>IF(ISNUMBER(S11),ROUND(S144-(S11+S14+S17+S20+N(S23)+S26+S29),0),S144)</f>
        <v>88988</v>
      </c>
      <c r="T33" s="211">
        <f>IF(ISNUMBER(T11),ROUND(T144-(T11+T14+T17+T20+N(T23)+T26+T29),0),T144)</f>
        <v>22717</v>
      </c>
      <c r="U33" s="211">
        <f>IF(ISNUMBER(U11),ROUND(U144-(U11+U14+U17+U20+N(U23)+U26+U29),0),U144)</f>
        <v>23185</v>
      </c>
      <c r="V33" s="211">
        <f>IF(ISNUMBER(V11),ROUND(V144-(V11+V14+V17+V20+N(V23)+V26+V29),0),V144)</f>
        <v>25358</v>
      </c>
      <c r="W33" s="211">
        <f>IF(ISNUMBER(W11),ROUND(W144-(W11+W14+W17+W20+N(W23)+W26+W29),0),W144)</f>
        <v>35747</v>
      </c>
      <c r="X33" s="211">
        <f>IF(ISNUMBER(X11),ROUND(X144-(X11+X14+X17+X20+N(X23)+X26+X29),0),X144)</f>
        <v>107006</v>
      </c>
      <c r="Y33" s="211">
        <f>IF(ISNUMBER(Y11),ROUND(Y144-(Y11+Y14+Y17+Y20+N(Y23)+Y26+Y29),0),Y144)</f>
        <v>29128</v>
      </c>
      <c r="Z33" s="211">
        <f>IF(ISNUMBER(Z11),ROUND(Z144-(Z11+Z14+Z17+Z20+N(Z23)+Z26+Z29),0),Z144)</f>
        <v>0</v>
      </c>
      <c r="AA33" s="211">
        <f>IF(ISNUMBER(AA11),ROUND(AA144-(AA11+AA14+AA17+AA20+N(AA23)+AA26+AA29),0),AA144)</f>
        <v>0</v>
      </c>
      <c r="AB33" s="211">
        <f>IF(ISNUMBER(AB11),ROUND(AB144-(AB11+AB14+AB17+AB20+N(AB23)+AB26+AB29),0),AB144)</f>
        <v>0</v>
      </c>
      <c r="AC33" s="211">
        <f>IF(ISNUMBER(AC11),ROUND(AC144-(AC11+AC14+AC17+AC20+N(AC23)+AC26+AC29),0),AC144)</f>
        <v>135987</v>
      </c>
      <c r="AD33" s="211">
        <f>IF(ISNUMBER(AD11),ROUND(AD144-(AD11+AD14+AD17+AD20+N(AD23)+AD26+AD29),0),AD144)</f>
        <v>0</v>
      </c>
      <c r="AE33" s="211">
        <f>IF(ISNUMBER(AE11),ROUND(AE144-(AE11+AE14+AE17+AE20+N(AE23)+AE26+AE29),0),AE144)</f>
        <v>0</v>
      </c>
      <c r="AF33" s="211">
        <f>IF(ISNUMBER(AF11),ROUND(AF144-(AF11+AF14+AF17+AF20+N(AF23)+AF26+AF29),0),AF144)</f>
        <v>0</v>
      </c>
      <c r="AG33" s="211">
        <f>IF(ISNUMBER(AG11),ROUND(AG144-(AG11+AG14+AG17+AG20+N(AG23)+AG26+AG29),0),AG144)</f>
        <v>0</v>
      </c>
      <c r="AH33" s="211">
        <f>IF(ISNUMBER(AH11),ROUND(AH144-(AH11+AH14+AH17+AH20+N(AH23)+AH26+AH29),0),AH144)</f>
        <v>0</v>
      </c>
      <c r="AI33" s="211">
        <f>IF(ISNUMBER(AI11),ROUND(AI144-(AI11+AI14+AI17+AI20+N(AI23)+AI26+AI29),0),AI144)</f>
        <v>0</v>
      </c>
      <c r="AJ33" s="211">
        <f>IF(ISNUMBER(AJ11),ROUND(AJ144-(AJ11+AJ14+AJ17+AJ20+N(AJ23)+AJ26+AJ29),0),AJ144)</f>
        <v>0</v>
      </c>
      <c r="AK33" s="211">
        <f>IF(ISNUMBER(AK11),ROUND(AK144-(AK11+AK14+AK17+AK20+N(AK23)+AK26+AK29),0),AK144)</f>
        <v>0</v>
      </c>
      <c r="AL33" s="211">
        <f>IF(ISNUMBER(AL11),ROUND(AL144-(AL11+AL14+AL17+AL20+N(AL23)+AL26+AL29),0),AL144)</f>
        <v>0</v>
      </c>
      <c r="AM33" s="211">
        <f>IF(ISNUMBER(AM11),ROUND(AM144-(AM11+AM14+AM17+AM20+N(AM23)+AM26+AM29),0),AM144)</f>
        <v>0</v>
      </c>
      <c r="AN33" s="211">
        <f>IF(ISNUMBER(AN11),ROUND(AN144-(AN11+AN14+AN17+AN20+N(AN23)+AN26+AN29),0),AN144)</f>
        <v>0</v>
      </c>
      <c r="AO33" s="211">
        <f>IF(ISNUMBER(AO11),ROUND(AO144-(AO11+AO14+AO17+AO20+N(AO23)+AO26+AO29),0),AO144)</f>
        <v>0</v>
      </c>
      <c r="AP33" s="211">
        <f>IF(ISNUMBER(AP11),ROUND(AP144-(AP11+AP14+AP17+AP20+N(AP23)+AP26+AP29),0),AP144)</f>
        <v>0</v>
      </c>
      <c r="AQ33" s="211">
        <f>IF(ISNUMBER(AQ11),ROUND(AQ144-(AQ11+AQ14+AQ17+AQ20+N(AQ23)+AQ26+AQ29),0),AQ144)</f>
        <v>0</v>
      </c>
      <c r="AR33" s="211">
        <f>IF(ISNUMBER(AR11),ROUND(AR144-(AR11+AR14+AR17+AR20+N(AR23)+AR26+AR29),0),AR144)</f>
        <v>0</v>
      </c>
      <c r="AS33" s="211">
        <f>IF(ISNUMBER(AS11),ROUND(AS144-(AS11+AS14+AS17+AS20+N(AS23)+AS26+AS29),0),AS144)</f>
        <v>0</v>
      </c>
      <c r="AT33" s="211">
        <f>IF(ISNUMBER(AT11),ROUND(AT144-(AT11+AT14+AT17+AT20+N(AT23)+AT26+AT29),0),AT144)</f>
        <v>0</v>
      </c>
      <c r="AU33" s="211">
        <f>IF(ISNUMBER(AU11),ROUND(AU144-(AU11+AU14+AU17+AU20+N(AU23)+AU26+AU29),0),AU144)</f>
        <v>0</v>
      </c>
      <c r="AV33" s="211">
        <f>IF(ISNUMBER(AV11),ROUND(AV144-(AV11+AV14+AV17+AV20+N(AV23)+AV26+AV29),0),AV144)</f>
        <v>0</v>
      </c>
      <c r="AW33" s="211">
        <f>IF(ISNUMBER(AW11),ROUND(AW144-(AW11+AW14+AW17+AW20+N(AW23)+AW26+AW29),0),AW144)</f>
        <v>0</v>
      </c>
      <c r="AX33" s="211">
        <f>IF(ISNUMBER(AX11),ROUND(AX144-(AX11+AX14+AX17+AX20+N(AX23)+AX26+AX29),0),AX144)</f>
        <v>0</v>
      </c>
      <c r="AY33" s="211">
        <f>IF(ISNUMBER(AY11),ROUND(AY144-(AY11+AY14+AY17+AY20+N(AY23)+AY26+AY29),0),AY144)</f>
        <v>0</v>
      </c>
      <c r="AZ33" s="211">
        <f>IF(ISNUMBER(AZ11),ROUND(AZ144-(AZ11+AZ14+AZ17+AZ20+N(AZ23)+AZ26+AZ29),0),AZ144)</f>
        <v>0</v>
      </c>
      <c r="BA33" s="211">
        <f>IF(ISNUMBER(BA11),ROUND(BA144-(BA11+BA14+BA17+BA20+N(BA23)+BA26+BA29),0),BA144)</f>
        <v>0</v>
      </c>
      <c r="BB33" s="211">
        <f>IF(ISNUMBER(BB11),ROUND(BB144-(BB11+BB14+BB17+BB20+N(BB23)+BB26+BB29),0),BB144)</f>
        <v>0</v>
      </c>
      <c r="BC33" s="211">
        <f>IF(ISNUMBER(BC11),ROUND(BC144-(BC11+BC14+BC17+BC20+N(BC23)+BC26+BC29),0),BC144)</f>
        <v>0</v>
      </c>
      <c r="BD33" s="211">
        <f>IF(ISNUMBER(BD11),ROUND(BD144-(BD11+BD14+BD17+BD20+N(BD23)+BD26+BD29),0),BD144)</f>
        <v>0</v>
      </c>
      <c r="BE33" s="211">
        <f>IF(ISNUMBER(BE11),ROUND(BE144-(BE11+BE14+BE17+BE20+N(BE23)+BE26+BE29),0),BE144)</f>
        <v>0</v>
      </c>
      <c r="BF33" s="211">
        <f>IF(ISNUMBER(BF11),ROUND(BF144-(BF11+BF14+BF17+BF20+N(BF23)+BF26+BF29),0),BF144)</f>
        <v>0</v>
      </c>
      <c r="BG33" s="211">
        <f>IF(ISNUMBER(BG11),ROUND(BG144-(BG11+BG14+BG17+BG20+N(BG23)+BG26+BG29),0),BG144)</f>
        <v>0</v>
      </c>
      <c r="BH33" s="211">
        <f>IF(ISNUMBER(BH11),ROUND(BH144-(BH11+BH14+BH17+BH20+N(BH23)+BH26+BH29),0),BH144)</f>
        <v>0</v>
      </c>
      <c r="BI33" s="211">
        <f>IF(ISNUMBER(BI11),ROUND(BI144-(BI11+BI14+BI17+BI20+N(BI23)+BI26+BI29),0),BI144)</f>
        <v>0</v>
      </c>
      <c r="BJ33" s="211">
        <f>IF(ISNUMBER(BJ11),ROUND(BJ144-(BJ11+BJ14+BJ17+BJ20+N(BJ23)+BJ26+BJ29),0),BJ144)</f>
        <v>0</v>
      </c>
      <c r="BK33" s="211">
        <f>IF(ISNUMBER(BK11),ROUND(BK144-(BK11+BK14+BK17+BK20+N(BK23)+BK26+BK29),0),BK144)</f>
        <v>0</v>
      </c>
      <c r="BL33" s="211">
        <f>IF(ISNUMBER(BL11),ROUND(BL144-(BL11+BL14+BL17+BL20+N(BL23)+BL26+BL29),0),BL144)</f>
        <v>0</v>
      </c>
      <c r="BM33" s="211">
        <f>IF(ISNUMBER(BM11),ROUND(BM144-(BM11+BM14+BM17+BM20+N(BM23)+BM26+BM29),0),BM144)</f>
        <v>0</v>
      </c>
      <c r="BN33" s="211">
        <f>IF(ISNUMBER(BN11),ROUND(BN144-(BN11+BN14+BN17+BN20+N(BN23)+BN26+BN29),0),BN144)</f>
        <v>0</v>
      </c>
      <c r="BO33" s="211">
        <f>IF(ISNUMBER(BO11),ROUND(BO144-(BO11+BO14+BO17+BO20+N(BO23)+BO26+BO29),0),BO144)</f>
        <v>0</v>
      </c>
      <c r="BP33" s="211">
        <f>IF(ISNUMBER(BP11),ROUND(BP144-(BP11+BP14+BP17+BP20+N(BP23)+BP26+BP29),0),BP144)</f>
        <v>0</v>
      </c>
      <c r="BQ33" s="211">
        <f>IF(ISNUMBER(BQ11),ROUND(BQ144-(BQ11+BQ14+BQ17+BQ20+N(BQ23)+BQ26+BQ29),0),BQ144)</f>
        <v>0</v>
      </c>
      <c r="BR33" s="211">
        <f>IF(ISNUMBER(BR11),ROUND(BR144-(BR11+BR14+BR17+BR20+N(BR23)+BR26+BR29),0),BR144)</f>
        <v>0</v>
      </c>
      <c r="BS33" s="211">
        <f>IF(ISNUMBER(BS11),ROUND(BS144-(BS11+BS14+BS17+BS20+N(BS23)+BS26+BS29),0),BS144)</f>
        <v>0</v>
      </c>
      <c r="BT33" s="211">
        <f>IF(ISNUMBER(BT11),ROUND(BT144-(BT11+BT14+BT17+BT20+N(BT23)+BT26+BT29),0),BT144)</f>
        <v>0</v>
      </c>
      <c r="BU33" s="211">
        <f>IF(ISNUMBER(BU11),ROUND(BU144-(BU11+BU14+BU17+BU20+N(BU23)+BU26+BU29),0),BU144)</f>
        <v>0</v>
      </c>
      <c r="BV33" s="211">
        <f>IF(ISNUMBER(BV11),ROUND(BV144-(BV11+BV14+BV17+BV20+N(BV23)+BV26+BV29),0),BV144)</f>
        <v>0</v>
      </c>
      <c r="BW33" s="211">
        <f>IF(ISNUMBER(BW11),ROUND(BW144-(BW11+BW14+BW17+BW20+N(BW23)+BW26+BW29),0),BW144)</f>
        <v>0</v>
      </c>
      <c r="BX33" s="211">
        <f>IF(ISNUMBER(BX11),ROUND(BX144-(BX11+BX14+BX17+BX20+N(BX23)+BX26+BX29),0),BX144)</f>
        <v>0</v>
      </c>
      <c r="BY33" s="254">
        <f>0</f>
        <v>0</v>
      </c>
      <c r="BZ33" s="254">
        <f>0</f>
        <v>0</v>
      </c>
      <c r="CA33" s="254">
        <f>SUM(BW33:BZ33)</f>
        <v>0</v>
      </c>
      <c r="CB33" s="254">
        <f>0</f>
        <v>0</v>
      </c>
      <c r="CC33" s="254">
        <f>0</f>
        <v>0</v>
      </c>
      <c r="CD33" s="254">
        <f>0</f>
        <v>0</v>
      </c>
      <c r="CE33" s="254">
        <f>0</f>
        <v>0</v>
      </c>
      <c r="CF33" s="19" t="n"/>
      <c r="CN33" s="25" t="inlineStr">
        <is>
          <t xml:space="preserve">  2028E</t>
        </is>
      </c>
      <c r="CO33" s="33">
        <f>CP33+$CO$31</f>
        <v>0.1</v>
      </c>
      <c r="CP33" s="258" t="n">
        <v>0.08</v>
      </c>
      <c r="CQ33" s="33">
        <f>CP33+$CQ$31</f>
        <v>0.05</v>
      </c>
    </row>
    <row r="34" ht="15" customHeight="1" s="251">
      <c r="B34" s="55" t="inlineStr">
        <is>
          <t>Net sales (Σ product groups)</t>
        </is>
      </c>
      <c r="C34" s="262">
        <f>N(C11)+N(C14)+N(C17)+N(C20)+N(C23)+N(C26)+N(C29)+C33</f>
        <v>10711</v>
      </c>
      <c r="D34" s="262">
        <f>N(D11)+N(D14)+N(D17)+N(D20)+N(D23)+N(D26)+N(D29)+D33</f>
        <v>14835</v>
      </c>
      <c r="E34" s="262">
        <f>N(E11)+N(E14)+N(E17)+N(E20)+N(E23)+N(E26)+N(E29)+E33</f>
        <v>19166</v>
      </c>
      <c r="F34" s="262">
        <f>N(F11)+N(F14)+N(F17)+N(F20)+N(F23)+N(F26)+N(F29)+F33</f>
        <v>24509</v>
      </c>
      <c r="G34" s="262">
        <f>N(G11)+N(G14)+N(G17)+N(G20)+N(G23)+N(G26)+N(G29)+G33</f>
        <v>34204</v>
      </c>
      <c r="H34" s="262">
        <f>N(H11)+N(H14)+N(H17)+N(H20)+N(H23)+N(H26)+N(H29)+H33</f>
        <v>48077</v>
      </c>
      <c r="I34" s="262">
        <f>N(I11)+N(I14)+N(I17)+N(I20)+N(I23)+N(I26)+N(I29)+I33</f>
        <v>61093</v>
      </c>
      <c r="J34" s="262">
        <f>N(J11)+N(J14)+N(J17)+N(J20)+N(J23)+N(J26)+N(J29)+J33</f>
        <v>16070</v>
      </c>
      <c r="K34" s="262">
        <f>N(K11)+N(K14)+N(K17)+N(K20)+N(K23)+N(K26)+N(K29)+K33</f>
        <v>15704</v>
      </c>
      <c r="L34" s="262">
        <f>N(L11)+N(L14)+N(L17)+N(L20)+N(L23)+N(L26)+N(L29)+L33</f>
        <v>17092</v>
      </c>
      <c r="M34" s="262">
        <f>N(M11)+N(M14)+N(M17)+N(M20)+N(M23)+N(M26)+N(M29)+M33</f>
        <v>25587</v>
      </c>
      <c r="N34" s="262">
        <f>N(N11)+N(N14)+N(N17)+N(N20)+N(N23)+N(N26)+N(N29)+N33</f>
        <v>74452</v>
      </c>
      <c r="O34" s="262">
        <f>N(O11)+N(O14)+N(O17)+N(O20)+N(O23)+N(O26)+N(O29)+O33</f>
        <v>19741</v>
      </c>
      <c r="P34" s="262">
        <f>N(P11)+N(P14)+N(P17)+N(P20)+N(P23)+N(P26)+N(P29)+P33</f>
        <v>19340</v>
      </c>
      <c r="Q34" s="262">
        <f>N(Q11)+N(Q14)+N(Q17)+N(Q20)+N(Q23)+N(Q26)+N(Q29)+Q33</f>
        <v>20579</v>
      </c>
      <c r="R34" s="262">
        <f>N(R11)+N(R14)+N(R17)+N(R20)+N(R23)+N(R26)+N(R29)+R33</f>
        <v>29328</v>
      </c>
      <c r="S34" s="262">
        <f>N(S11)+N(S14)+N(S17)+N(S20)+N(S23)+N(S26)+N(S29)+S33</f>
        <v>88988</v>
      </c>
      <c r="T34" s="262">
        <f>N(T11)+N(T14)+N(T17)+N(T20)+N(T23)+N(T26)+N(T29)+T33</f>
        <v>22717</v>
      </c>
      <c r="U34" s="262">
        <f>N(U11)+N(U14)+N(U17)+N(U20)+N(U23)+N(U26)+N(U29)+U33</f>
        <v>23185</v>
      </c>
      <c r="V34" s="262">
        <f>N(V11)+N(V14)+N(V17)+N(V20)+N(V23)+N(V26)+N(V29)+V33</f>
        <v>25358</v>
      </c>
      <c r="W34" s="262">
        <f>N(W11)+N(W14)+N(W17)+N(W20)+N(W23)+N(W26)+N(W29)+W33</f>
        <v>35747</v>
      </c>
      <c r="X34" s="262">
        <f>N(X11)+N(X14)+N(X17)+N(X20)+N(X23)+N(X26)+N(X29)+X33</f>
        <v>107006</v>
      </c>
      <c r="Y34" s="262">
        <f>N(Y11)+N(Y14)+N(Y17)+N(Y20)+N(Y23)+N(Y26)+N(Y29)+Y33</f>
        <v>29128</v>
      </c>
      <c r="Z34" s="262">
        <f>N(Z11)+N(Z14)+N(Z17)+N(Z20)+N(Z23)+N(Z26)+N(Z29)+Z33</f>
        <v>30404</v>
      </c>
      <c r="AA34" s="262">
        <f>N(AA11)+N(AA14)+N(AA17)+N(AA20)+N(AA23)+N(AA26)+N(AA29)+AA33</f>
        <v>32714</v>
      </c>
      <c r="AB34" s="262">
        <f>N(AB11)+N(AB14)+N(AB17)+N(AB20)+N(AB23)+N(AB26)+N(AB29)+AB33</f>
        <v>43741</v>
      </c>
      <c r="AC34" s="262">
        <f>N(AC11)+N(AC14)+N(AC17)+N(AC20)+N(AC23)+N(AC26)+N(AC29)+AC33</f>
        <v>135987</v>
      </c>
      <c r="AD34" s="262">
        <f>N(AD11)+N(AD14)+N(AD17)+N(AD20)+N(AD23)+N(AD26)+N(AD29)+AD33</f>
        <v>35714</v>
      </c>
      <c r="AE34" s="262">
        <f>N(AE11)+N(AE14)+N(AE17)+N(AE20)+N(AE23)+N(AE26)+N(AE29)+AE33</f>
        <v>37955</v>
      </c>
      <c r="AF34" s="262">
        <f>N(AF11)+N(AF14)+N(AF17)+N(AF20)+N(AF23)+N(AF26)+N(AF29)+AF33</f>
        <v>43744</v>
      </c>
      <c r="AG34" s="262">
        <f>N(AG11)+N(AG14)+N(AG17)+N(AG20)+N(AG23)+N(AG26)+N(AG29)+AG33</f>
        <v>60453</v>
      </c>
      <c r="AH34" s="262">
        <f>N(AH11)+N(AH14)+N(AH17)+N(AH20)+N(AH23)+N(AH26)+N(AH29)+AH33</f>
        <v>177866</v>
      </c>
      <c r="AI34" s="262">
        <f>N(AI11)+N(AI14)+N(AI17)+N(AI20)+N(AI23)+N(AI26)+N(AI29)+AI33</f>
        <v>51042</v>
      </c>
      <c r="AJ34" s="262">
        <f>N(AJ11)+N(AJ14)+N(AJ17)+N(AJ20)+N(AJ23)+N(AJ26)+N(AJ29)+AJ33</f>
        <v>52886</v>
      </c>
      <c r="AK34" s="262">
        <f>N(AK11)+N(AK14)+N(AK17)+N(AK20)+N(AK23)+N(AK26)+N(AK29)+AK33</f>
        <v>56576</v>
      </c>
      <c r="AL34" s="262">
        <f>N(AL11)+N(AL14)+N(AL17)+N(AL20)+N(AL23)+N(AL26)+N(AL29)+AL33</f>
        <v>72383</v>
      </c>
      <c r="AM34" s="262">
        <f>N(AM11)+N(AM14)+N(AM17)+N(AM20)+N(AM23)+N(AM26)+N(AM29)+AM33</f>
        <v>232887</v>
      </c>
      <c r="AN34" s="262">
        <f>N(AN11)+N(AN14)+N(AN17)+N(AN20)+N(AN23)+N(AN26)+N(AN29)+AN33</f>
        <v>59700</v>
      </c>
      <c r="AO34" s="262">
        <f>N(AO11)+N(AO14)+N(AO17)+N(AO20)+N(AO23)+N(AO26)+N(AO29)+AO33</f>
        <v>63404</v>
      </c>
      <c r="AP34" s="262">
        <f>N(AP11)+N(AP14)+N(AP17)+N(AP20)+N(AP23)+N(AP26)+N(AP29)+AP33</f>
        <v>69981</v>
      </c>
      <c r="AQ34" s="262">
        <f>N(AQ11)+N(AQ14)+N(AQ17)+N(AQ20)+N(AQ23)+N(AQ26)+N(AQ29)+AQ33</f>
        <v>87437</v>
      </c>
      <c r="AR34" s="262">
        <f>N(AR11)+N(AR14)+N(AR17)+N(AR20)+N(AR23)+N(AR26)+N(AR29)+AR33</f>
        <v>280522</v>
      </c>
      <c r="AS34" s="262">
        <f>N(AS11)+N(AS14)+N(AS17)+N(AS20)+N(AS23)+N(AS26)+N(AS29)+AS33</f>
        <v>75452</v>
      </c>
      <c r="AT34" s="262">
        <f>N(AT11)+N(AT14)+N(AT17)+N(AT20)+N(AT23)+N(AT26)+N(AT29)+AT33</f>
        <v>88912</v>
      </c>
      <c r="AU34" s="262">
        <f>N(AU11)+N(AU14)+N(AU17)+N(AU20)+N(AU23)+N(AU26)+N(AU29)+AU33</f>
        <v>96145</v>
      </c>
      <c r="AV34" s="262">
        <f>N(AV11)+N(AV14)+N(AV17)+N(AV20)+N(AV23)+N(AV26)+N(AV29)+AV33</f>
        <v>125555</v>
      </c>
      <c r="AW34" s="262">
        <f>N(AW11)+N(AW14)+N(AW17)+N(AW20)+N(AW23)+N(AW26)+N(AW29)+AW33</f>
        <v>386064</v>
      </c>
      <c r="AX34" s="262">
        <f>N(AX11)+N(AX14)+N(AX17)+N(AX20)+N(AX23)+N(AX26)+N(AX29)+AX33</f>
        <v>108518</v>
      </c>
      <c r="AY34" s="262">
        <f>N(AY11)+N(AY14)+N(AY17)+N(AY20)+N(AY23)+N(AY26)+N(AY29)+AY33</f>
        <v>113080</v>
      </c>
      <c r="AZ34" s="262">
        <f>N(AZ11)+N(AZ14)+N(AZ17)+N(AZ20)+N(AZ23)+N(AZ26)+N(AZ29)+AZ33</f>
        <v>110812</v>
      </c>
      <c r="BA34" s="262">
        <f>N(BA11)+N(BA14)+N(BA17)+N(BA20)+N(BA23)+N(BA26)+N(BA29)+BA33</f>
        <v>137412</v>
      </c>
      <c r="BB34" s="262">
        <f>N(BB11)+N(BB14)+N(BB17)+N(BB20)+N(BB23)+N(BB26)+N(BB29)+BB33</f>
        <v>469822</v>
      </c>
      <c r="BC34" s="262">
        <f>N(BC11)+N(BC14)+N(BC17)+N(BC20)+N(BC23)+N(BC26)+N(BC29)+BC33</f>
        <v>116444</v>
      </c>
      <c r="BD34" s="262">
        <f>N(BD11)+N(BD14)+N(BD17)+N(BD20)+N(BD23)+N(BD26)+N(BD29)+BD33</f>
        <v>121234</v>
      </c>
      <c r="BE34" s="262">
        <f>N(BE11)+N(BE14)+N(BE17)+N(BE20)+N(BE23)+N(BE26)+N(BE29)+BE33</f>
        <v>127101</v>
      </c>
      <c r="BF34" s="262">
        <f>N(BF11)+N(BF14)+N(BF17)+N(BF20)+N(BF23)+N(BF26)+N(BF29)+BF33</f>
        <v>149204</v>
      </c>
      <c r="BG34" s="262">
        <f>N(BG11)+N(BG14)+N(BG17)+N(BG20)+N(BG23)+N(BG26)+N(BG29)+BG33</f>
        <v>513983</v>
      </c>
      <c r="BH34" s="262">
        <f>N(BH11)+N(BH14)+N(BH17)+N(BH20)+N(BH23)+N(BH26)+N(BH29)+BH33</f>
        <v>127358</v>
      </c>
      <c r="BI34" s="262">
        <f>N(BI11)+N(BI14)+N(BI17)+N(BI20)+N(BI23)+N(BI26)+N(BI29)+BI33</f>
        <v>134383</v>
      </c>
      <c r="BJ34" s="262">
        <f>N(BJ11)+N(BJ14)+N(BJ17)+N(BJ20)+N(BJ23)+N(BJ26)+N(BJ29)+BJ33</f>
        <v>143083</v>
      </c>
      <c r="BK34" s="262">
        <f>N(BK11)+N(BK14)+N(BK17)+N(BK20)+N(BK23)+N(BK26)+N(BK29)+BK33</f>
        <v>169961</v>
      </c>
      <c r="BL34" s="262">
        <f>N(BL11)+N(BL14)+N(BL17)+N(BL20)+N(BL23)+N(BL26)+N(BL29)+BL33</f>
        <v>574785</v>
      </c>
      <c r="BM34" s="262">
        <f>N(BM11)+N(BM14)+N(BM17)+N(BM20)+N(BM23)+N(BM26)+N(BM29)+BM33</f>
        <v>143313</v>
      </c>
      <c r="BN34" s="262">
        <f>N(BN11)+N(BN14)+N(BN17)+N(BN20)+N(BN23)+N(BN26)+N(BN29)+BN33</f>
        <v>147977</v>
      </c>
      <c r="BO34" s="262">
        <f>N(BO11)+N(BO14)+N(BO17)+N(BO20)+N(BO23)+N(BO26)+N(BO29)+BO33</f>
        <v>158877</v>
      </c>
      <c r="BP34" s="262">
        <f>N(BP11)+N(BP14)+N(BP17)+N(BP20)+N(BP23)+N(BP26)+N(BP29)+BP33</f>
        <v>187792</v>
      </c>
      <c r="BQ34" s="262">
        <f>N(BQ11)+N(BQ14)+N(BQ17)+N(BQ20)+N(BQ23)+N(BQ26)+N(BQ29)+BQ33</f>
        <v>637959</v>
      </c>
      <c r="BR34" s="262">
        <f>N(BR11)+N(BR14)+N(BR17)+N(BR20)+N(BR23)+N(BR26)+N(BR29)+BR33</f>
        <v>155667</v>
      </c>
      <c r="BS34" s="262">
        <f>N(BS11)+N(BS14)+N(BS17)+N(BS20)+N(BS23)+N(BS26)+N(BS29)+BS33</f>
        <v>167702</v>
      </c>
      <c r="BT34" s="262">
        <f>N(BT11)+N(BT14)+N(BT17)+N(BT20)+N(BT23)+N(BT26)+N(BT29)+BT33</f>
        <v>180169</v>
      </c>
      <c r="BU34" s="262">
        <f>N(BU11)+N(BU14)+N(BU17)+N(BU20)+N(BU23)+N(BU26)+N(BU29)+BU33</f>
        <v>213386</v>
      </c>
      <c r="BV34" s="262">
        <f>N(BV11)+N(BV14)+N(BV17)+N(BV20)+N(BV23)+N(BV26)+N(BV29)+BV33</f>
        <v>716924</v>
      </c>
      <c r="BW34" s="262">
        <f>N(BW11)+N(BW14)+N(BW17)+N(BW20)+N(BW23)+N(BW26)+N(BW29)+BW33</f>
        <v>181519</v>
      </c>
      <c r="BX34" s="262">
        <f>N(BX11)+N(BX14)+N(BX17)+N(BX20)+N(BX23)+N(BX26)+N(BX29)+BX33</f>
        <v>200606</v>
      </c>
      <c r="BY34" s="262">
        <f>BY11+BY14+BY17+BY20+BY23+BY26+BY29+N(BY96)</f>
        <v>199500</v>
      </c>
      <c r="BZ34" s="262">
        <f>BZ11+BZ14+BZ17+BZ20+BZ23+BZ26+BZ29+N(BZ96)</f>
        <v>243897.474008927</v>
      </c>
      <c r="CA34" s="262">
        <f>CA11+CA14+CA17+CA20+CA23+CA26+CA29+N(CA96)</f>
        <v>825522.474008927</v>
      </c>
      <c r="CB34" s="262">
        <f>CB11+CB14+CB17+CB20+CB23+CB26+CB29+N(CB96)</f>
        <v>943961.712210567</v>
      </c>
      <c r="CC34" s="262">
        <f>CC11+CC14+CC17+CC20+CC23+CC26+CC29+N(CC96)</f>
        <v>1069423.70239271</v>
      </c>
      <c r="CD34" s="262">
        <f>CD11+CD14+CD17+CD20+CD23+CD26+CD29+N(CD96)</f>
        <v>1198711.65171464</v>
      </c>
      <c r="CE34" s="262">
        <f>CE11+CE14+CE17+CE20+CE23+CE26+CE29+N(CE96)</f>
        <v>1330223.04732592</v>
      </c>
      <c r="CF34" s="153" t="inlineStr">
        <is>
          <t>Σ groups (+ future acquisitions from 2027E).</t>
        </is>
      </c>
      <c r="CN34" s="25" t="inlineStr">
        <is>
          <t xml:space="preserve">  2029E</t>
        </is>
      </c>
      <c r="CO34" s="33">
        <f>CP34+$CO$31</f>
        <v>0.095</v>
      </c>
      <c r="CP34" s="258" t="n">
        <v>0.075</v>
      </c>
      <c r="CQ34" s="33">
        <f>CP34+$CQ$31</f>
        <v>0.045</v>
      </c>
    </row>
    <row r="35" ht="15" customHeight="1" s="251">
      <c r="B35" s="57" t="inlineStr">
        <is>
          <t xml:space="preserve">  Check: product groups vs consolidated net sales (should be 0; ±2 rounding)</t>
        </is>
      </c>
      <c r="C35" s="211">
        <f>IF(ISNUMBER(C11),IF(ABS(C34-C144)&lt;=2.01,0,ROUND(C34-C144,0)),"")</f>
      </c>
      <c r="D35" s="211">
        <f>IF(ISNUMBER(D11),IF(ABS(D34-D144)&lt;=2.01,0,ROUND(D34-D144,0)),"")</f>
      </c>
      <c r="E35" s="211">
        <f>IF(ISNUMBER(E11),IF(ABS(E34-E144)&lt;=2.01,0,ROUND(E34-E144,0)),"")</f>
      </c>
      <c r="F35" s="211">
        <f>IF(ISNUMBER(F11),IF(ABS(F34-F144)&lt;=2.01,0,ROUND(F34-F144,0)),"")</f>
      </c>
      <c r="G35" s="211">
        <f>IF(ISNUMBER(G11),IF(ABS(G34-G144)&lt;=2.01,0,ROUND(G34-G144,0)),"")</f>
      </c>
      <c r="H35" s="211">
        <f>IF(ISNUMBER(H11),IF(ABS(H34-H144)&lt;=2.01,0,ROUND(H34-H144,0)),"")</f>
      </c>
      <c r="I35" s="211">
        <f>IF(ISNUMBER(I11),IF(ABS(I34-I144)&lt;=2.01,0,ROUND(I34-I144,0)),"")</f>
      </c>
      <c r="J35" s="211">
        <f>IF(ISNUMBER(J11),IF(ABS(J34-J144)&lt;=2.01,0,ROUND(J34-J144,0)),"")</f>
      </c>
      <c r="K35" s="211">
        <f>IF(ISNUMBER(K11),IF(ABS(K34-K144)&lt;=2.01,0,ROUND(K34-K144,0)),"")</f>
      </c>
      <c r="L35" s="211">
        <f>IF(ISNUMBER(L11),IF(ABS(L34-L144)&lt;=2.01,0,ROUND(L34-L144,0)),"")</f>
      </c>
      <c r="M35" s="211">
        <f>IF(ISNUMBER(M11),IF(ABS(M34-M144)&lt;=2.01,0,ROUND(M34-M144,0)),"")</f>
      </c>
      <c r="N35" s="211">
        <f>IF(ISNUMBER(N11),IF(ABS(N34-N144)&lt;=2.01,0,ROUND(N34-N144,0)),"")</f>
      </c>
      <c r="O35" s="211">
        <f>IF(ISNUMBER(O11),IF(ABS(O34-O144)&lt;=2.01,0,ROUND(O34-O144,0)),"")</f>
      </c>
      <c r="P35" s="211">
        <f>IF(ISNUMBER(P11),IF(ABS(P34-P144)&lt;=2.01,0,ROUND(P34-P144,0)),"")</f>
      </c>
      <c r="Q35" s="211">
        <f>IF(ISNUMBER(Q11),IF(ABS(Q34-Q144)&lt;=2.01,0,ROUND(Q34-Q144,0)),"")</f>
      </c>
      <c r="R35" s="211">
        <f>IF(ISNUMBER(R11),IF(ABS(R34-R144)&lt;=2.01,0,ROUND(R34-R144,0)),"")</f>
      </c>
      <c r="S35" s="211">
        <f>IF(ISNUMBER(S11),IF(ABS(S34-S144)&lt;=2.01,0,ROUND(S34-S144,0)),"")</f>
      </c>
      <c r="T35" s="211">
        <f>IF(ISNUMBER(T11),IF(ABS(T34-T144)&lt;=2.01,0,ROUND(T34-T144,0)),"")</f>
      </c>
      <c r="U35" s="211">
        <f>IF(ISNUMBER(U11),IF(ABS(U34-U144)&lt;=2.01,0,ROUND(U34-U144,0)),"")</f>
      </c>
      <c r="V35" s="211">
        <f>IF(ISNUMBER(V11),IF(ABS(V34-V144)&lt;=2.01,0,ROUND(V34-V144,0)),"")</f>
      </c>
      <c r="W35" s="211">
        <f>IF(ISNUMBER(W11),IF(ABS(W34-W144)&lt;=2.01,0,ROUND(W34-W144,0)),"")</f>
      </c>
      <c r="X35" s="211">
        <f>IF(ISNUMBER(X11),IF(ABS(X34-X144)&lt;=2.01,0,ROUND(X34-X144,0)),"")</f>
      </c>
      <c r="Y35" s="211">
        <f>IF(ISNUMBER(Y11),IF(ABS(Y34-Y144)&lt;=2.01,0,ROUND(Y34-Y144,0)),"")</f>
      </c>
      <c r="Z35" s="211">
        <f>IF(ISNUMBER(Z11),IF(ABS(Z34-Z144)&lt;=2.01,0,ROUND(Z34-Z144,0)),"")</f>
        <v>0</v>
      </c>
      <c r="AA35" s="211">
        <f>IF(ISNUMBER(AA11),IF(ABS(AA34-AA144)&lt;=2.01,0,ROUND(AA34-AA144,0)),"")</f>
        <v>0</v>
      </c>
      <c r="AB35" s="211">
        <f>IF(ISNUMBER(AB11),IF(ABS(AB34-AB144)&lt;=2.01,0,ROUND(AB34-AB144,0)),"")</f>
        <v>0</v>
      </c>
      <c r="AC35" s="211">
        <f>IF(ISNUMBER(AC11),IF(ABS(AC34-AC144)&lt;=2.01,0,ROUND(AC34-AC144,0)),"")</f>
      </c>
      <c r="AD35" s="211">
        <f>IF(ISNUMBER(AD11),IF(ABS(AD34-AD144)&lt;=2.01,0,ROUND(AD34-AD144,0)),"")</f>
        <v>0</v>
      </c>
      <c r="AE35" s="211">
        <f>IF(ISNUMBER(AE11),IF(ABS(AE34-AE144)&lt;=2.01,0,ROUND(AE34-AE144,0)),"")</f>
        <v>0</v>
      </c>
      <c r="AF35" s="211">
        <f>IF(ISNUMBER(AF11),IF(ABS(AF34-AF144)&lt;=2.01,0,ROUND(AF34-AF144,0)),"")</f>
        <v>0</v>
      </c>
      <c r="AG35" s="211">
        <f>IF(ISNUMBER(AG11),IF(ABS(AG34-AG144)&lt;=2.01,0,ROUND(AG34-AG144,0)),"")</f>
        <v>0</v>
      </c>
      <c r="AH35" s="211">
        <f>IF(ISNUMBER(AH11),IF(ABS(AH34-AH144)&lt;=2.01,0,ROUND(AH34-AH144,0)),"")</f>
        <v>0</v>
      </c>
      <c r="AI35" s="211">
        <f>IF(ISNUMBER(AI11),IF(ABS(AI34-AI144)&lt;=2.01,0,ROUND(AI34-AI144,0)),"")</f>
        <v>0</v>
      </c>
      <c r="AJ35" s="211">
        <f>IF(ISNUMBER(AJ11),IF(ABS(AJ34-AJ144)&lt;=2.01,0,ROUND(AJ34-AJ144,0)),"")</f>
        <v>0</v>
      </c>
      <c r="AK35" s="211">
        <f>IF(ISNUMBER(AK11),IF(ABS(AK34-AK144)&lt;=2.01,0,ROUND(AK34-AK144,0)),"")</f>
        <v>0</v>
      </c>
      <c r="AL35" s="211">
        <f>IF(ISNUMBER(AL11),IF(ABS(AL34-AL144)&lt;=2.01,0,ROUND(AL34-AL144,0)),"")</f>
        <v>0</v>
      </c>
      <c r="AM35" s="211">
        <f>IF(ISNUMBER(AM11),IF(ABS(AM34-AM144)&lt;=2.01,0,ROUND(AM34-AM144,0)),"")</f>
        <v>0</v>
      </c>
      <c r="AN35" s="211">
        <f>IF(ISNUMBER(AN11),IF(ABS(AN34-AN144)&lt;=2.01,0,ROUND(AN34-AN144,0)),"")</f>
        <v>0</v>
      </c>
      <c r="AO35" s="211">
        <f>IF(ISNUMBER(AO11),IF(ABS(AO34-AO144)&lt;=2.01,0,ROUND(AO34-AO144,0)),"")</f>
        <v>0</v>
      </c>
      <c r="AP35" s="211">
        <f>IF(ISNUMBER(AP11),IF(ABS(AP34-AP144)&lt;=2.01,0,ROUND(AP34-AP144,0)),"")</f>
        <v>0</v>
      </c>
      <c r="AQ35" s="211">
        <f>IF(ISNUMBER(AQ11),IF(ABS(AQ34-AQ144)&lt;=2.01,0,ROUND(AQ34-AQ144,0)),"")</f>
        <v>0</v>
      </c>
      <c r="AR35" s="211">
        <f>IF(ISNUMBER(AR11),IF(ABS(AR34-AR144)&lt;=2.01,0,ROUND(AR34-AR144,0)),"")</f>
        <v>0</v>
      </c>
      <c r="AS35" s="211">
        <f>IF(ISNUMBER(AS11),IF(ABS(AS34-AS144)&lt;=2.01,0,ROUND(AS34-AS144,0)),"")</f>
        <v>0</v>
      </c>
      <c r="AT35" s="211">
        <f>IF(ISNUMBER(AT11),IF(ABS(AT34-AT144)&lt;=2.01,0,ROUND(AT34-AT144,0)),"")</f>
        <v>0</v>
      </c>
      <c r="AU35" s="211">
        <f>IF(ISNUMBER(AU11),IF(ABS(AU34-AU144)&lt;=2.01,0,ROUND(AU34-AU144,0)),"")</f>
        <v>0</v>
      </c>
      <c r="AV35" s="211">
        <f>IF(ISNUMBER(AV11),IF(ABS(AV34-AV144)&lt;=2.01,0,ROUND(AV34-AV144,0)),"")</f>
        <v>0</v>
      </c>
      <c r="AW35" s="211">
        <f>IF(ISNUMBER(AW11),IF(ABS(AW34-AW144)&lt;=2.01,0,ROUND(AW34-AW144,0)),"")</f>
        <v>0</v>
      </c>
      <c r="AX35" s="211">
        <f>IF(ISNUMBER(AX11),IF(ABS(AX34-AX144)&lt;=2.01,0,ROUND(AX34-AX144,0)),"")</f>
        <v>0</v>
      </c>
      <c r="AY35" s="211">
        <f>IF(ISNUMBER(AY11),IF(ABS(AY34-AY144)&lt;=2.01,0,ROUND(AY34-AY144,0)),"")</f>
        <v>0</v>
      </c>
      <c r="AZ35" s="211">
        <f>IF(ISNUMBER(AZ11),IF(ABS(AZ34-AZ144)&lt;=2.01,0,ROUND(AZ34-AZ144,0)),"")</f>
        <v>0</v>
      </c>
      <c r="BA35" s="211">
        <f>IF(ISNUMBER(BA11),IF(ABS(BA34-BA144)&lt;=2.01,0,ROUND(BA34-BA144,0)),"")</f>
        <v>0</v>
      </c>
      <c r="BB35" s="211">
        <f>IF(ISNUMBER(BB11),IF(ABS(BB34-BB144)&lt;=2.01,0,ROUND(BB34-BB144,0)),"")</f>
        <v>0</v>
      </c>
      <c r="BC35" s="211">
        <f>IF(ISNUMBER(BC11),IF(ABS(BC34-BC144)&lt;=2.01,0,ROUND(BC34-BC144,0)),"")</f>
        <v>0</v>
      </c>
      <c r="BD35" s="211">
        <f>IF(ISNUMBER(BD11),IF(ABS(BD34-BD144)&lt;=2.01,0,ROUND(BD34-BD144,0)),"")</f>
        <v>0</v>
      </c>
      <c r="BE35" s="211">
        <f>IF(ISNUMBER(BE11),IF(ABS(BE34-BE144)&lt;=2.01,0,ROUND(BE34-BE144,0)),"")</f>
        <v>0</v>
      </c>
      <c r="BF35" s="211">
        <f>IF(ISNUMBER(BF11),IF(ABS(BF34-BF144)&lt;=2.01,0,ROUND(BF34-BF144,0)),"")</f>
        <v>0</v>
      </c>
      <c r="BG35" s="211">
        <f>IF(ISNUMBER(BG11),IF(ABS(BG34-BG144)&lt;=2.01,0,ROUND(BG34-BG144,0)),"")</f>
        <v>0</v>
      </c>
      <c r="BH35" s="211">
        <f>IF(ISNUMBER(BH11),IF(ABS(BH34-BH144)&lt;=2.01,0,ROUND(BH34-BH144,0)),"")</f>
        <v>0</v>
      </c>
      <c r="BI35" s="211">
        <f>IF(ISNUMBER(BI11),IF(ABS(BI34-BI144)&lt;=2.01,0,ROUND(BI34-BI144,0)),"")</f>
        <v>0</v>
      </c>
      <c r="BJ35" s="211">
        <f>IF(ISNUMBER(BJ11),IF(ABS(BJ34-BJ144)&lt;=2.01,0,ROUND(BJ34-BJ144,0)),"")</f>
        <v>0</v>
      </c>
      <c r="BK35" s="211">
        <f>IF(ISNUMBER(BK11),IF(ABS(BK34-BK144)&lt;=2.01,0,ROUND(BK34-BK144,0)),"")</f>
        <v>0</v>
      </c>
      <c r="BL35" s="211">
        <f>IF(ISNUMBER(BL11),IF(ABS(BL34-BL144)&lt;=2.01,0,ROUND(BL34-BL144,0)),"")</f>
        <v>0</v>
      </c>
      <c r="BM35" s="211">
        <f>IF(ISNUMBER(BM11),IF(ABS(BM34-BM144)&lt;=2.01,0,ROUND(BM34-BM144,0)),"")</f>
        <v>0</v>
      </c>
      <c r="BN35" s="211">
        <f>IF(ISNUMBER(BN11),IF(ABS(BN34-BN144)&lt;=2.01,0,ROUND(BN34-BN144,0)),"")</f>
        <v>0</v>
      </c>
      <c r="BO35" s="211">
        <f>IF(ISNUMBER(BO11),IF(ABS(BO34-BO144)&lt;=2.01,0,ROUND(BO34-BO144,0)),"")</f>
        <v>0</v>
      </c>
      <c r="BP35" s="211">
        <f>IF(ISNUMBER(BP11),IF(ABS(BP34-BP144)&lt;=2.01,0,ROUND(BP34-BP144,0)),"")</f>
        <v>0</v>
      </c>
      <c r="BQ35" s="211">
        <f>IF(ISNUMBER(BQ11),IF(ABS(BQ34-BQ144)&lt;=2.01,0,ROUND(BQ34-BQ144,0)),"")</f>
        <v>0</v>
      </c>
      <c r="BR35" s="211">
        <f>IF(ISNUMBER(BR11),IF(ABS(BR34-BR144)&lt;=2.01,0,ROUND(BR34-BR144,0)),"")</f>
        <v>0</v>
      </c>
      <c r="BS35" s="211">
        <f>IF(ISNUMBER(BS11),IF(ABS(BS34-BS144)&lt;=2.01,0,ROUND(BS34-BS144,0)),"")</f>
        <v>0</v>
      </c>
      <c r="BT35" s="211">
        <f>IF(ISNUMBER(BT11),IF(ABS(BT34-BT144)&lt;=2.01,0,ROUND(BT34-BT144,0)),"")</f>
        <v>0</v>
      </c>
      <c r="BU35" s="211">
        <f>IF(ISNUMBER(BU11),IF(ABS(BU34-BU144)&lt;=2.01,0,ROUND(BU34-BU144,0)),"")</f>
        <v>0</v>
      </c>
      <c r="BV35" s="211">
        <f>IF(ISNUMBER(BV11),IF(ABS(BV34-BV144)&lt;=2.01,0,ROUND(BV34-BV144,0)),"")</f>
        <v>0</v>
      </c>
      <c r="BW35" s="211">
        <f>IF(ISNUMBER(BW11),IF(ABS(BW34-BW144)&lt;=2.01,0,ROUND(BW34-BW144,0)),"")</f>
        <v>0</v>
      </c>
      <c r="BX35" s="211">
        <f>IF(ISNUMBER(BX11),IF(ABS(BX34-BX144)&lt;=2.01,0,ROUND(BX34-BX144,0)),"")</f>
        <v>0</v>
      </c>
      <c r="BY35" s="153" t="n"/>
      <c r="BZ35" s="153" t="n"/>
      <c r="CA35" s="153" t="n"/>
      <c r="CB35" s="153" t="n"/>
      <c r="CC35" s="153" t="n"/>
      <c r="CD35" s="153" t="n"/>
      <c r="CE35" s="153" t="n"/>
      <c r="CF35" s="153" t="n"/>
      <c r="CN35" s="25" t="inlineStr">
        <is>
          <t xml:space="preserve">  2030E</t>
        </is>
      </c>
      <c r="CO35" s="33">
        <f>CP35+$CO$31</f>
        <v>0.09</v>
      </c>
      <c r="CP35" s="258" t="n">
        <v>0.07000000000000001</v>
      </c>
      <c r="CQ35" s="33">
        <f>CP35+$CQ$31</f>
        <v>0.04</v>
      </c>
    </row>
    <row r="36" ht="15" customHeight="1" s="251">
      <c r="B36" s="25" t="inlineStr">
        <is>
          <t xml:space="preserve">  Advertising services % of net sales</t>
        </is>
      </c>
      <c r="C36" s="215">
        <f>IF(AND(ISNUMBER(C23),ISNUMBER(C144)),IFERROR(C23/C144,""),"")</f>
      </c>
      <c r="D36" s="215">
        <f>IF(AND(ISNUMBER(D23),ISNUMBER(D144)),IFERROR(D23/D144,""),"")</f>
      </c>
      <c r="E36" s="215">
        <f>IF(AND(ISNUMBER(E23),ISNUMBER(E144)),IFERROR(E23/E144,""),"")</f>
      </c>
      <c r="F36" s="215">
        <f>IF(AND(ISNUMBER(F23),ISNUMBER(F144)),IFERROR(F23/F144,""),"")</f>
      </c>
      <c r="G36" s="215">
        <f>IF(AND(ISNUMBER(G23),ISNUMBER(G144)),IFERROR(G23/G144,""),"")</f>
      </c>
      <c r="H36" s="215">
        <f>IF(AND(ISNUMBER(H23),ISNUMBER(H144)),IFERROR(H23/H144,""),"")</f>
      </c>
      <c r="I36" s="215">
        <f>IF(AND(ISNUMBER(I23),ISNUMBER(I144)),IFERROR(I23/I144,""),"")</f>
      </c>
      <c r="J36" s="215">
        <f>IF(AND(ISNUMBER(J23),ISNUMBER(J144)),IFERROR(J23/J144,""),"")</f>
      </c>
      <c r="K36" s="215">
        <f>IF(AND(ISNUMBER(K23),ISNUMBER(K144)),IFERROR(K23/K144,""),"")</f>
      </c>
      <c r="L36" s="215">
        <f>IF(AND(ISNUMBER(L23),ISNUMBER(L144)),IFERROR(L23/L144,""),"")</f>
      </c>
      <c r="M36" s="215">
        <f>IF(AND(ISNUMBER(M23),ISNUMBER(M144)),IFERROR(M23/M144,""),"")</f>
      </c>
      <c r="N36" s="215">
        <f>IF(AND(ISNUMBER(N23),ISNUMBER(N144)),IFERROR(N23/N144,""),"")</f>
      </c>
      <c r="O36" s="215">
        <f>IF(AND(ISNUMBER(O23),ISNUMBER(O144)),IFERROR(O23/O144,""),"")</f>
      </c>
      <c r="P36" s="215">
        <f>IF(AND(ISNUMBER(P23),ISNUMBER(P144)),IFERROR(P23/P144,""),"")</f>
      </c>
      <c r="Q36" s="215">
        <f>IF(AND(ISNUMBER(Q23),ISNUMBER(Q144)),IFERROR(Q23/Q144,""),"")</f>
      </c>
      <c r="R36" s="215">
        <f>IF(AND(ISNUMBER(R23),ISNUMBER(R144)),IFERROR(R23/R144,""),"")</f>
      </c>
      <c r="S36" s="215">
        <f>IF(AND(ISNUMBER(S23),ISNUMBER(S144)),IFERROR(S23/S144,""),"")</f>
      </c>
      <c r="T36" s="215">
        <f>IF(AND(ISNUMBER(T23),ISNUMBER(T144)),IFERROR(T23/T144,""),"")</f>
      </c>
      <c r="U36" s="215">
        <f>IF(AND(ISNUMBER(U23),ISNUMBER(U144)),IFERROR(U23/U144,""),"")</f>
      </c>
      <c r="V36" s="215">
        <f>IF(AND(ISNUMBER(V23),ISNUMBER(V144)),IFERROR(V23/V144,""),"")</f>
      </c>
      <c r="W36" s="215">
        <f>IF(AND(ISNUMBER(W23),ISNUMBER(W144)),IFERROR(W23/W144,""),"")</f>
      </c>
      <c r="X36" s="215">
        <f>IF(AND(ISNUMBER(X23),ISNUMBER(X144)),IFERROR(X23/X144,""),"")</f>
      </c>
      <c r="Y36" s="215">
        <f>IF(AND(ISNUMBER(Y23),ISNUMBER(Y144)),IFERROR(Y23/Y144,""),"")</f>
      </c>
      <c r="Z36" s="215">
        <f>IF(AND(ISNUMBER(Z23),ISNUMBER(Z144)),IFERROR(Z23/Z144,""),"")</f>
      </c>
      <c r="AA36" s="215">
        <f>IF(AND(ISNUMBER(AA23),ISNUMBER(AA144)),IFERROR(AA23/AA144,""),"")</f>
      </c>
      <c r="AB36" s="215">
        <f>IF(AND(ISNUMBER(AB23),ISNUMBER(AB144)),IFERROR(AB23/AB144,""),"")</f>
      </c>
      <c r="AC36" s="215">
        <f>IF(AND(ISNUMBER(AC23),ISNUMBER(AC144)),IFERROR(AC23/AC144,""),"")</f>
      </c>
      <c r="AD36" s="215">
        <f>IF(AND(ISNUMBER(AD23),ISNUMBER(AD144)),IFERROR(AD23/AD144,""),"")</f>
      </c>
      <c r="AE36" s="215">
        <f>IF(AND(ISNUMBER(AE23),ISNUMBER(AE144)),IFERROR(AE23/AE144,""),"")</f>
      </c>
      <c r="AF36" s="215">
        <f>IF(AND(ISNUMBER(AF23),ISNUMBER(AF144)),IFERROR(AF23/AF144,""),"")</f>
      </c>
      <c r="AG36" s="215">
        <f>IF(AND(ISNUMBER(AG23),ISNUMBER(AG144)),IFERROR(AG23/AG144,""),"")</f>
      </c>
      <c r="AH36" s="215">
        <f>IF(AND(ISNUMBER(AH23),ISNUMBER(AH144)),IFERROR(AH23/AH144,""),"")</f>
      </c>
      <c r="AI36" s="215">
        <f>IF(AND(ISNUMBER(AI23),ISNUMBER(AI144)),IFERROR(AI23/AI144,""),"")</f>
      </c>
      <c r="AJ36" s="215">
        <f>IF(AND(ISNUMBER(AJ23),ISNUMBER(AJ144)),IFERROR(AJ23/AJ144,""),"")</f>
      </c>
      <c r="AK36" s="215">
        <f>IF(AND(ISNUMBER(AK23),ISNUMBER(AK144)),IFERROR(AK23/AK144,""),"")</f>
      </c>
      <c r="AL36" s="215">
        <f>IF(AND(ISNUMBER(AL23),ISNUMBER(AL144)),IFERROR(AL23/AL144,""),"")</f>
      </c>
      <c r="AM36" s="215">
        <f>IF(AND(ISNUMBER(AM23),ISNUMBER(AM144)),IFERROR(AM23/AM144,""),"")</f>
      </c>
      <c r="AN36" s="215">
        <f>IF(AND(ISNUMBER(AN23),ISNUMBER(AN144)),IFERROR(AN23/AN144,""),"")</f>
      </c>
      <c r="AO36" s="215">
        <f>IF(AND(ISNUMBER(AO23),ISNUMBER(AO144)),IFERROR(AO23/AO144,""),"")</f>
      </c>
      <c r="AP36" s="215">
        <f>IF(AND(ISNUMBER(AP23),ISNUMBER(AP144)),IFERROR(AP23/AP144,""),"")</f>
      </c>
      <c r="AQ36" s="215">
        <f>IF(AND(ISNUMBER(AQ23),ISNUMBER(AQ144)),IFERROR(AQ23/AQ144,""),"")</f>
      </c>
      <c r="AR36" s="215">
        <f>IF(AND(ISNUMBER(AR23),ISNUMBER(AR144)),IFERROR(AR23/AR144,""),"")</f>
      </c>
      <c r="AS36" s="215">
        <f>IF(AND(ISNUMBER(AS23),ISNUMBER(AS144)),IFERROR(AS23/AS144,""),"")</f>
      </c>
      <c r="AT36" s="215">
        <f>IF(AND(ISNUMBER(AT23),ISNUMBER(AT144)),IFERROR(AT23/AT144,""),"")</f>
      </c>
      <c r="AU36" s="215">
        <f>IF(AND(ISNUMBER(AU23),ISNUMBER(AU144)),IFERROR(AU23/AU144,""),"")</f>
        <v>0.0518175672161839</v>
      </c>
      <c r="AV36" s="215">
        <f>IF(AND(ISNUMBER(AV23),ISNUMBER(AV144)),IFERROR(AV23/AV144,""),"")</f>
        <v>0.0585400820357612</v>
      </c>
      <c r="AW36" s="215">
        <f>IF(AND(ISNUMBER(AW23),ISNUMBER(AW144)),IFERROR(AW23/AW144,""),"")</f>
      </c>
      <c r="AX36" s="215">
        <f>IF(AND(ISNUMBER(AX23),ISNUMBER(AX144)),IFERROR(AX23/AX144,""),"")</f>
        <v>0.0588013048526512</v>
      </c>
      <c r="AY36" s="215">
        <f>IF(AND(ISNUMBER(AY23),ISNUMBER(AY144)),IFERROR(AY23/AY144,""),"")</f>
        <v>0.0658914043155288</v>
      </c>
      <c r="AZ36" s="215">
        <f>IF(AND(ISNUMBER(AZ23),ISNUMBER(AZ144)),IFERROR(AZ23/AZ144,""),"")</f>
        <v>0.0686929213442588</v>
      </c>
      <c r="BA36" s="215">
        <f>IF(AND(ISNUMBER(BA23),ISNUMBER(BA144)),IFERROR(BA23/BA144,""),"")</f>
        <v>0.0707070707070707</v>
      </c>
      <c r="BB36" s="215">
        <f>IF(AND(ISNUMBER(BB23),ISNUMBER(BB144)),IFERROR(BB23/BB144,""),"")</f>
        <v>0.0663229904091337</v>
      </c>
      <c r="BC36" s="215">
        <f>IF(AND(ISNUMBER(BC23),ISNUMBER(BC144)),IFERROR(BC23/BC144,""),"")</f>
        <v>0.0676462505582082</v>
      </c>
      <c r="BD36" s="215">
        <f>IF(AND(ISNUMBER(BD23),ISNUMBER(BD144)),IFERROR(BD23/BD144,""),"")</f>
        <v>0.0722322120857185</v>
      </c>
      <c r="BE36" s="215">
        <f>IF(AND(ISNUMBER(BE23),ISNUMBER(BE144)),IFERROR(BE23/BE144,""),"")</f>
        <v>0.0751213601781261</v>
      </c>
      <c r="BF36" s="215">
        <f>IF(AND(ISNUMBER(BF23),ISNUMBER(BF144)),IFERROR(BF23/BF144,""),"")</f>
        <v>0.0774577089086083</v>
      </c>
      <c r="BG36" s="215">
        <f>IF(AND(ISNUMBER(BG23),ISNUMBER(BG144)),IFERROR(BG23/BG144,""),"")</f>
        <v>0.0734246074286504</v>
      </c>
      <c r="BH36" s="215">
        <f>IF(AND(ISNUMBER(BH23),ISNUMBER(BH144)),IFERROR(BH23/BH144,""),"")</f>
        <v>0.0746635468521805</v>
      </c>
      <c r="BI36" s="215">
        <f>IF(AND(ISNUMBER(BI23),ISNUMBER(BI144)),IFERROR(BI23/BI144,""),"")</f>
        <v>0.0794966625242776</v>
      </c>
      <c r="BJ36" s="215">
        <f>IF(AND(ISNUMBER(BJ23),ISNUMBER(BJ144)),IFERROR(BJ23/BJ144,""),"")</f>
        <v>0.0842867426598548</v>
      </c>
      <c r="BK36" s="215">
        <f>IF(AND(ISNUMBER(BK23),ISNUMBER(BK144)),IFERROR(BK23/BK144,""),"")</f>
        <v>0.0862197798318438</v>
      </c>
      <c r="BL36" s="215">
        <f>IF(AND(ISNUMBER(BL23),ISNUMBER(BL144)),IFERROR(BL23/BL144,""),"")</f>
        <v>0.0816061657837278</v>
      </c>
      <c r="BM36" s="215">
        <f>IF(AND(ISNUMBER(BM23),ISNUMBER(BM144)),IFERROR(BM23/BM144,""),"")</f>
        <v>0.0825047274148193</v>
      </c>
      <c r="BN36" s="215">
        <f>IF(AND(ISNUMBER(BN23),ISNUMBER(BN144)),IFERROR(BN23/BN144,""),"")</f>
        <v>0.0863039526412888</v>
      </c>
      <c r="BO36" s="215">
        <f>IF(AND(ISNUMBER(BO23),ISNUMBER(BO144)),IFERROR(BO23/BO144,""),"")</f>
        <v>0.0902018542646198</v>
      </c>
      <c r="BP36" s="215">
        <f>IF(AND(ISNUMBER(BP23),ISNUMBER(BP144)),IFERROR(BP23/BP144,""),"")</f>
        <v>0.0920592996506773</v>
      </c>
      <c r="BQ36" s="215">
        <f>IF(AND(ISNUMBER(BQ23),ISNUMBER(BQ144)),IFERROR(BQ23/BQ144,""),"")</f>
        <v>0.0881153804554838</v>
      </c>
      <c r="BR36" s="215">
        <f>IF(AND(ISNUMBER(BR23),ISNUMBER(BR144)),IFERROR(BR23/BR144,""),"")</f>
        <v>0.0894280740298201</v>
      </c>
      <c r="BS36" s="215">
        <f>IF(AND(ISNUMBER(BS23),ISNUMBER(BS144)),IFERROR(BS23/BS144,""),"")</f>
        <v>0.0935826644881993</v>
      </c>
      <c r="BT36" s="215">
        <f>IF(AND(ISNUMBER(BT23),ISNUMBER(BT144)),IFERROR(BT23/BT144,""),"")</f>
        <v>0.0982577468931947</v>
      </c>
      <c r="BU36" s="215">
        <f>IF(AND(ISNUMBER(BU23),ISNUMBER(BU144)),IFERROR(BU23/BU144,""),"")</f>
        <v>0.0998987749899244</v>
      </c>
      <c r="BV36" s="215">
        <f>IF(AND(ISNUMBER(BV23),ISNUMBER(BV144)),IFERROR(BV23/BV144,""),"")</f>
        <v>0.0957353917570063</v>
      </c>
      <c r="BW36" s="215">
        <f>IF(AND(ISNUMBER(BW23),ISNUMBER(BW144)),IFERROR(BW23/BW144,""),"")</f>
        <v>0.0949928106699574</v>
      </c>
      <c r="BX36" s="215">
        <f>IF(AND(ISNUMBER(BX23),ISNUMBER(BX144)),IFERROR(BX23/BX144,""),"")</f>
        <v>0.0987458002253173</v>
      </c>
      <c r="BY36" s="256">
        <f>IF(AND(ISNUMBER(BY23),ISNUMBER(BY144)),IFERROR(BY23/BY144,""),"")</f>
        <v>0.10115230629838</v>
      </c>
      <c r="BZ36" s="256">
        <f>IF(AND(ISNUMBER(BZ23),ISNUMBER(BZ144)),IFERROR(BZ23/BZ144,""),"")</f>
        <v>0.104566638376632</v>
      </c>
      <c r="CA36" s="256">
        <f>IF(AND(ISNUMBER(CA23),ISNUMBER(CA144)),IFERROR(CA23/CA144,""),"")</f>
        <v>0.100221891804362</v>
      </c>
      <c r="CB36" s="256">
        <f>IF(AND(ISNUMBER(CB23),ISNUMBER(CB144)),IFERROR(CB23/CB144,""),"")</f>
        <v>0.104299944979068</v>
      </c>
      <c r="CC36" s="256">
        <f>IF(AND(ISNUMBER(CC23),ISNUMBER(CC144)),IFERROR(CC23/CC144,""),"")</f>
        <v>0.107714585601557</v>
      </c>
      <c r="CD36" s="256">
        <f>IF(AND(ISNUMBER(CD23),ISNUMBER(CD144)),IFERROR(CD23/CD144,""),"")</f>
        <v>0.110511489887149</v>
      </c>
      <c r="CE36" s="256">
        <f>IF(AND(ISNUMBER(CE23),ISNUMBER(CE144)),IFERROR(CE23/CE144,""),"")</f>
        <v>0.112532025551564</v>
      </c>
      <c r="CF36" s="153" t="n"/>
      <c r="CH36" s="37">
        <f>IFERROR(AVERAGE(CA36,CB36,CC36,CD36,CE36),"n/m")</f>
        <v>0.10705598756474</v>
      </c>
      <c r="CI36" s="37">
        <f>IFERROR(AVERAGE(BB36,BG36,BL36,BQ36,BV36),"n/m")</f>
        <v>0.0810409071668004</v>
      </c>
      <c r="CJ36" s="37">
        <f>IFERROR(AVERAGE(AC36,AH36,AM36,AR36,AW36,BB36,BG36,BL36,BQ36,BV36),"n/m")</f>
        <v>0.0810409071668004</v>
      </c>
      <c r="CK36" s="37">
        <f>IFERROR(AVERAGE(C36,D36,E36,F36,G36,H36,I36,N36,S36,X36,AC36,AH36,AM36,AR36,AW36,BB36,BG36,BL36,BQ36,BV36),"n/m")</f>
        <v>0.0810409071668004</v>
      </c>
      <c r="CN36" s="15" t="inlineStr">
        <is>
          <t>PHYS (Physical stores y/y)</t>
        </is>
      </c>
      <c r="CO36" s="261" t="n">
        <v>0.02</v>
      </c>
      <c r="CP36" s="21" t="inlineStr">
        <is>
          <t>Δ →</t>
        </is>
      </c>
      <c r="CQ36" s="261" t="n">
        <v>-0.03</v>
      </c>
      <c r="CR36" s="13" t="inlineStr">
        <is>
          <t>FY2025 +6.3%; 1H-26 +4.6% (Whole Foods, Amazon Fresh).</t>
        </is>
      </c>
    </row>
    <row r="37" ht="15" customHeight="1" s="251">
      <c r="B37" s="25" t="inlineStr">
        <is>
          <t xml:space="preserve">  AWS % of net sales</t>
        </is>
      </c>
      <c r="C37" s="215">
        <f>IF(AND(ISNUMBER(C26),ISNUMBER(C144)),IFERROR(C26/C144,""),"")</f>
      </c>
      <c r="D37" s="215">
        <f>IF(AND(ISNUMBER(D26),ISNUMBER(D144)),IFERROR(D26/D144,""),"")</f>
      </c>
      <c r="E37" s="215">
        <f>IF(AND(ISNUMBER(E26),ISNUMBER(E144)),IFERROR(E26/E144,""),"")</f>
      </c>
      <c r="F37" s="215">
        <f>IF(AND(ISNUMBER(F26),ISNUMBER(F144)),IFERROR(F26/F144,""),"")</f>
      </c>
      <c r="G37" s="215">
        <f>IF(AND(ISNUMBER(G26),ISNUMBER(G144)),IFERROR(G26/G144,""),"")</f>
      </c>
      <c r="H37" s="215">
        <f>IF(AND(ISNUMBER(H26),ISNUMBER(H144)),IFERROR(H26/H144,""),"")</f>
      </c>
      <c r="I37" s="215">
        <f>IF(AND(ISNUMBER(I26),ISNUMBER(I144)),IFERROR(I26/I144,""),"")</f>
      </c>
      <c r="J37" s="215">
        <f>IF(AND(ISNUMBER(J26),ISNUMBER(J144)),IFERROR(J26/J144,""),"")</f>
      </c>
      <c r="K37" s="215">
        <f>IF(AND(ISNUMBER(K26),ISNUMBER(K144)),IFERROR(K26/K144,""),"")</f>
      </c>
      <c r="L37" s="215">
        <f>IF(AND(ISNUMBER(L26),ISNUMBER(L144)),IFERROR(L26/L144,""),"")</f>
      </c>
      <c r="M37" s="215">
        <f>IF(AND(ISNUMBER(M26),ISNUMBER(M144)),IFERROR(M26/M144,""),"")</f>
      </c>
      <c r="N37" s="215">
        <f>IF(AND(ISNUMBER(N26),ISNUMBER(N144)),IFERROR(N26/N144,""),"")</f>
      </c>
      <c r="O37" s="215">
        <f>IF(AND(ISNUMBER(O26),ISNUMBER(O144)),IFERROR(O26/O144,""),"")</f>
      </c>
      <c r="P37" s="215">
        <f>IF(AND(ISNUMBER(P26),ISNUMBER(P144)),IFERROR(P26/P144,""),"")</f>
      </c>
      <c r="Q37" s="215">
        <f>IF(AND(ISNUMBER(Q26),ISNUMBER(Q144)),IFERROR(Q26/Q144,""),"")</f>
      </c>
      <c r="R37" s="215">
        <f>IF(AND(ISNUMBER(R26),ISNUMBER(R144)),IFERROR(R26/R144,""),"")</f>
      </c>
      <c r="S37" s="215">
        <f>IF(AND(ISNUMBER(S26),ISNUMBER(S144)),IFERROR(S26/S144,""),"")</f>
      </c>
      <c r="T37" s="215">
        <f>IF(AND(ISNUMBER(T26),ISNUMBER(T144)),IFERROR(T26/T144,""),"")</f>
      </c>
      <c r="U37" s="215">
        <f>IF(AND(ISNUMBER(U26),ISNUMBER(U144)),IFERROR(U26/U144,""),"")</f>
      </c>
      <c r="V37" s="215">
        <f>IF(AND(ISNUMBER(V26),ISNUMBER(V144)),IFERROR(V26/V144,""),"")</f>
      </c>
      <c r="W37" s="215">
        <f>IF(AND(ISNUMBER(W26),ISNUMBER(W144)),IFERROR(W26/W144,""),"")</f>
      </c>
      <c r="X37" s="215">
        <f>IF(AND(ISNUMBER(X26),ISNUMBER(X144)),IFERROR(X26/X144,""),"")</f>
      </c>
      <c r="Y37" s="215">
        <f>IF(AND(ISNUMBER(Y26),ISNUMBER(Y144)),IFERROR(Y26/Y144,""),"")</f>
      </c>
      <c r="Z37" s="215">
        <f>IF(AND(ISNUMBER(Z26),ISNUMBER(Z144)),IFERROR(Z26/Z144,""),"")</f>
        <v>0.0949217208262071</v>
      </c>
      <c r="AA37" s="215">
        <f>IF(AND(ISNUMBER(AA26),ISNUMBER(AA144)),IFERROR(AA26/AA144,""),"")</f>
        <v>0.0987650547166351</v>
      </c>
      <c r="AB37" s="215">
        <f>IF(AND(ISNUMBER(AB26),ISNUMBER(AB144)),IFERROR(AB26/AB144,""),"")</f>
        <v>0.0808394869801788</v>
      </c>
      <c r="AC37" s="215">
        <f>IF(AND(ISNUMBER(AC26),ISNUMBER(AC144)),IFERROR(AC26/AC144,""),"")</f>
      </c>
      <c r="AD37" s="215">
        <f>IF(AND(ISNUMBER(AD26),ISNUMBER(AD144)),IFERROR(AD26/AD144,""),"")</f>
        <v>0.102508820070561</v>
      </c>
      <c r="AE37" s="215">
        <f>IF(AND(ISNUMBER(AE26),ISNUMBER(AE144)),IFERROR(AE26/AE144,""),"")</f>
        <v>0.108022658411277</v>
      </c>
      <c r="AF37" s="215">
        <f>IF(AND(ISNUMBER(AF26),ISNUMBER(AF144)),IFERROR(AF26/AF144,""),"")</f>
        <v>0.104791514264813</v>
      </c>
      <c r="AG37" s="215">
        <f>IF(AND(ISNUMBER(AG26),ISNUMBER(AG144)),IFERROR(AG26/AG144,""),"")</f>
        <v>0.0845781019965924</v>
      </c>
      <c r="AH37" s="215">
        <f>IF(AND(ISNUMBER(AH26),ISNUMBER(AH144)),IFERROR(AH26/AH144,""),"")</f>
        <v>0.0981525418011312</v>
      </c>
      <c r="AI37" s="215">
        <f>IF(AND(ISNUMBER(AI26),ISNUMBER(AI144)),IFERROR(AI26/AI144,""),"")</f>
        <v>0.10661807922887</v>
      </c>
      <c r="AJ37" s="215">
        <f>IF(AND(ISNUMBER(AJ26),ISNUMBER(AJ144)),IFERROR(AJ26/AJ144,""),"")</f>
        <v>0.11543697765004</v>
      </c>
      <c r="AK37" s="215">
        <f>IF(AND(ISNUMBER(AK26),ISNUMBER(AK144)),IFERROR(AK26/AK144,""),"")</f>
        <v>0.118053591628959</v>
      </c>
      <c r="AL37" s="215">
        <f>IF(AND(ISNUMBER(AL26),ISNUMBER(AL144)),IFERROR(AL26/AL144,""),"")</f>
        <v>0.102648411919926</v>
      </c>
      <c r="AM37" s="215">
        <f>IF(AND(ISNUMBER(AM26),ISNUMBER(AM144)),IFERROR(AM26/AM144,""),"")</f>
        <v>0.110165015651367</v>
      </c>
      <c r="AN37" s="215">
        <f>IF(AND(ISNUMBER(AN26),ISNUMBER(AN144)),IFERROR(AN26/AN144,""),"")</f>
        <v>0.12891122278057</v>
      </c>
      <c r="AO37" s="215">
        <f>IF(AND(ISNUMBER(AO26),ISNUMBER(AO144)),IFERROR(AO26/AO144,""),"")</f>
        <v>0.132184089331903</v>
      </c>
      <c r="AP37" s="215">
        <f>IF(AND(ISNUMBER(AP26),ISNUMBER(AP144)),IFERROR(AP26/AP144,""),"")</f>
        <v>0.12853488804104</v>
      </c>
      <c r="AQ37" s="215">
        <f>IF(AND(ISNUMBER(AQ26),ISNUMBER(AQ144)),IFERROR(AQ26/AQ144,""),"")</f>
        <v>0.113841966215675</v>
      </c>
      <c r="AR37" s="215">
        <f>IF(AND(ISNUMBER(AR26),ISNUMBER(AR144)),IFERROR(AR26/AR144,""),"")</f>
        <v>0.124860082275187</v>
      </c>
      <c r="AS37" s="215">
        <f>IF(AND(ISNUMBER(AS26),ISNUMBER(AS144)),IFERROR(AS26/AS144,""),"")</f>
        <v>0.135437099082861</v>
      </c>
      <c r="AT37" s="215">
        <f>IF(AND(ISNUMBER(AT26),ISNUMBER(AT144)),IFERROR(AT26/AT144,""),"")</f>
        <v>0.121558394817348</v>
      </c>
      <c r="AU37" s="215">
        <f>IF(AND(ISNUMBER(AU26),ISNUMBER(AU144)),IFERROR(AU26/AU144,""),"")</f>
        <v>0.120661500858079</v>
      </c>
      <c r="AV37" s="215">
        <f>IF(AND(ISNUMBER(AV26),ISNUMBER(AV144)),IFERROR(AV26/AV144,""),"")</f>
        <v>0.101485404802676</v>
      </c>
      <c r="AW37" s="215">
        <f>IF(AND(ISNUMBER(AW26),ISNUMBER(AW144)),IFERROR(AW26/AW144,""),"")</f>
        <v>0.117519375025902</v>
      </c>
      <c r="AX37" s="215">
        <f>IF(AND(ISNUMBER(AX26),ISNUMBER(AX144)),IFERROR(AX26/AX144,""),"")</f>
        <v>0.124430969977331</v>
      </c>
      <c r="AY37" s="215">
        <f>IF(AND(ISNUMBER(AY26),ISNUMBER(AY144)),IFERROR(AY26/AY144,""),"")</f>
        <v>0.130960382030421</v>
      </c>
      <c r="AZ37" s="215">
        <f>IF(AND(ISNUMBER(AZ26),ISNUMBER(AZ144)),IFERROR(AZ26/AZ144,""),"")</f>
        <v>0.145381366638992</v>
      </c>
      <c r="BA37" s="215">
        <f>IF(AND(ISNUMBER(BA26),ISNUMBER(BA144)),IFERROR(BA26/BA144,""),"")</f>
        <v>0.129391901726196</v>
      </c>
      <c r="BB37" s="215">
        <f>IF(AND(ISNUMBER(BB26),ISNUMBER(BB144)),IFERROR(BB26/BB144,""),"")</f>
        <v>0.132394821868708</v>
      </c>
      <c r="BC37" s="215">
        <f>IF(AND(ISNUMBER(BC26),ISNUMBER(BC144)),IFERROR(BC26/BC144,""),"")</f>
        <v>0.158367970870118</v>
      </c>
      <c r="BD37" s="215">
        <f>IF(AND(ISNUMBER(BD26),ISNUMBER(BD144)),IFERROR(BD26/BD144,""),"")</f>
        <v>0.162817361466255</v>
      </c>
      <c r="BE37" s="215">
        <f>IF(AND(ISNUMBER(BE26),ISNUMBER(BE144)),IFERROR(BE26/BE144,""),"")</f>
        <v>0.161588028418344</v>
      </c>
      <c r="BF37" s="215">
        <f>IF(AND(ISNUMBER(BF26),ISNUMBER(BF144)),IFERROR(BF26/BF144,""),"")</f>
        <v>0.143280341009624</v>
      </c>
      <c r="BG37" s="215">
        <f>IF(AND(ISNUMBER(BG26),ISNUMBER(BG144)),IFERROR(BG26/BG144,""),"")</f>
        <v>0.155833947815395</v>
      </c>
      <c r="BH37" s="215">
        <f>IF(AND(ISNUMBER(BH26),ISNUMBER(BH144)),IFERROR(BH26/BH144,""),"")</f>
        <v>0.16766909028094</v>
      </c>
      <c r="BI37" s="215">
        <f>IF(AND(ISNUMBER(BI26),ISNUMBER(BI144)),IFERROR(BI26/BI144,""),"")</f>
        <v>0.16475298214804</v>
      </c>
      <c r="BJ37" s="215">
        <f>IF(AND(ISNUMBER(BJ26),ISNUMBER(BJ144)),IFERROR(BJ26/BJ144,""),"")</f>
        <v>0.161158208871774</v>
      </c>
      <c r="BK37" s="215">
        <f>IF(AND(ISNUMBER(BK26),ISNUMBER(BK144)),IFERROR(BK26/BK144,""),"")</f>
        <v>0.142409140920564</v>
      </c>
      <c r="BL37" s="215">
        <f>IF(AND(ISNUMBER(BL26),ISNUMBER(BL144)),IFERROR(BL26/BL144,""),"")</f>
        <v>0.157897300729838</v>
      </c>
      <c r="BM37" s="215">
        <f>IF(AND(ISNUMBER(BM26),ISNUMBER(BM144)),IFERROR(BM26/BM144,""),"")</f>
        <v>0.174701527425984</v>
      </c>
      <c r="BN37" s="215">
        <f>IF(AND(ISNUMBER(BN26),ISNUMBER(BN144)),IFERROR(BN26/BN144,""),"")</f>
        <v>0.177601924623421</v>
      </c>
      <c r="BO37" s="215">
        <f>IF(AND(ISNUMBER(BO26),ISNUMBER(BO144)),IFERROR(BO26/BO144,""),"")</f>
        <v>0.17278775404873</v>
      </c>
      <c r="BP37" s="215">
        <f>IF(AND(ISNUMBER(BP26),ISNUMBER(BP144)),IFERROR(BP26/BP144,""),"")</f>
        <v>0.153286614978274</v>
      </c>
      <c r="BQ37" s="215">
        <f>IF(AND(ISNUMBER(BQ26),ISNUMBER(BQ144)),IFERROR(BQ26/BQ144,""),"")</f>
        <v>0.168593906504963</v>
      </c>
      <c r="BR37" s="215">
        <f>IF(AND(ISNUMBER(BR26),ISNUMBER(BR144)),IFERROR(BR26/BR144,""),"")</f>
        <v>0.188010304046458</v>
      </c>
      <c r="BS37" s="215">
        <f>IF(AND(ISNUMBER(BS26),ISNUMBER(BS144)),IFERROR(BS26/BS144,""),"")</f>
        <v>0.184094405552707</v>
      </c>
      <c r="BT37" s="215">
        <f>IF(AND(ISNUMBER(BT26),ISNUMBER(BT144)),IFERROR(BT26/BT144,""),"")</f>
        <v>0.183194667229102</v>
      </c>
      <c r="BU37" s="215">
        <f>IF(AND(ISNUMBER(BU26),ISNUMBER(BU144)),IFERROR(BU26/BU144,""),"")</f>
        <v>0.1667353996982</v>
      </c>
      <c r="BV37" s="215">
        <f>IF(AND(ISNUMBER(BV26),ISNUMBER(BV144)),IFERROR(BV26/BV144,""),"")</f>
        <v>0.179551807444025</v>
      </c>
      <c r="BW37" s="215">
        <f>IF(AND(ISNUMBER(BW26),ISNUMBER(BW144)),IFERROR(BW26/BW144,""),"")</f>
        <v>0.20706923242195</v>
      </c>
      <c r="BX37" s="215">
        <f>IF(AND(ISNUMBER(BX26),ISNUMBER(BX144)),IFERROR(BX26/BX144,""),"")</f>
        <v>0.210522117982513</v>
      </c>
      <c r="BY37" s="256">
        <f>IF(AND(ISNUMBER(BY26),ISNUMBER(BY144)),IFERROR(BY26/BY144,""),"")</f>
        <v>0.226314724718706</v>
      </c>
      <c r="BZ37" s="256">
        <f>IF(AND(ISNUMBER(BZ26),ISNUMBER(BZ144)),IFERROR(BZ26/BZ144,""),"")</f>
        <v>0.199548860004186</v>
      </c>
      <c r="CA37" s="256">
        <f>IF(AND(ISNUMBER(CA26),ISNUMBER(CA144)),IFERROR(CA26/CA144,""),"")</f>
        <v>0.210337399579852</v>
      </c>
      <c r="CB37" s="256">
        <f>IF(AND(ISNUMBER(CB26),ISNUMBER(CB144)),IFERROR(CB26/CB144,""),"")</f>
        <v>0.23545124525343</v>
      </c>
      <c r="CC37" s="256">
        <f>IF(AND(ISNUMBER(CC26),ISNUMBER(CC144)),IFERROR(CC26/CC144,""),"")</f>
        <v>0.257707614429798</v>
      </c>
      <c r="CD37" s="256">
        <f>IF(AND(ISNUMBER(CD26),ISNUMBER(CD144)),IFERROR(CD26/CD144,""),"")</f>
        <v>0.275894838359924</v>
      </c>
      <c r="CE37" s="256">
        <f>IF(AND(ISNUMBER(CE26),ISNUMBER(CE144)),IFERROR(CE26/CE144,""),"")</f>
        <v>0.290883907720672</v>
      </c>
      <c r="CF37" s="153" t="n"/>
      <c r="CH37" s="37">
        <f>IFERROR(AVERAGE(CA37,CB37,CC37,CD37,CE37),"n/m")</f>
        <v>0.254055001068735</v>
      </c>
      <c r="CI37" s="37">
        <f>IFERROR(AVERAGE(BB37,BG37,BL37,BQ37,BV37),"n/m")</f>
        <v>0.158854356872586</v>
      </c>
      <c r="CJ37" s="37">
        <f>IFERROR(AVERAGE(AC37,AH37,AM37,AR37,AW37,BB37,BG37,BL37,BQ37,BV37),"n/m")</f>
        <v>0.138329866568502</v>
      </c>
      <c r="CK37" s="37">
        <f>IFERROR(AVERAGE(C37,D37,E37,F37,G37,H37,I37,N37,S37,X37,AC37,AH37,AM37,AR37,AW37,BB37,BG37,BL37,BQ37,BV37),"n/m")</f>
        <v>0.138329866568502</v>
      </c>
      <c r="CN37" s="25" t="inlineStr">
        <is>
          <t xml:space="preserve">  2027E</t>
        </is>
      </c>
      <c r="CO37" s="33">
        <f>CP37+$CO$36</f>
        <v>0.07</v>
      </c>
      <c r="CP37" s="258" t="n">
        <v>0.05</v>
      </c>
      <c r="CQ37" s="33">
        <f>CP37+$CQ$36</f>
        <v>0.02</v>
      </c>
    </row>
    <row r="38" ht="15" customHeight="1" s="251">
      <c r="B38" s="25" t="inlineStr">
        <is>
          <t xml:space="preserve">  Third-party seller services + subscriptions + advertising % of net sales</t>
        </is>
      </c>
      <c r="C38" s="215">
        <f>IF(AND(ISNUMBER(C23),ISNUMBER(C17)),IFERROR((C17+C20+C23)/C144,""),"")</f>
      </c>
      <c r="D38" s="215">
        <f>IF(AND(ISNUMBER(D23),ISNUMBER(D17)),IFERROR((D17+D20+D23)/D144,""),"")</f>
      </c>
      <c r="E38" s="215">
        <f>IF(AND(ISNUMBER(E23),ISNUMBER(E17)),IFERROR((E17+E20+E23)/E144,""),"")</f>
      </c>
      <c r="F38" s="215">
        <f>IF(AND(ISNUMBER(F23),ISNUMBER(F17)),IFERROR((F17+F20+F23)/F144,""),"")</f>
      </c>
      <c r="G38" s="215">
        <f>IF(AND(ISNUMBER(G23),ISNUMBER(G17)),IFERROR((G17+G20+G23)/G144,""),"")</f>
      </c>
      <c r="H38" s="215">
        <f>IF(AND(ISNUMBER(H23),ISNUMBER(H17)),IFERROR((H17+H20+H23)/H144,""),"")</f>
      </c>
      <c r="I38" s="215">
        <f>IF(AND(ISNUMBER(I23),ISNUMBER(I17)),IFERROR((I17+I20+I23)/I144,""),"")</f>
      </c>
      <c r="J38" s="215">
        <f>IF(AND(ISNUMBER(J23),ISNUMBER(J17)),IFERROR((J17+J20+J23)/J144,""),"")</f>
      </c>
      <c r="K38" s="215">
        <f>IF(AND(ISNUMBER(K23),ISNUMBER(K17)),IFERROR((K17+K20+K23)/K144,""),"")</f>
      </c>
      <c r="L38" s="215">
        <f>IF(AND(ISNUMBER(L23),ISNUMBER(L17)),IFERROR((L17+L20+L23)/L144,""),"")</f>
      </c>
      <c r="M38" s="215">
        <f>IF(AND(ISNUMBER(M23),ISNUMBER(M17)),IFERROR((M17+M20+M23)/M144,""),"")</f>
      </c>
      <c r="N38" s="215">
        <f>IF(AND(ISNUMBER(N23),ISNUMBER(N17)),IFERROR((N17+N20+N23)/N144,""),"")</f>
      </c>
      <c r="O38" s="215">
        <f>IF(AND(ISNUMBER(O23),ISNUMBER(O17)),IFERROR((O17+O20+O23)/O144,""),"")</f>
      </c>
      <c r="P38" s="215">
        <f>IF(AND(ISNUMBER(P23),ISNUMBER(P17)),IFERROR((P17+P20+P23)/P144,""),"")</f>
      </c>
      <c r="Q38" s="215">
        <f>IF(AND(ISNUMBER(Q23),ISNUMBER(Q17)),IFERROR((Q17+Q20+Q23)/Q144,""),"")</f>
      </c>
      <c r="R38" s="215">
        <f>IF(AND(ISNUMBER(R23),ISNUMBER(R17)),IFERROR((R17+R20+R23)/R144,""),"")</f>
      </c>
      <c r="S38" s="215">
        <f>IF(AND(ISNUMBER(S23),ISNUMBER(S17)),IFERROR((S17+S20+S23)/S144,""),"")</f>
      </c>
      <c r="T38" s="215">
        <f>IF(AND(ISNUMBER(T23),ISNUMBER(T17)),IFERROR((T17+T20+T23)/T144,""),"")</f>
      </c>
      <c r="U38" s="215">
        <f>IF(AND(ISNUMBER(U23),ISNUMBER(U17)),IFERROR((U17+U20+U23)/U144,""),"")</f>
      </c>
      <c r="V38" s="215">
        <f>IF(AND(ISNUMBER(V23),ISNUMBER(V17)),IFERROR((V17+V20+V23)/V144,""),"")</f>
      </c>
      <c r="W38" s="215">
        <f>IF(AND(ISNUMBER(W23),ISNUMBER(W17)),IFERROR((W17+W20+W23)/W144,""),"")</f>
      </c>
      <c r="X38" s="215">
        <f>IF(AND(ISNUMBER(X23),ISNUMBER(X17)),IFERROR((X17+X20+X23)/X144,""),"")</f>
      </c>
      <c r="Y38" s="215">
        <f>IF(AND(ISNUMBER(Y23),ISNUMBER(Y17)),IFERROR((Y17+Y20+Y23)/Y144,""),"")</f>
      </c>
      <c r="Z38" s="215">
        <f>IF(AND(ISNUMBER(Z23),ISNUMBER(Z17)),IFERROR((Z17+Z20+Z23)/Z144,""),"")</f>
      </c>
      <c r="AA38" s="215">
        <f>IF(AND(ISNUMBER(AA23),ISNUMBER(AA17)),IFERROR((AA17+AA20+AA23)/AA144,""),"")</f>
      </c>
      <c r="AB38" s="215">
        <f>IF(AND(ISNUMBER(AB23),ISNUMBER(AB17)),IFERROR((AB17+AB20+AB23)/AB144,""),"")</f>
      </c>
      <c r="AC38" s="215">
        <f>IF(AND(ISNUMBER(AC23),ISNUMBER(AC17)),IFERROR((AC17+AC20+AC23)/AC144,""),"")</f>
      </c>
      <c r="AD38" s="215">
        <f>IF(AND(ISNUMBER(AD23),ISNUMBER(AD17)),IFERROR((AD17+AD20+AD23)/AD144,""),"")</f>
      </c>
      <c r="AE38" s="215">
        <f>IF(AND(ISNUMBER(AE23),ISNUMBER(AE17)),IFERROR((AE17+AE20+AE23)/AE144,""),"")</f>
      </c>
      <c r="AF38" s="215">
        <f>IF(AND(ISNUMBER(AF23),ISNUMBER(AF17)),IFERROR((AF17+AF20+AF23)/AF144,""),"")</f>
      </c>
      <c r="AG38" s="215">
        <f>IF(AND(ISNUMBER(AG23),ISNUMBER(AG17)),IFERROR((AG17+AG20+AG23)/AG144,""),"")</f>
      </c>
      <c r="AH38" s="215">
        <f>IF(AND(ISNUMBER(AH23),ISNUMBER(AH17)),IFERROR((AH17+AH20+AH23)/AH144,""),"")</f>
      </c>
      <c r="AI38" s="215">
        <f>IF(AND(ISNUMBER(AI23),ISNUMBER(AI17)),IFERROR((AI17+AI20+AI23)/AI144,""),"")</f>
      </c>
      <c r="AJ38" s="215">
        <f>IF(AND(ISNUMBER(AJ23),ISNUMBER(AJ17)),IFERROR((AJ17+AJ20+AJ23)/AJ144,""),"")</f>
      </c>
      <c r="AK38" s="215">
        <f>IF(AND(ISNUMBER(AK23),ISNUMBER(AK17)),IFERROR((AK17+AK20+AK23)/AK144,""),"")</f>
      </c>
      <c r="AL38" s="215">
        <f>IF(AND(ISNUMBER(AL23),ISNUMBER(AL17)),IFERROR((AL17+AL20+AL23)/AL144,""),"")</f>
      </c>
      <c r="AM38" s="215">
        <f>IF(AND(ISNUMBER(AM23),ISNUMBER(AM17)),IFERROR((AM17+AM20+AM23)/AM144,""),"")</f>
      </c>
      <c r="AN38" s="215">
        <f>IF(AND(ISNUMBER(AN23),ISNUMBER(AN17)),IFERROR((AN17+AN20+AN23)/AN144,""),"")</f>
      </c>
      <c r="AO38" s="215">
        <f>IF(AND(ISNUMBER(AO23),ISNUMBER(AO17)),IFERROR((AO17+AO20+AO23)/AO144,""),"")</f>
      </c>
      <c r="AP38" s="215">
        <f>IF(AND(ISNUMBER(AP23),ISNUMBER(AP17)),IFERROR((AP17+AP20+AP23)/AP144,""),"")</f>
      </c>
      <c r="AQ38" s="215">
        <f>IF(AND(ISNUMBER(AQ23),ISNUMBER(AQ17)),IFERROR((AQ17+AQ20+AQ23)/AQ144,""),"")</f>
      </c>
      <c r="AR38" s="215">
        <f>IF(AND(ISNUMBER(AR23),ISNUMBER(AR17)),IFERROR((AR17+AR20+AR23)/AR144,""),"")</f>
      </c>
      <c r="AS38" s="215">
        <f>IF(AND(ISNUMBER(AS23),ISNUMBER(AS17)),IFERROR((AS17+AS20+AS23)/AS144,""),"")</f>
      </c>
      <c r="AT38" s="215">
        <f>IF(AND(ISNUMBER(AT23),ISNUMBER(AT17)),IFERROR((AT17+AT20+AT23)/AT144,""),"")</f>
      </c>
      <c r="AU38" s="215">
        <f>IF(AND(ISNUMBER(AU23),ISNUMBER(AU17)),IFERROR((AU17+AU20+AU23)/AU144,""),"")</f>
        <v>0.332726610848198</v>
      </c>
      <c r="AV38" s="215">
        <f>IF(AND(ISNUMBER(AV23),ISNUMBER(AV17)),IFERROR((AV17+AV20+AV23)/AV144,""),"")</f>
        <v>0.332428019593007</v>
      </c>
      <c r="AW38" s="215">
        <f>IF(AND(ISNUMBER(AW23),ISNUMBER(AW17)),IFERROR((AW17+AW20+AW23)/AW144,""),"")</f>
      </c>
      <c r="AX38" s="215">
        <f>IF(AND(ISNUMBER(AX23),ISNUMBER(AX17)),IFERROR((AX17+AX20+AX23)/AX144,""),"")</f>
        <v>0.34713135148086</v>
      </c>
      <c r="AY38" s="215">
        <f>IF(AND(ISNUMBER(AY23),ISNUMBER(AY17)),IFERROR((AY17+AY20+AY23)/AY144,""),"")</f>
        <v>0.35773788468341</v>
      </c>
      <c r="AZ38" s="215">
        <f>IF(AND(ISNUMBER(AZ23),ISNUMBER(AZ17)),IFERROR((AZ17+AZ20+AZ23)/AZ144,""),"")</f>
        <v>0.361080027433852</v>
      </c>
      <c r="BA38" s="215">
        <f>IF(AND(ISNUMBER(BA23),ISNUMBER(BA17)),IFERROR((BA17+BA20+BA23)/BA144,""),"")</f>
        <v>0.350471574534975</v>
      </c>
      <c r="BB38" s="215">
        <f>IF(AND(ISNUMBER(BB23),ISNUMBER(BB17)),IFERROR((BB17+BB20+BB23)/BB144,""),"")</f>
        <v>0.353951070831081</v>
      </c>
      <c r="BC38" s="215">
        <f>IF(AND(ISNUMBER(BC23),ISNUMBER(BC17)),IFERROR((BC17+BC20+BC23)/BC144,""),"")</f>
        <v>0.357442203977878</v>
      </c>
      <c r="BD38" s="215">
        <f>IF(AND(ISNUMBER(BD23),ISNUMBER(BD17)),IFERROR((BD17+BD20+BD23)/BD144,""),"")</f>
        <v>0.369937476285531</v>
      </c>
      <c r="BE38" s="215">
        <f>IF(AND(ISNUMBER(BE23),ISNUMBER(BE17)),IFERROR((BE17+BE20+BE23)/BE144,""),"")</f>
        <v>0.370705187213319</v>
      </c>
      <c r="BF38" s="215">
        <f>IF(AND(ISNUMBER(BF23),ISNUMBER(BF17)),IFERROR((BF17+BF20+BF23)/BF144,""),"")</f>
        <v>0.382596981314174</v>
      </c>
      <c r="BG38" s="215">
        <f>IF(AND(ISNUMBER(BG23),ISNUMBER(BG17)),IFERROR((BG17+BG20+BG23)/BG144,""),"")</f>
        <v>0.370971413451418</v>
      </c>
      <c r="BH38" s="215">
        <f>IF(AND(ISNUMBER(BH23),ISNUMBER(BH17)),IFERROR((BH17+BH20+BH23)/BH144,""),"")</f>
        <v>0.384632296361438</v>
      </c>
      <c r="BI38" s="215">
        <f>IF(AND(ISNUMBER(BI23),ISNUMBER(BI17)),IFERROR((BI17+BI20+BI23)/BI144,""),"")</f>
        <v>0.393717955396144</v>
      </c>
      <c r="BJ38" s="215">
        <f>IF(AND(ISNUMBER(BJ23),ISNUMBER(BJ17)),IFERROR((BJ17+BJ20+BJ23)/BJ144,""),"")</f>
        <v>0.395378905949694</v>
      </c>
      <c r="BK38" s="215">
        <f>IF(AND(ISNUMBER(BK23),ISNUMBER(BK17)),IFERROR((BK17+BK20+BK23)/BK144,""),"")</f>
        <v>0.40421626137761</v>
      </c>
      <c r="BL38" s="215">
        <f>IF(AND(ISNUMBER(BL23),ISNUMBER(BL17)),IFERROR((BL17+BL20+BL23)/BL144,""),"")</f>
        <v>0.39522256147951</v>
      </c>
      <c r="BM38" s="215">
        <f>IF(AND(ISNUMBER(BM23),ISNUMBER(BM17)),IFERROR((BM17+BM20+BM23)/BM144,""),"")</f>
        <v>0.398721679121922</v>
      </c>
      <c r="BN38" s="215">
        <f>IF(AND(ISNUMBER(BN23),ISNUMBER(BN17)),IFERROR((BN17+BN20+BN23)/BN144,""),"")</f>
        <v>0.404373652662238</v>
      </c>
      <c r="BO38" s="215">
        <f>IF(AND(ISNUMBER(BO23),ISNUMBER(BO17)),IFERROR((BO17+BO20+BO23)/BO144,""),"")</f>
        <v>0.399510313009435</v>
      </c>
      <c r="BP38" s="215">
        <f>IF(AND(ISNUMBER(BP23),ISNUMBER(BP17)),IFERROR((BP17+BP20+BP23)/BP144,""),"")</f>
        <v>0.406199412115532</v>
      </c>
      <c r="BQ38" s="215">
        <f>IF(AND(ISNUMBER(BQ23),ISNUMBER(BQ17)),IFERROR((BQ17+BQ20+BQ23)/BQ144,""),"")</f>
        <v>0.402430250219842</v>
      </c>
      <c r="BR38" s="215">
        <f>IF(AND(ISNUMBER(BR23),ISNUMBER(BR17)),IFERROR((BR17+BR20+BR23)/BR144,""),"")</f>
        <v>0.399236832469309</v>
      </c>
      <c r="BS38" s="215">
        <f>IF(AND(ISNUMBER(BS23),ISNUMBER(BS17)),IFERROR((BS17+BS20+BS23)/BS144,""),"")</f>
        <v>0.406971890615497</v>
      </c>
      <c r="BT38" s="215">
        <f>IF(AND(ISNUMBER(BT23),ISNUMBER(BT17)),IFERROR((BT17+BT20+BT23)/BT144,""),"")</f>
        <v>0.403859709494974</v>
      </c>
      <c r="BU38" s="215">
        <f>IF(AND(ISNUMBER(BU23),ISNUMBER(BU17)),IFERROR((BU17+BU20+BU23)/BU144,""),"")</f>
        <v>0.408906863618044</v>
      </c>
      <c r="BV38" s="215">
        <f>IF(AND(ISNUMBER(BV23),ISNUMBER(BV17)),IFERROR((BV17+BV20+BV23)/BV144,""),"")</f>
        <v>0.405086173708789</v>
      </c>
      <c r="BW38" s="215">
        <f>IF(AND(ISNUMBER(BW23),ISNUMBER(BW17)),IFERROR((BW17+BW20+BW23)/BW144,""),"")</f>
        <v>0.398018940166043</v>
      </c>
      <c r="BX38" s="215">
        <f>IF(AND(ISNUMBER(BX23),ISNUMBER(BX17)),IFERROR((BX17+BX20+BX23)/BX144,""),"")</f>
        <v>0.400381843015663</v>
      </c>
      <c r="BY38" s="256">
        <f>IF(AND(ISNUMBER(BY23),ISNUMBER(BY17)),IFERROR((BY17+BY20+BY23)/BY144,""),"")</f>
        <v>0.392215683876221</v>
      </c>
      <c r="BZ38" s="256">
        <f>IF(AND(ISNUMBER(BZ23),ISNUMBER(BZ17)),IFERROR((BZ17+BZ20+BZ23)/BZ144,""),"")</f>
        <v>0.401407328930219</v>
      </c>
      <c r="CA38" s="256">
        <f>IF(AND(ISNUMBER(CA23),ISNUMBER(CA17)),IFERROR((CA17+CA20+CA23)/CA144,""),"")</f>
        <v>0.398191778973303</v>
      </c>
      <c r="CB38" s="256">
        <f>IF(AND(ISNUMBER(CB23),ISNUMBER(CB17)),IFERROR((CB17+CB20+CB23)/CB144,""),"")</f>
        <v>0.39354762010395</v>
      </c>
      <c r="CC38" s="256">
        <f>IF(AND(ISNUMBER(CC23),ISNUMBER(CC17)),IFERROR((CC17+CC20+CC23)/CC144,""),"")</f>
        <v>0.388559869896463</v>
      </c>
      <c r="CD38" s="256">
        <f>IF(AND(ISNUMBER(CD23),ISNUMBER(CD17)),IFERROR((CD17+CD20+CD23)/CD144,""),"")</f>
        <v>0.384868672128713</v>
      </c>
      <c r="CE38" s="256">
        <f>IF(AND(ISNUMBER(CE23),ISNUMBER(CE17)),IFERROR((CE17+CE20+CE23)/CE144,""),"")</f>
        <v>0.382016090951568</v>
      </c>
      <c r="CF38" s="153" t="n"/>
      <c r="CH38" s="37">
        <f>IFERROR(AVERAGE(CA38,CB38,CC38,CD38,CE38),"n/m")</f>
        <v>0.3894368064108</v>
      </c>
      <c r="CI38" s="37">
        <f>IFERROR(AVERAGE(BB38,BG38,BL38,BQ38,BV38),"n/m")</f>
        <v>0.385532293938128</v>
      </c>
      <c r="CJ38" s="37">
        <f>IFERROR(AVERAGE(AC38,AH38,AM38,AR38,AW38,BB38,BG38,BL38,BQ38,BV38),"n/m")</f>
        <v>0.385532293938128</v>
      </c>
      <c r="CK38" s="37">
        <f>IFERROR(AVERAGE(C38,D38,E38,F38,G38,H38,I38,N38,S38,X38,AC38,AH38,AM38,AR38,AW38,BB38,BG38,BL38,BQ38,BV38),"n/m")</f>
        <v>0.385532293938128</v>
      </c>
      <c r="CN38" s="25" t="inlineStr">
        <is>
          <t xml:space="preserve">  2028E</t>
        </is>
      </c>
      <c r="CO38" s="33">
        <f>CP38+$CO$36</f>
        <v>0.07</v>
      </c>
      <c r="CP38" s="258" t="n">
        <v>0.05</v>
      </c>
      <c r="CQ38" s="33">
        <f>CP38+$CQ$36</f>
        <v>0.02</v>
      </c>
    </row>
    <row r="39" ht="15" customHeight="1" s="251">
      <c r="B39" s="156" t="inlineStr">
        <is>
          <t xml:space="preserve">  Memo: worldwide net sales y/y growth excluding F/X, as published</t>
        </is>
      </c>
      <c r="C39" s="263" t="n">
        <v>0.3</v>
      </c>
      <c r="D39" s="263" t="n">
        <v>0.37</v>
      </c>
      <c r="E39" s="263" t="n">
        <v>0.24</v>
      </c>
      <c r="F39" s="263" t="n">
        <v>0.37</v>
      </c>
      <c r="G39" s="263" t="n">
        <v>0.37</v>
      </c>
      <c r="H39" s="263" t="n">
        <v>0.34</v>
      </c>
      <c r="I39" s="263" t="n">
        <v>0.23</v>
      </c>
      <c r="J39" s="263" t="n">
        <v>0.24</v>
      </c>
      <c r="K39" s="263" t="n">
        <v>0.25</v>
      </c>
      <c r="L39" s="263" t="n">
        <v>0.26</v>
      </c>
      <c r="M39" s="263" t="n">
        <v>0.22</v>
      </c>
      <c r="N39" s="263" t="n">
        <v>0.22</v>
      </c>
      <c r="O39" s="263" t="n">
        <v>0.23</v>
      </c>
      <c r="P39" s="263" t="n">
        <v>0.22</v>
      </c>
      <c r="Q39" s="263" t="n">
        <v>0.2</v>
      </c>
      <c r="R39" s="263" t="n">
        <v>0.18</v>
      </c>
      <c r="S39" s="263" t="n">
        <v>0.18</v>
      </c>
      <c r="T39" s="263" t="n">
        <v>0.22</v>
      </c>
      <c r="U39" s="263" t="n">
        <v>0.27</v>
      </c>
      <c r="V39" s="263" t="n">
        <v>0.3</v>
      </c>
      <c r="W39" s="263" t="n">
        <v>0.26</v>
      </c>
      <c r="X39" s="263" t="n">
        <v>0.26</v>
      </c>
      <c r="Y39" s="263" t="n">
        <v>0.29</v>
      </c>
      <c r="Z39" s="263" t="n">
        <v>0.3</v>
      </c>
      <c r="AA39" s="263" t="n">
        <v>0.29</v>
      </c>
      <c r="AB39" s="263" t="n">
        <v>0.24</v>
      </c>
      <c r="AC39" s="263" t="n">
        <v>0.24</v>
      </c>
      <c r="AD39" s="263" t="n">
        <v>0.24</v>
      </c>
      <c r="AE39" s="263" t="n">
        <v>0.26</v>
      </c>
      <c r="AF39" s="263" t="n">
        <v>0.33</v>
      </c>
      <c r="AG39" s="263" t="n">
        <v>0.36</v>
      </c>
      <c r="AH39" s="263" t="n">
        <v>0.36</v>
      </c>
      <c r="AI39" s="263" t="n">
        <v>0.39</v>
      </c>
      <c r="AJ39" s="263" t="n">
        <v>0.37</v>
      </c>
      <c r="AK39" s="263" t="n">
        <v>0.3</v>
      </c>
      <c r="AL39" s="263" t="n">
        <v>0.21</v>
      </c>
      <c r="AM39" s="263" t="n">
        <v>0.21</v>
      </c>
      <c r="AN39" s="263" t="n">
        <v>0.19</v>
      </c>
      <c r="AO39" s="263" t="n">
        <v>0.21</v>
      </c>
      <c r="AP39" s="263" t="n">
        <v>0.25</v>
      </c>
      <c r="AQ39" s="263" t="n">
        <v>0.21</v>
      </c>
      <c r="AR39" s="263" t="n">
        <v>0.21</v>
      </c>
      <c r="AS39" s="263" t="n">
        <v>0.27</v>
      </c>
      <c r="AT39" s="263" t="n">
        <v>0.41</v>
      </c>
      <c r="AU39" s="263" t="n">
        <v>0.36</v>
      </c>
      <c r="AV39" s="263" t="n">
        <v>0.42</v>
      </c>
      <c r="AW39" s="263" t="n">
        <v>0.42</v>
      </c>
      <c r="AX39" s="263" t="n">
        <v>0.41</v>
      </c>
      <c r="AY39" s="263" t="n">
        <v>0.24</v>
      </c>
      <c r="AZ39" s="263" t="n">
        <v>0.15</v>
      </c>
      <c r="BA39" s="263" t="n">
        <v>0.1</v>
      </c>
      <c r="BB39" s="263" t="n">
        <v>0.1</v>
      </c>
      <c r="BC39" s="263" t="n">
        <v>0.09</v>
      </c>
      <c r="BD39" s="263" t="n">
        <v>0.1</v>
      </c>
      <c r="BE39" s="263" t="n">
        <v>0.19</v>
      </c>
      <c r="BF39" s="263" t="n">
        <v>0.12</v>
      </c>
      <c r="BG39" s="263" t="n">
        <v>0.12</v>
      </c>
      <c r="BH39" s="263" t="n">
        <v>0.11</v>
      </c>
      <c r="BI39" s="263" t="n">
        <v>0.11</v>
      </c>
      <c r="BJ39" s="263" t="n">
        <v>0.11</v>
      </c>
      <c r="BK39" s="263" t="n">
        <v>0.13</v>
      </c>
      <c r="BL39" s="263" t="n">
        <v>0.13</v>
      </c>
      <c r="BM39" s="263" t="n">
        <v>0.13</v>
      </c>
      <c r="BN39" s="263" t="n">
        <v>0.11</v>
      </c>
      <c r="BO39" s="263" t="n">
        <v>0.11</v>
      </c>
      <c r="BP39" s="263" t="n">
        <v>0.11</v>
      </c>
      <c r="BQ39" s="263" t="n">
        <v>0.11</v>
      </c>
      <c r="BR39" s="263" t="n">
        <v>0.1</v>
      </c>
      <c r="BS39" s="263" t="n">
        <v>0.12</v>
      </c>
      <c r="BT39" s="263" t="n">
        <v>0.12</v>
      </c>
      <c r="BU39" s="263" t="n">
        <v>0.12</v>
      </c>
      <c r="BV39" s="263" t="n">
        <v>0.12</v>
      </c>
      <c r="BW39" s="263" t="n">
        <v>0.15</v>
      </c>
      <c r="BX39" s="263" t="n">
        <v>0.2</v>
      </c>
      <c r="BY39" s="153" t="n"/>
      <c r="BZ39" s="153" t="n"/>
      <c r="CA39" s="153" t="n"/>
      <c r="CB39" s="153" t="n"/>
      <c r="CC39" s="153" t="n"/>
      <c r="CD39" s="153" t="n"/>
      <c r="CE39" s="153" t="n"/>
      <c r="CF39" s="153" t="n"/>
      <c r="CN39" s="25" t="inlineStr">
        <is>
          <t xml:space="preserve">  2029E</t>
        </is>
      </c>
      <c r="CO39" s="33">
        <f>CP39+$CO$36</f>
        <v>0.065</v>
      </c>
      <c r="CP39" s="258" t="n">
        <v>0.045</v>
      </c>
      <c r="CQ39" s="33">
        <f>CP39+$CQ$36</f>
        <v>0.015</v>
      </c>
    </row>
    <row r="40" ht="15" customHeight="1" s="251">
      <c r="CN40" s="25" t="inlineStr">
        <is>
          <t xml:space="preserve">  2030E</t>
        </is>
      </c>
      <c r="CO40" s="33">
        <f>CP40+$CO$36</f>
        <v>0.06</v>
      </c>
      <c r="CP40" s="258" t="n">
        <v>0.04</v>
      </c>
      <c r="CQ40" s="33">
        <f>CP40+$CQ$36</f>
        <v>0.01</v>
      </c>
    </row>
    <row r="41" ht="15" customHeight="1" s="251">
      <c r="B41" s="14" t="inlineStr">
        <is>
          <t>Segments — North America · International · AWS (segment operating income as reported; AWS a segment from Q1-15, recast FY2013–14)</t>
        </is>
      </c>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c r="BR41" s="14" t="n"/>
      <c r="BS41" s="14" t="n"/>
      <c r="BT41" s="14" t="n"/>
      <c r="BU41" s="14" t="n"/>
      <c r="BV41" s="14" t="n"/>
      <c r="BW41" s="14" t="n"/>
      <c r="BX41" s="14" t="n"/>
      <c r="BY41" s="14" t="n"/>
      <c r="BZ41" s="14" t="n"/>
      <c r="CA41" s="14" t="n"/>
      <c r="CB41" s="14" t="n"/>
      <c r="CC41" s="14" t="n"/>
      <c r="CD41" s="14" t="n"/>
      <c r="CE41" s="14" t="n"/>
      <c r="CF41" s="15" t="inlineStr">
        <is>
          <t>SEGMENTS — modelling logic: NA + International = retail product groups; NA share driver; AWS = AWS group; segment OI = net sales × margin</t>
        </is>
      </c>
      <c r="CN41" s="15" t="inlineStr">
        <is>
          <t>TP (Third-party seller services y/y)</t>
        </is>
      </c>
      <c r="CO41" s="261" t="n">
        <v>0.02</v>
      </c>
      <c r="CP41" s="21" t="inlineStr">
        <is>
          <t>Δ →</t>
        </is>
      </c>
      <c r="CQ41" s="261" t="n">
        <v>-0.03</v>
      </c>
      <c r="CR41" s="13" t="inlineStr">
        <is>
          <t>FY2025 +10.3%; 1H-26 +16.3% (fulfilment fees, mix shift to 3P).</t>
        </is>
      </c>
    </row>
    <row r="42" ht="15" customHeight="1" s="251">
      <c r="B42" s="25" t="inlineStr">
        <is>
          <t xml:space="preserve">  North America + International net sales (= retail product groups)</t>
        </is>
      </c>
      <c r="C42" s="211">
        <f>IF(ISNUMBER(C44),C44+C50,"")</f>
      </c>
      <c r="D42" s="211">
        <f>IF(ISNUMBER(D44),D44+D50,"")</f>
      </c>
      <c r="E42" s="211">
        <f>IF(ISNUMBER(E44),E44+E50,"")</f>
      </c>
      <c r="F42" s="211">
        <f>IF(ISNUMBER(F44),F44+F50,"")</f>
      </c>
      <c r="G42" s="211">
        <f>IF(ISNUMBER(G44),G44+G50,"")</f>
      </c>
      <c r="H42" s="211">
        <f>IF(ISNUMBER(H44),H44+H50,"")</f>
      </c>
      <c r="I42" s="211">
        <f>IF(ISNUMBER(I44),I44+I50,"")</f>
      </c>
      <c r="J42" s="211">
        <f>IF(ISNUMBER(J44),J44+J50,"")</f>
      </c>
      <c r="K42" s="211">
        <f>IF(ISNUMBER(K44),K44+K50,"")</f>
      </c>
      <c r="L42" s="211">
        <f>IF(ISNUMBER(L44),L44+L50,"")</f>
      </c>
      <c r="M42" s="211">
        <f>IF(ISNUMBER(M44),M44+M50,"")</f>
      </c>
      <c r="N42" s="211">
        <f>IF(ISNUMBER(N44),N44+N50,"")</f>
        <v>71344</v>
      </c>
      <c r="O42" s="211">
        <f>IF(ISNUMBER(O44),O44+O50,"")</f>
        <v>18691</v>
      </c>
      <c r="P42" s="211">
        <f>IF(ISNUMBER(P44),P44+P50,"")</f>
        <v>18335</v>
      </c>
      <c r="Q42" s="211">
        <f>IF(ISNUMBER(Q44),Q44+Q50,"")</f>
        <v>19410</v>
      </c>
      <c r="R42" s="211">
        <f>IF(ISNUMBER(R44),R44+R50,"")</f>
        <v>27908</v>
      </c>
      <c r="S42" s="211">
        <f>IF(ISNUMBER(S44),S44+S50,"")</f>
        <v>84344</v>
      </c>
      <c r="T42" s="211">
        <f>IF(ISNUMBER(T44),T44+T50,"")</f>
        <v>21151</v>
      </c>
      <c r="U42" s="211">
        <f>IF(ISNUMBER(U44),U44+U50,"")</f>
        <v>21361</v>
      </c>
      <c r="V42" s="211">
        <f>IF(ISNUMBER(V44),V44+V50,"")</f>
        <v>23273</v>
      </c>
      <c r="W42" s="211">
        <f>IF(ISNUMBER(W44),W44+W50,"")</f>
        <v>33342</v>
      </c>
      <c r="X42" s="211">
        <f>IF(ISNUMBER(X44),X44+X50,"")</f>
        <v>99126</v>
      </c>
      <c r="Y42" s="211">
        <f>IF(ISNUMBER(Y44),Y44+Y50,"")</f>
        <v>26562</v>
      </c>
      <c r="Z42" s="211">
        <f>IF(ISNUMBER(Z44),Z44+Z50,"")</f>
        <v>27518</v>
      </c>
      <c r="AA42" s="211">
        <f>IF(ISNUMBER(AA44),AA44+AA50,"")</f>
        <v>29483</v>
      </c>
      <c r="AB42" s="211">
        <f>IF(ISNUMBER(AB44),AB44+AB50,"")</f>
        <v>40205</v>
      </c>
      <c r="AC42" s="211">
        <f>IF(ISNUMBER(AC44),AC44+AC50,"")</f>
        <v>123768</v>
      </c>
      <c r="AD42" s="211">
        <f>IF(ISNUMBER(AD44),AD44+AD50,"")</f>
        <v>32053</v>
      </c>
      <c r="AE42" s="211">
        <f>IF(ISNUMBER(AE44),AE44+AE50,"")</f>
        <v>33855</v>
      </c>
      <c r="AF42" s="211">
        <f>IF(ISNUMBER(AF44),AF44+AF50,"")</f>
        <v>39160</v>
      </c>
      <c r="AG42" s="211">
        <f>IF(ISNUMBER(AG44),AG44+AG50,"")</f>
        <v>55340</v>
      </c>
      <c r="AH42" s="211">
        <f>IF(ISNUMBER(AH44),AH44+AH50,"")</f>
        <v>160407</v>
      </c>
      <c r="AI42" s="211">
        <f>IF(ISNUMBER(AI44),AI44+AI50,"")</f>
        <v>45600</v>
      </c>
      <c r="AJ42" s="211">
        <f>IF(ISNUMBER(AJ44),AJ44+AJ50,"")</f>
        <v>46781</v>
      </c>
      <c r="AK42" s="211">
        <f>IF(ISNUMBER(AK44),AK44+AK50,"")</f>
        <v>49897</v>
      </c>
      <c r="AL42" s="211">
        <f>IF(ISNUMBER(AL44),AL44+AL50,"")</f>
        <v>64953</v>
      </c>
      <c r="AM42" s="211">
        <f>IF(ISNUMBER(AM44),AM44+AM50,"")</f>
        <v>207232</v>
      </c>
      <c r="AN42" s="211">
        <f>IF(ISNUMBER(AN44),AN44+AN50,"")</f>
        <v>52004</v>
      </c>
      <c r="AO42" s="211">
        <f>IF(ISNUMBER(AO44),AO44+AO50,"")</f>
        <v>55023</v>
      </c>
      <c r="AP42" s="211">
        <f>IF(ISNUMBER(AP44),AP44+AP50,"")</f>
        <v>60986</v>
      </c>
      <c r="AQ42" s="211">
        <f>IF(ISNUMBER(AQ44),AQ44+AQ50,"")</f>
        <v>77483</v>
      </c>
      <c r="AR42" s="211">
        <f>IF(ISNUMBER(AR44),AR44+AR50,"")</f>
        <v>245496</v>
      </c>
      <c r="AS42" s="211">
        <f>IF(ISNUMBER(AS44),AS44+AS50,"")</f>
        <v>65233</v>
      </c>
      <c r="AT42" s="211">
        <f>IF(ISNUMBER(AT44),AT44+AT50,"")</f>
        <v>78104</v>
      </c>
      <c r="AU42" s="211">
        <f>IF(ISNUMBER(AU44),AU44+AU50,"")</f>
        <v>84544</v>
      </c>
      <c r="AV42" s="211">
        <f>IF(ISNUMBER(AV44),AV44+AV50,"")</f>
        <v>112813</v>
      </c>
      <c r="AW42" s="211">
        <f>IF(ISNUMBER(AW44),AW44+AW50,"")</f>
        <v>340694</v>
      </c>
      <c r="AX42" s="211">
        <f>IF(ISNUMBER(AX44),AX44+AX50,"")</f>
        <v>95015</v>
      </c>
      <c r="AY42" s="211">
        <f>IF(ISNUMBER(AY44),AY44+AY50,"")</f>
        <v>98271</v>
      </c>
      <c r="AZ42" s="211">
        <f>IF(ISNUMBER(AZ44),AZ44+AZ50,"")</f>
        <v>94702</v>
      </c>
      <c r="BA42" s="211">
        <f>IF(ISNUMBER(BA44),BA44+BA50,"")</f>
        <v>119632</v>
      </c>
      <c r="BB42" s="211">
        <f>IF(ISNUMBER(BB44),BB44+BB50,"")</f>
        <v>407620</v>
      </c>
      <c r="BC42" s="211">
        <f>IF(ISNUMBER(BC44),BC44+BC50,"")</f>
        <v>98003</v>
      </c>
      <c r="BD42" s="211">
        <f>IF(ISNUMBER(BD44),BD44+BD50,"")</f>
        <v>101495</v>
      </c>
      <c r="BE42" s="211">
        <f>IF(ISNUMBER(BE44),BE44+BE50,"")</f>
        <v>106563</v>
      </c>
      <c r="BF42" s="211">
        <f>IF(ISNUMBER(BF44),BF44+BF50,"")</f>
        <v>127826</v>
      </c>
      <c r="BG42" s="211">
        <f>IF(ISNUMBER(BG44),BG44+BG50,"")</f>
        <v>433887</v>
      </c>
      <c r="BH42" s="211">
        <f>IF(ISNUMBER(BH44),BH44+BH50,"")</f>
        <v>106004</v>
      </c>
      <c r="BI42" s="211">
        <f>IF(ISNUMBER(BI44),BI44+BI50,"")</f>
        <v>112243</v>
      </c>
      <c r="BJ42" s="211">
        <f>IF(ISNUMBER(BJ44),BJ44+BJ50,"")</f>
        <v>120024</v>
      </c>
      <c r="BK42" s="211">
        <f>IF(ISNUMBER(BK44),BK44+BK50,"")</f>
        <v>145757</v>
      </c>
      <c r="BL42" s="211">
        <f>IF(ISNUMBER(BL44),BL44+BL50,"")</f>
        <v>484028</v>
      </c>
      <c r="BM42" s="211">
        <f>IF(ISNUMBER(BM44),BM44+BM50,"")</f>
        <v>118276</v>
      </c>
      <c r="BN42" s="211">
        <f>IF(ISNUMBER(BN44),BN44+BN50,"")</f>
        <v>121696</v>
      </c>
      <c r="BO42" s="211">
        <f>IF(ISNUMBER(BO44),BO44+BO50,"")</f>
        <v>131425</v>
      </c>
      <c r="BP42" s="211">
        <f>IF(ISNUMBER(BP44),BP44+BP50,"")</f>
        <v>159006</v>
      </c>
      <c r="BQ42" s="211">
        <f>IF(ISNUMBER(BQ44),BQ44+BQ50,"")</f>
        <v>530403</v>
      </c>
      <c r="BR42" s="211">
        <f>IF(ISNUMBER(BR44),BR44+BR50,"")</f>
        <v>126400</v>
      </c>
      <c r="BS42" s="211">
        <f>IF(ISNUMBER(BS44),BS44+BS50,"")</f>
        <v>136829</v>
      </c>
      <c r="BT42" s="211">
        <f>IF(ISNUMBER(BT44),BT44+BT50,"")</f>
        <v>147163</v>
      </c>
      <c r="BU42" s="211">
        <f>IF(ISNUMBER(BU44),BU44+BU50,"")</f>
        <v>177807</v>
      </c>
      <c r="BV42" s="211">
        <f>IF(ISNUMBER(BV44),BV44+BV50,"")</f>
        <v>588199</v>
      </c>
      <c r="BW42" s="211">
        <f>IF(ISNUMBER(BW44),BW44+BW50,"")</f>
        <v>143932</v>
      </c>
      <c r="BX42" s="211">
        <f>IF(ISNUMBER(BX44),BX44+BX50,"")</f>
        <v>158374</v>
      </c>
      <c r="BY42" s="254">
        <f>BY11+BY14+BY17+BY20+BY23+BY29</f>
        <v>154350.212418618</v>
      </c>
      <c r="BZ42" s="254">
        <f>BZ11+BZ14+BZ17+BZ20+BZ23+BZ29</f>
        <v>195228.011112546</v>
      </c>
      <c r="CA42" s="254">
        <f>SUM(BW42:BZ42)</f>
        <v>651884.223531164</v>
      </c>
      <c r="CB42" s="254">
        <f>CB11+CB14+CB17+CB20+CB23+CB29</f>
        <v>721288.084932363</v>
      </c>
      <c r="CC42" s="254">
        <f>CC11+CC14+CC17+CC20+CC23+CC29</f>
        <v>792508.404567734</v>
      </c>
      <c r="CD42" s="254">
        <f>CD11+CD14+CD17+CD20+CD23+CD29</f>
        <v>865704.627658004</v>
      </c>
      <c r="CE42" s="254">
        <f>CE11+CE14+CE17+CE20+CE23+CE29</f>
        <v>939944.142512986</v>
      </c>
      <c r="CF42" s="19" t="n"/>
      <c r="CN42" s="25" t="inlineStr">
        <is>
          <t xml:space="preserve">  2027E</t>
        </is>
      </c>
      <c r="CO42" s="33">
        <f>CP42+$CO$41</f>
        <v>0.13</v>
      </c>
      <c r="CP42" s="258" t="n">
        <v>0.11</v>
      </c>
      <c r="CQ42" s="33">
        <f>CP42+$CQ$41</f>
        <v>0.08</v>
      </c>
    </row>
    <row r="43" ht="15" customHeight="1" s="251">
      <c r="B43" s="25" t="inlineStr">
        <is>
          <t xml:space="preserve">  North America share of NA + International net sales</t>
        </is>
      </c>
      <c r="C43" s="215">
        <f>IF(AND(ISNUMBER(C44),ISNUMBER(C42)),IFERROR(C44/C42,""),"")</f>
      </c>
      <c r="D43" s="215">
        <f>IF(AND(ISNUMBER(D44),ISNUMBER(D42)),IFERROR(D44/D42,""),"")</f>
      </c>
      <c r="E43" s="215">
        <f>IF(AND(ISNUMBER(E44),ISNUMBER(E42)),IFERROR(E44/E42,""),"")</f>
      </c>
      <c r="F43" s="215">
        <f>IF(AND(ISNUMBER(F44),ISNUMBER(F42)),IFERROR(F44/F42,""),"")</f>
      </c>
      <c r="G43" s="215">
        <f>IF(AND(ISNUMBER(G44),ISNUMBER(G42)),IFERROR(G44/G42,""),"")</f>
      </c>
      <c r="H43" s="215">
        <f>IF(AND(ISNUMBER(H44),ISNUMBER(H42)),IFERROR(H44/H42,""),"")</f>
      </c>
      <c r="I43" s="215">
        <f>IF(AND(ISNUMBER(I44),ISNUMBER(I42)),IFERROR(I44/I42,""),"")</f>
      </c>
      <c r="J43" s="215">
        <f>IF(AND(ISNUMBER(J44),ISNUMBER(J42)),IFERROR(J44/J42,""),"")</f>
      </c>
      <c r="K43" s="215">
        <f>IF(AND(ISNUMBER(K44),ISNUMBER(K42)),IFERROR(K44/K42,""),"")</f>
      </c>
      <c r="L43" s="215">
        <f>IF(AND(ISNUMBER(L44),ISNUMBER(L42)),IFERROR(L44/L42,""),"")</f>
      </c>
      <c r="M43" s="215">
        <f>IF(AND(ISNUMBER(M44),ISNUMBER(M42)),IFERROR(M44/M42,""),"")</f>
      </c>
      <c r="N43" s="215">
        <f>IF(AND(ISNUMBER(N44),ISNUMBER(N42)),IFERROR(N44/N42,""),"")</f>
        <v>0.580427225835389</v>
      </c>
      <c r="O43" s="215">
        <f>IF(AND(ISNUMBER(O44),ISNUMBER(O42)),IFERROR(O44/O42,""),"")</f>
        <v>0.578246214755765</v>
      </c>
      <c r="P43" s="215">
        <f>IF(AND(ISNUMBER(P44),ISNUMBER(P42)),IFERROR(P44/P42,""),"")</f>
        <v>0.59961821652577</v>
      </c>
      <c r="Q43" s="215">
        <f>IF(AND(ISNUMBER(Q44),ISNUMBER(Q42)),IFERROR(Q44/Q42,""),"")</f>
        <v>0.602730551262236</v>
      </c>
      <c r="R43" s="215">
        <f>IF(AND(ISNUMBER(R44),ISNUMBER(R42)),IFERROR(R44/R42,""),"")</f>
        <v>0.621076393865558</v>
      </c>
      <c r="S43" s="215">
        <f>IF(AND(ISNUMBER(S44),ISNUMBER(S42)),IFERROR(S44/S42,""),"")</f>
        <v>0.602698472920421</v>
      </c>
      <c r="T43" s="215">
        <f>IF(AND(ISNUMBER(T44),ISNUMBER(T42)),IFERROR(T44/T42,""),"")</f>
        <v>0.633823459883694</v>
      </c>
      <c r="U43" s="215">
        <f>IF(AND(ISNUMBER(U44),ISNUMBER(U42)),IFERROR(U44/U42,""),"")</f>
        <v>0.645849913393568</v>
      </c>
      <c r="V43" s="215">
        <f>IF(AND(ISNUMBER(V44),ISNUMBER(V42)),IFERROR(V44/V42,""),"")</f>
        <v>0.644781506466721</v>
      </c>
      <c r="W43" s="215">
        <f>IF(AND(ISNUMBER(W44),ISNUMBER(W42)),IFERROR(W44/W42,""),"")</f>
        <v>0.644862335792694</v>
      </c>
      <c r="X43" s="215">
        <f>IF(AND(ISNUMBER(X44),ISNUMBER(X42)),IFERROR(X44/X42,""),"")</f>
        <v>0.642697173294595</v>
      </c>
      <c r="Y43" s="215">
        <f>IF(AND(ISNUMBER(Y44),ISNUMBER(Y42)),IFERROR(Y44/Y42,""),"")</f>
        <v>0.639861456215646</v>
      </c>
      <c r="Z43" s="215">
        <f>IF(AND(ISNUMBER(Z44),ISNUMBER(Z42)),IFERROR(Z44/Z42,""),"")</f>
        <v>0.642270513845483</v>
      </c>
      <c r="AA43" s="215">
        <f>IF(AND(ISNUMBER(AA44),ISNUMBER(AA42)),IFERROR(AA44/AA42,""),"")</f>
        <v>0.640165519112709</v>
      </c>
      <c r="AB43" s="215">
        <f>IF(AND(ISNUMBER(AB44),ISNUMBER(AB42)),IFERROR(AB44/AB42,""),"")</f>
        <v>0.652655142395225</v>
      </c>
      <c r="AC43" s="215">
        <f>IF(AND(ISNUMBER(AC44),ISNUMBER(AC42)),IFERROR(AC44/AC42,""),"")</f>
        <v>0.644633507853403</v>
      </c>
      <c r="AD43" s="215">
        <f>IF(AND(ISNUMBER(AD44),ISNUMBER(AD42)),IFERROR(AD44/AD42,""),"")</f>
        <v>0.654915296540106</v>
      </c>
      <c r="AE43" s="215">
        <f>IF(AND(ISNUMBER(AE44),ISNUMBER(AE42)),IFERROR(AE44/AE42,""),"")</f>
        <v>0.660759119775513</v>
      </c>
      <c r="AF43" s="215">
        <f>IF(AND(ISNUMBER(AF44),ISNUMBER(AF42)),IFERROR(AF44/AF42,""),"")</f>
        <v>0.64979570990807</v>
      </c>
      <c r="AG43" s="215">
        <f>IF(AND(ISNUMBER(AG44),ISNUMBER(AG42)),IFERROR(AG44/AG42,""),"")</f>
        <v>0.674051319118179</v>
      </c>
      <c r="AH43" s="215">
        <f>IF(AND(ISNUMBER(AH44),ISNUMBER(AH42)),IFERROR(AH44/AH42,""),"")</f>
        <v>0.661504797172193</v>
      </c>
      <c r="AI43" s="215">
        <f>IF(AND(ISNUMBER(AI44),ISNUMBER(AI42)),IFERROR(AI44/AI42,""),"")</f>
        <v>0.673793859649123</v>
      </c>
      <c r="AJ43" s="215">
        <f>IF(AND(ISNUMBER(AJ44),ISNUMBER(AJ42)),IFERROR(AJ44/AJ42,""),"")</f>
        <v>0.687650969410658</v>
      </c>
      <c r="AK43" s="215">
        <f>IF(AND(ISNUMBER(AK44),ISNUMBER(AK42)),IFERROR(AK44/AK42,""),"")</f>
        <v>0.68837805880113</v>
      </c>
      <c r="AL43" s="215">
        <f>IF(AND(ISNUMBER(AL44),ISNUMBER(AL42)),IFERROR(AL44/AL42,""),"")</f>
        <v>0.679321971271535</v>
      </c>
      <c r="AM43" s="215">
        <f>IF(AND(ISNUMBER(AM44),ISNUMBER(AM42)),IFERROR(AM44/AM42,""),"")</f>
        <v>0.682162986411365</v>
      </c>
      <c r="AN43" s="215">
        <f>IF(AND(ISNUMBER(AN44),ISNUMBER(AN42)),IFERROR(AN44/AN42,""),"")</f>
        <v>0.688639335435736</v>
      </c>
      <c r="AO43" s="215">
        <f>IF(AND(ISNUMBER(AO44),ISNUMBER(AO42)),IFERROR(AO44/AO42,""),"")</f>
        <v>0.702488050451629</v>
      </c>
      <c r="AP43" s="215">
        <f>IF(AND(ISNUMBER(AP44),ISNUMBER(AP42)),IFERROR(AP44/AP42,""),"")</f>
        <v>0.699144065851179</v>
      </c>
      <c r="AQ43" s="215">
        <f>IF(AND(ISNUMBER(AQ44),ISNUMBER(AQ42)),IFERROR(AQ44/AQ42,""),"")</f>
        <v>0.69266806912484</v>
      </c>
      <c r="AR43" s="215">
        <f>IF(AND(ISNUMBER(AR44),ISNUMBER(AR42)),IFERROR(AR44/AR42,""),"")</f>
        <v>0.695624368625151</v>
      </c>
      <c r="AS43" s="215">
        <f>IF(AND(ISNUMBER(AS44),ISNUMBER(AS42)),IFERROR(AS44/AS42,""),"")</f>
        <v>0.707111431330768</v>
      </c>
      <c r="AT43" s="215">
        <f>IF(AND(ISNUMBER(AT44),ISNUMBER(AT42)),IFERROR(AT44/AT42,""),"")</f>
        <v>0.709771586602479</v>
      </c>
      <c r="AU43" s="215">
        <f>IF(AND(ISNUMBER(AU44),ISNUMBER(AU42)),IFERROR(AU44/AU42,""),"")</f>
        <v>0.702273372445117</v>
      </c>
      <c r="AV43" s="215">
        <f>IF(AND(ISNUMBER(AV44),ISNUMBER(AV42)),IFERROR(AV44/AV42,""),"")</f>
        <v>0.667884020458635</v>
      </c>
      <c r="AW43" s="215">
        <f>IF(AND(ISNUMBER(AW44),ISNUMBER(AW42)),IFERROR(AW44/AW42,""),"")</f>
        <v>0.693531438769101</v>
      </c>
      <c r="AX43" s="215">
        <f>IF(AND(ISNUMBER(AX44),ISNUMBER(AX42)),IFERROR(AX44/AX42,""),"")</f>
        <v>0.677429879492712</v>
      </c>
      <c r="AY43" s="215">
        <f>IF(AND(ISNUMBER(AY44),ISNUMBER(AY42)),IFERROR(AY44/AY42,""),"")</f>
        <v>0.687384884655697</v>
      </c>
      <c r="AZ43" s="215">
        <f>IF(AND(ISNUMBER(AZ44),ISNUMBER(AZ42)),IFERROR(AZ44/AZ42,""),"")</f>
        <v>0.692245147937742</v>
      </c>
      <c r="BA43" s="215">
        <f>IF(AND(ISNUMBER(BA44),ISNUMBER(BA42)),IFERROR(BA44/BA42,""),"")</f>
        <v>0.688444563327538</v>
      </c>
      <c r="BB43" s="215">
        <f>IF(AND(ISNUMBER(BB44),ISNUMBER(BB42)),IFERROR(BB44/BB42,""),"")</f>
        <v>0.686504587606104</v>
      </c>
      <c r="BC43" s="215">
        <f>IF(AND(ISNUMBER(BC44),ISNUMBER(BC42)),IFERROR(BC44/BC42,""),"")</f>
        <v>0.706549799495934</v>
      </c>
      <c r="BD43" s="215">
        <f>IF(AND(ISNUMBER(BD44),ISNUMBER(BD42)),IFERROR(BD44/BD42,""),"")</f>
        <v>0.733336617567368</v>
      </c>
      <c r="BE43" s="215">
        <f>IF(AND(ISNUMBER(BE44),ISNUMBER(BE42)),IFERROR(BE44/BE42,""),"")</f>
        <v>0.739872188282988</v>
      </c>
      <c r="BF43" s="215">
        <f>IF(AND(ISNUMBER(BF44),ISNUMBER(BF42)),IFERROR(BF44/BF42,""),"")</f>
        <v>0.73039131319137</v>
      </c>
      <c r="BG43" s="215">
        <f>IF(AND(ISNUMBER(BG44),ISNUMBER(BG42)),IFERROR(BG44/BG42,""),"")</f>
        <v>0.728023655928848</v>
      </c>
      <c r="BH43" s="215">
        <f>IF(AND(ISNUMBER(BH44),ISNUMBER(BH42)),IFERROR(BH44/BH42,""),"")</f>
        <v>0.72526508433644</v>
      </c>
      <c r="BI43" s="215">
        <f>IF(AND(ISNUMBER(BI44),ISNUMBER(BI42)),IFERROR(BI44/BI42,""),"")</f>
        <v>0.735422253503559</v>
      </c>
      <c r="BJ43" s="215">
        <f>IF(AND(ISNUMBER(BJ44),ISNUMBER(BJ42)),IFERROR(BJ44/BJ42,""),"")</f>
        <v>0.732245217623142</v>
      </c>
      <c r="BK43" s="215">
        <f>IF(AND(ISNUMBER(BK44),ISNUMBER(BK42)),IFERROR(BK44/BK42,""),"")</f>
        <v>0.723903483194632</v>
      </c>
      <c r="BL43" s="215">
        <f>IF(AND(ISNUMBER(BL44),ISNUMBER(BL42)),IFERROR(BL44/BL42,""),"")</f>
        <v>0.728941300916476</v>
      </c>
      <c r="BM43" s="215">
        <f>IF(AND(ISNUMBER(BM44),ISNUMBER(BM42)),IFERROR(BM44/BM42,""),"")</f>
        <v>0.729995941695695</v>
      </c>
      <c r="BN43" s="215">
        <f>IF(AND(ISNUMBER(BN44),ISNUMBER(BN42)),IFERROR(BN44/BN42,""),"")</f>
        <v>0.739818892979227</v>
      </c>
      <c r="BO43" s="215">
        <f>IF(AND(ISNUMBER(BO44),ISNUMBER(BO42)),IFERROR(BO44/BO42,""),"")</f>
        <v>0.726931710100818</v>
      </c>
      <c r="BP43" s="215">
        <f>IF(AND(ISNUMBER(BP44),ISNUMBER(BP42)),IFERROR(BP44/BP42,""),"")</f>
        <v>0.726928543576972</v>
      </c>
      <c r="BQ43" s="215">
        <f>IF(AND(ISNUMBER(BQ44),ISNUMBER(BQ42)),IFERROR(BQ44/BQ42,""),"")</f>
        <v>0.730570905519011</v>
      </c>
      <c r="BR43" s="215">
        <f>IF(AND(ISNUMBER(BR44),ISNUMBER(BR42)),IFERROR(BR44/BR42,""),"")</f>
        <v>0.734865506329114</v>
      </c>
      <c r="BS43" s="215">
        <f>IF(AND(ISNUMBER(BS44),ISNUMBER(BS42)),IFERROR(BS44/BS42,""),"")</f>
        <v>0.731336193350825</v>
      </c>
      <c r="BT43" s="215">
        <f>IF(AND(ISNUMBER(BT44),ISNUMBER(BT42)),IFERROR(BT44/BT42,""),"")</f>
        <v>0.722104061482846</v>
      </c>
      <c r="BU43" s="215">
        <f>IF(AND(ISNUMBER(BU44),ISNUMBER(BU42)),IFERROR(BU44/BU42,""),"")</f>
        <v>0.714724392178036</v>
      </c>
      <c r="BV43" s="215">
        <f>IF(AND(ISNUMBER(BV44),ISNUMBER(BV42)),IFERROR(BV44/BV42,""),"")</f>
        <v>0.724763217890544</v>
      </c>
      <c r="BW43" s="215">
        <f>IF(AND(ISNUMBER(BW44),ISNUMBER(BW42)),IFERROR(BW44/BW42,""),"")</f>
        <v>0.72355695745213</v>
      </c>
      <c r="BX43" s="215">
        <f>IF(AND(ISNUMBER(BX44),ISNUMBER(BX42)),IFERROR(BX44/BX42,""),"")</f>
        <v>0.733561064316113</v>
      </c>
      <c r="BY43" s="256">
        <f>BT43+IFERROR(SUM(BW44:BX44)/SUM(BW42:BX42)-SUM(BR44:BS44)/SUM(BR42:BS42),0)</f>
        <v>0.717871099356355</v>
      </c>
      <c r="BZ43" s="256">
        <f>BU43+IFERROR(SUM(BW44:BX44)/SUM(BW42:BX42)-SUM(BR44:BS44)/SUM(BR42:BS42),0)</f>
        <v>0.710491430051545</v>
      </c>
      <c r="CA43" s="256">
        <f>IF(AND(ISNUMBER(CA44),ISNUMBER(CA42)),IFERROR(CA44/CA42,""),"")</f>
        <v>0.720728265107111</v>
      </c>
      <c r="CB43" s="256">
        <f>CA43</f>
        <v>0.720728265107111</v>
      </c>
      <c r="CC43" s="256">
        <f>CB43</f>
        <v>0.720728265107111</v>
      </c>
      <c r="CD43" s="256">
        <f>CC43</f>
        <v>0.720728265107111</v>
      </c>
      <c r="CE43" s="256">
        <f>CD43</f>
        <v>0.720728265107111</v>
      </c>
      <c r="CF43" s="153" t="inlineStr">
        <is>
          <t>Q3/Q4-26E: prior-year quarter share + 1H-26 y/y drift. 2027E+: held at the prior-year share.</t>
        </is>
      </c>
      <c r="CH43" s="37">
        <f>IFERROR(AVERAGE(CA43,CB43,CC43,CD43,CE43),"n/m")</f>
        <v>0.720728265107111</v>
      </c>
      <c r="CI43" s="37">
        <f>IFERROR(AVERAGE(BB43,BG43,BL43,BQ43,BV43),"n/m")</f>
        <v>0.719760733572197</v>
      </c>
      <c r="CJ43" s="37">
        <f>IFERROR(AVERAGE(AC43,AH43,AM43,AR43,AW43,BB43,BG43,BL43,BQ43,BV43),"n/m")</f>
        <v>0.69762607666922</v>
      </c>
      <c r="CK43" s="37">
        <f>IFERROR(AVERAGE(C43,D43,E43,F43,G43,H43,I43,N43,S43,X43,AC43,AH43,AM43,AR43,AW43,BB43,BG43,BL43,BQ43,BV43),"n/m")</f>
        <v>0.677083356826354</v>
      </c>
      <c r="CN43" s="25" t="inlineStr">
        <is>
          <t xml:space="preserve">  2028E</t>
        </is>
      </c>
      <c r="CO43" s="33">
        <f>CP43+$CO$41</f>
        <v>0.12</v>
      </c>
      <c r="CP43" s="258" t="n">
        <v>0.1</v>
      </c>
      <c r="CQ43" s="33">
        <f>CP43+$CQ$41</f>
        <v>0.07</v>
      </c>
    </row>
    <row r="44" ht="15" customHeight="1" s="251">
      <c r="B44" s="16" t="inlineStr">
        <is>
          <t xml:space="preserve">  North America — segment net sales</t>
        </is>
      </c>
      <c r="C44" s="43" t="n"/>
      <c r="D44" s="43" t="n"/>
      <c r="E44" s="43" t="n"/>
      <c r="F44" s="43" t="n"/>
      <c r="G44" s="43" t="n"/>
      <c r="H44" s="43" t="n"/>
      <c r="I44" s="43" t="n"/>
      <c r="J44" s="43" t="n"/>
      <c r="K44" s="43" t="n"/>
      <c r="L44" s="43" t="n"/>
      <c r="M44" s="43" t="n"/>
      <c r="N44" s="264" t="n">
        <v>41410</v>
      </c>
      <c r="O44" s="264" t="n">
        <v>10808</v>
      </c>
      <c r="P44" s="264" t="n">
        <v>10994</v>
      </c>
      <c r="Q44" s="264" t="n">
        <v>11699</v>
      </c>
      <c r="R44" s="264" t="n">
        <v>17333</v>
      </c>
      <c r="S44" s="264" t="n">
        <v>50834</v>
      </c>
      <c r="T44" s="264" t="n">
        <v>13406</v>
      </c>
      <c r="U44" s="264" t="n">
        <v>13796</v>
      </c>
      <c r="V44" s="264" t="n">
        <v>15006</v>
      </c>
      <c r="W44" s="264" t="n">
        <v>21501</v>
      </c>
      <c r="X44" s="264" t="n">
        <v>63708</v>
      </c>
      <c r="Y44" s="264" t="n">
        <v>16996</v>
      </c>
      <c r="Z44" s="264" t="n">
        <v>17674</v>
      </c>
      <c r="AA44" s="264" t="n">
        <v>18874</v>
      </c>
      <c r="AB44" s="264" t="n">
        <v>26240</v>
      </c>
      <c r="AC44" s="264" t="n">
        <v>79785</v>
      </c>
      <c r="AD44" s="264" t="n">
        <v>20992</v>
      </c>
      <c r="AE44" s="264" t="n">
        <v>22370</v>
      </c>
      <c r="AF44" s="264" t="n">
        <v>25446</v>
      </c>
      <c r="AG44" s="264" t="n">
        <v>37302</v>
      </c>
      <c r="AH44" s="264" t="n">
        <v>106110</v>
      </c>
      <c r="AI44" s="264" t="n">
        <v>30725</v>
      </c>
      <c r="AJ44" s="264" t="n">
        <v>32169</v>
      </c>
      <c r="AK44" s="264" t="n">
        <v>34348</v>
      </c>
      <c r="AL44" s="264" t="n">
        <v>44124</v>
      </c>
      <c r="AM44" s="264" t="n">
        <v>141366</v>
      </c>
      <c r="AN44" s="264" t="n">
        <v>35812</v>
      </c>
      <c r="AO44" s="264" t="n">
        <v>38653</v>
      </c>
      <c r="AP44" s="264" t="n">
        <v>42638</v>
      </c>
      <c r="AQ44" s="264" t="n">
        <v>53670</v>
      </c>
      <c r="AR44" s="264" t="n">
        <v>170773</v>
      </c>
      <c r="AS44" s="264" t="n">
        <v>46127</v>
      </c>
      <c r="AT44" s="264" t="n">
        <v>55436</v>
      </c>
      <c r="AU44" s="264" t="n">
        <v>59373</v>
      </c>
      <c r="AV44" s="264" t="n">
        <v>75346</v>
      </c>
      <c r="AW44" s="264" t="n">
        <v>236282</v>
      </c>
      <c r="AX44" s="264" t="n">
        <v>64366</v>
      </c>
      <c r="AY44" s="264" t="n">
        <v>67550</v>
      </c>
      <c r="AZ44" s="264" t="n">
        <v>65557</v>
      </c>
      <c r="BA44" s="264" t="n">
        <v>82360</v>
      </c>
      <c r="BB44" s="264" t="n">
        <v>279833</v>
      </c>
      <c r="BC44" s="264" t="n">
        <v>69244</v>
      </c>
      <c r="BD44" s="264" t="n">
        <v>74430</v>
      </c>
      <c r="BE44" s="264" t="n">
        <v>78843</v>
      </c>
      <c r="BF44" s="264" t="n">
        <v>93363</v>
      </c>
      <c r="BG44" s="264" t="n">
        <v>315880</v>
      </c>
      <c r="BH44" s="264" t="n">
        <v>76881</v>
      </c>
      <c r="BI44" s="264" t="n">
        <v>82546</v>
      </c>
      <c r="BJ44" s="264" t="n">
        <v>87887</v>
      </c>
      <c r="BK44" s="264" t="n">
        <v>105514</v>
      </c>
      <c r="BL44" s="264" t="n">
        <v>352828</v>
      </c>
      <c r="BM44" s="264" t="n">
        <v>86341</v>
      </c>
      <c r="BN44" s="264" t="n">
        <v>90033</v>
      </c>
      <c r="BO44" s="264" t="n">
        <v>95537</v>
      </c>
      <c r="BP44" s="264" t="n">
        <v>115586</v>
      </c>
      <c r="BQ44" s="264" t="n">
        <v>387497</v>
      </c>
      <c r="BR44" s="264" t="n">
        <v>92887</v>
      </c>
      <c r="BS44" s="264" t="n">
        <v>100068</v>
      </c>
      <c r="BT44" s="264" t="n">
        <v>106267</v>
      </c>
      <c r="BU44" s="264" t="n">
        <v>127083</v>
      </c>
      <c r="BV44" s="264" t="n">
        <v>426305</v>
      </c>
      <c r="BW44" s="264" t="n">
        <v>104143</v>
      </c>
      <c r="BX44" s="264" t="n">
        <v>116177</v>
      </c>
      <c r="BY44" s="265">
        <f>BY42*BY43</f>
        <v>110803.55667484</v>
      </c>
      <c r="BZ44" s="265">
        <f>BZ42*BZ43</f>
        <v>138707.828801471</v>
      </c>
      <c r="CA44" s="265">
        <f>SUM(BW44:BZ44)</f>
        <v>469831.385476312</v>
      </c>
      <c r="CB44" s="265">
        <f>CB42*CB43</f>
        <v>519852.710095733</v>
      </c>
      <c r="CC44" s="265">
        <f>CC42*CC43</f>
        <v>571183.207506907</v>
      </c>
      <c r="CD44" s="265">
        <f>CD42*CD43</f>
        <v>623937.794387151</v>
      </c>
      <c r="CE44" s="265">
        <f>CE42*CE43</f>
        <v>677444.311130976</v>
      </c>
      <c r="CF44" s="153" t="inlineStr">
        <is>
          <t>U.S. / Canada consumer-facing sales (incl. Whole Foods from Aug-2017). Forecast = retail groups × NA share.</t>
        </is>
      </c>
      <c r="CH44" s="20">
        <f>IFERROR((CE44/BV44)^(1/5)-1,"n/m")</f>
        <v>0.0970606422532272</v>
      </c>
      <c r="CI44" s="20">
        <f>IFERROR((BV44/AW44)^(1/5)-1,"n/m")</f>
        <v>0.125273153301295</v>
      </c>
      <c r="CJ44" s="20">
        <f>IFERROR((BV44/X44)^(1/10)-1,"n/m")</f>
        <v>0.209351772577657</v>
      </c>
      <c r="CK44" s="20" t="str">
        <f>IFERROR((BV44/C44)^(1/19)-1,"n/m")</f>
        <v>n/m</v>
      </c>
      <c r="CN44" s="25" t="inlineStr">
        <is>
          <t xml:space="preserve">  2029E</t>
        </is>
      </c>
      <c r="CO44" s="33">
        <f>CP44+$CO$41</f>
        <v>0.115</v>
      </c>
      <c r="CP44" s="258" t="n">
        <v>0.095</v>
      </c>
      <c r="CQ44" s="33">
        <f>CP44+$CQ$41</f>
        <v>0.065</v>
      </c>
    </row>
    <row r="45" ht="15" customHeight="1" s="251">
      <c r="B45" s="22" t="inlineStr">
        <is>
          <t xml:space="preserve">    y/y %</t>
        </is>
      </c>
      <c r="D45" s="255">
        <f>IF(AND(ISNUMBER(D44),ISNUMBER(C44)),IFERROR(D44/C44-1,""),"")</f>
      </c>
      <c r="E45" s="255">
        <f>IF(AND(ISNUMBER(E44),ISNUMBER(D44)),IFERROR(E44/D44-1,""),"")</f>
      </c>
      <c r="F45" s="255">
        <f>IF(AND(ISNUMBER(F44),ISNUMBER(E44)),IFERROR(F44/E44-1,""),"")</f>
      </c>
      <c r="G45" s="255">
        <f>IF(AND(ISNUMBER(G44),ISNUMBER(F44)),IFERROR(G44/F44-1,""),"")</f>
      </c>
      <c r="H45" s="255">
        <f>IF(AND(ISNUMBER(H44),ISNUMBER(G44)),IFERROR(H44/G44-1,""),"")</f>
      </c>
      <c r="I45" s="255">
        <f>IF(AND(ISNUMBER(I44),ISNUMBER(H44)),IFERROR(I44/H44-1,""),"")</f>
      </c>
      <c r="N45" s="255">
        <f>IF(AND(ISNUMBER(N44),ISNUMBER(I44)),IFERROR(N44/I44-1,""),"")</f>
      </c>
      <c r="O45" s="255">
        <f>IF(AND(ISNUMBER(O44),ISNUMBER(J44)),IFERROR(O44/J44-1,""),"")</f>
      </c>
      <c r="P45" s="255">
        <f>IF(AND(ISNUMBER(P44),ISNUMBER(K44)),IFERROR(P44/K44-1,""),"")</f>
      </c>
      <c r="Q45" s="255">
        <f>IF(AND(ISNUMBER(Q44),ISNUMBER(L44)),IFERROR(Q44/L44-1,""),"")</f>
      </c>
      <c r="R45" s="255">
        <f>IF(AND(ISNUMBER(R44),ISNUMBER(M44)),IFERROR(R44/M44-1,""),"")</f>
      </c>
      <c r="S45" s="255">
        <f>IF(AND(ISNUMBER(S44),ISNUMBER(N44)),IFERROR(S44/N44-1,""),"")</f>
        <v>0.227577879739193</v>
      </c>
      <c r="T45" s="255">
        <f>IF(AND(ISNUMBER(T44),ISNUMBER(O44)),IFERROR(T44/O44-1,""),"")</f>
        <v>0.240377498149519</v>
      </c>
      <c r="U45" s="255">
        <f>IF(AND(ISNUMBER(U44),ISNUMBER(P44)),IFERROR(U44/P44-1,""),"")</f>
        <v>0.25486629070402</v>
      </c>
      <c r="V45" s="255">
        <f>IF(AND(ISNUMBER(V44),ISNUMBER(Q44)),IFERROR(V44/Q44-1,""),"")</f>
        <v>0.282673732797675</v>
      </c>
      <c r="W45" s="255">
        <f>IF(AND(ISNUMBER(W44),ISNUMBER(R44)),IFERROR(W44/R44-1,""),"")</f>
        <v>0.240466162810823</v>
      </c>
      <c r="X45" s="255">
        <f>IF(AND(ISNUMBER(X44),ISNUMBER(S44)),IFERROR(X44/S44-1,""),"")</f>
        <v>0.253255695007279</v>
      </c>
      <c r="Y45" s="255">
        <f>IF(AND(ISNUMBER(Y44),ISNUMBER(T44)),IFERROR(Y44/T44-1,""),"")</f>
        <v>0.26779054154856</v>
      </c>
      <c r="Z45" s="255">
        <f>IF(AND(ISNUMBER(Z44),ISNUMBER(U44)),IFERROR(Z44/U44-1,""),"")</f>
        <v>0.281095969846332</v>
      </c>
      <c r="AA45" s="255">
        <f>IF(AND(ISNUMBER(AA44),ISNUMBER(V44)),IFERROR(AA44/V44-1,""),"")</f>
        <v>0.25776356124217</v>
      </c>
      <c r="AB45" s="255">
        <f>IF(AND(ISNUMBER(AB44),ISNUMBER(W44)),IFERROR(AB44/W44-1,""),"")</f>
        <v>0.220408353099856</v>
      </c>
      <c r="AC45" s="255">
        <f>IF(AND(ISNUMBER(AC44),ISNUMBER(X44)),IFERROR(AC44/X44-1,""),"")</f>
        <v>0.252354492371445</v>
      </c>
      <c r="AD45" s="255">
        <f>IF(AND(ISNUMBER(AD44),ISNUMBER(Y44)),IFERROR(AD44/Y44-1,""),"")</f>
        <v>0.235114144504589</v>
      </c>
      <c r="AE45" s="255">
        <f>IF(AND(ISNUMBER(AE44),ISNUMBER(Z44)),IFERROR(AE44/Z44-1,""),"")</f>
        <v>0.265701029761231</v>
      </c>
      <c r="AF45" s="255">
        <f>IF(AND(ISNUMBER(AF44),ISNUMBER(AA44)),IFERROR(AF44/AA44-1,""),"")</f>
        <v>0.348203878351171</v>
      </c>
      <c r="AG45" s="255">
        <f>IF(AND(ISNUMBER(AG44),ISNUMBER(AB44)),IFERROR(AG44/AB44-1,""),"")</f>
        <v>0.42157012195122</v>
      </c>
      <c r="AH45" s="255">
        <f>IF(AND(ISNUMBER(AH44),ISNUMBER(AC44)),IFERROR(AH44/AC44-1,""),"")</f>
        <v>0.32994923857868</v>
      </c>
      <c r="AI45" s="255">
        <f>IF(AND(ISNUMBER(AI44),ISNUMBER(AD44)),IFERROR(AI44/AD44-1,""),"")</f>
        <v>0.463652820121951</v>
      </c>
      <c r="AJ45" s="255">
        <f>IF(AND(ISNUMBER(AJ44),ISNUMBER(AE44)),IFERROR(AJ44/AE44-1,""),"")</f>
        <v>0.438042020563254</v>
      </c>
      <c r="AK45" s="255">
        <f>IF(AND(ISNUMBER(AK44),ISNUMBER(AF44)),IFERROR(AK44/AF44-1,""),"")</f>
        <v>0.34983887447929</v>
      </c>
      <c r="AL45" s="255">
        <f>IF(AND(ISNUMBER(AL44),ISNUMBER(AG44)),IFERROR(AL44/AG44-1,""),"")</f>
        <v>0.182885636158919</v>
      </c>
      <c r="AM45" s="255">
        <f>IF(AND(ISNUMBER(AM44),ISNUMBER(AH44)),IFERROR(AM44/AH44-1,""),"")</f>
        <v>0.332258976533786</v>
      </c>
      <c r="AN45" s="255">
        <f>IF(AND(ISNUMBER(AN44),ISNUMBER(AI44)),IFERROR(AN44/AI44-1,""),"")</f>
        <v>0.165565500406835</v>
      </c>
      <c r="AO45" s="255">
        <f>IF(AND(ISNUMBER(AO44),ISNUMBER(AJ44)),IFERROR(AO44/AJ44-1,""),"")</f>
        <v>0.201560508564146</v>
      </c>
      <c r="AP45" s="255">
        <f>IF(AND(ISNUMBER(AP44),ISNUMBER(AK44)),IFERROR(AP44/AK44-1,""),"")</f>
        <v>0.241353208338186</v>
      </c>
      <c r="AQ45" s="255">
        <f>IF(AND(ISNUMBER(AQ44),ISNUMBER(AL44)),IFERROR(AQ44/AL44-1,""),"")</f>
        <v>0.216344846342127</v>
      </c>
      <c r="AR45" s="255">
        <f>IF(AND(ISNUMBER(AR44),ISNUMBER(AM44)),IFERROR(AR44/AM44-1,""),"")</f>
        <v>0.208020316059024</v>
      </c>
      <c r="AS45" s="255">
        <f>IF(AND(ISNUMBER(AS44),ISNUMBER(AN44)),IFERROR(AS44/AN44-1,""),"")</f>
        <v>0.288031944599576</v>
      </c>
      <c r="AT45" s="255">
        <f>IF(AND(ISNUMBER(AT44),ISNUMBER(AO44)),IFERROR(AT44/AO44-1,""),"")</f>
        <v>0.434196569477143</v>
      </c>
      <c r="AU45" s="255">
        <f>IF(AND(ISNUMBER(AU44),ISNUMBER(AP44)),IFERROR(AU44/AP44-1,""),"")</f>
        <v>0.392490266898072</v>
      </c>
      <c r="AV45" s="255">
        <f>IF(AND(ISNUMBER(AV44),ISNUMBER(AQ44)),IFERROR(AV44/AQ44-1,""),"")</f>
        <v>0.403875535681014</v>
      </c>
      <c r="AW45" s="255">
        <f>IF(AND(ISNUMBER(AW44),ISNUMBER(AR44)),IFERROR(AW44/AR44-1,""),"")</f>
        <v>0.383602794352737</v>
      </c>
      <c r="AX45" s="255">
        <f>IF(AND(ISNUMBER(AX44),ISNUMBER(AS44)),IFERROR(AX44/AS44-1,""),"")</f>
        <v>0.395408329178139</v>
      </c>
      <c r="AY45" s="255">
        <f>IF(AND(ISNUMBER(AY44),ISNUMBER(AT44)),IFERROR(AY44/AT44-1,""),"")</f>
        <v>0.218522259903312</v>
      </c>
      <c r="AZ45" s="255">
        <f>IF(AND(ISNUMBER(AZ44),ISNUMBER(AU44)),IFERROR(AZ44/AU44-1,""),"")</f>
        <v>0.104155087329257</v>
      </c>
      <c r="BA45" s="255">
        <f>IF(AND(ISNUMBER(BA44),ISNUMBER(AV44)),IFERROR(BA44/AV44-1,""),"")</f>
        <v>0.0930905422981976</v>
      </c>
      <c r="BB45" s="255">
        <f>IF(AND(ISNUMBER(BB44),ISNUMBER(AW44)),IFERROR(BB44/AW44-1,""),"")</f>
        <v>0.184317891333238</v>
      </c>
      <c r="BC45" s="255">
        <f>IF(AND(ISNUMBER(BC44),ISNUMBER(AX44)),IFERROR(BC44/AX44-1,""),"")</f>
        <v>0.0757853525153032</v>
      </c>
      <c r="BD45" s="255">
        <f>IF(AND(ISNUMBER(BD44),ISNUMBER(AY44)),IFERROR(BD44/AY44-1,""),"")</f>
        <v>0.101850481125092</v>
      </c>
      <c r="BE45" s="255">
        <f>IF(AND(ISNUMBER(BE44),ISNUMBER(AZ44)),IFERROR(BE44/AZ44-1,""),"")</f>
        <v>0.202663331146941</v>
      </c>
      <c r="BF45" s="255">
        <f>IF(AND(ISNUMBER(BF44),ISNUMBER(BA44)),IFERROR(BF44/BA44-1,""),"")</f>
        <v>0.133596406022341</v>
      </c>
      <c r="BG45" s="255">
        <f>IF(AND(ISNUMBER(BG44),ISNUMBER(BB44)),IFERROR(BG44/BB44-1,""),"")</f>
        <v>0.128816115325927</v>
      </c>
      <c r="BH45" s="255">
        <f>IF(AND(ISNUMBER(BH44),ISNUMBER(BC44)),IFERROR(BH44/BC44-1,""),"")</f>
        <v>0.110291144359078</v>
      </c>
      <c r="BI45" s="255">
        <f>IF(AND(ISNUMBER(BI44),ISNUMBER(BD44)),IFERROR(BI44/BD44-1,""),"")</f>
        <v>0.109042052935644</v>
      </c>
      <c r="BJ45" s="255">
        <f>IF(AND(ISNUMBER(BJ44),ISNUMBER(BE44)),IFERROR(BJ44/BE44-1,""),"")</f>
        <v>0.114708978603047</v>
      </c>
      <c r="BK45" s="255">
        <f>IF(AND(ISNUMBER(BK44),ISNUMBER(BF44)),IFERROR(BK44/BF44-1,""),"")</f>
        <v>0.130147917269154</v>
      </c>
      <c r="BL45" s="255">
        <f>IF(AND(ISNUMBER(BL44),ISNUMBER(BG44)),IFERROR(BL44/BG44-1,""),"")</f>
        <v>0.116968469038875</v>
      </c>
      <c r="BM45" s="255">
        <f>IF(AND(ISNUMBER(BM44),ISNUMBER(BH44)),IFERROR(BM44/BH44-1,""),"")</f>
        <v>0.123047306876862</v>
      </c>
      <c r="BN45" s="255">
        <f>IF(AND(ISNUMBER(BN44),ISNUMBER(BI44)),IFERROR(BN44/BI44-1,""),"")</f>
        <v>0.0907009425047851</v>
      </c>
      <c r="BO45" s="255">
        <f>IF(AND(ISNUMBER(BO44),ISNUMBER(BJ44)),IFERROR(BO44/BJ44-1,""),"")</f>
        <v>0.0870435900645146</v>
      </c>
      <c r="BP45" s="255">
        <f>IF(AND(ISNUMBER(BP44),ISNUMBER(BK44)),IFERROR(BP44/BK44-1,""),"")</f>
        <v>0.0954565270959304</v>
      </c>
      <c r="BQ45" s="255">
        <f>IF(AND(ISNUMBER(BQ44),ISNUMBER(BL44)),IFERROR(BQ44/BL44-1,""),"")</f>
        <v>0.0982603421497159</v>
      </c>
      <c r="BR45" s="255">
        <f>IF(AND(ISNUMBER(BR44),ISNUMBER(BM44)),IFERROR(BR44/BM44-1,""),"")</f>
        <v>0.0758156611575034</v>
      </c>
      <c r="BS45" s="255">
        <f>IF(AND(ISNUMBER(BS44),ISNUMBER(BN44)),IFERROR(BS44/BN44-1,""),"")</f>
        <v>0.111459131651728</v>
      </c>
      <c r="BT45" s="255">
        <f>IF(AND(ISNUMBER(BT44),ISNUMBER(BO44)),IFERROR(BT44/BO44-1,""),"")</f>
        <v>0.112312507196165</v>
      </c>
      <c r="BU45" s="255">
        <f>IF(AND(ISNUMBER(BU44),ISNUMBER(BP44)),IFERROR(BU44/BP44-1,""),"")</f>
        <v>0.0994670634851971</v>
      </c>
      <c r="BV45" s="255">
        <f>IF(AND(ISNUMBER(BV44),ISNUMBER(BQ44)),IFERROR(BV44/BQ44-1,""),"")</f>
        <v>0.100150452777699</v>
      </c>
      <c r="BW45" s="255">
        <f>IF(AND(ISNUMBER(BW44),ISNUMBER(BR44)),IFERROR(BW44/BR44-1,""),"")</f>
        <v>0.121179497669211</v>
      </c>
      <c r="BX45" s="255">
        <f>IF(AND(ISNUMBER(BX44),ISNUMBER(BS44)),IFERROR(BX44/BS44-1,""),"")</f>
        <v>0.160980533237399</v>
      </c>
      <c r="BY45" s="256">
        <f>IF(AND(ISNUMBER(BY44),ISNUMBER(BT44)),IFERROR(BY44/BT44-1,""),"")</f>
        <v>0.0426901735707264</v>
      </c>
      <c r="BZ45" s="256">
        <f>IF(AND(ISNUMBER(BZ44),ISNUMBER(BU44)),IFERROR(BZ44/BU44-1,""),"")</f>
        <v>0.0914743026326998</v>
      </c>
      <c r="CA45" s="256">
        <f>IF(AND(ISNUMBER(CA44),ISNUMBER(BV44)),IFERROR(CA44/BV44-1,""),"")</f>
        <v>0.102101512945689</v>
      </c>
      <c r="CB45" s="256">
        <f>IF(AND(ISNUMBER(CB44),ISNUMBER(CA44)),IFERROR(CB44/CA44-1,""),"")</f>
        <v>0.106466545585731</v>
      </c>
      <c r="CC45" s="256">
        <f>IF(AND(ISNUMBER(CC44),ISNUMBER(CB44)),IFERROR(CC44/CB44-1,""),"")</f>
        <v>0.0987404632395237</v>
      </c>
      <c r="CD45" s="256">
        <f>IF(AND(ISNUMBER(CD44),ISNUMBER(CC44)),IFERROR(CD44/CC44-1,""),"")</f>
        <v>0.0923601852906462</v>
      </c>
      <c r="CE45" s="256">
        <f>IF(AND(ISNUMBER(CE44),ISNUMBER(CD44)),IFERROR(CE44/CD44-1,""),"")</f>
        <v>0.0857561718895079</v>
      </c>
      <c r="CF45" s="153" t="n"/>
      <c r="CN45" s="25" t="inlineStr">
        <is>
          <t xml:space="preserve">  2030E</t>
        </is>
      </c>
      <c r="CO45" s="33">
        <f>CP45+$CO$41</f>
        <v>0.11</v>
      </c>
      <c r="CP45" s="258" t="n">
        <v>0.09</v>
      </c>
      <c r="CQ45" s="33">
        <f>CP45+$CQ$41</f>
        <v>0.06</v>
      </c>
    </row>
    <row r="46" ht="15" customHeight="1" s="251">
      <c r="B46" s="25" t="inlineStr">
        <is>
          <t xml:space="preserve">  North America — segment operating income</t>
        </is>
      </c>
      <c r="C46" s="34" t="n"/>
      <c r="D46" s="34" t="n"/>
      <c r="E46" s="34" t="n"/>
      <c r="F46" s="34" t="n"/>
      <c r="G46" s="34" t="n"/>
      <c r="H46" s="34" t="n"/>
      <c r="I46" s="34" t="n"/>
      <c r="J46" s="34" t="n"/>
      <c r="K46" s="34" t="n"/>
      <c r="L46" s="34" t="n"/>
      <c r="M46" s="34" t="n"/>
      <c r="N46" s="253" t="n">
        <v>1166</v>
      </c>
      <c r="O46" s="253" t="n">
        <v>290</v>
      </c>
      <c r="P46" s="253" t="n">
        <v>329</v>
      </c>
      <c r="Q46" s="253" t="n">
        <v>-60</v>
      </c>
      <c r="R46" s="253" t="n">
        <v>733</v>
      </c>
      <c r="S46" s="253" t="n">
        <v>1292</v>
      </c>
      <c r="T46" s="253" t="n">
        <v>254</v>
      </c>
      <c r="U46" s="253" t="n">
        <v>348</v>
      </c>
      <c r="V46" s="253" t="n">
        <v>186</v>
      </c>
      <c r="W46" s="253" t="n">
        <v>636</v>
      </c>
      <c r="X46" s="253" t="n">
        <v>1425</v>
      </c>
      <c r="Y46" s="253" t="n">
        <v>588</v>
      </c>
      <c r="Z46" s="253" t="n">
        <v>702</v>
      </c>
      <c r="AA46" s="253" t="n">
        <v>255</v>
      </c>
      <c r="AB46" s="253" t="n">
        <v>816</v>
      </c>
      <c r="AC46" s="253" t="n">
        <v>2361</v>
      </c>
      <c r="AD46" s="253" t="n">
        <v>596</v>
      </c>
      <c r="AE46" s="253" t="n">
        <v>436</v>
      </c>
      <c r="AF46" s="253" t="n">
        <v>112</v>
      </c>
      <c r="AG46" s="253" t="n">
        <v>1692</v>
      </c>
      <c r="AH46" s="253" t="n">
        <v>2837</v>
      </c>
      <c r="AI46" s="253" t="n">
        <v>1149</v>
      </c>
      <c r="AJ46" s="253" t="n">
        <v>1835</v>
      </c>
      <c r="AK46" s="253" t="n">
        <v>2032</v>
      </c>
      <c r="AL46" s="253" t="n">
        <v>2251</v>
      </c>
      <c r="AM46" s="253" t="n">
        <v>7267</v>
      </c>
      <c r="AN46" s="253" t="n">
        <v>2287</v>
      </c>
      <c r="AO46" s="253" t="n">
        <v>1564</v>
      </c>
      <c r="AP46" s="253" t="n">
        <v>1282</v>
      </c>
      <c r="AQ46" s="253" t="n">
        <v>1900</v>
      </c>
      <c r="AR46" s="253" t="n">
        <v>7033</v>
      </c>
      <c r="AS46" s="253" t="n">
        <v>1312</v>
      </c>
      <c r="AT46" s="253" t="n">
        <v>2141</v>
      </c>
      <c r="AU46" s="253" t="n">
        <v>2252</v>
      </c>
      <c r="AV46" s="253" t="n">
        <v>2946</v>
      </c>
      <c r="AW46" s="253" t="n">
        <v>8651</v>
      </c>
      <c r="AX46" s="253" t="n">
        <v>3450</v>
      </c>
      <c r="AY46" s="253" t="n">
        <v>3147</v>
      </c>
      <c r="AZ46" s="253" t="n">
        <v>880</v>
      </c>
      <c r="BA46" s="253" t="n">
        <v>-206</v>
      </c>
      <c r="BB46" s="253" t="n">
        <v>7271</v>
      </c>
      <c r="BC46" s="253" t="n">
        <v>-1568</v>
      </c>
      <c r="BD46" s="253" t="n">
        <v>-627</v>
      </c>
      <c r="BE46" s="253" t="n">
        <v>-412</v>
      </c>
      <c r="BF46" s="253" t="n">
        <v>-240</v>
      </c>
      <c r="BG46" s="253" t="n">
        <v>-2847</v>
      </c>
      <c r="BH46" s="253" t="n">
        <v>898</v>
      </c>
      <c r="BI46" s="253" t="n">
        <v>3211</v>
      </c>
      <c r="BJ46" s="253" t="n">
        <v>4307</v>
      </c>
      <c r="BK46" s="253" t="n">
        <v>6461</v>
      </c>
      <c r="BL46" s="253" t="n">
        <v>14877</v>
      </c>
      <c r="BM46" s="253" t="n">
        <v>4983</v>
      </c>
      <c r="BN46" s="253" t="n">
        <v>5065</v>
      </c>
      <c r="BO46" s="253" t="n">
        <v>5663</v>
      </c>
      <c r="BP46" s="253" t="n">
        <v>9256</v>
      </c>
      <c r="BQ46" s="253" t="n">
        <v>24967</v>
      </c>
      <c r="BR46" s="253" t="n">
        <v>5841</v>
      </c>
      <c r="BS46" s="253" t="n">
        <v>7517</v>
      </c>
      <c r="BT46" s="253" t="n">
        <v>4789</v>
      </c>
      <c r="BU46" s="253" t="n">
        <v>11472</v>
      </c>
      <c r="BV46" s="253" t="n">
        <v>29619</v>
      </c>
      <c r="BW46" s="253" t="n">
        <v>8267</v>
      </c>
      <c r="BX46" s="253" t="n">
        <v>9123</v>
      </c>
      <c r="BY46" s="254">
        <f>BY44*BY47</f>
        <v>7386.3105695122</v>
      </c>
      <c r="BZ46" s="254">
        <f>BZ44*BZ47</f>
        <v>12453.9800567515</v>
      </c>
      <c r="CA46" s="254">
        <f>SUM(BW46:BZ46)</f>
        <v>37230.2906262637</v>
      </c>
      <c r="CB46" s="254">
        <f>CB44*CB47</f>
        <v>44187.4803581373</v>
      </c>
      <c r="CC46" s="254">
        <f>CC44*CC47</f>
        <v>51406.4886756216</v>
      </c>
      <c r="CD46" s="254">
        <f>CD44*CD47</f>
        <v>59274.0904667793</v>
      </c>
      <c r="CE46" s="254">
        <f>CE44*CE47</f>
        <v>67744.4311130976</v>
      </c>
      <c r="CF46" s="19" t="inlineStr">
        <is>
          <t>Segment operating income as reported (from 2016 after allocated stock-based compensation; 2015 restated on that basis in the 2016 releases; FY2013–14 before SBC). Forecast = segment net sales × margin (excludes special charges, forecast nil).</t>
        </is>
      </c>
      <c r="CH46" s="20">
        <f>IFERROR((CE46/BV46)^(1/5)-1,"n/m")</f>
        <v>0.179941949936348</v>
      </c>
      <c r="CI46" s="20">
        <f>IFERROR((BV46/AW46)^(1/5)-1,"n/m")</f>
        <v>0.27908915276204</v>
      </c>
      <c r="CJ46" s="20">
        <f>IFERROR((BV46/X46)^(1/10)-1,"n/m")</f>
        <v>0.354489219326371</v>
      </c>
      <c r="CK46" s="20" t="str">
        <f>IFERROR((BV46/C46)^(1/19)-1,"n/m")</f>
        <v>n/m</v>
      </c>
      <c r="CN46" s="15" t="inlineStr">
        <is>
          <t>SUBS (Subscription services y/y)</t>
        </is>
      </c>
      <c r="CO46" s="261" t="n">
        <v>0.02</v>
      </c>
      <c r="CP46" s="21" t="inlineStr">
        <is>
          <t>Δ →</t>
        </is>
      </c>
      <c r="CQ46" s="261" t="n">
        <v>-0.03</v>
      </c>
      <c r="CR46" s="13" t="inlineStr">
        <is>
          <t>FY2025 +11.8%; 1H-26 +14.6% (Prime, video, music).</t>
        </is>
      </c>
    </row>
    <row r="47" ht="15" customHeight="1" s="251">
      <c r="B47" s="25" t="inlineStr">
        <is>
          <t xml:space="preserve">    Segment operating margin %</t>
        </is>
      </c>
      <c r="C47" s="215">
        <f>IF(AND(ISNUMBER(C46),ISNUMBER(C44)),IFERROR(C46/C44,""),"")</f>
      </c>
      <c r="D47" s="215">
        <f>IF(AND(ISNUMBER(D46),ISNUMBER(D44)),IFERROR(D46/D44,""),"")</f>
      </c>
      <c r="E47" s="215">
        <f>IF(AND(ISNUMBER(E46),ISNUMBER(E44)),IFERROR(E46/E44,""),"")</f>
      </c>
      <c r="F47" s="215">
        <f>IF(AND(ISNUMBER(F46),ISNUMBER(F44)),IFERROR(F46/F44,""),"")</f>
      </c>
      <c r="G47" s="215">
        <f>IF(AND(ISNUMBER(G46),ISNUMBER(G44)),IFERROR(G46/G44,""),"")</f>
      </c>
      <c r="H47" s="215">
        <f>IF(AND(ISNUMBER(H46),ISNUMBER(H44)),IFERROR(H46/H44,""),"")</f>
      </c>
      <c r="I47" s="215">
        <f>IF(AND(ISNUMBER(I46),ISNUMBER(I44)),IFERROR(I46/I44,""),"")</f>
      </c>
      <c r="J47" s="215">
        <f>IF(AND(ISNUMBER(J46),ISNUMBER(J44)),IFERROR(J46/J44,""),"")</f>
      </c>
      <c r="K47" s="215">
        <f>IF(AND(ISNUMBER(K46),ISNUMBER(K44)),IFERROR(K46/K44,""),"")</f>
      </c>
      <c r="L47" s="215">
        <f>IF(AND(ISNUMBER(L46),ISNUMBER(L44)),IFERROR(L46/L44,""),"")</f>
      </c>
      <c r="M47" s="215">
        <f>IF(AND(ISNUMBER(M46),ISNUMBER(M44)),IFERROR(M46/M44,""),"")</f>
      </c>
      <c r="N47" s="215">
        <f>IF(AND(ISNUMBER(N46),ISNUMBER(N44)),IFERROR(N46/N44,""),"")</f>
        <v>0.0281574498913306</v>
      </c>
      <c r="O47" s="215">
        <f>IF(AND(ISNUMBER(O46),ISNUMBER(O44)),IFERROR(O46/O44,""),"")</f>
        <v>0.0268319763138416</v>
      </c>
      <c r="P47" s="215">
        <f>IF(AND(ISNUMBER(P46),ISNUMBER(P44)),IFERROR(P46/P44,""),"")</f>
        <v>0.0299254138621066</v>
      </c>
      <c r="Q47" s="215">
        <f>IF(AND(ISNUMBER(Q46),ISNUMBER(Q44)),IFERROR(Q46/Q44,""),"")</f>
        <v>-0.00512864347380118</v>
      </c>
      <c r="R47" s="215">
        <f>IF(AND(ISNUMBER(R46),ISNUMBER(R44)),IFERROR(R46/R44,""),"")</f>
        <v>0.042289274793746</v>
      </c>
      <c r="S47" s="215">
        <f>IF(AND(ISNUMBER(S46),ISNUMBER(S44)),IFERROR(S46/S44,""),"")</f>
        <v>0.0254160601172444</v>
      </c>
      <c r="T47" s="215">
        <f>IF(AND(ISNUMBER(T46),ISNUMBER(T44)),IFERROR(T46/T44,""),"")</f>
        <v>0.0189467402655527</v>
      </c>
      <c r="U47" s="215">
        <f>IF(AND(ISNUMBER(U46),ISNUMBER(U44)),IFERROR(U46/U44,""),"")</f>
        <v>0.0252247028124094</v>
      </c>
      <c r="V47" s="215">
        <f>IF(AND(ISNUMBER(V46),ISNUMBER(V44)),IFERROR(V46/V44,""),"")</f>
        <v>0.0123950419832067</v>
      </c>
      <c r="W47" s="215">
        <f>IF(AND(ISNUMBER(W46),ISNUMBER(W44)),IFERROR(W46/W44,""),"")</f>
        <v>0.0295800195339752</v>
      </c>
      <c r="X47" s="215">
        <f>IF(AND(ISNUMBER(X46),ISNUMBER(X44)),IFERROR(X46/X44,""),"")</f>
        <v>0.0223676775287248</v>
      </c>
      <c r="Y47" s="215">
        <f>IF(AND(ISNUMBER(Y46),ISNUMBER(Y44)),IFERROR(Y46/Y44,""),"")</f>
        <v>0.0345963756177924</v>
      </c>
      <c r="Z47" s="215">
        <f>IF(AND(ISNUMBER(Z46),ISNUMBER(Z44)),IFERROR(Z46/Z44,""),"")</f>
        <v>0.0397193617743578</v>
      </c>
      <c r="AA47" s="215">
        <f>IF(AND(ISNUMBER(AA46),ISNUMBER(AA44)),IFERROR(AA46/AA44,""),"")</f>
        <v>0.0135106495708382</v>
      </c>
      <c r="AB47" s="215">
        <f>IF(AND(ISNUMBER(AB46),ISNUMBER(AB44)),IFERROR(AB46/AB44,""),"")</f>
        <v>0.0310975609756098</v>
      </c>
      <c r="AC47" s="215">
        <f>IF(AND(ISNUMBER(AC46),ISNUMBER(AC44)),IFERROR(AC46/AC44,""),"")</f>
        <v>0.0295920285768002</v>
      </c>
      <c r="AD47" s="215">
        <f>IF(AND(ISNUMBER(AD46),ISNUMBER(AD44)),IFERROR(AD46/AD44,""),"")</f>
        <v>0.0283917682926829</v>
      </c>
      <c r="AE47" s="215">
        <f>IF(AND(ISNUMBER(AE46),ISNUMBER(AE44)),IFERROR(AE46/AE44,""),"")</f>
        <v>0.0194903889137237</v>
      </c>
      <c r="AF47" s="215">
        <f>IF(AND(ISNUMBER(AF46),ISNUMBER(AF44)),IFERROR(AF46/AF44,""),"")</f>
        <v>0.00440147763892164</v>
      </c>
      <c r="AG47" s="215">
        <f>IF(AND(ISNUMBER(AG46),ISNUMBER(AG44)),IFERROR(AG46/AG44,""),"")</f>
        <v>0.0453594981502332</v>
      </c>
      <c r="AH47" s="215">
        <f>IF(AND(ISNUMBER(AH46),ISNUMBER(AH44)),IFERROR(AH46/AH44,""),"")</f>
        <v>0.0267364056168127</v>
      </c>
      <c r="AI47" s="215">
        <f>IF(AND(ISNUMBER(AI46),ISNUMBER(AI44)),IFERROR(AI46/AI44,""),"")</f>
        <v>0.0373962571196094</v>
      </c>
      <c r="AJ47" s="215">
        <f>IF(AND(ISNUMBER(AJ46),ISNUMBER(AJ44)),IFERROR(AJ46/AJ44,""),"")</f>
        <v>0.0570424943268364</v>
      </c>
      <c r="AK47" s="215">
        <f>IF(AND(ISNUMBER(AK46),ISNUMBER(AK44)),IFERROR(AK46/AK44,""),"")</f>
        <v>0.0591591941306626</v>
      </c>
      <c r="AL47" s="215">
        <f>IF(AND(ISNUMBER(AL46),ISNUMBER(AL44)),IFERROR(AL46/AL44,""),"")</f>
        <v>0.0510153204605204</v>
      </c>
      <c r="AM47" s="215">
        <f>IF(AND(ISNUMBER(AM46),ISNUMBER(AM44)),IFERROR(AM46/AM44,""),"")</f>
        <v>0.0514055713537909</v>
      </c>
      <c r="AN47" s="215">
        <f>IF(AND(ISNUMBER(AN46),ISNUMBER(AN44)),IFERROR(AN46/AN44,""),"")</f>
        <v>0.0638612755500949</v>
      </c>
      <c r="AO47" s="215">
        <f>IF(AND(ISNUMBER(AO46),ISNUMBER(AO44)),IFERROR(AO46/AO44,""),"")</f>
        <v>0.0404625772902491</v>
      </c>
      <c r="AP47" s="215">
        <f>IF(AND(ISNUMBER(AP46),ISNUMBER(AP44)),IFERROR(AP46/AP44,""),"")</f>
        <v>0.0300670763169004</v>
      </c>
      <c r="AQ47" s="215">
        <f>IF(AND(ISNUMBER(AQ46),ISNUMBER(AQ44)),IFERROR(AQ46/AQ44,""),"")</f>
        <v>0.0354015278554127</v>
      </c>
      <c r="AR47" s="215">
        <f>IF(AND(ISNUMBER(AR46),ISNUMBER(AR44)),IFERROR(AR46/AR44,""),"")</f>
        <v>0.0411833252329115</v>
      </c>
      <c r="AS47" s="215">
        <f>IF(AND(ISNUMBER(AS46),ISNUMBER(AS44)),IFERROR(AS46/AS44,""),"")</f>
        <v>0.0284432111344766</v>
      </c>
      <c r="AT47" s="215">
        <f>IF(AND(ISNUMBER(AT46),ISNUMBER(AT44)),IFERROR(AT46/AT44,""),"")</f>
        <v>0.0386211126343892</v>
      </c>
      <c r="AU47" s="215">
        <f>IF(AND(ISNUMBER(AU46),ISNUMBER(AU44)),IFERROR(AU46/AU44,""),"")</f>
        <v>0.0379296986845873</v>
      </c>
      <c r="AV47" s="215">
        <f>IF(AND(ISNUMBER(AV46),ISNUMBER(AV44)),IFERROR(AV46/AV44,""),"")</f>
        <v>0.0390996204178059</v>
      </c>
      <c r="AW47" s="215">
        <f>IF(AND(ISNUMBER(AW46),ISNUMBER(AW44)),IFERROR(AW46/AW44,""),"")</f>
        <v>0.0366130301927358</v>
      </c>
      <c r="AX47" s="215">
        <f>IF(AND(ISNUMBER(AX46),ISNUMBER(AX44)),IFERROR(AX46/AX44,""),"")</f>
        <v>0.0535997265637138</v>
      </c>
      <c r="AY47" s="215">
        <f>IF(AND(ISNUMBER(AY46),ISNUMBER(AY44)),IFERROR(AY46/AY44,""),"")</f>
        <v>0.0465877128053294</v>
      </c>
      <c r="AZ47" s="215">
        <f>IF(AND(ISNUMBER(AZ46),ISNUMBER(AZ44)),IFERROR(AZ46/AZ44,""),"")</f>
        <v>0.0134234330430007</v>
      </c>
      <c r="BA47" s="215">
        <f>IF(AND(ISNUMBER(BA46),ISNUMBER(BA44)),IFERROR(BA46/BA44,""),"")</f>
        <v>-0.00250121418164157</v>
      </c>
      <c r="BB47" s="215">
        <f>IF(AND(ISNUMBER(BB46),ISNUMBER(BB44)),IFERROR(BB46/BB44,""),"")</f>
        <v>0.0259833543577777</v>
      </c>
      <c r="BC47" s="215">
        <f>IF(AND(ISNUMBER(BC46),ISNUMBER(BC44)),IFERROR(BC46/BC44,""),"")</f>
        <v>-0.0226445612616256</v>
      </c>
      <c r="BD47" s="215">
        <f>IF(AND(ISNUMBER(BD46),ISNUMBER(BD44)),IFERROR(BD46/BD44,""),"")</f>
        <v>-0.00842402257154373</v>
      </c>
      <c r="BE47" s="215">
        <f>IF(AND(ISNUMBER(BE46),ISNUMBER(BE44)),IFERROR(BE46/BE44,""),"")</f>
        <v>-0.0052255748766536</v>
      </c>
      <c r="BF47" s="215">
        <f>IF(AND(ISNUMBER(BF46),ISNUMBER(BF44)),IFERROR(BF46/BF44,""),"")</f>
        <v>-0.00257061148420681</v>
      </c>
      <c r="BG47" s="215">
        <f>IF(AND(ISNUMBER(BG46),ISNUMBER(BG44)),IFERROR(BG46/BG44,""),"")</f>
        <v>-0.0090129162973281</v>
      </c>
      <c r="BH47" s="215">
        <f>IF(AND(ISNUMBER(BH46),ISNUMBER(BH44)),IFERROR(BH46/BH44,""),"")</f>
        <v>0.0116803891728776</v>
      </c>
      <c r="BI47" s="215">
        <f>IF(AND(ISNUMBER(BI46),ISNUMBER(BI44)),IFERROR(BI46/BI44,""),"")</f>
        <v>0.0388995226903787</v>
      </c>
      <c r="BJ47" s="215">
        <f>IF(AND(ISNUMBER(BJ46),ISNUMBER(BJ44)),IFERROR(BJ46/BJ44,""),"")</f>
        <v>0.0490061101186751</v>
      </c>
      <c r="BK47" s="215">
        <f>IF(AND(ISNUMBER(BK46),ISNUMBER(BK44)),IFERROR(BK46/BK44,""),"")</f>
        <v>0.0612335803779593</v>
      </c>
      <c r="BL47" s="215">
        <f>IF(AND(ISNUMBER(BL46),ISNUMBER(BL44)),IFERROR(BL46/BL44,""),"")</f>
        <v>0.0421650209167073</v>
      </c>
      <c r="BM47" s="215">
        <f>IF(AND(ISNUMBER(BM46),ISNUMBER(BM44)),IFERROR(BM46/BM44,""),"")</f>
        <v>0.0577130216235624</v>
      </c>
      <c r="BN47" s="215">
        <f>IF(AND(ISNUMBER(BN46),ISNUMBER(BN44)),IFERROR(BN46/BN44,""),"")</f>
        <v>0.0562571501560539</v>
      </c>
      <c r="BO47" s="215">
        <f>IF(AND(ISNUMBER(BO46),ISNUMBER(BO44)),IFERROR(BO46/BO44,""),"")</f>
        <v>0.0592754639563729</v>
      </c>
      <c r="BP47" s="215">
        <f>IF(AND(ISNUMBER(BP46),ISNUMBER(BP44)),IFERROR(BP46/BP44,""),"")</f>
        <v>0.0800789022892046</v>
      </c>
      <c r="BQ47" s="215">
        <f>IF(AND(ISNUMBER(BQ46),ISNUMBER(BQ44)),IFERROR(BQ46/BQ44,""),"")</f>
        <v>0.0644314665661928</v>
      </c>
      <c r="BR47" s="215">
        <f>IF(AND(ISNUMBER(BR46),ISNUMBER(BR44)),IFERROR(BR46/BR44,""),"")</f>
        <v>0.0628828576657659</v>
      </c>
      <c r="BS47" s="215">
        <f>IF(AND(ISNUMBER(BS46),ISNUMBER(BS44)),IFERROR(BS46/BS44,""),"")</f>
        <v>0.0751189191349882</v>
      </c>
      <c r="BT47" s="215">
        <f>IF(AND(ISNUMBER(BT46),ISNUMBER(BT44)),IFERROR(BT46/BT44,""),"")</f>
        <v>0.0450657306595651</v>
      </c>
      <c r="BU47" s="215">
        <f>IF(AND(ISNUMBER(BU46),ISNUMBER(BU44)),IFERROR(BU46/BU44,""),"")</f>
        <v>0.0902717121880975</v>
      </c>
      <c r="BV47" s="215">
        <f>IF(AND(ISNUMBER(BV46),ISNUMBER(BV44)),IFERROR(BV46/BV44,""),"")</f>
        <v>0.0694784250712518</v>
      </c>
      <c r="BW47" s="215">
        <f>IF(AND(ISNUMBER(BW46),ISNUMBER(BW44)),IFERROR(BW46/BW44,""),"")</f>
        <v>0.0793812354166867</v>
      </c>
      <c r="BX47" s="215">
        <f>IF(AND(ISNUMBER(BX46),ISNUMBER(BX44)),IFERROR(BX46/BX44,""),"")</f>
        <v>0.0785267307642649</v>
      </c>
      <c r="BY47" s="256">
        <f>BY48+BY120</f>
        <v>0.0666613129683893</v>
      </c>
      <c r="BZ47" s="256">
        <f>BZ48+BZ120</f>
        <v>0.0897857039819756</v>
      </c>
      <c r="CA47" s="256">
        <f>IF(AND(ISNUMBER(CA46),ISNUMBER(CA44)),IFERROR(CA46/CA44,""),"")</f>
        <v>0.0792418126526815</v>
      </c>
      <c r="CB47" s="256">
        <f>CHOOSE(MATCH($CF$2,{"Bull","Base","Bear"},0),$CO$67,$CP$67,$CQ$67)</f>
        <v>0.085</v>
      </c>
      <c r="CC47" s="256">
        <f>CHOOSE(MATCH($CF$2,{"Bull","Base","Bear"},0),$CO$68,$CP$68,$CQ$68)</f>
        <v>0.09</v>
      </c>
      <c r="CD47" s="256">
        <f>CHOOSE(MATCH($CF$2,{"Bull","Base","Bear"},0),$CO$69,$CP$69,$CQ$69)</f>
        <v>0.095</v>
      </c>
      <c r="CE47" s="256">
        <f>CHOOSE(MATCH($CF$2,{"Bull","Base","Bear"},0),$CO$70,$CP$70,$CQ$70)</f>
        <v>0.1</v>
      </c>
      <c r="CF47" s="153" t="inlineStr">
        <is>
          <t>Q3/Q4-26E: margin before calibration + operating-income guidance calibration Δ (uniform). 2027E+: scenario lever.</t>
        </is>
      </c>
      <c r="CH47" s="37">
        <f>IFERROR(AVERAGE(CA47,CB47,CC47,CD47,CE47),"n/m")</f>
        <v>0.0898483625305363</v>
      </c>
      <c r="CI47" s="37">
        <f>IFERROR(AVERAGE(BB47,BG47,BL47,BQ47,BV47),"n/m")</f>
        <v>0.0386090701229203</v>
      </c>
      <c r="CJ47" s="37">
        <f>IFERROR(AVERAGE(AC47,AH47,AM47,AR47,AW47,BB47,BG47,BL47,BQ47,BV47),"n/m")</f>
        <v>0.0378575711587653</v>
      </c>
      <c r="CK47" s="37">
        <f>IFERROR(AVERAGE(C47,D47,E47,F47,G47,H47,I47,N47,S47,X47,AC47,AH47,AM47,AR47,AW47,BB47,BG47,BL47,BQ47,BV47),"n/m")</f>
        <v>0.0349628383942271</v>
      </c>
      <c r="CN47" s="25" t="inlineStr">
        <is>
          <t xml:space="preserve">  2027E</t>
        </is>
      </c>
      <c r="CO47" s="33">
        <f>CP47+$CO$46</f>
        <v>0.13</v>
      </c>
      <c r="CP47" s="258" t="n">
        <v>0.11</v>
      </c>
      <c r="CQ47" s="33">
        <f>CP47+$CQ$46</f>
        <v>0.08</v>
      </c>
    </row>
    <row r="48" ht="15" customHeight="1" s="251">
      <c r="B48" s="25" t="inlineStr">
        <is>
          <t xml:space="preserve">    Q3/Q4-26E margin before calibration (prior-year quarter ex disclosed special charges + 1H-26 y/y drift)</t>
        </is>
      </c>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6" t="n"/>
      <c r="BI48" s="36" t="n"/>
      <c r="BJ48" s="36" t="n"/>
      <c r="BK48" s="36" t="n"/>
      <c r="BL48" s="36" t="n"/>
      <c r="BM48" s="36" t="n"/>
      <c r="BN48" s="36" t="n"/>
      <c r="BO48" s="36" t="n"/>
      <c r="BP48" s="36" t="n"/>
      <c r="BQ48" s="36" t="n"/>
      <c r="BR48" s="36" t="n"/>
      <c r="BS48" s="36" t="n"/>
      <c r="BT48" s="36" t="n"/>
      <c r="BU48" s="36" t="n"/>
      <c r="BV48" s="36" t="n"/>
      <c r="BW48" s="36" t="n"/>
      <c r="BX48" s="36" t="n"/>
      <c r="BY48" s="256">
        <f>(BT46+BT62)/BT44+IFERROR(SUM(BW46:BX46)/SUM(BW44:BX44)-SUM(BR46:BS46)/SUM(BR44:BS44),0)</f>
        <v>0.0782934480421254</v>
      </c>
      <c r="BZ48" s="256">
        <f>(BU46+BU62)/BU44+IFERROR(SUM(BW46:BX46)/SUM(BW44:BX44)-SUM(BR46:BS46)/SUM(BR44:BS44),0)</f>
        <v>0.0999737819095777</v>
      </c>
      <c r="CA48" s="24" t="n"/>
      <c r="CB48" s="46" t="n"/>
      <c r="CC48" s="46" t="n"/>
      <c r="CD48" s="46" t="n"/>
      <c r="CE48" s="46" t="n"/>
      <c r="CF48" s="19" t="n"/>
      <c r="CN48" s="25" t="inlineStr">
        <is>
          <t xml:space="preserve">  2028E</t>
        </is>
      </c>
      <c r="CO48" s="33">
        <f>CP48+$CO$46</f>
        <v>0.12</v>
      </c>
      <c r="CP48" s="258" t="n">
        <v>0.1</v>
      </c>
      <c r="CQ48" s="33">
        <f>CP48+$CQ$46</f>
        <v>0.07</v>
      </c>
    </row>
    <row r="49" ht="15" customHeight="1" s="251">
      <c r="B49" s="25" t="inlineStr">
        <is>
          <t xml:space="preserve">    Incremental segment margin (Δ OI / Δ net sales)</t>
        </is>
      </c>
      <c r="C49" s="36" t="n"/>
      <c r="D49" s="215">
        <f>IFERROR((D46-C46)/(D44-C44),"")</f>
      </c>
      <c r="E49" s="215">
        <f>IFERROR((E46-D46)/(E44-D44),"")</f>
      </c>
      <c r="F49" s="215">
        <f>IFERROR((F46-E46)/(F44-E44),"")</f>
      </c>
      <c r="G49" s="215">
        <f>IFERROR((G46-F46)/(G44-F44),"")</f>
      </c>
      <c r="H49" s="215">
        <f>IFERROR((H46-G46)/(H44-G44),"")</f>
      </c>
      <c r="I49" s="215">
        <f>IFERROR((I46-H46)/(I44-H44),"")</f>
      </c>
      <c r="J49" s="36" t="n"/>
      <c r="K49" s="36" t="n"/>
      <c r="L49" s="36" t="n"/>
      <c r="M49" s="36" t="n"/>
      <c r="N49" s="215">
        <f>IFERROR((N46-I46)/(N44-I44),"")</f>
        <v>0.0281574498913306</v>
      </c>
      <c r="O49" s="215">
        <f>IFERROR((O46-J46)/(O44-J44),"")</f>
        <v>0.0268319763138416</v>
      </c>
      <c r="P49" s="215">
        <f>IFERROR((P46-K46)/(P44-K44),"")</f>
        <v>0.0299254138621066</v>
      </c>
      <c r="Q49" s="215">
        <f>IFERROR((Q46-L46)/(Q44-L44),"")</f>
        <v>-0.00512864347380118</v>
      </c>
      <c r="R49" s="215">
        <f>IFERROR((R46-M46)/(R44-M44),"")</f>
        <v>0.042289274793746</v>
      </c>
      <c r="S49" s="215">
        <f>IFERROR((S46-N46)/(S44-N44),"")</f>
        <v>0.0133701188455008</v>
      </c>
      <c r="T49" s="215">
        <f>IFERROR((T46-O46)/(T44-O44),"")</f>
        <v>-0.0138568129330254</v>
      </c>
      <c r="U49" s="215">
        <f>IFERROR((U46-P46)/(U44-P44),"")</f>
        <v>0.00678087080656674</v>
      </c>
      <c r="V49" s="215">
        <f>IFERROR((V46-Q46)/(V44-Q44),"")</f>
        <v>0.0743876625340188</v>
      </c>
      <c r="W49" s="215">
        <f>IFERROR((W46-R46)/(W44-R44),"")</f>
        <v>-0.0232725527831094</v>
      </c>
      <c r="X49" s="215">
        <f>IFERROR((X46-S46)/(X44-S44),"")</f>
        <v>0.0103308994873388</v>
      </c>
      <c r="Y49" s="215">
        <f>IFERROR((Y46-T46)/(Y44-T44),"")</f>
        <v>0.0930362116991644</v>
      </c>
      <c r="Z49" s="215">
        <f>IFERROR((Z46-U46)/(Z44-U44),"")</f>
        <v>0.0912841670964415</v>
      </c>
      <c r="AA49" s="215">
        <f>IFERROR((AA46-V46)/(AA44-V44),"")</f>
        <v>0.0178386763185109</v>
      </c>
      <c r="AB49" s="215">
        <f>IFERROR((AB46-W46)/(AB44-W44),"")</f>
        <v>0.0379826967714708</v>
      </c>
      <c r="AC49" s="215">
        <f>IFERROR((AC46-X46)/(AC44-X44),"")</f>
        <v>0.0582198171300616</v>
      </c>
      <c r="AD49" s="215">
        <f>IFERROR((AD46-Y46)/(AD44-Y44),"")</f>
        <v>0.002002002002002</v>
      </c>
      <c r="AE49" s="215">
        <f>IFERROR((AE46-Z46)/(AE44-Z44),"")</f>
        <v>-0.0566439522998296</v>
      </c>
      <c r="AF49" s="215">
        <f>IFERROR((AF46-AA46)/(AF44-AA44),"")</f>
        <v>-0.0217589774802191</v>
      </c>
      <c r="AG49" s="215">
        <f>IFERROR((AG46-AB46)/(AG44-AB44),"")</f>
        <v>0.0791900198879045</v>
      </c>
      <c r="AH49" s="215">
        <f>IFERROR((AH46-AC46)/(AH44-AC44),"")</f>
        <v>0.0180816714150048</v>
      </c>
      <c r="AI49" s="215">
        <f>IFERROR((AI46-AD46)/(AI44-AD44),"")</f>
        <v>0.056817014281311</v>
      </c>
      <c r="AJ49" s="215">
        <f>IFERROR((AJ46-AE46)/(AJ44-AE44),"")</f>
        <v>0.142769670374528</v>
      </c>
      <c r="AK49" s="215">
        <f>IFERROR((AK46-AF46)/(AK44-AF44),"")</f>
        <v>0.215681869242867</v>
      </c>
      <c r="AL49" s="215">
        <f>IFERROR((AL46-AG46)/(AL44-AG44),"")</f>
        <v>0.0819407798299619</v>
      </c>
      <c r="AM49" s="215">
        <f>IFERROR((AM46-AH46)/(AM44-AH44),"")</f>
        <v>0.125652371227592</v>
      </c>
      <c r="AN49" s="215">
        <f>IFERROR((AN46-AI46)/(AN44-AI44),"")</f>
        <v>0.223707489679575</v>
      </c>
      <c r="AO49" s="215">
        <f>IFERROR((AO46-AJ46)/(AO44-AJ44),"")</f>
        <v>-0.0417951881554596</v>
      </c>
      <c r="AP49" s="215">
        <f>IFERROR((AP46-AK46)/(AP44-AK44),"")</f>
        <v>-0.0904704463208685</v>
      </c>
      <c r="AQ49" s="215">
        <f>IFERROR((AQ46-AL46)/(AQ44-AL44),"")</f>
        <v>-0.0367693274670019</v>
      </c>
      <c r="AR49" s="215">
        <f>IFERROR((AR46-AM46)/(AR44-AM44),"")</f>
        <v>-0.0079572890808311</v>
      </c>
      <c r="AS49" s="215">
        <f>IFERROR((AS46-AN46)/(AS44-AN44),"")</f>
        <v>-0.0945225399903054</v>
      </c>
      <c r="AT49" s="215">
        <f>IFERROR((AT46-AO46)/(AT44-AO44),"")</f>
        <v>0.0343800274086874</v>
      </c>
      <c r="AU49" s="215">
        <f>IFERROR((AU46-AP46)/(AU44-AP44),"")</f>
        <v>0.0579623543471766</v>
      </c>
      <c r="AV49" s="215">
        <f>IFERROR((AV46-AQ46)/(AV44-AQ44),"")</f>
        <v>0.0482561358184167</v>
      </c>
      <c r="AW49" s="215">
        <f>IFERROR((AW46-AR46)/(AW44-AR44),"")</f>
        <v>0.0246988963348548</v>
      </c>
      <c r="AX49" s="215">
        <f>IFERROR((AX46-AS46)/(AX44-AS44),"")</f>
        <v>0.117221338889193</v>
      </c>
      <c r="AY49" s="215">
        <f>IFERROR((AY46-AT46)/(AY44-AT44),"")</f>
        <v>0.0830444114247978</v>
      </c>
      <c r="AZ49" s="215">
        <f>IFERROR((AZ46-AU46)/(AZ44-AU44),"")</f>
        <v>-0.221862871927555</v>
      </c>
      <c r="BA49" s="215">
        <f>IFERROR((BA46-AV46)/(BA44-AV44),"")</f>
        <v>-0.449386940404904</v>
      </c>
      <c r="BB49" s="215">
        <f>IFERROR((BB46-AW46)/(BB44-AW44),"")</f>
        <v>-0.0316869876696287</v>
      </c>
      <c r="BC49" s="215">
        <f>IFERROR((BC46-AX46)/(BC44-AX44),"")</f>
        <v>-1.02870028700287</v>
      </c>
      <c r="BD49" s="215">
        <f>IFERROR((BD46-AY46)/(BD44-AY44),"")</f>
        <v>-0.548546511627907</v>
      </c>
      <c r="BE49" s="215">
        <f>IFERROR((BE46-AZ46)/(BE44-AZ44),"")</f>
        <v>-0.0972452205328918</v>
      </c>
      <c r="BF49" s="215">
        <f>IFERROR((BF46-BA46)/(BF44-BA44),"")</f>
        <v>-0.00309006634554212</v>
      </c>
      <c r="BG49" s="215">
        <f>IFERROR((BG46-BB46)/(BG44-BB44),"")</f>
        <v>-0.280689100341221</v>
      </c>
      <c r="BH49" s="215">
        <f>IFERROR((BH46-BC46)/(BH44-BC44),"")</f>
        <v>0.322901662956658</v>
      </c>
      <c r="BI49" s="215">
        <f>IFERROR((BI46-BD46)/(BI44-BD44),"")</f>
        <v>0.472893050763923</v>
      </c>
      <c r="BJ49" s="215">
        <f>IFERROR((BJ46-BE46)/(BJ44-BE44),"")</f>
        <v>0.521782397169394</v>
      </c>
      <c r="BK49" s="215">
        <f>IFERROR((BK46-BF46)/(BK44-BF44),"")</f>
        <v>0.551477244671221</v>
      </c>
      <c r="BL49" s="215">
        <f>IFERROR((BL46-BG46)/(BL44-BG44),"")</f>
        <v>0.47970120168886</v>
      </c>
      <c r="BM49" s="215">
        <f>IFERROR((BM46-BH46)/(BM44-BH44),"")</f>
        <v>0.431818181818182</v>
      </c>
      <c r="BN49" s="215">
        <f>IFERROR((BN46-BI46)/(BN44-BI44),"")</f>
        <v>0.247629223988246</v>
      </c>
      <c r="BO49" s="215">
        <f>IFERROR((BO46-BJ46)/(BO44-BJ44),"")</f>
        <v>0.177254901960784</v>
      </c>
      <c r="BP49" s="215">
        <f>IFERROR((BP46-BK46)/(BP44-BK44),"")</f>
        <v>0.277501985702939</v>
      </c>
      <c r="BQ49" s="215">
        <f>IFERROR((BQ46-BL46)/(BQ44-BL44),"")</f>
        <v>0.291038103204592</v>
      </c>
      <c r="BR49" s="215">
        <f>IFERROR((BR46-BM46)/(BR44-BM44),"")</f>
        <v>0.131072410632447</v>
      </c>
      <c r="BS49" s="215">
        <f>IFERROR((BS46-BN46)/(BS44-BN44),"")</f>
        <v>0.244344793223717</v>
      </c>
      <c r="BT49" s="215">
        <f>IFERROR((BT46-BO46)/(BT44-BO44),"")</f>
        <v>-0.0814538676607642</v>
      </c>
      <c r="BU49" s="215">
        <f>IFERROR((BU46-BP46)/(BU44-BP44),"")</f>
        <v>0.19274593372184</v>
      </c>
      <c r="BV49" s="215">
        <f>IFERROR((BV46-BQ46)/(BV44-BQ44),"")</f>
        <v>0.119872191300763</v>
      </c>
      <c r="BW49" s="215">
        <f>IFERROR((BW46-BR46)/(BW44-BR44),"")</f>
        <v>0.215529495380242</v>
      </c>
      <c r="BX49" s="215">
        <f>IFERROR((BX46-BS46)/(BX44-BS44),"")</f>
        <v>0.0996958222111863</v>
      </c>
      <c r="BY49" s="256">
        <f>IFERROR((BY46-BT46)/(BY44-BT44),"")</f>
        <v>0.572529069000022</v>
      </c>
      <c r="BZ49" s="256">
        <f>IFERROR((BZ46-BU46)/(BZ44-BU44),"")</f>
        <v>0.0844726467392938</v>
      </c>
      <c r="CA49" s="256">
        <f>IFERROR((CA46-BV46)/(CA44-BV44),"")</f>
        <v>0.174866131036907</v>
      </c>
      <c r="CB49" s="256">
        <f>IFERROR((CB46-CA46)/(CB44-CA44),"")</f>
        <v>0.13908447616704</v>
      </c>
      <c r="CC49" s="256">
        <f>IFERROR((CC46-CB46)/(CC44-CB44),"")</f>
        <v>0.140637801727454</v>
      </c>
      <c r="CD49" s="256">
        <f>IFERROR((CD46-CC46)/(CD44-CC44),"")</f>
        <v>0.149135880999649</v>
      </c>
      <c r="CE49" s="256">
        <f>IFERROR((CE46-CD46)/(CE44-CD44),"")</f>
        <v>0.158304841387303</v>
      </c>
      <c r="CF49" s="153" t="n"/>
      <c r="CN49" s="25" t="inlineStr">
        <is>
          <t xml:space="preserve">  2029E</t>
        </is>
      </c>
      <c r="CO49" s="33">
        <f>CP49+$CO$46</f>
        <v>0.115</v>
      </c>
      <c r="CP49" s="258" t="n">
        <v>0.095</v>
      </c>
      <c r="CQ49" s="33">
        <f>CP49+$CQ$46</f>
        <v>0.065</v>
      </c>
    </row>
    <row r="50" ht="15" customHeight="1" s="251">
      <c r="B50" s="16" t="inlineStr">
        <is>
          <t xml:space="preserve">  International — segment net sales</t>
        </is>
      </c>
      <c r="C50" s="43" t="n"/>
      <c r="D50" s="43" t="n"/>
      <c r="E50" s="43" t="n"/>
      <c r="F50" s="43" t="n"/>
      <c r="G50" s="43" t="n"/>
      <c r="H50" s="43" t="n"/>
      <c r="I50" s="43" t="n"/>
      <c r="J50" s="43" t="n"/>
      <c r="K50" s="43" t="n"/>
      <c r="L50" s="43" t="n"/>
      <c r="M50" s="43" t="n"/>
      <c r="N50" s="264" t="n">
        <v>29934</v>
      </c>
      <c r="O50" s="264" t="n">
        <v>7883</v>
      </c>
      <c r="P50" s="264" t="n">
        <v>7341</v>
      </c>
      <c r="Q50" s="264" t="n">
        <v>7711</v>
      </c>
      <c r="R50" s="264" t="n">
        <v>10575</v>
      </c>
      <c r="S50" s="264" t="n">
        <v>33510</v>
      </c>
      <c r="T50" s="264" t="n">
        <v>7745</v>
      </c>
      <c r="U50" s="264" t="n">
        <v>7565</v>
      </c>
      <c r="V50" s="264" t="n">
        <v>8267</v>
      </c>
      <c r="W50" s="264" t="n">
        <v>11841</v>
      </c>
      <c r="X50" s="264" t="n">
        <v>35418</v>
      </c>
      <c r="Y50" s="264" t="n">
        <v>9566</v>
      </c>
      <c r="Z50" s="264" t="n">
        <v>9844</v>
      </c>
      <c r="AA50" s="264" t="n">
        <v>10609</v>
      </c>
      <c r="AB50" s="264" t="n">
        <v>13965</v>
      </c>
      <c r="AC50" s="264" t="n">
        <v>43983</v>
      </c>
      <c r="AD50" s="264" t="n">
        <v>11061</v>
      </c>
      <c r="AE50" s="264" t="n">
        <v>11485</v>
      </c>
      <c r="AF50" s="264" t="n">
        <v>13714</v>
      </c>
      <c r="AG50" s="264" t="n">
        <v>18038</v>
      </c>
      <c r="AH50" s="264" t="n">
        <v>54297</v>
      </c>
      <c r="AI50" s="264" t="n">
        <v>14875</v>
      </c>
      <c r="AJ50" s="264" t="n">
        <v>14612</v>
      </c>
      <c r="AK50" s="264" t="n">
        <v>15549</v>
      </c>
      <c r="AL50" s="264" t="n">
        <v>20829</v>
      </c>
      <c r="AM50" s="264" t="n">
        <v>65866</v>
      </c>
      <c r="AN50" s="264" t="n">
        <v>16192</v>
      </c>
      <c r="AO50" s="264" t="n">
        <v>16370</v>
      </c>
      <c r="AP50" s="264" t="n">
        <v>18348</v>
      </c>
      <c r="AQ50" s="264" t="n">
        <v>23813</v>
      </c>
      <c r="AR50" s="264" t="n">
        <v>74723</v>
      </c>
      <c r="AS50" s="264" t="n">
        <v>19106</v>
      </c>
      <c r="AT50" s="264" t="n">
        <v>22668</v>
      </c>
      <c r="AU50" s="264" t="n">
        <v>25171</v>
      </c>
      <c r="AV50" s="264" t="n">
        <v>37467</v>
      </c>
      <c r="AW50" s="264" t="n">
        <v>104412</v>
      </c>
      <c r="AX50" s="264" t="n">
        <v>30649</v>
      </c>
      <c r="AY50" s="264" t="n">
        <v>30721</v>
      </c>
      <c r="AZ50" s="264" t="n">
        <v>29145</v>
      </c>
      <c r="BA50" s="264" t="n">
        <v>37272</v>
      </c>
      <c r="BB50" s="264" t="n">
        <v>127787</v>
      </c>
      <c r="BC50" s="264" t="n">
        <v>28759</v>
      </c>
      <c r="BD50" s="264" t="n">
        <v>27065</v>
      </c>
      <c r="BE50" s="264" t="n">
        <v>27720</v>
      </c>
      <c r="BF50" s="264" t="n">
        <v>34463</v>
      </c>
      <c r="BG50" s="264" t="n">
        <v>118007</v>
      </c>
      <c r="BH50" s="264" t="n">
        <v>29123</v>
      </c>
      <c r="BI50" s="264" t="n">
        <v>29697</v>
      </c>
      <c r="BJ50" s="264" t="n">
        <v>32137</v>
      </c>
      <c r="BK50" s="264" t="n">
        <v>40243</v>
      </c>
      <c r="BL50" s="264" t="n">
        <v>131200</v>
      </c>
      <c r="BM50" s="264" t="n">
        <v>31935</v>
      </c>
      <c r="BN50" s="264" t="n">
        <v>31663</v>
      </c>
      <c r="BO50" s="264" t="n">
        <v>35888</v>
      </c>
      <c r="BP50" s="264" t="n">
        <v>43420</v>
      </c>
      <c r="BQ50" s="264" t="n">
        <v>142906</v>
      </c>
      <c r="BR50" s="264" t="n">
        <v>33513</v>
      </c>
      <c r="BS50" s="264" t="n">
        <v>36761</v>
      </c>
      <c r="BT50" s="264" t="n">
        <v>40896</v>
      </c>
      <c r="BU50" s="264" t="n">
        <v>50724</v>
      </c>
      <c r="BV50" s="264" t="n">
        <v>161894</v>
      </c>
      <c r="BW50" s="264" t="n">
        <v>39789</v>
      </c>
      <c r="BX50" s="264" t="n">
        <v>42197</v>
      </c>
      <c r="BY50" s="265">
        <f>BY42-BY44</f>
        <v>43546.6557437779</v>
      </c>
      <c r="BZ50" s="265">
        <f>BZ42-BZ44</f>
        <v>56520.1823110741</v>
      </c>
      <c r="CA50" s="265">
        <f>SUM(BW50:BZ50)</f>
        <v>182052.838054852</v>
      </c>
      <c r="CB50" s="265">
        <f>CB42-CB44</f>
        <v>201435.374836631</v>
      </c>
      <c r="CC50" s="265">
        <f>CC42-CC44</f>
        <v>221325.197060827</v>
      </c>
      <c r="CD50" s="265">
        <f>CD42-CD44</f>
        <v>241766.833270853</v>
      </c>
      <c r="CE50" s="265">
        <f>CE42-CE44</f>
        <v>262499.831382011</v>
      </c>
      <c r="CF50" s="153" t="inlineStr">
        <is>
          <t>Consumer-facing sales outside North America (UK, Germany, Japan, …). Forecast = retail groups − North America.</t>
        </is>
      </c>
      <c r="CH50" s="20">
        <f>IFERROR((CE50/BV50)^(1/5)-1,"n/m")</f>
        <v>0.101487708053944</v>
      </c>
      <c r="CI50" s="20">
        <f>IFERROR((BV50/AW50)^(1/5)-1,"n/m")</f>
        <v>0.0916817943492885</v>
      </c>
      <c r="CJ50" s="20">
        <f>IFERROR((BV50/X50)^(1/10)-1,"n/m")</f>
        <v>0.164127830689777</v>
      </c>
      <c r="CK50" s="20" t="str">
        <f>IFERROR((BV50/C50)^(1/19)-1,"n/m")</f>
        <v>n/m</v>
      </c>
      <c r="CN50" s="25" t="inlineStr">
        <is>
          <t xml:space="preserve">  2030E</t>
        </is>
      </c>
      <c r="CO50" s="33">
        <f>CP50+$CO$46</f>
        <v>0.11</v>
      </c>
      <c r="CP50" s="258" t="n">
        <v>0.09</v>
      </c>
      <c r="CQ50" s="33">
        <f>CP50+$CQ$46</f>
        <v>0.06</v>
      </c>
    </row>
    <row r="51" ht="15" customHeight="1" s="251">
      <c r="B51" s="22" t="inlineStr">
        <is>
          <t xml:space="preserve">    y/y %</t>
        </is>
      </c>
      <c r="D51" s="255">
        <f>IF(AND(ISNUMBER(D50),ISNUMBER(C50)),IFERROR(D50/C50-1,""),"")</f>
      </c>
      <c r="E51" s="255">
        <f>IF(AND(ISNUMBER(E50),ISNUMBER(D50)),IFERROR(E50/D50-1,""),"")</f>
      </c>
      <c r="F51" s="255">
        <f>IF(AND(ISNUMBER(F50),ISNUMBER(E50)),IFERROR(F50/E50-1,""),"")</f>
      </c>
      <c r="G51" s="255">
        <f>IF(AND(ISNUMBER(G50),ISNUMBER(F50)),IFERROR(G50/F50-1,""),"")</f>
      </c>
      <c r="H51" s="255">
        <f>IF(AND(ISNUMBER(H50),ISNUMBER(G50)),IFERROR(H50/G50-1,""),"")</f>
      </c>
      <c r="I51" s="255">
        <f>IF(AND(ISNUMBER(I50),ISNUMBER(H50)),IFERROR(I50/H50-1,""),"")</f>
      </c>
      <c r="N51" s="255">
        <f>IF(AND(ISNUMBER(N50),ISNUMBER(I50)),IFERROR(N50/I50-1,""),"")</f>
      </c>
      <c r="O51" s="255">
        <f>IF(AND(ISNUMBER(O50),ISNUMBER(J50)),IFERROR(O50/J50-1,""),"")</f>
      </c>
      <c r="P51" s="255">
        <f>IF(AND(ISNUMBER(P50),ISNUMBER(K50)),IFERROR(P50/K50-1,""),"")</f>
      </c>
      <c r="Q51" s="255">
        <f>IF(AND(ISNUMBER(Q50),ISNUMBER(L50)),IFERROR(Q50/L50-1,""),"")</f>
      </c>
      <c r="R51" s="255">
        <f>IF(AND(ISNUMBER(R50),ISNUMBER(M50)),IFERROR(R50/M50-1,""),"")</f>
      </c>
      <c r="S51" s="255">
        <f>IF(AND(ISNUMBER(S50),ISNUMBER(N50)),IFERROR(S50/N50-1,""),"")</f>
        <v>0.11946281820004</v>
      </c>
      <c r="T51" s="255">
        <f>IF(AND(ISNUMBER(T50),ISNUMBER(O50)),IFERROR(T50/O50-1,""),"")</f>
        <v>-0.0175060256247621</v>
      </c>
      <c r="U51" s="255">
        <f>IF(AND(ISNUMBER(U50),ISNUMBER(P50)),IFERROR(U50/P50-1,""),"")</f>
        <v>0.030513554011715</v>
      </c>
      <c r="V51" s="255">
        <f>IF(AND(ISNUMBER(V50),ISNUMBER(Q50)),IFERROR(V50/Q50-1,""),"")</f>
        <v>0.0721047853715471</v>
      </c>
      <c r="W51" s="255">
        <f>IF(AND(ISNUMBER(W50),ISNUMBER(R50)),IFERROR(W50/R50-1,""),"")</f>
        <v>0.119716312056738</v>
      </c>
      <c r="X51" s="255">
        <f>IF(AND(ISNUMBER(X50),ISNUMBER(S50)),IFERROR(X50/S50-1,""),"")</f>
        <v>0.0569382273948076</v>
      </c>
      <c r="Y51" s="255">
        <f>IF(AND(ISNUMBER(Y50),ISNUMBER(T50)),IFERROR(Y50/T50-1,""),"")</f>
        <v>0.235119431891543</v>
      </c>
      <c r="Z51" s="255">
        <f>IF(AND(ISNUMBER(Z50),ISNUMBER(U50)),IFERROR(Z50/U50-1,""),"")</f>
        <v>0.301255783212161</v>
      </c>
      <c r="AA51" s="255">
        <f>IF(AND(ISNUMBER(AA50),ISNUMBER(V50)),IFERROR(AA50/V50-1,""),"")</f>
        <v>0.283295028426273</v>
      </c>
      <c r="AB51" s="255">
        <f>IF(AND(ISNUMBER(AB50),ISNUMBER(W50)),IFERROR(AB50/W50-1,""),"")</f>
        <v>0.179376741829237</v>
      </c>
      <c r="AC51" s="255">
        <f>IF(AND(ISNUMBER(AC50),ISNUMBER(X50)),IFERROR(AC50/X50-1,""),"")</f>
        <v>0.241826190072844</v>
      </c>
      <c r="AD51" s="255">
        <f>IF(AND(ISNUMBER(AD50),ISNUMBER(Y50)),IFERROR(AD50/Y50-1,""),"")</f>
        <v>0.156282667781727</v>
      </c>
      <c r="AE51" s="255">
        <f>IF(AND(ISNUMBER(AE50),ISNUMBER(Z50)),IFERROR(AE50/Z50-1,""),"")</f>
        <v>0.166700528240553</v>
      </c>
      <c r="AF51" s="255">
        <f>IF(AND(ISNUMBER(AF50),ISNUMBER(AA50)),IFERROR(AF50/AA50-1,""),"")</f>
        <v>0.292676029786031</v>
      </c>
      <c r="AG51" s="255">
        <f>IF(AND(ISNUMBER(AG50),ISNUMBER(AB50)),IFERROR(AG50/AB50-1,""),"")</f>
        <v>0.291657715717866</v>
      </c>
      <c r="AH51" s="255">
        <f>IF(AND(ISNUMBER(AH50),ISNUMBER(AC50)),IFERROR(AH50/AC50-1,""),"")</f>
        <v>0.234499693063229</v>
      </c>
      <c r="AI51" s="255">
        <f>IF(AND(ISNUMBER(AI50),ISNUMBER(AD50)),IFERROR(AI50/AD50-1,""),"")</f>
        <v>0.344815116173945</v>
      </c>
      <c r="AJ51" s="255">
        <f>IF(AND(ISNUMBER(AJ50),ISNUMBER(AE50)),IFERROR(AJ50/AE50-1,""),"")</f>
        <v>0.272268175881585</v>
      </c>
      <c r="AK51" s="255">
        <f>IF(AND(ISNUMBER(AK50),ISNUMBER(AF50)),IFERROR(AK50/AF50-1,""),"")</f>
        <v>0.133804870934811</v>
      </c>
      <c r="AL51" s="255">
        <f>IF(AND(ISNUMBER(AL50),ISNUMBER(AG50)),IFERROR(AL50/AG50-1,""),"")</f>
        <v>0.154728905643641</v>
      </c>
      <c r="AM51" s="255">
        <f>IF(AND(ISNUMBER(AM50),ISNUMBER(AH50)),IFERROR(AM50/AH50-1,""),"")</f>
        <v>0.213068861999742</v>
      </c>
      <c r="AN51" s="255">
        <f>IF(AND(ISNUMBER(AN50),ISNUMBER(AI50)),IFERROR(AN50/AI50-1,""),"")</f>
        <v>0.0885378151260505</v>
      </c>
      <c r="AO51" s="255">
        <f>IF(AND(ISNUMBER(AO50),ISNUMBER(AJ50)),IFERROR(AO50/AJ50-1,""),"")</f>
        <v>0.120312072269368</v>
      </c>
      <c r="AP51" s="255">
        <f>IF(AND(ISNUMBER(AP50),ISNUMBER(AK50)),IFERROR(AP50/AK50-1,""),"")</f>
        <v>0.180011576307158</v>
      </c>
      <c r="AQ51" s="255">
        <f>IF(AND(ISNUMBER(AQ50),ISNUMBER(AL50)),IFERROR(AQ50/AL50-1,""),"")</f>
        <v>0.143261798454079</v>
      </c>
      <c r="AR51" s="255">
        <f>IF(AND(ISNUMBER(AR50),ISNUMBER(AM50)),IFERROR(AR50/AM50-1,""),"")</f>
        <v>0.134469984514013</v>
      </c>
      <c r="AS51" s="255">
        <f>IF(AND(ISNUMBER(AS50),ISNUMBER(AN50)),IFERROR(AS50/AN50-1,""),"")</f>
        <v>0.179965415019763</v>
      </c>
      <c r="AT51" s="255">
        <f>IF(AND(ISNUMBER(AT50),ISNUMBER(AO50)),IFERROR(AT50/AO50-1,""),"")</f>
        <v>0.384728161270617</v>
      </c>
      <c r="AU51" s="255">
        <f>IF(AND(ISNUMBER(AU50),ISNUMBER(AP50)),IFERROR(AU50/AP50-1,""),"")</f>
        <v>0.371866143448877</v>
      </c>
      <c r="AV51" s="255">
        <f>IF(AND(ISNUMBER(AV50),ISNUMBER(AQ50)),IFERROR(AV50/AQ50-1,""),"")</f>
        <v>0.57338428589426</v>
      </c>
      <c r="AW51" s="255">
        <f>IF(AND(ISNUMBER(AW50),ISNUMBER(AR50)),IFERROR(AW50/AR50-1,""),"")</f>
        <v>0.397320771382305</v>
      </c>
      <c r="AX51" s="255">
        <f>IF(AND(ISNUMBER(AX50),ISNUMBER(AS50)),IFERROR(AX50/AS50-1,""),"")</f>
        <v>0.604155762587669</v>
      </c>
      <c r="AY51" s="255">
        <f>IF(AND(ISNUMBER(AY50),ISNUMBER(AT50)),IFERROR(AY50/AT50-1,""),"")</f>
        <v>0.355258514205047</v>
      </c>
      <c r="AZ51" s="255">
        <f>IF(AND(ISNUMBER(AZ50),ISNUMBER(AU50)),IFERROR(AZ50/AU50-1,""),"")</f>
        <v>0.157880100115212</v>
      </c>
      <c r="BA51" s="255">
        <f>IF(AND(ISNUMBER(BA50),ISNUMBER(AV50)),IFERROR(BA50/AV50-1,""),"")</f>
        <v>-0.00520458003042679</v>
      </c>
      <c r="BB51" s="255">
        <f>IF(AND(ISNUMBER(BB50),ISNUMBER(AW50)),IFERROR(BB50/AW50-1,""),"")</f>
        <v>0.223872734934682</v>
      </c>
      <c r="BC51" s="255">
        <f>IF(AND(ISNUMBER(BC50),ISNUMBER(AX50)),IFERROR(BC50/AX50-1,""),"")</f>
        <v>-0.061665959737675</v>
      </c>
      <c r="BD51" s="255">
        <f>IF(AND(ISNUMBER(BD50),ISNUMBER(AY50)),IFERROR(BD50/AY50-1,""),"")</f>
        <v>-0.11900654275577</v>
      </c>
      <c r="BE51" s="255">
        <f>IF(AND(ISNUMBER(BE50),ISNUMBER(AZ50)),IFERROR(BE50/AZ50-1,""),"")</f>
        <v>-0.0488934637159032</v>
      </c>
      <c r="BF51" s="255">
        <f>IF(AND(ISNUMBER(BF50),ISNUMBER(BA50)),IFERROR(BF50/BA50-1,""),"")</f>
        <v>-0.0753648851684911</v>
      </c>
      <c r="BG51" s="255">
        <f>IF(AND(ISNUMBER(BG50),ISNUMBER(BB50)),IFERROR(BG50/BB50-1,""),"")</f>
        <v>-0.0765336067049074</v>
      </c>
      <c r="BH51" s="255">
        <f>IF(AND(ISNUMBER(BH50),ISNUMBER(BC50)),IFERROR(BH50/BC50-1,""),"")</f>
        <v>0.0126569074028999</v>
      </c>
      <c r="BI51" s="255">
        <f>IF(AND(ISNUMBER(BI50),ISNUMBER(BD50)),IFERROR(BI50/BD50-1,""),"")</f>
        <v>0.0972473674487346</v>
      </c>
      <c r="BJ51" s="255">
        <f>IF(AND(ISNUMBER(BJ50),ISNUMBER(BE50)),IFERROR(BJ50/BE50-1,""),"")</f>
        <v>0.159343434343434</v>
      </c>
      <c r="BK51" s="255">
        <f>IF(AND(ISNUMBER(BK50),ISNUMBER(BF50)),IFERROR(BK50/BF50-1,""),"")</f>
        <v>0.16771610132606</v>
      </c>
      <c r="BL51" s="255">
        <f>IF(AND(ISNUMBER(BL50),ISNUMBER(BG50)),IFERROR(BL50/BG50-1,""),"")</f>
        <v>0.111798452634166</v>
      </c>
      <c r="BM51" s="255">
        <f>IF(AND(ISNUMBER(BM50),ISNUMBER(BH50)),IFERROR(BM50/BH50-1,""),"")</f>
        <v>0.0965559866771968</v>
      </c>
      <c r="BN51" s="255">
        <f>IF(AND(ISNUMBER(BN50),ISNUMBER(BI50)),IFERROR(BN50/BI50-1,""),"")</f>
        <v>0.0662019732632926</v>
      </c>
      <c r="BO51" s="255">
        <f>IF(AND(ISNUMBER(BO50),ISNUMBER(BJ50)),IFERROR(BO50/BJ50-1,""),"")</f>
        <v>0.116719046581822</v>
      </c>
      <c r="BP51" s="255">
        <f>IF(AND(ISNUMBER(BP50),ISNUMBER(BK50)),IFERROR(BP50/BK50-1,""),"")</f>
        <v>0.0789454066545734</v>
      </c>
      <c r="BQ51" s="255">
        <f>IF(AND(ISNUMBER(BQ50),ISNUMBER(BL50)),IFERROR(BQ50/BL50-1,""),"")</f>
        <v>0.0892225609756097</v>
      </c>
      <c r="BR51" s="255">
        <f>IF(AND(ISNUMBER(BR50),ISNUMBER(BM50)),IFERROR(BR50/BM50-1,""),"")</f>
        <v>0.049412869891968</v>
      </c>
      <c r="BS51" s="255">
        <f>IF(AND(ISNUMBER(BS50),ISNUMBER(BN50)),IFERROR(BS50/BN50-1,""),"")</f>
        <v>0.161008116729306</v>
      </c>
      <c r="BT51" s="255">
        <f>IF(AND(ISNUMBER(BT50),ISNUMBER(BO50)),IFERROR(BT50/BO50-1,""),"")</f>
        <v>0.139545251894784</v>
      </c>
      <c r="BU51" s="255">
        <f>IF(AND(ISNUMBER(BU50),ISNUMBER(BP50)),IFERROR(BU50/BP50-1,""),"")</f>
        <v>0.168217411331184</v>
      </c>
      <c r="BV51" s="255">
        <f>IF(AND(ISNUMBER(BV50),ISNUMBER(BQ50)),IFERROR(BV50/BQ50-1,""),"")</f>
        <v>0.132870558269072</v>
      </c>
      <c r="BW51" s="255">
        <f>IF(AND(ISNUMBER(BW50),ISNUMBER(BR50)),IFERROR(BW50/BR50-1,""),"")</f>
        <v>0.18727061140453</v>
      </c>
      <c r="BX51" s="255">
        <f>IF(AND(ISNUMBER(BX50),ISNUMBER(BS50)),IFERROR(BX50/BS50-1,""),"")</f>
        <v>0.147874105709856</v>
      </c>
      <c r="BY51" s="256">
        <f>IF(AND(ISNUMBER(BY50),ISNUMBER(BT50)),IFERROR(BY50/BT50-1,""),"")</f>
        <v>0.0648145477253981</v>
      </c>
      <c r="BZ51" s="256">
        <f>IF(AND(ISNUMBER(BZ50),ISNUMBER(BU50)),IFERROR(BZ50/BU50-1,""),"")</f>
        <v>0.114269030657561</v>
      </c>
      <c r="CA51" s="256">
        <f>IF(AND(ISNUMBER(CA50),ISNUMBER(BV50)),IFERROR(CA50/BV50-1,""),"")</f>
        <v>0.124518747173163</v>
      </c>
      <c r="CB51" s="256">
        <f>IF(AND(ISNUMBER(CB50),ISNUMBER(CA50)),IFERROR(CB50/CA50-1,""),"")</f>
        <v>0.106466545585731</v>
      </c>
      <c r="CC51" s="256">
        <f>IF(AND(ISNUMBER(CC50),ISNUMBER(CB50)),IFERROR(CC50/CB50-1,""),"")</f>
        <v>0.0987404632395237</v>
      </c>
      <c r="CD51" s="256">
        <f>IF(AND(ISNUMBER(CD50),ISNUMBER(CC50)),IFERROR(CD50/CC50-1,""),"")</f>
        <v>0.0923601852906459</v>
      </c>
      <c r="CE51" s="256">
        <f>IF(AND(ISNUMBER(CE50),ISNUMBER(CD50)),IFERROR(CE50/CD50-1,""),"")</f>
        <v>0.0857561718895081</v>
      </c>
      <c r="CF51" s="153" t="n"/>
      <c r="CN51" s="15" t="inlineStr">
        <is>
          <t>ADS (Advertising services y/y)</t>
        </is>
      </c>
      <c r="CO51" s="261" t="n">
        <v>0.03</v>
      </c>
      <c r="CP51" s="21" t="inlineStr">
        <is>
          <t>Δ →</t>
        </is>
      </c>
      <c r="CQ51" s="261" t="n">
        <v>-0.05</v>
      </c>
      <c r="CR51" s="13" t="inlineStr">
        <is>
          <t>FY2025 +22.1%; Q2-26 +26%; Prime Video ads, sponsored products.</t>
        </is>
      </c>
    </row>
    <row r="52" ht="15" customHeight="1" s="251">
      <c r="B52" s="25" t="inlineStr">
        <is>
          <t xml:space="preserve">  International — segment operating income</t>
        </is>
      </c>
      <c r="C52" s="34" t="n"/>
      <c r="D52" s="34" t="n"/>
      <c r="E52" s="34" t="n"/>
      <c r="F52" s="34" t="n"/>
      <c r="G52" s="34" t="n"/>
      <c r="H52" s="34" t="n"/>
      <c r="I52" s="34" t="n"/>
      <c r="J52" s="34" t="n"/>
      <c r="K52" s="34" t="n"/>
      <c r="L52" s="34" t="n"/>
      <c r="M52" s="34" t="n"/>
      <c r="N52" s="253" t="n">
        <v>154</v>
      </c>
      <c r="O52" s="253" t="n">
        <v>-33</v>
      </c>
      <c r="P52" s="253" t="n">
        <v>-2</v>
      </c>
      <c r="Q52" s="253" t="n">
        <v>-174</v>
      </c>
      <c r="R52" s="253" t="n">
        <v>65</v>
      </c>
      <c r="S52" s="253" t="n">
        <v>-144</v>
      </c>
      <c r="T52" s="253" t="n">
        <v>-194</v>
      </c>
      <c r="U52" s="253" t="n">
        <v>-189</v>
      </c>
      <c r="V52" s="253" t="n">
        <v>-208</v>
      </c>
      <c r="W52" s="253" t="n">
        <v>-108</v>
      </c>
      <c r="X52" s="253" t="n">
        <v>-699</v>
      </c>
      <c r="Y52" s="253" t="n">
        <v>-121</v>
      </c>
      <c r="Z52" s="253" t="n">
        <v>-135</v>
      </c>
      <c r="AA52" s="253" t="n">
        <v>-541</v>
      </c>
      <c r="AB52" s="253" t="n">
        <v>-487</v>
      </c>
      <c r="AC52" s="253" t="n">
        <v>-1283</v>
      </c>
      <c r="AD52" s="253" t="n">
        <v>-481</v>
      </c>
      <c r="AE52" s="253" t="n">
        <v>-724</v>
      </c>
      <c r="AF52" s="253" t="n">
        <v>-936</v>
      </c>
      <c r="AG52" s="253" t="n">
        <v>-919</v>
      </c>
      <c r="AH52" s="253" t="n">
        <v>-3062</v>
      </c>
      <c r="AI52" s="253" t="n">
        <v>-622</v>
      </c>
      <c r="AJ52" s="253" t="n">
        <v>-494</v>
      </c>
      <c r="AK52" s="253" t="n">
        <v>-385</v>
      </c>
      <c r="AL52" s="253" t="n">
        <v>-642</v>
      </c>
      <c r="AM52" s="253" t="n">
        <v>-2142</v>
      </c>
      <c r="AN52" s="253" t="n">
        <v>-90</v>
      </c>
      <c r="AO52" s="253" t="n">
        <v>-601</v>
      </c>
      <c r="AP52" s="253" t="n">
        <v>-386</v>
      </c>
      <c r="AQ52" s="253" t="n">
        <v>-617</v>
      </c>
      <c r="AR52" s="253" t="n">
        <v>-1693</v>
      </c>
      <c r="AS52" s="253" t="n">
        <v>-398</v>
      </c>
      <c r="AT52" s="253" t="n">
        <v>345</v>
      </c>
      <c r="AU52" s="253" t="n">
        <v>407</v>
      </c>
      <c r="AV52" s="253" t="n">
        <v>363</v>
      </c>
      <c r="AW52" s="253" t="n">
        <v>717</v>
      </c>
      <c r="AX52" s="253" t="n">
        <v>1252</v>
      </c>
      <c r="AY52" s="253" t="n">
        <v>362</v>
      </c>
      <c r="AZ52" s="253" t="n">
        <v>-911</v>
      </c>
      <c r="BA52" s="253" t="n">
        <v>-1627</v>
      </c>
      <c r="BB52" s="253" t="n">
        <v>-924</v>
      </c>
      <c r="BC52" s="253" t="n">
        <v>-1281</v>
      </c>
      <c r="BD52" s="253" t="n">
        <v>-1771</v>
      </c>
      <c r="BE52" s="253" t="n">
        <v>-2466</v>
      </c>
      <c r="BF52" s="253" t="n">
        <v>-2228</v>
      </c>
      <c r="BG52" s="253" t="n">
        <v>-7746</v>
      </c>
      <c r="BH52" s="253" t="n">
        <v>-1247</v>
      </c>
      <c r="BI52" s="253" t="n">
        <v>-895</v>
      </c>
      <c r="BJ52" s="253" t="n">
        <v>-95</v>
      </c>
      <c r="BK52" s="253" t="n">
        <v>-419</v>
      </c>
      <c r="BL52" s="253" t="n">
        <v>-2656</v>
      </c>
      <c r="BM52" s="253" t="n">
        <v>903</v>
      </c>
      <c r="BN52" s="253" t="n">
        <v>273</v>
      </c>
      <c r="BO52" s="253" t="n">
        <v>1301</v>
      </c>
      <c r="BP52" s="253" t="n">
        <v>1315</v>
      </c>
      <c r="BQ52" s="253" t="n">
        <v>3792</v>
      </c>
      <c r="BR52" s="253" t="n">
        <v>1017</v>
      </c>
      <c r="BS52" s="253" t="n">
        <v>1494</v>
      </c>
      <c r="BT52" s="253" t="n">
        <v>1199</v>
      </c>
      <c r="BU52" s="253" t="n">
        <v>1040</v>
      </c>
      <c r="BV52" s="253" t="n">
        <v>4750</v>
      </c>
      <c r="BW52" s="253" t="n">
        <v>1424</v>
      </c>
      <c r="BX52" s="253" t="n">
        <v>1717</v>
      </c>
      <c r="BY52" s="254">
        <f>BY50*BY53</f>
        <v>882.516075362569</v>
      </c>
      <c r="BZ52" s="254">
        <f>BZ50*BZ53</f>
        <v>728.821588761617</v>
      </c>
      <c r="CA52" s="254">
        <f>SUM(BW52:BZ52)</f>
        <v>4752.33766412419</v>
      </c>
      <c r="CB52" s="254">
        <f>CB50*CB53</f>
        <v>9064.59186764838</v>
      </c>
      <c r="CC52" s="254">
        <f>CC50*CC53</f>
        <v>11066.2598530413</v>
      </c>
      <c r="CD52" s="254">
        <f>CD50*CD53</f>
        <v>13297.1758298969</v>
      </c>
      <c r="CE52" s="254">
        <f>CE50*CE53</f>
        <v>15749.9898829206</v>
      </c>
      <c r="CF52" s="19" t="n"/>
      <c r="CH52" s="20">
        <f>IFERROR((CE52/BV52)^(1/5)-1,"n/m")</f>
        <v>0.27091742424517</v>
      </c>
      <c r="CI52" s="20">
        <f>IFERROR((BV52/AW52)^(1/5)-1,"n/m")</f>
        <v>0.459603482180132</v>
      </c>
      <c r="CJ52" s="20" t="str">
        <f>IFERROR((BV52/X52)^(1/10)-1,"n/m")</f>
        <v>n/m</v>
      </c>
      <c r="CK52" s="20" t="str">
        <f>IFERROR((BV52/C52)^(1/19)-1,"n/m")</f>
        <v>n/m</v>
      </c>
      <c r="CN52" s="25" t="inlineStr">
        <is>
          <t xml:space="preserve">  2027E</t>
        </is>
      </c>
      <c r="CO52" s="33">
        <f>CP52+$CO$51</f>
        <v>0.22</v>
      </c>
      <c r="CP52" s="258" t="n">
        <v>0.19</v>
      </c>
      <c r="CQ52" s="33">
        <f>CP52+$CQ$51</f>
        <v>0.14</v>
      </c>
    </row>
    <row r="53" ht="15" customHeight="1" s="251">
      <c r="B53" s="25" t="inlineStr">
        <is>
          <t xml:space="preserve">    Segment operating margin %</t>
        </is>
      </c>
      <c r="C53" s="215">
        <f>IF(AND(ISNUMBER(C52),ISNUMBER(C50)),IFERROR(C52/C50,""),"")</f>
      </c>
      <c r="D53" s="215">
        <f>IF(AND(ISNUMBER(D52),ISNUMBER(D50)),IFERROR(D52/D50,""),"")</f>
      </c>
      <c r="E53" s="215">
        <f>IF(AND(ISNUMBER(E52),ISNUMBER(E50)),IFERROR(E52/E50,""),"")</f>
      </c>
      <c r="F53" s="215">
        <f>IF(AND(ISNUMBER(F52),ISNUMBER(F50)),IFERROR(F52/F50,""),"")</f>
      </c>
      <c r="G53" s="215">
        <f>IF(AND(ISNUMBER(G52),ISNUMBER(G50)),IFERROR(G52/G50,""),"")</f>
      </c>
      <c r="H53" s="215">
        <f>IF(AND(ISNUMBER(H52),ISNUMBER(H50)),IFERROR(H52/H50,""),"")</f>
      </c>
      <c r="I53" s="215">
        <f>IF(AND(ISNUMBER(I52),ISNUMBER(I50)),IFERROR(I52/I50,""),"")</f>
      </c>
      <c r="J53" s="215">
        <f>IF(AND(ISNUMBER(J52),ISNUMBER(J50)),IFERROR(J52/J50,""),"")</f>
      </c>
      <c r="K53" s="215">
        <f>IF(AND(ISNUMBER(K52),ISNUMBER(K50)),IFERROR(K52/K50,""),"")</f>
      </c>
      <c r="L53" s="215">
        <f>IF(AND(ISNUMBER(L52),ISNUMBER(L50)),IFERROR(L52/L50,""),"")</f>
      </c>
      <c r="M53" s="215">
        <f>IF(AND(ISNUMBER(M52),ISNUMBER(M50)),IFERROR(M52/M50,""),"")</f>
      </c>
      <c r="N53" s="215">
        <f>IF(AND(ISNUMBER(N52),ISNUMBER(N50)),IFERROR(N52/N50,""),"")</f>
        <v>0.00514465156678025</v>
      </c>
      <c r="O53" s="215">
        <f>IF(AND(ISNUMBER(O52),ISNUMBER(O50)),IFERROR(O52/O50,""),"")</f>
        <v>-0.00418622351896486</v>
      </c>
      <c r="P53" s="215">
        <f>IF(AND(ISNUMBER(P52),ISNUMBER(P50)),IFERROR(P52/P50,""),"")</f>
        <v>-0.00027244244653317</v>
      </c>
      <c r="Q53" s="215">
        <f>IF(AND(ISNUMBER(Q52),ISNUMBER(Q50)),IFERROR(Q52/Q50,""),"")</f>
        <v>-0.0225651666450525</v>
      </c>
      <c r="R53" s="215">
        <f>IF(AND(ISNUMBER(R52),ISNUMBER(R50)),IFERROR(R52/R50,""),"")</f>
        <v>0.00614657210401891</v>
      </c>
      <c r="S53" s="215">
        <f>IF(AND(ISNUMBER(S52),ISNUMBER(S50)),IFERROR(S52/S50,""),"")</f>
        <v>-0.00429722470904208</v>
      </c>
      <c r="T53" s="215">
        <f>IF(AND(ISNUMBER(T52),ISNUMBER(T50)),IFERROR(T52/T50,""),"")</f>
        <v>-0.0250484183344093</v>
      </c>
      <c r="U53" s="215">
        <f>IF(AND(ISNUMBER(U52),ISNUMBER(U50)),IFERROR(U52/U50,""),"")</f>
        <v>-0.0249834765366821</v>
      </c>
      <c r="V53" s="215">
        <f>IF(AND(ISNUMBER(V52),ISNUMBER(V50)),IFERROR(V52/V50,""),"")</f>
        <v>-0.0251602757953308</v>
      </c>
      <c r="W53" s="215">
        <f>IF(AND(ISNUMBER(W52),ISNUMBER(W50)),IFERROR(W52/W50,""),"")</f>
        <v>-0.00912085127945275</v>
      </c>
      <c r="X53" s="215">
        <f>IF(AND(ISNUMBER(X52),ISNUMBER(X50)),IFERROR(X52/X50,""),"")</f>
        <v>-0.0197357275961376</v>
      </c>
      <c r="Y53" s="215">
        <f>IF(AND(ISNUMBER(Y52),ISNUMBER(Y50)),IFERROR(Y52/Y50,""),"")</f>
        <v>-0.0126489650846749</v>
      </c>
      <c r="Z53" s="215">
        <f>IF(AND(ISNUMBER(Z52),ISNUMBER(Z50)),IFERROR(Z52/Z50,""),"")</f>
        <v>-0.0137139374238115</v>
      </c>
      <c r="AA53" s="215">
        <f>IF(AND(ISNUMBER(AA52),ISNUMBER(AA50)),IFERROR(AA52/AA50,""),"")</f>
        <v>-0.0509944386841361</v>
      </c>
      <c r="AB53" s="215">
        <f>IF(AND(ISNUMBER(AB52),ISNUMBER(AB50)),IFERROR(AB52/AB50,""),"")</f>
        <v>-0.0348728965270319</v>
      </c>
      <c r="AC53" s="215">
        <f>IF(AND(ISNUMBER(AC52),ISNUMBER(AC50)),IFERROR(AC52/AC50,""),"")</f>
        <v>-0.0291703612759475</v>
      </c>
      <c r="AD53" s="215">
        <f>IF(AND(ISNUMBER(AD52),ISNUMBER(AD50)),IFERROR(AD52/AD50,""),"")</f>
        <v>-0.0434861224120785</v>
      </c>
      <c r="AE53" s="215">
        <f>IF(AND(ISNUMBER(AE52),ISNUMBER(AE50)),IFERROR(AE52/AE50,""),"")</f>
        <v>-0.0630387461906835</v>
      </c>
      <c r="AF53" s="215">
        <f>IF(AND(ISNUMBER(AF52),ISNUMBER(AF50)),IFERROR(AF52/AF50,""),"")</f>
        <v>-0.068251421904623</v>
      </c>
      <c r="AG53" s="215">
        <f>IF(AND(ISNUMBER(AG52),ISNUMBER(AG50)),IFERROR(AG52/AG50,""),"")</f>
        <v>-0.0509479986694756</v>
      </c>
      <c r="AH53" s="215">
        <f>IF(AND(ISNUMBER(AH52),ISNUMBER(AH50)),IFERROR(AH52/AH50,""),"")</f>
        <v>-0.0563935392378953</v>
      </c>
      <c r="AI53" s="215">
        <f>IF(AND(ISNUMBER(AI52),ISNUMBER(AI50)),IFERROR(AI52/AI50,""),"")</f>
        <v>-0.0418151260504202</v>
      </c>
      <c r="AJ53" s="215">
        <f>IF(AND(ISNUMBER(AJ52),ISNUMBER(AJ50)),IFERROR(AJ52/AJ50,""),"")</f>
        <v>-0.0338078291814947</v>
      </c>
      <c r="AK53" s="215">
        <f>IF(AND(ISNUMBER(AK52),ISNUMBER(AK50)),IFERROR(AK52/AK50,""),"")</f>
        <v>-0.0247604347546466</v>
      </c>
      <c r="AL53" s="215">
        <f>IF(AND(ISNUMBER(AL52),ISNUMBER(AL50)),IFERROR(AL52/AL50,""),"")</f>
        <v>-0.0308224110615008</v>
      </c>
      <c r="AM53" s="215">
        <f>IF(AND(ISNUMBER(AM52),ISNUMBER(AM50)),IFERROR(AM52/AM50,""),"")</f>
        <v>-0.0325205720705675</v>
      </c>
      <c r="AN53" s="215">
        <f>IF(AND(ISNUMBER(AN52),ISNUMBER(AN50)),IFERROR(AN52/AN50,""),"")</f>
        <v>-0.00555830039525692</v>
      </c>
      <c r="AO53" s="215">
        <f>IF(AND(ISNUMBER(AO52),ISNUMBER(AO50)),IFERROR(AO52/AO50,""),"")</f>
        <v>-0.0367135003054368</v>
      </c>
      <c r="AP53" s="215">
        <f>IF(AND(ISNUMBER(AP52),ISNUMBER(AP50)),IFERROR(AP52/AP50,""),"")</f>
        <v>-0.0210377152823196</v>
      </c>
      <c r="AQ53" s="215">
        <f>IF(AND(ISNUMBER(AQ52),ISNUMBER(AQ50)),IFERROR(AQ52/AQ50,""),"")</f>
        <v>-0.0259102171083022</v>
      </c>
      <c r="AR53" s="215">
        <f>IF(AND(ISNUMBER(AR52),ISNUMBER(AR50)),IFERROR(AR52/AR50,""),"")</f>
        <v>-0.02265701323555</v>
      </c>
      <c r="AS53" s="215">
        <f>IF(AND(ISNUMBER(AS52),ISNUMBER(AS50)),IFERROR(AS52/AS50,""),"")</f>
        <v>-0.0208311525175338</v>
      </c>
      <c r="AT53" s="215">
        <f>IF(AND(ISNUMBER(AT52),ISNUMBER(AT50)),IFERROR(AT52/AT50,""),"")</f>
        <v>0.0152196929592377</v>
      </c>
      <c r="AU53" s="215">
        <f>IF(AND(ISNUMBER(AU52),ISNUMBER(AU50)),IFERROR(AU52/AU50,""),"")</f>
        <v>0.0161694012951412</v>
      </c>
      <c r="AV53" s="215">
        <f>IF(AND(ISNUMBER(AV52),ISNUMBER(AV50)),IFERROR(AV52/AV50,""),"")</f>
        <v>0.00968852590279446</v>
      </c>
      <c r="AW53" s="215">
        <f>IF(AND(ISNUMBER(AW52),ISNUMBER(AW50)),IFERROR(AW52/AW50,""),"")</f>
        <v>0.0068670267785312</v>
      </c>
      <c r="AX53" s="215">
        <f>IF(AND(ISNUMBER(AX52),ISNUMBER(AX50)),IFERROR(AX52/AX50,""),"")</f>
        <v>0.0408496198897191</v>
      </c>
      <c r="AY53" s="215">
        <f>IF(AND(ISNUMBER(AY52),ISNUMBER(AY50)),IFERROR(AY52/AY50,""),"")</f>
        <v>0.0117834705901501</v>
      </c>
      <c r="AZ53" s="215">
        <f>IF(AND(ISNUMBER(AZ52),ISNUMBER(AZ50)),IFERROR(AZ52/AZ50,""),"")</f>
        <v>-0.0312575055755704</v>
      </c>
      <c r="BA53" s="215">
        <f>IF(AND(ISNUMBER(BA52),ISNUMBER(BA50)),IFERROR(BA52/BA50,""),"")</f>
        <v>-0.043652071259927</v>
      </c>
      <c r="BB53" s="215">
        <f>IF(AND(ISNUMBER(BB52),ISNUMBER(BB50)),IFERROR(BB52/BB50,""),"")</f>
        <v>-0.00723078247396058</v>
      </c>
      <c r="BC53" s="215">
        <f>IF(AND(ISNUMBER(BC52),ISNUMBER(BC50)),IFERROR(BC52/BC50,""),"")</f>
        <v>-0.0445425779755903</v>
      </c>
      <c r="BD53" s="215">
        <f>IF(AND(ISNUMBER(BD52),ISNUMBER(BD50)),IFERROR(BD52/BD50,""),"")</f>
        <v>-0.0654350637354517</v>
      </c>
      <c r="BE53" s="215">
        <f>IF(AND(ISNUMBER(BE52),ISNUMBER(BE50)),IFERROR(BE52/BE50,""),"")</f>
        <v>-0.088961038961039</v>
      </c>
      <c r="BF53" s="215">
        <f>IF(AND(ISNUMBER(BF52),ISNUMBER(BF50)),IFERROR(BF52/BF50,""),"")</f>
        <v>-0.0646490439021559</v>
      </c>
      <c r="BG53" s="215">
        <f>IF(AND(ISNUMBER(BG52),ISNUMBER(BG50)),IFERROR(BG52/BG50,""),"")</f>
        <v>-0.0656401738879897</v>
      </c>
      <c r="BH53" s="215">
        <f>IF(AND(ISNUMBER(BH52),ISNUMBER(BH50)),IFERROR(BH52/BH50,""),"")</f>
        <v>-0.0428183909624695</v>
      </c>
      <c r="BI53" s="215">
        <f>IF(AND(ISNUMBER(BI52),ISNUMBER(BI50)),IFERROR(BI52/BI50,""),"")</f>
        <v>-0.0301377243492609</v>
      </c>
      <c r="BJ53" s="215">
        <f>IF(AND(ISNUMBER(BJ52),ISNUMBER(BJ50)),IFERROR(BJ52/BJ50,""),"")</f>
        <v>-0.00295609422161372</v>
      </c>
      <c r="BK53" s="215">
        <f>IF(AND(ISNUMBER(BK52),ISNUMBER(BK50)),IFERROR(BK52/BK50,""),"")</f>
        <v>-0.0104117486270904</v>
      </c>
      <c r="BL53" s="215">
        <f>IF(AND(ISNUMBER(BL52),ISNUMBER(BL50)),IFERROR(BL52/BL50,""),"")</f>
        <v>-0.0202439024390244</v>
      </c>
      <c r="BM53" s="215">
        <f>IF(AND(ISNUMBER(BM52),ISNUMBER(BM50)),IFERROR(BM52/BM50,""),"")</f>
        <v>0.0282761860028182</v>
      </c>
      <c r="BN53" s="215">
        <f>IF(AND(ISNUMBER(BN52),ISNUMBER(BN50)),IFERROR(BN52/BN50,""),"")</f>
        <v>0.00862205097432334</v>
      </c>
      <c r="BO53" s="215">
        <f>IF(AND(ISNUMBER(BO52),ISNUMBER(BO50)),IFERROR(BO52/BO50,""),"")</f>
        <v>0.0362516718680339</v>
      </c>
      <c r="BP53" s="215">
        <f>IF(AND(ISNUMBER(BP52),ISNUMBER(BP50)),IFERROR(BP52/BP50,""),"")</f>
        <v>0.0302855826807923</v>
      </c>
      <c r="BQ53" s="215">
        <f>IF(AND(ISNUMBER(BQ52),ISNUMBER(BQ50)),IFERROR(BQ52/BQ50,""),"")</f>
        <v>0.026534925055631</v>
      </c>
      <c r="BR53" s="215">
        <f>IF(AND(ISNUMBER(BR52),ISNUMBER(BR50)),IFERROR(BR52/BR50,""),"")</f>
        <v>0.0303464327275982</v>
      </c>
      <c r="BS53" s="215">
        <f>IF(AND(ISNUMBER(BS52),ISNUMBER(BS50)),IFERROR(BS52/BS50,""),"")</f>
        <v>0.0406408966023775</v>
      </c>
      <c r="BT53" s="215">
        <f>IF(AND(ISNUMBER(BT52),ISNUMBER(BT50)),IFERROR(BT52/BT50,""),"")</f>
        <v>0.0293182707355243</v>
      </c>
      <c r="BU53" s="215">
        <f>IF(AND(ISNUMBER(BU52),ISNUMBER(BU50)),IFERROR(BU52/BU50,""),"")</f>
        <v>0.0205031148963016</v>
      </c>
      <c r="BV53" s="215">
        <f>IF(AND(ISNUMBER(BV52),ISNUMBER(BV50)),IFERROR(BV52/BV50,""),"")</f>
        <v>0.0293401855535103</v>
      </c>
      <c r="BW53" s="215">
        <f>IF(AND(ISNUMBER(BW52),ISNUMBER(BW50)),IFERROR(BW52/BW50,""),"")</f>
        <v>0.0357887858453341</v>
      </c>
      <c r="BX53" s="215">
        <f>IF(AND(ISNUMBER(BX52),ISNUMBER(BX50)),IFERROR(BX52/BX50,""),"")</f>
        <v>0.0406900964523544</v>
      </c>
      <c r="BY53" s="256">
        <f>BY54+BY120</f>
        <v>0.0202659896676145</v>
      </c>
      <c r="BZ53" s="256">
        <f>BZ54+BZ120</f>
        <v>0.0128948909745257</v>
      </c>
      <c r="CA53" s="256">
        <f>IF(AND(ISNUMBER(CA52),ISNUMBER(CA50)),IFERROR(CA52/CA50,""),"")</f>
        <v>0.0261041668721051</v>
      </c>
      <c r="CB53" s="256">
        <f>CHOOSE(MATCH($CF$2,{"Bull","Base","Bear"},0),$CO$72,$CP$72,$CQ$72)</f>
        <v>0.045</v>
      </c>
      <c r="CC53" s="256">
        <f>CHOOSE(MATCH($CF$2,{"Bull","Base","Bear"},0),$CO$73,$CP$73,$CQ$73)</f>
        <v>0.05</v>
      </c>
      <c r="CD53" s="256">
        <f>CHOOSE(MATCH($CF$2,{"Bull","Base","Bear"},0),$CO$74,$CP$74,$CQ$74)</f>
        <v>0.055</v>
      </c>
      <c r="CE53" s="256">
        <f>CHOOSE(MATCH($CF$2,{"Bull","Base","Bear"},0),$CO$75,$CP$75,$CQ$75)</f>
        <v>0.06</v>
      </c>
      <c r="CF53" s="153" t="n"/>
      <c r="CH53" s="37">
        <f>IFERROR(AVERAGE(CA53,CB53,CC53,CD53,CE53),"n/m")</f>
        <v>0.047220833374421</v>
      </c>
      <c r="CI53" s="37">
        <f>IFERROR(AVERAGE(BB53,BG53,BL53,BQ53,BV53),"n/m")</f>
        <v>-0.00744794963836667</v>
      </c>
      <c r="CJ53" s="37">
        <f>IFERROR(AVERAGE(AC53,AH53,AM53,AR53,AW53,BB53,BG53,BL53,BQ53,BV53),"n/m")</f>
        <v>-0.0171114207233262</v>
      </c>
      <c r="CK53" s="37">
        <f>IFERROR(AVERAGE(C53,D53,E53,F53,G53,H53,I53,N53,S53,X53,AC53,AH53,AM53,AR53,AW53,BB53,BG53,BL53,BQ53,BV53),"n/m")</f>
        <v>-0.0146155775362817</v>
      </c>
      <c r="CN53" s="25" t="inlineStr">
        <is>
          <t xml:space="preserve">  2028E</t>
        </is>
      </c>
      <c r="CO53" s="33">
        <f>CP53+$CO$51</f>
        <v>0.2</v>
      </c>
      <c r="CP53" s="258" t="n">
        <v>0.17</v>
      </c>
      <c r="CQ53" s="33">
        <f>CP53+$CQ$51</f>
        <v>0.12</v>
      </c>
    </row>
    <row r="54" collapsed="1" ht="15" customHeight="1" s="251">
      <c r="B54" s="25" t="inlineStr">
        <is>
          <t xml:space="preserve">    Q3/Q4-26E margin before calibration (prior-year quarter ex disclosed special charges + 1H-26 y/y drift)</t>
        </is>
      </c>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36" t="n"/>
      <c r="AN54" s="36" t="n"/>
      <c r="AO54" s="36" t="n"/>
      <c r="AP54" s="36" t="n"/>
      <c r="AQ54" s="36" t="n"/>
      <c r="AR54" s="36" t="n"/>
      <c r="AS54" s="36" t="n"/>
      <c r="AT54" s="36" t="n"/>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c r="BP54" s="36" t="n"/>
      <c r="BQ54" s="36" t="n"/>
      <c r="BR54" s="36" t="n"/>
      <c r="BS54" s="36" t="n"/>
      <c r="BT54" s="36" t="n"/>
      <c r="BU54" s="36" t="n"/>
      <c r="BV54" s="36" t="n"/>
      <c r="BW54" s="36" t="n"/>
      <c r="BX54" s="36" t="n"/>
      <c r="BY54" s="256">
        <f>(BT52)/BT50+IFERROR(SUM(BW52:BX52)/SUM(BW50:BX50)-SUM(BR52:BS52)/SUM(BR50:BS50),0)</f>
        <v>0.0318981247413505</v>
      </c>
      <c r="BZ54" s="256">
        <f>(BU52)/BU50+IFERROR(SUM(BW52:BX52)/SUM(BW50:BX50)-SUM(BR52:BS52)/SUM(BR50:BS50),0)</f>
        <v>0.0230829689021278</v>
      </c>
      <c r="CA54" s="24" t="n"/>
      <c r="CB54" s="46" t="n"/>
      <c r="CC54" s="46" t="n"/>
      <c r="CD54" s="46" t="n"/>
      <c r="CE54" s="46" t="n"/>
      <c r="CF54" s="19" t="n"/>
      <c r="CN54" s="25" t="inlineStr">
        <is>
          <t xml:space="preserve">  2029E</t>
        </is>
      </c>
      <c r="CO54" s="33">
        <f>CP54+$CO$51</f>
        <v>0.18</v>
      </c>
      <c r="CP54" s="258" t="n">
        <v>0.15</v>
      </c>
      <c r="CQ54" s="33">
        <f>CP54+$CQ$51</f>
        <v>0.1</v>
      </c>
    </row>
    <row r="55" ht="15" customHeight="1" s="251">
      <c r="B55" s="25" t="inlineStr">
        <is>
          <t xml:space="preserve">    Incremental segment margin (Δ OI / Δ net sales)</t>
        </is>
      </c>
      <c r="C55" s="36" t="n"/>
      <c r="D55" s="215">
        <f>IFERROR((D52-C52)/(D50-C50),"")</f>
      </c>
      <c r="E55" s="215">
        <f>IFERROR((E52-D52)/(E50-D50),"")</f>
      </c>
      <c r="F55" s="215">
        <f>IFERROR((F52-E52)/(F50-E50),"")</f>
      </c>
      <c r="G55" s="215">
        <f>IFERROR((G52-F52)/(G50-F50),"")</f>
      </c>
      <c r="H55" s="215">
        <f>IFERROR((H52-G52)/(H50-G50),"")</f>
      </c>
      <c r="I55" s="215">
        <f>IFERROR((I52-H52)/(I50-H50),"")</f>
      </c>
      <c r="J55" s="36" t="n"/>
      <c r="K55" s="36" t="n"/>
      <c r="L55" s="36" t="n"/>
      <c r="M55" s="36" t="n"/>
      <c r="N55" s="215">
        <f>IFERROR((N52-I52)/(N50-I50),"")</f>
        <v>0.00514465156678025</v>
      </c>
      <c r="O55" s="215">
        <f>IFERROR((O52-J52)/(O50-J50),"")</f>
        <v>-0.00418622351896486</v>
      </c>
      <c r="P55" s="215">
        <f>IFERROR((P52-K52)/(P50-K50),"")</f>
        <v>-0.00027244244653317</v>
      </c>
      <c r="Q55" s="215">
        <f>IFERROR((Q52-L52)/(Q50-L50),"")</f>
        <v>-0.0225651666450525</v>
      </c>
      <c r="R55" s="215">
        <f>IFERROR((R52-M52)/(R50-M50),"")</f>
        <v>0.00614657210401891</v>
      </c>
      <c r="S55" s="215">
        <f>IFERROR((S52-N52)/(S50-N50),"")</f>
        <v>-0.0833333333333333</v>
      </c>
      <c r="T55" s="215">
        <f>IFERROR((T52-O52)/(T50-O50),"")</f>
        <v>1.16666666666667</v>
      </c>
      <c r="U55" s="215">
        <f>IFERROR((U52-P52)/(U50-P50),"")</f>
        <v>-0.834821428571429</v>
      </c>
      <c r="V55" s="215">
        <f>IFERROR((V52-Q52)/(V50-Q50),"")</f>
        <v>-0.0611510791366907</v>
      </c>
      <c r="W55" s="215">
        <f>IFERROR((W52-R52)/(W50-R50),"")</f>
        <v>-0.136650868878357</v>
      </c>
      <c r="X55" s="215">
        <f>IFERROR((X52-S52)/(X50-S50),"")</f>
        <v>-0.290880503144654</v>
      </c>
      <c r="Y55" s="215">
        <f>IFERROR((Y52-T52)/(Y50-T50),"")</f>
        <v>0.0400878638110928</v>
      </c>
      <c r="Z55" s="215">
        <f>IFERROR((Z52-U52)/(Z50-U50),"")</f>
        <v>0.023694602896007</v>
      </c>
      <c r="AA55" s="215">
        <f>IFERROR((AA52-V52)/(AA50-V50),"")</f>
        <v>-0.142186165670367</v>
      </c>
      <c r="AB55" s="215">
        <f>IFERROR((AB52-W52)/(AB50-W50),"")</f>
        <v>-0.178436911487759</v>
      </c>
      <c r="AC55" s="215">
        <f>IFERROR((AC52-X52)/(AC50-X50),"")</f>
        <v>-0.0681844716870987</v>
      </c>
      <c r="AD55" s="215">
        <f>IFERROR((AD52-Y52)/(AD50-Y50),"")</f>
        <v>-0.240802675585284</v>
      </c>
      <c r="AE55" s="215">
        <f>IFERROR((AE52-Z52)/(AE50-Z50),"")</f>
        <v>-0.358927483241926</v>
      </c>
      <c r="AF55" s="215">
        <f>IFERROR((AF52-AA52)/(AF50-AA50),"")</f>
        <v>-0.127214170692432</v>
      </c>
      <c r="AG55" s="215">
        <f>IFERROR((AG52-AB52)/(AG50-AB50),"")</f>
        <v>-0.106064326049595</v>
      </c>
      <c r="AH55" s="215">
        <f>IFERROR((AH52-AC52)/(AH50-AC50),"")</f>
        <v>-0.172484002326934</v>
      </c>
      <c r="AI55" s="215">
        <f>IFERROR((AI52-AD52)/(AI50-AD50),"")</f>
        <v>-0.0369690613529103</v>
      </c>
      <c r="AJ55" s="215">
        <f>IFERROR((AJ52-AE52)/(AJ50-AE50),"")</f>
        <v>0.0735529261272785</v>
      </c>
      <c r="AK55" s="215">
        <f>IFERROR((AK52-AF52)/(AK50-AF50),"")</f>
        <v>0.300272479564033</v>
      </c>
      <c r="AL55" s="215">
        <f>IFERROR((AL52-AG52)/(AL50-AG50),"")</f>
        <v>0.0992475815120029</v>
      </c>
      <c r="AM55" s="215">
        <f>IFERROR((AM52-AH52)/(AM50-AH50),"")</f>
        <v>0.0795228628230616</v>
      </c>
      <c r="AN55" s="215">
        <f>IFERROR((AN52-AI52)/(AN50-AI50),"")</f>
        <v>0.403948367501898</v>
      </c>
      <c r="AO55" s="215">
        <f>IFERROR((AO52-AJ52)/(AO50-AJ50),"")</f>
        <v>-0.0608646188850967</v>
      </c>
      <c r="AP55" s="215">
        <f>IFERROR((AP52-AK52)/(AP50-AK50),"")</f>
        <v>-0.000357270453733476</v>
      </c>
      <c r="AQ55" s="215">
        <f>IFERROR((AQ52-AL52)/(AQ50-AL50),"")</f>
        <v>0.00837801608579089</v>
      </c>
      <c r="AR55" s="215">
        <f>IFERROR((AR52-AM52)/(AR50-AM50),"")</f>
        <v>0.0506943660381619</v>
      </c>
      <c r="AS55" s="215">
        <f>IFERROR((AS52-AN52)/(AS50-AN50),"")</f>
        <v>-0.105696636925189</v>
      </c>
      <c r="AT55" s="215">
        <f>IFERROR((AT52-AO52)/(AT50-AO50),"")</f>
        <v>0.150206414734836</v>
      </c>
      <c r="AU55" s="215">
        <f>IFERROR((AU52-AP52)/(AU50-AP50),"")</f>
        <v>0.116224534662172</v>
      </c>
      <c r="AV55" s="215">
        <f>IFERROR((AV52-AQ52)/(AV50-AQ50),"")</f>
        <v>0.0717738391680094</v>
      </c>
      <c r="AW55" s="215">
        <f>IFERROR((AW52-AR52)/(AW50-AR50),"")</f>
        <v>0.0811748459025228</v>
      </c>
      <c r="AX55" s="215">
        <f>IFERROR((AX52-AS52)/(AX50-AS50),"")</f>
        <v>0.142943775448324</v>
      </c>
      <c r="AY55" s="215">
        <f>IFERROR((AY52-AT52)/(AY50-AT50),"")</f>
        <v>0.00211101452874705</v>
      </c>
      <c r="AZ55" s="215">
        <f>IFERROR((AZ52-AU52)/(AZ50-AU50),"")</f>
        <v>-0.331655762455964</v>
      </c>
      <c r="BA55" s="215">
        <f>IFERROR((BA52-AV52)/(BA50-AV50),"")</f>
        <v>10.2051282051282</v>
      </c>
      <c r="BB55" s="215">
        <f>IFERROR((BB52-AW52)/(BB50-AW50),"")</f>
        <v>-0.0702032085561497</v>
      </c>
      <c r="BC55" s="215">
        <f>IFERROR((BC52-AX52)/(BC50-AX50),"")</f>
        <v>1.34021164021164</v>
      </c>
      <c r="BD55" s="215">
        <f>IFERROR((BD52-AY52)/(BD50-AY50),"")</f>
        <v>0.583424507658643</v>
      </c>
      <c r="BE55" s="215">
        <f>IFERROR((BE52-AZ52)/(BE50-AZ50),"")</f>
        <v>1.09122807017544</v>
      </c>
      <c r="BF55" s="215">
        <f>IFERROR((BF52-BA52)/(BF50-BA50),"")</f>
        <v>0.213955144179423</v>
      </c>
      <c r="BG55" s="215">
        <f>IFERROR((BG52-BB52)/(BG50-BB50),"")</f>
        <v>0.697546012269939</v>
      </c>
      <c r="BH55" s="215">
        <f>IFERROR((BH52-BC52)/(BH50-BC50),"")</f>
        <v>0.0934065934065934</v>
      </c>
      <c r="BI55" s="215">
        <f>IFERROR((BI52-BD52)/(BI50-BD50),"")</f>
        <v>0.332826747720365</v>
      </c>
      <c r="BJ55" s="215">
        <f>IFERROR((BJ52-BE52)/(BJ50-BE50),"")</f>
        <v>0.536789676250849</v>
      </c>
      <c r="BK55" s="215">
        <f>IFERROR((BK52-BF52)/(BK50-BF50),"")</f>
        <v>0.312975778546713</v>
      </c>
      <c r="BL55" s="215">
        <f>IFERROR((BL52-BG52)/(BL50-BG50),"")</f>
        <v>0.385810657166679</v>
      </c>
      <c r="BM55" s="215">
        <f>IFERROR((BM52-BH52)/(BM50-BH50),"")</f>
        <v>0.764580369843528</v>
      </c>
      <c r="BN55" s="215">
        <f>IFERROR((BN52-BI52)/(BN50-BI50),"")</f>
        <v>0.594099694811801</v>
      </c>
      <c r="BO55" s="215">
        <f>IFERROR((BO52-BJ52)/(BO50-BJ50),"")</f>
        <v>0.372167422020794</v>
      </c>
      <c r="BP55" s="215">
        <f>IFERROR((BP52-BK52)/(BP50-BK50),"")</f>
        <v>0.545797922568461</v>
      </c>
      <c r="BQ55" s="215">
        <f>IFERROR((BQ52-BL52)/(BQ50-BL50),"")</f>
        <v>0.550828634888092</v>
      </c>
      <c r="BR55" s="215">
        <f>IFERROR((BR52-BM52)/(BR50-BM50),"")</f>
        <v>0.0722433460076046</v>
      </c>
      <c r="BS55" s="215">
        <f>IFERROR((BS52-BN52)/(BS50-BN50),"")</f>
        <v>0.239505688505296</v>
      </c>
      <c r="BT55" s="215">
        <f>IFERROR((BT52-BO52)/(BT50-BO50),"")</f>
        <v>-0.0203674121405751</v>
      </c>
      <c r="BU55" s="215">
        <f>IFERROR((BU52-BP52)/(BU50-BP50),"")</f>
        <v>-0.0376506024096386</v>
      </c>
      <c r="BV55" s="215">
        <f>IFERROR((BV52-BQ52)/(BV50-BQ50),"")</f>
        <v>0.0504529176321888</v>
      </c>
      <c r="BW55" s="215">
        <f>IFERROR((BW52-BR52)/(BW50-BR50),"")</f>
        <v>0.0648502230720204</v>
      </c>
      <c r="BX55" s="215">
        <f>IFERROR((BX52-BS52)/(BX50-BS50),"")</f>
        <v>0.0410228108903606</v>
      </c>
      <c r="BY55" s="256">
        <f>IFERROR((BY52-BT52)/(BY50-BT50),"")</f>
        <v>-0.119398350910088</v>
      </c>
      <c r="BZ55" s="256">
        <f>IFERROR((BZ52-BU52)/(BZ50-BU50),"")</f>
        <v>-0.0536867880507916</v>
      </c>
      <c r="CA55" s="256">
        <f>IFERROR((CA52-BV52)/(CA50-BV50),"")</f>
        <v>0.000115962245335022</v>
      </c>
      <c r="CB55" s="256">
        <f>IFERROR((CB52-CA52)/(CB50-CA50),"")</f>
        <v>0.222481414691709</v>
      </c>
      <c r="CC55" s="256">
        <f>IFERROR((CC52-CB52)/(CC50-CB50),"")</f>
        <v>0.100637801727455</v>
      </c>
      <c r="CD55" s="256">
        <f>IFERROR((CD52-CC52)/(CD50-CC50),"")</f>
        <v>0.10913588099965</v>
      </c>
      <c r="CE55" s="256">
        <f>IFERROR((CE52-CD52)/(CE50-CD50),"")</f>
        <v>0.118304841387302</v>
      </c>
      <c r="CF55" s="153" t="n"/>
      <c r="CN55" s="25" t="inlineStr">
        <is>
          <t xml:space="preserve">  2030E</t>
        </is>
      </c>
      <c r="CO55" s="33">
        <f>CP55+$CO$51</f>
        <v>0.16</v>
      </c>
      <c r="CP55" s="258" t="n">
        <v>0.13</v>
      </c>
      <c r="CQ55" s="33">
        <f>CP55+$CQ$51</f>
        <v>0.08</v>
      </c>
    </row>
    <row r="56" ht="15" customHeight="1" s="251">
      <c r="B56" s="16" t="inlineStr">
        <is>
          <t xml:space="preserve">  AWS — segment net sales</t>
        </is>
      </c>
      <c r="C56" s="43" t="n"/>
      <c r="D56" s="43" t="n"/>
      <c r="E56" s="43" t="n"/>
      <c r="F56" s="43" t="n"/>
      <c r="G56" s="43" t="n"/>
      <c r="H56" s="43" t="n"/>
      <c r="I56" s="43" t="n"/>
      <c r="J56" s="43" t="n"/>
      <c r="K56" s="43" t="n"/>
      <c r="L56" s="43" t="n"/>
      <c r="M56" s="43" t="n"/>
      <c r="N56" s="264" t="n">
        <v>3108</v>
      </c>
      <c r="O56" s="264" t="n">
        <v>1050</v>
      </c>
      <c r="P56" s="264" t="n">
        <v>1005</v>
      </c>
      <c r="Q56" s="264" t="n">
        <v>1169</v>
      </c>
      <c r="R56" s="264" t="n">
        <v>1420</v>
      </c>
      <c r="S56" s="264" t="n">
        <v>4644</v>
      </c>
      <c r="T56" s="264" t="n">
        <v>1566</v>
      </c>
      <c r="U56" s="264" t="n">
        <v>1824</v>
      </c>
      <c r="V56" s="264" t="n">
        <v>2085</v>
      </c>
      <c r="W56" s="264" t="n">
        <v>2405</v>
      </c>
      <c r="X56" s="264" t="n">
        <v>7880</v>
      </c>
      <c r="Y56" s="264" t="n">
        <v>2566</v>
      </c>
      <c r="Z56" s="264" t="n">
        <v>2886</v>
      </c>
      <c r="AA56" s="264" t="n">
        <v>3231</v>
      </c>
      <c r="AB56" s="264" t="n">
        <v>3536</v>
      </c>
      <c r="AC56" s="264" t="n">
        <v>12219</v>
      </c>
      <c r="AD56" s="264" t="n">
        <v>3661</v>
      </c>
      <c r="AE56" s="264" t="n">
        <v>4100</v>
      </c>
      <c r="AF56" s="264" t="n">
        <v>4584</v>
      </c>
      <c r="AG56" s="264" t="n">
        <v>5113</v>
      </c>
      <c r="AH56" s="264" t="n">
        <v>17459</v>
      </c>
      <c r="AI56" s="264" t="n">
        <v>5442</v>
      </c>
      <c r="AJ56" s="264" t="n">
        <v>6105</v>
      </c>
      <c r="AK56" s="264" t="n">
        <v>6679</v>
      </c>
      <c r="AL56" s="264" t="n">
        <v>7430</v>
      </c>
      <c r="AM56" s="264" t="n">
        <v>25655</v>
      </c>
      <c r="AN56" s="264" t="n">
        <v>7696</v>
      </c>
      <c r="AO56" s="264" t="n">
        <v>8381</v>
      </c>
      <c r="AP56" s="264" t="n">
        <v>8995</v>
      </c>
      <c r="AQ56" s="264" t="n">
        <v>9954</v>
      </c>
      <c r="AR56" s="264" t="n">
        <v>35026</v>
      </c>
      <c r="AS56" s="264" t="n">
        <v>10219</v>
      </c>
      <c r="AT56" s="264" t="n">
        <v>10808</v>
      </c>
      <c r="AU56" s="264" t="n">
        <v>11601</v>
      </c>
      <c r="AV56" s="264" t="n">
        <v>12742</v>
      </c>
      <c r="AW56" s="264" t="n">
        <v>45370</v>
      </c>
      <c r="AX56" s="264" t="n">
        <v>13503</v>
      </c>
      <c r="AY56" s="264" t="n">
        <v>14809</v>
      </c>
      <c r="AZ56" s="264" t="n">
        <v>16110</v>
      </c>
      <c r="BA56" s="264" t="n">
        <v>17780</v>
      </c>
      <c r="BB56" s="264" t="n">
        <v>62202</v>
      </c>
      <c r="BC56" s="264" t="n">
        <v>18441</v>
      </c>
      <c r="BD56" s="264" t="n">
        <v>19739</v>
      </c>
      <c r="BE56" s="264" t="n">
        <v>20538</v>
      </c>
      <c r="BF56" s="264" t="n">
        <v>21378</v>
      </c>
      <c r="BG56" s="264" t="n">
        <v>80096</v>
      </c>
      <c r="BH56" s="264" t="n">
        <v>21354</v>
      </c>
      <c r="BI56" s="264" t="n">
        <v>22140</v>
      </c>
      <c r="BJ56" s="264" t="n">
        <v>23059</v>
      </c>
      <c r="BK56" s="264" t="n">
        <v>24204</v>
      </c>
      <c r="BL56" s="264" t="n">
        <v>90757</v>
      </c>
      <c r="BM56" s="264" t="n">
        <v>25037</v>
      </c>
      <c r="BN56" s="264" t="n">
        <v>26281</v>
      </c>
      <c r="BO56" s="264" t="n">
        <v>27452</v>
      </c>
      <c r="BP56" s="264" t="n">
        <v>28786</v>
      </c>
      <c r="BQ56" s="264" t="n">
        <v>107556</v>
      </c>
      <c r="BR56" s="264" t="n">
        <v>29267</v>
      </c>
      <c r="BS56" s="264" t="n">
        <v>30873</v>
      </c>
      <c r="BT56" s="264" t="n">
        <v>33006</v>
      </c>
      <c r="BU56" s="264" t="n">
        <v>35579</v>
      </c>
      <c r="BV56" s="264" t="n">
        <v>128725</v>
      </c>
      <c r="BW56" s="264" t="n">
        <v>37587</v>
      </c>
      <c r="BX56" s="264" t="n">
        <v>42232</v>
      </c>
      <c r="BY56" s="265">
        <f>BY26</f>
        <v>45149.7875813818</v>
      </c>
      <c r="BZ56" s="265">
        <f>BZ26</f>
        <v>48669.462896382</v>
      </c>
      <c r="CA56" s="265">
        <f>SUM(BW56:BZ56)</f>
        <v>173638.250477764</v>
      </c>
      <c r="CB56" s="265">
        <f>CB26</f>
        <v>222256.960611538</v>
      </c>
      <c r="CC56" s="265">
        <f>CC26</f>
        <v>275598.631158307</v>
      </c>
      <c r="CD56" s="265">
        <f>CD26</f>
        <v>330718.357389968</v>
      </c>
      <c r="CE56" s="265">
        <f>CE26</f>
        <v>386940.478146262</v>
      </c>
      <c r="CF56" s="153" t="inlineStr">
        <is>
          <t>Compute, storage, database, AI services. Forecast = AWS product group.</t>
        </is>
      </c>
      <c r="CH56" s="20">
        <f>IFERROR((CE56/BV56)^(1/5)-1,"n/m")</f>
        <v>0.246224407412229</v>
      </c>
      <c r="CI56" s="20">
        <f>IFERROR((BV56/AW56)^(1/5)-1,"n/m")</f>
        <v>0.231909556458786</v>
      </c>
      <c r="CJ56" s="20">
        <f>IFERROR((BV56/X56)^(1/10)-1,"n/m")</f>
        <v>0.322250281959647</v>
      </c>
      <c r="CK56" s="20" t="str">
        <f>IFERROR((BV56/C56)^(1/19)-1,"n/m")</f>
        <v>n/m</v>
      </c>
      <c r="CN56" s="15" t="inlineStr">
        <is>
          <t>AWS_G (AWS y/y)</t>
        </is>
      </c>
      <c r="CO56" s="261" t="n">
        <v>0.05</v>
      </c>
      <c r="CP56" s="21" t="inlineStr">
        <is>
          <t>Δ →</t>
        </is>
      </c>
      <c r="CQ56" s="261" t="n">
        <v>-0.08</v>
      </c>
      <c r="CR56" s="13" t="inlineStr">
        <is>
          <t>FY2025 +19.7%; Q2-26 +36.8% (fastest in 18 quarters; AI and chips run-rates &gt;$25bn each). Capacity-constrained growth as capex lands.</t>
        </is>
      </c>
    </row>
    <row r="57" ht="15" customHeight="1" s="251">
      <c r="B57" s="22" t="inlineStr">
        <is>
          <t xml:space="preserve">    y/y %</t>
        </is>
      </c>
      <c r="D57" s="255">
        <f>IF(AND(ISNUMBER(D56),ISNUMBER(C56)),IFERROR(D56/C56-1,""),"")</f>
      </c>
      <c r="E57" s="255">
        <f>IF(AND(ISNUMBER(E56),ISNUMBER(D56)),IFERROR(E56/D56-1,""),"")</f>
      </c>
      <c r="F57" s="255">
        <f>IF(AND(ISNUMBER(F56),ISNUMBER(E56)),IFERROR(F56/E56-1,""),"")</f>
      </c>
      <c r="G57" s="255">
        <f>IF(AND(ISNUMBER(G56),ISNUMBER(F56)),IFERROR(G56/F56-1,""),"")</f>
      </c>
      <c r="H57" s="255">
        <f>IF(AND(ISNUMBER(H56),ISNUMBER(G56)),IFERROR(H56/G56-1,""),"")</f>
      </c>
      <c r="I57" s="255">
        <f>IF(AND(ISNUMBER(I56),ISNUMBER(H56)),IFERROR(I56/H56-1,""),"")</f>
      </c>
      <c r="N57" s="255">
        <f>IF(AND(ISNUMBER(N56),ISNUMBER(I56)),IFERROR(N56/I56-1,""),"")</f>
      </c>
      <c r="O57" s="255">
        <f>IF(AND(ISNUMBER(O56),ISNUMBER(J56)),IFERROR(O56/J56-1,""),"")</f>
      </c>
      <c r="P57" s="255">
        <f>IF(AND(ISNUMBER(P56),ISNUMBER(K56)),IFERROR(P56/K56-1,""),"")</f>
      </c>
      <c r="Q57" s="255">
        <f>IF(AND(ISNUMBER(Q56),ISNUMBER(L56)),IFERROR(Q56/L56-1,""),"")</f>
      </c>
      <c r="R57" s="255">
        <f>IF(AND(ISNUMBER(R56),ISNUMBER(M56)),IFERROR(R56/M56-1,""),"")</f>
      </c>
      <c r="S57" s="255">
        <f>IF(AND(ISNUMBER(S56),ISNUMBER(N56)),IFERROR(S56/N56-1,""),"")</f>
        <v>0.494208494208494</v>
      </c>
      <c r="T57" s="255">
        <f>IF(AND(ISNUMBER(T56),ISNUMBER(O56)),IFERROR(T56/O56-1,""),"")</f>
        <v>0.491428571428571</v>
      </c>
      <c r="U57" s="255">
        <f>IF(AND(ISNUMBER(U56),ISNUMBER(P56)),IFERROR(U56/P56-1,""),"")</f>
        <v>0.814925373134328</v>
      </c>
      <c r="V57" s="255">
        <f>IF(AND(ISNUMBER(V56),ISNUMBER(Q56)),IFERROR(V56/Q56-1,""),"")</f>
        <v>0.783575705731394</v>
      </c>
      <c r="W57" s="255">
        <f>IF(AND(ISNUMBER(W56),ISNUMBER(R56)),IFERROR(W56/R56-1,""),"")</f>
        <v>0.693661971830986</v>
      </c>
      <c r="X57" s="255">
        <f>IF(AND(ISNUMBER(X56),ISNUMBER(S56)),IFERROR(X56/S56-1,""),"")</f>
        <v>0.696813092161929</v>
      </c>
      <c r="Y57" s="255">
        <f>IF(AND(ISNUMBER(Y56),ISNUMBER(T56)),IFERROR(Y56/T56-1,""),"")</f>
        <v>0.638569604086845</v>
      </c>
      <c r="Z57" s="255">
        <f>IF(AND(ISNUMBER(Z56),ISNUMBER(U56)),IFERROR(Z56/U56-1,""),"")</f>
        <v>0.582236842105263</v>
      </c>
      <c r="AA57" s="255">
        <f>IF(AND(ISNUMBER(AA56),ISNUMBER(V56)),IFERROR(AA56/V56-1,""),"")</f>
        <v>0.549640287769784</v>
      </c>
      <c r="AB57" s="255">
        <f>IF(AND(ISNUMBER(AB56),ISNUMBER(W56)),IFERROR(AB56/W56-1,""),"")</f>
        <v>0.47027027027027</v>
      </c>
      <c r="AC57" s="255">
        <f>IF(AND(ISNUMBER(AC56),ISNUMBER(X56)),IFERROR(AC56/X56-1,""),"")</f>
        <v>0.550634517766498</v>
      </c>
      <c r="AD57" s="255">
        <f>IF(AND(ISNUMBER(AD56),ISNUMBER(Y56)),IFERROR(AD56/Y56-1,""),"")</f>
        <v>0.426734216679657</v>
      </c>
      <c r="AE57" s="255">
        <f>IF(AND(ISNUMBER(AE56),ISNUMBER(Z56)),IFERROR(AE56/Z56-1,""),"")</f>
        <v>0.420651420651421</v>
      </c>
      <c r="AF57" s="255">
        <f>IF(AND(ISNUMBER(AF56),ISNUMBER(AA56)),IFERROR(AF56/AA56-1,""),"")</f>
        <v>0.418755803156917</v>
      </c>
      <c r="AG57" s="255">
        <f>IF(AND(ISNUMBER(AG56),ISNUMBER(AB56)),IFERROR(AG56/AB56-1,""),"")</f>
        <v>0.445984162895928</v>
      </c>
      <c r="AH57" s="255">
        <f>IF(AND(ISNUMBER(AH56),ISNUMBER(AC56)),IFERROR(AH56/AC56-1,""),"")</f>
        <v>0.428840330632621</v>
      </c>
      <c r="AI57" s="255">
        <f>IF(AND(ISNUMBER(AI56),ISNUMBER(AD56)),IFERROR(AI56/AD56-1,""),"")</f>
        <v>0.486479104069926</v>
      </c>
      <c r="AJ57" s="255">
        <f>IF(AND(ISNUMBER(AJ56),ISNUMBER(AE56)),IFERROR(AJ56/AE56-1,""),"")</f>
        <v>0.489024390243902</v>
      </c>
      <c r="AK57" s="255">
        <f>IF(AND(ISNUMBER(AK56),ISNUMBER(AF56)),IFERROR(AK56/AF56-1,""),"")</f>
        <v>0.457024432809773</v>
      </c>
      <c r="AL57" s="255">
        <f>IF(AND(ISNUMBER(AL56),ISNUMBER(AG56)),IFERROR(AL56/AG56-1,""),"")</f>
        <v>0.453158615294348</v>
      </c>
      <c r="AM57" s="255">
        <f>IF(AND(ISNUMBER(AM56),ISNUMBER(AH56)),IFERROR(AM56/AH56-1,""),"")</f>
        <v>0.469442694312389</v>
      </c>
      <c r="AN57" s="255">
        <f>IF(AND(ISNUMBER(AN56),ISNUMBER(AI56)),IFERROR(AN56/AI56-1,""),"")</f>
        <v>0.414185961043734</v>
      </c>
      <c r="AO57" s="255">
        <f>IF(AND(ISNUMBER(AO56),ISNUMBER(AJ56)),IFERROR(AO56/AJ56-1,""),"")</f>
        <v>0.372809172809173</v>
      </c>
      <c r="AP57" s="255">
        <f>IF(AND(ISNUMBER(AP56),ISNUMBER(AK56)),IFERROR(AP56/AK56-1,""),"")</f>
        <v>0.346758496780955</v>
      </c>
      <c r="AQ57" s="255">
        <f>IF(AND(ISNUMBER(AQ56),ISNUMBER(AL56)),IFERROR(AQ56/AL56-1,""),"")</f>
        <v>0.339703903095559</v>
      </c>
      <c r="AR57" s="255">
        <f>IF(AND(ISNUMBER(AR56),ISNUMBER(AM56)),IFERROR(AR56/AM56-1,""),"")</f>
        <v>0.3652699278893</v>
      </c>
      <c r="AS57" s="255">
        <f>IF(AND(ISNUMBER(AS56),ISNUMBER(AN56)),IFERROR(AS56/AN56-1,""),"")</f>
        <v>0.32783264033264</v>
      </c>
      <c r="AT57" s="255">
        <f>IF(AND(ISNUMBER(AT56),ISNUMBER(AO56)),IFERROR(AT56/AO56-1,""),"")</f>
        <v>0.289583581911467</v>
      </c>
      <c r="AU57" s="255">
        <f>IF(AND(ISNUMBER(AU56),ISNUMBER(AP56)),IFERROR(AU56/AP56-1,""),"")</f>
        <v>0.289716509171762</v>
      </c>
      <c r="AV57" s="255">
        <f>IF(AND(ISNUMBER(AV56),ISNUMBER(AQ56)),IFERROR(AV56/AQ56-1,""),"")</f>
        <v>0.280088406670685</v>
      </c>
      <c r="AW57" s="255">
        <f>IF(AND(ISNUMBER(AW56),ISNUMBER(AR56)),IFERROR(AW56/AR56-1,""),"")</f>
        <v>0.29532347399075</v>
      </c>
      <c r="AX57" s="255">
        <f>IF(AND(ISNUMBER(AX56),ISNUMBER(AS56)),IFERROR(AX56/AS56-1,""),"")</f>
        <v>0.321362168509639</v>
      </c>
      <c r="AY57" s="255">
        <f>IF(AND(ISNUMBER(AY56),ISNUMBER(AT56)),IFERROR(AY56/AT56-1,""),"")</f>
        <v>0.37018874907476</v>
      </c>
      <c r="AZ57" s="255">
        <f>IF(AND(ISNUMBER(AZ56),ISNUMBER(AU56)),IFERROR(AZ56/AU56-1,""),"")</f>
        <v>0.388673390224981</v>
      </c>
      <c r="BA57" s="255">
        <f>IF(AND(ISNUMBER(BA56),ISNUMBER(AV56)),IFERROR(BA56/AV56-1,""),"")</f>
        <v>0.395385339821064</v>
      </c>
      <c r="BB57" s="255">
        <f>IF(AND(ISNUMBER(BB56),ISNUMBER(AW56)),IFERROR(BB56/AW56-1,""),"")</f>
        <v>0.370994048931012</v>
      </c>
      <c r="BC57" s="255">
        <f>IF(AND(ISNUMBER(BC56),ISNUMBER(AX56)),IFERROR(BC56/AX56-1,""),"")</f>
        <v>0.365696511886247</v>
      </c>
      <c r="BD57" s="255">
        <f>IF(AND(ISNUMBER(BD56),ISNUMBER(AY56)),IFERROR(BD56/AY56-1,""),"")</f>
        <v>0.332905665473698</v>
      </c>
      <c r="BE57" s="255">
        <f>IF(AND(ISNUMBER(BE56),ISNUMBER(AZ56)),IFERROR(BE56/AZ56-1,""),"")</f>
        <v>0.274860335195531</v>
      </c>
      <c r="BF57" s="255">
        <f>IF(AND(ISNUMBER(BF56),ISNUMBER(BA56)),IFERROR(BF56/BA56-1,""),"")</f>
        <v>0.202362204724409</v>
      </c>
      <c r="BG57" s="255">
        <f>IF(AND(ISNUMBER(BG56),ISNUMBER(BB56)),IFERROR(BG56/BB56-1,""),"")</f>
        <v>0.287675637439311</v>
      </c>
      <c r="BH57" s="255">
        <f>IF(AND(ISNUMBER(BH56),ISNUMBER(BC56)),IFERROR(BH56/BC56-1,""),"")</f>
        <v>0.157963234097934</v>
      </c>
      <c r="BI57" s="255">
        <f>IF(AND(ISNUMBER(BI56),ISNUMBER(BD56)),IFERROR(BI56/BD56-1,""),"")</f>
        <v>0.121637367647804</v>
      </c>
      <c r="BJ57" s="255">
        <f>IF(AND(ISNUMBER(BJ56),ISNUMBER(BE56)),IFERROR(BJ56/BE56-1,""),"")</f>
        <v>0.122748076735807</v>
      </c>
      <c r="BK57" s="255">
        <f>IF(AND(ISNUMBER(BK56),ISNUMBER(BF56)),IFERROR(BK56/BF56-1,""),"")</f>
        <v>0.132191973056413</v>
      </c>
      <c r="BL57" s="255">
        <f>IF(AND(ISNUMBER(BL56),ISNUMBER(BG56)),IFERROR(BL56/BG56-1,""),"")</f>
        <v>0.133102776667998</v>
      </c>
      <c r="BM57" s="255">
        <f>IF(AND(ISNUMBER(BM56),ISNUMBER(BH56)),IFERROR(BM56/BH56-1,""),"")</f>
        <v>0.172473541256907</v>
      </c>
      <c r="BN57" s="255">
        <f>IF(AND(ISNUMBER(BN56),ISNUMBER(BI56)),IFERROR(BN56/BI56-1,""),"")</f>
        <v>0.187037037037037</v>
      </c>
      <c r="BO57" s="255">
        <f>IF(AND(ISNUMBER(BO56),ISNUMBER(BJ56)),IFERROR(BO56/BJ56-1,""),"")</f>
        <v>0.19051129710742</v>
      </c>
      <c r="BP57" s="255">
        <f>IF(AND(ISNUMBER(BP56),ISNUMBER(BK56)),IFERROR(BP56/BK56-1,""),"")</f>
        <v>0.189307552470666</v>
      </c>
      <c r="BQ57" s="255">
        <f>IF(AND(ISNUMBER(BQ56),ISNUMBER(BL56)),IFERROR(BQ56/BL56-1,""),"")</f>
        <v>0.185098670075035</v>
      </c>
      <c r="BR57" s="255">
        <f>IF(AND(ISNUMBER(BR56),ISNUMBER(BM56)),IFERROR(BR56/BM56-1,""),"")</f>
        <v>0.168949954067979</v>
      </c>
      <c r="BS57" s="255">
        <f>IF(AND(ISNUMBER(BS56),ISNUMBER(BN56)),IFERROR(BS56/BN56-1,""),"")</f>
        <v>0.174726989079563</v>
      </c>
      <c r="BT57" s="255">
        <f>IF(AND(ISNUMBER(BT56),ISNUMBER(BO56)),IFERROR(BT56/BO56-1,""),"")</f>
        <v>0.202316771091359</v>
      </c>
      <c r="BU57" s="255">
        <f>IF(AND(ISNUMBER(BU56),ISNUMBER(BP56)),IFERROR(BU56/BP56-1,""),"")</f>
        <v>0.235982769401793</v>
      </c>
      <c r="BV57" s="255">
        <f>IF(AND(ISNUMBER(BV56),ISNUMBER(BQ56)),IFERROR(BV56/BQ56-1,""),"")</f>
        <v>0.196818401576853</v>
      </c>
      <c r="BW57" s="255">
        <f>IF(AND(ISNUMBER(BW56),ISNUMBER(BR56)),IFERROR(BW56/BR56-1,""),"")</f>
        <v>0.28427922233232</v>
      </c>
      <c r="BX57" s="255">
        <f>IF(AND(ISNUMBER(BX56),ISNUMBER(BS56)),IFERROR(BX56/BS56-1,""),"")</f>
        <v>0.367926667314482</v>
      </c>
      <c r="BY57" s="256">
        <f>IF(AND(ISNUMBER(BY56),ISNUMBER(BT56)),IFERROR(BY56/BT56-1,""),"")</f>
        <v>0.367926667314482</v>
      </c>
      <c r="BZ57" s="256">
        <f>IF(AND(ISNUMBER(BZ56),ISNUMBER(BU56)),IFERROR(BZ56/BU56-1,""),"")</f>
        <v>0.367926667314482</v>
      </c>
      <c r="CA57" s="256">
        <f>IF(AND(ISNUMBER(CA56),ISNUMBER(BV56)),IFERROR(CA56/BV56-1,""),"")</f>
        <v>0.348908529638871</v>
      </c>
      <c r="CB57" s="256">
        <f>IF(AND(ISNUMBER(CB56),ISNUMBER(CA56)),IFERROR(CB56/CA56-1,""),"")</f>
        <v>0.28</v>
      </c>
      <c r="CC57" s="256">
        <f>IF(AND(ISNUMBER(CC56),ISNUMBER(CB56)),IFERROR(CC56/CB56-1,""),"")</f>
        <v>0.24</v>
      </c>
      <c r="CD57" s="256">
        <f>IF(AND(ISNUMBER(CD56),ISNUMBER(CC56)),IFERROR(CD56/CC56-1,""),"")</f>
        <v>0.2</v>
      </c>
      <c r="CE57" s="256">
        <f>IF(AND(ISNUMBER(CE56),ISNUMBER(CD56)),IFERROR(CE56/CD56-1,""),"")</f>
        <v>0.17</v>
      </c>
      <c r="CF57" s="153" t="n"/>
      <c r="CN57" s="25" t="inlineStr">
        <is>
          <t xml:space="preserve">  2027E</t>
        </is>
      </c>
      <c r="CO57" s="33">
        <f>CP57+$CO$56</f>
        <v>0.33</v>
      </c>
      <c r="CP57" s="258" t="n">
        <v>0.28</v>
      </c>
      <c r="CQ57" s="33">
        <f>CP57+$CQ$56</f>
        <v>0.2</v>
      </c>
    </row>
    <row r="58" ht="15" customHeight="1" s="251">
      <c r="B58" s="25" t="inlineStr">
        <is>
          <t xml:space="preserve">  AWS — segment operating income</t>
        </is>
      </c>
      <c r="C58" s="34" t="n"/>
      <c r="D58" s="34" t="n"/>
      <c r="E58" s="34" t="n"/>
      <c r="F58" s="34" t="n"/>
      <c r="G58" s="34" t="n"/>
      <c r="H58" s="34" t="n"/>
      <c r="I58" s="34" t="n"/>
      <c r="J58" s="34" t="n"/>
      <c r="K58" s="34" t="n"/>
      <c r="L58" s="34" t="n"/>
      <c r="M58" s="34" t="n"/>
      <c r="N58" s="253" t="n">
        <v>673</v>
      </c>
      <c r="O58" s="253" t="n">
        <v>245</v>
      </c>
      <c r="P58" s="253" t="n">
        <v>77</v>
      </c>
      <c r="Q58" s="253" t="n">
        <v>98</v>
      </c>
      <c r="R58" s="253" t="n">
        <v>240</v>
      </c>
      <c r="S58" s="253" t="n">
        <v>660</v>
      </c>
      <c r="T58" s="253" t="n">
        <v>195</v>
      </c>
      <c r="U58" s="253" t="n">
        <v>305</v>
      </c>
      <c r="V58" s="253" t="n">
        <v>428</v>
      </c>
      <c r="W58" s="253" t="n">
        <v>580</v>
      </c>
      <c r="X58" s="253" t="n">
        <v>1507</v>
      </c>
      <c r="Y58" s="253" t="n">
        <v>604</v>
      </c>
      <c r="Z58" s="253" t="n">
        <v>718</v>
      </c>
      <c r="AA58" s="253" t="n">
        <v>861</v>
      </c>
      <c r="AB58" s="253" t="n">
        <v>926</v>
      </c>
      <c r="AC58" s="253" t="n">
        <v>3108</v>
      </c>
      <c r="AD58" s="253" t="n">
        <v>890</v>
      </c>
      <c r="AE58" s="253" t="n">
        <v>916</v>
      </c>
      <c r="AF58" s="253" t="n">
        <v>1171</v>
      </c>
      <c r="AG58" s="253" t="n">
        <v>1354</v>
      </c>
      <c r="AH58" s="253" t="n">
        <v>4331</v>
      </c>
      <c r="AI58" s="253" t="n">
        <v>1400</v>
      </c>
      <c r="AJ58" s="253" t="n">
        <v>1642</v>
      </c>
      <c r="AK58" s="253" t="n">
        <v>2077</v>
      </c>
      <c r="AL58" s="253" t="n">
        <v>2177</v>
      </c>
      <c r="AM58" s="253" t="n">
        <v>7296</v>
      </c>
      <c r="AN58" s="253" t="n">
        <v>2223</v>
      </c>
      <c r="AO58" s="253" t="n">
        <v>2121</v>
      </c>
      <c r="AP58" s="253" t="n">
        <v>2261</v>
      </c>
      <c r="AQ58" s="253" t="n">
        <v>2596</v>
      </c>
      <c r="AR58" s="253" t="n">
        <v>9201</v>
      </c>
      <c r="AS58" s="253" t="n">
        <v>3075</v>
      </c>
      <c r="AT58" s="253" t="n">
        <v>3357</v>
      </c>
      <c r="AU58" s="253" t="n">
        <v>3535</v>
      </c>
      <c r="AV58" s="253" t="n">
        <v>3564</v>
      </c>
      <c r="AW58" s="253" t="n">
        <v>13531</v>
      </c>
      <c r="AX58" s="253" t="n">
        <v>4163</v>
      </c>
      <c r="AY58" s="253" t="n">
        <v>4193</v>
      </c>
      <c r="AZ58" s="253" t="n">
        <v>4883</v>
      </c>
      <c r="BA58" s="253" t="n">
        <v>5293</v>
      </c>
      <c r="BB58" s="253" t="n">
        <v>18532</v>
      </c>
      <c r="BC58" s="253" t="n">
        <v>6518</v>
      </c>
      <c r="BD58" s="253" t="n">
        <v>5715</v>
      </c>
      <c r="BE58" s="253" t="n">
        <v>5403</v>
      </c>
      <c r="BF58" s="253" t="n">
        <v>5205</v>
      </c>
      <c r="BG58" s="253" t="n">
        <v>22841</v>
      </c>
      <c r="BH58" s="253" t="n">
        <v>5123</v>
      </c>
      <c r="BI58" s="253" t="n">
        <v>5365</v>
      </c>
      <c r="BJ58" s="253" t="n">
        <v>6976</v>
      </c>
      <c r="BK58" s="253" t="n">
        <v>7167</v>
      </c>
      <c r="BL58" s="253" t="n">
        <v>24631</v>
      </c>
      <c r="BM58" s="253" t="n">
        <v>9421</v>
      </c>
      <c r="BN58" s="253" t="n">
        <v>9334</v>
      </c>
      <c r="BO58" s="253" t="n">
        <v>10447</v>
      </c>
      <c r="BP58" s="253" t="n">
        <v>10632</v>
      </c>
      <c r="BQ58" s="253" t="n">
        <v>39834</v>
      </c>
      <c r="BR58" s="253" t="n">
        <v>11547</v>
      </c>
      <c r="BS58" s="253" t="n">
        <v>10160</v>
      </c>
      <c r="BT58" s="253" t="n">
        <v>11434</v>
      </c>
      <c r="BU58" s="253" t="n">
        <v>12465</v>
      </c>
      <c r="BV58" s="253" t="n">
        <v>45606</v>
      </c>
      <c r="BW58" s="253" t="n">
        <v>14161</v>
      </c>
      <c r="BX58" s="253" t="n">
        <v>16621</v>
      </c>
      <c r="BY58" s="254">
        <f>BY56*BY59</f>
        <v>16231.1733551252</v>
      </c>
      <c r="BZ58" s="254">
        <f>BZ56*BZ59</f>
        <v>17757.8043677971</v>
      </c>
      <c r="CA58" s="254">
        <f>SUM(BW58:BZ58)</f>
        <v>64770.9777229223</v>
      </c>
      <c r="CB58" s="254">
        <f>CB56*CB59</f>
        <v>80012.5058201535</v>
      </c>
      <c r="CC58" s="254">
        <f>CC56*CC59</f>
        <v>97837.5140611989</v>
      </c>
      <c r="CD58" s="254">
        <f>CD56*CD59</f>
        <v>115751.425086489</v>
      </c>
      <c r="CE58" s="254">
        <f>CE56*CE59</f>
        <v>135429.167351192</v>
      </c>
      <c r="CF58" s="19" t="n"/>
      <c r="CH58" s="20">
        <f>IFERROR((CE58/BV58)^(1/5)-1,"n/m")</f>
        <v>0.24319153719204</v>
      </c>
      <c r="CI58" s="20">
        <f>IFERROR((BV58/AW58)^(1/5)-1,"n/m")</f>
        <v>0.275082889036252</v>
      </c>
      <c r="CJ58" s="20">
        <f>IFERROR((BV58/X58)^(1/10)-1,"n/m")</f>
        <v>0.406341760449187</v>
      </c>
      <c r="CK58" s="20" t="str">
        <f>IFERROR((BV58/C58)^(1/19)-1,"n/m")</f>
        <v>n/m</v>
      </c>
      <c r="CN58" s="25" t="inlineStr">
        <is>
          <t xml:space="preserve">  2028E</t>
        </is>
      </c>
      <c r="CO58" s="33">
        <f>CP58+$CO$56</f>
        <v>0.29</v>
      </c>
      <c r="CP58" s="258" t="n">
        <v>0.24</v>
      </c>
      <c r="CQ58" s="33">
        <f>CP58+$CQ$56</f>
        <v>0.16</v>
      </c>
    </row>
    <row r="59" ht="15" customHeight="1" s="251">
      <c r="B59" s="25" t="inlineStr">
        <is>
          <t xml:space="preserve">    Segment operating margin %</t>
        </is>
      </c>
      <c r="C59" s="215">
        <f>IF(AND(ISNUMBER(C58),ISNUMBER(C56)),IFERROR(C58/C56,""),"")</f>
      </c>
      <c r="D59" s="215">
        <f>IF(AND(ISNUMBER(D58),ISNUMBER(D56)),IFERROR(D58/D56,""),"")</f>
      </c>
      <c r="E59" s="215">
        <f>IF(AND(ISNUMBER(E58),ISNUMBER(E56)),IFERROR(E58/E56,""),"")</f>
      </c>
      <c r="F59" s="215">
        <f>IF(AND(ISNUMBER(F58),ISNUMBER(F56)),IFERROR(F58/F56,""),"")</f>
      </c>
      <c r="G59" s="215">
        <f>IF(AND(ISNUMBER(G58),ISNUMBER(G56)),IFERROR(G58/G56,""),"")</f>
      </c>
      <c r="H59" s="215">
        <f>IF(AND(ISNUMBER(H58),ISNUMBER(H56)),IFERROR(H58/H56,""),"")</f>
      </c>
      <c r="I59" s="215">
        <f>IF(AND(ISNUMBER(I58),ISNUMBER(I56)),IFERROR(I58/I56,""),"")</f>
      </c>
      <c r="J59" s="215">
        <f>IF(AND(ISNUMBER(J58),ISNUMBER(J56)),IFERROR(J58/J56,""),"")</f>
      </c>
      <c r="K59" s="215">
        <f>IF(AND(ISNUMBER(K58),ISNUMBER(K56)),IFERROR(K58/K56,""),"")</f>
      </c>
      <c r="L59" s="215">
        <f>IF(AND(ISNUMBER(L58),ISNUMBER(L56)),IFERROR(L58/L56,""),"")</f>
      </c>
      <c r="M59" s="215">
        <f>IF(AND(ISNUMBER(M58),ISNUMBER(M56)),IFERROR(M58/M56,""),"")</f>
      </c>
      <c r="N59" s="215">
        <f>IF(AND(ISNUMBER(N58),ISNUMBER(N56)),IFERROR(N58/N56,""),"")</f>
        <v>0.216537966537967</v>
      </c>
      <c r="O59" s="215">
        <f>IF(AND(ISNUMBER(O58),ISNUMBER(O56)),IFERROR(O58/O56,""),"")</f>
        <v>0.233333333333333</v>
      </c>
      <c r="P59" s="215">
        <f>IF(AND(ISNUMBER(P58),ISNUMBER(P56)),IFERROR(P58/P56,""),"")</f>
        <v>0.0766169154228856</v>
      </c>
      <c r="Q59" s="215">
        <f>IF(AND(ISNUMBER(Q58),ISNUMBER(Q56)),IFERROR(Q58/Q56,""),"")</f>
        <v>0.0838323353293413</v>
      </c>
      <c r="R59" s="215">
        <f>IF(AND(ISNUMBER(R58),ISNUMBER(R56)),IFERROR(R58/R56,""),"")</f>
        <v>0.169014084507042</v>
      </c>
      <c r="S59" s="215">
        <f>IF(AND(ISNUMBER(S58),ISNUMBER(S56)),IFERROR(S58/S56,""),"")</f>
        <v>0.142118863049096</v>
      </c>
      <c r="T59" s="215">
        <f>IF(AND(ISNUMBER(T58),ISNUMBER(T56)),IFERROR(T58/T56,""),"")</f>
        <v>0.124521072796935</v>
      </c>
      <c r="U59" s="215">
        <f>IF(AND(ISNUMBER(U58),ISNUMBER(U56)),IFERROR(U58/U56,""),"")</f>
        <v>0.167214912280702</v>
      </c>
      <c r="V59" s="215">
        <f>IF(AND(ISNUMBER(V58),ISNUMBER(V56)),IFERROR(V58/V56,""),"")</f>
        <v>0.205275779376499</v>
      </c>
      <c r="W59" s="215">
        <f>IF(AND(ISNUMBER(W58),ISNUMBER(W56)),IFERROR(W58/W56,""),"")</f>
        <v>0.241164241164241</v>
      </c>
      <c r="X59" s="215">
        <f>IF(AND(ISNUMBER(X58),ISNUMBER(X56)),IFERROR(X58/X56,""),"")</f>
        <v>0.191243654822335</v>
      </c>
      <c r="Y59" s="215">
        <f>IF(AND(ISNUMBER(Y58),ISNUMBER(Y56)),IFERROR(Y58/Y56,""),"")</f>
        <v>0.235385814497272</v>
      </c>
      <c r="Z59" s="215">
        <f>IF(AND(ISNUMBER(Z58),ISNUMBER(Z56)),IFERROR(Z58/Z56,""),"")</f>
        <v>0.248787248787249</v>
      </c>
      <c r="AA59" s="215">
        <f>IF(AND(ISNUMBER(AA58),ISNUMBER(AA56)),IFERROR(AA58/AA56,""),"")</f>
        <v>0.266480965645311</v>
      </c>
      <c r="AB59" s="215">
        <f>IF(AND(ISNUMBER(AB58),ISNUMBER(AB56)),IFERROR(AB58/AB56,""),"")</f>
        <v>0.261877828054299</v>
      </c>
      <c r="AC59" s="215">
        <f>IF(AND(ISNUMBER(AC58),ISNUMBER(AC56)),IFERROR(AC58/AC56,""),"")</f>
        <v>0.254357967100417</v>
      </c>
      <c r="AD59" s="215">
        <f>IF(AND(ISNUMBER(AD58),ISNUMBER(AD56)),IFERROR(AD58/AD56,""),"")</f>
        <v>0.243102977328599</v>
      </c>
      <c r="AE59" s="215">
        <f>IF(AND(ISNUMBER(AE58),ISNUMBER(AE56)),IFERROR(AE58/AE56,""),"")</f>
        <v>0.223414634146341</v>
      </c>
      <c r="AF59" s="215">
        <f>IF(AND(ISNUMBER(AF58),ISNUMBER(AF56)),IFERROR(AF58/AF56,""),"")</f>
        <v>0.255453752181501</v>
      </c>
      <c r="AG59" s="215">
        <f>IF(AND(ISNUMBER(AG58),ISNUMBER(AG56)),IFERROR(AG58/AG56,""),"")</f>
        <v>0.264815176999804</v>
      </c>
      <c r="AH59" s="215">
        <f>IF(AND(ISNUMBER(AH58),ISNUMBER(AH56)),IFERROR(AH58/AH56,""),"")</f>
        <v>0.248066899593333</v>
      </c>
      <c r="AI59" s="215">
        <f>IF(AND(ISNUMBER(AI58),ISNUMBER(AI56)),IFERROR(AI58/AI56,""),"")</f>
        <v>0.257258360896729</v>
      </c>
      <c r="AJ59" s="215">
        <f>IF(AND(ISNUMBER(AJ58),ISNUMBER(AJ56)),IFERROR(AJ58/AJ56,""),"")</f>
        <v>0.268959868959869</v>
      </c>
      <c r="AK59" s="215">
        <f>IF(AND(ISNUMBER(AK58),ISNUMBER(AK56)),IFERROR(AK58/AK56,""),"")</f>
        <v>0.3109746968109</v>
      </c>
      <c r="AL59" s="215">
        <f>IF(AND(ISNUMBER(AL58),ISNUMBER(AL56)),IFERROR(AL58/AL56,""),"")</f>
        <v>0.29300134589502</v>
      </c>
      <c r="AM59" s="215">
        <f>IF(AND(ISNUMBER(AM58),ISNUMBER(AM56)),IFERROR(AM58/AM56,""),"")</f>
        <v>0.284389007990645</v>
      </c>
      <c r="AN59" s="215">
        <f>IF(AND(ISNUMBER(AN58),ISNUMBER(AN56)),IFERROR(AN58/AN56,""),"")</f>
        <v>0.288851351351351</v>
      </c>
      <c r="AO59" s="215">
        <f>IF(AND(ISNUMBER(AO58),ISNUMBER(AO56)),IFERROR(AO58/AO56,""),"")</f>
        <v>0.253072425724854</v>
      </c>
      <c r="AP59" s="215">
        <f>IF(AND(ISNUMBER(AP58),ISNUMBER(AP56)),IFERROR(AP58/AP56,""),"")</f>
        <v>0.25136186770428</v>
      </c>
      <c r="AQ59" s="215">
        <f>IF(AND(ISNUMBER(AQ58),ISNUMBER(AQ56)),IFERROR(AQ58/AQ56,""),"")</f>
        <v>0.260799678521198</v>
      </c>
      <c r="AR59" s="215">
        <f>IF(AND(ISNUMBER(AR58),ISNUMBER(AR56)),IFERROR(AR58/AR56,""),"")</f>
        <v>0.26269057271741</v>
      </c>
      <c r="AS59" s="215">
        <f>IF(AND(ISNUMBER(AS58),ISNUMBER(AS56)),IFERROR(AS58/AS56,""),"")</f>
        <v>0.300910069478423</v>
      </c>
      <c r="AT59" s="215">
        <f>IF(AND(ISNUMBER(AT58),ISNUMBER(AT56)),IFERROR(AT58/AT56,""),"")</f>
        <v>0.31060325684678</v>
      </c>
      <c r="AU59" s="215">
        <f>IF(AND(ISNUMBER(AU58),ISNUMBER(AU56)),IFERROR(AU58/AU56,""),"")</f>
        <v>0.304715110766313</v>
      </c>
      <c r="AV59" s="215">
        <f>IF(AND(ISNUMBER(AV58),ISNUMBER(AV56)),IFERROR(AV58/AV56,""),"")</f>
        <v>0.279704912886517</v>
      </c>
      <c r="AW59" s="215">
        <f>IF(AND(ISNUMBER(AW58),ISNUMBER(AW56)),IFERROR(AW58/AW56,""),"")</f>
        <v>0.298236720299758</v>
      </c>
      <c r="AX59" s="215">
        <f>IF(AND(ISNUMBER(AX58),ISNUMBER(AX56)),IFERROR(AX58/AX56,""),"")</f>
        <v>0.308301858846182</v>
      </c>
      <c r="AY59" s="215">
        <f>IF(AND(ISNUMBER(AY58),ISNUMBER(AY56)),IFERROR(AY58/AY56,""),"")</f>
        <v>0.283138631913026</v>
      </c>
      <c r="AZ59" s="215">
        <f>IF(AND(ISNUMBER(AZ58),ISNUMBER(AZ56)),IFERROR(AZ58/AZ56,""),"")</f>
        <v>0.303103662321539</v>
      </c>
      <c r="BA59" s="215">
        <f>IF(AND(ISNUMBER(BA58),ISNUMBER(BA56)),IFERROR(BA58/BA56,""),"")</f>
        <v>0.297694038245219</v>
      </c>
      <c r="BB59" s="215">
        <f>IF(AND(ISNUMBER(BB58),ISNUMBER(BB56)),IFERROR(BB58/BB56,""),"")</f>
        <v>0.297932542361982</v>
      </c>
      <c r="BC59" s="215">
        <f>IF(AND(ISNUMBER(BC58),ISNUMBER(BC56)),IFERROR(BC58/BC56,""),"")</f>
        <v>0.353451548180684</v>
      </c>
      <c r="BD59" s="215">
        <f>IF(AND(ISNUMBER(BD58),ISNUMBER(BD56)),IFERROR(BD58/BD56,""),"")</f>
        <v>0.289528344900957</v>
      </c>
      <c r="BE59" s="215">
        <f>IF(AND(ISNUMBER(BE58),ISNUMBER(BE56)),IFERROR(BE58/BE56,""),"")</f>
        <v>0.263073327490505</v>
      </c>
      <c r="BF59" s="215">
        <f>IF(AND(ISNUMBER(BF58),ISNUMBER(BF56)),IFERROR(BF58/BF56,""),"")</f>
        <v>0.243474600056132</v>
      </c>
      <c r="BG59" s="215">
        <f>IF(AND(ISNUMBER(BG58),ISNUMBER(BG56)),IFERROR(BG58/BG56,""),"")</f>
        <v>0.285170295645226</v>
      </c>
      <c r="BH59" s="215">
        <f>IF(AND(ISNUMBER(BH58),ISNUMBER(BH56)),IFERROR(BH58/BH56,""),"")</f>
        <v>0.239908213917767</v>
      </c>
      <c r="BI59" s="215">
        <f>IF(AND(ISNUMBER(BI58),ISNUMBER(BI56)),IFERROR(BI58/BI56,""),"")</f>
        <v>0.242321589882566</v>
      </c>
      <c r="BJ59" s="215">
        <f>IF(AND(ISNUMBER(BJ58),ISNUMBER(BJ56)),IFERROR(BJ58/BJ56,""),"")</f>
        <v>0.302528296977319</v>
      </c>
      <c r="BK59" s="215">
        <f>IF(AND(ISNUMBER(BK58),ISNUMBER(BK56)),IFERROR(BK58/BK56,""),"")</f>
        <v>0.296108081308875</v>
      </c>
      <c r="BL59" s="215">
        <f>IF(AND(ISNUMBER(BL58),ISNUMBER(BL56)),IFERROR(BL58/BL56,""),"")</f>
        <v>0.271395043908459</v>
      </c>
      <c r="BM59" s="215">
        <f>IF(AND(ISNUMBER(BM58),ISNUMBER(BM56)),IFERROR(BM58/BM56,""),"")</f>
        <v>0.376283101010504</v>
      </c>
      <c r="BN59" s="215">
        <f>IF(AND(ISNUMBER(BN58),ISNUMBER(BN56)),IFERROR(BN58/BN56,""),"")</f>
        <v>0.355161523534112</v>
      </c>
      <c r="BO59" s="215">
        <f>IF(AND(ISNUMBER(BO58),ISNUMBER(BO56)),IFERROR(BO58/BO56,""),"")</f>
        <v>0.380555150808684</v>
      </c>
      <c r="BP59" s="215">
        <f>IF(AND(ISNUMBER(BP58),ISNUMBER(BP56)),IFERROR(BP58/BP56,""),"")</f>
        <v>0.369346209963177</v>
      </c>
      <c r="BQ59" s="215">
        <f>IF(AND(ISNUMBER(BQ58),ISNUMBER(BQ56)),IFERROR(BQ58/BQ56,""),"")</f>
        <v>0.370355907620216</v>
      </c>
      <c r="BR59" s="215">
        <f>IF(AND(ISNUMBER(BR58),ISNUMBER(BR56)),IFERROR(BR58/BR56,""),"")</f>
        <v>0.394539925513377</v>
      </c>
      <c r="BS59" s="215">
        <f>IF(AND(ISNUMBER(BS58),ISNUMBER(BS56)),IFERROR(BS58/BS56,""),"")</f>
        <v>0.329090143491076</v>
      </c>
      <c r="BT59" s="215">
        <f>IF(AND(ISNUMBER(BT58),ISNUMBER(BT56)),IFERROR(BT58/BT56,""),"")</f>
        <v>0.346421862691632</v>
      </c>
      <c r="BU59" s="215">
        <f>IF(AND(ISNUMBER(BU58),ISNUMBER(BU56)),IFERROR(BU58/BU56,""),"")</f>
        <v>0.350347114871132</v>
      </c>
      <c r="BV59" s="215">
        <f>IF(AND(ISNUMBER(BV58),ISNUMBER(BV56)),IFERROR(BV58/BV56,""),"")</f>
        <v>0.35429015342785</v>
      </c>
      <c r="BW59" s="215">
        <f>IF(AND(ISNUMBER(BW58),ISNUMBER(BW56)),IFERROR(BW58/BW56,""),"")</f>
        <v>0.376752600633198</v>
      </c>
      <c r="BX59" s="215">
        <f>IF(AND(ISNUMBER(BX58),ISNUMBER(BX56)),IFERROR(BX58/BX56,""),"")</f>
        <v>0.393564121992802</v>
      </c>
      <c r="BY59" s="256">
        <f>BY60+BY120</f>
        <v>0.359496117802743</v>
      </c>
      <c r="BZ59" s="256">
        <f>BZ60+BZ120</f>
        <v>0.364865427128377</v>
      </c>
      <c r="CA59" s="256">
        <f>IF(AND(ISNUMBER(CA58),ISNUMBER(CA56)),IFERROR(CA58/CA56,""),"")</f>
        <v>0.373022519777213</v>
      </c>
      <c r="CB59" s="256">
        <f>CHOOSE(MATCH($CF$2,{"Bull","Base","Bear"},0),$CO$77,$CP$77,$CQ$77)</f>
        <v>0.36</v>
      </c>
      <c r="CC59" s="256">
        <f>CHOOSE(MATCH($CF$2,{"Bull","Base","Bear"},0),$CO$78,$CP$78,$CQ$78)</f>
        <v>0.355</v>
      </c>
      <c r="CD59" s="256">
        <f>CHOOSE(MATCH($CF$2,{"Bull","Base","Bear"},0),$CO$79,$CP$79,$CQ$79)</f>
        <v>0.35</v>
      </c>
      <c r="CE59" s="256">
        <f>CHOOSE(MATCH($CF$2,{"Bull","Base","Bear"},0),$CO$80,$CP$80,$CQ$80)</f>
        <v>0.35</v>
      </c>
      <c r="CF59" s="153" t="n"/>
      <c r="CH59" s="37">
        <f>IFERROR(AVERAGE(CA59,CB59,CC59,CD59,CE59),"n/m")</f>
        <v>0.357604503955443</v>
      </c>
      <c r="CI59" s="37">
        <f>IFERROR(AVERAGE(BB59,BG59,BL59,BQ59,BV59),"n/m")</f>
        <v>0.315828788592747</v>
      </c>
      <c r="CJ59" s="37">
        <f>IFERROR(AVERAGE(AC59,AH59,AM59,AR59,AW59,BB59,BG59,BL59,BQ59,BV59),"n/m")</f>
        <v>0.29268851106653</v>
      </c>
      <c r="CK59" s="37">
        <f>IFERROR(AVERAGE(C59,D59,E59,F59,G59,H59,I59,N59,S59,X59,AC59,AH59,AM59,AR59,AW59,BB59,BG59,BL59,BQ59,BV59),"n/m")</f>
        <v>0.267445045774976</v>
      </c>
      <c r="CN59" s="25" t="inlineStr">
        <is>
          <t xml:space="preserve">  2029E</t>
        </is>
      </c>
      <c r="CO59" s="33">
        <f>CP59+$CO$56</f>
        <v>0.25</v>
      </c>
      <c r="CP59" s="258" t="n">
        <v>0.2</v>
      </c>
      <c r="CQ59" s="33">
        <f>CP59+$CQ$56</f>
        <v>0.12</v>
      </c>
    </row>
    <row r="60" ht="15" customHeight="1" s="251">
      <c r="B60" s="25" t="inlineStr">
        <is>
          <t xml:space="preserve">    Q3/Q4-26E margin before calibration (prior-year quarter ex disclosed special charges + 1H-26 y/y drift)</t>
        </is>
      </c>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c r="AF60" s="36" t="n"/>
      <c r="AG60" s="36" t="n"/>
      <c r="AH60" s="36" t="n"/>
      <c r="AI60" s="36" t="n"/>
      <c r="AJ60" s="36" t="n"/>
      <c r="AK60" s="36" t="n"/>
      <c r="AL60" s="36" t="n"/>
      <c r="AM60" s="36" t="n"/>
      <c r="AN60" s="36" t="n"/>
      <c r="AO60" s="36" t="n"/>
      <c r="AP60" s="36" t="n"/>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c r="BP60" s="36" t="n"/>
      <c r="BQ60" s="36" t="n"/>
      <c r="BR60" s="36" t="n"/>
      <c r="BS60" s="36" t="n"/>
      <c r="BT60" s="36" t="n"/>
      <c r="BU60" s="36" t="n"/>
      <c r="BV60" s="36" t="n"/>
      <c r="BW60" s="36" t="n"/>
      <c r="BX60" s="36" t="n"/>
      <c r="BY60" s="256">
        <f>(BT58)/BT56+IFERROR(SUM(BW58:BX58)/SUM(BW56:BX56)-SUM(BR58:BS58)/SUM(BR56:BS56),0)</f>
        <v>0.371128252876479</v>
      </c>
      <c r="BZ60" s="256">
        <f>(BU58)/BU56+IFERROR(SUM(BW58:BX58)/SUM(BW56:BX56)-SUM(BR58:BS58)/SUM(BR56:BS56),0)</f>
        <v>0.375053505055979</v>
      </c>
      <c r="CA60" s="24" t="n"/>
      <c r="CB60" s="46" t="n"/>
      <c r="CC60" s="46" t="n"/>
      <c r="CD60" s="46" t="n"/>
      <c r="CE60" s="46" t="n"/>
      <c r="CF60" s="19" t="n"/>
      <c r="CN60" s="25" t="inlineStr">
        <is>
          <t xml:space="preserve">  2030E</t>
        </is>
      </c>
      <c r="CO60" s="33">
        <f>CP60+$CO$56</f>
        <v>0.22</v>
      </c>
      <c r="CP60" s="258" t="n">
        <v>0.17</v>
      </c>
      <c r="CQ60" s="33">
        <f>CP60+$CQ$56</f>
        <v>0.09</v>
      </c>
    </row>
    <row r="61" ht="15" customHeight="1" s="251">
      <c r="B61" s="25" t="inlineStr">
        <is>
          <t xml:space="preserve">    Incremental segment margin (Δ OI / Δ net sales)</t>
        </is>
      </c>
      <c r="C61" s="36" t="n"/>
      <c r="D61" s="215">
        <f>IFERROR((D58-C58)/(D56-C56),"")</f>
      </c>
      <c r="E61" s="215">
        <f>IFERROR((E58-D58)/(E56-D56),"")</f>
      </c>
      <c r="F61" s="215">
        <f>IFERROR((F58-E58)/(F56-E56),"")</f>
      </c>
      <c r="G61" s="215">
        <f>IFERROR((G58-F58)/(G56-F56),"")</f>
      </c>
      <c r="H61" s="215">
        <f>IFERROR((H58-G58)/(H56-G56),"")</f>
      </c>
      <c r="I61" s="215">
        <f>IFERROR((I58-H58)/(I56-H56),"")</f>
      </c>
      <c r="J61" s="36" t="n"/>
      <c r="K61" s="36" t="n"/>
      <c r="L61" s="36" t="n"/>
      <c r="M61" s="36" t="n"/>
      <c r="N61" s="215">
        <f>IFERROR((N58-I58)/(N56-I56),"")</f>
        <v>0.216537966537967</v>
      </c>
      <c r="O61" s="215">
        <f>IFERROR((O58-J58)/(O56-J56),"")</f>
        <v>0.233333333333333</v>
      </c>
      <c r="P61" s="215">
        <f>IFERROR((P58-K58)/(P56-K56),"")</f>
        <v>0.0766169154228856</v>
      </c>
      <c r="Q61" s="215">
        <f>IFERROR((Q58-L58)/(Q56-L56),"")</f>
        <v>0.0838323353293413</v>
      </c>
      <c r="R61" s="215">
        <f>IFERROR((R58-M58)/(R56-M56),"")</f>
        <v>0.169014084507042</v>
      </c>
      <c r="S61" s="215">
        <f>IFERROR((S58-N58)/(S56-N56),"")</f>
        <v>-0.00846354166666667</v>
      </c>
      <c r="T61" s="215">
        <f>IFERROR((T58-O58)/(T56-O56),"")</f>
        <v>-0.0968992248062016</v>
      </c>
      <c r="U61" s="215">
        <f>IFERROR((U58-P58)/(U56-P56),"")</f>
        <v>0.278388278388278</v>
      </c>
      <c r="V61" s="215">
        <f>IFERROR((V58-Q58)/(V56-Q56),"")</f>
        <v>0.360262008733624</v>
      </c>
      <c r="W61" s="215">
        <f>IFERROR((W58-R58)/(W56-R56),"")</f>
        <v>0.345177664974619</v>
      </c>
      <c r="X61" s="215">
        <f>IFERROR((X58-S58)/(X56-S56),"")</f>
        <v>0.261742892459827</v>
      </c>
      <c r="Y61" s="215">
        <f>IFERROR((Y58-T58)/(Y56-T56),"")</f>
        <v>0.409</v>
      </c>
      <c r="Z61" s="215">
        <f>IFERROR((Z58-U58)/(Z56-U56),"")</f>
        <v>0.388888888888889</v>
      </c>
      <c r="AA61" s="215">
        <f>IFERROR((AA58-V58)/(AA56-V56),"")</f>
        <v>0.37783595113438</v>
      </c>
      <c r="AB61" s="215">
        <f>IFERROR((AB58-W58)/(AB56-W56),"")</f>
        <v>0.305923961096375</v>
      </c>
      <c r="AC61" s="215">
        <f>IFERROR((AC58-X58)/(AC56-X56),"")</f>
        <v>0.368979027425674</v>
      </c>
      <c r="AD61" s="215">
        <f>IFERROR((AD58-Y58)/(AD56-Y56),"")</f>
        <v>0.261187214611872</v>
      </c>
      <c r="AE61" s="215">
        <f>IFERROR((AE58-Z58)/(AE56-Z56),"")</f>
        <v>0.163097199341021</v>
      </c>
      <c r="AF61" s="215">
        <f>IFERROR((AF58-AA58)/(AF56-AA56),"")</f>
        <v>0.229120473022912</v>
      </c>
      <c r="AG61" s="215">
        <f>IFERROR((AG58-AB58)/(AG56-AB56),"")</f>
        <v>0.2714013950539</v>
      </c>
      <c r="AH61" s="215">
        <f>IFERROR((AH58-AC58)/(AH56-AC56),"")</f>
        <v>0.233396946564886</v>
      </c>
      <c r="AI61" s="215">
        <f>IFERROR((AI58-AD58)/(AI56-AD56),"")</f>
        <v>0.286355979786637</v>
      </c>
      <c r="AJ61" s="215">
        <f>IFERROR((AJ58-AE58)/(AJ56-AE56),"")</f>
        <v>0.362094763092269</v>
      </c>
      <c r="AK61" s="215">
        <f>IFERROR((AK58-AF58)/(AK56-AF56),"")</f>
        <v>0.432458233890215</v>
      </c>
      <c r="AL61" s="215">
        <f>IFERROR((AL58-AG58)/(AL56-AG56),"")</f>
        <v>0.355200690548123</v>
      </c>
      <c r="AM61" s="215">
        <f>IFERROR((AM58-AH58)/(AM56-AH56),"")</f>
        <v>0.361761835041484</v>
      </c>
      <c r="AN61" s="215">
        <f>IFERROR((AN58-AI58)/(AN56-AI56),"")</f>
        <v>0.365128660159716</v>
      </c>
      <c r="AO61" s="215">
        <f>IFERROR((AO58-AJ58)/(AO56-AJ56),"")</f>
        <v>0.210456942003515</v>
      </c>
      <c r="AP61" s="215">
        <f>IFERROR((AP58-AK58)/(AP56-AK56),"")</f>
        <v>0.079447322970639</v>
      </c>
      <c r="AQ61" s="215">
        <f>IFERROR((AQ58-AL58)/(AQ56-AL56),"")</f>
        <v>0.166006339144216</v>
      </c>
      <c r="AR61" s="215">
        <f>IFERROR((AR58-AM58)/(AR56-AM56),"")</f>
        <v>0.203286735673888</v>
      </c>
      <c r="AS61" s="215">
        <f>IFERROR((AS58-AN58)/(AS56-AN56),"")</f>
        <v>0.33769322235434</v>
      </c>
      <c r="AT61" s="215">
        <f>IFERROR((AT58-AO58)/(AT56-AO56),"")</f>
        <v>0.509270704573548</v>
      </c>
      <c r="AU61" s="215">
        <f>IFERROR((AU58-AP58)/(AU56-AP56),"")</f>
        <v>0.488871834228703</v>
      </c>
      <c r="AV61" s="215">
        <f>IFERROR((AV58-AQ58)/(AV56-AQ56),"")</f>
        <v>0.347202295552367</v>
      </c>
      <c r="AW61" s="215">
        <f>IFERROR((AW58-AR58)/(AW56-AR56),"")</f>
        <v>0.418600154679041</v>
      </c>
      <c r="AX61" s="215">
        <f>IFERROR((AX58-AS58)/(AX56-AS56),"")</f>
        <v>0.331303288672351</v>
      </c>
      <c r="AY61" s="215">
        <f>IFERROR((AY58-AT58)/(AY56-AT56),"")</f>
        <v>0.208947763059235</v>
      </c>
      <c r="AZ61" s="215">
        <f>IFERROR((AZ58-AU58)/(AZ56-AU56),"")</f>
        <v>0.298957640275006</v>
      </c>
      <c r="BA61" s="215">
        <f>IFERROR((BA58-AV58)/(BA56-AV56),"")</f>
        <v>0.343191742755062</v>
      </c>
      <c r="BB61" s="215">
        <f>IFERROR((BB58-AW58)/(BB56-AW56),"")</f>
        <v>0.297112642585551</v>
      </c>
      <c r="BC61" s="215">
        <f>IFERROR((BC58-AX58)/(BC56-AX56),"")</f>
        <v>0.476913730255164</v>
      </c>
      <c r="BD61" s="215">
        <f>IFERROR((BD58-AY58)/(BD56-AY56),"")</f>
        <v>0.308722109533469</v>
      </c>
      <c r="BE61" s="215">
        <f>IFERROR((BE58-AZ58)/(BE56-AZ56),"")</f>
        <v>0.11743450767841</v>
      </c>
      <c r="BF61" s="215">
        <f>IFERROR((BF58-BA58)/(BF56-BA56),"")</f>
        <v>-0.0244580322401334</v>
      </c>
      <c r="BG61" s="215">
        <f>IFERROR((BG58-BB58)/(BG56-BB56),"")</f>
        <v>0.240806974404828</v>
      </c>
      <c r="BH61" s="215">
        <f>IFERROR((BH58-BC58)/(BH56-BC56),"")</f>
        <v>-0.478887744593203</v>
      </c>
      <c r="BI61" s="215">
        <f>IFERROR((BI58-BD58)/(BI56-BD56),"")</f>
        <v>-0.145772594752187</v>
      </c>
      <c r="BJ61" s="215">
        <f>IFERROR((BJ58-BE58)/(BJ56-BE56),"")</f>
        <v>0.623958746529155</v>
      </c>
      <c r="BK61" s="215">
        <f>IFERROR((BK58-BF58)/(BK56-BF56),"")</f>
        <v>0.694267515923567</v>
      </c>
      <c r="BL61" s="215">
        <f>IFERROR((BL58-BG58)/(BL56-BG56),"")</f>
        <v>0.167901697776944</v>
      </c>
      <c r="BM61" s="215">
        <f>IFERROR((BM58-BH58)/(BM56-BH56),"")</f>
        <v>1.16698343741515</v>
      </c>
      <c r="BN61" s="215">
        <f>IFERROR((BN58-BI58)/(BN56-BI56),"")</f>
        <v>0.958464139096837</v>
      </c>
      <c r="BO61" s="215">
        <f>IFERROR((BO58-BJ58)/(BO56-BJ56),"")</f>
        <v>0.790120646483041</v>
      </c>
      <c r="BP61" s="215">
        <f>IFERROR((BP58-BK58)/(BP56-BK56),"")</f>
        <v>0.756219991270188</v>
      </c>
      <c r="BQ61" s="215">
        <f>IFERROR((BQ58-BL58)/(BQ56-BL56),"")</f>
        <v>0.904994344901482</v>
      </c>
      <c r="BR61" s="215">
        <f>IFERROR((BR58-BM58)/(BR56-BM56),"")</f>
        <v>0.502600472813239</v>
      </c>
      <c r="BS61" s="215">
        <f>IFERROR((BS58-BN58)/(BS56-BN56),"")</f>
        <v>0.179878048780488</v>
      </c>
      <c r="BT61" s="215">
        <f>IFERROR((BT58-BO58)/(BT56-BO56),"")</f>
        <v>0.177709758732445</v>
      </c>
      <c r="BU61" s="215">
        <f>IFERROR((BU58-BP58)/(BU56-BP56),"")</f>
        <v>0.269836596496393</v>
      </c>
      <c r="BV61" s="215">
        <f>IFERROR((BV58-BQ58)/(BV56-BQ56),"")</f>
        <v>0.272662856063111</v>
      </c>
      <c r="BW61" s="215">
        <f>IFERROR((BW58-BR58)/(BW56-BR56),"")</f>
        <v>0.314182692307692</v>
      </c>
      <c r="BX61" s="215">
        <f>IFERROR((BX58-BS58)/(BX56-BS56),"")</f>
        <v>0.568800070428735</v>
      </c>
      <c r="BY61" s="256">
        <f>IFERROR((BY58-BT58)/(BY56-BT56),"")</f>
        <v>0.395031066129648</v>
      </c>
      <c r="BZ61" s="256">
        <f>IFERROR((BZ58-BU58)/(BZ56-BU56),"")</f>
        <v>0.404325225906254</v>
      </c>
      <c r="CA61" s="256">
        <f>IFERROR((CA58-BV58)/(CA56-BV56),"")</f>
        <v>0.426710993282723</v>
      </c>
      <c r="CB61" s="256">
        <f>IFERROR((CB58-CA58)/(CB56-CA56),"")</f>
        <v>0.313491000795667</v>
      </c>
      <c r="CC61" s="256">
        <f>IFERROR((CC58-CB58)/(CC56-CB56),"")</f>
        <v>0.334166666666667</v>
      </c>
      <c r="CD61" s="256">
        <f>IFERROR((CD58-CC58)/(CD56-CC56),"")</f>
        <v>0.325</v>
      </c>
      <c r="CE61" s="256">
        <f>IFERROR((CE58-CD58)/(CE56-CD56),"")</f>
        <v>0.35</v>
      </c>
      <c r="CF61" s="153" t="n"/>
      <c r="CN61" s="15" t="inlineStr">
        <is>
          <t>OTHER (Other net sales y/y)</t>
        </is>
      </c>
      <c r="CO61" s="261" t="n">
        <v>0.02</v>
      </c>
      <c r="CP61" s="21" t="inlineStr">
        <is>
          <t>Δ →</t>
        </is>
      </c>
      <c r="CQ61" s="261" t="n">
        <v>-0.03</v>
      </c>
      <c r="CR61" s="13" t="inlineStr">
        <is>
          <t>FY2025 +9.4% (co-branded credit cards, licensing, shipping services).</t>
        </is>
      </c>
    </row>
    <row r="62" ht="15" customHeight="1" s="251">
      <c r="B62" s="156" t="inlineStr">
        <is>
          <t xml:space="preserve">  Memo: special charges disclosed by segment — North America (FTC legal settlement $2.5bn, Q3-25)</t>
        </is>
      </c>
      <c r="C62" s="253" t="n">
        <v>0</v>
      </c>
      <c r="D62" s="253" t="n">
        <v>0</v>
      </c>
      <c r="E62" s="253" t="n">
        <v>0</v>
      </c>
      <c r="F62" s="253" t="n">
        <v>0</v>
      </c>
      <c r="G62" s="253" t="n">
        <v>0</v>
      </c>
      <c r="H62" s="253" t="n">
        <v>0</v>
      </c>
      <c r="I62" s="253" t="n">
        <v>0</v>
      </c>
      <c r="J62" s="253" t="n">
        <v>0</v>
      </c>
      <c r="K62" s="253" t="n">
        <v>0</v>
      </c>
      <c r="L62" s="253" t="n">
        <v>0</v>
      </c>
      <c r="M62" s="253" t="n">
        <v>0</v>
      </c>
      <c r="N62" s="253" t="n">
        <v>0</v>
      </c>
      <c r="O62" s="253" t="n">
        <v>0</v>
      </c>
      <c r="P62" s="253" t="n">
        <v>0</v>
      </c>
      <c r="Q62" s="253" t="n">
        <v>0</v>
      </c>
      <c r="R62" s="253" t="n">
        <v>0</v>
      </c>
      <c r="S62" s="253" t="n">
        <v>0</v>
      </c>
      <c r="T62" s="253" t="n">
        <v>0</v>
      </c>
      <c r="U62" s="253" t="n">
        <v>0</v>
      </c>
      <c r="V62" s="253" t="n">
        <v>0</v>
      </c>
      <c r="W62" s="253" t="n">
        <v>0</v>
      </c>
      <c r="X62" s="253" t="n">
        <v>0</v>
      </c>
      <c r="Y62" s="253" t="n">
        <v>0</v>
      </c>
      <c r="Z62" s="253" t="n">
        <v>0</v>
      </c>
      <c r="AA62" s="253" t="n">
        <v>0</v>
      </c>
      <c r="AB62" s="253" t="n">
        <v>0</v>
      </c>
      <c r="AC62" s="253" t="n">
        <v>0</v>
      </c>
      <c r="AD62" s="253" t="n">
        <v>0</v>
      </c>
      <c r="AE62" s="253" t="n">
        <v>0</v>
      </c>
      <c r="AF62" s="253" t="n">
        <v>0</v>
      </c>
      <c r="AG62" s="253" t="n">
        <v>0</v>
      </c>
      <c r="AH62" s="253" t="n">
        <v>0</v>
      </c>
      <c r="AI62" s="253" t="n">
        <v>0</v>
      </c>
      <c r="AJ62" s="253" t="n">
        <v>0</v>
      </c>
      <c r="AK62" s="253" t="n">
        <v>0</v>
      </c>
      <c r="AL62" s="253" t="n">
        <v>0</v>
      </c>
      <c r="AM62" s="253" t="n">
        <v>0</v>
      </c>
      <c r="AN62" s="253" t="n">
        <v>0</v>
      </c>
      <c r="AO62" s="253" t="n">
        <v>0</v>
      </c>
      <c r="AP62" s="253" t="n">
        <v>0</v>
      </c>
      <c r="AQ62" s="253" t="n">
        <v>0</v>
      </c>
      <c r="AR62" s="253" t="n">
        <v>0</v>
      </c>
      <c r="AS62" s="253" t="n">
        <v>0</v>
      </c>
      <c r="AT62" s="253" t="n">
        <v>0</v>
      </c>
      <c r="AU62" s="253" t="n">
        <v>0</v>
      </c>
      <c r="AV62" s="253" t="n">
        <v>0</v>
      </c>
      <c r="AW62" s="253" t="n">
        <v>0</v>
      </c>
      <c r="AX62" s="253" t="n">
        <v>0</v>
      </c>
      <c r="AY62" s="253" t="n">
        <v>0</v>
      </c>
      <c r="AZ62" s="253" t="n">
        <v>0</v>
      </c>
      <c r="BA62" s="253" t="n">
        <v>0</v>
      </c>
      <c r="BB62" s="253" t="n">
        <v>0</v>
      </c>
      <c r="BC62" s="253" t="n">
        <v>0</v>
      </c>
      <c r="BD62" s="253" t="n">
        <v>0</v>
      </c>
      <c r="BE62" s="253" t="n">
        <v>0</v>
      </c>
      <c r="BF62" s="253" t="n">
        <v>0</v>
      </c>
      <c r="BG62" s="253" t="n">
        <v>0</v>
      </c>
      <c r="BH62" s="253" t="n">
        <v>0</v>
      </c>
      <c r="BI62" s="253" t="n">
        <v>0</v>
      </c>
      <c r="BJ62" s="253" t="n">
        <v>0</v>
      </c>
      <c r="BK62" s="253" t="n">
        <v>0</v>
      </c>
      <c r="BL62" s="253" t="n">
        <v>0</v>
      </c>
      <c r="BM62" s="253" t="n">
        <v>0</v>
      </c>
      <c r="BN62" s="253" t="n">
        <v>0</v>
      </c>
      <c r="BO62" s="253" t="n">
        <v>0</v>
      </c>
      <c r="BP62" s="253" t="n">
        <v>0</v>
      </c>
      <c r="BQ62" s="253" t="n">
        <v>0</v>
      </c>
      <c r="BR62" s="253" t="n">
        <v>0</v>
      </c>
      <c r="BS62" s="253" t="n">
        <v>0</v>
      </c>
      <c r="BT62" s="253" t="n">
        <v>2500</v>
      </c>
      <c r="BU62" s="253" t="n">
        <v>0</v>
      </c>
      <c r="BV62" s="253" t="n">
        <v>2500</v>
      </c>
      <c r="BW62" s="253" t="n">
        <v>0</v>
      </c>
      <c r="BX62" s="253" t="n">
        <v>0</v>
      </c>
      <c r="BY62" s="266">
        <f>0</f>
        <v>0</v>
      </c>
      <c r="BZ62" s="266">
        <f>0</f>
        <v>0</v>
      </c>
      <c r="CA62" s="266">
        <f>SUM(BW62:BZ62)</f>
        <v>0</v>
      </c>
      <c r="CB62" s="266">
        <f>0</f>
        <v>0</v>
      </c>
      <c r="CC62" s="266">
        <f>0</f>
        <v>0</v>
      </c>
      <c r="CD62" s="266">
        <f>0</f>
        <v>0</v>
      </c>
      <c r="CE62" s="266">
        <f>0</f>
        <v>0</v>
      </c>
      <c r="CF62" s="153" t="n"/>
      <c r="CN62" s="25" t="inlineStr">
        <is>
          <t xml:space="preserve">  2027E</t>
        </is>
      </c>
      <c r="CO62" s="33">
        <f>CP62+$CO$61</f>
        <v>0.1</v>
      </c>
      <c r="CP62" s="258" t="n">
        <v>0.08</v>
      </c>
      <c r="CQ62" s="33">
        <f>CP62+$CQ$61</f>
        <v>0.05</v>
      </c>
    </row>
    <row r="63" ht="15" customHeight="1" s="251">
      <c r="B63" s="25" t="inlineStr">
        <is>
          <t xml:space="preserve">  Unallocated stock-based compensation &amp; other operating expense (not allocated to segments until 2015)</t>
        </is>
      </c>
      <c r="C63" s="34" t="n"/>
      <c r="D63" s="34" t="n"/>
      <c r="E63" s="34" t="n"/>
      <c r="F63" s="34" t="n"/>
      <c r="G63" s="34" t="n"/>
      <c r="H63" s="34" t="n"/>
      <c r="I63" s="34" t="n"/>
      <c r="J63" s="34" t="n"/>
      <c r="K63" s="34" t="n"/>
      <c r="L63" s="34" t="n"/>
      <c r="M63" s="34" t="n"/>
      <c r="N63" s="253" t="n">
        <v>-1248</v>
      </c>
      <c r="O63" s="253" t="n">
        <v>-356</v>
      </c>
      <c r="P63" s="253" t="n">
        <v>-419</v>
      </c>
      <c r="Q63" s="253" t="n">
        <v>-408</v>
      </c>
      <c r="R63" s="253" t="n">
        <v>-447</v>
      </c>
      <c r="S63" s="253" t="n">
        <v>-1630</v>
      </c>
      <c r="T63" s="253" t="n">
        <v>0</v>
      </c>
      <c r="U63" s="253" t="n">
        <v>0</v>
      </c>
      <c r="V63" s="253" t="n">
        <v>0</v>
      </c>
      <c r="W63" s="253" t="n">
        <v>0</v>
      </c>
      <c r="X63" s="253" t="n">
        <v>0</v>
      </c>
      <c r="Y63" s="253" t="n">
        <v>0</v>
      </c>
      <c r="Z63" s="253" t="n">
        <v>0</v>
      </c>
      <c r="AA63" s="253" t="n">
        <v>0</v>
      </c>
      <c r="AB63" s="253" t="n">
        <v>0</v>
      </c>
      <c r="AC63" s="253" t="n">
        <v>0</v>
      </c>
      <c r="AD63" s="253" t="n">
        <v>0</v>
      </c>
      <c r="AE63" s="253" t="n">
        <v>0</v>
      </c>
      <c r="AF63" s="253" t="n">
        <v>0</v>
      </c>
      <c r="AG63" s="253" t="n">
        <v>0</v>
      </c>
      <c r="AH63" s="253" t="n">
        <v>0</v>
      </c>
      <c r="AI63" s="253" t="n">
        <v>0</v>
      </c>
      <c r="AJ63" s="253" t="n">
        <v>0</v>
      </c>
      <c r="AK63" s="253" t="n">
        <v>0</v>
      </c>
      <c r="AL63" s="253" t="n">
        <v>0</v>
      </c>
      <c r="AM63" s="253" t="n">
        <v>0</v>
      </c>
      <c r="AN63" s="253" t="n">
        <v>0</v>
      </c>
      <c r="AO63" s="253" t="n">
        <v>0</v>
      </c>
      <c r="AP63" s="253" t="n">
        <v>0</v>
      </c>
      <c r="AQ63" s="253" t="n">
        <v>0</v>
      </c>
      <c r="AR63" s="253" t="n">
        <v>0</v>
      </c>
      <c r="AS63" s="253" t="n">
        <v>0</v>
      </c>
      <c r="AT63" s="253" t="n">
        <v>0</v>
      </c>
      <c r="AU63" s="253" t="n">
        <v>0</v>
      </c>
      <c r="AV63" s="253" t="n">
        <v>0</v>
      </c>
      <c r="AW63" s="253" t="n">
        <v>0</v>
      </c>
      <c r="AX63" s="253" t="n">
        <v>0</v>
      </c>
      <c r="AY63" s="253" t="n">
        <v>0</v>
      </c>
      <c r="AZ63" s="253" t="n">
        <v>0</v>
      </c>
      <c r="BA63" s="253" t="n">
        <v>0</v>
      </c>
      <c r="BB63" s="253" t="n">
        <v>0</v>
      </c>
      <c r="BC63" s="253" t="n">
        <v>0</v>
      </c>
      <c r="BD63" s="253" t="n">
        <v>0</v>
      </c>
      <c r="BE63" s="253" t="n">
        <v>0</v>
      </c>
      <c r="BF63" s="253" t="n">
        <v>0</v>
      </c>
      <c r="BG63" s="253" t="n">
        <v>0</v>
      </c>
      <c r="BH63" s="253" t="n">
        <v>0</v>
      </c>
      <c r="BI63" s="253" t="n">
        <v>0</v>
      </c>
      <c r="BJ63" s="253" t="n">
        <v>0</v>
      </c>
      <c r="BK63" s="253" t="n">
        <v>0</v>
      </c>
      <c r="BL63" s="253" t="n">
        <v>0</v>
      </c>
      <c r="BM63" s="253" t="n">
        <v>0</v>
      </c>
      <c r="BN63" s="253" t="n">
        <v>0</v>
      </c>
      <c r="BO63" s="253" t="n">
        <v>0</v>
      </c>
      <c r="BP63" s="253" t="n">
        <v>0</v>
      </c>
      <c r="BQ63" s="253" t="n">
        <v>0</v>
      </c>
      <c r="BR63" s="253" t="n">
        <v>0</v>
      </c>
      <c r="BS63" s="253" t="n">
        <v>0</v>
      </c>
      <c r="BT63" s="253" t="n">
        <v>0</v>
      </c>
      <c r="BU63" s="253" t="n">
        <v>0</v>
      </c>
      <c r="BV63" s="253" t="n">
        <v>0</v>
      </c>
      <c r="BW63" s="253" t="n">
        <v>0</v>
      </c>
      <c r="BX63" s="253" t="n">
        <v>0</v>
      </c>
      <c r="BY63" s="254">
        <f>0</f>
        <v>0</v>
      </c>
      <c r="BZ63" s="254">
        <f>0</f>
        <v>0</v>
      </c>
      <c r="CA63" s="254">
        <f>SUM(BW63:BZ63)</f>
        <v>0</v>
      </c>
      <c r="CB63" s="254">
        <f>0</f>
        <v>0</v>
      </c>
      <c r="CC63" s="254">
        <f>0</f>
        <v>0</v>
      </c>
      <c r="CD63" s="254">
        <f>0</f>
        <v>0</v>
      </c>
      <c r="CE63" s="254">
        <f>0</f>
        <v>0</v>
      </c>
      <c r="CF63" s="19" t="n"/>
      <c r="CN63" s="25" t="inlineStr">
        <is>
          <t xml:space="preserve">  2028E</t>
        </is>
      </c>
      <c r="CO63" s="33">
        <f>CP63+$CO$61</f>
        <v>0.09</v>
      </c>
      <c r="CP63" s="258" t="n">
        <v>0.07000000000000001</v>
      </c>
      <c r="CQ63" s="33">
        <f>CP63+$CQ$61</f>
        <v>0.04</v>
      </c>
    </row>
    <row r="64" ht="15" customHeight="1" s="251">
      <c r="B64" s="25" t="inlineStr">
        <is>
          <t xml:space="preserve">  Net sales not on the current segment basis (FY2006–12, Q1–Q4/13: AWS inside North America — legacy memo below)</t>
        </is>
      </c>
      <c r="C64" s="211">
        <f>IF(ISNUMBER(C44),0,C144)</f>
        <v>10711</v>
      </c>
      <c r="D64" s="211">
        <f>IF(ISNUMBER(D44),0,D144)</f>
        <v>14835</v>
      </c>
      <c r="E64" s="211">
        <f>IF(ISNUMBER(E44),0,E144)</f>
        <v>19166</v>
      </c>
      <c r="F64" s="211">
        <f>IF(ISNUMBER(F44),0,F144)</f>
        <v>24509</v>
      </c>
      <c r="G64" s="211">
        <f>IF(ISNUMBER(G44),0,G144)</f>
        <v>34204</v>
      </c>
      <c r="H64" s="211">
        <f>IF(ISNUMBER(H44),0,H144)</f>
        <v>48077</v>
      </c>
      <c r="I64" s="211">
        <f>IF(ISNUMBER(I44),0,I144)</f>
        <v>61093</v>
      </c>
      <c r="J64" s="211">
        <f>IF(ISNUMBER(J44),0,J144)</f>
        <v>16070</v>
      </c>
      <c r="K64" s="211">
        <f>IF(ISNUMBER(K44),0,K144)</f>
        <v>15704</v>
      </c>
      <c r="L64" s="211">
        <f>IF(ISNUMBER(L44),0,L144)</f>
        <v>17092</v>
      </c>
      <c r="M64" s="211">
        <f>IF(ISNUMBER(M44),0,M144)</f>
        <v>25587</v>
      </c>
      <c r="N64" s="211">
        <f>IF(ISNUMBER(N44),0,N144)</f>
        <v>0</v>
      </c>
      <c r="O64" s="211">
        <f>IF(ISNUMBER(O44),0,O144)</f>
        <v>0</v>
      </c>
      <c r="P64" s="211">
        <f>IF(ISNUMBER(P44),0,P144)</f>
        <v>0</v>
      </c>
      <c r="Q64" s="211">
        <f>IF(ISNUMBER(Q44),0,Q144)</f>
        <v>0</v>
      </c>
      <c r="R64" s="211">
        <f>IF(ISNUMBER(R44),0,R144)</f>
        <v>0</v>
      </c>
      <c r="S64" s="211">
        <f>IF(ISNUMBER(S44),0,S144)</f>
        <v>0</v>
      </c>
      <c r="T64" s="211">
        <f>IF(ISNUMBER(T44),0,T144)</f>
        <v>0</v>
      </c>
      <c r="U64" s="211">
        <f>IF(ISNUMBER(U44),0,U144)</f>
        <v>0</v>
      </c>
      <c r="V64" s="211">
        <f>IF(ISNUMBER(V44),0,V144)</f>
        <v>0</v>
      </c>
      <c r="W64" s="211">
        <f>IF(ISNUMBER(W44),0,W144)</f>
        <v>0</v>
      </c>
      <c r="X64" s="211">
        <f>IF(ISNUMBER(X44),0,X144)</f>
        <v>0</v>
      </c>
      <c r="Y64" s="211">
        <f>IF(ISNUMBER(Y44),0,Y144)</f>
        <v>0</v>
      </c>
      <c r="Z64" s="211">
        <f>IF(ISNUMBER(Z44),0,Z144)</f>
        <v>0</v>
      </c>
      <c r="AA64" s="211">
        <f>IF(ISNUMBER(AA44),0,AA144)</f>
        <v>0</v>
      </c>
      <c r="AB64" s="211">
        <f>IF(ISNUMBER(AB44),0,AB144)</f>
        <v>0</v>
      </c>
      <c r="AC64" s="211">
        <f>IF(ISNUMBER(AC44),0,AC144)</f>
        <v>0</v>
      </c>
      <c r="AD64" s="211">
        <f>IF(ISNUMBER(AD44),0,AD144)</f>
        <v>0</v>
      </c>
      <c r="AE64" s="211">
        <f>IF(ISNUMBER(AE44),0,AE144)</f>
        <v>0</v>
      </c>
      <c r="AF64" s="211">
        <f>IF(ISNUMBER(AF44),0,AF144)</f>
        <v>0</v>
      </c>
      <c r="AG64" s="211">
        <f>IF(ISNUMBER(AG44),0,AG144)</f>
        <v>0</v>
      </c>
      <c r="AH64" s="211">
        <f>IF(ISNUMBER(AH44),0,AH144)</f>
        <v>0</v>
      </c>
      <c r="AI64" s="211">
        <f>IF(ISNUMBER(AI44),0,AI144)</f>
        <v>0</v>
      </c>
      <c r="AJ64" s="211">
        <f>IF(ISNUMBER(AJ44),0,AJ144)</f>
        <v>0</v>
      </c>
      <c r="AK64" s="211">
        <f>IF(ISNUMBER(AK44),0,AK144)</f>
        <v>0</v>
      </c>
      <c r="AL64" s="211">
        <f>IF(ISNUMBER(AL44),0,AL144)</f>
        <v>0</v>
      </c>
      <c r="AM64" s="211">
        <f>IF(ISNUMBER(AM44),0,AM144)</f>
        <v>0</v>
      </c>
      <c r="AN64" s="211">
        <f>IF(ISNUMBER(AN44),0,AN144)</f>
        <v>0</v>
      </c>
      <c r="AO64" s="211">
        <f>IF(ISNUMBER(AO44),0,AO144)</f>
        <v>0</v>
      </c>
      <c r="AP64" s="211">
        <f>IF(ISNUMBER(AP44),0,AP144)</f>
        <v>0</v>
      </c>
      <c r="AQ64" s="211">
        <f>IF(ISNUMBER(AQ44),0,AQ144)</f>
        <v>0</v>
      </c>
      <c r="AR64" s="211">
        <f>IF(ISNUMBER(AR44),0,AR144)</f>
        <v>0</v>
      </c>
      <c r="AS64" s="211">
        <f>IF(ISNUMBER(AS44),0,AS144)</f>
        <v>0</v>
      </c>
      <c r="AT64" s="211">
        <f>IF(ISNUMBER(AT44),0,AT144)</f>
        <v>0</v>
      </c>
      <c r="AU64" s="211">
        <f>IF(ISNUMBER(AU44),0,AU144)</f>
        <v>0</v>
      </c>
      <c r="AV64" s="211">
        <f>IF(ISNUMBER(AV44),0,AV144)</f>
        <v>0</v>
      </c>
      <c r="AW64" s="211">
        <f>IF(ISNUMBER(AW44),0,AW144)</f>
        <v>0</v>
      </c>
      <c r="AX64" s="211">
        <f>IF(ISNUMBER(AX44),0,AX144)</f>
        <v>0</v>
      </c>
      <c r="AY64" s="211">
        <f>IF(ISNUMBER(AY44),0,AY144)</f>
        <v>0</v>
      </c>
      <c r="AZ64" s="211">
        <f>IF(ISNUMBER(AZ44),0,AZ144)</f>
        <v>0</v>
      </c>
      <c r="BA64" s="211">
        <f>IF(ISNUMBER(BA44),0,BA144)</f>
        <v>0</v>
      </c>
      <c r="BB64" s="211">
        <f>IF(ISNUMBER(BB44),0,BB144)</f>
        <v>0</v>
      </c>
      <c r="BC64" s="211">
        <f>IF(ISNUMBER(BC44),0,BC144)</f>
        <v>0</v>
      </c>
      <c r="BD64" s="211">
        <f>IF(ISNUMBER(BD44),0,BD144)</f>
        <v>0</v>
      </c>
      <c r="BE64" s="211">
        <f>IF(ISNUMBER(BE44),0,BE144)</f>
        <v>0</v>
      </c>
      <c r="BF64" s="211">
        <f>IF(ISNUMBER(BF44),0,BF144)</f>
        <v>0</v>
      </c>
      <c r="BG64" s="211">
        <f>IF(ISNUMBER(BG44),0,BG144)</f>
        <v>0</v>
      </c>
      <c r="BH64" s="211">
        <f>IF(ISNUMBER(BH44),0,BH144)</f>
        <v>0</v>
      </c>
      <c r="BI64" s="211">
        <f>IF(ISNUMBER(BI44),0,BI144)</f>
        <v>0</v>
      </c>
      <c r="BJ64" s="211">
        <f>IF(ISNUMBER(BJ44),0,BJ144)</f>
        <v>0</v>
      </c>
      <c r="BK64" s="211">
        <f>IF(ISNUMBER(BK44),0,BK144)</f>
        <v>0</v>
      </c>
      <c r="BL64" s="211">
        <f>IF(ISNUMBER(BL44),0,BL144)</f>
        <v>0</v>
      </c>
      <c r="BM64" s="211">
        <f>IF(ISNUMBER(BM44),0,BM144)</f>
        <v>0</v>
      </c>
      <c r="BN64" s="211">
        <f>IF(ISNUMBER(BN44),0,BN144)</f>
        <v>0</v>
      </c>
      <c r="BO64" s="211">
        <f>IF(ISNUMBER(BO44),0,BO144)</f>
        <v>0</v>
      </c>
      <c r="BP64" s="211">
        <f>IF(ISNUMBER(BP44),0,BP144)</f>
        <v>0</v>
      </c>
      <c r="BQ64" s="211">
        <f>IF(ISNUMBER(BQ44),0,BQ144)</f>
        <v>0</v>
      </c>
      <c r="BR64" s="211">
        <f>IF(ISNUMBER(BR44),0,BR144)</f>
        <v>0</v>
      </c>
      <c r="BS64" s="211">
        <f>IF(ISNUMBER(BS44),0,BS144)</f>
        <v>0</v>
      </c>
      <c r="BT64" s="211">
        <f>IF(ISNUMBER(BT44),0,BT144)</f>
        <v>0</v>
      </c>
      <c r="BU64" s="211">
        <f>IF(ISNUMBER(BU44),0,BU144)</f>
        <v>0</v>
      </c>
      <c r="BV64" s="211">
        <f>IF(ISNUMBER(BV44),0,BV144)</f>
        <v>0</v>
      </c>
      <c r="BW64" s="211">
        <f>IF(ISNUMBER(BW44),0,BW144)</f>
        <v>0</v>
      </c>
      <c r="BX64" s="211">
        <f>IF(ISNUMBER(BX44),0,BX144)</f>
        <v>0</v>
      </c>
      <c r="BY64" s="35" t="n"/>
      <c r="BZ64" s="35" t="n"/>
      <c r="CA64" s="35" t="n"/>
      <c r="CB64" s="35" t="n"/>
      <c r="CC64" s="35" t="n"/>
      <c r="CD64" s="35" t="n"/>
      <c r="CE64" s="35" t="n"/>
      <c r="CF64" s="19" t="n"/>
      <c r="CN64" s="25" t="inlineStr">
        <is>
          <t xml:space="preserve">  2029E</t>
        </is>
      </c>
      <c r="CO64" s="33">
        <f>CP64+$CO$61</f>
        <v>0.08</v>
      </c>
      <c r="CP64" s="258" t="n">
        <v>0.06</v>
      </c>
      <c r="CQ64" s="33">
        <f>CP64+$CQ$61</f>
        <v>0.03</v>
      </c>
    </row>
    <row r="65" ht="15" customHeight="1" s="251">
      <c r="B65" s="25" t="inlineStr">
        <is>
          <t xml:space="preserve">  Operating income not on the current segment basis</t>
        </is>
      </c>
      <c r="C65" s="211">
        <f>IF(ISNUMBER(C46),0,C154)</f>
        <v>389</v>
      </c>
      <c r="D65" s="211">
        <f>IF(ISNUMBER(D46),0,D154)</f>
        <v>655</v>
      </c>
      <c r="E65" s="211">
        <f>IF(ISNUMBER(E46),0,E154)</f>
        <v>842</v>
      </c>
      <c r="F65" s="211">
        <f>IF(ISNUMBER(F46),0,F154)</f>
        <v>1129</v>
      </c>
      <c r="G65" s="211">
        <f>IF(ISNUMBER(G46),0,G154)</f>
        <v>1406</v>
      </c>
      <c r="H65" s="211">
        <f>IF(ISNUMBER(H46),0,H154)</f>
        <v>862</v>
      </c>
      <c r="I65" s="211">
        <f>IF(ISNUMBER(I46),0,I154)</f>
        <v>676</v>
      </c>
      <c r="J65" s="211">
        <f>IF(ISNUMBER(J46),0,J154)</f>
        <v>181</v>
      </c>
      <c r="K65" s="211">
        <f>IF(ISNUMBER(K46),0,K154)</f>
        <v>79</v>
      </c>
      <c r="L65" s="211">
        <f>IF(ISNUMBER(L46),0,L154)</f>
        <v>-25</v>
      </c>
      <c r="M65" s="211">
        <f>IF(ISNUMBER(M46),0,M154)</f>
        <v>510</v>
      </c>
      <c r="N65" s="211">
        <f>IF(ISNUMBER(N46),0,N154)</f>
        <v>0</v>
      </c>
      <c r="O65" s="211">
        <f>IF(ISNUMBER(O46),0,O154)</f>
        <v>0</v>
      </c>
      <c r="P65" s="211">
        <f>IF(ISNUMBER(P46),0,P154)</f>
        <v>0</v>
      </c>
      <c r="Q65" s="211">
        <f>IF(ISNUMBER(Q46),0,Q154)</f>
        <v>0</v>
      </c>
      <c r="R65" s="211">
        <f>IF(ISNUMBER(R46),0,R154)</f>
        <v>0</v>
      </c>
      <c r="S65" s="211">
        <f>IF(ISNUMBER(S46),0,S154)</f>
        <v>0</v>
      </c>
      <c r="T65" s="211">
        <f>IF(ISNUMBER(T46),0,T154)</f>
        <v>0</v>
      </c>
      <c r="U65" s="211">
        <f>IF(ISNUMBER(U46),0,U154)</f>
        <v>0</v>
      </c>
      <c r="V65" s="211">
        <f>IF(ISNUMBER(V46),0,V154)</f>
        <v>0</v>
      </c>
      <c r="W65" s="211">
        <f>IF(ISNUMBER(W46),0,W154)</f>
        <v>0</v>
      </c>
      <c r="X65" s="211">
        <f>IF(ISNUMBER(X46),0,X154)</f>
        <v>0</v>
      </c>
      <c r="Y65" s="211">
        <f>IF(ISNUMBER(Y46),0,Y154)</f>
        <v>0</v>
      </c>
      <c r="Z65" s="211">
        <f>IF(ISNUMBER(Z46),0,Z154)</f>
        <v>0</v>
      </c>
      <c r="AA65" s="211">
        <f>IF(ISNUMBER(AA46),0,AA154)</f>
        <v>0</v>
      </c>
      <c r="AB65" s="211">
        <f>IF(ISNUMBER(AB46),0,AB154)</f>
        <v>0</v>
      </c>
      <c r="AC65" s="211">
        <f>IF(ISNUMBER(AC46),0,AC154)</f>
        <v>0</v>
      </c>
      <c r="AD65" s="211">
        <f>IF(ISNUMBER(AD46),0,AD154)</f>
        <v>0</v>
      </c>
      <c r="AE65" s="211">
        <f>IF(ISNUMBER(AE46),0,AE154)</f>
        <v>0</v>
      </c>
      <c r="AF65" s="211">
        <f>IF(ISNUMBER(AF46),0,AF154)</f>
        <v>0</v>
      </c>
      <c r="AG65" s="211">
        <f>IF(ISNUMBER(AG46),0,AG154)</f>
        <v>0</v>
      </c>
      <c r="AH65" s="211">
        <f>IF(ISNUMBER(AH46),0,AH154)</f>
        <v>0</v>
      </c>
      <c r="AI65" s="211">
        <f>IF(ISNUMBER(AI46),0,AI154)</f>
        <v>0</v>
      </c>
      <c r="AJ65" s="211">
        <f>IF(ISNUMBER(AJ46),0,AJ154)</f>
        <v>0</v>
      </c>
      <c r="AK65" s="211">
        <f>IF(ISNUMBER(AK46),0,AK154)</f>
        <v>0</v>
      </c>
      <c r="AL65" s="211">
        <f>IF(ISNUMBER(AL46),0,AL154)</f>
        <v>0</v>
      </c>
      <c r="AM65" s="211">
        <f>IF(ISNUMBER(AM46),0,AM154)</f>
        <v>0</v>
      </c>
      <c r="AN65" s="211">
        <f>IF(ISNUMBER(AN46),0,AN154)</f>
        <v>0</v>
      </c>
      <c r="AO65" s="211">
        <f>IF(ISNUMBER(AO46),0,AO154)</f>
        <v>0</v>
      </c>
      <c r="AP65" s="211">
        <f>IF(ISNUMBER(AP46),0,AP154)</f>
        <v>0</v>
      </c>
      <c r="AQ65" s="211">
        <f>IF(ISNUMBER(AQ46),0,AQ154)</f>
        <v>0</v>
      </c>
      <c r="AR65" s="211">
        <f>IF(ISNUMBER(AR46),0,AR154)</f>
        <v>0</v>
      </c>
      <c r="AS65" s="211">
        <f>IF(ISNUMBER(AS46),0,AS154)</f>
        <v>0</v>
      </c>
      <c r="AT65" s="211">
        <f>IF(ISNUMBER(AT46),0,AT154)</f>
        <v>0</v>
      </c>
      <c r="AU65" s="211">
        <f>IF(ISNUMBER(AU46),0,AU154)</f>
        <v>0</v>
      </c>
      <c r="AV65" s="211">
        <f>IF(ISNUMBER(AV46),0,AV154)</f>
        <v>0</v>
      </c>
      <c r="AW65" s="211">
        <f>IF(ISNUMBER(AW46),0,AW154)</f>
        <v>0</v>
      </c>
      <c r="AX65" s="211">
        <f>IF(ISNUMBER(AX46),0,AX154)</f>
        <v>0</v>
      </c>
      <c r="AY65" s="211">
        <f>IF(ISNUMBER(AY46),0,AY154)</f>
        <v>0</v>
      </c>
      <c r="AZ65" s="211">
        <f>IF(ISNUMBER(AZ46),0,AZ154)</f>
        <v>0</v>
      </c>
      <c r="BA65" s="211">
        <f>IF(ISNUMBER(BA46),0,BA154)</f>
        <v>0</v>
      </c>
      <c r="BB65" s="211">
        <f>IF(ISNUMBER(BB46),0,BB154)</f>
        <v>0</v>
      </c>
      <c r="BC65" s="211">
        <f>IF(ISNUMBER(BC46),0,BC154)</f>
        <v>0</v>
      </c>
      <c r="BD65" s="211">
        <f>IF(ISNUMBER(BD46),0,BD154)</f>
        <v>0</v>
      </c>
      <c r="BE65" s="211">
        <f>IF(ISNUMBER(BE46),0,BE154)</f>
        <v>0</v>
      </c>
      <c r="BF65" s="211">
        <f>IF(ISNUMBER(BF46),0,BF154)</f>
        <v>0</v>
      </c>
      <c r="BG65" s="211">
        <f>IF(ISNUMBER(BG46),0,BG154)</f>
        <v>0</v>
      </c>
      <c r="BH65" s="211">
        <f>IF(ISNUMBER(BH46),0,BH154)</f>
        <v>0</v>
      </c>
      <c r="BI65" s="211">
        <f>IF(ISNUMBER(BI46),0,BI154)</f>
        <v>0</v>
      </c>
      <c r="BJ65" s="211">
        <f>IF(ISNUMBER(BJ46),0,BJ154)</f>
        <v>0</v>
      </c>
      <c r="BK65" s="211">
        <f>IF(ISNUMBER(BK46),0,BK154)</f>
        <v>0</v>
      </c>
      <c r="BL65" s="211">
        <f>IF(ISNUMBER(BL46),0,BL154)</f>
        <v>0</v>
      </c>
      <c r="BM65" s="211">
        <f>IF(ISNUMBER(BM46),0,BM154)</f>
        <v>0</v>
      </c>
      <c r="BN65" s="211">
        <f>IF(ISNUMBER(BN46),0,BN154)</f>
        <v>0</v>
      </c>
      <c r="BO65" s="211">
        <f>IF(ISNUMBER(BO46),0,BO154)</f>
        <v>0</v>
      </c>
      <c r="BP65" s="211">
        <f>IF(ISNUMBER(BP46),0,BP154)</f>
        <v>0</v>
      </c>
      <c r="BQ65" s="211">
        <f>IF(ISNUMBER(BQ46),0,BQ154)</f>
        <v>0</v>
      </c>
      <c r="BR65" s="211">
        <f>IF(ISNUMBER(BR46),0,BR154)</f>
        <v>0</v>
      </c>
      <c r="BS65" s="211">
        <f>IF(ISNUMBER(BS46),0,BS154)</f>
        <v>0</v>
      </c>
      <c r="BT65" s="211">
        <f>IF(ISNUMBER(BT46),0,BT154)</f>
        <v>0</v>
      </c>
      <c r="BU65" s="211">
        <f>IF(ISNUMBER(BU46),0,BU154)</f>
        <v>0</v>
      </c>
      <c r="BV65" s="211">
        <f>IF(ISNUMBER(BV46),0,BV154)</f>
        <v>0</v>
      </c>
      <c r="BW65" s="211">
        <f>IF(ISNUMBER(BW46),0,BW154)</f>
        <v>0</v>
      </c>
      <c r="BX65" s="211">
        <f>IF(ISNUMBER(BX46),0,BX154)</f>
        <v>0</v>
      </c>
      <c r="BY65" s="35" t="n"/>
      <c r="BZ65" s="35" t="n"/>
      <c r="CA65" s="35" t="n"/>
      <c r="CB65" s="35" t="n"/>
      <c r="CC65" s="35" t="n"/>
      <c r="CD65" s="35" t="n"/>
      <c r="CE65" s="35" t="n"/>
      <c r="CF65" s="19" t="n"/>
      <c r="CN65" s="25" t="inlineStr">
        <is>
          <t xml:space="preserve">  2030E</t>
        </is>
      </c>
      <c r="CO65" s="33">
        <f>CP65+$CO$61</f>
        <v>0.08</v>
      </c>
      <c r="CP65" s="258" t="n">
        <v>0.06</v>
      </c>
      <c r="CQ65" s="33">
        <f>CP65+$CQ$61</f>
        <v>0.03</v>
      </c>
    </row>
    <row r="66" ht="15" customHeight="1" s="251">
      <c r="B66" s="57" t="inlineStr">
        <is>
          <t xml:space="preserve">  Check: segment net sales vs consolidated (should be 0)</t>
        </is>
      </c>
      <c r="C66" s="211">
        <f>IF(ABS(N(C44)+N(C50)+N(C56)+C64-C144)&lt;=1.01,0,ROUND(N(C44)+N(C50)+N(C56)+C64-C144,0))</f>
        <v>0</v>
      </c>
      <c r="D66" s="211">
        <f>IF(ABS(N(D44)+N(D50)+N(D56)+D64-D144)&lt;=1.01,0,ROUND(N(D44)+N(D50)+N(D56)+D64-D144,0))</f>
        <v>0</v>
      </c>
      <c r="E66" s="211">
        <f>IF(ABS(N(E44)+N(E50)+N(E56)+E64-E144)&lt;=1.01,0,ROUND(N(E44)+N(E50)+N(E56)+E64-E144,0))</f>
        <v>0</v>
      </c>
      <c r="F66" s="211">
        <f>IF(ABS(N(F44)+N(F50)+N(F56)+F64-F144)&lt;=1.01,0,ROUND(N(F44)+N(F50)+N(F56)+F64-F144,0))</f>
        <v>0</v>
      </c>
      <c r="G66" s="211">
        <f>IF(ABS(N(G44)+N(G50)+N(G56)+G64-G144)&lt;=1.01,0,ROUND(N(G44)+N(G50)+N(G56)+G64-G144,0))</f>
        <v>0</v>
      </c>
      <c r="H66" s="211">
        <f>IF(ABS(N(H44)+N(H50)+N(H56)+H64-H144)&lt;=1.01,0,ROUND(N(H44)+N(H50)+N(H56)+H64-H144,0))</f>
        <v>0</v>
      </c>
      <c r="I66" s="211">
        <f>IF(ABS(N(I44)+N(I50)+N(I56)+I64-I144)&lt;=1.01,0,ROUND(N(I44)+N(I50)+N(I56)+I64-I144,0))</f>
        <v>0</v>
      </c>
      <c r="J66" s="211">
        <f>IF(ABS(N(J44)+N(J50)+N(J56)+J64-J144)&lt;=1.01,0,ROUND(N(J44)+N(J50)+N(J56)+J64-J144,0))</f>
        <v>0</v>
      </c>
      <c r="K66" s="211">
        <f>IF(ABS(N(K44)+N(K50)+N(K56)+K64-K144)&lt;=1.01,0,ROUND(N(K44)+N(K50)+N(K56)+K64-K144,0))</f>
        <v>0</v>
      </c>
      <c r="L66" s="211">
        <f>IF(ABS(N(L44)+N(L50)+N(L56)+L64-L144)&lt;=1.01,0,ROUND(N(L44)+N(L50)+N(L56)+L64-L144,0))</f>
        <v>0</v>
      </c>
      <c r="M66" s="211">
        <f>IF(ABS(N(M44)+N(M50)+N(M56)+M64-M144)&lt;=1.01,0,ROUND(N(M44)+N(M50)+N(M56)+M64-M144,0))</f>
        <v>0</v>
      </c>
      <c r="N66" s="211">
        <f>IF(ABS(N(N44)+N(N50)+N(N56)+N64-N144)&lt;=1.01,0,ROUND(N(N44)+N(N50)+N(N56)+N64-N144,0))</f>
        <v>0</v>
      </c>
      <c r="O66" s="211">
        <f>IF(ABS(N(O44)+N(O50)+N(O56)+O64-O144)&lt;=1.01,0,ROUND(N(O44)+N(O50)+N(O56)+O64-O144,0))</f>
        <v>0</v>
      </c>
      <c r="P66" s="211">
        <f>IF(ABS(N(P44)+N(P50)+N(P56)+P64-P144)&lt;=1.01,0,ROUND(N(P44)+N(P50)+N(P56)+P64-P144,0))</f>
        <v>0</v>
      </c>
      <c r="Q66" s="211">
        <f>IF(ABS(N(Q44)+N(Q50)+N(Q56)+Q64-Q144)&lt;=1.01,0,ROUND(N(Q44)+N(Q50)+N(Q56)+Q64-Q144,0))</f>
        <v>0</v>
      </c>
      <c r="R66" s="211">
        <f>IF(ABS(N(R44)+N(R50)+N(R56)+R64-R144)&lt;=1.01,0,ROUND(N(R44)+N(R50)+N(R56)+R64-R144,0))</f>
        <v>0</v>
      </c>
      <c r="S66" s="211">
        <f>IF(ABS(N(S44)+N(S50)+N(S56)+S64-S144)&lt;=1.01,0,ROUND(N(S44)+N(S50)+N(S56)+S64-S144,0))</f>
        <v>0</v>
      </c>
      <c r="T66" s="211">
        <f>IF(ABS(N(T44)+N(T50)+N(T56)+T64-T144)&lt;=1.01,0,ROUND(N(T44)+N(T50)+N(T56)+T64-T144,0))</f>
        <v>0</v>
      </c>
      <c r="U66" s="211">
        <f>IF(ABS(N(U44)+N(U50)+N(U56)+U64-U144)&lt;=1.01,0,ROUND(N(U44)+N(U50)+N(U56)+U64-U144,0))</f>
        <v>0</v>
      </c>
      <c r="V66" s="211">
        <f>IF(ABS(N(V44)+N(V50)+N(V56)+V64-V144)&lt;=1.01,0,ROUND(N(V44)+N(V50)+N(V56)+V64-V144,0))</f>
        <v>0</v>
      </c>
      <c r="W66" s="211">
        <f>IF(ABS(N(W44)+N(W50)+N(W56)+W64-W144)&lt;=1.01,0,ROUND(N(W44)+N(W50)+N(W56)+W64-W144,0))</f>
        <v>0</v>
      </c>
      <c r="X66" s="211">
        <f>IF(ABS(N(X44)+N(X50)+N(X56)+X64-X144)&lt;=1.01,0,ROUND(N(X44)+N(X50)+N(X56)+X64-X144,0))</f>
        <v>0</v>
      </c>
      <c r="Y66" s="211">
        <f>IF(ABS(N(Y44)+N(Y50)+N(Y56)+Y64-Y144)&lt;=1.01,0,ROUND(N(Y44)+N(Y50)+N(Y56)+Y64-Y144,0))</f>
        <v>0</v>
      </c>
      <c r="Z66" s="211">
        <f>IF(ABS(N(Z44)+N(Z50)+N(Z56)+Z64-Z144)&lt;=1.01,0,ROUND(N(Z44)+N(Z50)+N(Z56)+Z64-Z144,0))</f>
        <v>0</v>
      </c>
      <c r="AA66" s="211">
        <f>IF(ABS(N(AA44)+N(AA50)+N(AA56)+AA64-AA144)&lt;=1.01,0,ROUND(N(AA44)+N(AA50)+N(AA56)+AA64-AA144,0))</f>
        <v>0</v>
      </c>
      <c r="AB66" s="211">
        <f>IF(ABS(N(AB44)+N(AB50)+N(AB56)+AB64-AB144)&lt;=1.01,0,ROUND(N(AB44)+N(AB50)+N(AB56)+AB64-AB144,0))</f>
        <v>0</v>
      </c>
      <c r="AC66" s="211">
        <f>IF(ABS(N(AC44)+N(AC50)+N(AC56)+AC64-AC144)&lt;=1.01,0,ROUND(N(AC44)+N(AC50)+N(AC56)+AC64-AC144,0))</f>
        <v>0</v>
      </c>
      <c r="AD66" s="211">
        <f>IF(ABS(N(AD44)+N(AD50)+N(AD56)+AD64-AD144)&lt;=1.01,0,ROUND(N(AD44)+N(AD50)+N(AD56)+AD64-AD144,0))</f>
        <v>0</v>
      </c>
      <c r="AE66" s="211">
        <f>IF(ABS(N(AE44)+N(AE50)+N(AE56)+AE64-AE144)&lt;=1.01,0,ROUND(N(AE44)+N(AE50)+N(AE56)+AE64-AE144,0))</f>
        <v>0</v>
      </c>
      <c r="AF66" s="211">
        <f>IF(ABS(N(AF44)+N(AF50)+N(AF56)+AF64-AF144)&lt;=1.01,0,ROUND(N(AF44)+N(AF50)+N(AF56)+AF64-AF144,0))</f>
        <v>0</v>
      </c>
      <c r="AG66" s="211">
        <f>IF(ABS(N(AG44)+N(AG50)+N(AG56)+AG64-AG144)&lt;=1.01,0,ROUND(N(AG44)+N(AG50)+N(AG56)+AG64-AG144,0))</f>
        <v>0</v>
      </c>
      <c r="AH66" s="211">
        <f>IF(ABS(N(AH44)+N(AH50)+N(AH56)+AH64-AH144)&lt;=1.01,0,ROUND(N(AH44)+N(AH50)+N(AH56)+AH64-AH144,0))</f>
        <v>0</v>
      </c>
      <c r="AI66" s="211">
        <f>IF(ABS(N(AI44)+N(AI50)+N(AI56)+AI64-AI144)&lt;=1.01,0,ROUND(N(AI44)+N(AI50)+N(AI56)+AI64-AI144,0))</f>
        <v>0</v>
      </c>
      <c r="AJ66" s="211">
        <f>IF(ABS(N(AJ44)+N(AJ50)+N(AJ56)+AJ64-AJ144)&lt;=1.01,0,ROUND(N(AJ44)+N(AJ50)+N(AJ56)+AJ64-AJ144,0))</f>
        <v>0</v>
      </c>
      <c r="AK66" s="211">
        <f>IF(ABS(N(AK44)+N(AK50)+N(AK56)+AK64-AK144)&lt;=1.01,0,ROUND(N(AK44)+N(AK50)+N(AK56)+AK64-AK144,0))</f>
        <v>0</v>
      </c>
      <c r="AL66" s="211">
        <f>IF(ABS(N(AL44)+N(AL50)+N(AL56)+AL64-AL144)&lt;=1.01,0,ROUND(N(AL44)+N(AL50)+N(AL56)+AL64-AL144,0))</f>
        <v>0</v>
      </c>
      <c r="AM66" s="211">
        <f>IF(ABS(N(AM44)+N(AM50)+N(AM56)+AM64-AM144)&lt;=1.01,0,ROUND(N(AM44)+N(AM50)+N(AM56)+AM64-AM144,0))</f>
        <v>0</v>
      </c>
      <c r="AN66" s="211">
        <f>IF(ABS(N(AN44)+N(AN50)+N(AN56)+AN64-AN144)&lt;=1.01,0,ROUND(N(AN44)+N(AN50)+N(AN56)+AN64-AN144,0))</f>
        <v>0</v>
      </c>
      <c r="AO66" s="211">
        <f>IF(ABS(N(AO44)+N(AO50)+N(AO56)+AO64-AO144)&lt;=1.01,0,ROUND(N(AO44)+N(AO50)+N(AO56)+AO64-AO144,0))</f>
        <v>0</v>
      </c>
      <c r="AP66" s="211">
        <f>IF(ABS(N(AP44)+N(AP50)+N(AP56)+AP64-AP144)&lt;=1.01,0,ROUND(N(AP44)+N(AP50)+N(AP56)+AP64-AP144,0))</f>
        <v>0</v>
      </c>
      <c r="AQ66" s="211">
        <f>IF(ABS(N(AQ44)+N(AQ50)+N(AQ56)+AQ64-AQ144)&lt;=1.01,0,ROUND(N(AQ44)+N(AQ50)+N(AQ56)+AQ64-AQ144,0))</f>
        <v>0</v>
      </c>
      <c r="AR66" s="211">
        <f>IF(ABS(N(AR44)+N(AR50)+N(AR56)+AR64-AR144)&lt;=1.01,0,ROUND(N(AR44)+N(AR50)+N(AR56)+AR64-AR144,0))</f>
        <v>0</v>
      </c>
      <c r="AS66" s="211">
        <f>IF(ABS(N(AS44)+N(AS50)+N(AS56)+AS64-AS144)&lt;=1.01,0,ROUND(N(AS44)+N(AS50)+N(AS56)+AS64-AS144,0))</f>
        <v>0</v>
      </c>
      <c r="AT66" s="211">
        <f>IF(ABS(N(AT44)+N(AT50)+N(AT56)+AT64-AT144)&lt;=1.01,0,ROUND(N(AT44)+N(AT50)+N(AT56)+AT64-AT144,0))</f>
        <v>0</v>
      </c>
      <c r="AU66" s="211">
        <f>IF(ABS(N(AU44)+N(AU50)+N(AU56)+AU64-AU144)&lt;=1.01,0,ROUND(N(AU44)+N(AU50)+N(AU56)+AU64-AU144,0))</f>
        <v>0</v>
      </c>
      <c r="AV66" s="211">
        <f>IF(ABS(N(AV44)+N(AV50)+N(AV56)+AV64-AV144)&lt;=1.01,0,ROUND(N(AV44)+N(AV50)+N(AV56)+AV64-AV144,0))</f>
        <v>0</v>
      </c>
      <c r="AW66" s="211">
        <f>IF(ABS(N(AW44)+N(AW50)+N(AW56)+AW64-AW144)&lt;=1.01,0,ROUND(N(AW44)+N(AW50)+N(AW56)+AW64-AW144,0))</f>
        <v>0</v>
      </c>
      <c r="AX66" s="211">
        <f>IF(ABS(N(AX44)+N(AX50)+N(AX56)+AX64-AX144)&lt;=1.01,0,ROUND(N(AX44)+N(AX50)+N(AX56)+AX64-AX144,0))</f>
        <v>0</v>
      </c>
      <c r="AY66" s="211">
        <f>IF(ABS(N(AY44)+N(AY50)+N(AY56)+AY64-AY144)&lt;=1.01,0,ROUND(N(AY44)+N(AY50)+N(AY56)+AY64-AY144,0))</f>
        <v>0</v>
      </c>
      <c r="AZ66" s="211">
        <f>IF(ABS(N(AZ44)+N(AZ50)+N(AZ56)+AZ64-AZ144)&lt;=1.01,0,ROUND(N(AZ44)+N(AZ50)+N(AZ56)+AZ64-AZ144,0))</f>
        <v>0</v>
      </c>
      <c r="BA66" s="211">
        <f>IF(ABS(N(BA44)+N(BA50)+N(BA56)+BA64-BA144)&lt;=1.01,0,ROUND(N(BA44)+N(BA50)+N(BA56)+BA64-BA144,0))</f>
        <v>0</v>
      </c>
      <c r="BB66" s="211">
        <f>IF(ABS(N(BB44)+N(BB50)+N(BB56)+BB64-BB144)&lt;=1.01,0,ROUND(N(BB44)+N(BB50)+N(BB56)+BB64-BB144,0))</f>
        <v>0</v>
      </c>
      <c r="BC66" s="211">
        <f>IF(ABS(N(BC44)+N(BC50)+N(BC56)+BC64-BC144)&lt;=1.01,0,ROUND(N(BC44)+N(BC50)+N(BC56)+BC64-BC144,0))</f>
        <v>0</v>
      </c>
      <c r="BD66" s="211">
        <f>IF(ABS(N(BD44)+N(BD50)+N(BD56)+BD64-BD144)&lt;=1.01,0,ROUND(N(BD44)+N(BD50)+N(BD56)+BD64-BD144,0))</f>
        <v>0</v>
      </c>
      <c r="BE66" s="211">
        <f>IF(ABS(N(BE44)+N(BE50)+N(BE56)+BE64-BE144)&lt;=1.01,0,ROUND(N(BE44)+N(BE50)+N(BE56)+BE64-BE144,0))</f>
        <v>0</v>
      </c>
      <c r="BF66" s="211">
        <f>IF(ABS(N(BF44)+N(BF50)+N(BF56)+BF64-BF144)&lt;=1.01,0,ROUND(N(BF44)+N(BF50)+N(BF56)+BF64-BF144,0))</f>
        <v>0</v>
      </c>
      <c r="BG66" s="211">
        <f>IF(ABS(N(BG44)+N(BG50)+N(BG56)+BG64-BG144)&lt;=1.01,0,ROUND(N(BG44)+N(BG50)+N(BG56)+BG64-BG144,0))</f>
        <v>0</v>
      </c>
      <c r="BH66" s="211">
        <f>IF(ABS(N(BH44)+N(BH50)+N(BH56)+BH64-BH144)&lt;=1.01,0,ROUND(N(BH44)+N(BH50)+N(BH56)+BH64-BH144,0))</f>
        <v>0</v>
      </c>
      <c r="BI66" s="211">
        <f>IF(ABS(N(BI44)+N(BI50)+N(BI56)+BI64-BI144)&lt;=1.01,0,ROUND(N(BI44)+N(BI50)+N(BI56)+BI64-BI144,0))</f>
        <v>0</v>
      </c>
      <c r="BJ66" s="211">
        <f>IF(ABS(N(BJ44)+N(BJ50)+N(BJ56)+BJ64-BJ144)&lt;=1.01,0,ROUND(N(BJ44)+N(BJ50)+N(BJ56)+BJ64-BJ144,0))</f>
        <v>0</v>
      </c>
      <c r="BK66" s="211">
        <f>IF(ABS(N(BK44)+N(BK50)+N(BK56)+BK64-BK144)&lt;=1.01,0,ROUND(N(BK44)+N(BK50)+N(BK56)+BK64-BK144,0))</f>
        <v>0</v>
      </c>
      <c r="BL66" s="211">
        <f>IF(ABS(N(BL44)+N(BL50)+N(BL56)+BL64-BL144)&lt;=1.01,0,ROUND(N(BL44)+N(BL50)+N(BL56)+BL64-BL144,0))</f>
        <v>0</v>
      </c>
      <c r="BM66" s="211">
        <f>IF(ABS(N(BM44)+N(BM50)+N(BM56)+BM64-BM144)&lt;=1.01,0,ROUND(N(BM44)+N(BM50)+N(BM56)+BM64-BM144,0))</f>
        <v>0</v>
      </c>
      <c r="BN66" s="211">
        <f>IF(ABS(N(BN44)+N(BN50)+N(BN56)+BN64-BN144)&lt;=1.01,0,ROUND(N(BN44)+N(BN50)+N(BN56)+BN64-BN144,0))</f>
        <v>0</v>
      </c>
      <c r="BO66" s="211">
        <f>IF(ABS(N(BO44)+N(BO50)+N(BO56)+BO64-BO144)&lt;=1.01,0,ROUND(N(BO44)+N(BO50)+N(BO56)+BO64-BO144,0))</f>
        <v>0</v>
      </c>
      <c r="BP66" s="211">
        <f>IF(ABS(N(BP44)+N(BP50)+N(BP56)+BP64-BP144)&lt;=1.01,0,ROUND(N(BP44)+N(BP50)+N(BP56)+BP64-BP144,0))</f>
        <v>0</v>
      </c>
      <c r="BQ66" s="211">
        <f>IF(ABS(N(BQ44)+N(BQ50)+N(BQ56)+BQ64-BQ144)&lt;=1.01,0,ROUND(N(BQ44)+N(BQ50)+N(BQ56)+BQ64-BQ144,0))</f>
        <v>0</v>
      </c>
      <c r="BR66" s="211">
        <f>IF(ABS(N(BR44)+N(BR50)+N(BR56)+BR64-BR144)&lt;=1.01,0,ROUND(N(BR44)+N(BR50)+N(BR56)+BR64-BR144,0))</f>
        <v>0</v>
      </c>
      <c r="BS66" s="211">
        <f>IF(ABS(N(BS44)+N(BS50)+N(BS56)+BS64-BS144)&lt;=1.01,0,ROUND(N(BS44)+N(BS50)+N(BS56)+BS64-BS144,0))</f>
        <v>0</v>
      </c>
      <c r="BT66" s="211">
        <f>IF(ABS(N(BT44)+N(BT50)+N(BT56)+BT64-BT144)&lt;=1.01,0,ROUND(N(BT44)+N(BT50)+N(BT56)+BT64-BT144,0))</f>
        <v>0</v>
      </c>
      <c r="BU66" s="211">
        <f>IF(ABS(N(BU44)+N(BU50)+N(BU56)+BU64-BU144)&lt;=1.01,0,ROUND(N(BU44)+N(BU50)+N(BU56)+BU64-BU144,0))</f>
        <v>0</v>
      </c>
      <c r="BV66" s="211">
        <f>IF(ABS(N(BV44)+N(BV50)+N(BV56)+BV64-BV144)&lt;=1.01,0,ROUND(N(BV44)+N(BV50)+N(BV56)+BV64-BV144,0))</f>
        <v>0</v>
      </c>
      <c r="BW66" s="211">
        <f>IF(ABS(N(BW44)+N(BW50)+N(BW56)+BW64-BW144)&lt;=1.01,0,ROUND(N(BW44)+N(BW50)+N(BW56)+BW64-BW144,0))</f>
        <v>0</v>
      </c>
      <c r="BX66" s="211">
        <f>IF(ABS(N(BX44)+N(BX50)+N(BX56)+BX64-BX144)&lt;=1.01,0,ROUND(N(BX44)+N(BX50)+N(BX56)+BX64-BX144,0))</f>
        <v>0</v>
      </c>
      <c r="BY66" s="153" t="n"/>
      <c r="BZ66" s="153" t="n"/>
      <c r="CA66" s="153" t="n"/>
      <c r="CB66" s="153" t="n"/>
      <c r="CC66" s="153" t="n"/>
      <c r="CD66" s="153" t="n"/>
      <c r="CE66" s="153" t="n"/>
      <c r="CF66" s="153" t="n"/>
      <c r="CN66" s="15" t="inlineStr">
        <is>
          <t>NA_M (North America segment margin)</t>
        </is>
      </c>
      <c r="CO66" s="261" t="n">
        <v>0.01</v>
      </c>
      <c r="CP66" s="21" t="inlineStr">
        <is>
          <t>Δ →</t>
        </is>
      </c>
      <c r="CQ66" s="261" t="n">
        <v>-0.015</v>
      </c>
      <c r="CR66" s="13" t="inlineStr">
        <is>
          <t>FY2025 6.9% (7.5% ex the $2.5bn FTC charge); 1H-26 7.9%. Regionalised fulfilment, advertising mix vs quick-commerce and Leo investment.</t>
        </is>
      </c>
    </row>
    <row r="67" ht="15" customHeight="1" s="251">
      <c r="B67" s="57" t="inlineStr">
        <is>
          <t xml:space="preserve">  Check: Σ segment OI + unallocated vs consolidated operating income (should be 0)</t>
        </is>
      </c>
      <c r="C67" s="211">
        <f>IF(ABS(N(C46)+N(C52)+N(C58)+N(C63)+C65-C154)&lt;=1.01,0,ROUND(N(C46)+N(C52)+N(C58)+N(C63)+C65-C154,0))</f>
        <v>0</v>
      </c>
      <c r="D67" s="211">
        <f>IF(ABS(N(D46)+N(D52)+N(D58)+N(D63)+D65-D154)&lt;=1.01,0,ROUND(N(D46)+N(D52)+N(D58)+N(D63)+D65-D154,0))</f>
        <v>0</v>
      </c>
      <c r="E67" s="211">
        <f>IF(ABS(N(E46)+N(E52)+N(E58)+N(E63)+E65-E154)&lt;=1.01,0,ROUND(N(E46)+N(E52)+N(E58)+N(E63)+E65-E154,0))</f>
        <v>0</v>
      </c>
      <c r="F67" s="211">
        <f>IF(ABS(N(F46)+N(F52)+N(F58)+N(F63)+F65-F154)&lt;=1.01,0,ROUND(N(F46)+N(F52)+N(F58)+N(F63)+F65-F154,0))</f>
        <v>0</v>
      </c>
      <c r="G67" s="211">
        <f>IF(ABS(N(G46)+N(G52)+N(G58)+N(G63)+G65-G154)&lt;=1.01,0,ROUND(N(G46)+N(G52)+N(G58)+N(G63)+G65-G154,0))</f>
        <v>0</v>
      </c>
      <c r="H67" s="211">
        <f>IF(ABS(N(H46)+N(H52)+N(H58)+N(H63)+H65-H154)&lt;=1.01,0,ROUND(N(H46)+N(H52)+N(H58)+N(H63)+H65-H154,0))</f>
        <v>0</v>
      </c>
      <c r="I67" s="211">
        <f>IF(ABS(N(I46)+N(I52)+N(I58)+N(I63)+I65-I154)&lt;=1.01,0,ROUND(N(I46)+N(I52)+N(I58)+N(I63)+I65-I154,0))</f>
        <v>0</v>
      </c>
      <c r="J67" s="211">
        <f>IF(ABS(N(J46)+N(J52)+N(J58)+N(J63)+J65-J154)&lt;=1.01,0,ROUND(N(J46)+N(J52)+N(J58)+N(J63)+J65-J154,0))</f>
        <v>0</v>
      </c>
      <c r="K67" s="211">
        <f>IF(ABS(N(K46)+N(K52)+N(K58)+N(K63)+K65-K154)&lt;=1.01,0,ROUND(N(K46)+N(K52)+N(K58)+N(K63)+K65-K154,0))</f>
        <v>0</v>
      </c>
      <c r="L67" s="211">
        <f>IF(ABS(N(L46)+N(L52)+N(L58)+N(L63)+L65-L154)&lt;=1.01,0,ROUND(N(L46)+N(L52)+N(L58)+N(L63)+L65-L154,0))</f>
        <v>0</v>
      </c>
      <c r="M67" s="211">
        <f>IF(ABS(N(M46)+N(M52)+N(M58)+N(M63)+M65-M154)&lt;=1.01,0,ROUND(N(M46)+N(M52)+N(M58)+N(M63)+M65-M154,0))</f>
        <v>0</v>
      </c>
      <c r="N67" s="211">
        <f>IF(ABS(N(N46)+N(N52)+N(N58)+N(N63)+N65-N154)&lt;=1.01,0,ROUND(N(N46)+N(N52)+N(N58)+N(N63)+N65-N154,0))</f>
        <v>0</v>
      </c>
      <c r="O67" s="211">
        <f>IF(ABS(N(O46)+N(O52)+N(O58)+N(O63)+O65-O154)&lt;=1.01,0,ROUND(N(O46)+N(O52)+N(O58)+N(O63)+O65-O154,0))</f>
        <v>0</v>
      </c>
      <c r="P67" s="211">
        <f>IF(ABS(N(P46)+N(P52)+N(P58)+N(P63)+P65-P154)&lt;=1.01,0,ROUND(N(P46)+N(P52)+N(P58)+N(P63)+P65-P154,0))</f>
        <v>0</v>
      </c>
      <c r="Q67" s="211">
        <f>IF(ABS(N(Q46)+N(Q52)+N(Q58)+N(Q63)+Q65-Q154)&lt;=1.01,0,ROUND(N(Q46)+N(Q52)+N(Q58)+N(Q63)+Q65-Q154,0))</f>
        <v>0</v>
      </c>
      <c r="R67" s="211">
        <f>IF(ABS(N(R46)+N(R52)+N(R58)+N(R63)+R65-R154)&lt;=1.01,0,ROUND(N(R46)+N(R52)+N(R58)+N(R63)+R65-R154,0))</f>
        <v>0</v>
      </c>
      <c r="S67" s="211">
        <f>IF(ABS(N(S46)+N(S52)+N(S58)+N(S63)+S65-S154)&lt;=1.01,0,ROUND(N(S46)+N(S52)+N(S58)+N(S63)+S65-S154,0))</f>
        <v>0</v>
      </c>
      <c r="T67" s="211">
        <f>IF(ABS(N(T46)+N(T52)+N(T58)+N(T63)+T65-T154)&lt;=1.01,0,ROUND(N(T46)+N(T52)+N(T58)+N(T63)+T65-T154,0))</f>
        <v>0</v>
      </c>
      <c r="U67" s="211">
        <f>IF(ABS(N(U46)+N(U52)+N(U58)+N(U63)+U65-U154)&lt;=1.01,0,ROUND(N(U46)+N(U52)+N(U58)+N(U63)+U65-U154,0))</f>
        <v>0</v>
      </c>
      <c r="V67" s="211">
        <f>IF(ABS(N(V46)+N(V52)+N(V58)+N(V63)+V65-V154)&lt;=1.01,0,ROUND(N(V46)+N(V52)+N(V58)+N(V63)+V65-V154,0))</f>
        <v>0</v>
      </c>
      <c r="W67" s="211">
        <f>IF(ABS(N(W46)+N(W52)+N(W58)+N(W63)+W65-W154)&lt;=1.01,0,ROUND(N(W46)+N(W52)+N(W58)+N(W63)+W65-W154,0))</f>
        <v>0</v>
      </c>
      <c r="X67" s="211">
        <f>IF(ABS(N(X46)+N(X52)+N(X58)+N(X63)+X65-X154)&lt;=1.01,0,ROUND(N(X46)+N(X52)+N(X58)+N(X63)+X65-X154,0))</f>
        <v>0</v>
      </c>
      <c r="Y67" s="211">
        <f>IF(ABS(N(Y46)+N(Y52)+N(Y58)+N(Y63)+Y65-Y154)&lt;=1.01,0,ROUND(N(Y46)+N(Y52)+N(Y58)+N(Y63)+Y65-Y154,0))</f>
        <v>0</v>
      </c>
      <c r="Z67" s="211">
        <f>IF(ABS(N(Z46)+N(Z52)+N(Z58)+N(Z63)+Z65-Z154)&lt;=1.01,0,ROUND(N(Z46)+N(Z52)+N(Z58)+N(Z63)+Z65-Z154,0))</f>
        <v>0</v>
      </c>
      <c r="AA67" s="211">
        <f>IF(ABS(N(AA46)+N(AA52)+N(AA58)+N(AA63)+AA65-AA154)&lt;=1.01,0,ROUND(N(AA46)+N(AA52)+N(AA58)+N(AA63)+AA65-AA154,0))</f>
        <v>0</v>
      </c>
      <c r="AB67" s="211">
        <f>IF(ABS(N(AB46)+N(AB52)+N(AB58)+N(AB63)+AB65-AB154)&lt;=1.01,0,ROUND(N(AB46)+N(AB52)+N(AB58)+N(AB63)+AB65-AB154,0))</f>
        <v>0</v>
      </c>
      <c r="AC67" s="211">
        <f>IF(ABS(N(AC46)+N(AC52)+N(AC58)+N(AC63)+AC65-AC154)&lt;=1.01,0,ROUND(N(AC46)+N(AC52)+N(AC58)+N(AC63)+AC65-AC154,0))</f>
        <v>0</v>
      </c>
      <c r="AD67" s="211">
        <f>IF(ABS(N(AD46)+N(AD52)+N(AD58)+N(AD63)+AD65-AD154)&lt;=1.01,0,ROUND(N(AD46)+N(AD52)+N(AD58)+N(AD63)+AD65-AD154,0))</f>
        <v>0</v>
      </c>
      <c r="AE67" s="211">
        <f>IF(ABS(N(AE46)+N(AE52)+N(AE58)+N(AE63)+AE65-AE154)&lt;=1.01,0,ROUND(N(AE46)+N(AE52)+N(AE58)+N(AE63)+AE65-AE154,0))</f>
        <v>0</v>
      </c>
      <c r="AF67" s="211">
        <f>IF(ABS(N(AF46)+N(AF52)+N(AF58)+N(AF63)+AF65-AF154)&lt;=1.01,0,ROUND(N(AF46)+N(AF52)+N(AF58)+N(AF63)+AF65-AF154,0))</f>
        <v>0</v>
      </c>
      <c r="AG67" s="211">
        <f>IF(ABS(N(AG46)+N(AG52)+N(AG58)+N(AG63)+AG65-AG154)&lt;=1.01,0,ROUND(N(AG46)+N(AG52)+N(AG58)+N(AG63)+AG65-AG154,0))</f>
        <v>0</v>
      </c>
      <c r="AH67" s="211">
        <f>IF(ABS(N(AH46)+N(AH52)+N(AH58)+N(AH63)+AH65-AH154)&lt;=1.01,0,ROUND(N(AH46)+N(AH52)+N(AH58)+N(AH63)+AH65-AH154,0))</f>
        <v>0</v>
      </c>
      <c r="AI67" s="211">
        <f>IF(ABS(N(AI46)+N(AI52)+N(AI58)+N(AI63)+AI65-AI154)&lt;=1.01,0,ROUND(N(AI46)+N(AI52)+N(AI58)+N(AI63)+AI65-AI154,0))</f>
        <v>0</v>
      </c>
      <c r="AJ67" s="211">
        <f>IF(ABS(N(AJ46)+N(AJ52)+N(AJ58)+N(AJ63)+AJ65-AJ154)&lt;=1.01,0,ROUND(N(AJ46)+N(AJ52)+N(AJ58)+N(AJ63)+AJ65-AJ154,0))</f>
        <v>0</v>
      </c>
      <c r="AK67" s="211">
        <f>IF(ABS(N(AK46)+N(AK52)+N(AK58)+N(AK63)+AK65-AK154)&lt;=1.01,0,ROUND(N(AK46)+N(AK52)+N(AK58)+N(AK63)+AK65-AK154,0))</f>
        <v>0</v>
      </c>
      <c r="AL67" s="211">
        <f>IF(ABS(N(AL46)+N(AL52)+N(AL58)+N(AL63)+AL65-AL154)&lt;=1.01,0,ROUND(N(AL46)+N(AL52)+N(AL58)+N(AL63)+AL65-AL154,0))</f>
        <v>0</v>
      </c>
      <c r="AM67" s="211">
        <f>IF(ABS(N(AM46)+N(AM52)+N(AM58)+N(AM63)+AM65-AM154)&lt;=1.01,0,ROUND(N(AM46)+N(AM52)+N(AM58)+N(AM63)+AM65-AM154,0))</f>
        <v>0</v>
      </c>
      <c r="AN67" s="211">
        <f>IF(ABS(N(AN46)+N(AN52)+N(AN58)+N(AN63)+AN65-AN154)&lt;=1.01,0,ROUND(N(AN46)+N(AN52)+N(AN58)+N(AN63)+AN65-AN154,0))</f>
        <v>0</v>
      </c>
      <c r="AO67" s="211">
        <f>IF(ABS(N(AO46)+N(AO52)+N(AO58)+N(AO63)+AO65-AO154)&lt;=1.01,0,ROUND(N(AO46)+N(AO52)+N(AO58)+N(AO63)+AO65-AO154,0))</f>
        <v>0</v>
      </c>
      <c r="AP67" s="211">
        <f>IF(ABS(N(AP46)+N(AP52)+N(AP58)+N(AP63)+AP65-AP154)&lt;=1.01,0,ROUND(N(AP46)+N(AP52)+N(AP58)+N(AP63)+AP65-AP154,0))</f>
        <v>0</v>
      </c>
      <c r="AQ67" s="211">
        <f>IF(ABS(N(AQ46)+N(AQ52)+N(AQ58)+N(AQ63)+AQ65-AQ154)&lt;=1.01,0,ROUND(N(AQ46)+N(AQ52)+N(AQ58)+N(AQ63)+AQ65-AQ154,0))</f>
        <v>0</v>
      </c>
      <c r="AR67" s="211">
        <f>IF(ABS(N(AR46)+N(AR52)+N(AR58)+N(AR63)+AR65-AR154)&lt;=1.01,0,ROUND(N(AR46)+N(AR52)+N(AR58)+N(AR63)+AR65-AR154,0))</f>
        <v>0</v>
      </c>
      <c r="AS67" s="211">
        <f>IF(ABS(N(AS46)+N(AS52)+N(AS58)+N(AS63)+AS65-AS154)&lt;=1.01,0,ROUND(N(AS46)+N(AS52)+N(AS58)+N(AS63)+AS65-AS154,0))</f>
        <v>0</v>
      </c>
      <c r="AT67" s="211">
        <f>IF(ABS(N(AT46)+N(AT52)+N(AT58)+N(AT63)+AT65-AT154)&lt;=1.01,0,ROUND(N(AT46)+N(AT52)+N(AT58)+N(AT63)+AT65-AT154,0))</f>
        <v>0</v>
      </c>
      <c r="AU67" s="211">
        <f>IF(ABS(N(AU46)+N(AU52)+N(AU58)+N(AU63)+AU65-AU154)&lt;=1.01,0,ROUND(N(AU46)+N(AU52)+N(AU58)+N(AU63)+AU65-AU154,0))</f>
        <v>0</v>
      </c>
      <c r="AV67" s="211">
        <f>IF(ABS(N(AV46)+N(AV52)+N(AV58)+N(AV63)+AV65-AV154)&lt;=1.01,0,ROUND(N(AV46)+N(AV52)+N(AV58)+N(AV63)+AV65-AV154,0))</f>
        <v>0</v>
      </c>
      <c r="AW67" s="211">
        <f>IF(ABS(N(AW46)+N(AW52)+N(AW58)+N(AW63)+AW65-AW154)&lt;=1.01,0,ROUND(N(AW46)+N(AW52)+N(AW58)+N(AW63)+AW65-AW154,0))</f>
        <v>0</v>
      </c>
      <c r="AX67" s="211">
        <f>IF(ABS(N(AX46)+N(AX52)+N(AX58)+N(AX63)+AX65-AX154)&lt;=1.01,0,ROUND(N(AX46)+N(AX52)+N(AX58)+N(AX63)+AX65-AX154,0))</f>
        <v>0</v>
      </c>
      <c r="AY67" s="211">
        <f>IF(ABS(N(AY46)+N(AY52)+N(AY58)+N(AY63)+AY65-AY154)&lt;=1.01,0,ROUND(N(AY46)+N(AY52)+N(AY58)+N(AY63)+AY65-AY154,0))</f>
        <v>0</v>
      </c>
      <c r="AZ67" s="211">
        <f>IF(ABS(N(AZ46)+N(AZ52)+N(AZ58)+N(AZ63)+AZ65-AZ154)&lt;=1.01,0,ROUND(N(AZ46)+N(AZ52)+N(AZ58)+N(AZ63)+AZ65-AZ154,0))</f>
        <v>0</v>
      </c>
      <c r="BA67" s="211">
        <f>IF(ABS(N(BA46)+N(BA52)+N(BA58)+N(BA63)+BA65-BA154)&lt;=1.01,0,ROUND(N(BA46)+N(BA52)+N(BA58)+N(BA63)+BA65-BA154,0))</f>
        <v>0</v>
      </c>
      <c r="BB67" s="211">
        <f>IF(ABS(N(BB46)+N(BB52)+N(BB58)+N(BB63)+BB65-BB154)&lt;=1.01,0,ROUND(N(BB46)+N(BB52)+N(BB58)+N(BB63)+BB65-BB154,0))</f>
        <v>0</v>
      </c>
      <c r="BC67" s="211">
        <f>IF(ABS(N(BC46)+N(BC52)+N(BC58)+N(BC63)+BC65-BC154)&lt;=1.01,0,ROUND(N(BC46)+N(BC52)+N(BC58)+N(BC63)+BC65-BC154,0))</f>
        <v>0</v>
      </c>
      <c r="BD67" s="211">
        <f>IF(ABS(N(BD46)+N(BD52)+N(BD58)+N(BD63)+BD65-BD154)&lt;=1.01,0,ROUND(N(BD46)+N(BD52)+N(BD58)+N(BD63)+BD65-BD154,0))</f>
        <v>0</v>
      </c>
      <c r="BE67" s="211">
        <f>IF(ABS(N(BE46)+N(BE52)+N(BE58)+N(BE63)+BE65-BE154)&lt;=1.01,0,ROUND(N(BE46)+N(BE52)+N(BE58)+N(BE63)+BE65-BE154,0))</f>
        <v>0</v>
      </c>
      <c r="BF67" s="211">
        <f>IF(ABS(N(BF46)+N(BF52)+N(BF58)+N(BF63)+BF65-BF154)&lt;=1.01,0,ROUND(N(BF46)+N(BF52)+N(BF58)+N(BF63)+BF65-BF154,0))</f>
        <v>0</v>
      </c>
      <c r="BG67" s="211">
        <f>IF(ABS(N(BG46)+N(BG52)+N(BG58)+N(BG63)+BG65-BG154)&lt;=1.01,0,ROUND(N(BG46)+N(BG52)+N(BG58)+N(BG63)+BG65-BG154,0))</f>
        <v>0</v>
      </c>
      <c r="BH67" s="211">
        <f>IF(ABS(N(BH46)+N(BH52)+N(BH58)+N(BH63)+BH65-BH154)&lt;=1.01,0,ROUND(N(BH46)+N(BH52)+N(BH58)+N(BH63)+BH65-BH154,0))</f>
        <v>0</v>
      </c>
      <c r="BI67" s="211">
        <f>IF(ABS(N(BI46)+N(BI52)+N(BI58)+N(BI63)+BI65-BI154)&lt;=1.01,0,ROUND(N(BI46)+N(BI52)+N(BI58)+N(BI63)+BI65-BI154,0))</f>
        <v>0</v>
      </c>
      <c r="BJ67" s="211">
        <f>IF(ABS(N(BJ46)+N(BJ52)+N(BJ58)+N(BJ63)+BJ65-BJ154)&lt;=1.01,0,ROUND(N(BJ46)+N(BJ52)+N(BJ58)+N(BJ63)+BJ65-BJ154,0))</f>
        <v>0</v>
      </c>
      <c r="BK67" s="211">
        <f>IF(ABS(N(BK46)+N(BK52)+N(BK58)+N(BK63)+BK65-BK154)&lt;=1.01,0,ROUND(N(BK46)+N(BK52)+N(BK58)+N(BK63)+BK65-BK154,0))</f>
        <v>0</v>
      </c>
      <c r="BL67" s="211">
        <f>IF(ABS(N(BL46)+N(BL52)+N(BL58)+N(BL63)+BL65-BL154)&lt;=1.01,0,ROUND(N(BL46)+N(BL52)+N(BL58)+N(BL63)+BL65-BL154,0))</f>
        <v>0</v>
      </c>
      <c r="BM67" s="211">
        <f>IF(ABS(N(BM46)+N(BM52)+N(BM58)+N(BM63)+BM65-BM154)&lt;=1.01,0,ROUND(N(BM46)+N(BM52)+N(BM58)+N(BM63)+BM65-BM154,0))</f>
        <v>0</v>
      </c>
      <c r="BN67" s="211">
        <f>IF(ABS(N(BN46)+N(BN52)+N(BN58)+N(BN63)+BN65-BN154)&lt;=1.01,0,ROUND(N(BN46)+N(BN52)+N(BN58)+N(BN63)+BN65-BN154,0))</f>
        <v>0</v>
      </c>
      <c r="BO67" s="211">
        <f>IF(ABS(N(BO46)+N(BO52)+N(BO58)+N(BO63)+BO65-BO154)&lt;=1.01,0,ROUND(N(BO46)+N(BO52)+N(BO58)+N(BO63)+BO65-BO154,0))</f>
        <v>0</v>
      </c>
      <c r="BP67" s="211">
        <f>IF(ABS(N(BP46)+N(BP52)+N(BP58)+N(BP63)+BP65-BP154)&lt;=1.01,0,ROUND(N(BP46)+N(BP52)+N(BP58)+N(BP63)+BP65-BP154,0))</f>
        <v>0</v>
      </c>
      <c r="BQ67" s="211">
        <f>IF(ABS(N(BQ46)+N(BQ52)+N(BQ58)+N(BQ63)+BQ65-BQ154)&lt;=1.01,0,ROUND(N(BQ46)+N(BQ52)+N(BQ58)+N(BQ63)+BQ65-BQ154,0))</f>
        <v>0</v>
      </c>
      <c r="BR67" s="211">
        <f>IF(ABS(N(BR46)+N(BR52)+N(BR58)+N(BR63)+BR65-BR154)&lt;=1.01,0,ROUND(N(BR46)+N(BR52)+N(BR58)+N(BR63)+BR65-BR154,0))</f>
        <v>0</v>
      </c>
      <c r="BS67" s="211">
        <f>IF(ABS(N(BS46)+N(BS52)+N(BS58)+N(BS63)+BS65-BS154)&lt;=1.01,0,ROUND(N(BS46)+N(BS52)+N(BS58)+N(BS63)+BS65-BS154,0))</f>
        <v>0</v>
      </c>
      <c r="BT67" s="211">
        <f>IF(ABS(N(BT46)+N(BT52)+N(BT58)+N(BT63)+BT65-BT154)&lt;=1.01,0,ROUND(N(BT46)+N(BT52)+N(BT58)+N(BT63)+BT65-BT154,0))</f>
        <v>0</v>
      </c>
      <c r="BU67" s="211">
        <f>IF(ABS(N(BU46)+N(BU52)+N(BU58)+N(BU63)+BU65-BU154)&lt;=1.01,0,ROUND(N(BU46)+N(BU52)+N(BU58)+N(BU63)+BU65-BU154,0))</f>
        <v>0</v>
      </c>
      <c r="BV67" s="211">
        <f>IF(ABS(N(BV46)+N(BV52)+N(BV58)+N(BV63)+BV65-BV154)&lt;=1.01,0,ROUND(N(BV46)+N(BV52)+N(BV58)+N(BV63)+BV65-BV154,0))</f>
        <v>0</v>
      </c>
      <c r="BW67" s="211">
        <f>IF(ABS(N(BW46)+N(BW52)+N(BW58)+N(BW63)+BW65-BW154)&lt;=1.01,0,ROUND(N(BW46)+N(BW52)+N(BW58)+N(BW63)+BW65-BW154,0))</f>
        <v>0</v>
      </c>
      <c r="BX67" s="211">
        <f>IF(ABS(N(BX46)+N(BX52)+N(BX58)+N(BX63)+BX65-BX154)&lt;=1.01,0,ROUND(N(BX46)+N(BX52)+N(BX58)+N(BX63)+BX65-BX154,0))</f>
        <v>0</v>
      </c>
      <c r="BY67" s="153" t="n"/>
      <c r="BZ67" s="153" t="n"/>
      <c r="CA67" s="153" t="n"/>
      <c r="CB67" s="153" t="n"/>
      <c r="CC67" s="153" t="n"/>
      <c r="CD67" s="153" t="n"/>
      <c r="CE67" s="153" t="n"/>
      <c r="CF67" s="153" t="n"/>
      <c r="CN67" s="25" t="inlineStr">
        <is>
          <t xml:space="preserve">  2027E</t>
        </is>
      </c>
      <c r="CO67" s="33">
        <f>CP67+$CO$66</f>
        <v>0.095</v>
      </c>
      <c r="CP67" s="258" t="n">
        <v>0.08500000000000001</v>
      </c>
      <c r="CQ67" s="33">
        <f>CP67+$CQ$66</f>
        <v>0.07</v>
      </c>
    </row>
    <row r="68" ht="15" customHeight="1" s="251">
      <c r="B68" s="57" t="inlineStr">
        <is>
          <t xml:space="preserve">  Check: AWS segment vs AWS product group (should be 0; ±2, FY = Σ quarters)</t>
        </is>
      </c>
      <c r="C68" s="211">
        <f>IF(AND(ISNUMBER(C56),ISNUMBER(C26)),IF(ABS(C56-C26)&lt;=2.01,0,ROUND(C56-C26,0)),"")</f>
      </c>
      <c r="D68" s="211">
        <f>IF(AND(ISNUMBER(D56),ISNUMBER(D26)),IF(ABS(D56-D26)&lt;=2.01,0,ROUND(D56-D26,0)),"")</f>
      </c>
      <c r="E68" s="211">
        <f>IF(AND(ISNUMBER(E56),ISNUMBER(E26)),IF(ABS(E56-E26)&lt;=2.01,0,ROUND(E56-E26,0)),"")</f>
      </c>
      <c r="F68" s="211">
        <f>IF(AND(ISNUMBER(F56),ISNUMBER(F26)),IF(ABS(F56-F26)&lt;=2.01,0,ROUND(F56-F26,0)),"")</f>
      </c>
      <c r="G68" s="211">
        <f>IF(AND(ISNUMBER(G56),ISNUMBER(G26)),IF(ABS(G56-G26)&lt;=2.01,0,ROUND(G56-G26,0)),"")</f>
      </c>
      <c r="H68" s="211">
        <f>IF(AND(ISNUMBER(H56),ISNUMBER(H26)),IF(ABS(H56-H26)&lt;=2.01,0,ROUND(H56-H26,0)),"")</f>
      </c>
      <c r="I68" s="211">
        <f>IF(AND(ISNUMBER(I56),ISNUMBER(I26)),IF(ABS(I56-I26)&lt;=2.01,0,ROUND(I56-I26,0)),"")</f>
      </c>
      <c r="J68" s="211">
        <f>IF(AND(ISNUMBER(J56),ISNUMBER(J26)),IF(ABS(J56-J26)&lt;=2.01,0,ROUND(J56-J26,0)),"")</f>
      </c>
      <c r="K68" s="211">
        <f>IF(AND(ISNUMBER(K56),ISNUMBER(K26)),IF(ABS(K56-K26)&lt;=2.01,0,ROUND(K56-K26,0)),"")</f>
      </c>
      <c r="L68" s="211">
        <f>IF(AND(ISNUMBER(L56),ISNUMBER(L26)),IF(ABS(L56-L26)&lt;=2.01,0,ROUND(L56-L26,0)),"")</f>
      </c>
      <c r="M68" s="211">
        <f>IF(AND(ISNUMBER(M56),ISNUMBER(M26)),IF(ABS(M56-M26)&lt;=2.01,0,ROUND(M56-M26,0)),"")</f>
      </c>
      <c r="N68" s="211">
        <f>IF(AND(ISNUMBER(N56),ISNUMBER(N26)),IF(ABS(N56-N26)&lt;=2.01,0,ROUND(N56-N26,0)),"")</f>
      </c>
      <c r="O68" s="211">
        <f>IF(AND(ISNUMBER(O56),ISNUMBER(O26)),IF(ABS(O56-O26)&lt;=2.01,0,ROUND(O56-O26,0)),"")</f>
      </c>
      <c r="P68" s="211">
        <f>IF(AND(ISNUMBER(P56),ISNUMBER(P26)),IF(ABS(P56-P26)&lt;=2.01,0,ROUND(P56-P26,0)),"")</f>
      </c>
      <c r="Q68" s="211">
        <f>IF(AND(ISNUMBER(Q56),ISNUMBER(Q26)),IF(ABS(Q56-Q26)&lt;=2.01,0,ROUND(Q56-Q26,0)),"")</f>
      </c>
      <c r="R68" s="211">
        <f>IF(AND(ISNUMBER(R56),ISNUMBER(R26)),IF(ABS(R56-R26)&lt;=2.01,0,ROUND(R56-R26,0)),"")</f>
      </c>
      <c r="S68" s="211">
        <f>IF(AND(ISNUMBER(S56),ISNUMBER(S26)),IF(ABS(S56-S26)&lt;=2.01,0,ROUND(S56-S26,0)),"")</f>
      </c>
      <c r="T68" s="211">
        <f>IF(AND(ISNUMBER(T56),ISNUMBER(T26)),IF(ABS(T56-T26)&lt;=2.01,0,ROUND(T56-T26,0)),"")</f>
      </c>
      <c r="U68" s="211">
        <f>IF(AND(ISNUMBER(U56),ISNUMBER(U26)),IF(ABS(U56-U26)&lt;=2.01,0,ROUND(U56-U26,0)),"")</f>
      </c>
      <c r="V68" s="211">
        <f>IF(AND(ISNUMBER(V56),ISNUMBER(V26)),IF(ABS(V56-V26)&lt;=2.01,0,ROUND(V56-V26,0)),"")</f>
      </c>
      <c r="W68" s="211">
        <f>IF(AND(ISNUMBER(W56),ISNUMBER(W26)),IF(ABS(W56-W26)&lt;=2.01,0,ROUND(W56-W26,0)),"")</f>
      </c>
      <c r="X68" s="211">
        <f>IF(AND(ISNUMBER(X56),ISNUMBER(X26)),IF(ABS(X56-X26)&lt;=2.01,0,ROUND(X56-X26,0)),"")</f>
      </c>
      <c r="Y68" s="211">
        <f>IF(AND(ISNUMBER(Y56),ISNUMBER(Y26)),IF(ABS(Y56-Y26)&lt;=2.01,0,ROUND(Y56-Y26,0)),"")</f>
      </c>
      <c r="Z68" s="211">
        <f>IF(AND(ISNUMBER(Z56),ISNUMBER(Z26)),IF(ABS(Z56-Z26)&lt;=2.01,0,ROUND(Z56-Z26,0)),"")</f>
        <v>0</v>
      </c>
      <c r="AA68" s="211">
        <f>IF(AND(ISNUMBER(AA56),ISNUMBER(AA26)),IF(ABS(AA56-AA26)&lt;=2.01,0,ROUND(AA56-AA26,0)),"")</f>
        <v>0</v>
      </c>
      <c r="AB68" s="211">
        <f>IF(AND(ISNUMBER(AB56),ISNUMBER(AB26)),IF(ABS(AB56-AB26)&lt;=2.01,0,ROUND(AB56-AB26,0)),"")</f>
        <v>0</v>
      </c>
      <c r="AC68" s="211">
        <f>IF(AND(ISNUMBER(AC56),ISNUMBER(AC26)),IF(ABS(AC56-AC26)&lt;=2.01,0,ROUND(AC56-AC26,0)),"")</f>
      </c>
      <c r="AD68" s="211">
        <f>IF(AND(ISNUMBER(AD56),ISNUMBER(AD26)),IF(ABS(AD56-AD26)&lt;=2.01,0,ROUND(AD56-AD26,0)),"")</f>
        <v>0</v>
      </c>
      <c r="AE68" s="211">
        <f>IF(AND(ISNUMBER(AE56),ISNUMBER(AE26)),IF(ABS(AE56-AE26)&lt;=2.01,0,ROUND(AE56-AE26,0)),"")</f>
        <v>0</v>
      </c>
      <c r="AF68" s="211">
        <f>IF(AND(ISNUMBER(AF56),ISNUMBER(AF26)),IF(ABS(AF56-AF26)&lt;=2.01,0,ROUND(AF56-AF26,0)),"")</f>
        <v>0</v>
      </c>
      <c r="AG68" s="211">
        <f>IF(AND(ISNUMBER(AG56),ISNUMBER(AG26)),IF(ABS(AG56-AG26)&lt;=2.01,0,ROUND(AG56-AG26,0)),"")</f>
        <v>0</v>
      </c>
      <c r="AH68" s="211">
        <f>IF(AND(ISNUMBER(AH56),ISNUMBER(AH26)),IF(ABS(AH56-AH26)&lt;=2.01,0,ROUND(AH56-AH26,0)),"")</f>
        <v>0</v>
      </c>
      <c r="AI68" s="211">
        <f>IF(AND(ISNUMBER(AI56),ISNUMBER(AI26)),IF(ABS(AI56-AI26)&lt;=2.01,0,ROUND(AI56-AI26,0)),"")</f>
        <v>0</v>
      </c>
      <c r="AJ68" s="211">
        <f>IF(AND(ISNUMBER(AJ56),ISNUMBER(AJ26)),IF(ABS(AJ56-AJ26)&lt;=2.01,0,ROUND(AJ56-AJ26,0)),"")</f>
        <v>0</v>
      </c>
      <c r="AK68" s="211">
        <f>IF(AND(ISNUMBER(AK56),ISNUMBER(AK26)),IF(ABS(AK56-AK26)&lt;=2.01,0,ROUND(AK56-AK26,0)),"")</f>
        <v>0</v>
      </c>
      <c r="AL68" s="211">
        <f>IF(AND(ISNUMBER(AL56),ISNUMBER(AL26)),IF(ABS(AL56-AL26)&lt;=2.01,0,ROUND(AL56-AL26,0)),"")</f>
        <v>0</v>
      </c>
      <c r="AM68" s="211">
        <f>IF(AND(ISNUMBER(AM56),ISNUMBER(AM26)),IF(ABS(AM56-AM26)&lt;=2.01,0,ROUND(AM56-AM26,0)),"")</f>
        <v>0</v>
      </c>
      <c r="AN68" s="211">
        <f>IF(AND(ISNUMBER(AN56),ISNUMBER(AN26)),IF(ABS(AN56-AN26)&lt;=2.01,0,ROUND(AN56-AN26,0)),"")</f>
        <v>0</v>
      </c>
      <c r="AO68" s="211">
        <f>IF(AND(ISNUMBER(AO56),ISNUMBER(AO26)),IF(ABS(AO56-AO26)&lt;=2.01,0,ROUND(AO56-AO26,0)),"")</f>
        <v>0</v>
      </c>
      <c r="AP68" s="211">
        <f>IF(AND(ISNUMBER(AP56),ISNUMBER(AP26)),IF(ABS(AP56-AP26)&lt;=2.01,0,ROUND(AP56-AP26,0)),"")</f>
        <v>0</v>
      </c>
      <c r="AQ68" s="211">
        <f>IF(AND(ISNUMBER(AQ56),ISNUMBER(AQ26)),IF(ABS(AQ56-AQ26)&lt;=2.01,0,ROUND(AQ56-AQ26,0)),"")</f>
        <v>0</v>
      </c>
      <c r="AR68" s="211">
        <f>IF(AND(ISNUMBER(AR56),ISNUMBER(AR26)),IF(ABS(AR56-AR26)&lt;=2.01,0,ROUND(AR56-AR26,0)),"")</f>
        <v>0</v>
      </c>
      <c r="AS68" s="211">
        <f>IF(AND(ISNUMBER(AS56),ISNUMBER(AS26)),IF(ABS(AS56-AS26)&lt;=2.01,0,ROUND(AS56-AS26,0)),"")</f>
        <v>0</v>
      </c>
      <c r="AT68" s="211">
        <f>IF(AND(ISNUMBER(AT56),ISNUMBER(AT26)),IF(ABS(AT56-AT26)&lt;=2.01,0,ROUND(AT56-AT26,0)),"")</f>
        <v>0</v>
      </c>
      <c r="AU68" s="211">
        <f>IF(AND(ISNUMBER(AU56),ISNUMBER(AU26)),IF(ABS(AU56-AU26)&lt;=2.01,0,ROUND(AU56-AU26,0)),"")</f>
        <v>0</v>
      </c>
      <c r="AV68" s="211">
        <f>IF(AND(ISNUMBER(AV56),ISNUMBER(AV26)),IF(ABS(AV56-AV26)&lt;=2.01,0,ROUND(AV56-AV26,0)),"")</f>
        <v>0</v>
      </c>
      <c r="AW68" s="211">
        <f>IF(AND(ISNUMBER(AW56),ISNUMBER(AW26)),IF(ABS(AW56-AW26)&lt;=2.01,0,ROUND(AW56-AW26,0)),"")</f>
        <v>0</v>
      </c>
      <c r="AX68" s="211">
        <f>IF(AND(ISNUMBER(AX56),ISNUMBER(AX26)),IF(ABS(AX56-AX26)&lt;=2.01,0,ROUND(AX56-AX26,0)),"")</f>
        <v>0</v>
      </c>
      <c r="AY68" s="211">
        <f>IF(AND(ISNUMBER(AY56),ISNUMBER(AY26)),IF(ABS(AY56-AY26)&lt;=2.01,0,ROUND(AY56-AY26,0)),"")</f>
        <v>0</v>
      </c>
      <c r="AZ68" s="211">
        <f>IF(AND(ISNUMBER(AZ56),ISNUMBER(AZ26)),IF(ABS(AZ56-AZ26)&lt;=2.01,0,ROUND(AZ56-AZ26,0)),"")</f>
        <v>0</v>
      </c>
      <c r="BA68" s="211">
        <f>IF(AND(ISNUMBER(BA56),ISNUMBER(BA26)),IF(ABS(BA56-BA26)&lt;=2.01,0,ROUND(BA56-BA26,0)),"")</f>
        <v>0</v>
      </c>
      <c r="BB68" s="211">
        <f>IF(AND(ISNUMBER(BB56),ISNUMBER(BB26)),IF(ABS(BB56-BB26)&lt;=2.01,0,ROUND(BB56-BB26,0)),"")</f>
        <v>0</v>
      </c>
      <c r="BC68" s="211">
        <f>IF(AND(ISNUMBER(BC56),ISNUMBER(BC26)),IF(ABS(BC56-BC26)&lt;=2.01,0,ROUND(BC56-BC26,0)),"")</f>
        <v>0</v>
      </c>
      <c r="BD68" s="211">
        <f>IF(AND(ISNUMBER(BD56),ISNUMBER(BD26)),IF(ABS(BD56-BD26)&lt;=2.01,0,ROUND(BD56-BD26,0)),"")</f>
        <v>0</v>
      </c>
      <c r="BE68" s="211">
        <f>IF(AND(ISNUMBER(BE56),ISNUMBER(BE26)),IF(ABS(BE56-BE26)&lt;=2.01,0,ROUND(BE56-BE26,0)),"")</f>
        <v>0</v>
      </c>
      <c r="BF68" s="211">
        <f>IF(AND(ISNUMBER(BF56),ISNUMBER(BF26)),IF(ABS(BF56-BF26)&lt;=2.01,0,ROUND(BF56-BF26,0)),"")</f>
        <v>0</v>
      </c>
      <c r="BG68" s="211">
        <f>IF(AND(ISNUMBER(BG56),ISNUMBER(BG26)),IF(ABS(BG56-BG26)&lt;=2.01,0,ROUND(BG56-BG26,0)),"")</f>
        <v>0</v>
      </c>
      <c r="BH68" s="211">
        <f>IF(AND(ISNUMBER(BH56),ISNUMBER(BH26)),IF(ABS(BH56-BH26)&lt;=2.01,0,ROUND(BH56-BH26,0)),"")</f>
        <v>0</v>
      </c>
      <c r="BI68" s="211">
        <f>IF(AND(ISNUMBER(BI56),ISNUMBER(BI26)),IF(ABS(BI56-BI26)&lt;=2.01,0,ROUND(BI56-BI26,0)),"")</f>
        <v>0</v>
      </c>
      <c r="BJ68" s="211">
        <f>IF(AND(ISNUMBER(BJ56),ISNUMBER(BJ26)),IF(ABS(BJ56-BJ26)&lt;=2.01,0,ROUND(BJ56-BJ26,0)),"")</f>
        <v>0</v>
      </c>
      <c r="BK68" s="211">
        <f>IF(AND(ISNUMBER(BK56),ISNUMBER(BK26)),IF(ABS(BK56-BK26)&lt;=2.01,0,ROUND(BK56-BK26,0)),"")</f>
        <v>0</v>
      </c>
      <c r="BL68" s="211">
        <f>IF(AND(ISNUMBER(BL56),ISNUMBER(BL26)),IF(ABS(BL56-BL26)&lt;=2.01,0,ROUND(BL56-BL26,0)),"")</f>
        <v>0</v>
      </c>
      <c r="BM68" s="211">
        <f>IF(AND(ISNUMBER(BM56),ISNUMBER(BM26)),IF(ABS(BM56-BM26)&lt;=2.01,0,ROUND(BM56-BM26,0)),"")</f>
        <v>0</v>
      </c>
      <c r="BN68" s="211">
        <f>IF(AND(ISNUMBER(BN56),ISNUMBER(BN26)),IF(ABS(BN56-BN26)&lt;=2.01,0,ROUND(BN56-BN26,0)),"")</f>
        <v>0</v>
      </c>
      <c r="BO68" s="211">
        <f>IF(AND(ISNUMBER(BO56),ISNUMBER(BO26)),IF(ABS(BO56-BO26)&lt;=2.01,0,ROUND(BO56-BO26,0)),"")</f>
        <v>0</v>
      </c>
      <c r="BP68" s="211">
        <f>IF(AND(ISNUMBER(BP56),ISNUMBER(BP26)),IF(ABS(BP56-BP26)&lt;=2.01,0,ROUND(BP56-BP26,0)),"")</f>
        <v>0</v>
      </c>
      <c r="BQ68" s="211">
        <f>IF(AND(ISNUMBER(BQ56),ISNUMBER(BQ26)),IF(ABS(BQ56-BQ26)&lt;=2.01,0,ROUND(BQ56-BQ26,0)),"")</f>
        <v>0</v>
      </c>
      <c r="BR68" s="211">
        <f>IF(AND(ISNUMBER(BR56),ISNUMBER(BR26)),IF(ABS(BR56-BR26)&lt;=2.01,0,ROUND(BR56-BR26,0)),"")</f>
        <v>0</v>
      </c>
      <c r="BS68" s="211">
        <f>IF(AND(ISNUMBER(BS56),ISNUMBER(BS26)),IF(ABS(BS56-BS26)&lt;=2.01,0,ROUND(BS56-BS26,0)),"")</f>
        <v>0</v>
      </c>
      <c r="BT68" s="211">
        <f>IF(AND(ISNUMBER(BT56),ISNUMBER(BT26)),IF(ABS(BT56-BT26)&lt;=2.01,0,ROUND(BT56-BT26,0)),"")</f>
        <v>0</v>
      </c>
      <c r="BU68" s="211">
        <f>IF(AND(ISNUMBER(BU56),ISNUMBER(BU26)),IF(ABS(BU56-BU26)&lt;=2.01,0,ROUND(BU56-BU26,0)),"")</f>
        <v>0</v>
      </c>
      <c r="BV68" s="211">
        <f>IF(AND(ISNUMBER(BV56),ISNUMBER(BV26)),IF(ABS(BV56-BV26)&lt;=2.01,0,ROUND(BV56-BV26,0)),"")</f>
        <v>0</v>
      </c>
      <c r="BW68" s="211">
        <f>IF(AND(ISNUMBER(BW56),ISNUMBER(BW26)),IF(ABS(BW56-BW26)&lt;=2.01,0,ROUND(BW56-BW26,0)),"")</f>
        <v>0</v>
      </c>
      <c r="BX68" s="211">
        <f>IF(AND(ISNUMBER(BX56),ISNUMBER(BX26)),IF(ABS(BX56-BX26)&lt;=2.01,0,ROUND(BX56-BX26,0)),"")</f>
        <v>0</v>
      </c>
      <c r="BY68" s="153" t="n"/>
      <c r="BZ68" s="153" t="n"/>
      <c r="CA68" s="153" t="n"/>
      <c r="CB68" s="153" t="n"/>
      <c r="CC68" s="153" t="n"/>
      <c r="CD68" s="153" t="n"/>
      <c r="CE68" s="153" t="n"/>
      <c r="CF68" s="153" t="n"/>
      <c r="CN68" s="25" t="inlineStr">
        <is>
          <t xml:space="preserve">  2028E</t>
        </is>
      </c>
      <c r="CO68" s="33">
        <f>CP68+$CO$66</f>
        <v>0.1</v>
      </c>
      <c r="CP68" s="258" t="n">
        <v>0.09</v>
      </c>
      <c r="CQ68" s="33">
        <f>CP68+$CQ$66</f>
        <v>0.075</v>
      </c>
    </row>
    <row r="69" ht="15" customHeight="1" s="251">
      <c r="B69" s="25" t="inlineStr">
        <is>
          <t xml:space="preserve">  Legacy segment basis — as originally reported (North America incl. AWS, International; segment OI before SBC &amp; other operating expense):</t>
        </is>
      </c>
      <c r="CF69" s="153" t="n"/>
      <c r="CN69" s="25" t="inlineStr">
        <is>
          <t xml:space="preserve">  2029E</t>
        </is>
      </c>
      <c r="CO69" s="33">
        <f>CP69+$CO$66</f>
        <v>0.105</v>
      </c>
      <c r="CP69" s="258" t="n">
        <v>0.095</v>
      </c>
      <c r="CQ69" s="33">
        <f>CP69+$CQ$66</f>
        <v>0.08</v>
      </c>
    </row>
    <row r="70" ht="15" customHeight="1" s="251">
      <c r="B70" s="156" t="inlineStr">
        <is>
          <t xml:space="preserve">    North America net sales (incl. AWS)</t>
        </is>
      </c>
      <c r="C70" s="253" t="n">
        <v>5869</v>
      </c>
      <c r="D70" s="253" t="n">
        <v>8095</v>
      </c>
      <c r="E70" s="253" t="n">
        <v>10228</v>
      </c>
      <c r="F70" s="253" t="n">
        <v>12828</v>
      </c>
      <c r="G70" s="253" t="n">
        <v>18707</v>
      </c>
      <c r="H70" s="253" t="n">
        <v>26705</v>
      </c>
      <c r="I70" s="253" t="n">
        <v>34813</v>
      </c>
      <c r="J70" s="253" t="n">
        <v>9391</v>
      </c>
      <c r="K70" s="253" t="n">
        <v>9495</v>
      </c>
      <c r="L70" s="253" t="n">
        <v>10301</v>
      </c>
      <c r="M70" s="253" t="n">
        <v>15331</v>
      </c>
      <c r="N70" s="253" t="n">
        <v>44517</v>
      </c>
      <c r="O70" s="253" t="n">
        <v>11858</v>
      </c>
      <c r="P70" s="253" t="n">
        <v>11998</v>
      </c>
      <c r="Q70" s="253" t="n">
        <v>12867</v>
      </c>
      <c r="R70" s="253" t="n">
        <v>18747</v>
      </c>
      <c r="S70" s="253" t="n">
        <v>55469</v>
      </c>
      <c r="T70" s="34" t="n"/>
      <c r="U70" s="34" t="n"/>
      <c r="V70" s="34" t="n"/>
      <c r="W70" s="34" t="n"/>
      <c r="X70" s="34" t="n"/>
      <c r="Y70" s="34" t="n"/>
      <c r="Z70" s="34" t="n"/>
      <c r="AA70" s="34" t="n"/>
      <c r="AB70" s="34" t="n"/>
      <c r="AC70" s="34" t="n"/>
      <c r="AD70" s="34" t="n"/>
      <c r="AE70" s="34" t="n"/>
      <c r="AF70" s="34" t="n"/>
      <c r="AG70" s="34" t="n"/>
      <c r="AH70" s="34" t="n"/>
      <c r="AI70" s="34" t="n"/>
      <c r="AJ70" s="34" t="n"/>
      <c r="AK70" s="34" t="n"/>
      <c r="AL70" s="34" t="n"/>
      <c r="AM70" s="34" t="n"/>
      <c r="AN70" s="34" t="n"/>
      <c r="AO70" s="34" t="n"/>
      <c r="AP70" s="34" t="n"/>
      <c r="AQ70" s="34" t="n"/>
      <c r="AR70" s="34" t="n"/>
      <c r="AS70" s="34" t="n"/>
      <c r="AT70" s="34" t="n"/>
      <c r="AU70" s="34" t="n"/>
      <c r="AV70" s="34" t="n"/>
      <c r="AW70" s="34" t="n"/>
      <c r="AX70" s="34" t="n"/>
      <c r="AY70" s="34" t="n"/>
      <c r="AZ70" s="34" t="n"/>
      <c r="BA70" s="34" t="n"/>
      <c r="BB70" s="34" t="n"/>
      <c r="BC70" s="34" t="n"/>
      <c r="BD70" s="34" t="n"/>
      <c r="BE70" s="34" t="n"/>
      <c r="BF70" s="34" t="n"/>
      <c r="BG70" s="34" t="n"/>
      <c r="BH70" s="34" t="n"/>
      <c r="BI70" s="34" t="n"/>
      <c r="BJ70" s="34" t="n"/>
      <c r="BK70" s="34" t="n"/>
      <c r="BL70" s="34" t="n"/>
      <c r="BM70" s="34" t="n"/>
      <c r="BN70" s="34" t="n"/>
      <c r="BO70" s="34" t="n"/>
      <c r="BP70" s="34" t="n"/>
      <c r="BQ70" s="34" t="n"/>
      <c r="BR70" s="34" t="n"/>
      <c r="BS70" s="34" t="n"/>
      <c r="BT70" s="34" t="n"/>
      <c r="BU70" s="34" t="n"/>
      <c r="BV70" s="34" t="n"/>
      <c r="BW70" s="34" t="n"/>
      <c r="BX70" s="34" t="n"/>
      <c r="BY70" s="153" t="n"/>
      <c r="BZ70" s="153" t="n"/>
      <c r="CA70" s="153" t="n"/>
      <c r="CB70" s="153" t="n"/>
      <c r="CC70" s="153" t="n"/>
      <c r="CD70" s="153" t="n"/>
      <c r="CE70" s="153" t="n"/>
      <c r="CF70" s="153" t="n"/>
      <c r="CN70" s="25" t="inlineStr">
        <is>
          <t xml:space="preserve">  2030E</t>
        </is>
      </c>
      <c r="CO70" s="33">
        <f>CP70+$CO$66</f>
        <v>0.11</v>
      </c>
      <c r="CP70" s="258" t="n">
        <v>0.1</v>
      </c>
      <c r="CQ70" s="33">
        <f>CP70+$CQ$66</f>
        <v>0.085</v>
      </c>
    </row>
    <row r="71" ht="15" customHeight="1" s="251">
      <c r="B71" s="156" t="inlineStr">
        <is>
          <t xml:space="preserve">    North America segment operating income</t>
        </is>
      </c>
      <c r="C71" s="253" t="n">
        <v>230</v>
      </c>
      <c r="D71" s="253" t="n">
        <v>400</v>
      </c>
      <c r="E71" s="253" t="n">
        <v>445</v>
      </c>
      <c r="F71" s="253" t="n">
        <v>709</v>
      </c>
      <c r="G71" s="253" t="n">
        <v>955</v>
      </c>
      <c r="H71" s="253" t="n">
        <v>933</v>
      </c>
      <c r="I71" s="253" t="n">
        <v>1592</v>
      </c>
      <c r="J71" s="253" t="n">
        <v>457</v>
      </c>
      <c r="K71" s="253" t="n">
        <v>409</v>
      </c>
      <c r="L71" s="253" t="n">
        <v>295</v>
      </c>
      <c r="M71" s="253" t="n">
        <v>725</v>
      </c>
      <c r="N71" s="253" t="n">
        <v>1886</v>
      </c>
      <c r="O71" s="253" t="n">
        <v>562</v>
      </c>
      <c r="P71" s="253" t="n">
        <v>438</v>
      </c>
      <c r="Q71" s="253" t="n">
        <v>88</v>
      </c>
      <c r="R71" s="253" t="n">
        <v>1018</v>
      </c>
      <c r="S71" s="253" t="n">
        <v>2105</v>
      </c>
      <c r="T71" s="34" t="n"/>
      <c r="U71" s="34" t="n"/>
      <c r="V71" s="34" t="n"/>
      <c r="W71" s="34" t="n"/>
      <c r="X71" s="34" t="n"/>
      <c r="Y71" s="34" t="n"/>
      <c r="Z71" s="34" t="n"/>
      <c r="AA71" s="34" t="n"/>
      <c r="AB71" s="34" t="n"/>
      <c r="AC71" s="34" t="n"/>
      <c r="AD71" s="34" t="n"/>
      <c r="AE71" s="34" t="n"/>
      <c r="AF71" s="34" t="n"/>
      <c r="AG71" s="34" t="n"/>
      <c r="AH71" s="34" t="n"/>
      <c r="AI71" s="34" t="n"/>
      <c r="AJ71" s="34" t="n"/>
      <c r="AK71" s="34" t="n"/>
      <c r="AL71" s="34" t="n"/>
      <c r="AM71" s="34" t="n"/>
      <c r="AN71" s="34" t="n"/>
      <c r="AO71" s="34" t="n"/>
      <c r="AP71" s="34" t="n"/>
      <c r="AQ71" s="34" t="n"/>
      <c r="AR71" s="34" t="n"/>
      <c r="AS71" s="34" t="n"/>
      <c r="AT71" s="34" t="n"/>
      <c r="AU71" s="34" t="n"/>
      <c r="AV71" s="34" t="n"/>
      <c r="AW71" s="34" t="n"/>
      <c r="AX71" s="34" t="n"/>
      <c r="AY71" s="34" t="n"/>
      <c r="AZ71" s="34" t="n"/>
      <c r="BA71" s="34" t="n"/>
      <c r="BB71" s="34" t="n"/>
      <c r="BC71" s="34" t="n"/>
      <c r="BD71" s="34" t="n"/>
      <c r="BE71" s="34" t="n"/>
      <c r="BF71" s="34" t="n"/>
      <c r="BG71" s="34" t="n"/>
      <c r="BH71" s="34" t="n"/>
      <c r="BI71" s="34" t="n"/>
      <c r="BJ71" s="34" t="n"/>
      <c r="BK71" s="34" t="n"/>
      <c r="BL71" s="34" t="n"/>
      <c r="BM71" s="34" t="n"/>
      <c r="BN71" s="34" t="n"/>
      <c r="BO71" s="34" t="n"/>
      <c r="BP71" s="34" t="n"/>
      <c r="BQ71" s="34" t="n"/>
      <c r="BR71" s="34" t="n"/>
      <c r="BS71" s="34" t="n"/>
      <c r="BT71" s="34" t="n"/>
      <c r="BU71" s="34" t="n"/>
      <c r="BV71" s="34" t="n"/>
      <c r="BW71" s="34" t="n"/>
      <c r="BX71" s="34" t="n"/>
      <c r="BY71" s="153" t="n"/>
      <c r="BZ71" s="153" t="n"/>
      <c r="CA71" s="153" t="n"/>
      <c r="CB71" s="153" t="n"/>
      <c r="CC71" s="153" t="n"/>
      <c r="CD71" s="153" t="n"/>
      <c r="CE71" s="153" t="n"/>
      <c r="CF71" s="153" t="n"/>
      <c r="CN71" s="15" t="inlineStr">
        <is>
          <t>INTL_M (International segment margin)</t>
        </is>
      </c>
      <c r="CO71" s="261" t="n">
        <v>0.01</v>
      </c>
      <c r="CP71" s="21" t="inlineStr">
        <is>
          <t>Δ →</t>
        </is>
      </c>
      <c r="CQ71" s="261" t="n">
        <v>-0.015</v>
      </c>
      <c r="CR71" s="13" t="inlineStr">
        <is>
          <t>FY2025 2.9%; 1H-26 3.9%; scale in emerging markets offsets price investment.</t>
        </is>
      </c>
    </row>
    <row r="72" collapsed="1" ht="15" customHeight="1" s="251">
      <c r="B72" s="156" t="inlineStr">
        <is>
          <t xml:space="preserve">    International net sales</t>
        </is>
      </c>
      <c r="C72" s="253" t="n">
        <v>4842</v>
      </c>
      <c r="D72" s="253" t="n">
        <v>6740</v>
      </c>
      <c r="E72" s="253" t="n">
        <v>8938</v>
      </c>
      <c r="F72" s="253" t="n">
        <v>11681</v>
      </c>
      <c r="G72" s="253" t="n">
        <v>15497</v>
      </c>
      <c r="H72" s="253" t="n">
        <v>21372</v>
      </c>
      <c r="I72" s="253" t="n">
        <v>26280</v>
      </c>
      <c r="J72" s="253" t="n">
        <v>6679</v>
      </c>
      <c r="K72" s="253" t="n">
        <v>6209</v>
      </c>
      <c r="L72" s="253" t="n">
        <v>6791</v>
      </c>
      <c r="M72" s="253" t="n">
        <v>10256</v>
      </c>
      <c r="N72" s="253" t="n">
        <v>29935</v>
      </c>
      <c r="O72" s="253" t="n">
        <v>7883</v>
      </c>
      <c r="P72" s="253" t="n">
        <v>7342</v>
      </c>
      <c r="Q72" s="253" t="n">
        <v>7712</v>
      </c>
      <c r="R72" s="253" t="n">
        <v>10581</v>
      </c>
      <c r="S72" s="253" t="n">
        <v>33519</v>
      </c>
      <c r="T72" s="34" t="n"/>
      <c r="U72" s="34" t="n"/>
      <c r="V72" s="34" t="n"/>
      <c r="W72" s="34" t="n"/>
      <c r="X72" s="34" t="n"/>
      <c r="Y72" s="34" t="n"/>
      <c r="Z72" s="34" t="n"/>
      <c r="AA72" s="34" t="n"/>
      <c r="AB72" s="34" t="n"/>
      <c r="AC72" s="34" t="n"/>
      <c r="AD72" s="34" t="n"/>
      <c r="AE72" s="34" t="n"/>
      <c r="AF72" s="34" t="n"/>
      <c r="AG72" s="34" t="n"/>
      <c r="AH72" s="34" t="n"/>
      <c r="AI72" s="34" t="n"/>
      <c r="AJ72" s="34" t="n"/>
      <c r="AK72" s="34" t="n"/>
      <c r="AL72" s="34" t="n"/>
      <c r="AM72" s="34" t="n"/>
      <c r="AN72" s="34" t="n"/>
      <c r="AO72" s="34" t="n"/>
      <c r="AP72" s="34" t="n"/>
      <c r="AQ72" s="34" t="n"/>
      <c r="AR72" s="34" t="n"/>
      <c r="AS72" s="34" t="n"/>
      <c r="AT72" s="34" t="n"/>
      <c r="AU72" s="34" t="n"/>
      <c r="AV72" s="34" t="n"/>
      <c r="AW72" s="34" t="n"/>
      <c r="AX72" s="34" t="n"/>
      <c r="AY72" s="34" t="n"/>
      <c r="AZ72" s="34" t="n"/>
      <c r="BA72" s="34" t="n"/>
      <c r="BB72" s="34" t="n"/>
      <c r="BC72" s="34" t="n"/>
      <c r="BD72" s="34" t="n"/>
      <c r="BE72" s="34" t="n"/>
      <c r="BF72" s="34" t="n"/>
      <c r="BG72" s="34" t="n"/>
      <c r="BH72" s="34" t="n"/>
      <c r="BI72" s="34" t="n"/>
      <c r="BJ72" s="34" t="n"/>
      <c r="BK72" s="34" t="n"/>
      <c r="BL72" s="34" t="n"/>
      <c r="BM72" s="34" t="n"/>
      <c r="BN72" s="34" t="n"/>
      <c r="BO72" s="34" t="n"/>
      <c r="BP72" s="34" t="n"/>
      <c r="BQ72" s="34" t="n"/>
      <c r="BR72" s="34" t="n"/>
      <c r="BS72" s="34" t="n"/>
      <c r="BT72" s="34" t="n"/>
      <c r="BU72" s="34" t="n"/>
      <c r="BV72" s="34" t="n"/>
      <c r="BW72" s="34" t="n"/>
      <c r="BX72" s="34" t="n"/>
      <c r="BY72" s="153" t="n"/>
      <c r="BZ72" s="153" t="n"/>
      <c r="CA72" s="153" t="n"/>
      <c r="CB72" s="153" t="n"/>
      <c r="CC72" s="153" t="n"/>
      <c r="CD72" s="153" t="n"/>
      <c r="CE72" s="153" t="n"/>
      <c r="CF72" s="153" t="n"/>
      <c r="CN72" s="25" t="inlineStr">
        <is>
          <t xml:space="preserve">  2027E</t>
        </is>
      </c>
      <c r="CO72" s="33">
        <f>CP72+$CO$71</f>
        <v>0.055</v>
      </c>
      <c r="CP72" s="258" t="n">
        <v>0.045</v>
      </c>
      <c r="CQ72" s="33">
        <f>CP72+$CQ$71</f>
        <v>0.03</v>
      </c>
    </row>
    <row r="73" ht="15" customHeight="1" s="251">
      <c r="B73" s="156" t="inlineStr">
        <is>
          <t xml:space="preserve">    International segment operating income</t>
        </is>
      </c>
      <c r="C73" s="253" t="n">
        <v>270</v>
      </c>
      <c r="D73" s="253" t="n">
        <v>449</v>
      </c>
      <c r="E73" s="253" t="n">
        <v>648</v>
      </c>
      <c r="F73" s="253" t="n">
        <v>863</v>
      </c>
      <c r="G73" s="253" t="n">
        <v>981</v>
      </c>
      <c r="H73" s="253" t="n">
        <v>640</v>
      </c>
      <c r="I73" s="253" t="n">
        <v>76</v>
      </c>
      <c r="J73" s="253" t="n">
        <v>-16</v>
      </c>
      <c r="K73" s="253" t="n">
        <v>0</v>
      </c>
      <c r="L73" s="253" t="n">
        <v>-28</v>
      </c>
      <c r="M73" s="253" t="n">
        <v>151</v>
      </c>
      <c r="N73" s="253" t="n">
        <v>107</v>
      </c>
      <c r="O73" s="253" t="n">
        <v>-60</v>
      </c>
      <c r="P73" s="253" t="n">
        <v>-34</v>
      </c>
      <c r="Q73" s="253" t="n">
        <v>-224</v>
      </c>
      <c r="R73" s="253" t="n">
        <v>20</v>
      </c>
      <c r="S73" s="253" t="n">
        <v>-297</v>
      </c>
      <c r="T73" s="34" t="n"/>
      <c r="U73" s="34" t="n"/>
      <c r="V73" s="34" t="n"/>
      <c r="W73" s="34" t="n"/>
      <c r="X73" s="34" t="n"/>
      <c r="Y73" s="34" t="n"/>
      <c r="Z73" s="34" t="n"/>
      <c r="AA73" s="34" t="n"/>
      <c r="AB73" s="34" t="n"/>
      <c r="AC73" s="34" t="n"/>
      <c r="AD73" s="34" t="n"/>
      <c r="AE73" s="34" t="n"/>
      <c r="AF73" s="34" t="n"/>
      <c r="AG73" s="34" t="n"/>
      <c r="AH73" s="34" t="n"/>
      <c r="AI73" s="34" t="n"/>
      <c r="AJ73" s="34" t="n"/>
      <c r="AK73" s="34" t="n"/>
      <c r="AL73" s="34" t="n"/>
      <c r="AM73" s="34" t="n"/>
      <c r="AN73" s="34" t="n"/>
      <c r="AO73" s="34" t="n"/>
      <c r="AP73" s="34" t="n"/>
      <c r="AQ73" s="34" t="n"/>
      <c r="AR73" s="34" t="n"/>
      <c r="AS73" s="34" t="n"/>
      <c r="AT73" s="34" t="n"/>
      <c r="AU73" s="34" t="n"/>
      <c r="AV73" s="34" t="n"/>
      <c r="AW73" s="34" t="n"/>
      <c r="AX73" s="34" t="n"/>
      <c r="AY73" s="34" t="n"/>
      <c r="AZ73" s="34" t="n"/>
      <c r="BA73" s="34" t="n"/>
      <c r="BB73" s="34" t="n"/>
      <c r="BC73" s="34" t="n"/>
      <c r="BD73" s="34" t="n"/>
      <c r="BE73" s="34" t="n"/>
      <c r="BF73" s="34" t="n"/>
      <c r="BG73" s="34" t="n"/>
      <c r="BH73" s="34" t="n"/>
      <c r="BI73" s="34" t="n"/>
      <c r="BJ73" s="34" t="n"/>
      <c r="BK73" s="34" t="n"/>
      <c r="BL73" s="34" t="n"/>
      <c r="BM73" s="34" t="n"/>
      <c r="BN73" s="34" t="n"/>
      <c r="BO73" s="34" t="n"/>
      <c r="BP73" s="34" t="n"/>
      <c r="BQ73" s="34" t="n"/>
      <c r="BR73" s="34" t="n"/>
      <c r="BS73" s="34" t="n"/>
      <c r="BT73" s="34" t="n"/>
      <c r="BU73" s="34" t="n"/>
      <c r="BV73" s="34" t="n"/>
      <c r="BW73" s="34" t="n"/>
      <c r="BX73" s="34" t="n"/>
      <c r="BY73" s="153" t="n"/>
      <c r="BZ73" s="153" t="n"/>
      <c r="CA73" s="153" t="n"/>
      <c r="CB73" s="153" t="n"/>
      <c r="CC73" s="153" t="n"/>
      <c r="CD73" s="153" t="n"/>
      <c r="CE73" s="153" t="n"/>
      <c r="CF73" s="153" t="n"/>
      <c r="CN73" s="25" t="inlineStr">
        <is>
          <t xml:space="preserve">  2028E</t>
        </is>
      </c>
      <c r="CO73" s="33">
        <f>CP73+$CO$71</f>
        <v>0.06</v>
      </c>
      <c r="CP73" s="258" t="n">
        <v>0.05</v>
      </c>
      <c r="CQ73" s="33">
        <f>CP73+$CQ$71</f>
        <v>0.035</v>
      </c>
    </row>
    <row r="74" ht="15" customHeight="1" s="251">
      <c r="B74" s="156" t="inlineStr">
        <is>
          <t xml:space="preserve">    Unallocated stock-based compensation &amp; other operating expense</t>
        </is>
      </c>
      <c r="C74" s="253" t="n">
        <v>-111</v>
      </c>
      <c r="D74" s="253" t="n">
        <v>-194</v>
      </c>
      <c r="E74" s="253" t="n">
        <v>-251</v>
      </c>
      <c r="F74" s="253" t="n">
        <v>-443</v>
      </c>
      <c r="G74" s="253" t="n">
        <v>-530</v>
      </c>
      <c r="H74" s="253" t="n">
        <v>-711</v>
      </c>
      <c r="I74" s="253" t="n">
        <v>-992</v>
      </c>
      <c r="J74" s="253" t="n">
        <v>-260</v>
      </c>
      <c r="K74" s="253" t="n">
        <v>-330</v>
      </c>
      <c r="L74" s="253" t="n">
        <v>-292</v>
      </c>
      <c r="M74" s="253" t="n">
        <v>-366</v>
      </c>
      <c r="N74" s="253" t="n">
        <v>-1248</v>
      </c>
      <c r="O74" s="253" t="n">
        <v>-356</v>
      </c>
      <c r="P74" s="253" t="n">
        <v>-419</v>
      </c>
      <c r="Q74" s="253" t="n">
        <v>-408</v>
      </c>
      <c r="R74" s="253" t="n">
        <v>-447</v>
      </c>
      <c r="S74" s="253" t="n">
        <v>-1630</v>
      </c>
      <c r="T74" s="34" t="n"/>
      <c r="U74" s="34" t="n"/>
      <c r="V74" s="34" t="n"/>
      <c r="W74" s="34" t="n"/>
      <c r="X74" s="34" t="n"/>
      <c r="Y74" s="34" t="n"/>
      <c r="Z74" s="34" t="n"/>
      <c r="AA74" s="34" t="n"/>
      <c r="AB74" s="34" t="n"/>
      <c r="AC74" s="34" t="n"/>
      <c r="AD74" s="34" t="n"/>
      <c r="AE74" s="34" t="n"/>
      <c r="AF74" s="34" t="n"/>
      <c r="AG74" s="34" t="n"/>
      <c r="AH74" s="34" t="n"/>
      <c r="AI74" s="34" t="n"/>
      <c r="AJ74" s="34" t="n"/>
      <c r="AK74" s="34" t="n"/>
      <c r="AL74" s="34" t="n"/>
      <c r="AM74" s="34" t="n"/>
      <c r="AN74" s="34" t="n"/>
      <c r="AO74" s="34" t="n"/>
      <c r="AP74" s="34" t="n"/>
      <c r="AQ74" s="34" t="n"/>
      <c r="AR74" s="34" t="n"/>
      <c r="AS74" s="34" t="n"/>
      <c r="AT74" s="34" t="n"/>
      <c r="AU74" s="34" t="n"/>
      <c r="AV74" s="34" t="n"/>
      <c r="AW74" s="34" t="n"/>
      <c r="AX74" s="34" t="n"/>
      <c r="AY74" s="34" t="n"/>
      <c r="AZ74" s="34" t="n"/>
      <c r="BA74" s="34" t="n"/>
      <c r="BB74" s="34" t="n"/>
      <c r="BC74" s="34" t="n"/>
      <c r="BD74" s="34" t="n"/>
      <c r="BE74" s="34" t="n"/>
      <c r="BF74" s="34" t="n"/>
      <c r="BG74" s="34" t="n"/>
      <c r="BH74" s="34" t="n"/>
      <c r="BI74" s="34" t="n"/>
      <c r="BJ74" s="34" t="n"/>
      <c r="BK74" s="34" t="n"/>
      <c r="BL74" s="34" t="n"/>
      <c r="BM74" s="34" t="n"/>
      <c r="BN74" s="34" t="n"/>
      <c r="BO74" s="34" t="n"/>
      <c r="BP74" s="34" t="n"/>
      <c r="BQ74" s="34" t="n"/>
      <c r="BR74" s="34" t="n"/>
      <c r="BS74" s="34" t="n"/>
      <c r="BT74" s="34" t="n"/>
      <c r="BU74" s="34" t="n"/>
      <c r="BV74" s="34" t="n"/>
      <c r="BW74" s="34" t="n"/>
      <c r="BX74" s="34" t="n"/>
      <c r="BY74" s="153" t="n"/>
      <c r="BZ74" s="153" t="n"/>
      <c r="CA74" s="153" t="n"/>
      <c r="CB74" s="153" t="n"/>
      <c r="CC74" s="153" t="n"/>
      <c r="CD74" s="153" t="n"/>
      <c r="CE74" s="153" t="n"/>
      <c r="CF74" s="153" t="n"/>
      <c r="CN74" s="25" t="inlineStr">
        <is>
          <t xml:space="preserve">  2029E</t>
        </is>
      </c>
      <c r="CO74" s="33">
        <f>CP74+$CO$71</f>
        <v>0.065</v>
      </c>
      <c r="CP74" s="258" t="n">
        <v>0.055</v>
      </c>
      <c r="CQ74" s="33">
        <f>CP74+$CQ$71</f>
        <v>0.04</v>
      </c>
    </row>
    <row r="75" ht="15" customHeight="1" s="251">
      <c r="B75" s="57" t="inlineStr">
        <is>
          <t xml:space="preserve">    Check: legacy segments + unallocated vs consolidated operating income (should be 0)</t>
        </is>
      </c>
      <c r="C75" s="211">
        <f>IF(ISNUMBER(C71),IF(ABS(C71+C73+C74-C154)&lt;=1.01,0,ROUND(C71+C73+C74-C154,0)),"")</f>
        <v>0</v>
      </c>
      <c r="D75" s="211">
        <f>IF(ISNUMBER(D71),IF(ABS(D71+D73+D74-D154)&lt;=1.01,0,ROUND(D71+D73+D74-D154,0)),"")</f>
        <v>0</v>
      </c>
      <c r="E75" s="211">
        <f>IF(ISNUMBER(E71),IF(ABS(E71+E73+E74-E154)&lt;=1.01,0,ROUND(E71+E73+E74-E154,0)),"")</f>
        <v>0</v>
      </c>
      <c r="F75" s="211">
        <f>IF(ISNUMBER(F71),IF(ABS(F71+F73+F74-F154)&lt;=1.01,0,ROUND(F71+F73+F74-F154,0)),"")</f>
        <v>0</v>
      </c>
      <c r="G75" s="211">
        <f>IF(ISNUMBER(G71),IF(ABS(G71+G73+G74-G154)&lt;=1.01,0,ROUND(G71+G73+G74-G154,0)),"")</f>
        <v>0</v>
      </c>
      <c r="H75" s="211">
        <f>IF(ISNUMBER(H71),IF(ABS(H71+H73+H74-H154)&lt;=1.01,0,ROUND(H71+H73+H74-H154,0)),"")</f>
        <v>0</v>
      </c>
      <c r="I75" s="211">
        <f>IF(ISNUMBER(I71),IF(ABS(I71+I73+I74-I154)&lt;=1.01,0,ROUND(I71+I73+I74-I154,0)),"")</f>
        <v>0</v>
      </c>
      <c r="J75" s="211">
        <f>IF(ISNUMBER(J71),IF(ABS(J71+J73+J74-J154)&lt;=1.01,0,ROUND(J71+J73+J74-J154,0)),"")</f>
        <v>0</v>
      </c>
      <c r="K75" s="211">
        <f>IF(ISNUMBER(K71),IF(ABS(K71+K73+K74-K154)&lt;=1.01,0,ROUND(K71+K73+K74-K154,0)),"")</f>
        <v>0</v>
      </c>
      <c r="L75" s="211">
        <f>IF(ISNUMBER(L71),IF(ABS(L71+L73+L74-L154)&lt;=1.01,0,ROUND(L71+L73+L74-L154,0)),"")</f>
        <v>0</v>
      </c>
      <c r="M75" s="211">
        <f>IF(ISNUMBER(M71),IF(ABS(M71+M73+M74-M154)&lt;=1.01,0,ROUND(M71+M73+M74-M154,0)),"")</f>
        <v>0</v>
      </c>
      <c r="N75" s="211">
        <f>IF(ISNUMBER(N71),IF(ABS(N71+N73+N74-N154)&lt;=1.01,0,ROUND(N71+N73+N74-N154,0)),"")</f>
        <v>0</v>
      </c>
      <c r="O75" s="211">
        <f>IF(ISNUMBER(O71),IF(ABS(O71+O73+O74-O154)&lt;=1.01,0,ROUND(O71+O73+O74-O154,0)),"")</f>
        <v>0</v>
      </c>
      <c r="P75" s="211">
        <f>IF(ISNUMBER(P71),IF(ABS(P71+P73+P74-P154)&lt;=1.01,0,ROUND(P71+P73+P74-P154,0)),"")</f>
        <v>0</v>
      </c>
      <c r="Q75" s="211">
        <f>IF(ISNUMBER(Q71),IF(ABS(Q71+Q73+Q74-Q154)&lt;=1.01,0,ROUND(Q71+Q73+Q74-Q154,0)),"")</f>
        <v>0</v>
      </c>
      <c r="R75" s="211">
        <f>IF(ISNUMBER(R71),IF(ABS(R71+R73+R74-R154)&lt;=1.01,0,ROUND(R71+R73+R74-R154,0)),"")</f>
        <v>0</v>
      </c>
      <c r="S75" s="211">
        <f>IF(ISNUMBER(S71),IF(ABS(S71+S73+S74-S154)&lt;=1.01,0,ROUND(S71+S73+S74-S154,0)),"")</f>
        <v>0</v>
      </c>
      <c r="T75" s="211">
        <f>IF(ISNUMBER(T71),IF(ABS(T71+T73+T74-T154)&lt;=1.01,0,ROUND(T71+T73+T74-T154,0)),"")</f>
      </c>
      <c r="U75" s="211">
        <f>IF(ISNUMBER(U71),IF(ABS(U71+U73+U74-U154)&lt;=1.01,0,ROUND(U71+U73+U74-U154,0)),"")</f>
      </c>
      <c r="V75" s="211">
        <f>IF(ISNUMBER(V71),IF(ABS(V71+V73+V74-V154)&lt;=1.01,0,ROUND(V71+V73+V74-V154,0)),"")</f>
      </c>
      <c r="W75" s="211">
        <f>IF(ISNUMBER(W71),IF(ABS(W71+W73+W74-W154)&lt;=1.01,0,ROUND(W71+W73+W74-W154,0)),"")</f>
      </c>
      <c r="X75" s="211">
        <f>IF(ISNUMBER(X71),IF(ABS(X71+X73+X74-X154)&lt;=1.01,0,ROUND(X71+X73+X74-X154,0)),"")</f>
      </c>
      <c r="Y75" s="211">
        <f>IF(ISNUMBER(Y71),IF(ABS(Y71+Y73+Y74-Y154)&lt;=1.01,0,ROUND(Y71+Y73+Y74-Y154,0)),"")</f>
      </c>
      <c r="Z75" s="211">
        <f>IF(ISNUMBER(Z71),IF(ABS(Z71+Z73+Z74-Z154)&lt;=1.01,0,ROUND(Z71+Z73+Z74-Z154,0)),"")</f>
      </c>
      <c r="AA75" s="211">
        <f>IF(ISNUMBER(AA71),IF(ABS(AA71+AA73+AA74-AA154)&lt;=1.01,0,ROUND(AA71+AA73+AA74-AA154,0)),"")</f>
      </c>
      <c r="AB75" s="211">
        <f>IF(ISNUMBER(AB71),IF(ABS(AB71+AB73+AB74-AB154)&lt;=1.01,0,ROUND(AB71+AB73+AB74-AB154,0)),"")</f>
      </c>
      <c r="AC75" s="211">
        <f>IF(ISNUMBER(AC71),IF(ABS(AC71+AC73+AC74-AC154)&lt;=1.01,0,ROUND(AC71+AC73+AC74-AC154,0)),"")</f>
      </c>
      <c r="AD75" s="211">
        <f>IF(ISNUMBER(AD71),IF(ABS(AD71+AD73+AD74-AD154)&lt;=1.01,0,ROUND(AD71+AD73+AD74-AD154,0)),"")</f>
      </c>
      <c r="AE75" s="211">
        <f>IF(ISNUMBER(AE71),IF(ABS(AE71+AE73+AE74-AE154)&lt;=1.01,0,ROUND(AE71+AE73+AE74-AE154,0)),"")</f>
      </c>
      <c r="AF75" s="211">
        <f>IF(ISNUMBER(AF71),IF(ABS(AF71+AF73+AF74-AF154)&lt;=1.01,0,ROUND(AF71+AF73+AF74-AF154,0)),"")</f>
      </c>
      <c r="AG75" s="211">
        <f>IF(ISNUMBER(AG71),IF(ABS(AG71+AG73+AG74-AG154)&lt;=1.01,0,ROUND(AG71+AG73+AG74-AG154,0)),"")</f>
      </c>
      <c r="AH75" s="211">
        <f>IF(ISNUMBER(AH71),IF(ABS(AH71+AH73+AH74-AH154)&lt;=1.01,0,ROUND(AH71+AH73+AH74-AH154,0)),"")</f>
      </c>
      <c r="AI75" s="211">
        <f>IF(ISNUMBER(AI71),IF(ABS(AI71+AI73+AI74-AI154)&lt;=1.01,0,ROUND(AI71+AI73+AI74-AI154,0)),"")</f>
      </c>
      <c r="AJ75" s="211">
        <f>IF(ISNUMBER(AJ71),IF(ABS(AJ71+AJ73+AJ74-AJ154)&lt;=1.01,0,ROUND(AJ71+AJ73+AJ74-AJ154,0)),"")</f>
      </c>
      <c r="AK75" s="211">
        <f>IF(ISNUMBER(AK71),IF(ABS(AK71+AK73+AK74-AK154)&lt;=1.01,0,ROUND(AK71+AK73+AK74-AK154,0)),"")</f>
      </c>
      <c r="AL75" s="211">
        <f>IF(ISNUMBER(AL71),IF(ABS(AL71+AL73+AL74-AL154)&lt;=1.01,0,ROUND(AL71+AL73+AL74-AL154,0)),"")</f>
      </c>
      <c r="AM75" s="211">
        <f>IF(ISNUMBER(AM71),IF(ABS(AM71+AM73+AM74-AM154)&lt;=1.01,0,ROUND(AM71+AM73+AM74-AM154,0)),"")</f>
      </c>
      <c r="AN75" s="211">
        <f>IF(ISNUMBER(AN71),IF(ABS(AN71+AN73+AN74-AN154)&lt;=1.01,0,ROUND(AN71+AN73+AN74-AN154,0)),"")</f>
      </c>
      <c r="AO75" s="211">
        <f>IF(ISNUMBER(AO71),IF(ABS(AO71+AO73+AO74-AO154)&lt;=1.01,0,ROUND(AO71+AO73+AO74-AO154,0)),"")</f>
      </c>
      <c r="AP75" s="211">
        <f>IF(ISNUMBER(AP71),IF(ABS(AP71+AP73+AP74-AP154)&lt;=1.01,0,ROUND(AP71+AP73+AP74-AP154,0)),"")</f>
      </c>
      <c r="AQ75" s="211">
        <f>IF(ISNUMBER(AQ71),IF(ABS(AQ71+AQ73+AQ74-AQ154)&lt;=1.01,0,ROUND(AQ71+AQ73+AQ74-AQ154,0)),"")</f>
      </c>
      <c r="AR75" s="211">
        <f>IF(ISNUMBER(AR71),IF(ABS(AR71+AR73+AR74-AR154)&lt;=1.01,0,ROUND(AR71+AR73+AR74-AR154,0)),"")</f>
      </c>
      <c r="AS75" s="211">
        <f>IF(ISNUMBER(AS71),IF(ABS(AS71+AS73+AS74-AS154)&lt;=1.01,0,ROUND(AS71+AS73+AS74-AS154,0)),"")</f>
      </c>
      <c r="AT75" s="211">
        <f>IF(ISNUMBER(AT71),IF(ABS(AT71+AT73+AT74-AT154)&lt;=1.01,0,ROUND(AT71+AT73+AT74-AT154,0)),"")</f>
      </c>
      <c r="AU75" s="211">
        <f>IF(ISNUMBER(AU71),IF(ABS(AU71+AU73+AU74-AU154)&lt;=1.01,0,ROUND(AU71+AU73+AU74-AU154,0)),"")</f>
      </c>
      <c r="AV75" s="211">
        <f>IF(ISNUMBER(AV71),IF(ABS(AV71+AV73+AV74-AV154)&lt;=1.01,0,ROUND(AV71+AV73+AV74-AV154,0)),"")</f>
      </c>
      <c r="AW75" s="211">
        <f>IF(ISNUMBER(AW71),IF(ABS(AW71+AW73+AW74-AW154)&lt;=1.01,0,ROUND(AW71+AW73+AW74-AW154,0)),"")</f>
      </c>
      <c r="AX75" s="211">
        <f>IF(ISNUMBER(AX71),IF(ABS(AX71+AX73+AX74-AX154)&lt;=1.01,0,ROUND(AX71+AX73+AX74-AX154,0)),"")</f>
      </c>
      <c r="AY75" s="211">
        <f>IF(ISNUMBER(AY71),IF(ABS(AY71+AY73+AY74-AY154)&lt;=1.01,0,ROUND(AY71+AY73+AY74-AY154,0)),"")</f>
      </c>
      <c r="AZ75" s="211">
        <f>IF(ISNUMBER(AZ71),IF(ABS(AZ71+AZ73+AZ74-AZ154)&lt;=1.01,0,ROUND(AZ71+AZ73+AZ74-AZ154,0)),"")</f>
      </c>
      <c r="BA75" s="211">
        <f>IF(ISNUMBER(BA71),IF(ABS(BA71+BA73+BA74-BA154)&lt;=1.01,0,ROUND(BA71+BA73+BA74-BA154,0)),"")</f>
      </c>
      <c r="BB75" s="211">
        <f>IF(ISNUMBER(BB71),IF(ABS(BB71+BB73+BB74-BB154)&lt;=1.01,0,ROUND(BB71+BB73+BB74-BB154,0)),"")</f>
      </c>
      <c r="BC75" s="211">
        <f>IF(ISNUMBER(BC71),IF(ABS(BC71+BC73+BC74-BC154)&lt;=1.01,0,ROUND(BC71+BC73+BC74-BC154,0)),"")</f>
      </c>
      <c r="BD75" s="211">
        <f>IF(ISNUMBER(BD71),IF(ABS(BD71+BD73+BD74-BD154)&lt;=1.01,0,ROUND(BD71+BD73+BD74-BD154,0)),"")</f>
      </c>
      <c r="BE75" s="211">
        <f>IF(ISNUMBER(BE71),IF(ABS(BE71+BE73+BE74-BE154)&lt;=1.01,0,ROUND(BE71+BE73+BE74-BE154,0)),"")</f>
      </c>
      <c r="BF75" s="211">
        <f>IF(ISNUMBER(BF71),IF(ABS(BF71+BF73+BF74-BF154)&lt;=1.01,0,ROUND(BF71+BF73+BF74-BF154,0)),"")</f>
      </c>
      <c r="BG75" s="211">
        <f>IF(ISNUMBER(BG71),IF(ABS(BG71+BG73+BG74-BG154)&lt;=1.01,0,ROUND(BG71+BG73+BG74-BG154,0)),"")</f>
      </c>
      <c r="BH75" s="211">
        <f>IF(ISNUMBER(BH71),IF(ABS(BH71+BH73+BH74-BH154)&lt;=1.01,0,ROUND(BH71+BH73+BH74-BH154,0)),"")</f>
      </c>
      <c r="BI75" s="211">
        <f>IF(ISNUMBER(BI71),IF(ABS(BI71+BI73+BI74-BI154)&lt;=1.01,0,ROUND(BI71+BI73+BI74-BI154,0)),"")</f>
      </c>
      <c r="BJ75" s="211">
        <f>IF(ISNUMBER(BJ71),IF(ABS(BJ71+BJ73+BJ74-BJ154)&lt;=1.01,0,ROUND(BJ71+BJ73+BJ74-BJ154,0)),"")</f>
      </c>
      <c r="BK75" s="211">
        <f>IF(ISNUMBER(BK71),IF(ABS(BK71+BK73+BK74-BK154)&lt;=1.01,0,ROUND(BK71+BK73+BK74-BK154,0)),"")</f>
      </c>
      <c r="BL75" s="211">
        <f>IF(ISNUMBER(BL71),IF(ABS(BL71+BL73+BL74-BL154)&lt;=1.01,0,ROUND(BL71+BL73+BL74-BL154,0)),"")</f>
      </c>
      <c r="BM75" s="211">
        <f>IF(ISNUMBER(BM71),IF(ABS(BM71+BM73+BM74-BM154)&lt;=1.01,0,ROUND(BM71+BM73+BM74-BM154,0)),"")</f>
      </c>
      <c r="BN75" s="211">
        <f>IF(ISNUMBER(BN71),IF(ABS(BN71+BN73+BN74-BN154)&lt;=1.01,0,ROUND(BN71+BN73+BN74-BN154,0)),"")</f>
      </c>
      <c r="BO75" s="211">
        <f>IF(ISNUMBER(BO71),IF(ABS(BO71+BO73+BO74-BO154)&lt;=1.01,0,ROUND(BO71+BO73+BO74-BO154,0)),"")</f>
      </c>
      <c r="BP75" s="211">
        <f>IF(ISNUMBER(BP71),IF(ABS(BP71+BP73+BP74-BP154)&lt;=1.01,0,ROUND(BP71+BP73+BP74-BP154,0)),"")</f>
      </c>
      <c r="BQ75" s="211">
        <f>IF(ISNUMBER(BQ71),IF(ABS(BQ71+BQ73+BQ74-BQ154)&lt;=1.01,0,ROUND(BQ71+BQ73+BQ74-BQ154,0)),"")</f>
      </c>
      <c r="BR75" s="211">
        <f>IF(ISNUMBER(BR71),IF(ABS(BR71+BR73+BR74-BR154)&lt;=1.01,0,ROUND(BR71+BR73+BR74-BR154,0)),"")</f>
      </c>
      <c r="BS75" s="211">
        <f>IF(ISNUMBER(BS71),IF(ABS(BS71+BS73+BS74-BS154)&lt;=1.01,0,ROUND(BS71+BS73+BS74-BS154,0)),"")</f>
      </c>
      <c r="BT75" s="211">
        <f>IF(ISNUMBER(BT71),IF(ABS(BT71+BT73+BT74-BT154)&lt;=1.01,0,ROUND(BT71+BT73+BT74-BT154,0)),"")</f>
      </c>
      <c r="BU75" s="211">
        <f>IF(ISNUMBER(BU71),IF(ABS(BU71+BU73+BU74-BU154)&lt;=1.01,0,ROUND(BU71+BU73+BU74-BU154,0)),"")</f>
      </c>
      <c r="BV75" s="211">
        <f>IF(ISNUMBER(BV71),IF(ABS(BV71+BV73+BV74-BV154)&lt;=1.01,0,ROUND(BV71+BV73+BV74-BV154,0)),"")</f>
      </c>
      <c r="BW75" s="211">
        <f>IF(ISNUMBER(BW71),IF(ABS(BW71+BW73+BW74-BW154)&lt;=1.01,0,ROUND(BW71+BW73+BW74-BW154,0)),"")</f>
      </c>
      <c r="BX75" s="211">
        <f>IF(ISNUMBER(BX71),IF(ABS(BX71+BX73+BX74-BX154)&lt;=1.01,0,ROUND(BX71+BX73+BX74-BX154,0)),"")</f>
      </c>
      <c r="BY75" s="153" t="n"/>
      <c r="BZ75" s="153" t="n"/>
      <c r="CA75" s="153" t="n"/>
      <c r="CB75" s="153" t="n"/>
      <c r="CC75" s="153" t="n"/>
      <c r="CD75" s="153" t="n"/>
      <c r="CE75" s="153" t="n"/>
      <c r="CF75" s="153" t="n"/>
      <c r="CN75" s="25" t="inlineStr">
        <is>
          <t xml:space="preserve">  2030E</t>
        </is>
      </c>
      <c r="CO75" s="33">
        <f>CP75+$CO$71</f>
        <v>0.07</v>
      </c>
      <c r="CP75" s="258" t="n">
        <v>0.06</v>
      </c>
      <c r="CQ75" s="33">
        <f>CP75+$CQ$71</f>
        <v>0.045</v>
      </c>
    </row>
    <row r="76" ht="15" customHeight="1" s="251">
      <c r="B76" s="25" t="inlineStr">
        <is>
          <t xml:space="preserve">  2015 as originally reported (before the 2016 restatement allocating SBC to segments):</t>
        </is>
      </c>
      <c r="CF76" s="153" t="n"/>
      <c r="CN76" s="15" t="inlineStr">
        <is>
          <t>AWS_M (AWS segment margin)</t>
        </is>
      </c>
      <c r="CO76" s="261" t="n">
        <v>0.02</v>
      </c>
      <c r="CP76" s="21" t="inlineStr">
        <is>
          <t>Δ →</t>
        </is>
      </c>
      <c r="CQ76" s="261" t="n">
        <v>-0.03</v>
      </c>
      <c r="CR76" s="13" t="inlineStr">
        <is>
          <t>FY2025 35.4%; 1H-26 38.6% (incl. $0.6bn energy-contract gains). Rising depreciation from the AI build-out caps the margin.</t>
        </is>
      </c>
    </row>
    <row r="77" ht="15" customHeight="1" s="251">
      <c r="B77" s="156" t="inlineStr">
        <is>
          <t xml:space="preserve">    North America</t>
        </is>
      </c>
      <c r="C77" s="34" t="n"/>
      <c r="D77" s="34" t="n"/>
      <c r="E77" s="34" t="n"/>
      <c r="F77" s="34" t="n"/>
      <c r="G77" s="34" t="n"/>
      <c r="H77" s="34" t="n"/>
      <c r="I77" s="34" t="n"/>
      <c r="J77" s="34" t="n"/>
      <c r="K77" s="34" t="n"/>
      <c r="L77" s="34" t="n"/>
      <c r="M77" s="34" t="n"/>
      <c r="N77" s="34" t="n"/>
      <c r="O77" s="34" t="n"/>
      <c r="P77" s="34" t="n"/>
      <c r="Q77" s="34" t="n"/>
      <c r="R77" s="34" t="n"/>
      <c r="S77" s="34" t="n"/>
      <c r="T77" s="253" t="n">
        <v>517</v>
      </c>
      <c r="U77" s="253" t="n">
        <v>703</v>
      </c>
      <c r="V77" s="253" t="n">
        <v>528</v>
      </c>
      <c r="W77" s="253" t="n">
        <v>1003</v>
      </c>
      <c r="X77" s="253" t="n">
        <v>2751</v>
      </c>
      <c r="Y77" s="34" t="n"/>
      <c r="Z77" s="34" t="n"/>
      <c r="AA77" s="34" t="n"/>
      <c r="AB77" s="34" t="n"/>
      <c r="AC77" s="34" t="n"/>
      <c r="AD77" s="34" t="n"/>
      <c r="AE77" s="34" t="n"/>
      <c r="AF77" s="34" t="n"/>
      <c r="AG77" s="34" t="n"/>
      <c r="AH77" s="34" t="n"/>
      <c r="AI77" s="34" t="n"/>
      <c r="AJ77" s="34" t="n"/>
      <c r="AK77" s="34" t="n"/>
      <c r="AL77" s="34" t="n"/>
      <c r="AM77" s="34" t="n"/>
      <c r="AN77" s="34" t="n"/>
      <c r="AO77" s="34" t="n"/>
      <c r="AP77" s="34" t="n"/>
      <c r="AQ77" s="34" t="n"/>
      <c r="AR77" s="34" t="n"/>
      <c r="AS77" s="34" t="n"/>
      <c r="AT77" s="34" t="n"/>
      <c r="AU77" s="34" t="n"/>
      <c r="AV77" s="34" t="n"/>
      <c r="AW77" s="34" t="n"/>
      <c r="AX77" s="34" t="n"/>
      <c r="AY77" s="34" t="n"/>
      <c r="AZ77" s="34" t="n"/>
      <c r="BA77" s="34" t="n"/>
      <c r="BB77" s="34" t="n"/>
      <c r="BC77" s="34" t="n"/>
      <c r="BD77" s="34" t="n"/>
      <c r="BE77" s="34" t="n"/>
      <c r="BF77" s="34" t="n"/>
      <c r="BG77" s="34" t="n"/>
      <c r="BH77" s="34" t="n"/>
      <c r="BI77" s="34" t="n"/>
      <c r="BJ77" s="34" t="n"/>
      <c r="BK77" s="34" t="n"/>
      <c r="BL77" s="34" t="n"/>
      <c r="BM77" s="34" t="n"/>
      <c r="BN77" s="34" t="n"/>
      <c r="BO77" s="34" t="n"/>
      <c r="BP77" s="34" t="n"/>
      <c r="BQ77" s="34" t="n"/>
      <c r="BR77" s="34" t="n"/>
      <c r="BS77" s="34" t="n"/>
      <c r="BT77" s="34" t="n"/>
      <c r="BU77" s="34" t="n"/>
      <c r="BV77" s="34" t="n"/>
      <c r="BW77" s="34" t="n"/>
      <c r="BX77" s="34" t="n"/>
      <c r="BY77" s="153" t="n"/>
      <c r="BZ77" s="153" t="n"/>
      <c r="CA77" s="153" t="n"/>
      <c r="CB77" s="153" t="n"/>
      <c r="CC77" s="153" t="n"/>
      <c r="CD77" s="153" t="n"/>
      <c r="CE77" s="153" t="n"/>
      <c r="CF77" s="153" t="n"/>
      <c r="CN77" s="25" t="inlineStr">
        <is>
          <t xml:space="preserve">  2027E</t>
        </is>
      </c>
      <c r="CO77" s="33">
        <f>CP77+$CO$76</f>
        <v>0.38</v>
      </c>
      <c r="CP77" s="258" t="n">
        <v>0.36</v>
      </c>
      <c r="CQ77" s="33">
        <f>CP77+$CQ$76</f>
        <v>0.33</v>
      </c>
    </row>
    <row r="78" ht="15" customHeight="1" s="251">
      <c r="B78" s="156" t="inlineStr">
        <is>
          <t xml:space="preserve">    International</t>
        </is>
      </c>
      <c r="C78" s="34" t="n"/>
      <c r="D78" s="34" t="n"/>
      <c r="E78" s="34" t="n"/>
      <c r="F78" s="34" t="n"/>
      <c r="G78" s="34" t="n"/>
      <c r="H78" s="34" t="n"/>
      <c r="I78" s="34" t="n"/>
      <c r="J78" s="34" t="n"/>
      <c r="K78" s="34" t="n"/>
      <c r="L78" s="34" t="n"/>
      <c r="M78" s="34" t="n"/>
      <c r="N78" s="34" t="n"/>
      <c r="O78" s="34" t="n"/>
      <c r="P78" s="34" t="n"/>
      <c r="Q78" s="34" t="n"/>
      <c r="R78" s="34" t="n"/>
      <c r="S78" s="34" t="n"/>
      <c r="T78" s="253" t="n">
        <v>-76</v>
      </c>
      <c r="U78" s="253" t="n">
        <v>-19</v>
      </c>
      <c r="V78" s="253" t="n">
        <v>-56</v>
      </c>
      <c r="W78" s="253" t="n">
        <v>60</v>
      </c>
      <c r="X78" s="253" t="n">
        <v>-91</v>
      </c>
      <c r="Y78" s="34" t="n"/>
      <c r="Z78" s="34" t="n"/>
      <c r="AA78" s="34" t="n"/>
      <c r="AB78" s="34" t="n"/>
      <c r="AC78" s="34" t="n"/>
      <c r="AD78" s="34" t="n"/>
      <c r="AE78" s="34" t="n"/>
      <c r="AF78" s="34" t="n"/>
      <c r="AG78" s="34" t="n"/>
      <c r="AH78" s="34" t="n"/>
      <c r="AI78" s="34" t="n"/>
      <c r="AJ78" s="34" t="n"/>
      <c r="AK78" s="34" t="n"/>
      <c r="AL78" s="34" t="n"/>
      <c r="AM78" s="34" t="n"/>
      <c r="AN78" s="34" t="n"/>
      <c r="AO78" s="34" t="n"/>
      <c r="AP78" s="34" t="n"/>
      <c r="AQ78" s="34" t="n"/>
      <c r="AR78" s="34" t="n"/>
      <c r="AS78" s="34" t="n"/>
      <c r="AT78" s="34" t="n"/>
      <c r="AU78" s="34" t="n"/>
      <c r="AV78" s="34" t="n"/>
      <c r="AW78" s="34" t="n"/>
      <c r="AX78" s="34" t="n"/>
      <c r="AY78" s="34" t="n"/>
      <c r="AZ78" s="34" t="n"/>
      <c r="BA78" s="34" t="n"/>
      <c r="BB78" s="34" t="n"/>
      <c r="BC78" s="34" t="n"/>
      <c r="BD78" s="34" t="n"/>
      <c r="BE78" s="34" t="n"/>
      <c r="BF78" s="34" t="n"/>
      <c r="BG78" s="34" t="n"/>
      <c r="BH78" s="34" t="n"/>
      <c r="BI78" s="34" t="n"/>
      <c r="BJ78" s="34" t="n"/>
      <c r="BK78" s="34" t="n"/>
      <c r="BL78" s="34" t="n"/>
      <c r="BM78" s="34" t="n"/>
      <c r="BN78" s="34" t="n"/>
      <c r="BO78" s="34" t="n"/>
      <c r="BP78" s="34" t="n"/>
      <c r="BQ78" s="34" t="n"/>
      <c r="BR78" s="34" t="n"/>
      <c r="BS78" s="34" t="n"/>
      <c r="BT78" s="34" t="n"/>
      <c r="BU78" s="34" t="n"/>
      <c r="BV78" s="34" t="n"/>
      <c r="BW78" s="34" t="n"/>
      <c r="BX78" s="34" t="n"/>
      <c r="BY78" s="153" t="n"/>
      <c r="BZ78" s="153" t="n"/>
      <c r="CA78" s="153" t="n"/>
      <c r="CB78" s="153" t="n"/>
      <c r="CC78" s="153" t="n"/>
      <c r="CD78" s="153" t="n"/>
      <c r="CE78" s="153" t="n"/>
      <c r="CF78" s="153" t="n"/>
      <c r="CN78" s="25" t="inlineStr">
        <is>
          <t xml:space="preserve">  2028E</t>
        </is>
      </c>
      <c r="CO78" s="33">
        <f>CP78+$CO$76</f>
        <v>0.375</v>
      </c>
      <c r="CP78" s="258" t="n">
        <v>0.355</v>
      </c>
      <c r="CQ78" s="33">
        <f>CP78+$CQ$76</f>
        <v>0.325</v>
      </c>
    </row>
    <row r="79" ht="15" customHeight="1" s="251">
      <c r="B79" s="156" t="inlineStr">
        <is>
          <t xml:space="preserve">    AWS</t>
        </is>
      </c>
      <c r="C79" s="34" t="n"/>
      <c r="D79" s="34" t="n"/>
      <c r="E79" s="34" t="n"/>
      <c r="F79" s="34" t="n"/>
      <c r="G79" s="34" t="n"/>
      <c r="H79" s="34" t="n"/>
      <c r="I79" s="34" t="n"/>
      <c r="J79" s="34" t="n"/>
      <c r="K79" s="34" t="n"/>
      <c r="L79" s="34" t="n"/>
      <c r="M79" s="34" t="n"/>
      <c r="N79" s="34" t="n"/>
      <c r="O79" s="34" t="n"/>
      <c r="P79" s="34" t="n"/>
      <c r="Q79" s="34" t="n"/>
      <c r="R79" s="34" t="n"/>
      <c r="S79" s="34" t="n"/>
      <c r="T79" s="253" t="n">
        <v>265</v>
      </c>
      <c r="U79" s="253" t="n">
        <v>391</v>
      </c>
      <c r="V79" s="253" t="n">
        <v>521</v>
      </c>
      <c r="W79" s="253" t="n">
        <v>687</v>
      </c>
      <c r="X79" s="253" t="n">
        <v>1863</v>
      </c>
      <c r="Y79" s="34" t="n"/>
      <c r="Z79" s="34" t="n"/>
      <c r="AA79" s="34" t="n"/>
      <c r="AB79" s="34" t="n"/>
      <c r="AC79" s="34" t="n"/>
      <c r="AD79" s="34" t="n"/>
      <c r="AE79" s="34" t="n"/>
      <c r="AF79" s="34" t="n"/>
      <c r="AG79" s="34" t="n"/>
      <c r="AH79" s="34" t="n"/>
      <c r="AI79" s="34" t="n"/>
      <c r="AJ79" s="34" t="n"/>
      <c r="AK79" s="34" t="n"/>
      <c r="AL79" s="34" t="n"/>
      <c r="AM79" s="34" t="n"/>
      <c r="AN79" s="34" t="n"/>
      <c r="AO79" s="34" t="n"/>
      <c r="AP79" s="34" t="n"/>
      <c r="AQ79" s="34" t="n"/>
      <c r="AR79" s="34" t="n"/>
      <c r="AS79" s="34" t="n"/>
      <c r="AT79" s="34" t="n"/>
      <c r="AU79" s="34" t="n"/>
      <c r="AV79" s="34" t="n"/>
      <c r="AW79" s="34" t="n"/>
      <c r="AX79" s="34" t="n"/>
      <c r="AY79" s="34" t="n"/>
      <c r="AZ79" s="34" t="n"/>
      <c r="BA79" s="34" t="n"/>
      <c r="BB79" s="34" t="n"/>
      <c r="BC79" s="34" t="n"/>
      <c r="BD79" s="34" t="n"/>
      <c r="BE79" s="34" t="n"/>
      <c r="BF79" s="34" t="n"/>
      <c r="BG79" s="34" t="n"/>
      <c r="BH79" s="34" t="n"/>
      <c r="BI79" s="34" t="n"/>
      <c r="BJ79" s="34" t="n"/>
      <c r="BK79" s="34" t="n"/>
      <c r="BL79" s="34" t="n"/>
      <c r="BM79" s="34" t="n"/>
      <c r="BN79" s="34" t="n"/>
      <c r="BO79" s="34" t="n"/>
      <c r="BP79" s="34" t="n"/>
      <c r="BQ79" s="34" t="n"/>
      <c r="BR79" s="34" t="n"/>
      <c r="BS79" s="34" t="n"/>
      <c r="BT79" s="34" t="n"/>
      <c r="BU79" s="34" t="n"/>
      <c r="BV79" s="34" t="n"/>
      <c r="BW79" s="34" t="n"/>
      <c r="BX79" s="34" t="n"/>
      <c r="BY79" s="153" t="n"/>
      <c r="BZ79" s="153" t="n"/>
      <c r="CA79" s="153" t="n"/>
      <c r="CB79" s="153" t="n"/>
      <c r="CC79" s="153" t="n"/>
      <c r="CD79" s="153" t="n"/>
      <c r="CE79" s="153" t="n"/>
      <c r="CF79" s="153" t="n"/>
      <c r="CN79" s="25" t="inlineStr">
        <is>
          <t xml:space="preserve">  2029E</t>
        </is>
      </c>
      <c r="CO79" s="33">
        <f>CP79+$CO$76</f>
        <v>0.37</v>
      </c>
      <c r="CP79" s="258" t="n">
        <v>0.35</v>
      </c>
      <c r="CQ79" s="33">
        <f>CP79+$CQ$76</f>
        <v>0.32</v>
      </c>
    </row>
    <row r="80" collapsed="1" ht="15" customHeight="1" s="251">
      <c r="B80" s="156" t="inlineStr">
        <is>
          <t xml:space="preserve">    Unallocated SBC &amp; other operating expense</t>
        </is>
      </c>
      <c r="C80" s="34" t="n"/>
      <c r="D80" s="34" t="n"/>
      <c r="E80" s="34" t="n"/>
      <c r="F80" s="34" t="n"/>
      <c r="G80" s="34" t="n"/>
      <c r="H80" s="34" t="n"/>
      <c r="I80" s="34" t="n"/>
      <c r="J80" s="34" t="n"/>
      <c r="K80" s="34" t="n"/>
      <c r="L80" s="34" t="n"/>
      <c r="M80" s="34" t="n"/>
      <c r="N80" s="34" t="n"/>
      <c r="O80" s="34" t="n"/>
      <c r="P80" s="34" t="n"/>
      <c r="Q80" s="34" t="n"/>
      <c r="R80" s="34" t="n"/>
      <c r="S80" s="34" t="n"/>
      <c r="T80" s="253" t="n">
        <v>-451</v>
      </c>
      <c r="U80" s="253" t="n">
        <v>-611</v>
      </c>
      <c r="V80" s="253" t="n">
        <v>-587</v>
      </c>
      <c r="W80" s="253" t="n">
        <v>-642</v>
      </c>
      <c r="X80" s="253" t="n">
        <v>-2290</v>
      </c>
      <c r="Y80" s="34" t="n"/>
      <c r="Z80" s="34" t="n"/>
      <c r="AA80" s="34" t="n"/>
      <c r="AB80" s="34" t="n"/>
      <c r="AC80" s="34" t="n"/>
      <c r="AD80" s="34" t="n"/>
      <c r="AE80" s="34" t="n"/>
      <c r="AF80" s="34" t="n"/>
      <c r="AG80" s="34" t="n"/>
      <c r="AH80" s="34" t="n"/>
      <c r="AI80" s="34" t="n"/>
      <c r="AJ80" s="34" t="n"/>
      <c r="AK80" s="34" t="n"/>
      <c r="AL80" s="34" t="n"/>
      <c r="AM80" s="34" t="n"/>
      <c r="AN80" s="34" t="n"/>
      <c r="AO80" s="34" t="n"/>
      <c r="AP80" s="34" t="n"/>
      <c r="AQ80" s="34" t="n"/>
      <c r="AR80" s="34" t="n"/>
      <c r="AS80" s="34" t="n"/>
      <c r="AT80" s="34" t="n"/>
      <c r="AU80" s="34" t="n"/>
      <c r="AV80" s="34" t="n"/>
      <c r="AW80" s="34" t="n"/>
      <c r="AX80" s="34" t="n"/>
      <c r="AY80" s="34" t="n"/>
      <c r="AZ80" s="34" t="n"/>
      <c r="BA80" s="34" t="n"/>
      <c r="BB80" s="34" t="n"/>
      <c r="BC80" s="34" t="n"/>
      <c r="BD80" s="34" t="n"/>
      <c r="BE80" s="34" t="n"/>
      <c r="BF80" s="34" t="n"/>
      <c r="BG80" s="34" t="n"/>
      <c r="BH80" s="34" t="n"/>
      <c r="BI80" s="34" t="n"/>
      <c r="BJ80" s="34" t="n"/>
      <c r="BK80" s="34" t="n"/>
      <c r="BL80" s="34" t="n"/>
      <c r="BM80" s="34" t="n"/>
      <c r="BN80" s="34" t="n"/>
      <c r="BO80" s="34" t="n"/>
      <c r="BP80" s="34" t="n"/>
      <c r="BQ80" s="34" t="n"/>
      <c r="BR80" s="34" t="n"/>
      <c r="BS80" s="34" t="n"/>
      <c r="BT80" s="34" t="n"/>
      <c r="BU80" s="34" t="n"/>
      <c r="BV80" s="34" t="n"/>
      <c r="BW80" s="34" t="n"/>
      <c r="BX80" s="34" t="n"/>
      <c r="BY80" s="153" t="n"/>
      <c r="BZ80" s="153" t="n"/>
      <c r="CA80" s="153" t="n"/>
      <c r="CB80" s="153" t="n"/>
      <c r="CC80" s="153" t="n"/>
      <c r="CD80" s="153" t="n"/>
      <c r="CE80" s="153" t="n"/>
      <c r="CF80" s="153" t="n"/>
      <c r="CN80" s="25" t="inlineStr">
        <is>
          <t xml:space="preserve">  2030E</t>
        </is>
      </c>
      <c r="CO80" s="33">
        <f>CP80+$CO$76</f>
        <v>0.37</v>
      </c>
      <c r="CP80" s="258" t="n">
        <v>0.35</v>
      </c>
      <c r="CQ80" s="33">
        <f>CP80+$CQ$76</f>
        <v>0.32</v>
      </c>
    </row>
    <row r="81" ht="15" customHeight="1" s="251">
      <c r="B81" s="25" t="inlineStr">
        <is>
          <t xml:space="preserve">  Legacy supplemental net sales (Media / Electronics &amp; other general merchandise / Other; NA + International; 2006–2016):</t>
        </is>
      </c>
      <c r="CF81" s="153" t="n"/>
      <c r="CN81" s="15" t="inlineStr">
        <is>
          <t>CAPEX (gross capex % of net sales)</t>
        </is>
      </c>
      <c r="CO81" s="261" t="n">
        <v>-0.01</v>
      </c>
      <c r="CP81" s="21" t="inlineStr">
        <is>
          <t>Δ →</t>
        </is>
      </c>
      <c r="CQ81" s="261" t="n">
        <v>0.015</v>
      </c>
      <c r="CR81" s="13" t="inlineStr">
        <is>
          <t>FY2025 18.4%; 1H-26 25.8%. AI / data-centre build-out peaking in 2026–27, then normalising (assumption).</t>
        </is>
      </c>
    </row>
    <row r="82" ht="15" customHeight="1" s="251">
      <c r="B82" s="156" t="inlineStr">
        <is>
          <t xml:space="preserve">    Media</t>
        </is>
      </c>
      <c r="C82" s="253" t="n">
        <v>7067</v>
      </c>
      <c r="D82" s="253" t="n">
        <v>9242</v>
      </c>
      <c r="E82" s="253" t="n">
        <v>11084</v>
      </c>
      <c r="F82" s="253" t="n">
        <v>12774</v>
      </c>
      <c r="G82" s="253" t="n">
        <v>14888</v>
      </c>
      <c r="H82" s="253" t="n">
        <v>17779</v>
      </c>
      <c r="I82" s="253" t="n">
        <v>19942</v>
      </c>
      <c r="J82" s="253" t="n">
        <v>5058</v>
      </c>
      <c r="K82" s="253" t="n">
        <v>4397</v>
      </c>
      <c r="L82" s="253" t="n">
        <v>5033</v>
      </c>
      <c r="M82" s="253" t="n">
        <v>7227</v>
      </c>
      <c r="N82" s="253" t="n">
        <v>21716</v>
      </c>
      <c r="O82" s="253" t="n">
        <v>5467</v>
      </c>
      <c r="P82" s="253" t="n">
        <v>4844</v>
      </c>
      <c r="Q82" s="253" t="n">
        <v>5244</v>
      </c>
      <c r="R82" s="253" t="n">
        <v>6950</v>
      </c>
      <c r="S82" s="253" t="n">
        <v>22505</v>
      </c>
      <c r="T82" s="253" t="n">
        <v>5289</v>
      </c>
      <c r="U82" s="253" t="n">
        <v>4714</v>
      </c>
      <c r="V82" s="253" t="n">
        <v>5283</v>
      </c>
      <c r="W82" s="253" t="n">
        <v>7223</v>
      </c>
      <c r="X82" s="253" t="n">
        <v>22509</v>
      </c>
      <c r="Y82" s="253" t="n">
        <v>5688</v>
      </c>
      <c r="Z82" s="253" t="n">
        <v>5211</v>
      </c>
      <c r="AA82" s="253" t="n">
        <v>5728</v>
      </c>
      <c r="AB82" s="253" t="n">
        <v>7585</v>
      </c>
      <c r="AC82" s="253" t="n">
        <v>24211</v>
      </c>
      <c r="AD82" s="34" t="n"/>
      <c r="AE82" s="34" t="n"/>
      <c r="AF82" s="34" t="n"/>
      <c r="AG82" s="34" t="n"/>
      <c r="AH82" s="34" t="n"/>
      <c r="AI82" s="34" t="n"/>
      <c r="AJ82" s="34" t="n"/>
      <c r="AK82" s="34" t="n"/>
      <c r="AL82" s="34" t="n"/>
      <c r="AM82" s="34" t="n"/>
      <c r="AN82" s="34" t="n"/>
      <c r="AO82" s="34" t="n"/>
      <c r="AP82" s="34" t="n"/>
      <c r="AQ82" s="34" t="n"/>
      <c r="AR82" s="34" t="n"/>
      <c r="AS82" s="34" t="n"/>
      <c r="AT82" s="34" t="n"/>
      <c r="AU82" s="34" t="n"/>
      <c r="AV82" s="34" t="n"/>
      <c r="AW82" s="34" t="n"/>
      <c r="AX82" s="34" t="n"/>
      <c r="AY82" s="34" t="n"/>
      <c r="AZ82" s="34" t="n"/>
      <c r="BA82" s="34" t="n"/>
      <c r="BB82" s="34" t="n"/>
      <c r="BC82" s="34" t="n"/>
      <c r="BD82" s="34" t="n"/>
      <c r="BE82" s="34" t="n"/>
      <c r="BF82" s="34" t="n"/>
      <c r="BG82" s="34" t="n"/>
      <c r="BH82" s="34" t="n"/>
      <c r="BI82" s="34" t="n"/>
      <c r="BJ82" s="34" t="n"/>
      <c r="BK82" s="34" t="n"/>
      <c r="BL82" s="34" t="n"/>
      <c r="BM82" s="34" t="n"/>
      <c r="BN82" s="34" t="n"/>
      <c r="BO82" s="34" t="n"/>
      <c r="BP82" s="34" t="n"/>
      <c r="BQ82" s="34" t="n"/>
      <c r="BR82" s="34" t="n"/>
      <c r="BS82" s="34" t="n"/>
      <c r="BT82" s="34" t="n"/>
      <c r="BU82" s="34" t="n"/>
      <c r="BV82" s="34" t="n"/>
      <c r="BW82" s="34" t="n"/>
      <c r="BX82" s="34" t="n"/>
      <c r="BY82" s="153" t="n"/>
      <c r="BZ82" s="153" t="n"/>
      <c r="CA82" s="153" t="n"/>
      <c r="CB82" s="153" t="n"/>
      <c r="CC82" s="153" t="n"/>
      <c r="CD82" s="153" t="n"/>
      <c r="CE82" s="153" t="n"/>
      <c r="CF82" s="153" t="n"/>
      <c r="CN82" s="25" t="inlineStr">
        <is>
          <t xml:space="preserve">  2027E</t>
        </is>
      </c>
      <c r="CO82" s="33">
        <f>CP82+$CO$81</f>
        <v>0.22</v>
      </c>
      <c r="CP82" s="258" t="n">
        <v>0.23</v>
      </c>
      <c r="CQ82" s="33">
        <f>CP82+$CQ$81</f>
        <v>0.245</v>
      </c>
    </row>
    <row r="83" ht="15" customHeight="1" s="251">
      <c r="B83" s="156" t="inlineStr">
        <is>
          <t xml:space="preserve">    Electronics and other general merchandise</t>
        </is>
      </c>
      <c r="C83" s="253" t="n">
        <v>3361</v>
      </c>
      <c r="D83" s="253" t="n">
        <v>5210</v>
      </c>
      <c r="E83" s="253" t="n">
        <v>7540</v>
      </c>
      <c r="F83" s="253" t="n">
        <v>11082</v>
      </c>
      <c r="G83" s="253" t="n">
        <v>18363</v>
      </c>
      <c r="H83" s="253" t="n">
        <v>28712</v>
      </c>
      <c r="I83" s="253" t="n">
        <v>38628</v>
      </c>
      <c r="J83" s="253" t="n">
        <v>10214</v>
      </c>
      <c r="K83" s="253" t="n">
        <v>10415</v>
      </c>
      <c r="L83" s="253" t="n">
        <v>11048</v>
      </c>
      <c r="M83" s="253" t="n">
        <v>17126</v>
      </c>
      <c r="N83" s="253" t="n">
        <v>48802</v>
      </c>
      <c r="O83" s="253" t="n">
        <v>13017</v>
      </c>
      <c r="P83" s="253" t="n">
        <v>13278</v>
      </c>
      <c r="Q83" s="253" t="n">
        <v>13953</v>
      </c>
      <c r="R83" s="253" t="n">
        <v>20638</v>
      </c>
      <c r="S83" s="253" t="n">
        <v>60886</v>
      </c>
      <c r="T83" s="253" t="n">
        <v>15628</v>
      </c>
      <c r="U83" s="253" t="n">
        <v>16412</v>
      </c>
      <c r="V83" s="253" t="n">
        <v>17741</v>
      </c>
      <c r="W83" s="253" t="n">
        <v>25816</v>
      </c>
      <c r="X83" s="253" t="n">
        <v>75597</v>
      </c>
      <c r="Y83" s="253" t="n">
        <v>20545</v>
      </c>
      <c r="Z83" s="253" t="n">
        <v>21963</v>
      </c>
      <c r="AA83" s="253" t="n">
        <v>23383</v>
      </c>
      <c r="AB83" s="253" t="n">
        <v>32104</v>
      </c>
      <c r="AC83" s="253" t="n">
        <v>97994</v>
      </c>
      <c r="AD83" s="34" t="n"/>
      <c r="AE83" s="34" t="n"/>
      <c r="AF83" s="34" t="n"/>
      <c r="AG83" s="34" t="n"/>
      <c r="AH83" s="34" t="n"/>
      <c r="AI83" s="34" t="n"/>
      <c r="AJ83" s="34" t="n"/>
      <c r="AK83" s="34" t="n"/>
      <c r="AL83" s="34" t="n"/>
      <c r="AM83" s="34" t="n"/>
      <c r="AN83" s="34" t="n"/>
      <c r="AO83" s="34" t="n"/>
      <c r="AP83" s="34" t="n"/>
      <c r="AQ83" s="34" t="n"/>
      <c r="AR83" s="34" t="n"/>
      <c r="AS83" s="34" t="n"/>
      <c r="AT83" s="34" t="n"/>
      <c r="AU83" s="34" t="n"/>
      <c r="AV83" s="34" t="n"/>
      <c r="AW83" s="34" t="n"/>
      <c r="AX83" s="34" t="n"/>
      <c r="AY83" s="34" t="n"/>
      <c r="AZ83" s="34" t="n"/>
      <c r="BA83" s="34" t="n"/>
      <c r="BB83" s="34" t="n"/>
      <c r="BC83" s="34" t="n"/>
      <c r="BD83" s="34" t="n"/>
      <c r="BE83" s="34" t="n"/>
      <c r="BF83" s="34" t="n"/>
      <c r="BG83" s="34" t="n"/>
      <c r="BH83" s="34" t="n"/>
      <c r="BI83" s="34" t="n"/>
      <c r="BJ83" s="34" t="n"/>
      <c r="BK83" s="34" t="n"/>
      <c r="BL83" s="34" t="n"/>
      <c r="BM83" s="34" t="n"/>
      <c r="BN83" s="34" t="n"/>
      <c r="BO83" s="34" t="n"/>
      <c r="BP83" s="34" t="n"/>
      <c r="BQ83" s="34" t="n"/>
      <c r="BR83" s="34" t="n"/>
      <c r="BS83" s="34" t="n"/>
      <c r="BT83" s="34" t="n"/>
      <c r="BU83" s="34" t="n"/>
      <c r="BV83" s="34" t="n"/>
      <c r="BW83" s="34" t="n"/>
      <c r="BX83" s="34" t="n"/>
      <c r="BY83" s="153" t="n"/>
      <c r="BZ83" s="153" t="n"/>
      <c r="CA83" s="153" t="n"/>
      <c r="CB83" s="153" t="n"/>
      <c r="CC83" s="153" t="n"/>
      <c r="CD83" s="153" t="n"/>
      <c r="CE83" s="153" t="n"/>
      <c r="CF83" s="153" t="n"/>
      <c r="CN83" s="25" t="inlineStr">
        <is>
          <t xml:space="preserve">  2028E</t>
        </is>
      </c>
      <c r="CO83" s="33">
        <f>CP83+$CO$81</f>
        <v>0.2</v>
      </c>
      <c r="CP83" s="258" t="n">
        <v>0.21</v>
      </c>
      <c r="CQ83" s="33">
        <f>CP83+$CQ$81</f>
        <v>0.225</v>
      </c>
    </row>
    <row r="84" ht="15" customHeight="1" s="251">
      <c r="B84" s="156" t="inlineStr">
        <is>
          <t xml:space="preserve">    Other (incl. AWS to 2014)</t>
        </is>
      </c>
      <c r="C84" s="253" t="n">
        <v>283</v>
      </c>
      <c r="D84" s="253" t="n">
        <v>383</v>
      </c>
      <c r="E84" s="253" t="n">
        <v>542</v>
      </c>
      <c r="F84" s="253" t="n">
        <v>653</v>
      </c>
      <c r="G84" s="253" t="n">
        <v>953</v>
      </c>
      <c r="H84" s="253" t="n">
        <v>1586</v>
      </c>
      <c r="I84" s="253" t="n">
        <v>2523</v>
      </c>
      <c r="J84" s="253" t="n">
        <v>798</v>
      </c>
      <c r="K84" s="253" t="n">
        <v>892</v>
      </c>
      <c r="L84" s="253" t="n">
        <v>1011</v>
      </c>
      <c r="M84" s="253" t="n">
        <v>1234</v>
      </c>
      <c r="N84" s="253" t="n">
        <v>3934</v>
      </c>
      <c r="O84" s="253" t="n">
        <v>1257</v>
      </c>
      <c r="P84" s="253" t="n">
        <v>1218</v>
      </c>
      <c r="Q84" s="253" t="n">
        <v>1382</v>
      </c>
      <c r="R84" s="253" t="n">
        <v>1740</v>
      </c>
      <c r="S84" s="253" t="n">
        <v>5597</v>
      </c>
      <c r="T84" s="253" t="n">
        <v>234</v>
      </c>
      <c r="U84" s="253" t="n">
        <v>235</v>
      </c>
      <c r="V84" s="253" t="n">
        <v>249</v>
      </c>
      <c r="W84" s="253" t="n">
        <v>303</v>
      </c>
      <c r="X84" s="253" t="n">
        <v>1020</v>
      </c>
      <c r="Y84" s="253" t="n">
        <v>329</v>
      </c>
      <c r="Z84" s="253" t="n">
        <v>344</v>
      </c>
      <c r="AA84" s="253" t="n">
        <v>372</v>
      </c>
      <c r="AB84" s="253" t="n">
        <v>516</v>
      </c>
      <c r="AC84" s="253" t="n">
        <v>1563</v>
      </c>
      <c r="AD84" s="34" t="n"/>
      <c r="AE84" s="34" t="n"/>
      <c r="AF84" s="34" t="n"/>
      <c r="AG84" s="34" t="n"/>
      <c r="AH84" s="34" t="n"/>
      <c r="AI84" s="34" t="n"/>
      <c r="AJ84" s="34" t="n"/>
      <c r="AK84" s="34" t="n"/>
      <c r="AL84" s="34" t="n"/>
      <c r="AM84" s="34" t="n"/>
      <c r="AN84" s="34" t="n"/>
      <c r="AO84" s="34" t="n"/>
      <c r="AP84" s="34" t="n"/>
      <c r="AQ84" s="34" t="n"/>
      <c r="AR84" s="34" t="n"/>
      <c r="AS84" s="34" t="n"/>
      <c r="AT84" s="34" t="n"/>
      <c r="AU84" s="34" t="n"/>
      <c r="AV84" s="34" t="n"/>
      <c r="AW84" s="34" t="n"/>
      <c r="AX84" s="34" t="n"/>
      <c r="AY84" s="34" t="n"/>
      <c r="AZ84" s="34" t="n"/>
      <c r="BA84" s="34" t="n"/>
      <c r="BB84" s="34" t="n"/>
      <c r="BC84" s="34" t="n"/>
      <c r="BD84" s="34" t="n"/>
      <c r="BE84" s="34" t="n"/>
      <c r="BF84" s="34" t="n"/>
      <c r="BG84" s="34" t="n"/>
      <c r="BH84" s="34" t="n"/>
      <c r="BI84" s="34" t="n"/>
      <c r="BJ84" s="34" t="n"/>
      <c r="BK84" s="34" t="n"/>
      <c r="BL84" s="34" t="n"/>
      <c r="BM84" s="34" t="n"/>
      <c r="BN84" s="34" t="n"/>
      <c r="BO84" s="34" t="n"/>
      <c r="BP84" s="34" t="n"/>
      <c r="BQ84" s="34" t="n"/>
      <c r="BR84" s="34" t="n"/>
      <c r="BS84" s="34" t="n"/>
      <c r="BT84" s="34" t="n"/>
      <c r="BU84" s="34" t="n"/>
      <c r="BV84" s="34" t="n"/>
      <c r="BW84" s="34" t="n"/>
      <c r="BX84" s="34" t="n"/>
      <c r="BY84" s="153" t="n"/>
      <c r="BZ84" s="153" t="n"/>
      <c r="CA84" s="153" t="n"/>
      <c r="CB84" s="153" t="n"/>
      <c r="CC84" s="153" t="n"/>
      <c r="CD84" s="153" t="n"/>
      <c r="CE84" s="153" t="n"/>
      <c r="CF84" s="153" t="n"/>
      <c r="CN84" s="25" t="inlineStr">
        <is>
          <t xml:space="preserve">  2029E</t>
        </is>
      </c>
      <c r="CO84" s="33">
        <f>CP84+$CO$81</f>
        <v>0.18</v>
      </c>
      <c r="CP84" s="258" t="n">
        <v>0.19</v>
      </c>
      <c r="CQ84" s="33">
        <f>CP84+$CQ$81</f>
        <v>0.205</v>
      </c>
    </row>
    <row r="85" ht="15" customHeight="1" s="251">
      <c r="B85" s="22" t="inlineStr">
        <is>
          <t xml:space="preserve">  Contribution to net sales growth — North America (pp)</t>
        </is>
      </c>
      <c r="D85" s="255">
        <f>IF(AND(ISNUMBER(D44),ISNUMBER(C44)),IFERROR((D44-C44)/C144,""),"")</f>
      </c>
      <c r="E85" s="255">
        <f>IF(AND(ISNUMBER(E44),ISNUMBER(D44)),IFERROR((E44-D44)/D144,""),"")</f>
      </c>
      <c r="F85" s="255">
        <f>IF(AND(ISNUMBER(F44),ISNUMBER(E44)),IFERROR((F44-E44)/E144,""),"")</f>
      </c>
      <c r="G85" s="255">
        <f>IF(AND(ISNUMBER(G44),ISNUMBER(F44)),IFERROR((G44-F44)/F144,""),"")</f>
      </c>
      <c r="H85" s="255">
        <f>IF(AND(ISNUMBER(H44),ISNUMBER(G44)),IFERROR((H44-G44)/G144,""),"")</f>
      </c>
      <c r="I85" s="255">
        <f>IF(AND(ISNUMBER(I44),ISNUMBER(H44)),IFERROR((I44-H44)/H144,""),"")</f>
      </c>
      <c r="N85" s="255">
        <f>IF(AND(ISNUMBER(N44),ISNUMBER(I44)),IFERROR((N44-I44)/I144,""),"")</f>
      </c>
      <c r="O85" s="255">
        <f>IF(AND(ISNUMBER(O44),ISNUMBER(J44)),IFERROR((O44-J44)/J144,""),"")</f>
      </c>
      <c r="P85" s="255">
        <f>IF(AND(ISNUMBER(P44),ISNUMBER(K44)),IFERROR((P44-K44)/K144,""),"")</f>
      </c>
      <c r="Q85" s="255">
        <f>IF(AND(ISNUMBER(Q44),ISNUMBER(L44)),IFERROR((Q44-L44)/L144,""),"")</f>
      </c>
      <c r="R85" s="255">
        <f>IF(AND(ISNUMBER(R44),ISNUMBER(M44)),IFERROR((R44-M44)/M144,""),"")</f>
      </c>
      <c r="S85" s="255">
        <f>IF(AND(ISNUMBER(S44),ISNUMBER(N44)),IFERROR((S44-N44)/N144,""),"")</f>
        <v>0.126578198033632</v>
      </c>
      <c r="T85" s="255">
        <f>IF(AND(ISNUMBER(T44),ISNUMBER(O44)),IFERROR((T44-O44)/O144,""),"")</f>
        <v>0.13160427536599</v>
      </c>
      <c r="U85" s="255">
        <f>IF(AND(ISNUMBER(U44),ISNUMBER(P44)),IFERROR((U44-P44)/P144,""),"")</f>
        <v>0.14488107549121</v>
      </c>
      <c r="V85" s="255">
        <f>IF(AND(ISNUMBER(V44),ISNUMBER(Q44)),IFERROR((V44-Q44)/Q144,""),"")</f>
        <v>0.160697798726857</v>
      </c>
      <c r="W85" s="255">
        <f>IF(AND(ISNUMBER(W44),ISNUMBER(R44)),IFERROR((W44-R44)/R144,""),"")</f>
        <v>0.142116748499727</v>
      </c>
      <c r="X85" s="255">
        <f>IF(AND(ISNUMBER(X44),ISNUMBER(S44)),IFERROR((X44-S44)/S144,""),"")</f>
        <v>0.144671191621342</v>
      </c>
      <c r="Y85" s="255">
        <f>IF(AND(ISNUMBER(Y44),ISNUMBER(T44)),IFERROR((Y44-T44)/T144,""),"")</f>
        <v>0.158031430206453</v>
      </c>
      <c r="Z85" s="255">
        <f>IF(AND(ISNUMBER(Z44),ISNUMBER(U44)),IFERROR((Z44-U44)/U144,""),"")</f>
        <v>0.167263316799655</v>
      </c>
      <c r="AA85" s="255">
        <f>IF(AND(ISNUMBER(AA44),ISNUMBER(V44)),IFERROR((AA44-V44)/V144,""),"")</f>
        <v>0.152535688934459</v>
      </c>
      <c r="AB85" s="255">
        <f>IF(AND(ISNUMBER(AB44),ISNUMBER(W44)),IFERROR((AB44-W44)/W144,""),"")</f>
        <v>0.132570565362128</v>
      </c>
      <c r="AC85" s="255">
        <f>IF(AND(ISNUMBER(AC44),ISNUMBER(X44)),IFERROR((AC44-X44)/X144,""),"")</f>
        <v>0.150243911556361</v>
      </c>
      <c r="AD85" s="255">
        <f>IF(AND(ISNUMBER(AD44),ISNUMBER(Y44)),IFERROR((AD44-Y44)/Y144,""),"")</f>
        <v>0.137187585828069</v>
      </c>
      <c r="AE85" s="255">
        <f>IF(AND(ISNUMBER(AE44),ISNUMBER(Z44)),IFERROR((AE44-Z44)/Z144,""),"")</f>
        <v>0.154453361399816</v>
      </c>
      <c r="AF85" s="255">
        <f>IF(AND(ISNUMBER(AF44),ISNUMBER(AA44)),IFERROR((AF44-AA44)/AA144,""),"")</f>
        <v>0.200892584214709</v>
      </c>
      <c r="AG85" s="255">
        <f>IF(AND(ISNUMBER(AG44),ISNUMBER(AB44)),IFERROR((AG44-AB44)/AB144,""),"")</f>
        <v>0.252897738963444</v>
      </c>
      <c r="AH85" s="255">
        <f>IF(AND(ISNUMBER(AH44),ISNUMBER(AC44)),IFERROR((AH44-AC44)/AC144,""),"")</f>
        <v>0.193584680888614</v>
      </c>
      <c r="AI85" s="255">
        <f>IF(AND(ISNUMBER(AI44),ISNUMBER(AD44)),IFERROR((AI44-AD44)/AD144,""),"")</f>
        <v>0.272526180209442</v>
      </c>
      <c r="AJ85" s="255">
        <f>IF(AND(ISNUMBER(AJ44),ISNUMBER(AE44)),IFERROR((AJ44-AE44)/AE144,""),"")</f>
        <v>0.258174153602951</v>
      </c>
      <c r="AK85" s="255">
        <f>IF(AND(ISNUMBER(AK44),ISNUMBER(AF44)),IFERROR((AK44-AF44)/AF144,""),"")</f>
        <v>0.203502194586686</v>
      </c>
      <c r="AL85" s="255">
        <f>IF(AND(ISNUMBER(AL44),ISNUMBER(AG44)),IFERROR((AL44-AG44)/AG144,""),"")</f>
        <v>0.112847997617984</v>
      </c>
      <c r="AM85" s="255">
        <f>IF(AND(ISNUMBER(AM44),ISNUMBER(AH44)),IFERROR((AM44-AH44)/AH144,""),"")</f>
        <v>0.198216634994884</v>
      </c>
      <c r="AN85" s="255">
        <f>IF(AND(ISNUMBER(AN44),ISNUMBER(AI44)),IFERROR((AN44-AI44)/AI144,""),"")</f>
        <v>0.099663022608832</v>
      </c>
      <c r="AO85" s="255">
        <f>IF(AND(ISNUMBER(AO44),ISNUMBER(AJ44)),IFERROR((AO44-AJ44)/AJ144,""),"")</f>
        <v>0.122603335476308</v>
      </c>
      <c r="AP85" s="255">
        <f>IF(AND(ISNUMBER(AP44),ISNUMBER(AK44)),IFERROR((AP44-AK44)/AK144,""),"")</f>
        <v>0.146528563348416</v>
      </c>
      <c r="AQ85" s="255">
        <f>IF(AND(ISNUMBER(AQ44),ISNUMBER(AL44)),IFERROR((AQ44-AL44)/AL144,""),"")</f>
        <v>0.131881795449208</v>
      </c>
      <c r="AR85" s="255">
        <f>IF(AND(ISNUMBER(AR44),ISNUMBER(AM44)),IFERROR((AR44-AM44)/AM144,""),"")</f>
        <v>0.126271539416112</v>
      </c>
      <c r="AS85" s="255">
        <f>IF(AND(ISNUMBER(AS44),ISNUMBER(AN44)),IFERROR((AS44-AN44)/AN144,""),"")</f>
        <v>0.172780569514238</v>
      </c>
      <c r="AT85" s="255">
        <f>IF(AND(ISNUMBER(AT44),ISNUMBER(AO44)),IFERROR((AT44-AO44)/AO144,""),"")</f>
        <v>0.264699388051227</v>
      </c>
      <c r="AU85" s="255">
        <f>IF(AND(ISNUMBER(AU44),ISNUMBER(AP44)),IFERROR((AU44-AP44)/AP144,""),"")</f>
        <v>0.239136337005759</v>
      </c>
      <c r="AV85" s="255">
        <f>IF(AND(ISNUMBER(AV44),ISNUMBER(AQ44)),IFERROR((AV44-AQ44)/AQ144,""),"")</f>
        <v>0.24790420531354</v>
      </c>
      <c r="AW85" s="255">
        <f>IF(AND(ISNUMBER(AW44),ISNUMBER(AR44)),IFERROR((AW44-AR44)/AR144,""),"")</f>
        <v>0.233525356300041</v>
      </c>
      <c r="AX85" s="255">
        <f>IF(AND(ISNUMBER(AX44),ISNUMBER(AS44)),IFERROR((AX44-AS44)/AS144,""),"")</f>
        <v>0.241729841488629</v>
      </c>
      <c r="AY85" s="255">
        <f>IF(AND(ISNUMBER(AY44),ISNUMBER(AT44)),IFERROR((AY44-AT44)/AT144,""),"")</f>
        <v>0.136247075760302</v>
      </c>
      <c r="AZ85" s="255">
        <f>IF(AND(ISNUMBER(AZ44),ISNUMBER(AU44)),IFERROR((AZ44-AU44)/AU144,""),"")</f>
        <v>0.0643195173956004</v>
      </c>
      <c r="BA85" s="255">
        <f>IF(AND(ISNUMBER(BA44),ISNUMBER(AV44)),IFERROR((BA44-AV44)/AV144,""),"")</f>
        <v>0.0558639639998407</v>
      </c>
      <c r="BB85" s="255">
        <f>IF(AND(ISNUMBER(BB44),ISNUMBER(AW44)),IFERROR((BB44-AW44)/AW144,""),"")</f>
        <v>0.112807720999627</v>
      </c>
      <c r="BC85" s="255">
        <f>IF(AND(ISNUMBER(BC44),ISNUMBER(AX44)),IFERROR((BC44-AX44)/AX144,""),"")</f>
        <v>0.044951068025581</v>
      </c>
      <c r="BD85" s="255">
        <f>IF(AND(ISNUMBER(BD44),ISNUMBER(AY44)),IFERROR((BD44-AY44)/AY144,""),"")</f>
        <v>0.060841881853555</v>
      </c>
      <c r="BE85" s="255">
        <f>IF(AND(ISNUMBER(BE44),ISNUMBER(AZ44)),IFERROR((BE44-AZ44)/AZ144,""),"")</f>
        <v>0.119896762083529</v>
      </c>
      <c r="BF85" s="255">
        <f>IF(AND(ISNUMBER(BF44),ISNUMBER(BA44)),IFERROR((BF44-BA44)/BA144,""),"")</f>
        <v>0.0800730649433819</v>
      </c>
      <c r="BG85" s="255">
        <f>IF(AND(ISNUMBER(BG44),ISNUMBER(BB44)),IFERROR((BG44-BB44)/BB144,""),"")</f>
        <v>0.0767248021591156</v>
      </c>
      <c r="BH85" s="255">
        <f>IF(AND(ISNUMBER(BH44),ISNUMBER(BC44)),IFERROR((BH44-BC44)/BC144,""),"")</f>
        <v>0.0655851739892137</v>
      </c>
      <c r="BI85" s="255">
        <f>IF(AND(ISNUMBER(BI44),ISNUMBER(BD44)),IFERROR((BI44-BD44)/BD144,""),"")</f>
        <v>0.0669449164425821</v>
      </c>
      <c r="BJ85" s="255">
        <f>IF(AND(ISNUMBER(BJ44),ISNUMBER(BE44)),IFERROR((BJ44-BE44)/BE144,""),"")</f>
        <v>0.0711560097874918</v>
      </c>
      <c r="BK85" s="255">
        <f>IF(AND(ISNUMBER(BK44),ISNUMBER(BF44)),IFERROR((BK44-BF44)/BF144,""),"")</f>
        <v>0.0814388354199619</v>
      </c>
      <c r="BL85" s="255">
        <f>IF(AND(ISNUMBER(BL44),ISNUMBER(BG44)),IFERROR((BL44-BG44)/BG144,""),"")</f>
        <v>0.0718856460233121</v>
      </c>
      <c r="BM85" s="255">
        <f>IF(AND(ISNUMBER(BM44),ISNUMBER(BH44)),IFERROR((BM44-BH44)/BH144,""),"")</f>
        <v>0.0742788046294697</v>
      </c>
      <c r="BN85" s="255">
        <f>IF(AND(ISNUMBER(BN44),ISNUMBER(BI44)),IFERROR((BN44-BI44)/BI144,""),"")</f>
        <v>0.055713892382221</v>
      </c>
      <c r="BO85" s="255">
        <f>IF(AND(ISNUMBER(BO44),ISNUMBER(BJ44)),IFERROR((BO44-BJ44)/BJ144,""),"")</f>
        <v>0.0534654710902064</v>
      </c>
      <c r="BP85" s="255">
        <f>IF(AND(ISNUMBER(BP44),ISNUMBER(BK44)),IFERROR((BP44-BK44)/BK144,""),"")</f>
        <v>0.0592606539147216</v>
      </c>
      <c r="BQ85" s="255">
        <f>IF(AND(ISNUMBER(BQ44),ISNUMBER(BL44)),IFERROR((BQ44-BL44)/BL144,""),"")</f>
        <v>0.0603164661569108</v>
      </c>
      <c r="BR85" s="255">
        <f>IF(AND(ISNUMBER(BR44),ISNUMBER(BM44)),IFERROR((BR44-BM44)/BM144,""),"")</f>
        <v>0.0456762470955182</v>
      </c>
      <c r="BS85" s="255">
        <f>IF(AND(ISNUMBER(BS44),ISNUMBER(BN44)),IFERROR((BS44-BN44)/BN144,""),"")</f>
        <v>0.0678145928083418</v>
      </c>
      <c r="BT85" s="255">
        <f>IF(AND(ISNUMBER(BT44),ISNUMBER(BO44)),IFERROR((BT44-BO44)/BO144,""),"")</f>
        <v>0.0675365219635315</v>
      </c>
      <c r="BU85" s="255">
        <f>IF(AND(ISNUMBER(BU44),ISNUMBER(BP44)),IFERROR((BU44-BP44)/BP144,""),"")</f>
        <v>0.0612219902871262</v>
      </c>
      <c r="BV85" s="255">
        <f>IF(AND(ISNUMBER(BV44),ISNUMBER(BQ44)),IFERROR((BV44-BQ44)/BQ144,""),"")</f>
        <v>0.0608314954409296</v>
      </c>
      <c r="BW85" s="255">
        <f>IF(AND(ISNUMBER(BW44),ISNUMBER(BR44)),IFERROR((BW44-BR44)/BR144,""),"")</f>
        <v>0.072308196342192</v>
      </c>
      <c r="BX85" s="255">
        <f>IF(AND(ISNUMBER(BX44),ISNUMBER(BS44)),IFERROR((BX44-BS44)/BS144,""),"")</f>
        <v>0.0960572921014657</v>
      </c>
      <c r="BY85" s="256">
        <f>IF(AND(ISNUMBER(BY44),ISNUMBER(BT44)),IFERROR((BY44-BT44)/BT144,""),"")</f>
        <v>0.0251794519303564</v>
      </c>
      <c r="BZ85" s="256">
        <f>IF(AND(ISNUMBER(BZ44),ISNUMBER(BU44)),IFERROR((BZ44-BU44)/BU144,""),"")</f>
        <v>0.0544779357665048</v>
      </c>
      <c r="CA85" s="256">
        <f>IF(AND(ISNUMBER(CA44),ISNUMBER(BV44)),IFERROR((CA44-BV44)/BV144,""),"")</f>
        <v>0.0607126912703603</v>
      </c>
      <c r="CB85" s="256">
        <f>IF(AND(ISNUMBER(CB44),ISNUMBER(CA44)),IFERROR((CB44-CA44)/CA144,""),"")</f>
        <v>0.060593534633292</v>
      </c>
      <c r="CC85" s="256">
        <f>IF(AND(ISNUMBER(CC44),ISNUMBER(CB44)),IFERROR((CC44-CB44)/CB144,""),"")</f>
        <v>0.0543777324304487</v>
      </c>
      <c r="CD85" s="256">
        <f>IF(AND(ISNUMBER(CD44),ISNUMBER(CC44)),IFERROR((CD44-CC44)/CC144,""),"")</f>
        <v>0.0493299211175248</v>
      </c>
      <c r="CE85" s="256">
        <f>IF(AND(ISNUMBER(CE44),ISNUMBER(CD44)),IFERROR((CE44-CD44)/CD144,""),"")</f>
        <v>0.0446366869524369</v>
      </c>
      <c r="CF85" s="153" t="n"/>
      <c r="CN85" s="25" t="inlineStr">
        <is>
          <t xml:space="preserve">  2030E</t>
        </is>
      </c>
      <c r="CO85" s="33">
        <f>CP85+$CO$81</f>
        <v>0.16</v>
      </c>
      <c r="CP85" s="258" t="n">
        <v>0.17</v>
      </c>
      <c r="CQ85" s="33">
        <f>CP85+$CQ$81</f>
        <v>0.185</v>
      </c>
    </row>
    <row r="86" ht="15" customHeight="1" s="251">
      <c r="B86" s="22" t="inlineStr">
        <is>
          <t xml:space="preserve">  Contribution to net sales growth — International (pp)</t>
        </is>
      </c>
      <c r="D86" s="255">
        <f>IF(AND(ISNUMBER(D50),ISNUMBER(C50)),IFERROR((D50-C50)/C144,""),"")</f>
      </c>
      <c r="E86" s="255">
        <f>IF(AND(ISNUMBER(E50),ISNUMBER(D50)),IFERROR((E50-D50)/D144,""),"")</f>
      </c>
      <c r="F86" s="255">
        <f>IF(AND(ISNUMBER(F50),ISNUMBER(E50)),IFERROR((F50-E50)/E144,""),"")</f>
      </c>
      <c r="G86" s="255">
        <f>IF(AND(ISNUMBER(G50),ISNUMBER(F50)),IFERROR((G50-F50)/F144,""),"")</f>
      </c>
      <c r="H86" s="255">
        <f>IF(AND(ISNUMBER(H50),ISNUMBER(G50)),IFERROR((H50-G50)/G144,""),"")</f>
      </c>
      <c r="I86" s="255">
        <f>IF(AND(ISNUMBER(I50),ISNUMBER(H50)),IFERROR((I50-H50)/H144,""),"")</f>
      </c>
      <c r="N86" s="255">
        <f>IF(AND(ISNUMBER(N50),ISNUMBER(I50)),IFERROR((N50-I50)/I144,""),"")</f>
      </c>
      <c r="O86" s="255">
        <f>IF(AND(ISNUMBER(O50),ISNUMBER(J50)),IFERROR((O50-J50)/J144,""),"")</f>
      </c>
      <c r="P86" s="255">
        <f>IF(AND(ISNUMBER(P50),ISNUMBER(K50)),IFERROR((P50-K50)/K144,""),"")</f>
      </c>
      <c r="Q86" s="255">
        <f>IF(AND(ISNUMBER(Q50),ISNUMBER(L50)),IFERROR((Q50-L50)/L144,""),"")</f>
      </c>
      <c r="R86" s="255">
        <f>IF(AND(ISNUMBER(R50),ISNUMBER(M50)),IFERROR((R50-M50)/M144,""),"")</f>
      </c>
      <c r="S86" s="255">
        <f>IF(AND(ISNUMBER(S50),ISNUMBER(N50)),IFERROR((S50-N50)/N144,""),"")</f>
        <v>0.0480309461129318</v>
      </c>
      <c r="T86" s="255">
        <f>IF(AND(ISNUMBER(T50),ISNUMBER(O50)),IFERROR((T50-O50)/O144,""),"")</f>
        <v>-0.00699052732890938</v>
      </c>
      <c r="U86" s="255">
        <f>IF(AND(ISNUMBER(U50),ISNUMBER(P50)),IFERROR((U50-P50)/P144,""),"")</f>
        <v>0.0115822130299897</v>
      </c>
      <c r="V86" s="255">
        <f>IF(AND(ISNUMBER(V50),ISNUMBER(Q50)),IFERROR((V50-Q50)/Q144,""),"")</f>
        <v>0.0270178337139803</v>
      </c>
      <c r="W86" s="255">
        <f>IF(AND(ISNUMBER(W50),ISNUMBER(R50)),IFERROR((W50-R50)/R144,""),"")</f>
        <v>0.0431669394435352</v>
      </c>
      <c r="X86" s="255">
        <f>IF(AND(ISNUMBER(X50),ISNUMBER(S50)),IFERROR((X50-S50)/S144,""),"")</f>
        <v>0.0214410931811031</v>
      </c>
      <c r="Y86" s="255">
        <f>IF(AND(ISNUMBER(Y50),ISNUMBER(T50)),IFERROR((Y50-T50)/T144,""),"")</f>
        <v>0.0801602324250561</v>
      </c>
      <c r="Z86" s="255">
        <f>IF(AND(ISNUMBER(Z50),ISNUMBER(U50)),IFERROR((Z50-U50)/U144,""),"")</f>
        <v>0.0982963122708648</v>
      </c>
      <c r="AA86" s="255">
        <f>IF(AND(ISNUMBER(AA50),ISNUMBER(V50)),IFERROR((AA50-V50)/V144,""),"")</f>
        <v>0.0923574414385993</v>
      </c>
      <c r="AB86" s="255">
        <f>IF(AND(ISNUMBER(AB50),ISNUMBER(W50)),IFERROR((AB50-W50)/W144,""),"")</f>
        <v>0.0594175735026716</v>
      </c>
      <c r="AC86" s="255">
        <f>IF(AND(ISNUMBER(AC50),ISNUMBER(X50)),IFERROR((AC50-X50)/X144,""),"")</f>
        <v>0.0800422406220212</v>
      </c>
      <c r="AD86" s="255">
        <f>IF(AND(ISNUMBER(AD50),ISNUMBER(Y50)),IFERROR((AD50-Y50)/Y144,""),"")</f>
        <v>0.0513251853886295</v>
      </c>
      <c r="AE86" s="255">
        <f>IF(AND(ISNUMBER(AE50),ISNUMBER(Z50)),IFERROR((AE50-Z50)/Z144,""),"")</f>
        <v>0.0539731614261281</v>
      </c>
      <c r="AF86" s="255">
        <f>IF(AND(ISNUMBER(AF50),ISNUMBER(AA50)),IFERROR((AF50-AA50)/AA144,""),"")</f>
        <v>0.0949134926942593</v>
      </c>
      <c r="AG86" s="255">
        <f>IF(AND(ISNUMBER(AG50),ISNUMBER(AB50)),IFERROR((AG50-AB50)/AB144,""),"")</f>
        <v>0.0931162982099175</v>
      </c>
      <c r="AH86" s="255">
        <f>IF(AND(ISNUMBER(AH50),ISNUMBER(AC50)),IFERROR((AH50-AC50)/AC144,""),"")</f>
        <v>0.0758454852302058</v>
      </c>
      <c r="AI86" s="255">
        <f>IF(AND(ISNUMBER(AI50),ISNUMBER(AD50)),IFERROR((AI50-AD50)/AD144,""),"")</f>
        <v>0.106792854342835</v>
      </c>
      <c r="AJ86" s="255">
        <f>IF(AND(ISNUMBER(AJ50),ISNUMBER(AE50)),IFERROR((AJ50-AE50)/AE144,""),"")</f>
        <v>0.0823870372809906</v>
      </c>
      <c r="AK86" s="255">
        <f>IF(AND(ISNUMBER(AK50),ISNUMBER(AF50)),IFERROR((AK50-AF50)/AF144,""),"")</f>
        <v>0.0419486100950988</v>
      </c>
      <c r="AL86" s="255">
        <f>IF(AND(ISNUMBER(AL50),ISNUMBER(AG50)),IFERROR((AL50-AG50)/AG144,""),"")</f>
        <v>0.0461680975303128</v>
      </c>
      <c r="AM86" s="255">
        <f>IF(AND(ISNUMBER(AM50),ISNUMBER(AH50)),IFERROR((AM50-AH50)/AH144,""),"")</f>
        <v>0.0650433472389327</v>
      </c>
      <c r="AN86" s="255">
        <f>IF(AND(ISNUMBER(AN50),ISNUMBER(AI50)),IFERROR((AN50-AI50)/AI144,""),"")</f>
        <v>0.025802280474903</v>
      </c>
      <c r="AO86" s="255">
        <f>IF(AND(ISNUMBER(AO50),ISNUMBER(AJ50)),IFERROR((AO50-AJ50)/AJ144,""),"")</f>
        <v>0.033241311500208</v>
      </c>
      <c r="AP86" s="255">
        <f>IF(AND(ISNUMBER(AP50),ISNUMBER(AK50)),IFERROR((AP50-AK50)/AK144,""),"")</f>
        <v>0.0494732748868778</v>
      </c>
      <c r="AQ86" s="255">
        <f>IF(AND(ISNUMBER(AQ50),ISNUMBER(AL50)),IFERROR((AQ50-AL50)/AL144,""),"")</f>
        <v>0.0412251495516903</v>
      </c>
      <c r="AR86" s="255">
        <f>IF(AND(ISNUMBER(AR50),ISNUMBER(AM50)),IFERROR((AR50-AM50)/AM144,""),"")</f>
        <v>0.0380313199105145</v>
      </c>
      <c r="AS86" s="255">
        <f>IF(AND(ISNUMBER(AS50),ISNUMBER(AN50)),IFERROR((AS50-AN50)/AN144,""),"")</f>
        <v>0.0488107202680067</v>
      </c>
      <c r="AT86" s="255">
        <f>IF(AND(ISNUMBER(AT50),ISNUMBER(AO50)),IFERROR((AT50-AO50)/AO144,""),"")</f>
        <v>0.0993312724749227</v>
      </c>
      <c r="AU86" s="255">
        <f>IF(AND(ISNUMBER(AU50),ISNUMBER(AP50)),IFERROR((AU50-AP50)/AP144,""),"")</f>
        <v>0.0974978922850488</v>
      </c>
      <c r="AV86" s="255">
        <f>IF(AND(ISNUMBER(AV50),ISNUMBER(AQ50)),IFERROR((AV50-AQ50)/AQ144,""),"")</f>
        <v>0.156158148152384</v>
      </c>
      <c r="AW86" s="255">
        <f>IF(AND(ISNUMBER(AW50),ISNUMBER(AR50)),IFERROR((AW50-AR50)/AR144,""),"")</f>
        <v>0.105834836483413</v>
      </c>
      <c r="AX86" s="255">
        <f>IF(AND(ISNUMBER(AX50),ISNUMBER(AS50)),IFERROR((AX50-AS50)/AS144,""),"")</f>
        <v>0.152984679001219</v>
      </c>
      <c r="AY86" s="255">
        <f>IF(AND(ISNUMBER(AY50),ISNUMBER(AT50)),IFERROR((AY50-AT50)/AT144,""),"")</f>
        <v>0.0905727010977146</v>
      </c>
      <c r="AZ86" s="255">
        <f>IF(AND(ISNUMBER(AZ50),ISNUMBER(AU50)),IFERROR((AZ50-AU50)/AU144,""),"")</f>
        <v>0.0413334026730459</v>
      </c>
      <c r="BA86" s="255">
        <f>IF(AND(ISNUMBER(BA50),ISNUMBER(AV50)),IFERROR((BA50-AV50)/AV144,""),"")</f>
        <v>-0.0015531042172753</v>
      </c>
      <c r="BB86" s="255">
        <f>IF(AND(ISNUMBER(BB50),ISNUMBER(AW50)),IFERROR((BB50-AW50)/AW144,""),"")</f>
        <v>0.0605469559451283</v>
      </c>
      <c r="BC86" s="255">
        <f>IF(AND(ISNUMBER(BC50),ISNUMBER(AX50)),IFERROR((BC50-AX50)/AX144,""),"")</f>
        <v>-0.0174164654711661</v>
      </c>
      <c r="BD86" s="255">
        <f>IF(AND(ISNUMBER(BD50),ISNUMBER(AY50)),IFERROR((BD50-AY50)/AY144,""),"")</f>
        <v>-0.0323310930314821</v>
      </c>
      <c r="BE86" s="255">
        <f>IF(AND(ISNUMBER(BE50),ISNUMBER(AZ50)),IFERROR((BE50-AZ50)/AZ144,""),"")</f>
        <v>-0.0128596180919034</v>
      </c>
      <c r="BF86" s="255">
        <f>IF(AND(ISNUMBER(BF50),ISNUMBER(BA50)),IFERROR((BF50-BA50)/BA144,""),"")</f>
        <v>-0.0204421739003872</v>
      </c>
      <c r="BG86" s="255">
        <f>IF(AND(ISNUMBER(BG50),ISNUMBER(BB50)),IFERROR((BG50-BB50)/BB144,""),"")</f>
        <v>-0.0208163942940092</v>
      </c>
      <c r="BH86" s="255">
        <f>IF(AND(ISNUMBER(BH50),ISNUMBER(BC50)),IFERROR((BH50-BC50)/BC144,""),"")</f>
        <v>0.00312596612964172</v>
      </c>
      <c r="BI86" s="255">
        <f>IF(AND(ISNUMBER(BI50),ISNUMBER(BD50)),IFERROR((BI50-BD50)/BD144,""),"")</f>
        <v>0.0217100813303199</v>
      </c>
      <c r="BJ86" s="255">
        <f>IF(AND(ISNUMBER(BJ50),ISNUMBER(BE50)),IFERROR((BJ50-BE50)/BE144,""),"")</f>
        <v>0.0347518902290305</v>
      </c>
      <c r="BK86" s="255">
        <f>IF(AND(ISNUMBER(BK50),ISNUMBER(BF50)),IFERROR((BK50-BF50)/BF144,""),"")</f>
        <v>0.0387389078040803</v>
      </c>
      <c r="BL86" s="255">
        <f>IF(AND(ISNUMBER(BL50),ISNUMBER(BG50)),IFERROR((BL50-BG50)/BG144,""),"")</f>
        <v>0.0256681641221597</v>
      </c>
      <c r="BM86" s="255">
        <f>IF(AND(ISNUMBER(BM50),ISNUMBER(BH50)),IFERROR((BM50-BH50)/BH144,""),"")</f>
        <v>0.0220794924543413</v>
      </c>
      <c r="BN86" s="255">
        <f>IF(AND(ISNUMBER(BN50),ISNUMBER(BI50)),IFERROR((BN50-BI50)/BI144,""),"")</f>
        <v>0.0146298266893878</v>
      </c>
      <c r="BO86" s="255">
        <f>IF(AND(ISNUMBER(BO50),ISNUMBER(BJ50)),IFERROR((BO50-BJ50)/BJ144,""),"")</f>
        <v>0.0262155532103744</v>
      </c>
      <c r="BP86" s="255">
        <f>IF(AND(ISNUMBER(BP50),ISNUMBER(BK50)),IFERROR((BP50-BK50)/BK144,""),"")</f>
        <v>0.0186925235789387</v>
      </c>
      <c r="BQ86" s="255">
        <f>IF(AND(ISNUMBER(BQ50),ISNUMBER(BL50)),IFERROR((BQ50-BL50)/BL144,""),"")</f>
        <v>0.0203658759362196</v>
      </c>
      <c r="BR86" s="255">
        <f>IF(AND(ISNUMBER(BR50),ISNUMBER(BM50)),IFERROR((BR50-BM50)/BM144,""),"")</f>
        <v>0.0110108643319169</v>
      </c>
      <c r="BS86" s="255">
        <f>IF(AND(ISNUMBER(BS50),ISNUMBER(BN50)),IFERROR((BS50-BN50)/BN144,""),"")</f>
        <v>0.0344512998641681</v>
      </c>
      <c r="BT86" s="255">
        <f>IF(AND(ISNUMBER(BT50),ISNUMBER(BO50)),IFERROR((BT50-BO50)/BO144,""),"")</f>
        <v>0.0315212397011525</v>
      </c>
      <c r="BU86" s="255">
        <f>IF(AND(ISNUMBER(BU50),ISNUMBER(BP50)),IFERROR((BU50-BP50)/BP144,""),"")</f>
        <v>0.0388940955951265</v>
      </c>
      <c r="BV86" s="255">
        <f>IF(AND(ISNUMBER(BV50),ISNUMBER(BQ50)),IFERROR((BV50-BQ50)/BQ144,""),"")</f>
        <v>0.029763668198113</v>
      </c>
      <c r="BW86" s="255">
        <f>IF(AND(ISNUMBER(BW50),ISNUMBER(BR50)),IFERROR((BW50-BR50)/BR144,""),"")</f>
        <v>0.0403168301566806</v>
      </c>
      <c r="BX86" s="255">
        <f>IF(AND(ISNUMBER(BX50),ISNUMBER(BS50)),IFERROR((BX50-BS50)/BS144,""),"")</f>
        <v>0.0324146402547376</v>
      </c>
      <c r="BY86" s="256">
        <f>IF(AND(ISNUMBER(BY50),ISNUMBER(BT50)),IFERROR((BY50-BT50)/BT144,""),"")</f>
        <v>0.01471205226081</v>
      </c>
      <c r="BZ86" s="256">
        <f>IF(AND(ISNUMBER(BZ50),ISNUMBER(BU50)),IFERROR((BZ50-BU50)/BU144,""),"")</f>
        <v>0.0271628987425328</v>
      </c>
      <c r="CA86" s="256">
        <f>IF(AND(ISNUMBER(CA50),ISNUMBER(BV50)),IFERROR((CA50-BV50)/BV144,""),"")</f>
        <v>0.0281185147307832</v>
      </c>
      <c r="CB86" s="256">
        <f>IF(AND(ISNUMBER(CB50),ISNUMBER(CA50)),IFERROR((CB50-CA50)/CA144,""),"")</f>
        <v>0.0234791146116865</v>
      </c>
      <c r="CC86" s="256">
        <f>IF(AND(ISNUMBER(CC50),ISNUMBER(CB50)),IFERROR((CC50-CB50)/CB144,""),"")</f>
        <v>0.021070581536213</v>
      </c>
      <c r="CD86" s="256">
        <f>IF(AND(ISNUMBER(CD50),ISNUMBER(CC50)),IFERROR((CD50-CC50)/CC144,""),"")</f>
        <v>0.0191146279667179</v>
      </c>
      <c r="CE86" s="256">
        <f>IF(AND(ISNUMBER(CE50),ISNUMBER(CD50)),IFERROR((CE50-CD50)/CD144,""),"")</f>
        <v>0.0172960678921414</v>
      </c>
      <c r="CF86" s="153" t="n"/>
      <c r="CN86" s="15" t="inlineStr">
        <is>
          <t>M&amp;A_spend (acquisitions &amp; strategic investments, $m)</t>
        </is>
      </c>
      <c r="CO86" s="267" t="n">
        <v>3000</v>
      </c>
      <c r="CP86" s="21" t="inlineStr">
        <is>
          <t>Δ →</t>
        </is>
      </c>
      <c r="CQ86" s="267" t="n">
        <v>-3000</v>
      </c>
      <c r="CR86" s="13" t="inlineStr">
        <is>
          <t>Cash-flow line incl. non-marketable investments (Anthropic): FY2024 $7.1bn, FY2025 and 1H-26 per the cash-flow statement. Base $5bn p.a. (assumption).</t>
        </is>
      </c>
    </row>
    <row r="87" ht="15" customHeight="1" s="251">
      <c r="B87" s="22" t="inlineStr">
        <is>
          <t xml:space="preserve">  Contribution to net sales growth — AWS (pp)</t>
        </is>
      </c>
      <c r="D87" s="255">
        <f>IF(AND(ISNUMBER(D56),ISNUMBER(C56)),IFERROR((D56-C56)/C144,""),"")</f>
      </c>
      <c r="E87" s="255">
        <f>IF(AND(ISNUMBER(E56),ISNUMBER(D56)),IFERROR((E56-D56)/D144,""),"")</f>
      </c>
      <c r="F87" s="255">
        <f>IF(AND(ISNUMBER(F56),ISNUMBER(E56)),IFERROR((F56-E56)/E144,""),"")</f>
      </c>
      <c r="G87" s="255">
        <f>IF(AND(ISNUMBER(G56),ISNUMBER(F56)),IFERROR((G56-F56)/F144,""),"")</f>
      </c>
      <c r="H87" s="255">
        <f>IF(AND(ISNUMBER(H56),ISNUMBER(G56)),IFERROR((H56-G56)/G144,""),"")</f>
      </c>
      <c r="I87" s="255">
        <f>IF(AND(ISNUMBER(I56),ISNUMBER(H56)),IFERROR((I56-H56)/H144,""),"")</f>
      </c>
      <c r="N87" s="255">
        <f>IF(AND(ISNUMBER(N56),ISNUMBER(I56)),IFERROR((N56-I56)/I144,""),"")</f>
      </c>
      <c r="O87" s="255">
        <f>IF(AND(ISNUMBER(O56),ISNUMBER(J56)),IFERROR((O56-J56)/J144,""),"")</f>
      </c>
      <c r="P87" s="255">
        <f>IF(AND(ISNUMBER(P56),ISNUMBER(K56)),IFERROR((P56-K56)/K144,""),"")</f>
      </c>
      <c r="Q87" s="255">
        <f>IF(AND(ISNUMBER(Q56),ISNUMBER(L56)),IFERROR((Q56-L56)/L144,""),"")</f>
      </c>
      <c r="R87" s="255">
        <f>IF(AND(ISNUMBER(R56),ISNUMBER(M56)),IFERROR((R56-M56)/M144,""),"")</f>
      </c>
      <c r="S87" s="255">
        <f>IF(AND(ISNUMBER(S56),ISNUMBER(N56)),IFERROR((S56-N56)/N144,""),"")</f>
        <v>0.0206307419545479</v>
      </c>
      <c r="T87" s="255">
        <f>IF(AND(ISNUMBER(T56),ISNUMBER(O56)),IFERROR((T56-O56)/O144,""),"")</f>
        <v>0.0261384934907046</v>
      </c>
      <c r="U87" s="255">
        <f>IF(AND(ISNUMBER(U56),ISNUMBER(P56)),IFERROR((U56-P56)/P144,""),"")</f>
        <v>0.0423474663908997</v>
      </c>
      <c r="V87" s="255">
        <f>IF(AND(ISNUMBER(V56),ISNUMBER(Q56)),IFERROR((V56-Q56)/Q144,""),"")</f>
        <v>0.0445113951115215</v>
      </c>
      <c r="W87" s="255">
        <f>IF(AND(ISNUMBER(W56),ISNUMBER(R56)),IFERROR((W56-R56)/R144,""),"")</f>
        <v>0.0335856519367158</v>
      </c>
      <c r="X87" s="255">
        <f>IF(AND(ISNUMBER(X56),ISNUMBER(S56)),IFERROR((X56-S56)/S144,""),"")</f>
        <v>0.0363644536341979</v>
      </c>
      <c r="Y87" s="255">
        <f>IF(AND(ISNUMBER(Y56),ISNUMBER(T56)),IFERROR((Y56-T56)/T144,""),"")</f>
        <v>0.044019896993441</v>
      </c>
      <c r="Z87" s="255">
        <f>IF(AND(ISNUMBER(Z56),ISNUMBER(U56)),IFERROR((Z56-U56)/U144,""),"")</f>
        <v>0.0458054776795342</v>
      </c>
      <c r="AA87" s="255">
        <f>IF(AND(ISNUMBER(AA56),ISNUMBER(V56)),IFERROR((AA56-V56)/V144,""),"")</f>
        <v>0.0451928385519363</v>
      </c>
      <c r="AB87" s="255">
        <f>IF(AND(ISNUMBER(AB56),ISNUMBER(W56)),IFERROR((AB56-W56)/W144,""),"")</f>
        <v>0.0316390186589084</v>
      </c>
      <c r="AC87" s="255">
        <f>IF(AND(ISNUMBER(AC56),ISNUMBER(X56)),IFERROR((AC56-X56)/X144,""),"")</f>
        <v>0.0405491280862755</v>
      </c>
      <c r="AD87" s="255">
        <f>IF(AND(ISNUMBER(AD56),ISNUMBER(Y56)),IFERROR((AD56-Y56)/Y144,""),"")</f>
        <v>0.0375926943147487</v>
      </c>
      <c r="AE87" s="255">
        <f>IF(AND(ISNUMBER(AE56),ISNUMBER(Z56)),IFERROR((AE56-Z56)/Z144,""),"")</f>
        <v>0.0399289567162216</v>
      </c>
      <c r="AF87" s="255">
        <f>IF(AND(ISNUMBER(AF56),ISNUMBER(AA56)),IFERROR((AF56-AA56)/AA144,""),"")</f>
        <v>0.0413584398117014</v>
      </c>
      <c r="AG87" s="255">
        <f>IF(AND(ISNUMBER(AG56),ISNUMBER(AB56)),IFERROR((AG56-AB56)/AB144,""),"")</f>
        <v>0.0360531309297913</v>
      </c>
      <c r="AH87" s="255">
        <f>IF(AND(ISNUMBER(AH56),ISNUMBER(AC56)),IFERROR((AH56-AC56)/AC144,""),"")</f>
        <v>0.0385330950752646</v>
      </c>
      <c r="AI87" s="255">
        <f>IF(AND(ISNUMBER(AI56),ISNUMBER(AD56)),IFERROR((AI56-AD56)/AD144,""),"")</f>
        <v>0.0498683989471916</v>
      </c>
      <c r="AJ87" s="255">
        <f>IF(AND(ISNUMBER(AJ56),ISNUMBER(AE56)),IFERROR((AJ56-AE56)/AE144,""),"")</f>
        <v>0.0528257146620999</v>
      </c>
      <c r="AK87" s="255">
        <f>IF(AND(ISNUMBER(AK56),ISNUMBER(AF56)),IFERROR((AK56-AF56)/AF144,""),"")</f>
        <v>0.0478922823701536</v>
      </c>
      <c r="AL87" s="255">
        <f>IF(AND(ISNUMBER(AL56),ISNUMBER(AG56)),IFERROR((AL56-AG56)/AG144,""),"")</f>
        <v>0.0383272955849999</v>
      </c>
      <c r="AM87" s="255">
        <f>IF(AND(ISNUMBER(AM56),ISNUMBER(AH56)),IFERROR((AM56-AH56)/AH144,""),"")</f>
        <v>0.0460796329821326</v>
      </c>
      <c r="AN87" s="255">
        <f>IF(AND(ISNUMBER(AN56),ISNUMBER(AI56)),IFERROR((AN56-AI56)/AI144,""),"")</f>
        <v>0.0441597116100466</v>
      </c>
      <c r="AO87" s="255">
        <f>IF(AND(ISNUMBER(AO56),ISNUMBER(AJ56)),IFERROR((AO56-AJ56)/AJ144,""),"")</f>
        <v>0.0430359641493023</v>
      </c>
      <c r="AP87" s="255">
        <f>IF(AND(ISNUMBER(AP56),ISNUMBER(AK56)),IFERROR((AP56-AK56)/AK144,""),"")</f>
        <v>0.0409360859728507</v>
      </c>
      <c r="AQ87" s="255">
        <f>IF(AND(ISNUMBER(AQ56),ISNUMBER(AL56)),IFERROR((AQ56-AL56)/AL144,""),"")</f>
        <v>0.0348700661757595</v>
      </c>
      <c r="AR87" s="255">
        <f>IF(AND(ISNUMBER(AR56),ISNUMBER(AM56)),IFERROR((AR56-AM56)/AM144,""),"")</f>
        <v>0.0402383988801436</v>
      </c>
      <c r="AS87" s="255">
        <f>IF(AND(ISNUMBER(AS56),ISNUMBER(AN56)),IFERROR((AS56-AN56)/AN144,""),"")</f>
        <v>0.0422613065326633</v>
      </c>
      <c r="AT87" s="255">
        <f>IF(AND(ISNUMBER(AT56),ISNUMBER(AO56)),IFERROR((AT56-AO56)/AO144,""),"")</f>
        <v>0.0382783420604378</v>
      </c>
      <c r="AU87" s="255">
        <f>IF(AND(ISNUMBER(AU56),ISNUMBER(AP56)),IFERROR((AU56-AP56)/AP144,""),"")</f>
        <v>0.0372386790700333</v>
      </c>
      <c r="AV87" s="255">
        <f>IF(AND(ISNUMBER(AV56),ISNUMBER(AQ56)),IFERROR((AV56-AQ56)/AQ144,""),"")</f>
        <v>0.0318858149296065</v>
      </c>
      <c r="AW87" s="255">
        <f>IF(AND(ISNUMBER(AW56),ISNUMBER(AR56)),IFERROR((AW56-AR56)/AR144,""),"")</f>
        <v>0.0368741132602791</v>
      </c>
      <c r="AX87" s="255">
        <f>IF(AND(ISNUMBER(AX56),ISNUMBER(AS56)),IFERROR((AX56-AS56)/AS144,""),"")</f>
        <v>0.0435243598579229</v>
      </c>
      <c r="AY87" s="255">
        <f>IF(AND(ISNUMBER(AY56),ISNUMBER(AT56)),IFERROR((AY56-AT56)/AT144,""),"")</f>
        <v>0.0449995501169696</v>
      </c>
      <c r="AZ87" s="255">
        <f>IF(AND(ISNUMBER(AZ56),ISNUMBER(AU56)),IFERROR((AZ56-AU56)/AU144,""),"")</f>
        <v>0.046897914608144</v>
      </c>
      <c r="BA87" s="255">
        <f>IF(AND(ISNUMBER(BA56),ISNUMBER(AV56)),IFERROR((BA56-AV56)/AV144,""),"")</f>
        <v>0.0401258412647844</v>
      </c>
      <c r="BB87" s="255">
        <f>IF(AND(ISNUMBER(BB56),ISNUMBER(AW56)),IFERROR((BB56-AW56)/AW144,""),"")</f>
        <v>0.0435989887687016</v>
      </c>
      <c r="BC87" s="255">
        <f>IF(AND(ISNUMBER(BC56),ISNUMBER(AX56)),IFERROR((BC56-AX56)/AX144,""),"")</f>
        <v>0.0455039716913323</v>
      </c>
      <c r="BD87" s="255">
        <f>IF(AND(ISNUMBER(BD56),ISNUMBER(AY56)),IFERROR((BD56-AY56)/AY144,""),"")</f>
        <v>0.0435974531305271</v>
      </c>
      <c r="BE87" s="255">
        <f>IF(AND(ISNUMBER(BE56),ISNUMBER(AZ56)),IFERROR((BE56-AZ56)/AZ144,""),"")</f>
        <v>0.0399595711655777</v>
      </c>
      <c r="BF87" s="255">
        <f>IF(AND(ISNUMBER(BF56),ISNUMBER(BA56)),IFERROR((BF56-BA56)/BA144,""),"")</f>
        <v>0.0261840305067971</v>
      </c>
      <c r="BG87" s="255">
        <f>IF(AND(ISNUMBER(BG56),ISNUMBER(BB56)),IFERROR((BG56-BB56)/BB144,""),"")</f>
        <v>0.0380867647747445</v>
      </c>
      <c r="BH87" s="255">
        <f>IF(AND(ISNUMBER(BH56),ISNUMBER(BC56)),IFERROR((BH56-BC56)/BC144,""),"")</f>
        <v>0.0250163168561712</v>
      </c>
      <c r="BI87" s="255">
        <f>IF(AND(ISNUMBER(BI56),ISNUMBER(BD56)),IFERROR((BI56-BD56)/BD144,""),"")</f>
        <v>0.0198046752561163</v>
      </c>
      <c r="BJ87" s="255">
        <f>IF(AND(ISNUMBER(BJ56),ISNUMBER(BE56)),IFERROR((BJ56-BE56)/BE144,""),"")</f>
        <v>0.0198346197118827</v>
      </c>
      <c r="BK87" s="255">
        <f>IF(AND(ISNUMBER(BK56),ISNUMBER(BF56)),IFERROR((BK56-BF56)/BF144,""),"")</f>
        <v>0.018940510978258</v>
      </c>
      <c r="BL87" s="255">
        <f>IF(AND(ISNUMBER(BL56),ISNUMBER(BG56)),IFERROR((BL56-BG56)/BG144,""),"")</f>
        <v>0.020741931153365</v>
      </c>
      <c r="BM87" s="255">
        <f>IF(AND(ISNUMBER(BM56),ISNUMBER(BH56)),IFERROR((BM56-BH56)/BH144,""),"")</f>
        <v>0.0289184817600779</v>
      </c>
      <c r="BN87" s="255">
        <f>IF(AND(ISNUMBER(BN56),ISNUMBER(BI56)),IFERROR((BN56-BI56)/BI144,""),"")</f>
        <v>0.0308149096239852</v>
      </c>
      <c r="BO87" s="255">
        <f>IF(AND(ISNUMBER(BO56),ISNUMBER(BJ56)),IFERROR((BO56-BJ56)/BJ144,""),"")</f>
        <v>0.0307024594116702</v>
      </c>
      <c r="BP87" s="255">
        <f>IF(AND(ISNUMBER(BP56),ISNUMBER(BK56)),IFERROR((BP56-BK56)/BK144,""),"")</f>
        <v>0.0269591259171222</v>
      </c>
      <c r="BQ87" s="255">
        <f>IF(AND(ISNUMBER(BQ56),ISNUMBER(BL56)),IFERROR((BQ56-BL56)/BL144,""),"")</f>
        <v>0.029226580373531</v>
      </c>
      <c r="BR87" s="255">
        <f>IF(AND(ISNUMBER(BR56),ISNUMBER(BM56)),IFERROR((BR56-BM56)/BM144,""),"")</f>
        <v>0.0295158150342258</v>
      </c>
      <c r="BS87" s="255">
        <f>IF(AND(ISNUMBER(BS56),ISNUMBER(BN56)),IFERROR((BS56-BN56)/BN144,""),"")</f>
        <v>0.0310318495441859</v>
      </c>
      <c r="BT87" s="255">
        <f>IF(AND(ISNUMBER(BT56),ISNUMBER(BO56)),IFERROR((BT56-BO56)/BO144,""),"")</f>
        <v>0.0349578604832669</v>
      </c>
      <c r="BU87" s="255">
        <f>IF(AND(ISNUMBER(BU56),ISNUMBER(BP56)),IFERROR((BU56-BP56)/BP144,""),"")</f>
        <v>0.0361729999147994</v>
      </c>
      <c r="BV87" s="255">
        <f>IF(AND(ISNUMBER(BV56),ISNUMBER(BQ56)),IFERROR((BV56-BQ56)/BQ144,""),"")</f>
        <v>0.0331823831939043</v>
      </c>
      <c r="BW87" s="255">
        <f>IF(AND(ISNUMBER(BW56),ISNUMBER(BR56)),IFERROR((BW56-BR56)/BR144,""),"")</f>
        <v>0.0534474230247901</v>
      </c>
      <c r="BX87" s="255">
        <f>IF(AND(ISNUMBER(BX56),ISNUMBER(BS56)),IFERROR((BX56-BS56)/BS144,""),"")</f>
        <v>0.067733241106248</v>
      </c>
      <c r="BY87" s="256">
        <f>IF(AND(ISNUMBER(BY56),ISNUMBER(BT56)),IFERROR((BY56-BT56)/BT144,""),"")</f>
        <v>0.0674022033833889</v>
      </c>
      <c r="BZ87" s="256">
        <f>IF(AND(ISNUMBER(BZ56),ISNUMBER(BU56)),IFERROR((BZ56-BU56)/BU144,""),"")</f>
        <v>0.0613463999343066</v>
      </c>
      <c r="CA87" s="256">
        <f>IF(AND(ISNUMBER(CA56),ISNUMBER(BV56)),IFERROR((CA56-BV56)/BV144,""),"")</f>
        <v>0.0626471571292965</v>
      </c>
      <c r="CB87" s="256">
        <f>IF(AND(ISNUMBER(CB56),ISNUMBER(CA56)),IFERROR((CB56-CA56)/CA144,""),"")</f>
        <v>0.0588944718823586</v>
      </c>
      <c r="CC87" s="256">
        <f>IF(AND(ISNUMBER(CC56),ISNUMBER(CB56)),IFERROR((CC56-CB56)/CB144,""),"")</f>
        <v>0.0565082988608231</v>
      </c>
      <c r="CD87" s="256">
        <f>IF(AND(ISNUMBER(CD56),ISNUMBER(CC56)),IFERROR((CD56-CC56)/CC144,""),"")</f>
        <v>0.0515415228859596</v>
      </c>
      <c r="CE87" s="256">
        <f>IF(AND(ISNUMBER(CE56),ISNUMBER(CD56)),IFERROR((CE56-CD56)/CD144,""),"")</f>
        <v>0.0469021225211871</v>
      </c>
      <c r="CF87" s="153" t="n"/>
      <c r="CN87" s="25" t="inlineStr">
        <is>
          <t xml:space="preserve">  2027E</t>
        </is>
      </c>
      <c r="CO87" s="51">
        <f>MAX(0,CP87+$CO$86)</f>
        <v>8000</v>
      </c>
      <c r="CP87" s="257" t="n">
        <v>5000</v>
      </c>
      <c r="CQ87" s="51">
        <f>MAX(0,CP87+$CQ$86)</f>
        <v>2000</v>
      </c>
    </row>
    <row r="88" collapsed="1" ht="15" customHeight="1" s="251">
      <c r="CN88" s="25" t="inlineStr">
        <is>
          <t xml:space="preserve">  2028E</t>
        </is>
      </c>
      <c r="CO88" s="51">
        <f>MAX(0,CP88+$CO$86)</f>
        <v>8000</v>
      </c>
      <c r="CP88" s="257" t="n">
        <v>5000</v>
      </c>
      <c r="CQ88" s="51">
        <f>MAX(0,CP88+$CQ$86)</f>
        <v>2000</v>
      </c>
    </row>
    <row r="89" ht="15" customHeight="1" s="251">
      <c r="B89" s="14" t="inlineStr">
        <is>
          <t>Future acquisitions &amp; strategic investments (M&amp;A lever — unallocated; from 2027E)</t>
        </is>
      </c>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c r="BR89" s="14" t="n"/>
      <c r="BS89" s="14" t="n"/>
      <c r="BT89" s="14" t="n"/>
      <c r="BU89" s="14" t="n"/>
      <c r="BV89" s="14" t="n"/>
      <c r="BW89" s="14" t="n"/>
      <c r="BX89" s="14" t="n"/>
      <c r="BY89" s="14" t="n"/>
      <c r="BZ89" s="14" t="n"/>
      <c r="CA89" s="14" t="n"/>
      <c r="CB89" s="14" t="n"/>
      <c r="CC89" s="14" t="n"/>
      <c r="CD89" s="14" t="n"/>
      <c r="CE89" s="14" t="n"/>
      <c r="CF89" s="15" t="inlineStr">
        <is>
          <t>M&amp;A LEVER — acquired revenue = spend × acquisition share ÷ EV/sales; mid-year convention</t>
        </is>
      </c>
      <c r="CN89" s="25" t="inlineStr">
        <is>
          <t xml:space="preserve">  2029E</t>
        </is>
      </c>
      <c r="CO89" s="51">
        <f>MAX(0,CP89+$CO$86)</f>
        <v>8000</v>
      </c>
      <c r="CP89" s="257" t="n">
        <v>5000</v>
      </c>
      <c r="CQ89" s="51">
        <f>MAX(0,CP89+$CQ$86)</f>
        <v>2000</v>
      </c>
    </row>
    <row r="90" ht="15" customHeight="1" s="251">
      <c r="B90" s="25" t="inlineStr">
        <is>
          <t xml:space="preserve">  Acquisitions &amp; strategic investments spend (USDm, scenario)</t>
        </is>
      </c>
      <c r="C90" s="34" t="n"/>
      <c r="D90" s="34" t="n"/>
      <c r="E90" s="34" t="n"/>
      <c r="F90" s="34" t="n"/>
      <c r="G90" s="34" t="n"/>
      <c r="H90" s="34" t="n"/>
      <c r="I90" s="34" t="n"/>
      <c r="J90" s="34" t="n"/>
      <c r="K90" s="34" t="n"/>
      <c r="L90" s="34" t="n"/>
      <c r="M90" s="34" t="n"/>
      <c r="N90" s="34" t="n"/>
      <c r="O90" s="34" t="n"/>
      <c r="P90" s="34" t="n"/>
      <c r="Q90" s="34" t="n"/>
      <c r="R90" s="34" t="n"/>
      <c r="S90" s="34" t="n"/>
      <c r="T90" s="34" t="n"/>
      <c r="U90" s="34" t="n"/>
      <c r="V90" s="34" t="n"/>
      <c r="W90" s="34" t="n"/>
      <c r="X90" s="34" t="n"/>
      <c r="Y90" s="34" t="n"/>
      <c r="Z90" s="34" t="n"/>
      <c r="AA90" s="34" t="n"/>
      <c r="AB90" s="34" t="n"/>
      <c r="AC90" s="34" t="n"/>
      <c r="AD90" s="34" t="n"/>
      <c r="AE90" s="34" t="n"/>
      <c r="AF90" s="34" t="n"/>
      <c r="AG90" s="34" t="n"/>
      <c r="AH90" s="34" t="n"/>
      <c r="AI90" s="34" t="n"/>
      <c r="AJ90" s="34" t="n"/>
      <c r="AK90" s="34" t="n"/>
      <c r="AL90" s="34" t="n"/>
      <c r="AM90" s="34" t="n"/>
      <c r="AN90" s="34" t="n"/>
      <c r="AO90" s="34" t="n"/>
      <c r="AP90" s="34" t="n"/>
      <c r="AQ90" s="34" t="n"/>
      <c r="AR90" s="34" t="n"/>
      <c r="AS90" s="34" t="n"/>
      <c r="AT90" s="34" t="n"/>
      <c r="AU90" s="34" t="n"/>
      <c r="AV90" s="34" t="n"/>
      <c r="AW90" s="34" t="n"/>
      <c r="AX90" s="34" t="n"/>
      <c r="AY90" s="34" t="n"/>
      <c r="AZ90" s="34" t="n"/>
      <c r="BA90" s="34" t="n"/>
      <c r="BB90" s="34" t="n"/>
      <c r="BC90" s="34" t="n"/>
      <c r="BD90" s="34" t="n"/>
      <c r="BE90" s="34" t="n"/>
      <c r="BF90" s="34" t="n"/>
      <c r="BG90" s="34" t="n"/>
      <c r="BH90" s="34" t="n"/>
      <c r="BI90" s="34" t="n"/>
      <c r="BJ90" s="34" t="n"/>
      <c r="BK90" s="34" t="n"/>
      <c r="BL90" s="34" t="n"/>
      <c r="BM90" s="34" t="n"/>
      <c r="BN90" s="34" t="n"/>
      <c r="BO90" s="34" t="n"/>
      <c r="BP90" s="34" t="n"/>
      <c r="BQ90" s="34" t="n"/>
      <c r="BR90" s="34" t="n"/>
      <c r="BS90" s="34" t="n"/>
      <c r="BT90" s="34" t="n"/>
      <c r="BU90" s="34" t="n"/>
      <c r="BV90" s="34" t="n"/>
      <c r="BW90" s="34" t="n"/>
      <c r="BX90" s="34" t="n"/>
      <c r="BY90" s="35" t="n"/>
      <c r="BZ90" s="35" t="n"/>
      <c r="CA90" s="268" t="n">
        <v>0</v>
      </c>
      <c r="CB90" s="254">
        <f>MAX(0,CHOOSE(MATCH($CF$2,{"Bull","Base","Bear"},0),$CO$87,$CP$87,$CQ$87))</f>
        <v>5000</v>
      </c>
      <c r="CC90" s="254">
        <f>MAX(0,CHOOSE(MATCH($CF$2,{"Bull","Base","Bear"},0),$CO$88,$CP$88,$CQ$88))</f>
        <v>5000</v>
      </c>
      <c r="CD90" s="254">
        <f>MAX(0,CHOOSE(MATCH($CF$2,{"Bull","Base","Bear"},0),$CO$89,$CP$89,$CQ$89))</f>
        <v>5000</v>
      </c>
      <c r="CE90" s="254">
        <f>MAX(0,CHOOSE(MATCH($CF$2,{"Bull","Base","Bear"},0),$CO$90,$CP$90,$CQ$90))</f>
        <v>5000</v>
      </c>
      <c r="CF90" s="19" t="inlineStr">
        <is>
          <t>Scenario lever M&amp;A_spend (Base $5bn p.a.; half assumed to buy operating businesses at 3.0x sales, half strategic investments with no revenue).</t>
        </is>
      </c>
      <c r="CN90" s="25" t="inlineStr">
        <is>
          <t xml:space="preserve">  2030E</t>
        </is>
      </c>
      <c r="CO90" s="51">
        <f>MAX(0,CP90+$CO$86)</f>
        <v>8000</v>
      </c>
      <c r="CP90" s="257" t="n">
        <v>5000</v>
      </c>
      <c r="CQ90" s="51">
        <f>MAX(0,CP90+$CQ$86)</f>
        <v>2000</v>
      </c>
    </row>
    <row r="91" ht="15" customHeight="1" s="251">
      <c r="B91" s="25" t="inlineStr">
        <is>
          <t xml:space="preserve">  Share of spend on acquisitions of operating businesses (rest = minority / strategic investments, no revenue)</t>
        </is>
      </c>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c r="BX91" s="36" t="n"/>
      <c r="BY91" s="24" t="n"/>
      <c r="BZ91" s="24" t="n"/>
      <c r="CA91" s="269" t="n">
        <v>0</v>
      </c>
      <c r="CB91" s="269" t="n">
        <v>0.5</v>
      </c>
      <c r="CC91" s="269" t="n">
        <v>0.5</v>
      </c>
      <c r="CD91" s="269" t="n">
        <v>0.5</v>
      </c>
      <c r="CE91" s="269" t="n">
        <v>0.5</v>
      </c>
      <c r="CF91" s="19" t="n"/>
    </row>
    <row r="92" ht="15" customHeight="1" s="251">
      <c r="B92" s="25" t="inlineStr">
        <is>
          <t xml:space="preserve">  Purchase multiple — EV / sales (x)</t>
        </is>
      </c>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c r="BP92" s="36" t="n"/>
      <c r="BQ92" s="36" t="n"/>
      <c r="BR92" s="36" t="n"/>
      <c r="BS92" s="36" t="n"/>
      <c r="BT92" s="36" t="n"/>
      <c r="BU92" s="36" t="n"/>
      <c r="BV92" s="36" t="n"/>
      <c r="BW92" s="36" t="n"/>
      <c r="BX92" s="36" t="n"/>
      <c r="BY92" s="24" t="n"/>
      <c r="BZ92" s="24" t="n"/>
      <c r="CA92" s="270" t="n">
        <v>0</v>
      </c>
      <c r="CB92" s="270" t="n">
        <v>3</v>
      </c>
      <c r="CC92" s="270" t="n">
        <v>3</v>
      </c>
      <c r="CD92" s="270" t="n">
        <v>3</v>
      </c>
      <c r="CE92" s="270" t="n">
        <v>3</v>
      </c>
      <c r="CF92" s="19" t="inlineStr">
        <is>
          <t>Assumption (3.0x input). Precedents: MGM (17-Mar-2022, $6.1bn net of cash + $2.5bn debt assumed; Q1-22 10-Q), One Medical (22-Feb-2023, $3.5bn; Q1-23 10-Q), Whole Foods (28-Aug-2017, $13.2bn; FY2017 10-K).</t>
        </is>
      </c>
    </row>
    <row r="93" ht="15" customHeight="1" s="251">
      <c r="B93" s="25" t="inlineStr">
        <is>
          <t xml:space="preserve">  Annualised revenue acquired in the year</t>
        </is>
      </c>
      <c r="C93" s="34" t="n"/>
      <c r="D93" s="34" t="n"/>
      <c r="E93" s="34" t="n"/>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c r="AA93" s="34" t="n"/>
      <c r="AB93" s="34" t="n"/>
      <c r="AC93" s="34" t="n"/>
      <c r="AD93" s="34" t="n"/>
      <c r="AE93" s="34" t="n"/>
      <c r="AF93" s="34" t="n"/>
      <c r="AG93" s="34" t="n"/>
      <c r="AH93" s="34" t="n"/>
      <c r="AI93" s="34" t="n"/>
      <c r="AJ93" s="34" t="n"/>
      <c r="AK93" s="34" t="n"/>
      <c r="AL93" s="34" t="n"/>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4" t="n"/>
      <c r="BM93" s="34" t="n"/>
      <c r="BN93" s="34" t="n"/>
      <c r="BO93" s="34" t="n"/>
      <c r="BP93" s="34" t="n"/>
      <c r="BQ93" s="34" t="n"/>
      <c r="BR93" s="34" t="n"/>
      <c r="BS93" s="34" t="n"/>
      <c r="BT93" s="34" t="n"/>
      <c r="BU93" s="34" t="n"/>
      <c r="BV93" s="34" t="n"/>
      <c r="BW93" s="34" t="n"/>
      <c r="BX93" s="34" t="n"/>
      <c r="BY93" s="35" t="n"/>
      <c r="BZ93" s="35" t="n"/>
      <c r="CA93" s="268" t="n">
        <v>0</v>
      </c>
      <c r="CB93" s="254">
        <f>IFERROR(CB90*CB91/CB92,0)</f>
        <v>833.333333333333</v>
      </c>
      <c r="CC93" s="254">
        <f>IFERROR(CC90*CC91/CC92,0)</f>
        <v>833.333333333333</v>
      </c>
      <c r="CD93" s="254">
        <f>IFERROR(CD90*CD91/CD92,0)</f>
        <v>833.333333333333</v>
      </c>
      <c r="CE93" s="254">
        <f>IFERROR(CE90*CE91/CE92,0)</f>
        <v>833.333333333333</v>
      </c>
      <c r="CF93" s="19" t="n"/>
    </row>
    <row r="94" ht="15" customHeight="1" s="251">
      <c r="B94" s="25" t="inlineStr">
        <is>
          <t xml:space="preserve">  Growth of acquired businesses after acquisition %</t>
        </is>
      </c>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c r="BP94" s="36" t="n"/>
      <c r="BQ94" s="36" t="n"/>
      <c r="BR94" s="36" t="n"/>
      <c r="BS94" s="36" t="n"/>
      <c r="BT94" s="36" t="n"/>
      <c r="BU94" s="36" t="n"/>
      <c r="BV94" s="36" t="n"/>
      <c r="BW94" s="36" t="n"/>
      <c r="BX94" s="36" t="n"/>
      <c r="BY94" s="24" t="n"/>
      <c r="BZ94" s="24" t="n"/>
      <c r="CA94" s="269" t="n">
        <v>0</v>
      </c>
      <c r="CB94" s="269" t="n">
        <v>0.08</v>
      </c>
      <c r="CC94" s="269" t="n">
        <v>0.08</v>
      </c>
      <c r="CD94" s="269" t="n">
        <v>0.08</v>
      </c>
      <c r="CE94" s="269" t="n">
        <v>0.08</v>
      </c>
      <c r="CF94" s="19" t="n"/>
    </row>
    <row r="95" ht="15" customHeight="1" s="251">
      <c r="B95" s="25" t="inlineStr">
        <is>
          <t xml:space="preserve">  Run-rate revenue of businesses acquired (year end)</t>
        </is>
      </c>
      <c r="C95" s="34" t="n"/>
      <c r="D95" s="34" t="n"/>
      <c r="E95" s="34" t="n"/>
      <c r="F95" s="34" t="n"/>
      <c r="G95" s="34" t="n"/>
      <c r="H95" s="34" t="n"/>
      <c r="I95" s="34" t="n"/>
      <c r="J95" s="34" t="n"/>
      <c r="K95" s="34" t="n"/>
      <c r="L95" s="34" t="n"/>
      <c r="M95" s="34" t="n"/>
      <c r="N95" s="34" t="n"/>
      <c r="O95" s="34" t="n"/>
      <c r="P95" s="34" t="n"/>
      <c r="Q95" s="34" t="n"/>
      <c r="R95" s="34" t="n"/>
      <c r="S95" s="34" t="n"/>
      <c r="T95" s="34" t="n"/>
      <c r="U95" s="34" t="n"/>
      <c r="V95" s="34" t="n"/>
      <c r="W95" s="34" t="n"/>
      <c r="X95" s="34" t="n"/>
      <c r="Y95" s="34" t="n"/>
      <c r="Z95" s="34" t="n"/>
      <c r="AA95" s="34" t="n"/>
      <c r="AB95" s="34" t="n"/>
      <c r="AC95" s="34" t="n"/>
      <c r="AD95" s="34" t="n"/>
      <c r="AE95" s="34" t="n"/>
      <c r="AF95" s="34" t="n"/>
      <c r="AG95" s="34" t="n"/>
      <c r="AH95" s="34" t="n"/>
      <c r="AI95" s="34" t="n"/>
      <c r="AJ95" s="34" t="n"/>
      <c r="AK95" s="34" t="n"/>
      <c r="AL95" s="34" t="n"/>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4" t="n"/>
      <c r="BM95" s="34" t="n"/>
      <c r="BN95" s="34" t="n"/>
      <c r="BO95" s="34" t="n"/>
      <c r="BP95" s="34" t="n"/>
      <c r="BQ95" s="34" t="n"/>
      <c r="BR95" s="34" t="n"/>
      <c r="BS95" s="34" t="n"/>
      <c r="BT95" s="34" t="n"/>
      <c r="BU95" s="34" t="n"/>
      <c r="BV95" s="34" t="n"/>
      <c r="BW95" s="34" t="n"/>
      <c r="BX95" s="34" t="n"/>
      <c r="BY95" s="35" t="n"/>
      <c r="BZ95" s="35" t="n"/>
      <c r="CA95" s="268" t="n">
        <v>0</v>
      </c>
      <c r="CB95" s="254">
        <f>CA95*(1+CB94)+CB93</f>
        <v>833.333333333333</v>
      </c>
      <c r="CC95" s="254">
        <f>CB95*(1+CC94)+CC93</f>
        <v>1733.33333333333</v>
      </c>
      <c r="CD95" s="254">
        <f>CC95*(1+CD94)+CD93</f>
        <v>2705.33333333333</v>
      </c>
      <c r="CE95" s="254">
        <f>CD95*(1+CE94)+CE93</f>
        <v>3755.09333333333</v>
      </c>
      <c r="CF95" s="19" t="n"/>
    </row>
    <row r="96" ht="15" customHeight="1" s="251">
      <c r="B96" s="16" t="inlineStr">
        <is>
          <t xml:space="preserve">  Revenue from future acquisitions</t>
        </is>
      </c>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c r="AC96" s="43" t="n"/>
      <c r="AD96" s="43" t="n"/>
      <c r="AE96" s="43" t="n"/>
      <c r="AF96" s="43" t="n"/>
      <c r="AG96" s="43" t="n"/>
      <c r="AH96" s="43" t="n"/>
      <c r="AI96" s="43" t="n"/>
      <c r="AJ96" s="43" t="n"/>
      <c r="AK96" s="43" t="n"/>
      <c r="AL96" s="43" t="n"/>
      <c r="AM96" s="43" t="n"/>
      <c r="AN96" s="43" t="n"/>
      <c r="AO96" s="43" t="n"/>
      <c r="AP96" s="43" t="n"/>
      <c r="AQ96" s="43" t="n"/>
      <c r="AR96" s="43" t="n"/>
      <c r="AS96" s="43" t="n"/>
      <c r="AT96" s="43" t="n"/>
      <c r="AU96" s="43" t="n"/>
      <c r="AV96" s="43" t="n"/>
      <c r="AW96" s="43" t="n"/>
      <c r="AX96" s="43" t="n"/>
      <c r="AY96" s="43" t="n"/>
      <c r="AZ96" s="43" t="n"/>
      <c r="BA96" s="43" t="n"/>
      <c r="BB96" s="43" t="n"/>
      <c r="BC96" s="43" t="n"/>
      <c r="BD96" s="43" t="n"/>
      <c r="BE96" s="43" t="n"/>
      <c r="BF96" s="43" t="n"/>
      <c r="BG96" s="43" t="n"/>
      <c r="BH96" s="43" t="n"/>
      <c r="BI96" s="43" t="n"/>
      <c r="BJ96" s="43" t="n"/>
      <c r="BK96" s="43" t="n"/>
      <c r="BL96" s="43" t="n"/>
      <c r="BM96" s="43" t="n"/>
      <c r="BN96" s="43" t="n"/>
      <c r="BO96" s="43" t="n"/>
      <c r="BP96" s="43" t="n"/>
      <c r="BQ96" s="43" t="n"/>
      <c r="BR96" s="43" t="n"/>
      <c r="BS96" s="43" t="n"/>
      <c r="BT96" s="43" t="n"/>
      <c r="BU96" s="43" t="n"/>
      <c r="BV96" s="43" t="n"/>
      <c r="BW96" s="43" t="n"/>
      <c r="BX96" s="43" t="n"/>
      <c r="BY96" s="32" t="n"/>
      <c r="BZ96" s="32" t="n"/>
      <c r="CA96" s="271" t="n">
        <v>0</v>
      </c>
      <c r="CB96" s="265">
        <f>CA95*(1+CB94)+0.5*CB93</f>
        <v>416.666666666667</v>
      </c>
      <c r="CC96" s="265">
        <f>CB95*(1+CC94)+0.5*CC93</f>
        <v>1316.66666666667</v>
      </c>
      <c r="CD96" s="265">
        <f>CC95*(1+CD94)+0.5*CD93</f>
        <v>2288.66666666667</v>
      </c>
      <c r="CE96" s="265">
        <f>CD95*(1+CE94)+0.5*CE93</f>
        <v>3338.42666666667</v>
      </c>
      <c r="CF96" s="153" t="inlineStr">
        <is>
          <t>Mid-year convention.</t>
        </is>
      </c>
    </row>
    <row r="97" ht="15" customHeight="1" s="251">
      <c r="B97" s="25" t="inlineStr">
        <is>
          <t xml:space="preserve">  Operating margin of acquired businesses %</t>
        </is>
      </c>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c r="BP97" s="36" t="n"/>
      <c r="BQ97" s="36" t="n"/>
      <c r="BR97" s="36" t="n"/>
      <c r="BS97" s="36" t="n"/>
      <c r="BT97" s="36" t="n"/>
      <c r="BU97" s="36" t="n"/>
      <c r="BV97" s="36" t="n"/>
      <c r="BW97" s="36" t="n"/>
      <c r="BX97" s="36" t="n"/>
      <c r="BY97" s="24" t="n"/>
      <c r="BZ97" s="24" t="n"/>
      <c r="CA97" s="269" t="n">
        <v>0</v>
      </c>
      <c r="CB97" s="269" t="n">
        <v>0.05</v>
      </c>
      <c r="CC97" s="269" t="n">
        <v>0.05</v>
      </c>
      <c r="CD97" s="269" t="n">
        <v>0.05</v>
      </c>
      <c r="CE97" s="269" t="n">
        <v>0.05</v>
      </c>
      <c r="CF97" s="19" t="n"/>
    </row>
    <row r="98" ht="15" customHeight="1" s="251">
      <c r="B98" s="25" t="inlineStr">
        <is>
          <t xml:space="preserve">  Operating income from future acquisitions</t>
        </is>
      </c>
      <c r="C98" s="34" t="n"/>
      <c r="D98" s="34" t="n"/>
      <c r="E98" s="34" t="n"/>
      <c r="F98" s="34" t="n"/>
      <c r="G98" s="34" t="n"/>
      <c r="H98" s="34" t="n"/>
      <c r="I98" s="34" t="n"/>
      <c r="J98" s="34" t="n"/>
      <c r="K98" s="34" t="n"/>
      <c r="L98" s="34" t="n"/>
      <c r="M98" s="34" t="n"/>
      <c r="N98" s="34" t="n"/>
      <c r="O98" s="34" t="n"/>
      <c r="P98" s="34" t="n"/>
      <c r="Q98" s="34" t="n"/>
      <c r="R98" s="34" t="n"/>
      <c r="S98" s="34" t="n"/>
      <c r="T98" s="34" t="n"/>
      <c r="U98" s="34" t="n"/>
      <c r="V98" s="34" t="n"/>
      <c r="W98" s="34" t="n"/>
      <c r="X98" s="34" t="n"/>
      <c r="Y98" s="34" t="n"/>
      <c r="Z98" s="34" t="n"/>
      <c r="AA98" s="34" t="n"/>
      <c r="AB98" s="34" t="n"/>
      <c r="AC98" s="34" t="n"/>
      <c r="AD98" s="34" t="n"/>
      <c r="AE98" s="34" t="n"/>
      <c r="AF98" s="34" t="n"/>
      <c r="AG98" s="34" t="n"/>
      <c r="AH98" s="34" t="n"/>
      <c r="AI98" s="34" t="n"/>
      <c r="AJ98" s="34" t="n"/>
      <c r="AK98" s="34" t="n"/>
      <c r="AL98" s="34" t="n"/>
      <c r="AM98" s="34" t="n"/>
      <c r="AN98" s="34" t="n"/>
      <c r="AO98" s="34" t="n"/>
      <c r="AP98" s="34" t="n"/>
      <c r="AQ98" s="34" t="n"/>
      <c r="AR98" s="34" t="n"/>
      <c r="AS98" s="34" t="n"/>
      <c r="AT98" s="34" t="n"/>
      <c r="AU98" s="34" t="n"/>
      <c r="AV98" s="34" t="n"/>
      <c r="AW98" s="34" t="n"/>
      <c r="AX98" s="34" t="n"/>
      <c r="AY98" s="34" t="n"/>
      <c r="AZ98" s="34" t="n"/>
      <c r="BA98" s="34" t="n"/>
      <c r="BB98" s="34" t="n"/>
      <c r="BC98" s="34" t="n"/>
      <c r="BD98" s="34" t="n"/>
      <c r="BE98" s="34" t="n"/>
      <c r="BF98" s="34" t="n"/>
      <c r="BG98" s="34" t="n"/>
      <c r="BH98" s="34" t="n"/>
      <c r="BI98" s="34" t="n"/>
      <c r="BJ98" s="34" t="n"/>
      <c r="BK98" s="34" t="n"/>
      <c r="BL98" s="34" t="n"/>
      <c r="BM98" s="34" t="n"/>
      <c r="BN98" s="34" t="n"/>
      <c r="BO98" s="34" t="n"/>
      <c r="BP98" s="34" t="n"/>
      <c r="BQ98" s="34" t="n"/>
      <c r="BR98" s="34" t="n"/>
      <c r="BS98" s="34" t="n"/>
      <c r="BT98" s="34" t="n"/>
      <c r="BU98" s="34" t="n"/>
      <c r="BV98" s="34" t="n"/>
      <c r="BW98" s="34" t="n"/>
      <c r="BX98" s="34" t="n"/>
      <c r="BY98" s="35" t="n"/>
      <c r="BZ98" s="35" t="n"/>
      <c r="CA98" s="268" t="n">
        <v>0</v>
      </c>
      <c r="CB98" s="254">
        <f>CB96*CB97</f>
        <v>20.8333333333333</v>
      </c>
      <c r="CC98" s="254">
        <f>CC96*CC97</f>
        <v>65.8333333333333</v>
      </c>
      <c r="CD98" s="254">
        <f>CD96*CD97</f>
        <v>114.433333333333</v>
      </c>
      <c r="CE98" s="254">
        <f>CE96*CE97</f>
        <v>166.921333333333</v>
      </c>
      <c r="CF98" s="19" t="n"/>
    </row>
    <row r="99" ht="15" customHeight="1" s="251">
      <c r="B99" s="25" t="inlineStr">
        <is>
          <t xml:space="preserve">  Acquired intangibles % of acquisition spend</t>
        </is>
      </c>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c r="AF99" s="36" t="n"/>
      <c r="AG99" s="36" t="n"/>
      <c r="AH99" s="36" t="n"/>
      <c r="AI99" s="36" t="n"/>
      <c r="AJ99" s="36" t="n"/>
      <c r="AK99" s="36" t="n"/>
      <c r="AL99" s="36" t="n"/>
      <c r="AM99" s="36" t="n"/>
      <c r="AN99" s="36" t="n"/>
      <c r="AO99" s="36" t="n"/>
      <c r="AP99" s="36" t="n"/>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c r="BP99" s="36" t="n"/>
      <c r="BQ99" s="36" t="n"/>
      <c r="BR99" s="36" t="n"/>
      <c r="BS99" s="36" t="n"/>
      <c r="BT99" s="36" t="n"/>
      <c r="BU99" s="36" t="n"/>
      <c r="BV99" s="36" t="n"/>
      <c r="BW99" s="36" t="n"/>
      <c r="BX99" s="36" t="n"/>
      <c r="BY99" s="24" t="n"/>
      <c r="BZ99" s="24" t="n"/>
      <c r="CA99" s="269" t="n">
        <v>0</v>
      </c>
      <c r="CB99" s="269" t="n">
        <v>0.3</v>
      </c>
      <c r="CC99" s="269" t="n">
        <v>0.3</v>
      </c>
      <c r="CD99" s="269" t="n">
        <v>0.3</v>
      </c>
      <c r="CE99" s="269" t="n">
        <v>0.3</v>
      </c>
      <c r="CF99" s="19" t="inlineStr">
        <is>
          <t>One Medical: $1.3bn intangibles / $3.5bn consideration (37%); 30% input (assumption).</t>
        </is>
      </c>
    </row>
    <row r="100" ht="15" customHeight="1" s="251">
      <c r="B100" s="25" t="inlineStr">
        <is>
          <t xml:space="preserve">  Intangible amortization life (years)</t>
        </is>
      </c>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c r="AF100" s="36" t="n"/>
      <c r="AG100" s="36" t="n"/>
      <c r="AH100" s="36" t="n"/>
      <c r="AI100" s="36" t="n"/>
      <c r="AJ100" s="36" t="n"/>
      <c r="AK100" s="36" t="n"/>
      <c r="AL100" s="36" t="n"/>
      <c r="AM100" s="36" t="n"/>
      <c r="AN100" s="36" t="n"/>
      <c r="AO100" s="36" t="n"/>
      <c r="AP100" s="36" t="n"/>
      <c r="AQ100" s="36" t="n"/>
      <c r="AR100" s="36" t="n"/>
      <c r="AS100" s="36" t="n"/>
      <c r="AT100" s="36" t="n"/>
      <c r="AU100" s="36" t="n"/>
      <c r="AV100" s="36" t="n"/>
      <c r="AW100" s="36" t="n"/>
      <c r="AX100" s="36" t="n"/>
      <c r="AY100" s="36" t="n"/>
      <c r="AZ100" s="36" t="n"/>
      <c r="BA100" s="36" t="n"/>
      <c r="BB100" s="36" t="n"/>
      <c r="BC100" s="36" t="n"/>
      <c r="BD100" s="36" t="n"/>
      <c r="BE100" s="36" t="n"/>
      <c r="BF100" s="36" t="n"/>
      <c r="BG100" s="36" t="n"/>
      <c r="BH100" s="36" t="n"/>
      <c r="BI100" s="36" t="n"/>
      <c r="BJ100" s="36" t="n"/>
      <c r="BK100" s="36" t="n"/>
      <c r="BL100" s="36" t="n"/>
      <c r="BM100" s="36" t="n"/>
      <c r="BN100" s="36" t="n"/>
      <c r="BO100" s="36" t="n"/>
      <c r="BP100" s="36" t="n"/>
      <c r="BQ100" s="36" t="n"/>
      <c r="BR100" s="36" t="n"/>
      <c r="BS100" s="36" t="n"/>
      <c r="BT100" s="36" t="n"/>
      <c r="BU100" s="36" t="n"/>
      <c r="BV100" s="36" t="n"/>
      <c r="BW100" s="36" t="n"/>
      <c r="BX100" s="36" t="n"/>
      <c r="BY100" s="24" t="n"/>
      <c r="BZ100" s="24" t="n"/>
      <c r="CA100" s="272" t="n">
        <v>0</v>
      </c>
      <c r="CB100" s="272" t="n">
        <v>10</v>
      </c>
      <c r="CC100" s="272" t="n">
        <v>10</v>
      </c>
      <c r="CD100" s="272" t="n">
        <v>10</v>
      </c>
      <c r="CE100" s="272" t="n">
        <v>10</v>
      </c>
      <c r="CF100" s="19" t="n"/>
    </row>
    <row r="101" ht="15" customHeight="1" s="251">
      <c r="B101" s="25" t="inlineStr">
        <is>
          <t xml:space="preserve">  Cumulative acquired intangibles (gross)</t>
        </is>
      </c>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c r="AA101" s="34" t="n"/>
      <c r="AB101" s="34" t="n"/>
      <c r="AC101" s="34" t="n"/>
      <c r="AD101" s="34" t="n"/>
      <c r="AE101" s="34" t="n"/>
      <c r="AF101" s="34" t="n"/>
      <c r="AG101" s="34" t="n"/>
      <c r="AH101" s="34" t="n"/>
      <c r="AI101" s="34" t="n"/>
      <c r="AJ101" s="34" t="n"/>
      <c r="AK101" s="34" t="n"/>
      <c r="AL101" s="34" t="n"/>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4" t="n"/>
      <c r="BM101" s="34" t="n"/>
      <c r="BN101" s="34" t="n"/>
      <c r="BO101" s="34" t="n"/>
      <c r="BP101" s="34" t="n"/>
      <c r="BQ101" s="34" t="n"/>
      <c r="BR101" s="34" t="n"/>
      <c r="BS101" s="34" t="n"/>
      <c r="BT101" s="34" t="n"/>
      <c r="BU101" s="34" t="n"/>
      <c r="BV101" s="34" t="n"/>
      <c r="BW101" s="34" t="n"/>
      <c r="BX101" s="34" t="n"/>
      <c r="BY101" s="35" t="n"/>
      <c r="BZ101" s="35" t="n"/>
      <c r="CA101" s="268" t="n">
        <v>0</v>
      </c>
      <c r="CB101" s="254">
        <f>CA101+CB90*CB91*CB99</f>
        <v>750</v>
      </c>
      <c r="CC101" s="254">
        <f>CB101+CC90*CC91*CC99</f>
        <v>1500</v>
      </c>
      <c r="CD101" s="254">
        <f>CC101+CD90*CD91*CD99</f>
        <v>2250</v>
      </c>
      <c r="CE101" s="254">
        <f>CD101+CE90*CE91*CE99</f>
        <v>3000</v>
      </c>
      <c r="CF101" s="19" t="n"/>
    </row>
    <row r="102" ht="15" customHeight="1" s="251">
      <c r="B102" s="25" t="inlineStr">
        <is>
          <t xml:space="preserve">  Amortization of future-acquisition intangibles (inside the acquired-business margin)</t>
        </is>
      </c>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c r="AA102" s="34" t="n"/>
      <c r="AB102" s="34" t="n"/>
      <c r="AC102" s="34" t="n"/>
      <c r="AD102" s="34" t="n"/>
      <c r="AE102" s="34" t="n"/>
      <c r="AF102" s="34" t="n"/>
      <c r="AG102" s="34" t="n"/>
      <c r="AH102" s="34" t="n"/>
      <c r="AI102" s="34" t="n"/>
      <c r="AJ102" s="34" t="n"/>
      <c r="AK102" s="34" t="n"/>
      <c r="AL102" s="34" t="n"/>
      <c r="AM102" s="34" t="n"/>
      <c r="AN102" s="34" t="n"/>
      <c r="AO102" s="34" t="n"/>
      <c r="AP102" s="34" t="n"/>
      <c r="AQ102" s="34" t="n"/>
      <c r="AR102" s="34" t="n"/>
      <c r="AS102" s="34" t="n"/>
      <c r="AT102" s="34" t="n"/>
      <c r="AU102" s="34" t="n"/>
      <c r="AV102" s="34" t="n"/>
      <c r="AW102" s="34" t="n"/>
      <c r="AX102" s="34" t="n"/>
      <c r="AY102" s="34" t="n"/>
      <c r="AZ102" s="34" t="n"/>
      <c r="BA102" s="34" t="n"/>
      <c r="BB102" s="34" t="n"/>
      <c r="BC102" s="34" t="n"/>
      <c r="BD102" s="34" t="n"/>
      <c r="BE102" s="34" t="n"/>
      <c r="BF102" s="34" t="n"/>
      <c r="BG102" s="34" t="n"/>
      <c r="BH102" s="34" t="n"/>
      <c r="BI102" s="34" t="n"/>
      <c r="BJ102" s="34" t="n"/>
      <c r="BK102" s="34" t="n"/>
      <c r="BL102" s="34" t="n"/>
      <c r="BM102" s="34" t="n"/>
      <c r="BN102" s="34" t="n"/>
      <c r="BO102" s="34" t="n"/>
      <c r="BP102" s="34" t="n"/>
      <c r="BQ102" s="34" t="n"/>
      <c r="BR102" s="34" t="n"/>
      <c r="BS102" s="34" t="n"/>
      <c r="BT102" s="34" t="n"/>
      <c r="BU102" s="34" t="n"/>
      <c r="BV102" s="34" t="n"/>
      <c r="BW102" s="34" t="n"/>
      <c r="BX102" s="34" t="n"/>
      <c r="BY102" s="35" t="n"/>
      <c r="BZ102" s="35" t="n"/>
      <c r="CA102" s="268" t="n">
        <v>0</v>
      </c>
      <c r="CB102" s="254">
        <f>IFERROR((CA101+0.5*CB90*CB91*CB99)/CB100,0)</f>
        <v>37.5</v>
      </c>
      <c r="CC102" s="254">
        <f>IFERROR((CB101+0.5*CC90*CC91*CC99)/CC100,0)</f>
        <v>112.5</v>
      </c>
      <c r="CD102" s="254">
        <f>IFERROR((CC101+0.5*CD90*CD91*CD99)/CD100,0)</f>
        <v>187.5</v>
      </c>
      <c r="CE102" s="254">
        <f>IFERROR((CD101+0.5*CE90*CE91*CE99)/CE100,0)</f>
        <v>262.5</v>
      </c>
      <c r="CF102" s="19" t="n"/>
    </row>
    <row r="103" ht="15" customHeight="1" s="251">
      <c r="CN103" s="11" t="n"/>
      <c r="CO103" s="12" t="n"/>
      <c r="CP103" s="12" t="n"/>
      <c r="CQ103" s="12" t="n"/>
      <c r="CR103" s="13" t="n"/>
    </row>
    <row r="104" ht="15" customHeight="1" s="251">
      <c r="B104" s="14" t="inlineStr">
        <is>
          <t>Group Total — net sales &amp; operating income (segment build) → Q3-26 guidance calibration</t>
        </is>
      </c>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c r="BR104" s="14" t="n"/>
      <c r="BS104" s="14" t="n"/>
      <c r="BT104" s="14" t="n"/>
      <c r="BU104" s="14" t="n"/>
      <c r="BV104" s="14" t="n"/>
      <c r="BW104" s="14" t="n"/>
      <c r="BX104" s="14" t="n"/>
      <c r="BY104" s="14" t="n"/>
      <c r="BZ104" s="14" t="n"/>
      <c r="CA104" s="14" t="n"/>
      <c r="CB104" s="14" t="n"/>
      <c r="CC104" s="14" t="n"/>
      <c r="CD104" s="14" t="n"/>
      <c r="CE104" s="14" t="n"/>
      <c r="CF104" s="15" t="inlineStr">
        <is>
          <t>GROUP TOTAL (CONSOLIDATED) — modelling logic: Amazon guides one quarter ahead (net sales and operating income ranges); Q4/26E carries the Q3 Δs</t>
        </is>
      </c>
    </row>
    <row r="105" ht="15" customHeight="1" s="251">
      <c r="B105" s="55" t="inlineStr">
        <is>
          <t>Net sales (segment build)</t>
        </is>
      </c>
      <c r="C105" s="262">
        <f>IF(ISNUMBER(C44),C44+C50+C56,C144)</f>
        <v>10711</v>
      </c>
      <c r="D105" s="262">
        <f>IF(ISNUMBER(D44),D44+D50+D56,D144)</f>
        <v>14835</v>
      </c>
      <c r="E105" s="262">
        <f>IF(ISNUMBER(E44),E44+E50+E56,E144)</f>
        <v>19166</v>
      </c>
      <c r="F105" s="262">
        <f>IF(ISNUMBER(F44),F44+F50+F56,F144)</f>
        <v>24509</v>
      </c>
      <c r="G105" s="262">
        <f>IF(ISNUMBER(G44),G44+G50+G56,G144)</f>
        <v>34204</v>
      </c>
      <c r="H105" s="262">
        <f>IF(ISNUMBER(H44),H44+H50+H56,H144)</f>
        <v>48077</v>
      </c>
      <c r="I105" s="262">
        <f>IF(ISNUMBER(I44),I44+I50+I56,I144)</f>
        <v>61093</v>
      </c>
      <c r="J105" s="262">
        <f>IF(ISNUMBER(J44),J44+J50+J56,J144)</f>
        <v>16070</v>
      </c>
      <c r="K105" s="262">
        <f>IF(ISNUMBER(K44),K44+K50+K56,K144)</f>
        <v>15704</v>
      </c>
      <c r="L105" s="262">
        <f>IF(ISNUMBER(L44),L44+L50+L56,L144)</f>
        <v>17092</v>
      </c>
      <c r="M105" s="262">
        <f>IF(ISNUMBER(M44),M44+M50+M56,M144)</f>
        <v>25587</v>
      </c>
      <c r="N105" s="262">
        <f>IF(ISNUMBER(N44),N44+N50+N56,N144)</f>
        <v>74452</v>
      </c>
      <c r="O105" s="262">
        <f>IF(ISNUMBER(O44),O44+O50+O56,O144)</f>
        <v>19741</v>
      </c>
      <c r="P105" s="262">
        <f>IF(ISNUMBER(P44),P44+P50+P56,P144)</f>
        <v>19340</v>
      </c>
      <c r="Q105" s="262">
        <f>IF(ISNUMBER(Q44),Q44+Q50+Q56,Q144)</f>
        <v>20579</v>
      </c>
      <c r="R105" s="262">
        <f>IF(ISNUMBER(R44),R44+R50+R56,R144)</f>
        <v>29328</v>
      </c>
      <c r="S105" s="262">
        <f>IF(ISNUMBER(S44),S44+S50+S56,S144)</f>
        <v>88988</v>
      </c>
      <c r="T105" s="262">
        <f>IF(ISNUMBER(T44),T44+T50+T56,T144)</f>
        <v>22717</v>
      </c>
      <c r="U105" s="262">
        <f>IF(ISNUMBER(U44),U44+U50+U56,U144)</f>
        <v>23185</v>
      </c>
      <c r="V105" s="262">
        <f>IF(ISNUMBER(V44),V44+V50+V56,V144)</f>
        <v>25358</v>
      </c>
      <c r="W105" s="262">
        <f>IF(ISNUMBER(W44),W44+W50+W56,W144)</f>
        <v>35747</v>
      </c>
      <c r="X105" s="262">
        <f>IF(ISNUMBER(X44),X44+X50+X56,X144)</f>
        <v>107006</v>
      </c>
      <c r="Y105" s="262">
        <f>IF(ISNUMBER(Y44),Y44+Y50+Y56,Y144)</f>
        <v>29128</v>
      </c>
      <c r="Z105" s="262">
        <f>IF(ISNUMBER(Z44),Z44+Z50+Z56,Z144)</f>
        <v>30404</v>
      </c>
      <c r="AA105" s="262">
        <f>IF(ISNUMBER(AA44),AA44+AA50+AA56,AA144)</f>
        <v>32714</v>
      </c>
      <c r="AB105" s="262">
        <f>IF(ISNUMBER(AB44),AB44+AB50+AB56,AB144)</f>
        <v>43741</v>
      </c>
      <c r="AC105" s="262">
        <f>IF(ISNUMBER(AC44),AC44+AC50+AC56,AC144)</f>
        <v>135987</v>
      </c>
      <c r="AD105" s="262">
        <f>IF(ISNUMBER(AD44),AD44+AD50+AD56,AD144)</f>
        <v>35714</v>
      </c>
      <c r="AE105" s="262">
        <f>IF(ISNUMBER(AE44),AE44+AE50+AE56,AE144)</f>
        <v>37955</v>
      </c>
      <c r="AF105" s="262">
        <f>IF(ISNUMBER(AF44),AF44+AF50+AF56,AF144)</f>
        <v>43744</v>
      </c>
      <c r="AG105" s="262">
        <f>IF(ISNUMBER(AG44),AG44+AG50+AG56,AG144)</f>
        <v>60453</v>
      </c>
      <c r="AH105" s="262">
        <f>IF(ISNUMBER(AH44),AH44+AH50+AH56,AH144)</f>
        <v>177866</v>
      </c>
      <c r="AI105" s="262">
        <f>IF(ISNUMBER(AI44),AI44+AI50+AI56,AI144)</f>
        <v>51042</v>
      </c>
      <c r="AJ105" s="262">
        <f>IF(ISNUMBER(AJ44),AJ44+AJ50+AJ56,AJ144)</f>
        <v>52886</v>
      </c>
      <c r="AK105" s="262">
        <f>IF(ISNUMBER(AK44),AK44+AK50+AK56,AK144)</f>
        <v>56576</v>
      </c>
      <c r="AL105" s="262">
        <f>IF(ISNUMBER(AL44),AL44+AL50+AL56,AL144)</f>
        <v>72383</v>
      </c>
      <c r="AM105" s="262">
        <f>IF(ISNUMBER(AM44),AM44+AM50+AM56,AM144)</f>
        <v>232887</v>
      </c>
      <c r="AN105" s="262">
        <f>IF(ISNUMBER(AN44),AN44+AN50+AN56,AN144)</f>
        <v>59700</v>
      </c>
      <c r="AO105" s="262">
        <f>IF(ISNUMBER(AO44),AO44+AO50+AO56,AO144)</f>
        <v>63404</v>
      </c>
      <c r="AP105" s="262">
        <f>IF(ISNUMBER(AP44),AP44+AP50+AP56,AP144)</f>
        <v>69981</v>
      </c>
      <c r="AQ105" s="262">
        <f>IF(ISNUMBER(AQ44),AQ44+AQ50+AQ56,AQ144)</f>
        <v>87437</v>
      </c>
      <c r="AR105" s="262">
        <f>IF(ISNUMBER(AR44),AR44+AR50+AR56,AR144)</f>
        <v>280522</v>
      </c>
      <c r="AS105" s="262">
        <f>IF(ISNUMBER(AS44),AS44+AS50+AS56,AS144)</f>
        <v>75452</v>
      </c>
      <c r="AT105" s="262">
        <f>IF(ISNUMBER(AT44),AT44+AT50+AT56,AT144)</f>
        <v>88912</v>
      </c>
      <c r="AU105" s="262">
        <f>IF(ISNUMBER(AU44),AU44+AU50+AU56,AU144)</f>
        <v>96145</v>
      </c>
      <c r="AV105" s="262">
        <f>IF(ISNUMBER(AV44),AV44+AV50+AV56,AV144)</f>
        <v>125555</v>
      </c>
      <c r="AW105" s="262">
        <f>IF(ISNUMBER(AW44),AW44+AW50+AW56,AW144)</f>
        <v>386064</v>
      </c>
      <c r="AX105" s="262">
        <f>IF(ISNUMBER(AX44),AX44+AX50+AX56,AX144)</f>
        <v>108518</v>
      </c>
      <c r="AY105" s="262">
        <f>IF(ISNUMBER(AY44),AY44+AY50+AY56,AY144)</f>
        <v>113080</v>
      </c>
      <c r="AZ105" s="262">
        <f>IF(ISNUMBER(AZ44),AZ44+AZ50+AZ56,AZ144)</f>
        <v>110812</v>
      </c>
      <c r="BA105" s="262">
        <f>IF(ISNUMBER(BA44),BA44+BA50+BA56,BA144)</f>
        <v>137412</v>
      </c>
      <c r="BB105" s="262">
        <f>IF(ISNUMBER(BB44),BB44+BB50+BB56,BB144)</f>
        <v>469822</v>
      </c>
      <c r="BC105" s="262">
        <f>IF(ISNUMBER(BC44),BC44+BC50+BC56,BC144)</f>
        <v>116444</v>
      </c>
      <c r="BD105" s="262">
        <f>IF(ISNUMBER(BD44),BD44+BD50+BD56,BD144)</f>
        <v>121234</v>
      </c>
      <c r="BE105" s="262">
        <f>IF(ISNUMBER(BE44),BE44+BE50+BE56,BE144)</f>
        <v>127101</v>
      </c>
      <c r="BF105" s="262">
        <f>IF(ISNUMBER(BF44),BF44+BF50+BF56,BF144)</f>
        <v>149204</v>
      </c>
      <c r="BG105" s="262">
        <f>IF(ISNUMBER(BG44),BG44+BG50+BG56,BG144)</f>
        <v>513983</v>
      </c>
      <c r="BH105" s="262">
        <f>IF(ISNUMBER(BH44),BH44+BH50+BH56,BH144)</f>
        <v>127358</v>
      </c>
      <c r="BI105" s="262">
        <f>IF(ISNUMBER(BI44),BI44+BI50+BI56,BI144)</f>
        <v>134383</v>
      </c>
      <c r="BJ105" s="262">
        <f>IF(ISNUMBER(BJ44),BJ44+BJ50+BJ56,BJ144)</f>
        <v>143083</v>
      </c>
      <c r="BK105" s="262">
        <f>IF(ISNUMBER(BK44),BK44+BK50+BK56,BK144)</f>
        <v>169961</v>
      </c>
      <c r="BL105" s="262">
        <f>IF(ISNUMBER(BL44),BL44+BL50+BL56,BL144)</f>
        <v>574785</v>
      </c>
      <c r="BM105" s="262">
        <f>IF(ISNUMBER(BM44),BM44+BM50+BM56,BM144)</f>
        <v>143313</v>
      </c>
      <c r="BN105" s="262">
        <f>IF(ISNUMBER(BN44),BN44+BN50+BN56,BN144)</f>
        <v>147977</v>
      </c>
      <c r="BO105" s="262">
        <f>IF(ISNUMBER(BO44),BO44+BO50+BO56,BO144)</f>
        <v>158877</v>
      </c>
      <c r="BP105" s="262">
        <f>IF(ISNUMBER(BP44),BP44+BP50+BP56,BP144)</f>
        <v>187792</v>
      </c>
      <c r="BQ105" s="262">
        <f>IF(ISNUMBER(BQ44),BQ44+BQ50+BQ56,BQ144)</f>
        <v>637959</v>
      </c>
      <c r="BR105" s="262">
        <f>IF(ISNUMBER(BR44),BR44+BR50+BR56,BR144)</f>
        <v>155667</v>
      </c>
      <c r="BS105" s="262">
        <f>IF(ISNUMBER(BS44),BS44+BS50+BS56,BS144)</f>
        <v>167702</v>
      </c>
      <c r="BT105" s="262">
        <f>IF(ISNUMBER(BT44),BT44+BT50+BT56,BT144)</f>
        <v>180169</v>
      </c>
      <c r="BU105" s="262">
        <f>IF(ISNUMBER(BU44),BU44+BU50+BU56,BU144)</f>
        <v>213386</v>
      </c>
      <c r="BV105" s="262">
        <f>IF(ISNUMBER(BV44),BV44+BV50+BV56,BV144)</f>
        <v>716924</v>
      </c>
      <c r="BW105" s="262">
        <f>IF(ISNUMBER(BW44),BW44+BW50+BW56,BW144)</f>
        <v>181519</v>
      </c>
      <c r="BX105" s="262">
        <f>IF(ISNUMBER(BX44),BX44+BX50+BX56,BX144)</f>
        <v>200606</v>
      </c>
      <c r="BY105" s="262">
        <f>BY44+BY50+BY56+N(BY96)</f>
        <v>199500</v>
      </c>
      <c r="BZ105" s="262">
        <f>BZ44+BZ50+BZ56+N(BZ96)</f>
        <v>243897.474008927</v>
      </c>
      <c r="CA105" s="262">
        <f>CA44+CA50+CA56+N(CA96)</f>
        <v>825522.474008928</v>
      </c>
      <c r="CB105" s="262">
        <f>CB44+CB50+CB56+N(CB96)</f>
        <v>943961.712210567</v>
      </c>
      <c r="CC105" s="262">
        <f>CC44+CC50+CC56+N(CC96)</f>
        <v>1069423.70239271</v>
      </c>
      <c r="CD105" s="262">
        <f>CD44+CD50+CD56+N(CD96)</f>
        <v>1198711.65171464</v>
      </c>
      <c r="CE105" s="262">
        <f>CE44+CE50+CE56+N(CE96)</f>
        <v>1330223.04732592</v>
      </c>
      <c r="CF105" s="153" t="inlineStr">
        <is>
          <t>Σ segments (+ future acquisitions from 2027E).</t>
        </is>
      </c>
      <c r="CH105" s="20">
        <f>IFERROR((CE105/BV105)^(1/5)-1,"n/m")</f>
        <v>0.131593045640937</v>
      </c>
      <c r="CI105" s="20">
        <f>IFERROR((BV105/AW105)^(1/5)-1,"n/m")</f>
        <v>0.13178194800406</v>
      </c>
      <c r="CJ105" s="20">
        <f>IFERROR((BV105/X105)^(1/10)-1,"n/m")</f>
        <v>0.209501744031962</v>
      </c>
      <c r="CK105" s="20">
        <f>IFERROR((BV105/C105)^(1/19)-1,"n/m")</f>
        <v>0.247631924372161</v>
      </c>
    </row>
    <row r="106" ht="15" customHeight="1" s="251">
      <c r="B106" s="22" t="inlineStr">
        <is>
          <t xml:space="preserve">  Net sales y/y %</t>
        </is>
      </c>
      <c r="D106" s="255">
        <f>IF(AND(ISNUMBER(D105),ISNUMBER(C105)),IFERROR(D105/C105-1,""),"")</f>
        <v>0.385024740920549</v>
      </c>
      <c r="E106" s="255">
        <f>IF(AND(ISNUMBER(E105),ISNUMBER(D105)),IFERROR(E105/D105-1,""),"")</f>
        <v>0.291944725311763</v>
      </c>
      <c r="F106" s="255">
        <f>IF(AND(ISNUMBER(F105),ISNUMBER(E105)),IFERROR(F105/E105-1,""),"")</f>
        <v>0.278774913910049</v>
      </c>
      <c r="G106" s="255">
        <f>IF(AND(ISNUMBER(G105),ISNUMBER(F105)),IFERROR(G105/F105-1,""),"")</f>
        <v>0.395568974662369</v>
      </c>
      <c r="H106" s="255">
        <f>IF(AND(ISNUMBER(H105),ISNUMBER(G105)),IFERROR(H105/G105-1,""),"")</f>
        <v>0.405595836744241</v>
      </c>
      <c r="I106" s="255">
        <f>IF(AND(ISNUMBER(I105),ISNUMBER(H105)),IFERROR(I105/H105-1,""),"")</f>
        <v>0.270732366828213</v>
      </c>
      <c r="N106" s="255">
        <f>IF(AND(ISNUMBER(N105),ISNUMBER(I105)),IFERROR(N105/I105-1,""),"")</f>
        <v>0.218666623017367</v>
      </c>
      <c r="O106" s="255">
        <f>IF(AND(ISNUMBER(O105),ISNUMBER(J105)),IFERROR(O105/J105-1,""),"")</f>
        <v>0.22843808338519</v>
      </c>
      <c r="P106" s="255">
        <f>IF(AND(ISNUMBER(P105),ISNUMBER(K105)),IFERROR(P105/K105-1,""),"")</f>
        <v>0.231533367294957</v>
      </c>
      <c r="Q106" s="255">
        <f>IF(AND(ISNUMBER(Q105),ISNUMBER(L105)),IFERROR(Q105/L105-1,""),"")</f>
        <v>0.204013573601685</v>
      </c>
      <c r="R106" s="255">
        <f>IF(AND(ISNUMBER(R105),ISNUMBER(M105)),IFERROR(R105/M105-1,""),"")</f>
        <v>0.146207058271779</v>
      </c>
      <c r="S106" s="255">
        <f>IF(AND(ISNUMBER(S105),ISNUMBER(N105)),IFERROR(S105/N105-1,""),"")</f>
        <v>0.195239886101112</v>
      </c>
      <c r="T106" s="255">
        <f>IF(AND(ISNUMBER(T105),ISNUMBER(O105)),IFERROR(T105/O105-1,""),"")</f>
        <v>0.150752241527785</v>
      </c>
      <c r="U106" s="255">
        <f>IF(AND(ISNUMBER(U105),ISNUMBER(P105)),IFERROR(U105/P105-1,""),"")</f>
        <v>0.198810754912099</v>
      </c>
      <c r="V106" s="255">
        <f>IF(AND(ISNUMBER(V105),ISNUMBER(Q105)),IFERROR(V105/Q105-1,""),"")</f>
        <v>0.232227027552359</v>
      </c>
      <c r="W106" s="255">
        <f>IF(AND(ISNUMBER(W105),ISNUMBER(R105)),IFERROR(W105/R105-1,""),"")</f>
        <v>0.218869339879978</v>
      </c>
      <c r="X106" s="255">
        <f>IF(AND(ISNUMBER(X105),ISNUMBER(S105)),IFERROR(X105/S105-1,""),"")</f>
        <v>0.202476738436643</v>
      </c>
      <c r="Y106" s="255">
        <f>IF(AND(ISNUMBER(Y105),ISNUMBER(T105)),IFERROR(Y105/T105-1,""),"")</f>
        <v>0.28221155962495</v>
      </c>
      <c r="Z106" s="255">
        <f>IF(AND(ISNUMBER(Z105),ISNUMBER(U105)),IFERROR(Z105/U105-1,""),"")</f>
        <v>0.311365106750054</v>
      </c>
      <c r="AA106" s="255">
        <f>IF(AND(ISNUMBER(AA105),ISNUMBER(V105)),IFERROR(AA105/V105-1,""),"")</f>
        <v>0.290085968924994</v>
      </c>
      <c r="AB106" s="255">
        <f>IF(AND(ISNUMBER(AB105),ISNUMBER(W105)),IFERROR(AB105/W105-1,""),"")</f>
        <v>0.223627157523708</v>
      </c>
      <c r="AC106" s="255">
        <f>IF(AND(ISNUMBER(AC105),ISNUMBER(X105)),IFERROR(AC105/X105-1,""),"")</f>
        <v>0.270835280264658</v>
      </c>
      <c r="AD106" s="255">
        <f>IF(AND(ISNUMBER(AD105),ISNUMBER(Y105)),IFERROR(AD105/Y105-1,""),"")</f>
        <v>0.226105465531447</v>
      </c>
      <c r="AE106" s="255">
        <f>IF(AND(ISNUMBER(AE105),ISNUMBER(Z105)),IFERROR(AE105/Z105-1,""),"")</f>
        <v>0.248355479542165</v>
      </c>
      <c r="AF106" s="255">
        <f>IF(AND(ISNUMBER(AF105),ISNUMBER(AA105)),IFERROR(AF105/AA105-1,""),"")</f>
        <v>0.33716451672067</v>
      </c>
      <c r="AG106" s="255">
        <f>IF(AND(ISNUMBER(AG105),ISNUMBER(AB105)),IFERROR(AG105/AB105-1,""),"")</f>
        <v>0.382067168103153</v>
      </c>
      <c r="AH106" s="255">
        <f>IF(AND(ISNUMBER(AH105),ISNUMBER(AC105)),IFERROR(AH105/AC105-1,""),"")</f>
        <v>0.307963261194085</v>
      </c>
      <c r="AI106" s="255">
        <f>IF(AND(ISNUMBER(AI105),ISNUMBER(AD105)),IFERROR(AI105/AD105-1,""),"")</f>
        <v>0.429187433499468</v>
      </c>
      <c r="AJ106" s="255">
        <f>IF(AND(ISNUMBER(AJ105),ISNUMBER(AE105)),IFERROR(AJ105/AE105-1,""),"")</f>
        <v>0.393386905546041</v>
      </c>
      <c r="AK106" s="255">
        <f>IF(AND(ISNUMBER(AK105),ISNUMBER(AF105)),IFERROR(AK105/AF105-1,""),"")</f>
        <v>0.293343087051938</v>
      </c>
      <c r="AL106" s="255">
        <f>IF(AND(ISNUMBER(AL105),ISNUMBER(AG105)),IFERROR(AL105/AG105-1,""),"")</f>
        <v>0.197343390733297</v>
      </c>
      <c r="AM106" s="255">
        <f>IF(AND(ISNUMBER(AM105),ISNUMBER(AH105)),IFERROR(AM105/AH105-1,""),"")</f>
        <v>0.309339615215949</v>
      </c>
      <c r="AN106" s="255">
        <f>IF(AND(ISNUMBER(AN105),ISNUMBER(AI105)),IFERROR(AN105/AI105-1,""),"")</f>
        <v>0.169625014693782</v>
      </c>
      <c r="AO106" s="255">
        <f>IF(AND(ISNUMBER(AO105),ISNUMBER(AJ105)),IFERROR(AO105/AJ105-1,""),"")</f>
        <v>0.198880611125818</v>
      </c>
      <c r="AP106" s="255">
        <f>IF(AND(ISNUMBER(AP105),ISNUMBER(AK105)),IFERROR(AP105/AK105-1,""),"")</f>
        <v>0.236937924208145</v>
      </c>
      <c r="AQ106" s="255">
        <f>IF(AND(ISNUMBER(AQ105),ISNUMBER(AL105)),IFERROR(AQ105/AL105-1,""),"")</f>
        <v>0.207977011176657</v>
      </c>
      <c r="AR106" s="255">
        <f>IF(AND(ISNUMBER(AR105),ISNUMBER(AM105)),IFERROR(AR105/AM105-1,""),"")</f>
        <v>0.20454125820677</v>
      </c>
      <c r="AS106" s="255">
        <f>IF(AND(ISNUMBER(AS105),ISNUMBER(AN105)),IFERROR(AS105/AN105-1,""),"")</f>
        <v>0.263852596314908</v>
      </c>
      <c r="AT106" s="255">
        <f>IF(AND(ISNUMBER(AT105),ISNUMBER(AO105)),IFERROR(AT105/AO105-1,""),"")</f>
        <v>0.402309002586588</v>
      </c>
      <c r="AU106" s="255">
        <f>IF(AND(ISNUMBER(AU105),ISNUMBER(AP105)),IFERROR(AU105/AP105-1,""),"")</f>
        <v>0.373872908360841</v>
      </c>
      <c r="AV106" s="255">
        <f>IF(AND(ISNUMBER(AV105),ISNUMBER(AQ105)),IFERROR(AV105/AQ105-1,""),"")</f>
        <v>0.43594816839553</v>
      </c>
      <c r="AW106" s="255">
        <f>IF(AND(ISNUMBER(AW105),ISNUMBER(AR105)),IFERROR(AW105/AR105-1,""),"")</f>
        <v>0.376234306043733</v>
      </c>
      <c r="AX106" s="255">
        <f>IF(AND(ISNUMBER(AX105),ISNUMBER(AS105)),IFERROR(AX105/AS105-1,""),"")</f>
        <v>0.438238880347771</v>
      </c>
      <c r="AY106" s="255">
        <f>IF(AND(ISNUMBER(AY105),ISNUMBER(AT105)),IFERROR(AY105/AT105-1,""),"")</f>
        <v>0.271819326974986</v>
      </c>
      <c r="AZ106" s="255">
        <f>IF(AND(ISNUMBER(AZ105),ISNUMBER(AU105)),IFERROR(AZ105/AU105-1,""),"")</f>
        <v>0.15255083467679</v>
      </c>
      <c r="BA106" s="255">
        <f>IF(AND(ISNUMBER(BA105),ISNUMBER(AV105)),IFERROR(BA105/AV105-1,""),"")</f>
        <v>0.0944367010473497</v>
      </c>
      <c r="BB106" s="255">
        <f>IF(AND(ISNUMBER(BB105),ISNUMBER(AW105)),IFERROR(BB105/AW105-1,""),"")</f>
        <v>0.216953665713457</v>
      </c>
      <c r="BC106" s="255">
        <f>IF(AND(ISNUMBER(BC105),ISNUMBER(AX105)),IFERROR(BC105/AX105-1,""),"")</f>
        <v>0.0730385742457473</v>
      </c>
      <c r="BD106" s="255">
        <f>IF(AND(ISNUMBER(BD105),ISNUMBER(AY105)),IFERROR(BD105/AY105-1,""),"")</f>
        <v>0.0721082419526</v>
      </c>
      <c r="BE106" s="255">
        <f>IF(AND(ISNUMBER(BE105),ISNUMBER(AZ105)),IFERROR(BE105/AZ105-1,""),"")</f>
        <v>0.146996715157203</v>
      </c>
      <c r="BF106" s="255">
        <f>IF(AND(ISNUMBER(BF105),ISNUMBER(BA105)),IFERROR(BF105/BA105-1,""),"")</f>
        <v>0.0858149215497919</v>
      </c>
      <c r="BG106" s="255">
        <f>IF(AND(ISNUMBER(BG105),ISNUMBER(BB105)),IFERROR(BG105/BB105-1,""),"")</f>
        <v>0.0939951726398509</v>
      </c>
      <c r="BH106" s="255">
        <f>IF(AND(ISNUMBER(BH105),ISNUMBER(BC105)),IFERROR(BH105/BC105-1,""),"")</f>
        <v>0.0937274569750266</v>
      </c>
      <c r="BI106" s="255">
        <f>IF(AND(ISNUMBER(BI105),ISNUMBER(BD105)),IFERROR(BI105/BD105-1,""),"")</f>
        <v>0.108459673029018</v>
      </c>
      <c r="BJ106" s="255">
        <f>IF(AND(ISNUMBER(BJ105),ISNUMBER(BE105)),IFERROR(BJ105/BE105-1,""),"")</f>
        <v>0.125742519728405</v>
      </c>
      <c r="BK106" s="255">
        <f>IF(AND(ISNUMBER(BK105),ISNUMBER(BF105)),IFERROR(BK105/BF105-1,""),"")</f>
        <v>0.1391182542023</v>
      </c>
      <c r="BL106" s="255">
        <f>IF(AND(ISNUMBER(BL105),ISNUMBER(BG105)),IFERROR(BL105/BG105-1,""),"")</f>
        <v>0.118295741298837</v>
      </c>
      <c r="BM106" s="255">
        <f>IF(AND(ISNUMBER(BM105),ISNUMBER(BH105)),IFERROR(BM105/BH105-1,""),"")</f>
        <v>0.125276778843889</v>
      </c>
      <c r="BN106" s="255">
        <f>IF(AND(ISNUMBER(BN105),ISNUMBER(BI105)),IFERROR(BN105/BI105-1,""),"")</f>
        <v>0.101158628695594</v>
      </c>
      <c r="BO106" s="255">
        <f>IF(AND(ISNUMBER(BO105),ISNUMBER(BJ105)),IFERROR(BO105/BJ105-1,""),"")</f>
        <v>0.110383483712251</v>
      </c>
      <c r="BP106" s="255">
        <f>IF(AND(ISNUMBER(BP105),ISNUMBER(BK105)),IFERROR(BP105/BK105-1,""),"")</f>
        <v>0.104912303410782</v>
      </c>
      <c r="BQ106" s="255">
        <f>IF(AND(ISNUMBER(BQ105),ISNUMBER(BL105)),IFERROR(BQ105/BL105-1,""),"")</f>
        <v>0.109908922466661</v>
      </c>
      <c r="BR106" s="255">
        <f>IF(AND(ISNUMBER(BR105),ISNUMBER(BM105)),IFERROR(BR105/BM105-1,""),"")</f>
        <v>0.0862029264616608</v>
      </c>
      <c r="BS106" s="255">
        <f>IF(AND(ISNUMBER(BS105),ISNUMBER(BN105)),IFERROR(BS105/BN105-1,""),"")</f>
        <v>0.133297742216696</v>
      </c>
      <c r="BT106" s="255">
        <f>IF(AND(ISNUMBER(BT105),ISNUMBER(BO105)),IFERROR(BT105/BO105-1,""),"")</f>
        <v>0.134015622147951</v>
      </c>
      <c r="BU106" s="255">
        <f>IF(AND(ISNUMBER(BU105),ISNUMBER(BP105)),IFERROR(BU105/BP105-1,""),"")</f>
        <v>0.136289085797052</v>
      </c>
      <c r="BV106" s="255">
        <f>IF(AND(ISNUMBER(BV105),ISNUMBER(BQ105)),IFERROR(BV105/BQ105-1,""),"")</f>
        <v>0.123777546832947</v>
      </c>
      <c r="BW106" s="255">
        <f>IF(AND(ISNUMBER(BW105),ISNUMBER(BR105)),IFERROR(BW105/BR105-1,""),"")</f>
        <v>0.166072449523663</v>
      </c>
      <c r="BX106" s="255">
        <f>IF(AND(ISNUMBER(BX105),ISNUMBER(BS105)),IFERROR(BX105/BS105-1,""),"")</f>
        <v>0.196205173462451</v>
      </c>
      <c r="BY106" s="256">
        <f>IF(AND(ISNUMBER(BY105),ISNUMBER(BT105)),IFERROR(BY105/BT105-1,""),"")</f>
        <v>0.107293707574555</v>
      </c>
      <c r="BZ106" s="256">
        <f>IF(AND(ISNUMBER(BZ105),ISNUMBER(BU105)),IFERROR(BZ105/BU105-1,""),"")</f>
        <v>0.142987234443344</v>
      </c>
      <c r="CA106" s="256">
        <f>IF(AND(ISNUMBER(CA105),ISNUMBER(BV105)),IFERROR(CA105/BV105-1,""),"")</f>
        <v>0.15147836313044</v>
      </c>
      <c r="CB106" s="256">
        <f>IF(AND(ISNUMBER(CB105),ISNUMBER(CA105)),IFERROR(CB105/CA105-1,""),"")</f>
        <v>0.143471851985412</v>
      </c>
      <c r="CC106" s="256">
        <f>IF(AND(ISNUMBER(CC105),ISNUMBER(CB105)),IFERROR(CC105/CB105-1,""),"")</f>
        <v>0.132910041328194</v>
      </c>
      <c r="CD106" s="256">
        <f>IF(AND(ISNUMBER(CD105),ISNUMBER(CC105)),IFERROR(CD105/CC105-1,""),"")</f>
        <v>0.120894972715366</v>
      </c>
      <c r="CE106" s="256">
        <f>IF(AND(ISNUMBER(CE105),ISNUMBER(CD105)),IFERROR(CE105/CD105-1,""),"")</f>
        <v>0.109710617581103</v>
      </c>
      <c r="CF106" s="153" t="n"/>
    </row>
    <row r="107" ht="15" customHeight="1" s="251">
      <c r="B107" s="57" t="inlineStr">
        <is>
          <t xml:space="preserve">  Check: segment build vs consolidated net sales (should be 0)</t>
        </is>
      </c>
      <c r="C107" s="211">
        <f>IF(ISNUMBER(C105),IF(ABS(C105-C144)&lt;=1.01,0,ROUND(C105-C144,0)),"")</f>
        <v>0</v>
      </c>
      <c r="D107" s="211">
        <f>IF(ISNUMBER(D105),IF(ABS(D105-D144)&lt;=1.01,0,ROUND(D105-D144,0)),"")</f>
        <v>0</v>
      </c>
      <c r="E107" s="211">
        <f>IF(ISNUMBER(E105),IF(ABS(E105-E144)&lt;=1.01,0,ROUND(E105-E144,0)),"")</f>
        <v>0</v>
      </c>
      <c r="F107" s="211">
        <f>IF(ISNUMBER(F105),IF(ABS(F105-F144)&lt;=1.01,0,ROUND(F105-F144,0)),"")</f>
        <v>0</v>
      </c>
      <c r="G107" s="211">
        <f>IF(ISNUMBER(G105),IF(ABS(G105-G144)&lt;=1.01,0,ROUND(G105-G144,0)),"")</f>
        <v>0</v>
      </c>
      <c r="H107" s="211">
        <f>IF(ISNUMBER(H105),IF(ABS(H105-H144)&lt;=1.01,0,ROUND(H105-H144,0)),"")</f>
        <v>0</v>
      </c>
      <c r="I107" s="211">
        <f>IF(ISNUMBER(I105),IF(ABS(I105-I144)&lt;=1.01,0,ROUND(I105-I144,0)),"")</f>
        <v>0</v>
      </c>
      <c r="J107" s="211">
        <f>IF(ISNUMBER(J105),IF(ABS(J105-J144)&lt;=1.01,0,ROUND(J105-J144,0)),"")</f>
        <v>0</v>
      </c>
      <c r="K107" s="211">
        <f>IF(ISNUMBER(K105),IF(ABS(K105-K144)&lt;=1.01,0,ROUND(K105-K144,0)),"")</f>
        <v>0</v>
      </c>
      <c r="L107" s="211">
        <f>IF(ISNUMBER(L105),IF(ABS(L105-L144)&lt;=1.01,0,ROUND(L105-L144,0)),"")</f>
        <v>0</v>
      </c>
      <c r="M107" s="211">
        <f>IF(ISNUMBER(M105),IF(ABS(M105-M144)&lt;=1.01,0,ROUND(M105-M144,0)),"")</f>
        <v>0</v>
      </c>
      <c r="N107" s="211">
        <f>IF(ISNUMBER(N105),IF(ABS(N105-N144)&lt;=1.01,0,ROUND(N105-N144,0)),"")</f>
        <v>0</v>
      </c>
      <c r="O107" s="211">
        <f>IF(ISNUMBER(O105),IF(ABS(O105-O144)&lt;=1.01,0,ROUND(O105-O144,0)),"")</f>
        <v>0</v>
      </c>
      <c r="P107" s="211">
        <f>IF(ISNUMBER(P105),IF(ABS(P105-P144)&lt;=1.01,0,ROUND(P105-P144,0)),"")</f>
        <v>0</v>
      </c>
      <c r="Q107" s="211">
        <f>IF(ISNUMBER(Q105),IF(ABS(Q105-Q144)&lt;=1.01,0,ROUND(Q105-Q144,0)),"")</f>
        <v>0</v>
      </c>
      <c r="R107" s="211">
        <f>IF(ISNUMBER(R105),IF(ABS(R105-R144)&lt;=1.01,0,ROUND(R105-R144,0)),"")</f>
        <v>0</v>
      </c>
      <c r="S107" s="211">
        <f>IF(ISNUMBER(S105),IF(ABS(S105-S144)&lt;=1.01,0,ROUND(S105-S144,0)),"")</f>
        <v>0</v>
      </c>
      <c r="T107" s="211">
        <f>IF(ISNUMBER(T105),IF(ABS(T105-T144)&lt;=1.01,0,ROUND(T105-T144,0)),"")</f>
        <v>0</v>
      </c>
      <c r="U107" s="211">
        <f>IF(ISNUMBER(U105),IF(ABS(U105-U144)&lt;=1.01,0,ROUND(U105-U144,0)),"")</f>
        <v>0</v>
      </c>
      <c r="V107" s="211">
        <f>IF(ISNUMBER(V105),IF(ABS(V105-V144)&lt;=1.01,0,ROUND(V105-V144,0)),"")</f>
        <v>0</v>
      </c>
      <c r="W107" s="211">
        <f>IF(ISNUMBER(W105),IF(ABS(W105-W144)&lt;=1.01,0,ROUND(W105-W144,0)),"")</f>
        <v>0</v>
      </c>
      <c r="X107" s="211">
        <f>IF(ISNUMBER(X105),IF(ABS(X105-X144)&lt;=1.01,0,ROUND(X105-X144,0)),"")</f>
        <v>0</v>
      </c>
      <c r="Y107" s="211">
        <f>IF(ISNUMBER(Y105),IF(ABS(Y105-Y144)&lt;=1.01,0,ROUND(Y105-Y144,0)),"")</f>
        <v>0</v>
      </c>
      <c r="Z107" s="211">
        <f>IF(ISNUMBER(Z105),IF(ABS(Z105-Z144)&lt;=1.01,0,ROUND(Z105-Z144,0)),"")</f>
        <v>0</v>
      </c>
      <c r="AA107" s="211">
        <f>IF(ISNUMBER(AA105),IF(ABS(AA105-AA144)&lt;=1.01,0,ROUND(AA105-AA144,0)),"")</f>
        <v>0</v>
      </c>
      <c r="AB107" s="211">
        <f>IF(ISNUMBER(AB105),IF(ABS(AB105-AB144)&lt;=1.01,0,ROUND(AB105-AB144,0)),"")</f>
        <v>0</v>
      </c>
      <c r="AC107" s="211">
        <f>IF(ISNUMBER(AC105),IF(ABS(AC105-AC144)&lt;=1.01,0,ROUND(AC105-AC144,0)),"")</f>
        <v>0</v>
      </c>
      <c r="AD107" s="211">
        <f>IF(ISNUMBER(AD105),IF(ABS(AD105-AD144)&lt;=1.01,0,ROUND(AD105-AD144,0)),"")</f>
        <v>0</v>
      </c>
      <c r="AE107" s="211">
        <f>IF(ISNUMBER(AE105),IF(ABS(AE105-AE144)&lt;=1.01,0,ROUND(AE105-AE144,0)),"")</f>
        <v>0</v>
      </c>
      <c r="AF107" s="211">
        <f>IF(ISNUMBER(AF105),IF(ABS(AF105-AF144)&lt;=1.01,0,ROUND(AF105-AF144,0)),"")</f>
        <v>0</v>
      </c>
      <c r="AG107" s="211">
        <f>IF(ISNUMBER(AG105),IF(ABS(AG105-AG144)&lt;=1.01,0,ROUND(AG105-AG144,0)),"")</f>
        <v>0</v>
      </c>
      <c r="AH107" s="211">
        <f>IF(ISNUMBER(AH105),IF(ABS(AH105-AH144)&lt;=1.01,0,ROUND(AH105-AH144,0)),"")</f>
        <v>0</v>
      </c>
      <c r="AI107" s="211">
        <f>IF(ISNUMBER(AI105),IF(ABS(AI105-AI144)&lt;=1.01,0,ROUND(AI105-AI144,0)),"")</f>
        <v>0</v>
      </c>
      <c r="AJ107" s="211">
        <f>IF(ISNUMBER(AJ105),IF(ABS(AJ105-AJ144)&lt;=1.01,0,ROUND(AJ105-AJ144,0)),"")</f>
        <v>0</v>
      </c>
      <c r="AK107" s="211">
        <f>IF(ISNUMBER(AK105),IF(ABS(AK105-AK144)&lt;=1.01,0,ROUND(AK105-AK144,0)),"")</f>
        <v>0</v>
      </c>
      <c r="AL107" s="211">
        <f>IF(ISNUMBER(AL105),IF(ABS(AL105-AL144)&lt;=1.01,0,ROUND(AL105-AL144,0)),"")</f>
        <v>0</v>
      </c>
      <c r="AM107" s="211">
        <f>IF(ISNUMBER(AM105),IF(ABS(AM105-AM144)&lt;=1.01,0,ROUND(AM105-AM144,0)),"")</f>
        <v>0</v>
      </c>
      <c r="AN107" s="211">
        <f>IF(ISNUMBER(AN105),IF(ABS(AN105-AN144)&lt;=1.01,0,ROUND(AN105-AN144,0)),"")</f>
        <v>0</v>
      </c>
      <c r="AO107" s="211">
        <f>IF(ISNUMBER(AO105),IF(ABS(AO105-AO144)&lt;=1.01,0,ROUND(AO105-AO144,0)),"")</f>
        <v>0</v>
      </c>
      <c r="AP107" s="211">
        <f>IF(ISNUMBER(AP105),IF(ABS(AP105-AP144)&lt;=1.01,0,ROUND(AP105-AP144,0)),"")</f>
        <v>0</v>
      </c>
      <c r="AQ107" s="211">
        <f>IF(ISNUMBER(AQ105),IF(ABS(AQ105-AQ144)&lt;=1.01,0,ROUND(AQ105-AQ144,0)),"")</f>
        <v>0</v>
      </c>
      <c r="AR107" s="211">
        <f>IF(ISNUMBER(AR105),IF(ABS(AR105-AR144)&lt;=1.01,0,ROUND(AR105-AR144,0)),"")</f>
        <v>0</v>
      </c>
      <c r="AS107" s="211">
        <f>IF(ISNUMBER(AS105),IF(ABS(AS105-AS144)&lt;=1.01,0,ROUND(AS105-AS144,0)),"")</f>
        <v>0</v>
      </c>
      <c r="AT107" s="211">
        <f>IF(ISNUMBER(AT105),IF(ABS(AT105-AT144)&lt;=1.01,0,ROUND(AT105-AT144,0)),"")</f>
        <v>0</v>
      </c>
      <c r="AU107" s="211">
        <f>IF(ISNUMBER(AU105),IF(ABS(AU105-AU144)&lt;=1.01,0,ROUND(AU105-AU144,0)),"")</f>
        <v>0</v>
      </c>
      <c r="AV107" s="211">
        <f>IF(ISNUMBER(AV105),IF(ABS(AV105-AV144)&lt;=1.01,0,ROUND(AV105-AV144,0)),"")</f>
        <v>0</v>
      </c>
      <c r="AW107" s="211">
        <f>IF(ISNUMBER(AW105),IF(ABS(AW105-AW144)&lt;=1.01,0,ROUND(AW105-AW144,0)),"")</f>
        <v>0</v>
      </c>
      <c r="AX107" s="211">
        <f>IF(ISNUMBER(AX105),IF(ABS(AX105-AX144)&lt;=1.01,0,ROUND(AX105-AX144,0)),"")</f>
        <v>0</v>
      </c>
      <c r="AY107" s="211">
        <f>IF(ISNUMBER(AY105),IF(ABS(AY105-AY144)&lt;=1.01,0,ROUND(AY105-AY144,0)),"")</f>
        <v>0</v>
      </c>
      <c r="AZ107" s="211">
        <f>IF(ISNUMBER(AZ105),IF(ABS(AZ105-AZ144)&lt;=1.01,0,ROUND(AZ105-AZ144,0)),"")</f>
        <v>0</v>
      </c>
      <c r="BA107" s="211">
        <f>IF(ISNUMBER(BA105),IF(ABS(BA105-BA144)&lt;=1.01,0,ROUND(BA105-BA144,0)),"")</f>
        <v>0</v>
      </c>
      <c r="BB107" s="211">
        <f>IF(ISNUMBER(BB105),IF(ABS(BB105-BB144)&lt;=1.01,0,ROUND(BB105-BB144,0)),"")</f>
        <v>0</v>
      </c>
      <c r="BC107" s="211">
        <f>IF(ISNUMBER(BC105),IF(ABS(BC105-BC144)&lt;=1.01,0,ROUND(BC105-BC144,0)),"")</f>
        <v>0</v>
      </c>
      <c r="BD107" s="211">
        <f>IF(ISNUMBER(BD105),IF(ABS(BD105-BD144)&lt;=1.01,0,ROUND(BD105-BD144,0)),"")</f>
        <v>0</v>
      </c>
      <c r="BE107" s="211">
        <f>IF(ISNUMBER(BE105),IF(ABS(BE105-BE144)&lt;=1.01,0,ROUND(BE105-BE144,0)),"")</f>
        <v>0</v>
      </c>
      <c r="BF107" s="211">
        <f>IF(ISNUMBER(BF105),IF(ABS(BF105-BF144)&lt;=1.01,0,ROUND(BF105-BF144,0)),"")</f>
        <v>0</v>
      </c>
      <c r="BG107" s="211">
        <f>IF(ISNUMBER(BG105),IF(ABS(BG105-BG144)&lt;=1.01,0,ROUND(BG105-BG144,0)),"")</f>
        <v>0</v>
      </c>
      <c r="BH107" s="211">
        <f>IF(ISNUMBER(BH105),IF(ABS(BH105-BH144)&lt;=1.01,0,ROUND(BH105-BH144,0)),"")</f>
        <v>0</v>
      </c>
      <c r="BI107" s="211">
        <f>IF(ISNUMBER(BI105),IF(ABS(BI105-BI144)&lt;=1.01,0,ROUND(BI105-BI144,0)),"")</f>
        <v>0</v>
      </c>
      <c r="BJ107" s="211">
        <f>IF(ISNUMBER(BJ105),IF(ABS(BJ105-BJ144)&lt;=1.01,0,ROUND(BJ105-BJ144,0)),"")</f>
        <v>0</v>
      </c>
      <c r="BK107" s="211">
        <f>IF(ISNUMBER(BK105),IF(ABS(BK105-BK144)&lt;=1.01,0,ROUND(BK105-BK144,0)),"")</f>
        <v>0</v>
      </c>
      <c r="BL107" s="211">
        <f>IF(ISNUMBER(BL105),IF(ABS(BL105-BL144)&lt;=1.01,0,ROUND(BL105-BL144,0)),"")</f>
        <v>0</v>
      </c>
      <c r="BM107" s="211">
        <f>IF(ISNUMBER(BM105),IF(ABS(BM105-BM144)&lt;=1.01,0,ROUND(BM105-BM144,0)),"")</f>
        <v>0</v>
      </c>
      <c r="BN107" s="211">
        <f>IF(ISNUMBER(BN105),IF(ABS(BN105-BN144)&lt;=1.01,0,ROUND(BN105-BN144,0)),"")</f>
        <v>0</v>
      </c>
      <c r="BO107" s="211">
        <f>IF(ISNUMBER(BO105),IF(ABS(BO105-BO144)&lt;=1.01,0,ROUND(BO105-BO144,0)),"")</f>
        <v>0</v>
      </c>
      <c r="BP107" s="211">
        <f>IF(ISNUMBER(BP105),IF(ABS(BP105-BP144)&lt;=1.01,0,ROUND(BP105-BP144,0)),"")</f>
        <v>0</v>
      </c>
      <c r="BQ107" s="211">
        <f>IF(ISNUMBER(BQ105),IF(ABS(BQ105-BQ144)&lt;=1.01,0,ROUND(BQ105-BQ144,0)),"")</f>
        <v>0</v>
      </c>
      <c r="BR107" s="211">
        <f>IF(ISNUMBER(BR105),IF(ABS(BR105-BR144)&lt;=1.01,0,ROUND(BR105-BR144,0)),"")</f>
        <v>0</v>
      </c>
      <c r="BS107" s="211">
        <f>IF(ISNUMBER(BS105),IF(ABS(BS105-BS144)&lt;=1.01,0,ROUND(BS105-BS144,0)),"")</f>
        <v>0</v>
      </c>
      <c r="BT107" s="211">
        <f>IF(ISNUMBER(BT105),IF(ABS(BT105-BT144)&lt;=1.01,0,ROUND(BT105-BT144,0)),"")</f>
        <v>0</v>
      </c>
      <c r="BU107" s="211">
        <f>IF(ISNUMBER(BU105),IF(ABS(BU105-BU144)&lt;=1.01,0,ROUND(BU105-BU144,0)),"")</f>
        <v>0</v>
      </c>
      <c r="BV107" s="211">
        <f>IF(ISNUMBER(BV105),IF(ABS(BV105-BV144)&lt;=1.01,0,ROUND(BV105-BV144,0)),"")</f>
        <v>0</v>
      </c>
      <c r="BW107" s="211">
        <f>IF(ISNUMBER(BW105),IF(ABS(BW105-BW144)&lt;=1.01,0,ROUND(BW105-BW144,0)),"")</f>
        <v>0</v>
      </c>
      <c r="BX107" s="211">
        <f>IF(ISNUMBER(BX105),IF(ABS(BX105-BX144)&lt;=1.01,0,ROUND(BX105-BX144,0)),"")</f>
        <v>0</v>
      </c>
      <c r="BY107" s="266">
        <f>IF(ISNUMBER(BY105),IF(ABS(BY105-BY144)&lt;=1.01,0,ROUND(BY105-BY144,0)),"")</f>
        <v>0</v>
      </c>
      <c r="BZ107" s="266">
        <f>IF(ISNUMBER(BZ105),IF(ABS(BZ105-BZ144)&lt;=1.01,0,ROUND(BZ105-BZ144,0)),"")</f>
        <v>0</v>
      </c>
      <c r="CA107" s="266">
        <f>IF(ISNUMBER(CA105),IF(ABS(CA105-CA144)&lt;=1.01,0,ROUND(CA105-CA144,0)),"")</f>
        <v>0</v>
      </c>
      <c r="CB107" s="266">
        <f>IF(ISNUMBER(CB105),IF(ABS(CB105-CB144)&lt;=1.01,0,ROUND(CB105-CB144,0)),"")</f>
        <v>0</v>
      </c>
      <c r="CC107" s="266">
        <f>IF(ISNUMBER(CC105),IF(ABS(CC105-CC144)&lt;=1.01,0,ROUND(CC105-CC144,0)),"")</f>
        <v>0</v>
      </c>
      <c r="CD107" s="266">
        <f>IF(ISNUMBER(CD105),IF(ABS(CD105-CD144)&lt;=1.01,0,ROUND(CD105-CD144,0)),"")</f>
        <v>0</v>
      </c>
      <c r="CE107" s="266">
        <f>IF(ISNUMBER(CE105),IF(ABS(CE105-CE144)&lt;=1.01,0,ROUND(CE105-CE144,0)),"")</f>
        <v>0</v>
      </c>
      <c r="CF107" s="153" t="n"/>
    </row>
    <row r="108" ht="15" customHeight="1" s="251">
      <c r="B108" s="55" t="inlineStr">
        <is>
          <t>Adjusted operating income (segment build; before special charges and energy-contract remeasurements)</t>
        </is>
      </c>
      <c r="C108" s="262">
        <f>IF(ISNUMBER(C154),C154+C181,"")</f>
        <v>389</v>
      </c>
      <c r="D108" s="262">
        <f>IF(ISNUMBER(D154),D154+D181,"")</f>
        <v>655</v>
      </c>
      <c r="E108" s="262">
        <f>IF(ISNUMBER(E154),E154+E181,"")</f>
        <v>842</v>
      </c>
      <c r="F108" s="262">
        <f>IF(ISNUMBER(F154),F154+F181,"")</f>
        <v>1129</v>
      </c>
      <c r="G108" s="262">
        <f>IF(ISNUMBER(G154),G154+G181,"")</f>
        <v>1406</v>
      </c>
      <c r="H108" s="262">
        <f>IF(ISNUMBER(H154),H154+H181,"")</f>
        <v>862</v>
      </c>
      <c r="I108" s="262">
        <f>IF(ISNUMBER(I154),I154+I181,"")</f>
        <v>676</v>
      </c>
      <c r="J108" s="262">
        <f>IF(ISNUMBER(J154),J154+J181,"")</f>
        <v>181</v>
      </c>
      <c r="K108" s="262">
        <f>IF(ISNUMBER(K154),K154+K181,"")</f>
        <v>79</v>
      </c>
      <c r="L108" s="262">
        <f>IF(ISNUMBER(L154),L154+L181,"")</f>
        <v>-25</v>
      </c>
      <c r="M108" s="262">
        <f>IF(ISNUMBER(M154),M154+M181,"")</f>
        <v>510</v>
      </c>
      <c r="N108" s="262">
        <f>IF(ISNUMBER(N154),N154+N181,"")</f>
        <v>745</v>
      </c>
      <c r="O108" s="262">
        <f>IF(ISNUMBER(O154),O154+O181,"")</f>
        <v>146</v>
      </c>
      <c r="P108" s="262">
        <f>IF(ISNUMBER(P154),P154+P181,"")</f>
        <v>-15</v>
      </c>
      <c r="Q108" s="262">
        <f>IF(ISNUMBER(Q154),Q154+Q181,"")</f>
        <v>-544</v>
      </c>
      <c r="R108" s="262">
        <f>IF(ISNUMBER(R154),R154+R181,"")</f>
        <v>591</v>
      </c>
      <c r="S108" s="262">
        <f>IF(ISNUMBER(S154),S154+S181,"")</f>
        <v>178</v>
      </c>
      <c r="T108" s="262">
        <f>IF(ISNUMBER(T154),T154+T181,"")</f>
        <v>255</v>
      </c>
      <c r="U108" s="262">
        <f>IF(ISNUMBER(U154),U154+U181,"")</f>
        <v>464</v>
      </c>
      <c r="V108" s="262">
        <f>IF(ISNUMBER(V154),V154+V181,"")</f>
        <v>406</v>
      </c>
      <c r="W108" s="262">
        <f>IF(ISNUMBER(W154),W154+W181,"")</f>
        <v>1108</v>
      </c>
      <c r="X108" s="262">
        <f>IF(ISNUMBER(X154),X154+X181,"")</f>
        <v>2233</v>
      </c>
      <c r="Y108" s="262">
        <f>IF(ISNUMBER(Y154),Y154+Y181,"")</f>
        <v>1071</v>
      </c>
      <c r="Z108" s="262">
        <f>IF(ISNUMBER(Z154),Z154+Z181,"")</f>
        <v>1285</v>
      </c>
      <c r="AA108" s="262">
        <f>IF(ISNUMBER(AA154),AA154+AA181,"")</f>
        <v>575</v>
      </c>
      <c r="AB108" s="262">
        <f>IF(ISNUMBER(AB154),AB154+AB181,"")</f>
        <v>1255</v>
      </c>
      <c r="AC108" s="262">
        <f>IF(ISNUMBER(AC154),AC154+AC181,"")</f>
        <v>4186</v>
      </c>
      <c r="AD108" s="262">
        <f>IF(ISNUMBER(AD154),AD154+AD181,"")</f>
        <v>1005</v>
      </c>
      <c r="AE108" s="262">
        <f>IF(ISNUMBER(AE154),AE154+AE181,"")</f>
        <v>628</v>
      </c>
      <c r="AF108" s="262">
        <f>IF(ISNUMBER(AF154),AF154+AF181,"")</f>
        <v>347</v>
      </c>
      <c r="AG108" s="262">
        <f>IF(ISNUMBER(AG154),AG154+AG181,"")</f>
        <v>2127</v>
      </c>
      <c r="AH108" s="262">
        <f>IF(ISNUMBER(AH154),AH154+AH181,"")</f>
        <v>4106</v>
      </c>
      <c r="AI108" s="262">
        <f>IF(ISNUMBER(AI154),AI154+AI181,"")</f>
        <v>1927</v>
      </c>
      <c r="AJ108" s="262">
        <f>IF(ISNUMBER(AJ154),AJ154+AJ181,"")</f>
        <v>2983</v>
      </c>
      <c r="AK108" s="262">
        <f>IF(ISNUMBER(AK154),AK154+AK181,"")</f>
        <v>3724</v>
      </c>
      <c r="AL108" s="262">
        <f>IF(ISNUMBER(AL154),AL154+AL181,"")</f>
        <v>3786</v>
      </c>
      <c r="AM108" s="262">
        <f>IF(ISNUMBER(AM154),AM154+AM181,"")</f>
        <v>12421</v>
      </c>
      <c r="AN108" s="262">
        <f>IF(ISNUMBER(AN154),AN154+AN181,"")</f>
        <v>4420</v>
      </c>
      <c r="AO108" s="262">
        <f>IF(ISNUMBER(AO154),AO154+AO181,"")</f>
        <v>3084</v>
      </c>
      <c r="AP108" s="262">
        <f>IF(ISNUMBER(AP154),AP154+AP181,"")</f>
        <v>3157</v>
      </c>
      <c r="AQ108" s="262">
        <f>IF(ISNUMBER(AQ154),AQ154+AQ181,"")</f>
        <v>3879</v>
      </c>
      <c r="AR108" s="262">
        <f>IF(ISNUMBER(AR154),AR154+AR181,"")</f>
        <v>14541</v>
      </c>
      <c r="AS108" s="262">
        <f>IF(ISNUMBER(AS154),AS154+AS181,"")</f>
        <v>3989</v>
      </c>
      <c r="AT108" s="262">
        <f>IF(ISNUMBER(AT154),AT154+AT181,"")</f>
        <v>5843</v>
      </c>
      <c r="AU108" s="262">
        <f>IF(ISNUMBER(AU154),AU154+AU181,"")</f>
        <v>6194</v>
      </c>
      <c r="AV108" s="262">
        <f>IF(ISNUMBER(AV154),AV154+AV181,"")</f>
        <v>6873</v>
      </c>
      <c r="AW108" s="262">
        <f>IF(ISNUMBER(AW154),AW154+AW181,"")</f>
        <v>22899</v>
      </c>
      <c r="AX108" s="262">
        <f>IF(ISNUMBER(AX154),AX154+AX181,"")</f>
        <v>8865</v>
      </c>
      <c r="AY108" s="262">
        <f>IF(ISNUMBER(AY154),AY154+AY181,"")</f>
        <v>7702</v>
      </c>
      <c r="AZ108" s="262">
        <f>IF(ISNUMBER(AZ154),AZ154+AZ181,"")</f>
        <v>4852</v>
      </c>
      <c r="BA108" s="262">
        <f>IF(ISNUMBER(BA154),BA154+BA181,"")</f>
        <v>3460</v>
      </c>
      <c r="BB108" s="262">
        <f>IF(ISNUMBER(BB154),BB154+BB181,"")</f>
        <v>24879</v>
      </c>
      <c r="BC108" s="262">
        <f>IF(ISNUMBER(BC154),BC154+BC181,"")</f>
        <v>3669</v>
      </c>
      <c r="BD108" s="262">
        <f>IF(ISNUMBER(BD154),BD154+BD181,"")</f>
        <v>3317</v>
      </c>
      <c r="BE108" s="262">
        <f>IF(ISNUMBER(BE154),BE154+BE181,"")</f>
        <v>2525</v>
      </c>
      <c r="BF108" s="262">
        <f>IF(ISNUMBER(BF154),BF154+BF181,"")</f>
        <v>5437</v>
      </c>
      <c r="BG108" s="262">
        <f>IF(ISNUMBER(BG154),BG154+BG181,"")</f>
        <v>14948</v>
      </c>
      <c r="BH108" s="262">
        <f>IF(ISNUMBER(BH154),BH154+BH181,"")</f>
        <v>5274</v>
      </c>
      <c r="BI108" s="262">
        <f>IF(ISNUMBER(BI154),BI154+BI181,"")</f>
        <v>7681</v>
      </c>
      <c r="BJ108" s="262">
        <f>IF(ISNUMBER(BJ154),BJ154+BJ181,"")</f>
        <v>11188</v>
      </c>
      <c r="BK108" s="262">
        <f>IF(ISNUMBER(BK154),BK154+BK181,"")</f>
        <v>13209</v>
      </c>
      <c r="BL108" s="262">
        <f>IF(ISNUMBER(BL154),BL154+BL181,"")</f>
        <v>37352</v>
      </c>
      <c r="BM108" s="262">
        <f>IF(ISNUMBER(BM154),BM154+BM181,"")</f>
        <v>15307</v>
      </c>
      <c r="BN108" s="262">
        <f>IF(ISNUMBER(BN154),BN154+BN181,"")</f>
        <v>14672</v>
      </c>
      <c r="BO108" s="262">
        <f>IF(ISNUMBER(BO154),BO154+BO181,"")</f>
        <v>17411</v>
      </c>
      <c r="BP108" s="262">
        <f>IF(ISNUMBER(BP154),BP154+BP181,"")</f>
        <v>21203</v>
      </c>
      <c r="BQ108" s="262">
        <f>IF(ISNUMBER(BQ154),BQ154+BQ181,"")</f>
        <v>68593</v>
      </c>
      <c r="BR108" s="262">
        <f>IF(ISNUMBER(BR154),BR154+BR181,"")</f>
        <v>18405</v>
      </c>
      <c r="BS108" s="262">
        <f>IF(ISNUMBER(BS154),BS154+BS181,"")</f>
        <v>19171</v>
      </c>
      <c r="BT108" s="262">
        <f>IF(ISNUMBER(BT154),BT154+BT181,"")</f>
        <v>21722</v>
      </c>
      <c r="BU108" s="262">
        <f>IF(ISNUMBER(BU154),BU154+BU181,"")</f>
        <v>27417</v>
      </c>
      <c r="BV108" s="262">
        <f>IF(ISNUMBER(BV154),BV154+BV181,"")</f>
        <v>86715</v>
      </c>
      <c r="BW108" s="262">
        <f>IF(ISNUMBER(BW154),BW154+BW181,"")</f>
        <v>23804</v>
      </c>
      <c r="BX108" s="262">
        <f>IF(ISNUMBER(BX154),BX154+BX181,"")</f>
        <v>26910</v>
      </c>
      <c r="BY108" s="262">
        <f>BY46+BY52+BY58+N(BY98)</f>
        <v>24500</v>
      </c>
      <c r="BZ108" s="262">
        <f>BZ46+BZ52+BZ58+N(BZ98)</f>
        <v>30940.6060133102</v>
      </c>
      <c r="CA108" s="262">
        <f>SUM(BW108:BZ108)</f>
        <v>106154.60601331</v>
      </c>
      <c r="CB108" s="262">
        <f>CB46+CB52+CB58+N(CB98)</f>
        <v>133285.411379273</v>
      </c>
      <c r="CC108" s="262">
        <f>CC46+CC52+CC58+N(CC98)</f>
        <v>160376.095923195</v>
      </c>
      <c r="CD108" s="262">
        <f>CD46+CD52+CD58+N(CD98)</f>
        <v>188437.124716498</v>
      </c>
      <c r="CE108" s="262">
        <f>CE46+CE52+CE58+N(CE98)</f>
        <v>219090.509680543</v>
      </c>
      <c r="CF108" s="153" t="inlineStr">
        <is>
          <t>History: GAAP operating income + Amazon-quantified special items (bridge below). Forecast: Σ segment OI (+ acquisitions). Drives the GAAP P&amp;L.</t>
        </is>
      </c>
      <c r="CH108" s="20">
        <f>IFERROR((CE108/BV108)^(1/5)-1,"n/m")</f>
        <v>0.203665651569544</v>
      </c>
      <c r="CI108" s="20">
        <f>IFERROR((BV108/AW108)^(1/5)-1,"n/m")</f>
        <v>0.305135318248734</v>
      </c>
      <c r="CJ108" s="20">
        <f>IFERROR((BV108/X108)^(1/10)-1,"n/m")</f>
        <v>0.441851556295924</v>
      </c>
      <c r="CK108" s="20">
        <f>IFERROR((BV108/C108)^(1/19)-1,"n/m")</f>
        <v>0.329188451547712</v>
      </c>
    </row>
    <row r="109" ht="15" customHeight="1" s="251">
      <c r="B109" s="25" t="inlineStr">
        <is>
          <t xml:space="preserve">  Adjusted operating margin %</t>
        </is>
      </c>
      <c r="C109" s="215">
        <f>IF(AND(ISNUMBER(C108),ISNUMBER(C144)),IFERROR(C108/C144,""),"")</f>
        <v>0.0363178041265988</v>
      </c>
      <c r="D109" s="215">
        <f>IF(AND(ISNUMBER(D108),ISNUMBER(D144)),IFERROR(D108/D144,""),"")</f>
        <v>0.0441523424334344</v>
      </c>
      <c r="E109" s="215">
        <f>IF(AND(ISNUMBER(E108),ISNUMBER(E144)),IFERROR(E108/E144,""),"")</f>
        <v>0.0439319628508818</v>
      </c>
      <c r="F109" s="215">
        <f>IF(AND(ISNUMBER(F108),ISNUMBER(F144)),IFERROR(F108/F144,""),"")</f>
        <v>0.0460647109225183</v>
      </c>
      <c r="G109" s="215">
        <f>IF(AND(ISNUMBER(G108),ISNUMBER(G144)),IFERROR(G108/G144,""),"")</f>
        <v>0.0411063033563326</v>
      </c>
      <c r="H109" s="215">
        <f>IF(AND(ISNUMBER(H108),ISNUMBER(H144)),IFERROR(H108/H144,""),"")</f>
        <v>0.0179295713126859</v>
      </c>
      <c r="I109" s="215">
        <f>IF(AND(ISNUMBER(I108),ISNUMBER(I144)),IFERROR(I108/I144,""),"")</f>
        <v>0.0110650974743424</v>
      </c>
      <c r="J109" s="215">
        <f>IF(AND(ISNUMBER(J108),ISNUMBER(J144)),IFERROR(J108/J144,""),"")</f>
        <v>0.0112632233976353</v>
      </c>
      <c r="K109" s="215">
        <f>IF(AND(ISNUMBER(K108),ISNUMBER(K144)),IFERROR(K108/K144,""),"")</f>
        <v>0.00503056546102904</v>
      </c>
      <c r="L109" s="215">
        <f>IF(AND(ISNUMBER(L108),ISNUMBER(L144)),IFERROR(L108/L144,""),"")</f>
        <v>-0.00146267259536625</v>
      </c>
      <c r="M109" s="215">
        <f>IF(AND(ISNUMBER(M108),ISNUMBER(M144)),IFERROR(M108/M144,""),"")</f>
        <v>0.0199319967170829</v>
      </c>
      <c r="N109" s="215">
        <f>IF(AND(ISNUMBER(N108),ISNUMBER(N144)),IFERROR(N108/N144,""),"")</f>
        <v>0.0100064471068608</v>
      </c>
      <c r="O109" s="215">
        <f>IF(AND(ISNUMBER(O108),ISNUMBER(O144)),IFERROR(O108/O144,""),"")</f>
        <v>0.00739577529000557</v>
      </c>
      <c r="P109" s="215">
        <f>IF(AND(ISNUMBER(P108),ISNUMBER(P144)),IFERROR(P108/P144,""),"")</f>
        <v>-0.00077559462254395</v>
      </c>
      <c r="Q109" s="215">
        <f>IF(AND(ISNUMBER(Q108),ISNUMBER(Q144)),IFERROR(Q108/Q144,""),"")</f>
        <v>-0.0264347150007289</v>
      </c>
      <c r="R109" s="215">
        <f>IF(AND(ISNUMBER(R108),ISNUMBER(R144)),IFERROR(R108/R144,""),"")</f>
        <v>0.0201513911620295</v>
      </c>
      <c r="S109" s="215">
        <f>IF(AND(ISNUMBER(S108),ISNUMBER(S144)),IFERROR(S108/S144,""),"")</f>
        <v>0.0020002696992853</v>
      </c>
      <c r="T109" s="215">
        <f>IF(AND(ISNUMBER(T108),ISNUMBER(T144)),IFERROR(T108/T144,""),"")</f>
        <v>0.0112250737333275</v>
      </c>
      <c r="U109" s="215">
        <f>IF(AND(ISNUMBER(U108),ISNUMBER(U144)),IFERROR(U108/U144,""),"")</f>
        <v>0.0200129394004744</v>
      </c>
      <c r="V109" s="215">
        <f>IF(AND(ISNUMBER(V108),ISNUMBER(V144)),IFERROR(V108/V144,""),"")</f>
        <v>0.0160107263979809</v>
      </c>
      <c r="W109" s="215">
        <f>IF(AND(ISNUMBER(W108),ISNUMBER(W144)),IFERROR(W108/W144,""),"")</f>
        <v>0.0309956080230509</v>
      </c>
      <c r="X109" s="215">
        <f>IF(AND(ISNUMBER(X108),ISNUMBER(X144)),IFERROR(X108/X144,""),"")</f>
        <v>0.0208679887109134</v>
      </c>
      <c r="Y109" s="215">
        <f>IF(AND(ISNUMBER(Y108),ISNUMBER(Y144)),IFERROR(Y108/Y144,""),"")</f>
        <v>0.0367687448503158</v>
      </c>
      <c r="Z109" s="215">
        <f>IF(AND(ISNUMBER(Z108),ISNUMBER(Z144)),IFERROR(Z108/Z144,""),"")</f>
        <v>0.0422641757663465</v>
      </c>
      <c r="AA109" s="215">
        <f>IF(AND(ISNUMBER(AA108),ISNUMBER(AA144)),IFERROR(AA108/AA144,""),"")</f>
        <v>0.0175765727211591</v>
      </c>
      <c r="AB109" s="215">
        <f>IF(AND(ISNUMBER(AB108),ISNUMBER(AB144)),IFERROR(AB108/AB144,""),"")</f>
        <v>0.0286916165611211</v>
      </c>
      <c r="AC109" s="215">
        <f>IF(AND(ISNUMBER(AC108),ISNUMBER(AC144)),IFERROR(AC108/AC144,""),"")</f>
        <v>0.0307823541956216</v>
      </c>
      <c r="AD109" s="215">
        <f>IF(AND(ISNUMBER(AD108),ISNUMBER(AD144)),IFERROR(AD108/AD144,""),"")</f>
        <v>0.028140225121801</v>
      </c>
      <c r="AE109" s="215">
        <f>IF(AND(ISNUMBER(AE108),ISNUMBER(AE144)),IFERROR(AE108/AE144,""),"")</f>
        <v>0.0165459096298248</v>
      </c>
      <c r="AF109" s="215">
        <f>IF(AND(ISNUMBER(AF108),ISNUMBER(AF144)),IFERROR(AF108/AF144,""),"")</f>
        <v>0.00793251645940015</v>
      </c>
      <c r="AG109" s="215">
        <f>IF(AND(ISNUMBER(AG108),ISNUMBER(AG144)),IFERROR(AG108/AG144,""),"")</f>
        <v>0.0351843580963724</v>
      </c>
      <c r="AH109" s="215">
        <f>IF(AND(ISNUMBER(AH108),ISNUMBER(AH144)),IFERROR(AH108/AH144,""),"")</f>
        <v>0.0230847941708927</v>
      </c>
      <c r="AI109" s="215">
        <f>IF(AND(ISNUMBER(AI108),ISNUMBER(AI144)),IFERROR(AI108/AI144,""),"")</f>
        <v>0.0377532228360958</v>
      </c>
      <c r="AJ109" s="215">
        <f>IF(AND(ISNUMBER(AJ108),ISNUMBER(AJ144)),IFERROR(AJ108/AJ144,""),"")</f>
        <v>0.0564043414136066</v>
      </c>
      <c r="AK109" s="215">
        <f>IF(AND(ISNUMBER(AK108),ISNUMBER(AK144)),IFERROR(AK108/AK144,""),"")</f>
        <v>0.065822963800905</v>
      </c>
      <c r="AL109" s="215">
        <f>IF(AND(ISNUMBER(AL108),ISNUMBER(AL144)),IFERROR(AL108/AL144,""),"")</f>
        <v>0.0523050992636393</v>
      </c>
      <c r="AM109" s="215">
        <f>IF(AND(ISNUMBER(AM108),ISNUMBER(AM144)),IFERROR(AM108/AM144,""),"")</f>
        <v>0.0533348791473977</v>
      </c>
      <c r="AN109" s="215">
        <f>IF(AND(ISNUMBER(AN108),ISNUMBER(AN144)),IFERROR(AN108/AN144,""),"")</f>
        <v>0.074036850921273</v>
      </c>
      <c r="AO109" s="215">
        <f>IF(AND(ISNUMBER(AO108),ISNUMBER(AO144)),IFERROR(AO108/AO144,""),"")</f>
        <v>0.0486404643240174</v>
      </c>
      <c r="AP109" s="215">
        <f>IF(AND(ISNUMBER(AP108),ISNUMBER(AP144)),IFERROR(AP108/AP144,""),"")</f>
        <v>0.045112244752147</v>
      </c>
      <c r="AQ109" s="215">
        <f>IF(AND(ISNUMBER(AQ108),ISNUMBER(AQ144)),IFERROR(AQ108/AQ144,""),"")</f>
        <v>0.0443633701979711</v>
      </c>
      <c r="AR109" s="215">
        <f>IF(AND(ISNUMBER(AR108),ISNUMBER(AR144)),IFERROR(AR108/AR144,""),"")</f>
        <v>0.0518355066625791</v>
      </c>
      <c r="AS109" s="215">
        <f>IF(AND(ISNUMBER(AS108),ISNUMBER(AS144)),IFERROR(AS108/AS144,""),"")</f>
        <v>0.0528680485606743</v>
      </c>
      <c r="AT109" s="215">
        <f>IF(AND(ISNUMBER(AT108),ISNUMBER(AT144)),IFERROR(AT108/AT144,""),"")</f>
        <v>0.0657166636674465</v>
      </c>
      <c r="AU109" s="215">
        <f>IF(AND(ISNUMBER(AU108),ISNUMBER(AU144)),IFERROR(AU108/AU144,""),"")</f>
        <v>0.0644235269644807</v>
      </c>
      <c r="AV109" s="215">
        <f>IF(AND(ISNUMBER(AV108),ISNUMBER(AV144)),IFERROR(AV108/AV144,""),"")</f>
        <v>0.0547409501811955</v>
      </c>
      <c r="AW109" s="215">
        <f>IF(AND(ISNUMBER(AW108),ISNUMBER(AW144)),IFERROR(AW108/AW144,""),"")</f>
        <v>0.0593139997513366</v>
      </c>
      <c r="AX109" s="215">
        <f>IF(AND(ISNUMBER(AX108),ISNUMBER(AX144)),IFERROR(AX108/AX144,""),"")</f>
        <v>0.0816915166147552</v>
      </c>
      <c r="AY109" s="215">
        <f>IF(AND(ISNUMBER(AY108),ISNUMBER(AY144)),IFERROR(AY108/AY144,""),"")</f>
        <v>0.0681110718075699</v>
      </c>
      <c r="AZ109" s="215">
        <f>IF(AND(ISNUMBER(AZ108),ISNUMBER(AZ144)),IFERROR(AZ108/AZ144,""),"")</f>
        <v>0.0437858715662564</v>
      </c>
      <c r="BA109" s="215">
        <f>IF(AND(ISNUMBER(BA108),ISNUMBER(BA144)),IFERROR(BA108/BA144,""),"")</f>
        <v>0.0251797514045353</v>
      </c>
      <c r="BB109" s="215">
        <f>IF(AND(ISNUMBER(BB108),ISNUMBER(BB144)),IFERROR(BB108/BB144,""),"")</f>
        <v>0.0529540975092695</v>
      </c>
      <c r="BC109" s="215">
        <f>IF(AND(ISNUMBER(BC108),ISNUMBER(BC144)),IFERROR(BC108/BC144,""),"")</f>
        <v>0.031508708048504</v>
      </c>
      <c r="BD109" s="215">
        <f>IF(AND(ISNUMBER(BD108),ISNUMBER(BD144)),IFERROR(BD108/BD144,""),"")</f>
        <v>0.0273603114637808</v>
      </c>
      <c r="BE109" s="215">
        <f>IF(AND(ISNUMBER(BE108),ISNUMBER(BE144)),IFERROR(BE108/BE144,""),"")</f>
        <v>0.019866090746729</v>
      </c>
      <c r="BF109" s="215">
        <f>IF(AND(ISNUMBER(BF108),ISNUMBER(BF144)),IFERROR(BF108/BF144,""),"")</f>
        <v>0.0364400418219351</v>
      </c>
      <c r="BG109" s="215">
        <f>IF(AND(ISNUMBER(BG108),ISNUMBER(BG144)),IFERROR(BG108/BG144,""),"")</f>
        <v>0.0290826739405778</v>
      </c>
      <c r="BH109" s="215">
        <f>IF(AND(ISNUMBER(BH108),ISNUMBER(BH144)),IFERROR(BH108/BH144,""),"")</f>
        <v>0.0414108261750342</v>
      </c>
      <c r="BI109" s="215">
        <f>IF(AND(ISNUMBER(BI108),ISNUMBER(BI144)),IFERROR(BI108/BI144,""),"")</f>
        <v>0.0571575273658126</v>
      </c>
      <c r="BJ109" s="215">
        <f>IF(AND(ISNUMBER(BJ108),ISNUMBER(BJ144)),IFERROR(BJ108/BJ144,""),"")</f>
        <v>0.0781923778506182</v>
      </c>
      <c r="BK109" s="215">
        <f>IF(AND(ISNUMBER(BK108),ISNUMBER(BK144)),IFERROR(BK108/BK144,""),"")</f>
        <v>0.0777178293843882</v>
      </c>
      <c r="BL109" s="215">
        <f>IF(AND(ISNUMBER(BL108),ISNUMBER(BL144)),IFERROR(BL108/BL144,""),"")</f>
        <v>0.0649842984768218</v>
      </c>
      <c r="BM109" s="215">
        <f>IF(AND(ISNUMBER(BM108),ISNUMBER(BM144)),IFERROR(BM108/BM144,""),"")</f>
        <v>0.106808175113214</v>
      </c>
      <c r="BN109" s="215">
        <f>IF(AND(ISNUMBER(BN108),ISNUMBER(BN144)),IFERROR(BN108/BN144,""),"")</f>
        <v>0.0991505436655697</v>
      </c>
      <c r="BO109" s="215">
        <f>IF(AND(ISNUMBER(BO108),ISNUMBER(BO144)),IFERROR(BO108/BO144,""),"")</f>
        <v>0.109587920215009</v>
      </c>
      <c r="BP109" s="215">
        <f>IF(AND(ISNUMBER(BP108),ISNUMBER(BP144)),IFERROR(BP108/BP144,""),"")</f>
        <v>0.112906833091932</v>
      </c>
      <c r="BQ109" s="215">
        <f>IF(AND(ISNUMBER(BQ108),ISNUMBER(BQ144)),IFERROR(BQ108/BQ144,""),"")</f>
        <v>0.107519448742004</v>
      </c>
      <c r="BR109" s="215">
        <f>IF(AND(ISNUMBER(BR108),ISNUMBER(BR144)),IFERROR(BR108/BR144,""),"")</f>
        <v>0.118233151535007</v>
      </c>
      <c r="BS109" s="215">
        <f>IF(AND(ISNUMBER(BS108),ISNUMBER(BS144)),IFERROR(BS108/BS144,""),"")</f>
        <v>0.114315869816699</v>
      </c>
      <c r="BT109" s="215">
        <f>IF(AND(ISNUMBER(BT108),ISNUMBER(BT144)),IFERROR(BT108/BT144,""),"")</f>
        <v>0.120564581032253</v>
      </c>
      <c r="BU109" s="215">
        <f>IF(AND(ISNUMBER(BU108),ISNUMBER(BU144)),IFERROR(BU108/BU144,""),"")</f>
        <v>0.128485467650174</v>
      </c>
      <c r="BV109" s="215">
        <f>IF(AND(ISNUMBER(BV108),ISNUMBER(BV144)),IFERROR(BV108/BV144,""),"")</f>
        <v>0.120954243406554</v>
      </c>
      <c r="BW109" s="215">
        <f>IF(AND(ISNUMBER(BW108),ISNUMBER(BW144)),IFERROR(BW108/BW144,""),"")</f>
        <v>0.131137787228885</v>
      </c>
      <c r="BX109" s="215">
        <f>IF(AND(ISNUMBER(BX108),ISNUMBER(BX144)),IFERROR(BX108/BX144,""),"")</f>
        <v>0.134143545058473</v>
      </c>
      <c r="BY109" s="256">
        <f>IF(AND(ISNUMBER(BY108),ISNUMBER(BY144)),IFERROR(BY108/BY144,""),"")</f>
        <v>0.12280701754386</v>
      </c>
      <c r="BZ109" s="256">
        <f>IF(AND(ISNUMBER(BZ108),ISNUMBER(BZ144)),IFERROR(BZ108/BZ144,""),"")</f>
        <v>0.126859067069213</v>
      </c>
      <c r="CA109" s="256">
        <f>IF(AND(ISNUMBER(CA108),ISNUMBER(CA144)),IFERROR(CA108/CA144,""),"")</f>
        <v>0.12859081291609</v>
      </c>
      <c r="CB109" s="256">
        <f>IF(AND(ISNUMBER(CB108),ISNUMBER(CB144)),IFERROR(CB108/CB144,""),"")</f>
        <v>0.141197899930862</v>
      </c>
      <c r="CC109" s="256">
        <f>IF(AND(ISNUMBER(CC108),ISNUMBER(CC144)),IFERROR(CC108/CC144,""),"")</f>
        <v>0.149964972315812</v>
      </c>
      <c r="CD109" s="256">
        <f>IF(AND(ISNUMBER(CD108),ISNUMBER(CD144)),IFERROR(CD108/CD144,""),"")</f>
        <v>0.157199710578401</v>
      </c>
      <c r="CE109" s="256">
        <f>IF(AND(ISNUMBER(CE108),ISNUMBER(CE144)),IFERROR(CE108/CE144,""),"")</f>
        <v>0.164702085203659</v>
      </c>
      <c r="CF109" s="153" t="n"/>
      <c r="CH109" s="37">
        <f>IFERROR(AVERAGE(CA109,CB109,CC109,CD109,CE109),"n/m")</f>
        <v>0.148331096188965</v>
      </c>
      <c r="CI109" s="37">
        <f>IFERROR(AVERAGE(BB109,BG109,BL109,BQ109,BV109),"n/m")</f>
        <v>0.0750989524150453</v>
      </c>
      <c r="CJ109" s="37">
        <f>IFERROR(AVERAGE(AC109,AH109,AM109,AR109,AW109,BB109,BG109,BL109,BQ109,BV109),"n/m")</f>
        <v>0.0593846296003054</v>
      </c>
      <c r="CK109" s="37">
        <f>IFERROR(AVERAGE(C109,D109,E109,F109,G109,H109,I109,N109,S109,X109,AC109,AH109,AM109,AR109,AW109,BB109,BG109,BL109,BQ109,BV109),"n/m")</f>
        <v>0.0433644396998454</v>
      </c>
    </row>
    <row r="110" ht="15" customHeight="1" s="251">
      <c r="B110" s="57" t="inlineStr">
        <is>
          <t xml:space="preserve">  Check: segment build vs adjusted operating income bridge (should be 0)</t>
        </is>
      </c>
      <c r="C110" s="211">
        <f>IF(AND(ISNUMBER(C108),ISNUMBER(C182)),IF(ABS(C108-C182)&lt;=1.01,0,ROUND(C108-C182,0)),"")</f>
        <v>0</v>
      </c>
      <c r="D110" s="211">
        <f>IF(AND(ISNUMBER(D108),ISNUMBER(D182)),IF(ABS(D108-D182)&lt;=1.01,0,ROUND(D108-D182,0)),"")</f>
        <v>0</v>
      </c>
      <c r="E110" s="211">
        <f>IF(AND(ISNUMBER(E108),ISNUMBER(E182)),IF(ABS(E108-E182)&lt;=1.01,0,ROUND(E108-E182,0)),"")</f>
        <v>0</v>
      </c>
      <c r="F110" s="211">
        <f>IF(AND(ISNUMBER(F108),ISNUMBER(F182)),IF(ABS(F108-F182)&lt;=1.01,0,ROUND(F108-F182,0)),"")</f>
        <v>0</v>
      </c>
      <c r="G110" s="211">
        <f>IF(AND(ISNUMBER(G108),ISNUMBER(G182)),IF(ABS(G108-G182)&lt;=1.01,0,ROUND(G108-G182,0)),"")</f>
        <v>0</v>
      </c>
      <c r="H110" s="211">
        <f>IF(AND(ISNUMBER(H108),ISNUMBER(H182)),IF(ABS(H108-H182)&lt;=1.01,0,ROUND(H108-H182,0)),"")</f>
        <v>0</v>
      </c>
      <c r="I110" s="211">
        <f>IF(AND(ISNUMBER(I108),ISNUMBER(I182)),IF(ABS(I108-I182)&lt;=1.01,0,ROUND(I108-I182,0)),"")</f>
        <v>0</v>
      </c>
      <c r="J110" s="211">
        <f>IF(AND(ISNUMBER(J108),ISNUMBER(J182)),IF(ABS(J108-J182)&lt;=1.01,0,ROUND(J108-J182,0)),"")</f>
        <v>0</v>
      </c>
      <c r="K110" s="211">
        <f>IF(AND(ISNUMBER(K108),ISNUMBER(K182)),IF(ABS(K108-K182)&lt;=1.01,0,ROUND(K108-K182,0)),"")</f>
        <v>0</v>
      </c>
      <c r="L110" s="211">
        <f>IF(AND(ISNUMBER(L108),ISNUMBER(L182)),IF(ABS(L108-L182)&lt;=1.01,0,ROUND(L108-L182,0)),"")</f>
        <v>0</v>
      </c>
      <c r="M110" s="211">
        <f>IF(AND(ISNUMBER(M108),ISNUMBER(M182)),IF(ABS(M108-M182)&lt;=1.01,0,ROUND(M108-M182,0)),"")</f>
        <v>0</v>
      </c>
      <c r="N110" s="211">
        <f>IF(AND(ISNUMBER(N108),ISNUMBER(N182)),IF(ABS(N108-N182)&lt;=1.01,0,ROUND(N108-N182,0)),"")</f>
        <v>0</v>
      </c>
      <c r="O110" s="211">
        <f>IF(AND(ISNUMBER(O108),ISNUMBER(O182)),IF(ABS(O108-O182)&lt;=1.01,0,ROUND(O108-O182,0)),"")</f>
        <v>0</v>
      </c>
      <c r="P110" s="211">
        <f>IF(AND(ISNUMBER(P108),ISNUMBER(P182)),IF(ABS(P108-P182)&lt;=1.01,0,ROUND(P108-P182,0)),"")</f>
        <v>0</v>
      </c>
      <c r="Q110" s="211">
        <f>IF(AND(ISNUMBER(Q108),ISNUMBER(Q182)),IF(ABS(Q108-Q182)&lt;=1.01,0,ROUND(Q108-Q182,0)),"")</f>
        <v>0</v>
      </c>
      <c r="R110" s="211">
        <f>IF(AND(ISNUMBER(R108),ISNUMBER(R182)),IF(ABS(R108-R182)&lt;=1.01,0,ROUND(R108-R182,0)),"")</f>
        <v>0</v>
      </c>
      <c r="S110" s="211">
        <f>IF(AND(ISNUMBER(S108),ISNUMBER(S182)),IF(ABS(S108-S182)&lt;=1.01,0,ROUND(S108-S182,0)),"")</f>
        <v>0</v>
      </c>
      <c r="T110" s="211">
        <f>IF(AND(ISNUMBER(T108),ISNUMBER(T182)),IF(ABS(T108-T182)&lt;=1.01,0,ROUND(T108-T182,0)),"")</f>
        <v>0</v>
      </c>
      <c r="U110" s="211">
        <f>IF(AND(ISNUMBER(U108),ISNUMBER(U182)),IF(ABS(U108-U182)&lt;=1.01,0,ROUND(U108-U182,0)),"")</f>
        <v>0</v>
      </c>
      <c r="V110" s="211">
        <f>IF(AND(ISNUMBER(V108),ISNUMBER(V182)),IF(ABS(V108-V182)&lt;=1.01,0,ROUND(V108-V182,0)),"")</f>
        <v>0</v>
      </c>
      <c r="W110" s="211">
        <f>IF(AND(ISNUMBER(W108),ISNUMBER(W182)),IF(ABS(W108-W182)&lt;=1.01,0,ROUND(W108-W182,0)),"")</f>
        <v>0</v>
      </c>
      <c r="X110" s="211">
        <f>IF(AND(ISNUMBER(X108),ISNUMBER(X182)),IF(ABS(X108-X182)&lt;=1.01,0,ROUND(X108-X182,0)),"")</f>
        <v>0</v>
      </c>
      <c r="Y110" s="211">
        <f>IF(AND(ISNUMBER(Y108),ISNUMBER(Y182)),IF(ABS(Y108-Y182)&lt;=1.01,0,ROUND(Y108-Y182,0)),"")</f>
        <v>0</v>
      </c>
      <c r="Z110" s="211">
        <f>IF(AND(ISNUMBER(Z108),ISNUMBER(Z182)),IF(ABS(Z108-Z182)&lt;=1.01,0,ROUND(Z108-Z182,0)),"")</f>
        <v>0</v>
      </c>
      <c r="AA110" s="211">
        <f>IF(AND(ISNUMBER(AA108),ISNUMBER(AA182)),IF(ABS(AA108-AA182)&lt;=1.01,0,ROUND(AA108-AA182,0)),"")</f>
        <v>0</v>
      </c>
      <c r="AB110" s="211">
        <f>IF(AND(ISNUMBER(AB108),ISNUMBER(AB182)),IF(ABS(AB108-AB182)&lt;=1.01,0,ROUND(AB108-AB182,0)),"")</f>
        <v>0</v>
      </c>
      <c r="AC110" s="211">
        <f>IF(AND(ISNUMBER(AC108),ISNUMBER(AC182)),IF(ABS(AC108-AC182)&lt;=1.01,0,ROUND(AC108-AC182,0)),"")</f>
        <v>0</v>
      </c>
      <c r="AD110" s="211">
        <f>IF(AND(ISNUMBER(AD108),ISNUMBER(AD182)),IF(ABS(AD108-AD182)&lt;=1.01,0,ROUND(AD108-AD182,0)),"")</f>
        <v>0</v>
      </c>
      <c r="AE110" s="211">
        <f>IF(AND(ISNUMBER(AE108),ISNUMBER(AE182)),IF(ABS(AE108-AE182)&lt;=1.01,0,ROUND(AE108-AE182,0)),"")</f>
        <v>0</v>
      </c>
      <c r="AF110" s="211">
        <f>IF(AND(ISNUMBER(AF108),ISNUMBER(AF182)),IF(ABS(AF108-AF182)&lt;=1.01,0,ROUND(AF108-AF182,0)),"")</f>
        <v>0</v>
      </c>
      <c r="AG110" s="211">
        <f>IF(AND(ISNUMBER(AG108),ISNUMBER(AG182)),IF(ABS(AG108-AG182)&lt;=1.01,0,ROUND(AG108-AG182,0)),"")</f>
        <v>0</v>
      </c>
      <c r="AH110" s="211">
        <f>IF(AND(ISNUMBER(AH108),ISNUMBER(AH182)),IF(ABS(AH108-AH182)&lt;=1.01,0,ROUND(AH108-AH182,0)),"")</f>
        <v>0</v>
      </c>
      <c r="AI110" s="211">
        <f>IF(AND(ISNUMBER(AI108),ISNUMBER(AI182)),IF(ABS(AI108-AI182)&lt;=1.01,0,ROUND(AI108-AI182,0)),"")</f>
        <v>0</v>
      </c>
      <c r="AJ110" s="211">
        <f>IF(AND(ISNUMBER(AJ108),ISNUMBER(AJ182)),IF(ABS(AJ108-AJ182)&lt;=1.01,0,ROUND(AJ108-AJ182,0)),"")</f>
        <v>0</v>
      </c>
      <c r="AK110" s="211">
        <f>IF(AND(ISNUMBER(AK108),ISNUMBER(AK182)),IF(ABS(AK108-AK182)&lt;=1.01,0,ROUND(AK108-AK182,0)),"")</f>
        <v>0</v>
      </c>
      <c r="AL110" s="211">
        <f>IF(AND(ISNUMBER(AL108),ISNUMBER(AL182)),IF(ABS(AL108-AL182)&lt;=1.01,0,ROUND(AL108-AL182,0)),"")</f>
        <v>0</v>
      </c>
      <c r="AM110" s="211">
        <f>IF(AND(ISNUMBER(AM108),ISNUMBER(AM182)),IF(ABS(AM108-AM182)&lt;=1.01,0,ROUND(AM108-AM182,0)),"")</f>
        <v>0</v>
      </c>
      <c r="AN110" s="211">
        <f>IF(AND(ISNUMBER(AN108),ISNUMBER(AN182)),IF(ABS(AN108-AN182)&lt;=1.01,0,ROUND(AN108-AN182,0)),"")</f>
        <v>0</v>
      </c>
      <c r="AO110" s="211">
        <f>IF(AND(ISNUMBER(AO108),ISNUMBER(AO182)),IF(ABS(AO108-AO182)&lt;=1.01,0,ROUND(AO108-AO182,0)),"")</f>
        <v>0</v>
      </c>
      <c r="AP110" s="211">
        <f>IF(AND(ISNUMBER(AP108),ISNUMBER(AP182)),IF(ABS(AP108-AP182)&lt;=1.01,0,ROUND(AP108-AP182,0)),"")</f>
        <v>0</v>
      </c>
      <c r="AQ110" s="211">
        <f>IF(AND(ISNUMBER(AQ108),ISNUMBER(AQ182)),IF(ABS(AQ108-AQ182)&lt;=1.01,0,ROUND(AQ108-AQ182,0)),"")</f>
        <v>0</v>
      </c>
      <c r="AR110" s="211">
        <f>IF(AND(ISNUMBER(AR108),ISNUMBER(AR182)),IF(ABS(AR108-AR182)&lt;=1.01,0,ROUND(AR108-AR182,0)),"")</f>
        <v>0</v>
      </c>
      <c r="AS110" s="211">
        <f>IF(AND(ISNUMBER(AS108),ISNUMBER(AS182)),IF(ABS(AS108-AS182)&lt;=1.01,0,ROUND(AS108-AS182,0)),"")</f>
        <v>0</v>
      </c>
      <c r="AT110" s="211">
        <f>IF(AND(ISNUMBER(AT108),ISNUMBER(AT182)),IF(ABS(AT108-AT182)&lt;=1.01,0,ROUND(AT108-AT182,0)),"")</f>
        <v>0</v>
      </c>
      <c r="AU110" s="211">
        <f>IF(AND(ISNUMBER(AU108),ISNUMBER(AU182)),IF(ABS(AU108-AU182)&lt;=1.01,0,ROUND(AU108-AU182,0)),"")</f>
        <v>0</v>
      </c>
      <c r="AV110" s="211">
        <f>IF(AND(ISNUMBER(AV108),ISNUMBER(AV182)),IF(ABS(AV108-AV182)&lt;=1.01,0,ROUND(AV108-AV182,0)),"")</f>
        <v>0</v>
      </c>
      <c r="AW110" s="211">
        <f>IF(AND(ISNUMBER(AW108),ISNUMBER(AW182)),IF(ABS(AW108-AW182)&lt;=1.01,0,ROUND(AW108-AW182,0)),"")</f>
        <v>0</v>
      </c>
      <c r="AX110" s="211">
        <f>IF(AND(ISNUMBER(AX108),ISNUMBER(AX182)),IF(ABS(AX108-AX182)&lt;=1.01,0,ROUND(AX108-AX182,0)),"")</f>
        <v>0</v>
      </c>
      <c r="AY110" s="211">
        <f>IF(AND(ISNUMBER(AY108),ISNUMBER(AY182)),IF(ABS(AY108-AY182)&lt;=1.01,0,ROUND(AY108-AY182,0)),"")</f>
        <v>0</v>
      </c>
      <c r="AZ110" s="211">
        <f>IF(AND(ISNUMBER(AZ108),ISNUMBER(AZ182)),IF(ABS(AZ108-AZ182)&lt;=1.01,0,ROUND(AZ108-AZ182,0)),"")</f>
        <v>0</v>
      </c>
      <c r="BA110" s="211">
        <f>IF(AND(ISNUMBER(BA108),ISNUMBER(BA182)),IF(ABS(BA108-BA182)&lt;=1.01,0,ROUND(BA108-BA182,0)),"")</f>
        <v>0</v>
      </c>
      <c r="BB110" s="211">
        <f>IF(AND(ISNUMBER(BB108),ISNUMBER(BB182)),IF(ABS(BB108-BB182)&lt;=1.01,0,ROUND(BB108-BB182,0)),"")</f>
        <v>0</v>
      </c>
      <c r="BC110" s="211">
        <f>IF(AND(ISNUMBER(BC108),ISNUMBER(BC182)),IF(ABS(BC108-BC182)&lt;=1.01,0,ROUND(BC108-BC182,0)),"")</f>
        <v>0</v>
      </c>
      <c r="BD110" s="211">
        <f>IF(AND(ISNUMBER(BD108),ISNUMBER(BD182)),IF(ABS(BD108-BD182)&lt;=1.01,0,ROUND(BD108-BD182,0)),"")</f>
        <v>0</v>
      </c>
      <c r="BE110" s="211">
        <f>IF(AND(ISNUMBER(BE108),ISNUMBER(BE182)),IF(ABS(BE108-BE182)&lt;=1.01,0,ROUND(BE108-BE182,0)),"")</f>
        <v>0</v>
      </c>
      <c r="BF110" s="211">
        <f>IF(AND(ISNUMBER(BF108),ISNUMBER(BF182)),IF(ABS(BF108-BF182)&lt;=1.01,0,ROUND(BF108-BF182,0)),"")</f>
        <v>0</v>
      </c>
      <c r="BG110" s="211">
        <f>IF(AND(ISNUMBER(BG108),ISNUMBER(BG182)),IF(ABS(BG108-BG182)&lt;=1.01,0,ROUND(BG108-BG182,0)),"")</f>
        <v>0</v>
      </c>
      <c r="BH110" s="211">
        <f>IF(AND(ISNUMBER(BH108),ISNUMBER(BH182)),IF(ABS(BH108-BH182)&lt;=1.01,0,ROUND(BH108-BH182,0)),"")</f>
        <v>0</v>
      </c>
      <c r="BI110" s="211">
        <f>IF(AND(ISNUMBER(BI108),ISNUMBER(BI182)),IF(ABS(BI108-BI182)&lt;=1.01,0,ROUND(BI108-BI182,0)),"")</f>
        <v>0</v>
      </c>
      <c r="BJ110" s="211">
        <f>IF(AND(ISNUMBER(BJ108),ISNUMBER(BJ182)),IF(ABS(BJ108-BJ182)&lt;=1.01,0,ROUND(BJ108-BJ182,0)),"")</f>
        <v>0</v>
      </c>
      <c r="BK110" s="211">
        <f>IF(AND(ISNUMBER(BK108),ISNUMBER(BK182)),IF(ABS(BK108-BK182)&lt;=1.01,0,ROUND(BK108-BK182,0)),"")</f>
        <v>0</v>
      </c>
      <c r="BL110" s="211">
        <f>IF(AND(ISNUMBER(BL108),ISNUMBER(BL182)),IF(ABS(BL108-BL182)&lt;=1.01,0,ROUND(BL108-BL182,0)),"")</f>
        <v>0</v>
      </c>
      <c r="BM110" s="211">
        <f>IF(AND(ISNUMBER(BM108),ISNUMBER(BM182)),IF(ABS(BM108-BM182)&lt;=1.01,0,ROUND(BM108-BM182,0)),"")</f>
        <v>0</v>
      </c>
      <c r="BN110" s="211">
        <f>IF(AND(ISNUMBER(BN108),ISNUMBER(BN182)),IF(ABS(BN108-BN182)&lt;=1.01,0,ROUND(BN108-BN182,0)),"")</f>
        <v>0</v>
      </c>
      <c r="BO110" s="211">
        <f>IF(AND(ISNUMBER(BO108),ISNUMBER(BO182)),IF(ABS(BO108-BO182)&lt;=1.01,0,ROUND(BO108-BO182,0)),"")</f>
        <v>0</v>
      </c>
      <c r="BP110" s="211">
        <f>IF(AND(ISNUMBER(BP108),ISNUMBER(BP182)),IF(ABS(BP108-BP182)&lt;=1.01,0,ROUND(BP108-BP182,0)),"")</f>
        <v>0</v>
      </c>
      <c r="BQ110" s="211">
        <f>IF(AND(ISNUMBER(BQ108),ISNUMBER(BQ182)),IF(ABS(BQ108-BQ182)&lt;=1.01,0,ROUND(BQ108-BQ182,0)),"")</f>
        <v>0</v>
      </c>
      <c r="BR110" s="211">
        <f>IF(AND(ISNUMBER(BR108),ISNUMBER(BR182)),IF(ABS(BR108-BR182)&lt;=1.01,0,ROUND(BR108-BR182,0)),"")</f>
        <v>0</v>
      </c>
      <c r="BS110" s="211">
        <f>IF(AND(ISNUMBER(BS108),ISNUMBER(BS182)),IF(ABS(BS108-BS182)&lt;=1.01,0,ROUND(BS108-BS182,0)),"")</f>
        <v>0</v>
      </c>
      <c r="BT110" s="211">
        <f>IF(AND(ISNUMBER(BT108),ISNUMBER(BT182)),IF(ABS(BT108-BT182)&lt;=1.01,0,ROUND(BT108-BT182,0)),"")</f>
        <v>0</v>
      </c>
      <c r="BU110" s="211">
        <f>IF(AND(ISNUMBER(BU108),ISNUMBER(BU182)),IF(ABS(BU108-BU182)&lt;=1.01,0,ROUND(BU108-BU182,0)),"")</f>
        <v>0</v>
      </c>
      <c r="BV110" s="211">
        <f>IF(AND(ISNUMBER(BV108),ISNUMBER(BV182)),IF(ABS(BV108-BV182)&lt;=1.01,0,ROUND(BV108-BV182,0)),"")</f>
        <v>0</v>
      </c>
      <c r="BW110" s="211">
        <f>IF(AND(ISNUMBER(BW108),ISNUMBER(BW182)),IF(ABS(BW108-BW182)&lt;=1.01,0,ROUND(BW108-BW182,0)),"")</f>
        <v>0</v>
      </c>
      <c r="BX110" s="211">
        <f>IF(AND(ISNUMBER(BX108),ISNUMBER(BX182)),IF(ABS(BX108-BX182)&lt;=1.01,0,ROUND(BX108-BX182,0)),"")</f>
        <v>0</v>
      </c>
      <c r="BY110" s="266">
        <f>IF(AND(ISNUMBER(BY108),ISNUMBER(BY182)),IF(ABS(BY108-BY182)&lt;=1.01,0,ROUND(BY108-BY182,0)),"")</f>
        <v>0</v>
      </c>
      <c r="BZ110" s="266">
        <f>IF(AND(ISNUMBER(BZ108),ISNUMBER(BZ182)),IF(ABS(BZ108-BZ182)&lt;=1.01,0,ROUND(BZ108-BZ182,0)),"")</f>
        <v>0</v>
      </c>
      <c r="CA110" s="266">
        <f>IF(AND(ISNUMBER(CA108),ISNUMBER(CA182)),IF(ABS(CA108-CA182)&lt;=1.01,0,ROUND(CA108-CA182,0)),"")</f>
        <v>0</v>
      </c>
      <c r="CB110" s="266">
        <f>IF(AND(ISNUMBER(CB108),ISNUMBER(CB182)),IF(ABS(CB108-CB182)&lt;=1.01,0,ROUND(CB108-CB182,0)),"")</f>
        <v>0</v>
      </c>
      <c r="CC110" s="266">
        <f>IF(AND(ISNUMBER(CC108),ISNUMBER(CC182)),IF(ABS(CC108-CC182)&lt;=1.01,0,ROUND(CC108-CC182,0)),"")</f>
        <v>0</v>
      </c>
      <c r="CD110" s="266">
        <f>IF(AND(ISNUMBER(CD108),ISNUMBER(CD182)),IF(ABS(CD108-CD182)&lt;=1.01,0,ROUND(CD108-CD182,0)),"")</f>
        <v>0</v>
      </c>
      <c r="CE110" s="266">
        <f>IF(AND(ISNUMBER(CE108),ISNUMBER(CE182)),IF(ABS(CE108-CE182)&lt;=1.01,0,ROUND(CE108-CE182,0)),"")</f>
        <v>0</v>
      </c>
      <c r="CF110" s="153" t="n"/>
    </row>
    <row r="111" ht="15" customHeight="1" s="251">
      <c r="B111" s="156" t="inlineStr">
        <is>
          <t xml:space="preserve">  Memo: Q3-26 net sales guidance (scenario end-point: high / mid / low of $197.0–202.0bn)</t>
        </is>
      </c>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c r="V111" s="34" t="n"/>
      <c r="W111" s="34" t="n"/>
      <c r="X111" s="34" t="n"/>
      <c r="Y111" s="34" t="n"/>
      <c r="Z111" s="34" t="n"/>
      <c r="AA111" s="34" t="n"/>
      <c r="AB111" s="34" t="n"/>
      <c r="AC111" s="34" t="n"/>
      <c r="AD111" s="34" t="n"/>
      <c r="AE111" s="34" t="n"/>
      <c r="AF111" s="34" t="n"/>
      <c r="AG111" s="34" t="n"/>
      <c r="AH111" s="34" t="n"/>
      <c r="AI111" s="34" t="n"/>
      <c r="AJ111" s="34" t="n"/>
      <c r="AK111" s="34" t="n"/>
      <c r="AL111" s="34" t="n"/>
      <c r="AM111" s="34" t="n"/>
      <c r="AN111" s="34" t="n"/>
      <c r="AO111" s="34" t="n"/>
      <c r="AP111" s="34" t="n"/>
      <c r="AQ111" s="34" t="n"/>
      <c r="AR111" s="34" t="n"/>
      <c r="AS111" s="34" t="n"/>
      <c r="AT111" s="34" t="n"/>
      <c r="AU111" s="34" t="n"/>
      <c r="AV111" s="34" t="n"/>
      <c r="AW111" s="34" t="n"/>
      <c r="AX111" s="34" t="n"/>
      <c r="AY111" s="34" t="n"/>
      <c r="AZ111" s="34" t="n"/>
      <c r="BA111" s="34" t="n"/>
      <c r="BB111" s="34" t="n"/>
      <c r="BC111" s="34" t="n"/>
      <c r="BD111" s="34" t="n"/>
      <c r="BE111" s="34" t="n"/>
      <c r="BF111" s="34" t="n"/>
      <c r="BG111" s="34" t="n"/>
      <c r="BH111" s="34" t="n"/>
      <c r="BI111" s="34" t="n"/>
      <c r="BJ111" s="34" t="n"/>
      <c r="BK111" s="34" t="n"/>
      <c r="BL111" s="34" t="n"/>
      <c r="BM111" s="34" t="n"/>
      <c r="BN111" s="34" t="n"/>
      <c r="BO111" s="34" t="n"/>
      <c r="BP111" s="34" t="n"/>
      <c r="BQ111" s="34" t="n"/>
      <c r="BR111" s="34" t="n"/>
      <c r="BS111" s="34" t="n"/>
      <c r="BT111" s="34" t="n"/>
      <c r="BU111" s="34" t="n"/>
      <c r="BV111" s="34" t="n"/>
      <c r="BW111" s="34" t="n"/>
      <c r="BX111" s="34" t="n"/>
      <c r="BY111" s="266">
        <f>CHOOSE(MATCH($CF$2,{"Bull","Base","Bear"},0),$CO$12,$CP$12,$CQ$12)</f>
        <v>199500</v>
      </c>
      <c r="BZ111" s="153" t="n"/>
      <c r="CA111" s="153" t="n"/>
      <c r="CB111" s="153" t="n"/>
      <c r="CC111" s="153" t="n"/>
      <c r="CD111" s="153" t="n"/>
      <c r="CE111" s="153" t="n"/>
      <c r="CF111" s="153" t="inlineStr">
        <is>
          <t>Company Q3-26 net sales guidance $197.0–202.0bn (8-K 30-Jul-2026). Drives the net-sales calibration.</t>
        </is>
      </c>
    </row>
    <row r="112" ht="15" customHeight="1" s="251">
      <c r="B112" s="25" t="inlineStr">
        <is>
          <t xml:space="preserve">  Net sales before calibration (Q3/26E helper)</t>
        </is>
      </c>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c r="AA112" s="34" t="n"/>
      <c r="AB112" s="34" t="n"/>
      <c r="AC112" s="34" t="n"/>
      <c r="AD112" s="34" t="n"/>
      <c r="AE112" s="34" t="n"/>
      <c r="AF112" s="34" t="n"/>
      <c r="AG112" s="34" t="n"/>
      <c r="AH112" s="34" t="n"/>
      <c r="AI112" s="34" t="n"/>
      <c r="AJ112" s="34" t="n"/>
      <c r="AK112" s="34" t="n"/>
      <c r="AL112" s="34" t="n"/>
      <c r="AM112" s="34" t="n"/>
      <c r="AN112" s="34" t="n"/>
      <c r="AO112" s="34" t="n"/>
      <c r="AP112" s="34" t="n"/>
      <c r="AQ112" s="34" t="n"/>
      <c r="AR112" s="34" t="n"/>
      <c r="AS112" s="34" t="n"/>
      <c r="AT112" s="34" t="n"/>
      <c r="AU112" s="34" t="n"/>
      <c r="AV112" s="34" t="n"/>
      <c r="AW112" s="34" t="n"/>
      <c r="AX112" s="34" t="n"/>
      <c r="AY112" s="34" t="n"/>
      <c r="AZ112" s="34" t="n"/>
      <c r="BA112" s="34" t="n"/>
      <c r="BB112" s="34" t="n"/>
      <c r="BC112" s="34" t="n"/>
      <c r="BD112" s="34" t="n"/>
      <c r="BE112" s="34" t="n"/>
      <c r="BF112" s="34" t="n"/>
      <c r="BG112" s="34" t="n"/>
      <c r="BH112" s="34" t="n"/>
      <c r="BI112" s="34" t="n"/>
      <c r="BJ112" s="34" t="n"/>
      <c r="BK112" s="34" t="n"/>
      <c r="BL112" s="34" t="n"/>
      <c r="BM112" s="34" t="n"/>
      <c r="BN112" s="34" t="n"/>
      <c r="BO112" s="34" t="n"/>
      <c r="BP112" s="34" t="n"/>
      <c r="BQ112" s="34" t="n"/>
      <c r="BR112" s="34" t="n"/>
      <c r="BS112" s="34" t="n"/>
      <c r="BT112" s="34" t="n"/>
      <c r="BU112" s="34" t="n"/>
      <c r="BV112" s="34" t="n"/>
      <c r="BW112" s="34" t="n"/>
      <c r="BX112" s="34" t="n"/>
      <c r="BY112" s="254">
        <f>BT11*(1+BY13+BY32)+BT14*(1+BY16)+BT17*(1+BY19+BY32)+BT20*(1+BY22)+BT23*(1+BY25+BY32)+BT26*(1+BY28)+BT29*(1+BY31)</f>
        <v>205715.856622506</v>
      </c>
      <c r="BZ112" s="35" t="n"/>
      <c r="CA112" s="35" t="n"/>
      <c r="CB112" s="35" t="n"/>
      <c r="CC112" s="35" t="n"/>
      <c r="CD112" s="35" t="n"/>
      <c r="CE112" s="35" t="n"/>
      <c r="CF112" s="19" t="n"/>
    </row>
    <row r="113" ht="15" customHeight="1" s="251">
      <c r="B113" s="25" t="inlineStr">
        <is>
          <t xml:space="preserve">  Net sales sensitivity to +1.00 of retail-group growth (Q3/26E helper)</t>
        </is>
      </c>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c r="AA113" s="34" t="n"/>
      <c r="AB113" s="34" t="n"/>
      <c r="AC113" s="34" t="n"/>
      <c r="AD113" s="34" t="n"/>
      <c r="AE113" s="34" t="n"/>
      <c r="AF113" s="34" t="n"/>
      <c r="AG113" s="34" t="n"/>
      <c r="AH113" s="34" t="n"/>
      <c r="AI113" s="34" t="n"/>
      <c r="AJ113" s="34" t="n"/>
      <c r="AK113" s="34" t="n"/>
      <c r="AL113" s="34" t="n"/>
      <c r="AM113" s="34" t="n"/>
      <c r="AN113" s="34" t="n"/>
      <c r="AO113" s="34" t="n"/>
      <c r="AP113" s="34" t="n"/>
      <c r="AQ113" s="34" t="n"/>
      <c r="AR113" s="34" t="n"/>
      <c r="AS113" s="34" t="n"/>
      <c r="AT113" s="34" t="n"/>
      <c r="AU113" s="34" t="n"/>
      <c r="AV113" s="34" t="n"/>
      <c r="AW113" s="34" t="n"/>
      <c r="AX113" s="34" t="n"/>
      <c r="AY113" s="34" t="n"/>
      <c r="AZ113" s="34" t="n"/>
      <c r="BA113" s="34" t="n"/>
      <c r="BB113" s="34" t="n"/>
      <c r="BC113" s="34" t="n"/>
      <c r="BD113" s="34" t="n"/>
      <c r="BE113" s="34" t="n"/>
      <c r="BF113" s="34" t="n"/>
      <c r="BG113" s="34" t="n"/>
      <c r="BH113" s="34" t="n"/>
      <c r="BI113" s="34" t="n"/>
      <c r="BJ113" s="34" t="n"/>
      <c r="BK113" s="34" t="n"/>
      <c r="BL113" s="34" t="n"/>
      <c r="BM113" s="34" t="n"/>
      <c r="BN113" s="34" t="n"/>
      <c r="BO113" s="34" t="n"/>
      <c r="BP113" s="34" t="n"/>
      <c r="BQ113" s="34" t="n"/>
      <c r="BR113" s="34" t="n"/>
      <c r="BS113" s="34" t="n"/>
      <c r="BT113" s="34" t="n"/>
      <c r="BU113" s="34" t="n"/>
      <c r="BV113" s="34" t="n"/>
      <c r="BW113" s="34" t="n"/>
      <c r="BX113" s="34" t="n"/>
      <c r="BY113" s="254">
        <f>BT11+BT14+BT17+BT20+BT23+BT29</f>
        <v>147163</v>
      </c>
      <c r="BZ113" s="35" t="n"/>
      <c r="CA113" s="35" t="n"/>
      <c r="CB113" s="35" t="n"/>
      <c r="CC113" s="35" t="n"/>
      <c r="CD113" s="35" t="n"/>
      <c r="CE113" s="35" t="n"/>
      <c r="CF113" s="19" t="n"/>
    </row>
    <row r="114" ht="15" customHeight="1" s="251">
      <c r="B114" s="25" t="inlineStr">
        <is>
          <t xml:space="preserve">  Guidance calibration: Δ y/y growth applied to the retail product groups (Q3 solved; Q4 carried)</t>
        </is>
      </c>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c r="BT114" s="36" t="n"/>
      <c r="BU114" s="36" t="n"/>
      <c r="BV114" s="36" t="n"/>
      <c r="BW114" s="36" t="n"/>
      <c r="BX114" s="36" t="n"/>
      <c r="BY114" s="256">
        <f>(BY111-BY112)/BY113</f>
        <v>-0.0422379037020576</v>
      </c>
      <c r="BZ114" s="256">
        <f>$BY$114</f>
        <v>-0.0422379037020576</v>
      </c>
      <c r="CA114" s="24" t="n"/>
      <c r="CB114" s="46" t="n"/>
      <c r="CC114" s="46" t="n"/>
      <c r="CD114" s="46" t="n"/>
      <c r="CE114" s="46" t="n"/>
      <c r="CF114" s="19" t="inlineStr">
        <is>
          <t>Solves the uniform growth shift (vs Q1-26 y/y) so that Q3-26 net sales = the guidance end-point for the active scenario; Q4/26E carries the same Δ (one-quarter-ahead guidance, UBER precedent). AWS excluded (its Q2 trend is held).</t>
        </is>
      </c>
    </row>
    <row r="115" ht="15" customHeight="1" s="251">
      <c r="B115" s="57" t="inlineStr">
        <is>
          <t xml:space="preserve">  Check: Q3-26 net sales vs guidance end-point (should be 0)</t>
        </is>
      </c>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c r="AA115" s="44" t="n"/>
      <c r="AB115" s="44" t="n"/>
      <c r="AC115" s="44" t="n"/>
      <c r="AD115" s="44" t="n"/>
      <c r="AE115" s="44" t="n"/>
      <c r="AF115" s="44" t="n"/>
      <c r="AG115" s="44" t="n"/>
      <c r="AH115" s="44" t="n"/>
      <c r="AI115" s="44" t="n"/>
      <c r="AJ115" s="44" t="n"/>
      <c r="AK115" s="44" t="n"/>
      <c r="AL115" s="44" t="n"/>
      <c r="AM115" s="44" t="n"/>
      <c r="AN115" s="44" t="n"/>
      <c r="AO115" s="44" t="n"/>
      <c r="AP115" s="44" t="n"/>
      <c r="AQ115" s="44" t="n"/>
      <c r="AR115" s="44" t="n"/>
      <c r="AS115" s="44" t="n"/>
      <c r="AT115" s="44" t="n"/>
      <c r="AU115" s="44" t="n"/>
      <c r="AV115" s="44" t="n"/>
      <c r="AW115" s="44" t="n"/>
      <c r="AX115" s="44" t="n"/>
      <c r="AY115" s="44" t="n"/>
      <c r="AZ115" s="44" t="n"/>
      <c r="BA115" s="44" t="n"/>
      <c r="BB115" s="44" t="n"/>
      <c r="BC115" s="44" t="n"/>
      <c r="BD115" s="44" t="n"/>
      <c r="BE115" s="44" t="n"/>
      <c r="BF115" s="44" t="n"/>
      <c r="BG115" s="44" t="n"/>
      <c r="BH115" s="44" t="n"/>
      <c r="BI115" s="44" t="n"/>
      <c r="BJ115" s="44" t="n"/>
      <c r="BK115" s="44" t="n"/>
      <c r="BL115" s="44" t="n"/>
      <c r="BM115" s="44" t="n"/>
      <c r="BN115" s="44" t="n"/>
      <c r="BO115" s="44" t="n"/>
      <c r="BP115" s="44" t="n"/>
      <c r="BQ115" s="44" t="n"/>
      <c r="BR115" s="44" t="n"/>
      <c r="BS115" s="44" t="n"/>
      <c r="BT115" s="44" t="n"/>
      <c r="BU115" s="44" t="n"/>
      <c r="BV115" s="44" t="n"/>
      <c r="BW115" s="44" t="n"/>
      <c r="BX115" s="44" t="n"/>
      <c r="BY115" s="266">
        <f>ROUND(BY144-BY111,0)</f>
        <v>0</v>
      </c>
      <c r="BZ115" s="153" t="n"/>
      <c r="CA115" s="153" t="n"/>
      <c r="CB115" s="153" t="n"/>
      <c r="CC115" s="153" t="n"/>
      <c r="CD115" s="153" t="n"/>
      <c r="CE115" s="153" t="n"/>
      <c r="CF115" s="153" t="n"/>
    </row>
    <row r="116" ht="15" customHeight="1" s="251">
      <c r="B116" s="156" t="inlineStr">
        <is>
          <t xml:space="preserve">    Model Q3-26 net sales y/y % (guided +9–12%; FX ~−80 bp; Prime Day timing ~−400 bp)</t>
        </is>
      </c>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c r="AA116" s="44" t="n"/>
      <c r="AB116" s="44" t="n"/>
      <c r="AC116" s="44" t="n"/>
      <c r="AD116" s="44" t="n"/>
      <c r="AE116" s="44" t="n"/>
      <c r="AF116" s="44" t="n"/>
      <c r="AG116" s="44" t="n"/>
      <c r="AH116" s="44" t="n"/>
      <c r="AI116" s="44" t="n"/>
      <c r="AJ116" s="44" t="n"/>
      <c r="AK116" s="44" t="n"/>
      <c r="AL116" s="44" t="n"/>
      <c r="AM116" s="44" t="n"/>
      <c r="AN116" s="44" t="n"/>
      <c r="AO116" s="44" t="n"/>
      <c r="AP116" s="44" t="n"/>
      <c r="AQ116" s="44" t="n"/>
      <c r="AR116" s="44" t="n"/>
      <c r="AS116" s="44" t="n"/>
      <c r="AT116" s="44" t="n"/>
      <c r="AU116" s="44" t="n"/>
      <c r="AV116" s="44" t="n"/>
      <c r="AW116" s="44" t="n"/>
      <c r="AX116" s="44" t="n"/>
      <c r="AY116" s="44" t="n"/>
      <c r="AZ116" s="44" t="n"/>
      <c r="BA116" s="44" t="n"/>
      <c r="BB116" s="44" t="n"/>
      <c r="BC116" s="44" t="n"/>
      <c r="BD116" s="44" t="n"/>
      <c r="BE116" s="44" t="n"/>
      <c r="BF116" s="44" t="n"/>
      <c r="BG116" s="44" t="n"/>
      <c r="BH116" s="44" t="n"/>
      <c r="BI116" s="44" t="n"/>
      <c r="BJ116" s="44" t="n"/>
      <c r="BK116" s="44" t="n"/>
      <c r="BL116" s="44" t="n"/>
      <c r="BM116" s="44" t="n"/>
      <c r="BN116" s="44" t="n"/>
      <c r="BO116" s="44" t="n"/>
      <c r="BP116" s="44" t="n"/>
      <c r="BQ116" s="44" t="n"/>
      <c r="BR116" s="44" t="n"/>
      <c r="BS116" s="44" t="n"/>
      <c r="BT116" s="44" t="n"/>
      <c r="BU116" s="44" t="n"/>
      <c r="BV116" s="44" t="n"/>
      <c r="BW116" s="44" t="n"/>
      <c r="BX116" s="44" t="n"/>
      <c r="BY116" s="256">
        <f>BY144/BT144-1</f>
        <v>0.107293707574555</v>
      </c>
      <c r="BZ116" s="35" t="n"/>
      <c r="CA116" s="35" t="n"/>
      <c r="CB116" s="35" t="n"/>
      <c r="CC116" s="35" t="n"/>
      <c r="CD116" s="35" t="n"/>
      <c r="CE116" s="35" t="n"/>
      <c r="CF116" s="153" t="n"/>
    </row>
    <row r="117" ht="15" customHeight="1" s="251">
      <c r="B117" s="156" t="inlineStr">
        <is>
          <t xml:space="preserve">  Memo: Q3-26 operating income guidance (scenario end-point: high / mid / low of $22.5–26.5bn)</t>
        </is>
      </c>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c r="AA117" s="34" t="n"/>
      <c r="AB117" s="34" t="n"/>
      <c r="AC117" s="34" t="n"/>
      <c r="AD117" s="34" t="n"/>
      <c r="AE117" s="34" t="n"/>
      <c r="AF117" s="34" t="n"/>
      <c r="AG117" s="34" t="n"/>
      <c r="AH117" s="34" t="n"/>
      <c r="AI117" s="34" t="n"/>
      <c r="AJ117" s="34" t="n"/>
      <c r="AK117" s="34" t="n"/>
      <c r="AL117" s="34" t="n"/>
      <c r="AM117" s="34" t="n"/>
      <c r="AN117" s="34" t="n"/>
      <c r="AO117" s="34" t="n"/>
      <c r="AP117" s="34" t="n"/>
      <c r="AQ117" s="34" t="n"/>
      <c r="AR117" s="34" t="n"/>
      <c r="AS117" s="34" t="n"/>
      <c r="AT117" s="34" t="n"/>
      <c r="AU117" s="34" t="n"/>
      <c r="AV117" s="34" t="n"/>
      <c r="AW117" s="34" t="n"/>
      <c r="AX117" s="34" t="n"/>
      <c r="AY117" s="34" t="n"/>
      <c r="AZ117" s="34" t="n"/>
      <c r="BA117" s="34" t="n"/>
      <c r="BB117" s="34" t="n"/>
      <c r="BC117" s="34" t="n"/>
      <c r="BD117" s="34" t="n"/>
      <c r="BE117" s="34" t="n"/>
      <c r="BF117" s="34" t="n"/>
      <c r="BG117" s="34" t="n"/>
      <c r="BH117" s="34" t="n"/>
      <c r="BI117" s="34" t="n"/>
      <c r="BJ117" s="34" t="n"/>
      <c r="BK117" s="34" t="n"/>
      <c r="BL117" s="34" t="n"/>
      <c r="BM117" s="34" t="n"/>
      <c r="BN117" s="34" t="n"/>
      <c r="BO117" s="34" t="n"/>
      <c r="BP117" s="34" t="n"/>
      <c r="BQ117" s="34" t="n"/>
      <c r="BR117" s="34" t="n"/>
      <c r="BS117" s="34" t="n"/>
      <c r="BT117" s="34" t="n"/>
      <c r="BU117" s="34" t="n"/>
      <c r="BV117" s="34" t="n"/>
      <c r="BW117" s="34" t="n"/>
      <c r="BX117" s="34" t="n"/>
      <c r="BY117" s="266">
        <f>CHOOSE(MATCH($CF$2,{"Bull","Base","Bear"},0),$CO$13,$CP$13,$CQ$13)</f>
        <v>24500</v>
      </c>
      <c r="BZ117" s="153" t="n"/>
      <c r="CA117" s="153" t="n"/>
      <c r="CB117" s="153" t="n"/>
      <c r="CC117" s="153" t="n"/>
      <c r="CD117" s="153" t="n"/>
      <c r="CE117" s="153" t="n"/>
      <c r="CF117" s="153" t="inlineStr">
        <is>
          <t>Company Q3-26 operating income guidance $22.5–26.5bn (8-K 30-Jul-2026). Drives the segment-margin calibration.</t>
        </is>
      </c>
    </row>
    <row r="118" ht="15" customHeight="1" s="251">
      <c r="B118" s="25" t="inlineStr">
        <is>
          <t xml:space="preserve">  Adjusted operating income before margin calibration (Q3/26E helper)</t>
        </is>
      </c>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c r="AA118" s="34" t="n"/>
      <c r="AB118" s="34" t="n"/>
      <c r="AC118" s="34" t="n"/>
      <c r="AD118" s="34" t="n"/>
      <c r="AE118" s="34" t="n"/>
      <c r="AF118" s="34" t="n"/>
      <c r="AG118" s="34" t="n"/>
      <c r="AH118" s="34" t="n"/>
      <c r="AI118" s="34" t="n"/>
      <c r="AJ118" s="34" t="n"/>
      <c r="AK118" s="34" t="n"/>
      <c r="AL118" s="34" t="n"/>
      <c r="AM118" s="34" t="n"/>
      <c r="AN118" s="34" t="n"/>
      <c r="AO118" s="34" t="n"/>
      <c r="AP118" s="34" t="n"/>
      <c r="AQ118" s="34" t="n"/>
      <c r="AR118" s="34" t="n"/>
      <c r="AS118" s="34" t="n"/>
      <c r="AT118" s="34" t="n"/>
      <c r="AU118" s="34" t="n"/>
      <c r="AV118" s="34" t="n"/>
      <c r="AW118" s="34" t="n"/>
      <c r="AX118" s="34" t="n"/>
      <c r="AY118" s="34" t="n"/>
      <c r="AZ118" s="34" t="n"/>
      <c r="BA118" s="34" t="n"/>
      <c r="BB118" s="34" t="n"/>
      <c r="BC118" s="34" t="n"/>
      <c r="BD118" s="34" t="n"/>
      <c r="BE118" s="34" t="n"/>
      <c r="BF118" s="34" t="n"/>
      <c r="BG118" s="34" t="n"/>
      <c r="BH118" s="34" t="n"/>
      <c r="BI118" s="34" t="n"/>
      <c r="BJ118" s="34" t="n"/>
      <c r="BK118" s="34" t="n"/>
      <c r="BL118" s="34" t="n"/>
      <c r="BM118" s="34" t="n"/>
      <c r="BN118" s="34" t="n"/>
      <c r="BO118" s="34" t="n"/>
      <c r="BP118" s="34" t="n"/>
      <c r="BQ118" s="34" t="n"/>
      <c r="BR118" s="34" t="n"/>
      <c r="BS118" s="34" t="n"/>
      <c r="BT118" s="34" t="n"/>
      <c r="BU118" s="34" t="n"/>
      <c r="BV118" s="34" t="n"/>
      <c r="BW118" s="34" t="n"/>
      <c r="BX118" s="34" t="n"/>
      <c r="BY118" s="254">
        <f>BY44*BY48+BY50*BY54+BY56*BY60-BY181</f>
        <v>26820.6109472103</v>
      </c>
      <c r="BZ118" s="35" t="n"/>
      <c r="CA118" s="35" t="n"/>
      <c r="CB118" s="35" t="n"/>
      <c r="CC118" s="35" t="n"/>
      <c r="CD118" s="35" t="n"/>
      <c r="CE118" s="35" t="n"/>
      <c r="CF118" s="19" t="n"/>
    </row>
    <row r="119" ht="15" customHeight="1" s="251">
      <c r="B119" s="25" t="inlineStr">
        <is>
          <t xml:space="preserve">  Segment net sales (Q3/26E helper)</t>
        </is>
      </c>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c r="AA119" s="34" t="n"/>
      <c r="AB119" s="34" t="n"/>
      <c r="AC119" s="34" t="n"/>
      <c r="AD119" s="34" t="n"/>
      <c r="AE119" s="34" t="n"/>
      <c r="AF119" s="34" t="n"/>
      <c r="AG119" s="34" t="n"/>
      <c r="AH119" s="34" t="n"/>
      <c r="AI119" s="34" t="n"/>
      <c r="AJ119" s="34" t="n"/>
      <c r="AK119" s="34" t="n"/>
      <c r="AL119" s="34" t="n"/>
      <c r="AM119" s="34" t="n"/>
      <c r="AN119" s="34" t="n"/>
      <c r="AO119" s="34" t="n"/>
      <c r="AP119" s="34" t="n"/>
      <c r="AQ119" s="34" t="n"/>
      <c r="AR119" s="34" t="n"/>
      <c r="AS119" s="34" t="n"/>
      <c r="AT119" s="34" t="n"/>
      <c r="AU119" s="34" t="n"/>
      <c r="AV119" s="34" t="n"/>
      <c r="AW119" s="34" t="n"/>
      <c r="AX119" s="34" t="n"/>
      <c r="AY119" s="34" t="n"/>
      <c r="AZ119" s="34" t="n"/>
      <c r="BA119" s="34" t="n"/>
      <c r="BB119" s="34" t="n"/>
      <c r="BC119" s="34" t="n"/>
      <c r="BD119" s="34" t="n"/>
      <c r="BE119" s="34" t="n"/>
      <c r="BF119" s="34" t="n"/>
      <c r="BG119" s="34" t="n"/>
      <c r="BH119" s="34" t="n"/>
      <c r="BI119" s="34" t="n"/>
      <c r="BJ119" s="34" t="n"/>
      <c r="BK119" s="34" t="n"/>
      <c r="BL119" s="34" t="n"/>
      <c r="BM119" s="34" t="n"/>
      <c r="BN119" s="34" t="n"/>
      <c r="BO119" s="34" t="n"/>
      <c r="BP119" s="34" t="n"/>
      <c r="BQ119" s="34" t="n"/>
      <c r="BR119" s="34" t="n"/>
      <c r="BS119" s="34" t="n"/>
      <c r="BT119" s="34" t="n"/>
      <c r="BU119" s="34" t="n"/>
      <c r="BV119" s="34" t="n"/>
      <c r="BW119" s="34" t="n"/>
      <c r="BX119" s="34" t="n"/>
      <c r="BY119" s="254">
        <f>BY44+BY50+BY56</f>
        <v>199500</v>
      </c>
      <c r="BZ119" s="35" t="n"/>
      <c r="CA119" s="35" t="n"/>
      <c r="CB119" s="35" t="n"/>
      <c r="CC119" s="35" t="n"/>
      <c r="CD119" s="35" t="n"/>
      <c r="CE119" s="35" t="n"/>
      <c r="CF119" s="19" t="n"/>
    </row>
    <row r="120" ht="15" customHeight="1" s="251">
      <c r="B120" s="25" t="inlineStr">
        <is>
          <t xml:space="preserve">  Guidance calibration: Δ segment margin (Q3 solved; Q4 = Q3 Δ adjusted for the prior-year special charges not disclosed by segment)</t>
        </is>
      </c>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c r="BT120" s="36" t="n"/>
      <c r="BU120" s="36" t="n"/>
      <c r="BV120" s="36" t="n"/>
      <c r="BW120" s="36" t="n"/>
      <c r="BX120" s="36" t="n"/>
      <c r="BY120" s="256">
        <f>(BY117-BY118)/BY119</f>
        <v>-0.011632135073736</v>
      </c>
      <c r="BZ120" s="256">
        <f>$BY$120-($BT$140-$BT$62)/$BT$144+($BU$140-$BU$62)/$BU$144</f>
        <v>-0.0101880779276021</v>
      </c>
      <c r="CA120" s="24" t="n"/>
      <c r="CB120" s="46" t="n"/>
      <c r="CC120" s="46" t="n"/>
      <c r="CD120" s="46" t="n"/>
      <c r="CE120" s="46" t="n"/>
      <c r="CF120" s="19" t="inlineStr">
        <is>
          <t>Q3: solves the uniform margin shift so that Q3-26 GAAP operating income = the guidance end-point (guidance assumes no energy-derivative remeasurement and no settlements). Q4 (no guidance): Q3 Δ − Q3-25 special charges not disclosed by segment ($1.8bn severance) ÷ Q3-25 net sales + Q4-25 special charges ($2.44bn) ÷ Q4-25 net sales, so the solved underlying shift is carried without the one-offs in either base.</t>
        </is>
      </c>
    </row>
    <row r="121" ht="15" customHeight="1" s="251">
      <c r="B121" s="57" t="inlineStr">
        <is>
          <t xml:space="preserve">  Check: Q3-26 operating income vs guidance end-point (should be 0)</t>
        </is>
      </c>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c r="AA121" s="44" t="n"/>
      <c r="AB121" s="44" t="n"/>
      <c r="AC121" s="44" t="n"/>
      <c r="AD121" s="44" t="n"/>
      <c r="AE121" s="44" t="n"/>
      <c r="AF121" s="44" t="n"/>
      <c r="AG121" s="44" t="n"/>
      <c r="AH121" s="44" t="n"/>
      <c r="AI121" s="44" t="n"/>
      <c r="AJ121" s="44" t="n"/>
      <c r="AK121" s="44" t="n"/>
      <c r="AL121" s="44" t="n"/>
      <c r="AM121" s="44" t="n"/>
      <c r="AN121" s="44" t="n"/>
      <c r="AO121" s="44" t="n"/>
      <c r="AP121" s="44" t="n"/>
      <c r="AQ121" s="44" t="n"/>
      <c r="AR121" s="44" t="n"/>
      <c r="AS121" s="44" t="n"/>
      <c r="AT121" s="44" t="n"/>
      <c r="AU121" s="44" t="n"/>
      <c r="AV121" s="44" t="n"/>
      <c r="AW121" s="44" t="n"/>
      <c r="AX121" s="44" t="n"/>
      <c r="AY121" s="44" t="n"/>
      <c r="AZ121" s="44" t="n"/>
      <c r="BA121" s="44" t="n"/>
      <c r="BB121" s="44" t="n"/>
      <c r="BC121" s="44" t="n"/>
      <c r="BD121" s="44" t="n"/>
      <c r="BE121" s="44" t="n"/>
      <c r="BF121" s="44" t="n"/>
      <c r="BG121" s="44" t="n"/>
      <c r="BH121" s="44" t="n"/>
      <c r="BI121" s="44" t="n"/>
      <c r="BJ121" s="44" t="n"/>
      <c r="BK121" s="44" t="n"/>
      <c r="BL121" s="44" t="n"/>
      <c r="BM121" s="44" t="n"/>
      <c r="BN121" s="44" t="n"/>
      <c r="BO121" s="44" t="n"/>
      <c r="BP121" s="44" t="n"/>
      <c r="BQ121" s="44" t="n"/>
      <c r="BR121" s="44" t="n"/>
      <c r="BS121" s="44" t="n"/>
      <c r="BT121" s="44" t="n"/>
      <c r="BU121" s="44" t="n"/>
      <c r="BV121" s="44" t="n"/>
      <c r="BW121" s="44" t="n"/>
      <c r="BX121" s="44" t="n"/>
      <c r="BY121" s="266">
        <f>ROUND(BY154-BY117,0)</f>
        <v>0</v>
      </c>
      <c r="BZ121" s="153" t="n"/>
      <c r="CA121" s="153" t="n"/>
      <c r="CB121" s="153" t="n"/>
      <c r="CC121" s="153" t="n"/>
      <c r="CD121" s="153" t="n"/>
      <c r="CE121" s="153" t="n"/>
      <c r="CF121" s="153" t="n"/>
    </row>
    <row r="122" ht="15" customHeight="1" s="251">
      <c r="B122" s="156" t="inlineStr">
        <is>
          <t xml:space="preserve">  Memo: 2026 capital expenditures ~$200bn — UNVERIFIED (Q4-25 earnings call, not in an EDGAR filing; information only)</t>
        </is>
      </c>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c r="AA122" s="34" t="n"/>
      <c r="AB122" s="34" t="n"/>
      <c r="AC122" s="34" t="n"/>
      <c r="AD122" s="34" t="n"/>
      <c r="AE122" s="34" t="n"/>
      <c r="AF122" s="34" t="n"/>
      <c r="AG122" s="34" t="n"/>
      <c r="AH122" s="34" t="n"/>
      <c r="AI122" s="34" t="n"/>
      <c r="AJ122" s="34" t="n"/>
      <c r="AK122" s="34" t="n"/>
      <c r="AL122" s="34" t="n"/>
      <c r="AM122" s="34" t="n"/>
      <c r="AN122" s="34" t="n"/>
      <c r="AO122" s="34" t="n"/>
      <c r="AP122" s="34" t="n"/>
      <c r="AQ122" s="34" t="n"/>
      <c r="AR122" s="34" t="n"/>
      <c r="AS122" s="34" t="n"/>
      <c r="AT122" s="34" t="n"/>
      <c r="AU122" s="34" t="n"/>
      <c r="AV122" s="34" t="n"/>
      <c r="AW122" s="34" t="n"/>
      <c r="AX122" s="34" t="n"/>
      <c r="AY122" s="34" t="n"/>
      <c r="AZ122" s="34" t="n"/>
      <c r="BA122" s="34" t="n"/>
      <c r="BB122" s="34" t="n"/>
      <c r="BC122" s="34" t="n"/>
      <c r="BD122" s="34" t="n"/>
      <c r="BE122" s="34" t="n"/>
      <c r="BF122" s="34" t="n"/>
      <c r="BG122" s="34" t="n"/>
      <c r="BH122" s="34" t="n"/>
      <c r="BI122" s="34" t="n"/>
      <c r="BJ122" s="34" t="n"/>
      <c r="BK122" s="34" t="n"/>
      <c r="BL122" s="34" t="n"/>
      <c r="BM122" s="34" t="n"/>
      <c r="BN122" s="34" t="n"/>
      <c r="BO122" s="34" t="n"/>
      <c r="BP122" s="34" t="n"/>
      <c r="BQ122" s="34" t="n"/>
      <c r="BR122" s="34" t="n"/>
      <c r="BS122" s="34" t="n"/>
      <c r="BT122" s="34" t="n"/>
      <c r="BU122" s="34" t="n"/>
      <c r="BV122" s="34" t="n"/>
      <c r="BW122" s="34" t="n"/>
      <c r="BX122" s="34" t="n"/>
      <c r="BY122" s="153" t="n"/>
      <c r="BZ122" s="153" t="n"/>
      <c r="CA122" s="273" t="n">
        <v>200000</v>
      </c>
      <c r="CB122" s="153" t="n"/>
      <c r="CC122" s="153" t="n"/>
      <c r="CD122" s="153" t="n"/>
      <c r="CE122" s="153" t="n"/>
      <c r="CF122" s="153" t="inlineStr">
        <is>
          <t>UNVERIFIED — stated on the Q4-2025 earnings call (5-Feb-2026), not in any EDGAR filing; information only, not used to drive the model</t>
        </is>
      </c>
    </row>
    <row r="123" ht="15" customHeight="1" s="251">
      <c r="B123" s="156" t="inlineStr">
        <is>
          <t xml:space="preserve">    Model 2026E gross capex − unverified call figure (information)</t>
        </is>
      </c>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c r="AA123" s="44" t="n"/>
      <c r="AB123" s="44" t="n"/>
      <c r="AC123" s="44" t="n"/>
      <c r="AD123" s="44" t="n"/>
      <c r="AE123" s="44" t="n"/>
      <c r="AF123" s="44" t="n"/>
      <c r="AG123" s="44" t="n"/>
      <c r="AH123" s="44" t="n"/>
      <c r="AI123" s="44" t="n"/>
      <c r="AJ123" s="44" t="n"/>
      <c r="AK123" s="44" t="n"/>
      <c r="AL123" s="44" t="n"/>
      <c r="AM123" s="44" t="n"/>
      <c r="AN123" s="44" t="n"/>
      <c r="AO123" s="44" t="n"/>
      <c r="AP123" s="44" t="n"/>
      <c r="AQ123" s="44" t="n"/>
      <c r="AR123" s="44" t="n"/>
      <c r="AS123" s="44" t="n"/>
      <c r="AT123" s="44" t="n"/>
      <c r="AU123" s="44" t="n"/>
      <c r="AV123" s="44" t="n"/>
      <c r="AW123" s="44" t="n"/>
      <c r="AX123" s="44" t="n"/>
      <c r="AY123" s="44" t="n"/>
      <c r="AZ123" s="44" t="n"/>
      <c r="BA123" s="44" t="n"/>
      <c r="BB123" s="44" t="n"/>
      <c r="BC123" s="44" t="n"/>
      <c r="BD123" s="44" t="n"/>
      <c r="BE123" s="44" t="n"/>
      <c r="BF123" s="44" t="n"/>
      <c r="BG123" s="44" t="n"/>
      <c r="BH123" s="44" t="n"/>
      <c r="BI123" s="44" t="n"/>
      <c r="BJ123" s="44" t="n"/>
      <c r="BK123" s="44" t="n"/>
      <c r="BL123" s="44" t="n"/>
      <c r="BM123" s="44" t="n"/>
      <c r="BN123" s="44" t="n"/>
      <c r="BO123" s="44" t="n"/>
      <c r="BP123" s="44" t="n"/>
      <c r="BQ123" s="44" t="n"/>
      <c r="BR123" s="44" t="n"/>
      <c r="BS123" s="44" t="n"/>
      <c r="BT123" s="44" t="n"/>
      <c r="BU123" s="44" t="n"/>
      <c r="BV123" s="44" t="n"/>
      <c r="BW123" s="44" t="n"/>
      <c r="BX123" s="44" t="n"/>
      <c r="BY123" s="35" t="n"/>
      <c r="BZ123" s="35" t="n"/>
      <c r="CA123" s="254">
        <f>-CA258-CA122</f>
        <v>6827</v>
      </c>
      <c r="CB123" s="35" t="n"/>
      <c r="CC123" s="35" t="n"/>
      <c r="CD123" s="35" t="n"/>
      <c r="CE123" s="35" t="n"/>
      <c r="CF123" s="153" t="n"/>
    </row>
    <row r="124" ht="15" customHeight="1" s="251">
      <c r="CN124" s="11" t="n"/>
      <c r="CO124" s="12" t="n"/>
      <c r="CP124" s="12" t="n"/>
      <c r="CQ124" s="12" t="n"/>
      <c r="CR124" s="13" t="n"/>
    </row>
    <row r="125" ht="15" customHeight="1" s="251">
      <c r="B125" s="14" t="inlineStr">
        <is>
          <t>Cost drivers, D&amp;A &amp; special items</t>
        </is>
      </c>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c r="BR125" s="14" t="n"/>
      <c r="BS125" s="14" t="n"/>
      <c r="BT125" s="14" t="n"/>
      <c r="BU125" s="14" t="n"/>
      <c r="BV125" s="14" t="n"/>
      <c r="BW125" s="14" t="n"/>
      <c r="BX125" s="14" t="n"/>
      <c r="BY125" s="14" t="n"/>
      <c r="BZ125" s="14" t="n"/>
      <c r="CA125" s="14" t="n"/>
      <c r="CB125" s="14" t="n"/>
      <c r="CC125" s="14" t="n"/>
      <c r="CD125" s="14" t="n"/>
      <c r="CE125" s="14" t="n"/>
      <c r="CF125" s="15" t="inlineStr">
        <is>
          <t>COST DRIVERS — inputs that drive forecast cost lines (Q3/Q4-26E: prior-year quarter + 1H-26 drift or point estimates; 2027E+: % of net sales)</t>
        </is>
      </c>
    </row>
    <row r="126" ht="15" customHeight="1" s="251">
      <c r="B126" s="25" t="inlineStr">
        <is>
          <t xml:space="preserve">  Depreciation &amp; amortization — total (cash-flow statement: P&amp;E, capitalized content, operating-lease assets, other)</t>
        </is>
      </c>
      <c r="C126" s="253" t="n">
        <v>205</v>
      </c>
      <c r="D126" s="253" t="n">
        <v>246</v>
      </c>
      <c r="E126" s="253" t="n">
        <v>287</v>
      </c>
      <c r="F126" s="253" t="n">
        <v>378</v>
      </c>
      <c r="G126" s="253" t="n">
        <v>568</v>
      </c>
      <c r="H126" s="253" t="n">
        <v>1083</v>
      </c>
      <c r="I126" s="253" t="n">
        <v>2159</v>
      </c>
      <c r="J126" s="253" t="n">
        <v>700</v>
      </c>
      <c r="K126" s="253" t="n">
        <v>756</v>
      </c>
      <c r="L126" s="253" t="n">
        <v>834</v>
      </c>
      <c r="M126" s="253" t="n">
        <v>963</v>
      </c>
      <c r="N126" s="253" t="n">
        <v>3253</v>
      </c>
      <c r="O126" s="253" t="n">
        <v>1010</v>
      </c>
      <c r="P126" s="253" t="n">
        <v>1109</v>
      </c>
      <c r="Q126" s="253" t="n">
        <v>1247</v>
      </c>
      <c r="R126" s="253" t="n">
        <v>1379</v>
      </c>
      <c r="S126" s="253" t="n">
        <v>4746</v>
      </c>
      <c r="T126" s="253" t="n">
        <v>1426</v>
      </c>
      <c r="U126" s="253" t="n">
        <v>1504</v>
      </c>
      <c r="V126" s="253" t="n">
        <v>1599</v>
      </c>
      <c r="W126" s="253" t="n">
        <v>1752</v>
      </c>
      <c r="X126" s="253" t="n">
        <v>6281</v>
      </c>
      <c r="Y126" s="253" t="n">
        <v>1827</v>
      </c>
      <c r="Z126" s="253" t="n">
        <v>1909</v>
      </c>
      <c r="AA126" s="253" t="n">
        <v>2084</v>
      </c>
      <c r="AB126" s="253" t="n">
        <v>2297</v>
      </c>
      <c r="AC126" s="253" t="n">
        <v>8116</v>
      </c>
      <c r="AD126" s="253" t="n">
        <v>2435</v>
      </c>
      <c r="AE126" s="253" t="n">
        <v>2633</v>
      </c>
      <c r="AF126" s="253" t="n">
        <v>2912</v>
      </c>
      <c r="AG126" s="253" t="n">
        <v>3498</v>
      </c>
      <c r="AH126" s="253" t="n">
        <v>11478</v>
      </c>
      <c r="AI126" s="253" t="n">
        <v>3671</v>
      </c>
      <c r="AJ126" s="253" t="n">
        <v>3630</v>
      </c>
      <c r="AK126" s="253" t="n">
        <v>3778</v>
      </c>
      <c r="AL126" s="253" t="n">
        <v>4262</v>
      </c>
      <c r="AM126" s="253" t="n">
        <v>15341</v>
      </c>
      <c r="AN126" s="253" t="n">
        <v>4854</v>
      </c>
      <c r="AO126" s="253" t="n">
        <v>5202</v>
      </c>
      <c r="AP126" s="253" t="n">
        <v>5563</v>
      </c>
      <c r="AQ126" s="253" t="n">
        <v>6170</v>
      </c>
      <c r="AR126" s="253" t="n">
        <v>21789</v>
      </c>
      <c r="AS126" s="253" t="n">
        <v>5362</v>
      </c>
      <c r="AT126" s="253" t="n">
        <v>5748</v>
      </c>
      <c r="AU126" s="253" t="n">
        <v>6523</v>
      </c>
      <c r="AV126" s="253" t="n">
        <v>7618</v>
      </c>
      <c r="AW126" s="253" t="n">
        <v>25251</v>
      </c>
      <c r="AX126" s="253" t="n">
        <v>7508</v>
      </c>
      <c r="AY126" s="253" t="n">
        <v>8038</v>
      </c>
      <c r="AZ126" s="253" t="n">
        <v>8948</v>
      </c>
      <c r="BA126" s="253" t="n">
        <v>9802</v>
      </c>
      <c r="BB126" s="253" t="n">
        <v>34296</v>
      </c>
      <c r="BC126" s="253" t="n">
        <v>8978</v>
      </c>
      <c r="BD126" s="253" t="n">
        <v>9594</v>
      </c>
      <c r="BE126" s="253" t="n">
        <v>10204</v>
      </c>
      <c r="BF126" s="253" t="n">
        <v>12685</v>
      </c>
      <c r="BG126" s="253" t="n">
        <v>41921</v>
      </c>
      <c r="BH126" s="253" t="n">
        <v>11123</v>
      </c>
      <c r="BI126" s="253" t="n">
        <v>11589</v>
      </c>
      <c r="BJ126" s="253" t="n">
        <v>12131</v>
      </c>
      <c r="BK126" s="253" t="n">
        <v>13820</v>
      </c>
      <c r="BL126" s="253" t="n">
        <v>48663</v>
      </c>
      <c r="BM126" s="253" t="n">
        <v>11684</v>
      </c>
      <c r="BN126" s="253" t="n">
        <v>12038</v>
      </c>
      <c r="BO126" s="253" t="n">
        <v>13442</v>
      </c>
      <c r="BP126" s="253" t="n">
        <v>15631</v>
      </c>
      <c r="BQ126" s="253" t="n">
        <v>52795</v>
      </c>
      <c r="BR126" s="253" t="n">
        <v>14262</v>
      </c>
      <c r="BS126" s="253" t="n">
        <v>15227</v>
      </c>
      <c r="BT126" s="253" t="n">
        <v>16796</v>
      </c>
      <c r="BU126" s="253" t="n">
        <v>19471</v>
      </c>
      <c r="BV126" s="253" t="n">
        <v>65756</v>
      </c>
      <c r="BW126" s="253" t="n">
        <v>18945</v>
      </c>
      <c r="BX126" s="253" t="n">
        <v>19988</v>
      </c>
      <c r="BY126" s="254">
        <f>BY127+BY129</f>
        <v>21949.4861246213</v>
      </c>
      <c r="BZ126" s="254">
        <f>BZ127+BZ129</f>
        <v>24681.0448011456</v>
      </c>
      <c r="CA126" s="254">
        <f>SUM(BW126:BZ126)</f>
        <v>85563.5309257669</v>
      </c>
      <c r="CB126" s="254">
        <f>CB127+CB129</f>
        <v>115153.995767509</v>
      </c>
      <c r="CC126" s="254">
        <f>CC127+CC129</f>
        <v>137323.709453689</v>
      </c>
      <c r="CD126" s="254">
        <f>CD127+CD129</f>
        <v>157869.040206443</v>
      </c>
      <c r="CE126" s="254">
        <f>CE127+CE129</f>
        <v>176373.54944682</v>
      </c>
      <c r="CF126" s="19" t="inlineStr">
        <is>
          <t>As presented in the cash-flow statement (includes operating-lease ROU amortization from 2019). Forecast = P&amp;E depreciation + other D&amp;A.</t>
        </is>
      </c>
      <c r="CH126" s="20">
        <f>IFERROR((CE126/BV126)^(1/5)-1,"n/m")</f>
        <v>0.218146757816175</v>
      </c>
      <c r="CI126" s="20">
        <f>IFERROR((BV126/AW126)^(1/5)-1,"n/m")</f>
        <v>0.21096435834706</v>
      </c>
      <c r="CJ126" s="20">
        <f>IFERROR((BV126/X126)^(1/10)-1,"n/m")</f>
        <v>0.264709146234339</v>
      </c>
      <c r="CK126" s="20">
        <f>IFERROR((BV126/C126)^(1/19)-1,"n/m")</f>
        <v>0.354890790630259</v>
      </c>
    </row>
    <row r="127" ht="15" customHeight="1" s="251">
      <c r="B127" s="25" t="inlineStr">
        <is>
          <t xml:space="preserve">  Depreciation &amp; amortization of property and equipment (XBRL "Depreciation": FY2014+, quarters Q2-24+)</t>
        </is>
      </c>
      <c r="C127" s="34" t="n"/>
      <c r="D127" s="34" t="n"/>
      <c r="E127" s="34" t="n"/>
      <c r="F127" s="34" t="n"/>
      <c r="G127" s="34" t="n"/>
      <c r="H127" s="34" t="n"/>
      <c r="I127" s="34" t="n"/>
      <c r="J127" s="34" t="n"/>
      <c r="K127" s="34" t="n"/>
      <c r="L127" s="34" t="n"/>
      <c r="M127" s="34" t="n"/>
      <c r="N127" s="34" t="n"/>
      <c r="O127" s="34" t="n"/>
      <c r="P127" s="34" t="n"/>
      <c r="Q127" s="34" t="n"/>
      <c r="R127" s="34" t="n"/>
      <c r="S127" s="253" t="n">
        <v>3600</v>
      </c>
      <c r="T127" s="34" t="n"/>
      <c r="U127" s="34" t="n"/>
      <c r="V127" s="34" t="n"/>
      <c r="W127" s="34" t="n"/>
      <c r="X127" s="253" t="n">
        <v>4900</v>
      </c>
      <c r="Y127" s="34" t="n"/>
      <c r="Z127" s="34" t="n"/>
      <c r="AA127" s="34" t="n"/>
      <c r="AB127" s="34" t="n"/>
      <c r="AC127" s="253" t="n">
        <v>6400</v>
      </c>
      <c r="AD127" s="34" t="n"/>
      <c r="AE127" s="34" t="n"/>
      <c r="AF127" s="34" t="n"/>
      <c r="AG127" s="34" t="n"/>
      <c r="AH127" s="253" t="n">
        <v>8831</v>
      </c>
      <c r="AI127" s="34" t="n"/>
      <c r="AJ127" s="34" t="n"/>
      <c r="AK127" s="34" t="n"/>
      <c r="AL127" s="34" t="n"/>
      <c r="AM127" s="253" t="n">
        <v>12138</v>
      </c>
      <c r="AN127" s="34" t="n"/>
      <c r="AO127" s="34" t="n"/>
      <c r="AP127" s="34" t="n"/>
      <c r="AQ127" s="34" t="n"/>
      <c r="AR127" s="253" t="n">
        <v>15150</v>
      </c>
      <c r="AS127" s="34" t="n"/>
      <c r="AT127" s="34" t="n"/>
      <c r="AU127" s="34" t="n"/>
      <c r="AV127" s="34" t="n"/>
      <c r="AW127" s="253" t="n">
        <v>16239</v>
      </c>
      <c r="AX127" s="34" t="n"/>
      <c r="AY127" s="34" t="n"/>
      <c r="AZ127" s="34" t="n"/>
      <c r="BA127" s="34" t="n"/>
      <c r="BB127" s="253" t="n">
        <v>22909</v>
      </c>
      <c r="BC127" s="34" t="n"/>
      <c r="BD127" s="34" t="n"/>
      <c r="BE127" s="34" t="n"/>
      <c r="BF127" s="34" t="n"/>
      <c r="BG127" s="253" t="n">
        <v>24924</v>
      </c>
      <c r="BH127" s="34" t="n"/>
      <c r="BI127" s="34" t="n"/>
      <c r="BJ127" s="34" t="n"/>
      <c r="BK127" s="34" t="n"/>
      <c r="BL127" s="253" t="n">
        <v>30225</v>
      </c>
      <c r="BM127" s="253" t="n">
        <v>7266</v>
      </c>
      <c r="BN127" s="253" t="n">
        <v>7644</v>
      </c>
      <c r="BO127" s="253" t="n">
        <v>8316</v>
      </c>
      <c r="BP127" s="253" t="n">
        <v>8841</v>
      </c>
      <c r="BQ127" s="253" t="n">
        <v>32067</v>
      </c>
      <c r="BR127" s="253" t="n">
        <v>9056</v>
      </c>
      <c r="BS127" s="253" t="n">
        <v>9766</v>
      </c>
      <c r="BT127" s="253" t="n">
        <v>10925</v>
      </c>
      <c r="BU127" s="253" t="n">
        <v>12113</v>
      </c>
      <c r="BV127" s="253" t="n">
        <v>41860</v>
      </c>
      <c r="BW127" s="253" t="n">
        <v>12834</v>
      </c>
      <c r="BX127" s="253" t="n">
        <v>13869</v>
      </c>
      <c r="BY127" s="254">
        <f>BX317*BY128/4</f>
        <v>15564.4419636792</v>
      </c>
      <c r="BZ127" s="254">
        <f>(BX317+BY131*(1-$CP$18)-BY127)*BZ128/4</f>
        <v>16875.0491004477</v>
      </c>
      <c r="CA127" s="254">
        <f>SUM(BW127:BZ127)</f>
        <v>59142.4910641269</v>
      </c>
      <c r="CB127" s="254">
        <f>(CA317+0.5*(-CB258-CB259+CB364))*CB128</f>
        <v>84947.2209767706</v>
      </c>
      <c r="CC127" s="254">
        <f>(CB317+0.5*(-CC258-CC259+CC364))*CC128</f>
        <v>103102.150977123</v>
      </c>
      <c r="CD127" s="254">
        <f>(CC317+0.5*(-CD258-CD259+CD364))*CD128</f>
        <v>119510.267351575</v>
      </c>
      <c r="CE127" s="254">
        <f>(CD317+0.5*(-CE258-CE259+CE364))*CE128</f>
        <v>133806.411932391</v>
      </c>
      <c r="CF127" s="19" t="inlineStr">
        <is>
          <t>Q3/Q4-26E: opening PP&amp;E × Q2-26 annualised rate ÷ 4 (Q4 opening = 30-Jun PP&amp;E + Q3 net capex − Q3 depreciation). 2027E+: rate × (opening PP&amp;E + ½ net additions).</t>
        </is>
      </c>
      <c r="CH127" s="20">
        <f>IFERROR((CE127/BV127)^(1/5)-1,"n/m")</f>
        <v>0.261640262830472</v>
      </c>
      <c r="CI127" s="20">
        <f>IFERROR((BV127/AW127)^(1/5)-1,"n/m")</f>
        <v>0.208503711243432</v>
      </c>
      <c r="CJ127" s="20">
        <f>IFERROR((BV127/X127)^(1/10)-1,"n/m")</f>
        <v>0.239253957268125</v>
      </c>
      <c r="CK127" s="20" t="str">
        <f>IFERROR((BV127/C127)^(1/19)-1,"n/m")</f>
        <v>n/m</v>
      </c>
    </row>
    <row r="128" ht="15" customHeight="1" s="251">
      <c r="B128" s="25" t="inlineStr">
        <is>
          <t xml:space="preserve">  P&amp;E depreciation ÷ opening PP&amp;E (annualised)</t>
        </is>
      </c>
      <c r="C128" s="36" t="n"/>
      <c r="D128" s="215">
        <f>IF(AND(ISNUMBER(D127),ISNUMBER(C317)),IFERROR(D127*1/C317,""),"")</f>
      </c>
      <c r="E128" s="215">
        <f>IF(AND(ISNUMBER(E127),ISNUMBER(D317)),IFERROR(E127*1/D317,""),"")</f>
      </c>
      <c r="F128" s="215">
        <f>IF(AND(ISNUMBER(F127),ISNUMBER(E317)),IFERROR(F127*1/E317,""),"")</f>
      </c>
      <c r="G128" s="215">
        <f>IF(AND(ISNUMBER(G127),ISNUMBER(F317)),IFERROR(G127*1/F317,""),"")</f>
      </c>
      <c r="H128" s="215">
        <f>IF(AND(ISNUMBER(H127),ISNUMBER(G317)),IFERROR(H127*1/G317,""),"")</f>
      </c>
      <c r="I128" s="215">
        <f>IF(AND(ISNUMBER(I127),ISNUMBER(H317)),IFERROR(I127*1/H317,""),"")</f>
      </c>
      <c r="J128" s="36" t="n"/>
      <c r="K128" s="215">
        <f>IF(AND(ISNUMBER(K127),ISNUMBER(J317)),IFERROR(K127*4/J317,""),"")</f>
      </c>
      <c r="L128" s="215">
        <f>IF(AND(ISNUMBER(L127),ISNUMBER(K317)),IFERROR(L127*4/K317,""),"")</f>
      </c>
      <c r="M128" s="215">
        <f>IF(AND(ISNUMBER(M127),ISNUMBER(L317)),IFERROR(M127*4/L317,""),"")</f>
      </c>
      <c r="N128" s="215">
        <f>IF(AND(ISNUMBER(N127),ISNUMBER(I317)),IFERROR(N127*1/I317,""),"")</f>
      </c>
      <c r="O128" s="215">
        <f>IF(AND(ISNUMBER(O127),ISNUMBER(M317)),IFERROR(O127*4/M317,""),"")</f>
      </c>
      <c r="P128" s="215">
        <f>IF(AND(ISNUMBER(P127),ISNUMBER(O317)),IFERROR(P127*4/O317,""),"")</f>
      </c>
      <c r="Q128" s="215">
        <f>IF(AND(ISNUMBER(Q127),ISNUMBER(P317)),IFERROR(Q127*4/P317,""),"")</f>
      </c>
      <c r="R128" s="215">
        <f>IF(AND(ISNUMBER(R127),ISNUMBER(Q317)),IFERROR(R127*4/Q317,""),"")</f>
      </c>
      <c r="S128" s="215">
        <f>IF(AND(ISNUMBER(S127),ISNUMBER(N317)),IFERROR(S127*1/N317,""),"")</f>
        <v>0.328797150424696</v>
      </c>
      <c r="T128" s="215">
        <f>IF(AND(ISNUMBER(T127),ISNUMBER(R317)),IFERROR(T127*4/R317,""),"")</f>
      </c>
      <c r="U128" s="215">
        <f>IF(AND(ISNUMBER(U127),ISNUMBER(T317)),IFERROR(U127*4/T317,""),"")</f>
      </c>
      <c r="V128" s="215">
        <f>IF(AND(ISNUMBER(V127),ISNUMBER(U317)),IFERROR(V127*4/U317,""),"")</f>
      </c>
      <c r="W128" s="215">
        <f>IF(AND(ISNUMBER(W127),ISNUMBER(V317)),IFERROR(W127*4/V317,""),"")</f>
      </c>
      <c r="X128" s="215">
        <f>IF(AND(ISNUMBER(X127),ISNUMBER(S317)),IFERROR(X127*1/S317,""),"")</f>
        <v>0.288795897919491</v>
      </c>
      <c r="Y128" s="215">
        <f>IF(AND(ISNUMBER(Y127),ISNUMBER(W317)),IFERROR(Y127*4/W317,""),"")</f>
      </c>
      <c r="Z128" s="215">
        <f>IF(AND(ISNUMBER(Z127),ISNUMBER(Y317)),IFERROR(Z127*4/Y317,""),"")</f>
      </c>
      <c r="AA128" s="215">
        <f>IF(AND(ISNUMBER(AA127),ISNUMBER(Z317)),IFERROR(AA127*4/Z317,""),"")</f>
      </c>
      <c r="AB128" s="215">
        <f>IF(AND(ISNUMBER(AB127),ISNUMBER(AA317)),IFERROR(AB127*4/AA317,""),"")</f>
      </c>
      <c r="AC128" s="215">
        <f>IF(AND(ISNUMBER(AC127),ISNUMBER(X317)),IFERROR(AC127*1/X317,""),"")</f>
        <v>0.293067130689624</v>
      </c>
      <c r="AD128" s="215">
        <f>IF(AND(ISNUMBER(AD127),ISNUMBER(AB317)),IFERROR(AD127*4/AB317,""),"")</f>
      </c>
      <c r="AE128" s="215">
        <f>IF(AND(ISNUMBER(AE127),ISNUMBER(AD317)),IFERROR(AE127*4/AD317,""),"")</f>
      </c>
      <c r="AF128" s="215">
        <f>IF(AND(ISNUMBER(AF127),ISNUMBER(AE317)),IFERROR(AF127*4/AE317,""),"")</f>
      </c>
      <c r="AG128" s="215">
        <f>IF(AND(ISNUMBER(AG127),ISNUMBER(AF317)),IFERROR(AG127*4/AF317,""),"")</f>
      </c>
      <c r="AH128" s="215">
        <f>IF(AND(ISNUMBER(AH127),ISNUMBER(AC317)),IFERROR(AH127*1/AC317,""),"")</f>
        <v>0.303324860891667</v>
      </c>
      <c r="AI128" s="215">
        <f>IF(AND(ISNUMBER(AI127),ISNUMBER(AG317)),IFERROR(AI127*4/AG317,""),"")</f>
      </c>
      <c r="AJ128" s="215">
        <f>IF(AND(ISNUMBER(AJ127),ISNUMBER(AI317)),IFERROR(AJ127*4/AI317,""),"")</f>
      </c>
      <c r="AK128" s="215">
        <f>IF(AND(ISNUMBER(AK127),ISNUMBER(AJ317)),IFERROR(AK127*4/AJ317,""),"")</f>
      </c>
      <c r="AL128" s="215">
        <f>IF(AND(ISNUMBER(AL127),ISNUMBER(AK317)),IFERROR(AL127*4/AK317,""),"")</f>
      </c>
      <c r="AM128" s="215">
        <f>IF(AND(ISNUMBER(AM127),ISNUMBER(AH317)),IFERROR(AM127*1/AH317,""),"")</f>
        <v>0.248393566078664</v>
      </c>
      <c r="AN128" s="215">
        <f>IF(AND(ISNUMBER(AN127),ISNUMBER(AL317)),IFERROR(AN127*4/AL317,""),"")</f>
      </c>
      <c r="AO128" s="215">
        <f>IF(AND(ISNUMBER(AO127),ISNUMBER(AN317)),IFERROR(AO127*4/AN317,""),"")</f>
      </c>
      <c r="AP128" s="215">
        <f>IF(AND(ISNUMBER(AP127),ISNUMBER(AO317)),IFERROR(AP127*4/AO317,""),"")</f>
      </c>
      <c r="AQ128" s="215">
        <f>IF(AND(ISNUMBER(AQ127),ISNUMBER(AP317)),IFERROR(AQ127*4/AP317,""),"")</f>
      </c>
      <c r="AR128" s="215">
        <f>IF(AND(ISNUMBER(AR127),ISNUMBER(AM317)),IFERROR(AR127*1/AM317,""),"")</f>
        <v>0.245157531919025</v>
      </c>
      <c r="AS128" s="215">
        <f>IF(AND(ISNUMBER(AS127),ISNUMBER(AQ317)),IFERROR(AS127*4/AQ317,""),"")</f>
      </c>
      <c r="AT128" s="215">
        <f>IF(AND(ISNUMBER(AT127),ISNUMBER(AS317)),IFERROR(AT127*4/AS317,""),"")</f>
      </c>
      <c r="AU128" s="215">
        <f>IF(AND(ISNUMBER(AU127),ISNUMBER(AT317)),IFERROR(AU127*4/AT317,""),"")</f>
      </c>
      <c r="AV128" s="215">
        <f>IF(AND(ISNUMBER(AV127),ISNUMBER(AU317)),IFERROR(AV127*4/AU317,""),"")</f>
      </c>
      <c r="AW128" s="215">
        <f>IF(AND(ISNUMBER(AW127),ISNUMBER(AR317)),IFERROR(AW127*1/AR317,""),"")</f>
        <v>0.223354652362286</v>
      </c>
      <c r="AX128" s="215">
        <f>IF(AND(ISNUMBER(AX127),ISNUMBER(AV317)),IFERROR(AX127*4/AV317,""),"")</f>
      </c>
      <c r="AY128" s="215">
        <f>IF(AND(ISNUMBER(AY127),ISNUMBER(AX317)),IFERROR(AY127*4/AX317,""),"")</f>
      </c>
      <c r="AZ128" s="215">
        <f>IF(AND(ISNUMBER(AZ127),ISNUMBER(AY317)),IFERROR(AZ127*4/AY317,""),"")</f>
      </c>
      <c r="BA128" s="215">
        <f>IF(AND(ISNUMBER(BA127),ISNUMBER(AZ317)),IFERROR(BA127*4/AZ317,""),"")</f>
      </c>
      <c r="BB128" s="215">
        <f>IF(AND(ISNUMBER(BB127),ISNUMBER(AW317)),IFERROR(BB127*1/AW317,""),"")</f>
        <v>0.202530190780982</v>
      </c>
      <c r="BC128" s="215">
        <f>IF(AND(ISNUMBER(BC127),ISNUMBER(BA317)),IFERROR(BC127*4/BA317,""),"")</f>
      </c>
      <c r="BD128" s="215">
        <f>IF(AND(ISNUMBER(BD127),ISNUMBER(BC317)),IFERROR(BD127*4/BC317,""),"")</f>
      </c>
      <c r="BE128" s="215">
        <f>IF(AND(ISNUMBER(BE127),ISNUMBER(BD317)),IFERROR(BE127*4/BD317,""),"")</f>
      </c>
      <c r="BF128" s="215">
        <f>IF(AND(ISNUMBER(BF127),ISNUMBER(BE317)),IFERROR(BF127*4/BE317,""),"")</f>
      </c>
      <c r="BG128" s="215">
        <f>IF(AND(ISNUMBER(BG127),ISNUMBER(BB317)),IFERROR(BG127*1/BB317,""),"")</f>
        <v>0.155501899788496</v>
      </c>
      <c r="BH128" s="215">
        <f>IF(AND(ISNUMBER(BH127),ISNUMBER(BF317)),IFERROR(BH127*4/BF317,""),"")</f>
      </c>
      <c r="BI128" s="215">
        <f>IF(AND(ISNUMBER(BI127),ISNUMBER(BH317)),IFERROR(BI127*4/BH317,""),"")</f>
      </c>
      <c r="BJ128" s="215">
        <f>IF(AND(ISNUMBER(BJ127),ISNUMBER(BI317)),IFERROR(BJ127*4/BI317,""),"")</f>
      </c>
      <c r="BK128" s="215">
        <f>IF(AND(ISNUMBER(BK127),ISNUMBER(BJ317)),IFERROR(BK127*4/BJ317,""),"")</f>
      </c>
      <c r="BL128" s="215">
        <f>IF(AND(ISNUMBER(BL127),ISNUMBER(BG317)),IFERROR(BL127*1/BG317,""),"")</f>
        <v>0.161877728088263</v>
      </c>
      <c r="BM128" s="215">
        <f>IF(AND(ISNUMBER(BM127),ISNUMBER(BK317)),IFERROR(BM127*4/BK317,""),"")</f>
        <v>0.142347081208951</v>
      </c>
      <c r="BN128" s="215">
        <f>IF(AND(ISNUMBER(BN127),ISNUMBER(BM317)),IFERROR(BN127*4/BM317,""),"")</f>
        <v>0.145634674922601</v>
      </c>
      <c r="BO128" s="215">
        <f>IF(AND(ISNUMBER(BO127),ISNUMBER(BN317)),IFERROR(BO127*4/BN317,""),"")</f>
        <v>0.150708826234499</v>
      </c>
      <c r="BP128" s="215">
        <f>IF(AND(ISNUMBER(BP127),ISNUMBER(BO317)),IFERROR(BP127*4/BO317,""),"")</f>
        <v>0.148640071957868</v>
      </c>
      <c r="BQ128" s="215">
        <f>IF(AND(ISNUMBER(BQ127),ISNUMBER(BL317)),IFERROR(BQ127*1/BL317,""),"")</f>
        <v>0.157054908241379</v>
      </c>
      <c r="BR128" s="215">
        <f>IF(AND(ISNUMBER(BR127),ISNUMBER(BP317)),IFERROR(BR127*4/BP317,""),"")</f>
        <v>0.143367700314646</v>
      </c>
      <c r="BS128" s="215">
        <f>IF(AND(ISNUMBER(BS127),ISNUMBER(BR317)),IFERROR(BS127*4/BR317,""),"")</f>
        <v>0.143206454995033</v>
      </c>
      <c r="BT128" s="215">
        <f>IF(AND(ISNUMBER(BT127),ISNUMBER(BS317)),IFERROR(BT127*4/BS317,""),"")</f>
        <v>0.146833503575077</v>
      </c>
      <c r="BU128" s="215">
        <f>IF(AND(ISNUMBER(BU127),ISNUMBER(BT317)),IFERROR(BU127*4/BT317,""),"")</f>
        <v>0.149342703469108</v>
      </c>
      <c r="BV128" s="215">
        <f>IF(AND(ISNUMBER(BV127),ISNUMBER(BQ317)),IFERROR(BV127*1/BQ317,""),"")</f>
        <v>0.165673916054855</v>
      </c>
      <c r="BW128" s="215">
        <f>IF(AND(ISNUMBER(BW127),ISNUMBER(BU317)),IFERROR(BW127*4/BU317,""),"")</f>
        <v>0.14378825012254</v>
      </c>
      <c r="BX128" s="215">
        <f>IF(AND(ISNUMBER(BX127),ISNUMBER(BW317)),IFERROR(BX127*4/BW317,""),"")</f>
        <v>0.139577011910692</v>
      </c>
      <c r="BY128" s="256">
        <f>BX128</f>
        <v>0.139577011910692</v>
      </c>
      <c r="BZ128" s="256">
        <f>BX128</f>
        <v>0.139577011910692</v>
      </c>
      <c r="CA128" s="24" t="n"/>
      <c r="CB128" s="269" t="n">
        <v>0.135</v>
      </c>
      <c r="CC128" s="269" t="n">
        <v>0.135</v>
      </c>
      <c r="CD128" s="269" t="n">
        <v>0.135</v>
      </c>
      <c r="CE128" s="269" t="n">
        <v>0.135</v>
      </c>
      <c r="CF128" s="153" t="inlineStr">
        <is>
          <t>Q2-26 annualised 14.0% of opening PP&amp;E; FY2025 16.6% of opening (13.7% of average). 2027E+ 13.5% on opening + ½ net additions (servers ~6-year lives from 2025).</t>
        </is>
      </c>
    </row>
    <row r="129" ht="15" customHeight="1" s="251">
      <c r="B129" s="25" t="inlineStr">
        <is>
          <t xml:space="preserve">  Other D&amp;A (operating-lease ROU assets, capitalized video / music content, other) = total − P&amp;E depreciation</t>
        </is>
      </c>
      <c r="C129" s="211">
        <f>IF(ISNUMBER(C127),C126-C127,"")</f>
      </c>
      <c r="D129" s="211">
        <f>IF(ISNUMBER(D127),D126-D127,"")</f>
      </c>
      <c r="E129" s="211">
        <f>IF(ISNUMBER(E127),E126-E127,"")</f>
      </c>
      <c r="F129" s="211">
        <f>IF(ISNUMBER(F127),F126-F127,"")</f>
      </c>
      <c r="G129" s="211">
        <f>IF(ISNUMBER(G127),G126-G127,"")</f>
      </c>
      <c r="H129" s="211">
        <f>IF(ISNUMBER(H127),H126-H127,"")</f>
      </c>
      <c r="I129" s="211">
        <f>IF(ISNUMBER(I127),I126-I127,"")</f>
      </c>
      <c r="J129" s="211">
        <f>IF(ISNUMBER(J127),J126-J127,"")</f>
      </c>
      <c r="K129" s="211">
        <f>IF(ISNUMBER(K127),K126-K127,"")</f>
      </c>
      <c r="L129" s="211">
        <f>IF(ISNUMBER(L127),L126-L127,"")</f>
      </c>
      <c r="M129" s="211">
        <f>IF(ISNUMBER(M127),M126-M127,"")</f>
      </c>
      <c r="N129" s="211">
        <f>IF(ISNUMBER(N127),N126-N127,"")</f>
      </c>
      <c r="O129" s="211">
        <f>IF(ISNUMBER(O127),O126-O127,"")</f>
      </c>
      <c r="P129" s="211">
        <f>IF(ISNUMBER(P127),P126-P127,"")</f>
      </c>
      <c r="Q129" s="211">
        <f>IF(ISNUMBER(Q127),Q126-Q127,"")</f>
      </c>
      <c r="R129" s="211">
        <f>IF(ISNUMBER(R127),R126-R127,"")</f>
      </c>
      <c r="S129" s="211">
        <f>IF(ISNUMBER(S127),S126-S127,"")</f>
        <v>1146</v>
      </c>
      <c r="T129" s="211">
        <f>IF(ISNUMBER(T127),T126-T127,"")</f>
      </c>
      <c r="U129" s="211">
        <f>IF(ISNUMBER(U127),U126-U127,"")</f>
      </c>
      <c r="V129" s="211">
        <f>IF(ISNUMBER(V127),V126-V127,"")</f>
      </c>
      <c r="W129" s="211">
        <f>IF(ISNUMBER(W127),W126-W127,"")</f>
      </c>
      <c r="X129" s="211">
        <f>IF(ISNUMBER(X127),X126-X127,"")</f>
        <v>1381</v>
      </c>
      <c r="Y129" s="211">
        <f>IF(ISNUMBER(Y127),Y126-Y127,"")</f>
      </c>
      <c r="Z129" s="211">
        <f>IF(ISNUMBER(Z127),Z126-Z127,"")</f>
      </c>
      <c r="AA129" s="211">
        <f>IF(ISNUMBER(AA127),AA126-AA127,"")</f>
      </c>
      <c r="AB129" s="211">
        <f>IF(ISNUMBER(AB127),AB126-AB127,"")</f>
      </c>
      <c r="AC129" s="211">
        <f>IF(ISNUMBER(AC127),AC126-AC127,"")</f>
        <v>1716</v>
      </c>
      <c r="AD129" s="211">
        <f>IF(ISNUMBER(AD127),AD126-AD127,"")</f>
      </c>
      <c r="AE129" s="211">
        <f>IF(ISNUMBER(AE127),AE126-AE127,"")</f>
      </c>
      <c r="AF129" s="211">
        <f>IF(ISNUMBER(AF127),AF126-AF127,"")</f>
      </c>
      <c r="AG129" s="211">
        <f>IF(ISNUMBER(AG127),AG126-AG127,"")</f>
      </c>
      <c r="AH129" s="211">
        <f>IF(ISNUMBER(AH127),AH126-AH127,"")</f>
        <v>2647</v>
      </c>
      <c r="AI129" s="211">
        <f>IF(ISNUMBER(AI127),AI126-AI127,"")</f>
      </c>
      <c r="AJ129" s="211">
        <f>IF(ISNUMBER(AJ127),AJ126-AJ127,"")</f>
      </c>
      <c r="AK129" s="211">
        <f>IF(ISNUMBER(AK127),AK126-AK127,"")</f>
      </c>
      <c r="AL129" s="211">
        <f>IF(ISNUMBER(AL127),AL126-AL127,"")</f>
      </c>
      <c r="AM129" s="211">
        <f>IF(ISNUMBER(AM127),AM126-AM127,"")</f>
        <v>3203</v>
      </c>
      <c r="AN129" s="211">
        <f>IF(ISNUMBER(AN127),AN126-AN127,"")</f>
      </c>
      <c r="AO129" s="211">
        <f>IF(ISNUMBER(AO127),AO126-AO127,"")</f>
      </c>
      <c r="AP129" s="211">
        <f>IF(ISNUMBER(AP127),AP126-AP127,"")</f>
      </c>
      <c r="AQ129" s="211">
        <f>IF(ISNUMBER(AQ127),AQ126-AQ127,"")</f>
      </c>
      <c r="AR129" s="211">
        <f>IF(ISNUMBER(AR127),AR126-AR127,"")</f>
        <v>6639</v>
      </c>
      <c r="AS129" s="211">
        <f>IF(ISNUMBER(AS127),AS126-AS127,"")</f>
      </c>
      <c r="AT129" s="211">
        <f>IF(ISNUMBER(AT127),AT126-AT127,"")</f>
      </c>
      <c r="AU129" s="211">
        <f>IF(ISNUMBER(AU127),AU126-AU127,"")</f>
      </c>
      <c r="AV129" s="211">
        <f>IF(ISNUMBER(AV127),AV126-AV127,"")</f>
      </c>
      <c r="AW129" s="211">
        <f>IF(ISNUMBER(AW127),AW126-AW127,"")</f>
        <v>9012</v>
      </c>
      <c r="AX129" s="211">
        <f>IF(ISNUMBER(AX127),AX126-AX127,"")</f>
      </c>
      <c r="AY129" s="211">
        <f>IF(ISNUMBER(AY127),AY126-AY127,"")</f>
      </c>
      <c r="AZ129" s="211">
        <f>IF(ISNUMBER(AZ127),AZ126-AZ127,"")</f>
      </c>
      <c r="BA129" s="211">
        <f>IF(ISNUMBER(BA127),BA126-BA127,"")</f>
      </c>
      <c r="BB129" s="211">
        <f>IF(ISNUMBER(BB127),BB126-BB127,"")</f>
        <v>11387</v>
      </c>
      <c r="BC129" s="211">
        <f>IF(ISNUMBER(BC127),BC126-BC127,"")</f>
      </c>
      <c r="BD129" s="211">
        <f>IF(ISNUMBER(BD127),BD126-BD127,"")</f>
      </c>
      <c r="BE129" s="211">
        <f>IF(ISNUMBER(BE127),BE126-BE127,"")</f>
      </c>
      <c r="BF129" s="211">
        <f>IF(ISNUMBER(BF127),BF126-BF127,"")</f>
      </c>
      <c r="BG129" s="211">
        <f>IF(ISNUMBER(BG127),BG126-BG127,"")</f>
        <v>16997</v>
      </c>
      <c r="BH129" s="211">
        <f>IF(ISNUMBER(BH127),BH126-BH127,"")</f>
      </c>
      <c r="BI129" s="211">
        <f>IF(ISNUMBER(BI127),BI126-BI127,"")</f>
      </c>
      <c r="BJ129" s="211">
        <f>IF(ISNUMBER(BJ127),BJ126-BJ127,"")</f>
      </c>
      <c r="BK129" s="211">
        <f>IF(ISNUMBER(BK127),BK126-BK127,"")</f>
      </c>
      <c r="BL129" s="211">
        <f>IF(ISNUMBER(BL127),BL126-BL127,"")</f>
        <v>18438</v>
      </c>
      <c r="BM129" s="211">
        <f>IF(ISNUMBER(BM127),BM126-BM127,"")</f>
        <v>4418</v>
      </c>
      <c r="BN129" s="211">
        <f>IF(ISNUMBER(BN127),BN126-BN127,"")</f>
        <v>4394</v>
      </c>
      <c r="BO129" s="211">
        <f>IF(ISNUMBER(BO127),BO126-BO127,"")</f>
        <v>5126</v>
      </c>
      <c r="BP129" s="211">
        <f>IF(ISNUMBER(BP127),BP126-BP127,"")</f>
        <v>6790</v>
      </c>
      <c r="BQ129" s="211">
        <f>IF(ISNUMBER(BQ127),BQ126-BQ127,"")</f>
        <v>20728</v>
      </c>
      <c r="BR129" s="211">
        <f>IF(ISNUMBER(BR127),BR126-BR127,"")</f>
        <v>5206</v>
      </c>
      <c r="BS129" s="211">
        <f>IF(ISNUMBER(BS127),BS126-BS127,"")</f>
        <v>5461</v>
      </c>
      <c r="BT129" s="211">
        <f>IF(ISNUMBER(BT127),BT126-BT127,"")</f>
        <v>5871</v>
      </c>
      <c r="BU129" s="211">
        <f>IF(ISNUMBER(BU127),BU126-BU127,"")</f>
        <v>7358</v>
      </c>
      <c r="BV129" s="211">
        <f>IF(ISNUMBER(BV127),BV126-BV127,"")</f>
        <v>23896</v>
      </c>
      <c r="BW129" s="211">
        <f>IF(ISNUMBER(BW127),BW126-BW127,"")</f>
        <v>6111</v>
      </c>
      <c r="BX129" s="211">
        <f>IF(ISNUMBER(BX127),BX126-BX127,"")</f>
        <v>6119</v>
      </c>
      <c r="BY129" s="254">
        <f>BY144*BY130</f>
        <v>6385.0441609421</v>
      </c>
      <c r="BZ129" s="254">
        <f>BZ144*BZ130</f>
        <v>7805.99570069789</v>
      </c>
      <c r="CA129" s="254">
        <f>SUM(BW129:BZ129)</f>
        <v>26421.03986164</v>
      </c>
      <c r="CB129" s="254">
        <f>CB144*CB130</f>
        <v>30206.7747907382</v>
      </c>
      <c r="CC129" s="254">
        <f>CC144*CC130</f>
        <v>34221.5584765666</v>
      </c>
      <c r="CD129" s="254">
        <f>CD144*CD130</f>
        <v>38358.7728548684</v>
      </c>
      <c r="CE129" s="254">
        <f>CE144*CE130</f>
        <v>42567.1375144293</v>
      </c>
      <c r="CF129" s="19" t="n"/>
    </row>
    <row r="130" ht="15" customHeight="1" s="251">
      <c r="B130" s="25" t="inlineStr">
        <is>
          <t xml:space="preserve">  Other D&amp;A % of net sales</t>
        </is>
      </c>
      <c r="C130" s="215">
        <f>IF(AND(ISNUMBER(C129),ISNUMBER(C144)),IFERROR(C129/C144,""),"")</f>
      </c>
      <c r="D130" s="215">
        <f>IF(AND(ISNUMBER(D129),ISNUMBER(D144)),IFERROR(D129/D144,""),"")</f>
      </c>
      <c r="E130" s="215">
        <f>IF(AND(ISNUMBER(E129),ISNUMBER(E144)),IFERROR(E129/E144,""),"")</f>
      </c>
      <c r="F130" s="215">
        <f>IF(AND(ISNUMBER(F129),ISNUMBER(F144)),IFERROR(F129/F144,""),"")</f>
      </c>
      <c r="G130" s="215">
        <f>IF(AND(ISNUMBER(G129),ISNUMBER(G144)),IFERROR(G129/G144,""),"")</f>
      </c>
      <c r="H130" s="215">
        <f>IF(AND(ISNUMBER(H129),ISNUMBER(H144)),IFERROR(H129/H144,""),"")</f>
      </c>
      <c r="I130" s="215">
        <f>IF(AND(ISNUMBER(I129),ISNUMBER(I144)),IFERROR(I129/I144,""),"")</f>
      </c>
      <c r="J130" s="215">
        <f>IF(AND(ISNUMBER(J129),ISNUMBER(J144)),IFERROR(J129/J144,""),"")</f>
      </c>
      <c r="K130" s="215">
        <f>IF(AND(ISNUMBER(K129),ISNUMBER(K144)),IFERROR(K129/K144,""),"")</f>
      </c>
      <c r="L130" s="215">
        <f>IF(AND(ISNUMBER(L129),ISNUMBER(L144)),IFERROR(L129/L144,""),"")</f>
      </c>
      <c r="M130" s="215">
        <f>IF(AND(ISNUMBER(M129),ISNUMBER(M144)),IFERROR(M129/M144,""),"")</f>
      </c>
      <c r="N130" s="215">
        <f>IF(AND(ISNUMBER(N129),ISNUMBER(N144)),IFERROR(N129/N144,""),"")</f>
      </c>
      <c r="O130" s="215">
        <f>IF(AND(ISNUMBER(O129),ISNUMBER(O144)),IFERROR(O129/O144,""),"")</f>
      </c>
      <c r="P130" s="215">
        <f>IF(AND(ISNUMBER(P129),ISNUMBER(P144)),IFERROR(P129/P144,""),"")</f>
      </c>
      <c r="Q130" s="215">
        <f>IF(AND(ISNUMBER(Q129),ISNUMBER(Q144)),IFERROR(Q129/Q144,""),"")</f>
      </c>
      <c r="R130" s="215">
        <f>IF(AND(ISNUMBER(R129),ISNUMBER(R144)),IFERROR(R129/R144,""),"")</f>
      </c>
      <c r="S130" s="215">
        <f>IF(AND(ISNUMBER(S129),ISNUMBER(S144)),IFERROR(S129/S144,""),"")</f>
        <v>0.0128781408729267</v>
      </c>
      <c r="T130" s="215">
        <f>IF(AND(ISNUMBER(T129),ISNUMBER(T144)),IFERROR(T129/T144,""),"")</f>
      </c>
      <c r="U130" s="215">
        <f>IF(AND(ISNUMBER(U129),ISNUMBER(U144)),IFERROR(U129/U144,""),"")</f>
      </c>
      <c r="V130" s="215">
        <f>IF(AND(ISNUMBER(V129),ISNUMBER(V144)),IFERROR(V129/V144,""),"")</f>
      </c>
      <c r="W130" s="215">
        <f>IF(AND(ISNUMBER(W129),ISNUMBER(W144)),IFERROR(W129/W144,""),"")</f>
      </c>
      <c r="X130" s="215">
        <f>IF(AND(ISNUMBER(X129),ISNUMBER(X144)),IFERROR(X129/X144,""),"")</f>
        <v>0.0129058183653253</v>
      </c>
      <c r="Y130" s="215">
        <f>IF(AND(ISNUMBER(Y129),ISNUMBER(Y144)),IFERROR(Y129/Y144,""),"")</f>
      </c>
      <c r="Z130" s="215">
        <f>IF(AND(ISNUMBER(Z129),ISNUMBER(Z144)),IFERROR(Z129/Z144,""),"")</f>
      </c>
      <c r="AA130" s="215">
        <f>IF(AND(ISNUMBER(AA129),ISNUMBER(AA144)),IFERROR(AA129/AA144,""),"")</f>
      </c>
      <c r="AB130" s="215">
        <f>IF(AND(ISNUMBER(AB129),ISNUMBER(AB144)),IFERROR(AB129/AB144,""),"")</f>
      </c>
      <c r="AC130" s="215">
        <f>IF(AND(ISNUMBER(AC129),ISNUMBER(AC144)),IFERROR(AC129/AC144,""),"")</f>
        <v>0.0126188532727393</v>
      </c>
      <c r="AD130" s="215">
        <f>IF(AND(ISNUMBER(AD129),ISNUMBER(AD144)),IFERROR(AD129/AD144,""),"")</f>
      </c>
      <c r="AE130" s="215">
        <f>IF(AND(ISNUMBER(AE129),ISNUMBER(AE144)),IFERROR(AE129/AE144,""),"")</f>
      </c>
      <c r="AF130" s="215">
        <f>IF(AND(ISNUMBER(AF129),ISNUMBER(AF144)),IFERROR(AF129/AF144,""),"")</f>
      </c>
      <c r="AG130" s="215">
        <f>IF(AND(ISNUMBER(AG129),ISNUMBER(AG144)),IFERROR(AG129/AG144,""),"")</f>
      </c>
      <c r="AH130" s="215">
        <f>IF(AND(ISNUMBER(AH129),ISNUMBER(AH144)),IFERROR(AH129/AH144,""),"")</f>
        <v>0.0148819898125555</v>
      </c>
      <c r="AI130" s="215">
        <f>IF(AND(ISNUMBER(AI129),ISNUMBER(AI144)),IFERROR(AI129/AI144,""),"")</f>
      </c>
      <c r="AJ130" s="215">
        <f>IF(AND(ISNUMBER(AJ129),ISNUMBER(AJ144)),IFERROR(AJ129/AJ144,""),"")</f>
      </c>
      <c r="AK130" s="215">
        <f>IF(AND(ISNUMBER(AK129),ISNUMBER(AK144)),IFERROR(AK129/AK144,""),"")</f>
      </c>
      <c r="AL130" s="215">
        <f>IF(AND(ISNUMBER(AL129),ISNUMBER(AL144)),IFERROR(AL129/AL144,""),"")</f>
      </c>
      <c r="AM130" s="215">
        <f>IF(AND(ISNUMBER(AM129),ISNUMBER(AM144)),IFERROR(AM129/AM144,""),"")</f>
        <v>0.013753451244595</v>
      </c>
      <c r="AN130" s="215">
        <f>IF(AND(ISNUMBER(AN129),ISNUMBER(AN144)),IFERROR(AN129/AN144,""),"")</f>
      </c>
      <c r="AO130" s="215">
        <f>IF(AND(ISNUMBER(AO129),ISNUMBER(AO144)),IFERROR(AO129/AO144,""),"")</f>
      </c>
      <c r="AP130" s="215">
        <f>IF(AND(ISNUMBER(AP129),ISNUMBER(AP144)),IFERROR(AP129/AP144,""),"")</f>
      </c>
      <c r="AQ130" s="215">
        <f>IF(AND(ISNUMBER(AQ129),ISNUMBER(AQ144)),IFERROR(AQ129/AQ144,""),"")</f>
      </c>
      <c r="AR130" s="215">
        <f>IF(AND(ISNUMBER(AR129),ISNUMBER(AR144)),IFERROR(AR129/AR144,""),"")</f>
        <v>0.0236665929944888</v>
      </c>
      <c r="AS130" s="215">
        <f>IF(AND(ISNUMBER(AS129),ISNUMBER(AS144)),IFERROR(AS129/AS144,""),"")</f>
      </c>
      <c r="AT130" s="215">
        <f>IF(AND(ISNUMBER(AT129),ISNUMBER(AT144)),IFERROR(AT129/AT144,""),"")</f>
      </c>
      <c r="AU130" s="215">
        <f>IF(AND(ISNUMBER(AU129),ISNUMBER(AU144)),IFERROR(AU129/AU144,""),"")</f>
      </c>
      <c r="AV130" s="215">
        <f>IF(AND(ISNUMBER(AV129),ISNUMBER(AV144)),IFERROR(AV129/AV144,""),"")</f>
      </c>
      <c r="AW130" s="215">
        <f>IF(AND(ISNUMBER(AW129),ISNUMBER(AW144)),IFERROR(AW129/AW144,""),"")</f>
        <v>0.023343279870695</v>
      </c>
      <c r="AX130" s="215">
        <f>IF(AND(ISNUMBER(AX129),ISNUMBER(AX144)),IFERROR(AX129/AX144,""),"")</f>
      </c>
      <c r="AY130" s="215">
        <f>IF(AND(ISNUMBER(AY129),ISNUMBER(AY144)),IFERROR(AY129/AY144,""),"")</f>
      </c>
      <c r="AZ130" s="215">
        <f>IF(AND(ISNUMBER(AZ129),ISNUMBER(AZ144)),IFERROR(AZ129/AZ144,""),"")</f>
      </c>
      <c r="BA130" s="215">
        <f>IF(AND(ISNUMBER(BA129),ISNUMBER(BA144)),IFERROR(BA129/BA144,""),"")</f>
      </c>
      <c r="BB130" s="215">
        <f>IF(AND(ISNUMBER(BB129),ISNUMBER(BB144)),IFERROR(BB129/BB144,""),"")</f>
        <v>0.0242368386325034</v>
      </c>
      <c r="BC130" s="215">
        <f>IF(AND(ISNUMBER(BC129),ISNUMBER(BC144)),IFERROR(BC129/BC144,""),"")</f>
      </c>
      <c r="BD130" s="215">
        <f>IF(AND(ISNUMBER(BD129),ISNUMBER(BD144)),IFERROR(BD129/BD144,""),"")</f>
      </c>
      <c r="BE130" s="215">
        <f>IF(AND(ISNUMBER(BE129),ISNUMBER(BE144)),IFERROR(BE129/BE144,""),"")</f>
      </c>
      <c r="BF130" s="215">
        <f>IF(AND(ISNUMBER(BF129),ISNUMBER(BF144)),IFERROR(BF129/BF144,""),"")</f>
      </c>
      <c r="BG130" s="215">
        <f>IF(AND(ISNUMBER(BG129),ISNUMBER(BG144)),IFERROR(BG129/BG144,""),"")</f>
        <v>0.0330691871131925</v>
      </c>
      <c r="BH130" s="215">
        <f>IF(AND(ISNUMBER(BH129),ISNUMBER(BH144)),IFERROR(BH129/BH144,""),"")</f>
      </c>
      <c r="BI130" s="215">
        <f>IF(AND(ISNUMBER(BI129),ISNUMBER(BI144)),IFERROR(BI129/BI144,""),"")</f>
      </c>
      <c r="BJ130" s="215">
        <f>IF(AND(ISNUMBER(BJ129),ISNUMBER(BJ144)),IFERROR(BJ129/BJ144,""),"")</f>
      </c>
      <c r="BK130" s="215">
        <f>IF(AND(ISNUMBER(BK129),ISNUMBER(BK144)),IFERROR(BK129/BK144,""),"")</f>
      </c>
      <c r="BL130" s="215">
        <f>IF(AND(ISNUMBER(BL129),ISNUMBER(BL144)),IFERROR(BL129/BL144,""),"")</f>
        <v>0.0320780813695556</v>
      </c>
      <c r="BM130" s="215">
        <f>IF(AND(ISNUMBER(BM129),ISNUMBER(BM144)),IFERROR(BM129/BM144,""),"")</f>
        <v>0.0308276290357469</v>
      </c>
      <c r="BN130" s="215">
        <f>IF(AND(ISNUMBER(BN129),ISNUMBER(BN144)),IFERROR(BN129/BN144,""),"")</f>
        <v>0.0296938037668016</v>
      </c>
      <c r="BO130" s="215">
        <f>IF(AND(ISNUMBER(BO129),ISNUMBER(BO144)),IFERROR(BO129/BO144,""),"")</f>
        <v>0.0322639526174336</v>
      </c>
      <c r="BP130" s="215">
        <f>IF(AND(ISNUMBER(BP129),ISNUMBER(BP144)),IFERROR(BP129/BP144,""),"")</f>
        <v>0.0361570247933884</v>
      </c>
      <c r="BQ130" s="215">
        <f>IF(AND(ISNUMBER(BQ129),ISNUMBER(BQ144)),IFERROR(BQ129/BQ144,""),"")</f>
        <v>0.0324911162002574</v>
      </c>
      <c r="BR130" s="215">
        <f>IF(AND(ISNUMBER(BR129),ISNUMBER(BR144)),IFERROR(BR129/BR144,""),"")</f>
        <v>0.0334431832051752</v>
      </c>
      <c r="BS130" s="215">
        <f>IF(AND(ISNUMBER(BS129),ISNUMBER(BS144)),IFERROR(BS129/BS144,""),"")</f>
        <v>0.032563714207344</v>
      </c>
      <c r="BT130" s="215">
        <f>IF(AND(ISNUMBER(BT129),ISNUMBER(BT144)),IFERROR(BT129/BT144,""),"")</f>
        <v>0.0325860719657655</v>
      </c>
      <c r="BU130" s="215">
        <f>IF(AND(ISNUMBER(BU129),ISNUMBER(BU144)),IFERROR(BU129/BU144,""),"")</f>
        <v>0.0344821122285436</v>
      </c>
      <c r="BV130" s="215">
        <f>IF(AND(ISNUMBER(BV129),ISNUMBER(BV144)),IFERROR(BV129/BV144,""),"")</f>
        <v>0.0333312875562821</v>
      </c>
      <c r="BW130" s="215">
        <f>IF(AND(ISNUMBER(BW129),ISNUMBER(BW144)),IFERROR(BW129/BW144,""),"")</f>
        <v>0.0336658972338984</v>
      </c>
      <c r="BX130" s="215">
        <f>IF(AND(ISNUMBER(BX129),ISNUMBER(BX144)),IFERROR(BX129/BX144,""),"")</f>
        <v>0.0305025771911109</v>
      </c>
      <c r="BY130" s="256">
        <f>IFERROR((SUM(BW126:BX126)-SUM(BW127:BX127))/SUM(BW144:BX144),"")</f>
        <v>0.0320052338894341</v>
      </c>
      <c r="BZ130" s="256">
        <f>IFERROR((SUM(BW126:BX126)-SUM(BW127:BX127))/SUM(BW144:BX144),"")</f>
        <v>0.0320052338894341</v>
      </c>
      <c r="CA130" s="256">
        <f>IF(AND(ISNUMBER(CA129),ISNUMBER(CA144)),IFERROR(CA129/CA144,""),"")</f>
        <v>0.0320052338894341</v>
      </c>
      <c r="CB130" s="269" t="n">
        <v>0.032</v>
      </c>
      <c r="CC130" s="269" t="n">
        <v>0.032</v>
      </c>
      <c r="CD130" s="269" t="n">
        <v>0.032</v>
      </c>
      <c r="CE130" s="269" t="n">
        <v>0.032</v>
      </c>
      <c r="CF130" s="153" t="n"/>
      <c r="CH130" s="37">
        <f>IFERROR(AVERAGE(CA130,CB130,CC130,CD130,CE130),"n/m")</f>
        <v>0.0320010467778868</v>
      </c>
      <c r="CI130" s="37">
        <f>IFERROR(AVERAGE(BB130,BG130,BL130,BQ130,BV130),"n/m")</f>
        <v>0.0310413021743582</v>
      </c>
      <c r="CJ130" s="37">
        <f>IFERROR(AVERAGE(AC130,AH130,AM130,AR130,AW130,BB130,BG130,BL130,BQ130,BV130),"n/m")</f>
        <v>0.0243470678066865</v>
      </c>
      <c r="CK130" s="37">
        <f>IFERROR(AVERAGE(C130,D130,E130,F130,G130,H130,I130,N130,S130,X130,AC130,AH130,AM130,AR130,AW130,BB130,BG130,BL130,BQ130,BV130),"n/m")</f>
        <v>0.0224378864420931</v>
      </c>
    </row>
    <row r="131" ht="15" customHeight="1" s="251">
      <c r="B131" s="25" t="inlineStr">
        <is>
          <t xml:space="preserve">  Gross capital expenditures — Q3/Q4-26E point estimate (purchases of property and equipment)</t>
        </is>
      </c>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c r="AF131" s="36" t="n"/>
      <c r="AG131" s="36" t="n"/>
      <c r="AH131" s="36" t="n"/>
      <c r="AI131" s="36" t="n"/>
      <c r="AJ131" s="36" t="n"/>
      <c r="AK131" s="36" t="n"/>
      <c r="AL131" s="36" t="n"/>
      <c r="AM131" s="36" t="n"/>
      <c r="AN131" s="36" t="n"/>
      <c r="AO131" s="36" t="n"/>
      <c r="AP131" s="36" t="n"/>
      <c r="AQ131" s="36" t="n"/>
      <c r="AR131" s="36" t="n"/>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c r="BP131" s="36" t="n"/>
      <c r="BQ131" s="36" t="n"/>
      <c r="BR131" s="36" t="n"/>
      <c r="BS131" s="36" t="n"/>
      <c r="BT131" s="36" t="n"/>
      <c r="BU131" s="36" t="n"/>
      <c r="BV131" s="36" t="n"/>
      <c r="BW131" s="36" t="n"/>
      <c r="BX131" s="36" t="n"/>
      <c r="BY131" s="254">
        <f>$CP$17</f>
        <v>54208</v>
      </c>
      <c r="BZ131" s="254">
        <f>$CP$17</f>
        <v>54208</v>
      </c>
      <c r="CA131" s="24" t="n"/>
      <c r="CB131" s="46" t="n"/>
      <c r="CC131" s="46" t="n"/>
      <c r="CD131" s="46" t="n"/>
      <c r="CE131" s="46" t="n"/>
      <c r="CF131" s="19" t="inlineStr">
        <is>
          <t>Point estimate: Q2-26 run-rate ($54.2bn; 1H-26 $98.4bn). An unverified ~$200bn FY26 figure from the call is shown as an information row.</t>
        </is>
      </c>
    </row>
    <row r="132" ht="15" customHeight="1" s="251">
      <c r="B132" s="25" t="inlineStr">
        <is>
          <t xml:space="preserve">  Stock-based compensation (cash-flow statement)</t>
        </is>
      </c>
      <c r="C132" s="253" t="n">
        <v>101</v>
      </c>
      <c r="D132" s="253" t="n">
        <v>185</v>
      </c>
      <c r="E132" s="253" t="n">
        <v>275</v>
      </c>
      <c r="F132" s="253" t="n">
        <v>341</v>
      </c>
      <c r="G132" s="253" t="n">
        <v>424</v>
      </c>
      <c r="H132" s="253" t="n">
        <v>557</v>
      </c>
      <c r="I132" s="253" t="n">
        <v>833</v>
      </c>
      <c r="J132" s="253" t="n">
        <v>229</v>
      </c>
      <c r="K132" s="253" t="n">
        <v>298</v>
      </c>
      <c r="L132" s="253" t="n">
        <v>281</v>
      </c>
      <c r="M132" s="253" t="n">
        <v>326</v>
      </c>
      <c r="N132" s="253" t="n">
        <v>1134</v>
      </c>
      <c r="O132" s="253" t="n">
        <v>321</v>
      </c>
      <c r="P132" s="253" t="n">
        <v>391</v>
      </c>
      <c r="Q132" s="253" t="n">
        <v>377</v>
      </c>
      <c r="R132" s="253" t="n">
        <v>408</v>
      </c>
      <c r="S132" s="253" t="n">
        <v>1497</v>
      </c>
      <c r="T132" s="253" t="n">
        <v>407</v>
      </c>
      <c r="U132" s="253" t="n">
        <v>563</v>
      </c>
      <c r="V132" s="253" t="n">
        <v>544</v>
      </c>
      <c r="W132" s="253" t="n">
        <v>606</v>
      </c>
      <c r="X132" s="253" t="n">
        <v>2119</v>
      </c>
      <c r="Y132" s="253" t="n">
        <v>544</v>
      </c>
      <c r="Z132" s="253" t="n">
        <v>768</v>
      </c>
      <c r="AA132" s="253" t="n">
        <v>776</v>
      </c>
      <c r="AB132" s="253" t="n">
        <v>887</v>
      </c>
      <c r="AC132" s="253" t="n">
        <v>2975</v>
      </c>
      <c r="AD132" s="253" t="n">
        <v>792</v>
      </c>
      <c r="AE132" s="253" t="n">
        <v>1158</v>
      </c>
      <c r="AF132" s="253" t="n">
        <v>1085</v>
      </c>
      <c r="AG132" s="253" t="n">
        <v>1179</v>
      </c>
      <c r="AH132" s="253" t="n">
        <v>4215</v>
      </c>
      <c r="AI132" s="253" t="n">
        <v>1182</v>
      </c>
      <c r="AJ132" s="253" t="n">
        <v>1468</v>
      </c>
      <c r="AK132" s="253" t="n">
        <v>1350</v>
      </c>
      <c r="AL132" s="253" t="n">
        <v>1417</v>
      </c>
      <c r="AM132" s="253" t="n">
        <v>5418</v>
      </c>
      <c r="AN132" s="253" t="n">
        <v>1274</v>
      </c>
      <c r="AO132" s="253" t="n">
        <v>1971</v>
      </c>
      <c r="AP132" s="253" t="n">
        <v>1779</v>
      </c>
      <c r="AQ132" s="253" t="n">
        <v>1840</v>
      </c>
      <c r="AR132" s="253" t="n">
        <v>6864</v>
      </c>
      <c r="AS132" s="253" t="n">
        <v>1757</v>
      </c>
      <c r="AT132" s="253" t="n">
        <v>2601</v>
      </c>
      <c r="AU132" s="253" t="n">
        <v>2288</v>
      </c>
      <c r="AV132" s="253" t="n">
        <v>2562</v>
      </c>
      <c r="AW132" s="253" t="n">
        <v>9208</v>
      </c>
      <c r="AX132" s="253" t="n">
        <v>2306</v>
      </c>
      <c r="AY132" s="253" t="n">
        <v>3591</v>
      </c>
      <c r="AZ132" s="253" t="n">
        <v>3180</v>
      </c>
      <c r="BA132" s="253" t="n">
        <v>3680</v>
      </c>
      <c r="BB132" s="253" t="n">
        <v>12757</v>
      </c>
      <c r="BC132" s="253" t="n">
        <v>3250</v>
      </c>
      <c r="BD132" s="253" t="n">
        <v>5209</v>
      </c>
      <c r="BE132" s="253" t="n">
        <v>5556</v>
      </c>
      <c r="BF132" s="253" t="n">
        <v>5606</v>
      </c>
      <c r="BG132" s="253" t="n">
        <v>19621</v>
      </c>
      <c r="BH132" s="253" t="n">
        <v>4748</v>
      </c>
      <c r="BI132" s="253" t="n">
        <v>7127</v>
      </c>
      <c r="BJ132" s="253" t="n">
        <v>5829</v>
      </c>
      <c r="BK132" s="253" t="n">
        <v>6319</v>
      </c>
      <c r="BL132" s="253" t="n">
        <v>24023</v>
      </c>
      <c r="BM132" s="253" t="n">
        <v>4961</v>
      </c>
      <c r="BN132" s="253" t="n">
        <v>6722</v>
      </c>
      <c r="BO132" s="253" t="n">
        <v>5333</v>
      </c>
      <c r="BP132" s="253" t="n">
        <v>4995</v>
      </c>
      <c r="BQ132" s="253" t="n">
        <v>22011</v>
      </c>
      <c r="BR132" s="253" t="n">
        <v>3689</v>
      </c>
      <c r="BS132" s="253" t="n">
        <v>6534</v>
      </c>
      <c r="BT132" s="253" t="n">
        <v>4847</v>
      </c>
      <c r="BU132" s="253" t="n">
        <v>4397</v>
      </c>
      <c r="BV132" s="253" t="n">
        <v>19467</v>
      </c>
      <c r="BW132" s="253" t="n">
        <v>4032</v>
      </c>
      <c r="BX132" s="253" t="n">
        <v>6038</v>
      </c>
      <c r="BY132" s="254">
        <f>BT132*(1+IFERROR(SUM(BW132:BX132)/SUM(BR132:BS132)-1,0))</f>
        <v>4774.45857380417</v>
      </c>
      <c r="BZ132" s="254">
        <f>BU132*(1+IFERROR(SUM(BW132:BX132)/SUM(BR132:BS132)-1,0))</f>
        <v>4331.19338745965</v>
      </c>
      <c r="CA132" s="254">
        <f>SUM(BW132:BZ132)</f>
        <v>19175.6519612638</v>
      </c>
      <c r="CB132" s="254">
        <f>CB144*CB133</f>
        <v>24543.0045174748</v>
      </c>
      <c r="CC132" s="254">
        <f>CC144*CC133</f>
        <v>27805.0162622104</v>
      </c>
      <c r="CD132" s="254">
        <f>CD144*CD133</f>
        <v>31166.5029445806</v>
      </c>
      <c r="CE132" s="254">
        <f>CE144*CE133</f>
        <v>34585.7992304738</v>
      </c>
      <c r="CF132" s="19" t="inlineStr">
        <is>
          <t>Not adjusted out by Amazon (segment OI is after SBC from 2016). Q3/Q4-26E: prior-year quarter × 1H-26 y/y; 2027E+: % of net sales.</t>
        </is>
      </c>
      <c r="CH132" s="20">
        <f>IFERROR((CE132/BV132)^(1/5)-1,"n/m")</f>
        <v>0.121811163352754</v>
      </c>
      <c r="CI132" s="20">
        <f>IFERROR((BV132/AW132)^(1/5)-1,"n/m")</f>
        <v>0.161520137505644</v>
      </c>
      <c r="CJ132" s="20">
        <f>IFERROR((BV132/X132)^(1/10)-1,"n/m")</f>
        <v>0.248293782017517</v>
      </c>
      <c r="CK132" s="20">
        <f>IFERROR((BV132/C132)^(1/19)-1,"n/m")</f>
        <v>0.319052197714257</v>
      </c>
    </row>
    <row r="133" ht="15" customHeight="1" s="251">
      <c r="B133" s="25" t="inlineStr">
        <is>
          <t xml:space="preserve">  Stock-based compensation % of net sales</t>
        </is>
      </c>
      <c r="C133" s="215">
        <f>IF(AND(ISNUMBER(C132),ISNUMBER(C144)),IFERROR(C132/C144,""),"")</f>
        <v>0.00942955839790869</v>
      </c>
      <c r="D133" s="215">
        <f>IF(AND(ISNUMBER(D132),ISNUMBER(D144)),IFERROR(D132/D144,""),"")</f>
        <v>0.0124705089315807</v>
      </c>
      <c r="E133" s="215">
        <f>IF(AND(ISNUMBER(E132),ISNUMBER(E144)),IFERROR(E132/E144,""),"")</f>
        <v>0.014348325159136</v>
      </c>
      <c r="F133" s="215">
        <f>IF(AND(ISNUMBER(F132),ISNUMBER(F144)),IFERROR(F132/F144,""),"")</f>
        <v>0.0139132563548084</v>
      </c>
      <c r="G133" s="215">
        <f>IF(AND(ISNUMBER(G132),ISNUMBER(G144)),IFERROR(G132/G144,""),"")</f>
        <v>0.0123962109694773</v>
      </c>
      <c r="H133" s="215">
        <f>IF(AND(ISNUMBER(H132),ISNUMBER(H144)),IFERROR(H132/H144,""),"")</f>
        <v>0.0115855814630697</v>
      </c>
      <c r="I133" s="215">
        <f>IF(AND(ISNUMBER(I132),ISNUMBER(I144)),IFERROR(I132/I144,""),"")</f>
        <v>0.013634949994271</v>
      </c>
      <c r="J133" s="215">
        <f>IF(AND(ISNUMBER(J132),ISNUMBER(J144)),IFERROR(J132/J144,""),"")</f>
        <v>0.0142501555693839</v>
      </c>
      <c r="K133" s="215">
        <f>IF(AND(ISNUMBER(K132),ISNUMBER(K144)),IFERROR(K132/K144,""),"")</f>
        <v>0.0189760570555273</v>
      </c>
      <c r="L133" s="215">
        <f>IF(AND(ISNUMBER(L132),ISNUMBER(L144)),IFERROR(L132/L144,""),"")</f>
        <v>0.0164404399719167</v>
      </c>
      <c r="M133" s="215">
        <f>IF(AND(ISNUMBER(M132),ISNUMBER(M144)),IFERROR(M132/M144,""),"")</f>
        <v>0.0127408449603314</v>
      </c>
      <c r="N133" s="215">
        <f>IF(AND(ISNUMBER(N132),ISNUMBER(N144)),IFERROR(N132/N144,""),"")</f>
        <v>0.0152312899586311</v>
      </c>
      <c r="O133" s="215">
        <f>IF(AND(ISNUMBER(O132),ISNUMBER(O144)),IFERROR(O132/O144,""),"")</f>
        <v>0.0162605744389849</v>
      </c>
      <c r="P133" s="215">
        <f>IF(AND(ISNUMBER(P132),ISNUMBER(P144)),IFERROR(P132/P144,""),"")</f>
        <v>0.0202171664943123</v>
      </c>
      <c r="Q133" s="215">
        <f>IF(AND(ISNUMBER(Q132),ISNUMBER(Q144)),IFERROR(Q132/Q144,""),"")</f>
        <v>0.018319646241314</v>
      </c>
      <c r="R133" s="215">
        <f>IF(AND(ISNUMBER(R132),ISNUMBER(R144)),IFERROR(R132/R144,""),"")</f>
        <v>0.013911620294599</v>
      </c>
      <c r="S133" s="215">
        <f>IF(AND(ISNUMBER(S132),ISNUMBER(S144)),IFERROR(S132/S144,""),"")</f>
        <v>0.0168224929203938</v>
      </c>
      <c r="T133" s="215">
        <f>IF(AND(ISNUMBER(T132),ISNUMBER(T144)),IFERROR(T132/T144,""),"")</f>
        <v>0.0179160980763305</v>
      </c>
      <c r="U133" s="215">
        <f>IF(AND(ISNUMBER(U132),ISNUMBER(U144)),IFERROR(U132/U144,""),"")</f>
        <v>0.0242829415570412</v>
      </c>
      <c r="V133" s="215">
        <f>IF(AND(ISNUMBER(V132),ISNUMBER(V144)),IFERROR(V132/V144,""),"")</f>
        <v>0.0214527959618266</v>
      </c>
      <c r="W133" s="215">
        <f>IF(AND(ISNUMBER(W132),ISNUMBER(W144)),IFERROR(W132/W144,""),"")</f>
        <v>0.016952471536073</v>
      </c>
      <c r="X133" s="215">
        <f>IF(AND(ISNUMBER(X132),ISNUMBER(X144)),IFERROR(X132/X144,""),"")</f>
        <v>0.0198026278900249</v>
      </c>
      <c r="Y133" s="215">
        <f>IF(AND(ISNUMBER(Y132),ISNUMBER(Y144)),IFERROR(Y132/Y144,""),"")</f>
        <v>0.0186761878604779</v>
      </c>
      <c r="Z133" s="215">
        <f>IF(AND(ISNUMBER(Z132),ISNUMBER(Z144)),IFERROR(Z132/Z144,""),"")</f>
        <v>0.0252598342323379</v>
      </c>
      <c r="AA133" s="215">
        <f>IF(AND(ISNUMBER(AA132),ISNUMBER(AA144)),IFERROR(AA132/AA144,""),"")</f>
        <v>0.0237207311854252</v>
      </c>
      <c r="AB133" s="215">
        <f>IF(AND(ISNUMBER(AB132),ISNUMBER(AB144)),IFERROR(AB132/AB144,""),"")</f>
        <v>0.020278457282641</v>
      </c>
      <c r="AC133" s="215">
        <f>IF(AND(ISNUMBER(AC132),ISNUMBER(AC144)),IFERROR(AC132/AC144,""),"")</f>
        <v>0.0218770911925405</v>
      </c>
      <c r="AD133" s="215">
        <f>IF(AND(ISNUMBER(AD132),ISNUMBER(AD144)),IFERROR(AD132/AD144,""),"")</f>
        <v>0.0221761774094193</v>
      </c>
      <c r="AE133" s="215">
        <f>IF(AND(ISNUMBER(AE132),ISNUMBER(AE144)),IFERROR(AE132/AE144,""),"")</f>
        <v>0.0305098142537215</v>
      </c>
      <c r="AF133" s="215">
        <f>IF(AND(ISNUMBER(AF132),ISNUMBER(AF144)),IFERROR(AF132/AF144,""),"")</f>
        <v>0.0248034016093636</v>
      </c>
      <c r="AG133" s="215">
        <f>IF(AND(ISNUMBER(AG132),ISNUMBER(AG144)),IFERROR(AG132/AG144,""),"")</f>
        <v>0.0195027542057466</v>
      </c>
      <c r="AH133" s="215">
        <f>IF(AND(ISNUMBER(AH132),ISNUMBER(AH144)),IFERROR(AH132/AH144,""),"")</f>
        <v>0.0236976150585272</v>
      </c>
      <c r="AI133" s="215">
        <f>IF(AND(ISNUMBER(AI132),ISNUMBER(AI144)),IFERROR(AI132/AI144,""),"")</f>
        <v>0.0231573997884095</v>
      </c>
      <c r="AJ133" s="215">
        <f>IF(AND(ISNUMBER(AJ132),ISNUMBER(AJ144)),IFERROR(AJ132/AJ144,""),"")</f>
        <v>0.027757818704383</v>
      </c>
      <c r="AK133" s="215">
        <f>IF(AND(ISNUMBER(AK132),ISNUMBER(AK144)),IFERROR(AK132/AK144,""),"")</f>
        <v>0.0238617081447964</v>
      </c>
      <c r="AL133" s="215">
        <f>IF(AND(ISNUMBER(AL132),ISNUMBER(AL144)),IFERROR(AL132/AL144,""),"")</f>
        <v>0.0195764198775956</v>
      </c>
      <c r="AM133" s="215">
        <f>IF(AND(ISNUMBER(AM132),ISNUMBER(AM144)),IFERROR(AM132/AM144,""),"")</f>
        <v>0.023264501668191</v>
      </c>
      <c r="AN133" s="215">
        <f>IF(AND(ISNUMBER(AN132),ISNUMBER(AN144)),IFERROR(AN132/AN144,""),"")</f>
        <v>0.0213400335008375</v>
      </c>
      <c r="AO133" s="215">
        <f>IF(AND(ISNUMBER(AO132),ISNUMBER(AO144)),IFERROR(AO132/AO144,""),"")</f>
        <v>0.0310863667907388</v>
      </c>
      <c r="AP133" s="215">
        <f>IF(AND(ISNUMBER(AP132),ISNUMBER(AP144)),IFERROR(AP132/AP144,""),"")</f>
        <v>0.025421185750418</v>
      </c>
      <c r="AQ133" s="215">
        <f>IF(AND(ISNUMBER(AQ132),ISNUMBER(AQ144)),IFERROR(AQ132/AQ144,""),"")</f>
        <v>0.021043722909066</v>
      </c>
      <c r="AR133" s="215">
        <f>IF(AND(ISNUMBER(AR132),ISNUMBER(AR144)),IFERROR(AR132/AR144,""),"")</f>
        <v>0.0244686691239903</v>
      </c>
      <c r="AS133" s="215">
        <f>IF(AND(ISNUMBER(AS132),ISNUMBER(AS144)),IFERROR(AS132/AS144,""),"")</f>
        <v>0.0232863277315379</v>
      </c>
      <c r="AT133" s="215">
        <f>IF(AND(ISNUMBER(AT132),ISNUMBER(AT144)),IFERROR(AT132/AT144,""),"")</f>
        <v>0.0292536440525463</v>
      </c>
      <c r="AU133" s="215">
        <f>IF(AND(ISNUMBER(AU132),ISNUMBER(AU144)),IFERROR(AU132/AU144,""),"")</f>
        <v>0.0237973893598211</v>
      </c>
      <c r="AV133" s="215">
        <f>IF(AND(ISNUMBER(AV132),ISNUMBER(AV144)),IFERROR(AV132/AV144,""),"")</f>
        <v>0.0204054000238939</v>
      </c>
      <c r="AW133" s="215">
        <f>IF(AND(ISNUMBER(AW132),ISNUMBER(AW144)),IFERROR(AW132/AW144,""),"")</f>
        <v>0.0238509677151975</v>
      </c>
      <c r="AX133" s="215">
        <f>IF(AND(ISNUMBER(AX132),ISNUMBER(AX144)),IFERROR(AX132/AX144,""),"")</f>
        <v>0.0212499308870418</v>
      </c>
      <c r="AY133" s="215">
        <f>IF(AND(ISNUMBER(AY132),ISNUMBER(AY144)),IFERROR(AY132/AY144,""),"")</f>
        <v>0.0317562787407145</v>
      </c>
      <c r="AZ133" s="215">
        <f>IF(AND(ISNUMBER(AZ132),ISNUMBER(AZ144)),IFERROR(AZ132/AZ144,""),"")</f>
        <v>0.0286972530050897</v>
      </c>
      <c r="BA133" s="215">
        <f>IF(AND(ISNUMBER(BA132),ISNUMBER(BA144)),IFERROR(BA132/BA144,""),"")</f>
        <v>0.026780776060315</v>
      </c>
      <c r="BB133" s="215">
        <f>IF(AND(ISNUMBER(BB132),ISNUMBER(BB144)),IFERROR(BB132/BB144,""),"")</f>
        <v>0.0271528366062041</v>
      </c>
      <c r="BC133" s="215">
        <f>IF(AND(ISNUMBER(BC132),ISNUMBER(BC144)),IFERROR(BC132/BC144,""),"")</f>
        <v>0.027910411871801</v>
      </c>
      <c r="BD133" s="215">
        <f>IF(AND(ISNUMBER(BD132),ISNUMBER(BD144)),IFERROR(BD132/BD144,""),"")</f>
        <v>0.0429664945477341</v>
      </c>
      <c r="BE133" s="215">
        <f>IF(AND(ISNUMBER(BE132),ISNUMBER(BE144)),IFERROR(BE132/BE144,""),"")</f>
        <v>0.0437132674015153</v>
      </c>
      <c r="BF133" s="215">
        <f>IF(AND(ISNUMBER(BF132),ISNUMBER(BF144)),IFERROR(BF132/BF144,""),"")</f>
        <v>0.0375727192300475</v>
      </c>
      <c r="BG133" s="215">
        <f>IF(AND(ISNUMBER(BG132),ISNUMBER(BG144)),IFERROR(BG132/BG144,""),"")</f>
        <v>0.0381744143288786</v>
      </c>
      <c r="BH133" s="215">
        <f>IF(AND(ISNUMBER(BH132),ISNUMBER(BH144)),IFERROR(BH132/BH144,""),"")</f>
        <v>0.0372807361924653</v>
      </c>
      <c r="BI133" s="215">
        <f>IF(AND(ISNUMBER(BI132),ISNUMBER(BI144)),IFERROR(BI132/BI144,""),"")</f>
        <v>0.0530349821033911</v>
      </c>
      <c r="BJ133" s="215">
        <f>IF(AND(ISNUMBER(BJ132),ISNUMBER(BJ144)),IFERROR(BJ132/BJ144,""),"")</f>
        <v>0.0407385922855965</v>
      </c>
      <c r="BK133" s="215">
        <f>IF(AND(ISNUMBER(BK132),ISNUMBER(BK144)),IFERROR(BK132/BK144,""),"")</f>
        <v>0.0371791175622643</v>
      </c>
      <c r="BL133" s="215">
        <f>IF(AND(ISNUMBER(BL132),ISNUMBER(BL144)),IFERROR(BL132/BL144,""),"")</f>
        <v>0.0417947580399628</v>
      </c>
      <c r="BM133" s="215">
        <f>IF(AND(ISNUMBER(BM132),ISNUMBER(BM144)),IFERROR(BM132/BM144,""),"")</f>
        <v>0.0346165386252468</v>
      </c>
      <c r="BN133" s="215">
        <f>IF(AND(ISNUMBER(BN132),ISNUMBER(BN144)),IFERROR(BN132/BN144,""),"")</f>
        <v>0.0454259783615021</v>
      </c>
      <c r="BO133" s="215">
        <f>IF(AND(ISNUMBER(BO132),ISNUMBER(BO144)),IFERROR(BO132/BO144,""),"")</f>
        <v>0.0335668473095539</v>
      </c>
      <c r="BP133" s="215">
        <f>IF(AND(ISNUMBER(BP132),ISNUMBER(BP144)),IFERROR(BP132/BP144,""),"")</f>
        <v>0.0265985771491863</v>
      </c>
      <c r="BQ133" s="215">
        <f>IF(AND(ISNUMBER(BQ132),ISNUMBER(BQ144)),IFERROR(BQ132/BQ144,""),"")</f>
        <v>0.0345022172271259</v>
      </c>
      <c r="BR133" s="215">
        <f>IF(AND(ISNUMBER(BR132),ISNUMBER(BR144)),IFERROR(BR132/BR144,""),"")</f>
        <v>0.0236980220599099</v>
      </c>
      <c r="BS133" s="215">
        <f>IF(AND(ISNUMBER(BS132),ISNUMBER(BS144)),IFERROR(BS132/BS144,""),"")</f>
        <v>0.0389619682532111</v>
      </c>
      <c r="BT133" s="215">
        <f>IF(AND(ISNUMBER(BT132),ISNUMBER(BT144)),IFERROR(BT132/BT144,""),"")</f>
        <v>0.0269025193013226</v>
      </c>
      <c r="BU133" s="215">
        <f>IF(AND(ISNUMBER(BU132),ISNUMBER(BU144)),IFERROR(BU132/BU144,""),"")</f>
        <v>0.0206058504306749</v>
      </c>
      <c r="BV133" s="215">
        <f>IF(AND(ISNUMBER(BV132),ISNUMBER(BV144)),IFERROR(BV132/BV144,""),"")</f>
        <v>0.0271535058109367</v>
      </c>
      <c r="BW133" s="215">
        <f>IF(AND(ISNUMBER(BW132),ISNUMBER(BW144)),IFERROR(BW132/BW144,""),"")</f>
        <v>0.0222125507522628</v>
      </c>
      <c r="BX133" s="215">
        <f>IF(AND(ISNUMBER(BX132),ISNUMBER(BX144)),IFERROR(BX132/BX144,""),"")</f>
        <v>0.0300988006340787</v>
      </c>
      <c r="BY133" s="256">
        <f>IF(AND(ISNUMBER(BY132),ISNUMBER(BY144)),IFERROR(BY132/BY144,""),"")</f>
        <v>0.0239321231769632</v>
      </c>
      <c r="BZ133" s="256">
        <f>IF(AND(ISNUMBER(BZ132),ISNUMBER(BZ144)),IFERROR(BZ132/BZ144,""),"")</f>
        <v>0.0177582543856158</v>
      </c>
      <c r="CA133" s="256">
        <f>IF(AND(ISNUMBER(CA132),ISNUMBER(CA144)),IFERROR(CA132/CA144,""),"")</f>
        <v>0.0232285038445319</v>
      </c>
      <c r="CB133" s="269" t="n">
        <v>0.026</v>
      </c>
      <c r="CC133" s="269" t="n">
        <v>0.026</v>
      </c>
      <c r="CD133" s="269" t="n">
        <v>0.026</v>
      </c>
      <c r="CE133" s="269" t="n">
        <v>0.026</v>
      </c>
      <c r="CF133" s="153" t="n"/>
      <c r="CH133" s="37">
        <f>IFERROR(AVERAGE(CA133,CB133,CC133,CD133,CE133),"n/m")</f>
        <v>0.0254457007689064</v>
      </c>
      <c r="CI133" s="37">
        <f>IFERROR(AVERAGE(BB133,BG133,BL133,BQ133,BV133),"n/m")</f>
        <v>0.0337555464026216</v>
      </c>
      <c r="CJ133" s="37">
        <f>IFERROR(AVERAGE(AC133,AH133,AM133,AR133,AW133,BB133,BG133,BL133,BQ133,BV133),"n/m")</f>
        <v>0.0285936576771554</v>
      </c>
      <c r="CK133" s="37">
        <f>IFERROR(AVERAGE(C133,D133,E133,F133,G133,H133,I133,N133,S133,X133,AC133,AH133,AM133,AR133,AW133,BB133,BG133,BL133,BQ133,BV133),"n/m")</f>
        <v>0.0212785689405428</v>
      </c>
    </row>
    <row r="134" ht="15" customHeight="1" s="251">
      <c r="B134" s="25" t="inlineStr">
        <is>
          <t xml:space="preserve">  Fulfillment % of net sales</t>
        </is>
      </c>
      <c r="C134" s="215">
        <f>IF(AND(ISNUMBER(C149),ISNUMBER(C144)),IFERROR(C149/C144,""),"")</f>
        <v>0.0874801605825787</v>
      </c>
      <c r="D134" s="215">
        <f>IF(AND(ISNUMBER(D149),ISNUMBER(D144)),IFERROR(D149/D144,""),"")</f>
        <v>0.0870913380519043</v>
      </c>
      <c r="E134" s="215">
        <f>IF(AND(ISNUMBER(E149),ISNUMBER(E144)),IFERROR(E149/E144,""),"")</f>
        <v>0.0865073567776271</v>
      </c>
      <c r="F134" s="215">
        <f>IF(AND(ISNUMBER(F149),ISNUMBER(F144)),IFERROR(F149/F144,""),"")</f>
        <v>0.083724346158554</v>
      </c>
      <c r="G134" s="215">
        <f>IF(AND(ISNUMBER(G149),ISNUMBER(G144)),IFERROR(G149/G144,""),"")</f>
        <v>0.084726932522512</v>
      </c>
      <c r="H134" s="215">
        <f>IF(AND(ISNUMBER(H149),ISNUMBER(H144)),IFERROR(H149/H144,""),"")</f>
        <v>0.0951806477109637</v>
      </c>
      <c r="I134" s="215">
        <f>IF(AND(ISNUMBER(I149),ISNUMBER(I144)),IFERROR(I149/I144,""),"")</f>
        <v>0.105069320544089</v>
      </c>
      <c r="J134" s="215">
        <f>IF(AND(ISNUMBER(J149),ISNUMBER(J144)),IFERROR(J149/J144,""),"")</f>
        <v>0.11176104542626</v>
      </c>
      <c r="K134" s="215">
        <f>IF(AND(ISNUMBER(K149),ISNUMBER(K144)),IFERROR(K149/K144,""),"")</f>
        <v>0.116976566479878</v>
      </c>
      <c r="L134" s="215">
        <f>IF(AND(ISNUMBER(L149),ISNUMBER(L144)),IFERROR(L149/L144,""),"")</f>
        <v>0.119003042358998</v>
      </c>
      <c r="M134" s="215">
        <f>IF(AND(ISNUMBER(M149),ISNUMBER(M144)),IFERROR(M149/M144,""),"")</f>
        <v>0.114042287098917</v>
      </c>
      <c r="N134" s="215">
        <f>IF(AND(ISNUMBER(N149),ISNUMBER(N144)),IFERROR(N149/N144,""),"")</f>
        <v>0.115309192499866</v>
      </c>
      <c r="O134" s="215">
        <f>IF(AND(ISNUMBER(O149),ISNUMBER(O144)),IFERROR(O149/O144,""),"")</f>
        <v>0.117369940732486</v>
      </c>
      <c r="P134" s="215">
        <f>IF(AND(ISNUMBER(P149),ISNUMBER(P144)),IFERROR(P149/P144,""),"")</f>
        <v>0.123164426059979</v>
      </c>
      <c r="Q134" s="215">
        <f>IF(AND(ISNUMBER(Q149),ISNUMBER(Q144)),IFERROR(Q149/Q144,""),"")</f>
        <v>0.128431896593615</v>
      </c>
      <c r="R134" s="215">
        <f>IF(AND(ISNUMBER(R149),ISNUMBER(R144)),IFERROR(R149/R144,""),"")</f>
        <v>0.116748499727223</v>
      </c>
      <c r="S134" s="215">
        <f>IF(AND(ISNUMBER(S149),ISNUMBER(S144)),IFERROR(S149/S144,""),"")</f>
        <v>0.120982604396098</v>
      </c>
      <c r="T134" s="215">
        <f>IF(AND(ISNUMBER(T149),ISNUMBER(T144)),IFERROR(T149/T144,""),"")</f>
        <v>0.121450895804904</v>
      </c>
      <c r="U134" s="215">
        <f>IF(AND(ISNUMBER(U149),ISNUMBER(U144)),IFERROR(U149/U144,""),"")</f>
        <v>0.12404571921501</v>
      </c>
      <c r="V134" s="215">
        <f>IF(AND(ISNUMBER(V149),ISNUMBER(V144)),IFERROR(V149/V144,""),"")</f>
        <v>0.127375976023346</v>
      </c>
      <c r="W134" s="215">
        <f>IF(AND(ISNUMBER(W149),ISNUMBER(W144)),IFERROR(W149/W144,""),"")</f>
        <v>0.127171510896019</v>
      </c>
      <c r="X134" s="215">
        <f>IF(AND(ISNUMBER(X149),ISNUMBER(X144)),IFERROR(X149/X144,""),"")</f>
        <v>0.125320075509785</v>
      </c>
      <c r="Y134" s="215">
        <f>IF(AND(ISNUMBER(Y149),ISNUMBER(Y144)),IFERROR(Y149/Y144,""),"")</f>
        <v>0.126579236473496</v>
      </c>
      <c r="Z134" s="215">
        <f>IF(AND(ISNUMBER(Z149),ISNUMBER(Z144)),IFERROR(Z149/Z144,""),"")</f>
        <v>0.127549006709643</v>
      </c>
      <c r="AA134" s="215">
        <f>IF(AND(ISNUMBER(AA149),ISNUMBER(AA144)),IFERROR(AA149/AA144,""),"")</f>
        <v>0.132512074341261</v>
      </c>
      <c r="AB134" s="215">
        <f>IF(AND(ISNUMBER(AB149),ISNUMBER(AB144)),IFERROR(AB149/AB144,""),"")</f>
        <v>0.130746896504424</v>
      </c>
      <c r="AC134" s="215">
        <f>IF(AND(ISNUMBER(AC149),ISNUMBER(AC144)),IFERROR(AC149/AC144,""),"")</f>
        <v>0.129563855368528</v>
      </c>
      <c r="AD134" s="215">
        <f>IF(AND(ISNUMBER(AD149),ISNUMBER(AD144)),IFERROR(AD149/AD144,""),"")</f>
        <v>0.131517052136417</v>
      </c>
      <c r="AE134" s="215">
        <f>IF(AND(ISNUMBER(AE149),ISNUMBER(AE144)),IFERROR(AE149/AE144,""),"")</f>
        <v>0.135897773679357</v>
      </c>
      <c r="AF134" s="215">
        <f>IF(AND(ISNUMBER(AF149),ISNUMBER(AF144)),IFERROR(AF149/AF144,""),"")</f>
        <v>0.146762984637893</v>
      </c>
      <c r="AG134" s="215">
        <f>IF(AND(ISNUMBER(AG149),ISNUMBER(AG144)),IFERROR(AG149/AG144,""),"")</f>
        <v>0.148445900120755</v>
      </c>
      <c r="AH134" s="215">
        <f>IF(AND(ISNUMBER(AH149),ISNUMBER(AH144)),IFERROR(AH149/AH144,""),"")</f>
        <v>0.141955179742053</v>
      </c>
      <c r="AI134" s="215">
        <f>IF(AND(ISNUMBER(AI149),ISNUMBER(AI144)),IFERROR(AI149/AI144,""),"")</f>
        <v>0.152658594882646</v>
      </c>
      <c r="AJ134" s="215">
        <f>IF(AND(ISNUMBER(AJ149),ISNUMBER(AJ144)),IFERROR(AJ149/AJ144,""),"")</f>
        <v>0.149982982263737</v>
      </c>
      <c r="AK134" s="215">
        <f>IF(AND(ISNUMBER(AK149),ISNUMBER(AK144)),IFERROR(AK149/AK144,""),"")</f>
        <v>0.146263433257919</v>
      </c>
      <c r="AL134" s="215">
        <f>IF(AND(ISNUMBER(AL149),ISNUMBER(AL144)),IFERROR(AL149/AL144,""),"")</f>
        <v>0.138540817595292</v>
      </c>
      <c r="AM134" s="215">
        <f>IF(AND(ISNUMBER(AM149),ISNUMBER(AM144)),IFERROR(AM149/AM144,""),"")</f>
        <v>0.146109486575034</v>
      </c>
      <c r="AN134" s="215">
        <f>IF(AND(ISNUMBER(AN149),ISNUMBER(AN144)),IFERROR(AN149/AN144,""),"")</f>
        <v>0.144070351758794</v>
      </c>
      <c r="AO134" s="215">
        <f>IF(AND(ISNUMBER(AO149),ISNUMBER(AO144)),IFERROR(AO149/AO144,""),"")</f>
        <v>0.14622105860829</v>
      </c>
      <c r="AP134" s="215">
        <f>IF(AND(ISNUMBER(AP149),ISNUMBER(AP144)),IFERROR(AP149/AP144,""),"")</f>
        <v>0.145282290907532</v>
      </c>
      <c r="AQ134" s="215">
        <f>IF(AND(ISNUMBER(AQ149),ISNUMBER(AQ144)),IFERROR(AQ149/AQ144,""),"")</f>
        <v>0.13943753788442</v>
      </c>
      <c r="AR134" s="215">
        <f>IF(AND(ISNUMBER(AR149),ISNUMBER(AR144)),IFERROR(AR149/AR144,""),"")</f>
        <v>0.143418341520451</v>
      </c>
      <c r="AS134" s="215">
        <f>IF(AND(ISNUMBER(AS149),ISNUMBER(AS144)),IFERROR(AS149/AS144,""),"")</f>
        <v>0.152825637491385</v>
      </c>
      <c r="AT134" s="215">
        <f>IF(AND(ISNUMBER(AT149),ISNUMBER(AT144)),IFERROR(AT149/AT144,""),"")</f>
        <v>0.155277127946734</v>
      </c>
      <c r="AU134" s="215">
        <f>IF(AND(ISNUMBER(AU149),ISNUMBER(AU144)),IFERROR(AU149/AU144,""),"")</f>
        <v>0.152946071038536</v>
      </c>
      <c r="AV134" s="215">
        <f>IF(AND(ISNUMBER(AV149),ISNUMBER(AV144)),IFERROR(AV149/AV144,""),"")</f>
        <v>0.147138704153558</v>
      </c>
      <c r="AW134" s="215">
        <f>IF(AND(ISNUMBER(AW149),ISNUMBER(AW144)),IFERROR(AW149/AW144,""),"")</f>
        <v>0.151573314269137</v>
      </c>
      <c r="AX134" s="215">
        <f>IF(AND(ISNUMBER(AX149),ISNUMBER(AX144)),IFERROR(AX149/AX144,""),"")</f>
        <v>0.152324959914484</v>
      </c>
      <c r="AY134" s="215">
        <f>IF(AND(ISNUMBER(AY149),ISNUMBER(AY144)),IFERROR(AY149/AY144,""),"")</f>
        <v>0.155978068623983</v>
      </c>
      <c r="AZ134" s="215">
        <f>IF(AND(ISNUMBER(AZ149),ISNUMBER(AZ144)),IFERROR(AZ149/AZ144,""),"")</f>
        <v>0.166931379273003</v>
      </c>
      <c r="BA134" s="215">
        <f>IF(AND(ISNUMBER(BA149),ISNUMBER(BA144)),IFERROR(BA149/BA144,""),"")</f>
        <v>0.163340901813524</v>
      </c>
      <c r="BB134" s="215">
        <f>IF(AND(ISNUMBER(BB149),ISNUMBER(BB144)),IFERROR(BB149/BB144,""),"")</f>
        <v>0.159871185257395</v>
      </c>
      <c r="BC134" s="215">
        <f>IF(AND(ISNUMBER(BC149),ISNUMBER(BC144)),IFERROR(BC149/BC144,""),"")</f>
        <v>0.174083679708701</v>
      </c>
      <c r="BD134" s="215">
        <f>IF(AND(ISNUMBER(BD149),ISNUMBER(BD144)),IFERROR(BD149/BD144,""),"")</f>
        <v>0.16779121368593</v>
      </c>
      <c r="BE134" s="215">
        <f>IF(AND(ISNUMBER(BE149),ISNUMBER(BE144)),IFERROR(BE149/BE144,""),"")</f>
        <v>0.161942077560365</v>
      </c>
      <c r="BF134" s="215">
        <f>IF(AND(ISNUMBER(BF149),ISNUMBER(BF144)),IFERROR(BF149/BF144,""),"")</f>
        <v>0.154841693252192</v>
      </c>
      <c r="BG134" s="215">
        <f>IF(AND(ISNUMBER(BG149),ISNUMBER(BG144)),IFERROR(BG149/BG144,""),"")</f>
        <v>0.164011261072837</v>
      </c>
      <c r="BH134" s="215">
        <f>IF(AND(ISNUMBER(BH149),ISNUMBER(BH144)),IFERROR(BH149/BH144,""),"")</f>
        <v>0.164143595219774</v>
      </c>
      <c r="BI134" s="215">
        <f>IF(AND(ISNUMBER(BI149),ISNUMBER(BI144)),IFERROR(BI149/BI144,""),"")</f>
        <v>0.158539398584642</v>
      </c>
      <c r="BJ134" s="215">
        <f>IF(AND(ISNUMBER(BJ149),ISNUMBER(BJ144)),IFERROR(BJ149/BJ144,""),"")</f>
        <v>0.155951440772139</v>
      </c>
      <c r="BK134" s="215">
        <f>IF(AND(ISNUMBER(BK149),ISNUMBER(BK144)),IFERROR(BK149/BK144,""),"")</f>
        <v>0.153535222786404</v>
      </c>
      <c r="BL134" s="215">
        <f>IF(AND(ISNUMBER(BL149),ISNUMBER(BL144)),IFERROR(BL149/BL144,""),"")</f>
        <v>0.157657210957141</v>
      </c>
      <c r="BM134" s="215">
        <f>IF(AND(ISNUMBER(BM149),ISNUMBER(BM144)),IFERROR(BM149/BM144,""),"")</f>
        <v>0.155722090808231</v>
      </c>
      <c r="BN134" s="215">
        <f>IF(AND(ISNUMBER(BN149),ISNUMBER(BN144)),IFERROR(BN149/BN144,""),"")</f>
        <v>0.15925447873656</v>
      </c>
      <c r="BO134" s="215">
        <f>IF(AND(ISNUMBER(BO149),ISNUMBER(BO144)),IFERROR(BO149/BO144,""),"")</f>
        <v>0.155214411148247</v>
      </c>
      <c r="BP134" s="215">
        <f>IF(AND(ISNUMBER(BP149),ISNUMBER(BP144)),IFERROR(BP149/BP144,""),"")</f>
        <v>0.14889878163074</v>
      </c>
      <c r="BQ134" s="215">
        <f>IF(AND(ISNUMBER(BQ149),ISNUMBER(BQ144)),IFERROR(BQ149/BQ144,""),"")</f>
        <v>0.154406474397258</v>
      </c>
      <c r="BR134" s="215">
        <f>IF(AND(ISNUMBER(BR149),ISNUMBER(BR144)),IFERROR(BR149/BR144,""),"")</f>
        <v>0.157984672409695</v>
      </c>
      <c r="BS134" s="215">
        <f>IF(AND(ISNUMBER(BS149),ISNUMBER(BS144)),IFERROR(BS149/BS144,""),"")</f>
        <v>0.154893799716163</v>
      </c>
      <c r="BT134" s="215">
        <f>IF(AND(ISNUMBER(BT149),ISNUMBER(BT144)),IFERROR(BT149/BT144,""),"")</f>
        <v>0.153627982616321</v>
      </c>
      <c r="BU134" s="215">
        <f>IF(AND(ISNUMBER(BU149),ISNUMBER(BU144)),IFERROR(BU149/BU144,""),"")</f>
        <v>0.1444612111385</v>
      </c>
      <c r="BV134" s="215">
        <f>IF(AND(ISNUMBER(BV149),ISNUMBER(BV144)),IFERROR(BV149/BV144,""),"")</f>
        <v>0.152141649603026</v>
      </c>
      <c r="BW134" s="215">
        <f>IF(AND(ISNUMBER(BW149),ISNUMBER(BW144)),IFERROR(BW149/BW144,""),"")</f>
        <v>0.150336879334946</v>
      </c>
      <c r="BX134" s="215">
        <f>IF(AND(ISNUMBER(BX149),ISNUMBER(BX144)),IFERROR(BX149/BX144,""),"")</f>
        <v>0.147717416228827</v>
      </c>
      <c r="BY134" s="256">
        <f>BT134+IFERROR(SUM(BW149:BX149)/SUM(BW144:BX144)-SUM(BR149:BS149)/SUM(BR144:BS144),0)</f>
        <v>0.146207991082209</v>
      </c>
      <c r="BZ134" s="256">
        <f>BU134+IFERROR(SUM(BW149:BX149)/SUM(BW144:BX144)-SUM(BR149:BS149)/SUM(BR144:BS144),0)</f>
        <v>0.137041219604387</v>
      </c>
      <c r="CA134" s="256">
        <f>IF(AND(ISNUMBER(CA149),ISNUMBER(CA144)),IFERROR(CA149/CA144,""),"")</f>
        <v>0.144774376567998</v>
      </c>
      <c r="CB134" s="269" t="n">
        <v>0.145</v>
      </c>
      <c r="CC134" s="269" t="n">
        <v>0.145</v>
      </c>
      <c r="CD134" s="269" t="n">
        <v>0.145</v>
      </c>
      <c r="CE134" s="269" t="n">
        <v>0.145</v>
      </c>
      <c r="CF134" s="153" t="inlineStr">
        <is>
          <t>Q3/Q4-26E: prior-year quarter ratio + 1H-26 y/y drift; 2027E+ input. Cost of sales is the balancing line to the operating income from the segment build.</t>
        </is>
      </c>
      <c r="CH134" s="37">
        <f>IFERROR(AVERAGE(CA134,CB134,CC134,CD134,CE134),"n/m")</f>
        <v>0.1449548753136</v>
      </c>
      <c r="CI134" s="37">
        <f>IFERROR(AVERAGE(BB134,BG134,BL134,BQ134,BV134),"n/m")</f>
        <v>0.157617556257531</v>
      </c>
      <c r="CJ134" s="37">
        <f>IFERROR(AVERAGE(AC134,AH134,AM134,AR134,AW134,BB134,BG134,BL134,BQ134,BV134),"n/m")</f>
        <v>0.150070795876286</v>
      </c>
      <c r="CK134" s="37">
        <f>IFERROR(AVERAGE(C134,D134,E134,F134,G134,H134,I134,N134,S134,X134,AC134,AH134,AM134,AR134,AW134,BB134,BG134,BL134,BQ134,BV134),"n/m")</f>
        <v>0.124604996675842</v>
      </c>
    </row>
    <row r="135" ht="15" customHeight="1" s="251">
      <c r="B135" s="25" t="inlineStr">
        <is>
          <t xml:space="preserve">  Technology and infrastructure (technology and content to 2021) % of net sales</t>
        </is>
      </c>
      <c r="C135" s="215">
        <f>IF(AND(ISNUMBER(C150),ISNUMBER(C144)),IFERROR(C150/C144,""),"")</f>
        <v>0.061805620390253</v>
      </c>
      <c r="D135" s="215">
        <f>IF(AND(ISNUMBER(D150),ISNUMBER(D144)),IFERROR(D150/D144,""),"")</f>
        <v>0.0551398719245029</v>
      </c>
      <c r="E135" s="215">
        <f>IF(AND(ISNUMBER(E150),ISNUMBER(E144)),IFERROR(E150/E144,""),"")</f>
        <v>0.0538975268704998</v>
      </c>
      <c r="F135" s="215">
        <f>IF(AND(ISNUMBER(F150),ISNUMBER(F144)),IFERROR(F150/F144,""),"")</f>
        <v>0.0505936594720307</v>
      </c>
      <c r="G135" s="215">
        <f>IF(AND(ISNUMBER(G150),ISNUMBER(G144)),IFERROR(G150/G144,""),"")</f>
        <v>0.0506958250497018</v>
      </c>
      <c r="H135" s="215">
        <f>IF(AND(ISNUMBER(H150),ISNUMBER(H144)),IFERROR(H150/H144,""),"")</f>
        <v>0.0605071031886349</v>
      </c>
      <c r="I135" s="215">
        <f>IF(AND(ISNUMBER(I150),ISNUMBER(I144)),IFERROR(I150/I144,""),"")</f>
        <v>0.0747057764391993</v>
      </c>
      <c r="J135" s="215">
        <f>IF(AND(ISNUMBER(J150),ISNUMBER(J144)),IFERROR(J150/J144,""),"")</f>
        <v>0.0860609831985065</v>
      </c>
      <c r="K135" s="215">
        <f>IF(AND(ISNUMBER(K150),ISNUMBER(K144)),IFERROR(K150/K144,""),"")</f>
        <v>0.100993377483444</v>
      </c>
      <c r="L135" s="215">
        <f>IF(AND(ISNUMBER(L150),ISNUMBER(L144)),IFERROR(L150/L144,""),"")</f>
        <v>0.101450971214603</v>
      </c>
      <c r="M135" s="215">
        <f>IF(AND(ISNUMBER(M150),ISNUMBER(M144)),IFERROR(M150/M144,""),"")</f>
        <v>0.0727713291906046</v>
      </c>
      <c r="N135" s="215">
        <f>IF(AND(ISNUMBER(N150),ISNUMBER(N144)),IFERROR(N150/N144,""),"")</f>
        <v>0.0881776177940149</v>
      </c>
      <c r="O135" s="215">
        <f>IF(AND(ISNUMBER(O150),ISNUMBER(O144)),IFERROR(O150/O144,""),"")</f>
        <v>0.100856086317816</v>
      </c>
      <c r="P135" s="215">
        <f>IF(AND(ISNUMBER(P150),ISNUMBER(P144)),IFERROR(P150/P144,""),"")</f>
        <v>0.115098241985522</v>
      </c>
      <c r="Q135" s="215">
        <f>IF(AND(ISNUMBER(Q150),ISNUMBER(Q144)),IFERROR(Q150/Q144,""),"")</f>
        <v>0.117741386850673</v>
      </c>
      <c r="R135" s="215">
        <f>IF(AND(ISNUMBER(R150),ISNUMBER(R144)),IFERROR(R150/R144,""),"")</f>
        <v>0.0898458810692853</v>
      </c>
      <c r="S135" s="215">
        <f>IF(AND(ISNUMBER(S150),ISNUMBER(S144)),IFERROR(S150/S144,""),"")</f>
        <v>0.104227536297029</v>
      </c>
      <c r="T135" s="215">
        <f>IF(AND(ISNUMBER(T150),ISNUMBER(T144)),IFERROR(T150/T144,""),"")</f>
        <v>0.121230796319937</v>
      </c>
      <c r="U135" s="215">
        <f>IF(AND(ISNUMBER(U150),ISNUMBER(U144)),IFERROR(U150/U144,""),"")</f>
        <v>0.130256631442743</v>
      </c>
      <c r="V135" s="215">
        <f>IF(AND(ISNUMBER(V150),ISNUMBER(V144)),IFERROR(V150/V144,""),"")</f>
        <v>0.126074611562426</v>
      </c>
      <c r="W135" s="215">
        <f>IF(AND(ISNUMBER(W150),ISNUMBER(W144)),IFERROR(W150/W144,""),"")</f>
        <v>0.0998964948107534</v>
      </c>
      <c r="X135" s="215">
        <f>IF(AND(ISNUMBER(X150),ISNUMBER(X144)),IFERROR(X150/X144,""),"")</f>
        <v>0.11718969029774</v>
      </c>
      <c r="Y135" s="215">
        <f>IF(AND(ISNUMBER(Y150),ISNUMBER(Y144)),IFERROR(Y150/Y144,""),"")</f>
        <v>0.121051908816259</v>
      </c>
      <c r="Z135" s="215">
        <f>IF(AND(ISNUMBER(Z150),ISNUMBER(Z144)),IFERROR(Z150/Z144,""),"")</f>
        <v>0.127614787527957</v>
      </c>
      <c r="AA135" s="215">
        <f>IF(AND(ISNUMBER(AA150),ISNUMBER(AA144)),IFERROR(AA150/AA144,""),"")</f>
        <v>0.126398483829553</v>
      </c>
      <c r="AB135" s="215">
        <f>IF(AND(ISNUMBER(AB150),ISNUMBER(AB144)),IFERROR(AB150/AB144,""),"")</f>
        <v>0.103907089458403</v>
      </c>
      <c r="AC135" s="215">
        <f>IF(AND(ISNUMBER(AC150),ISNUMBER(AC144)),IFERROR(AC150/AC144,""),"")</f>
        <v>0.118283365321685</v>
      </c>
      <c r="AD135" s="215">
        <f>IF(AND(ISNUMBER(AD150),ISNUMBER(AD144)),IFERROR(AD150/AD144,""),"")</f>
        <v>0.134765078120625</v>
      </c>
      <c r="AE135" s="215">
        <f>IF(AND(ISNUMBER(AE150),ISNUMBER(AE144)),IFERROR(AE150/AE144,""),"")</f>
        <v>0.146199446713213</v>
      </c>
      <c r="AF135" s="215">
        <f>IF(AND(ISNUMBER(AF150),ISNUMBER(AF144)),IFERROR(AF150/AF144,""),"")</f>
        <v>0.135881492318947</v>
      </c>
      <c r="AG135" s="215">
        <f>IF(AND(ISNUMBER(AG150),ISNUMBER(AG144)),IFERROR(AG150/AG144,""),"")</f>
        <v>0.10444477527997</v>
      </c>
      <c r="AH135" s="215">
        <f>IF(AND(ISNUMBER(AH150),ISNUMBER(AH144)),IFERROR(AH150/AH144,""),"")</f>
        <v>0.127174389709107</v>
      </c>
      <c r="AI135" s="215">
        <f>IF(AND(ISNUMBER(AI150),ISNUMBER(AI144)),IFERROR(AI150/AI144,""),"")</f>
        <v>0.132420359703773</v>
      </c>
      <c r="AJ135" s="215">
        <f>IF(AND(ISNUMBER(AJ150),ISNUMBER(AJ144)),IFERROR(AJ150/AJ144,""),"")</f>
        <v>0.137030594108082</v>
      </c>
      <c r="AK135" s="215">
        <f>IF(AND(ISNUMBER(AK150),ISNUMBER(AK144)),IFERROR(AK150/AK144,""),"")</f>
        <v>0.126590780542986</v>
      </c>
      <c r="AL135" s="215">
        <f>IF(AND(ISNUMBER(AL150),ISNUMBER(AL144)),IFERROR(AL150/AL144,""),"")</f>
        <v>0.105950292195681</v>
      </c>
      <c r="AM135" s="215">
        <f>IF(AND(ISNUMBER(AM150),ISNUMBER(AM144)),IFERROR(AM150/AM144,""),"")</f>
        <v>0.12382400048092</v>
      </c>
      <c r="AN135" s="215">
        <f>IF(AND(ISNUMBER(AN150),ISNUMBER(AN144)),IFERROR(AN150/AN144,""),"")</f>
        <v>0.132780569514238</v>
      </c>
      <c r="AO135" s="215">
        <f>IF(AND(ISNUMBER(AO150),ISNUMBER(AO144)),IFERROR(AO150/AO144,""),"")</f>
        <v>0.142972052236452</v>
      </c>
      <c r="AP135" s="215">
        <f>IF(AND(ISNUMBER(AP150),ISNUMBER(AP144)),IFERROR(AP150/AP144,""),"")</f>
        <v>0.131464254583387</v>
      </c>
      <c r="AQ135" s="215">
        <f>IF(AND(ISNUMBER(AQ150),ISNUMBER(AQ144)),IFERROR(AQ150/AQ144,""),"")</f>
        <v>0.111394489746903</v>
      </c>
      <c r="AR135" s="215">
        <f>IF(AND(ISNUMBER(AR150),ISNUMBER(AR144)),IFERROR(AR150/AR144,""),"")</f>
        <v>0.128086210707182</v>
      </c>
      <c r="AS135" s="215">
        <f>IF(AND(ISNUMBER(AS150),ISNUMBER(AS144)),IFERROR(AS150/AS144,""),"")</f>
        <v>0.123588506600223</v>
      </c>
      <c r="AT135" s="215">
        <f>IF(AND(ISNUMBER(AT150),ISNUMBER(AT144)),IFERROR(AT150/AT144,""),"")</f>
        <v>0.116834622998021</v>
      </c>
      <c r="AU135" s="215">
        <f>IF(AND(ISNUMBER(AU150),ISNUMBER(AU144)),IFERROR(AU150/AU144,""),"")</f>
        <v>0.114160902803058</v>
      </c>
      <c r="AV135" s="215">
        <f>IF(AND(ISNUMBER(AV150),ISNUMBER(AV144)),IFERROR(AV150/AV144,""),"")</f>
        <v>0.0959659113535901</v>
      </c>
      <c r="AW135" s="215">
        <f>IF(AND(ISNUMBER(AW150),ISNUMBER(AW144)),IFERROR(AW150/AW144,""),"")</f>
        <v>0.110707033030793</v>
      </c>
      <c r="AX135" s="215">
        <f>IF(AND(ISNUMBER(AX150),ISNUMBER(AX144)),IFERROR(AX150/AX144,""),"")</f>
        <v>0.115077682965038</v>
      </c>
      <c r="AY135" s="215">
        <f>IF(AND(ISNUMBER(AY150),ISNUMBER(AY144)),IFERROR(AY150/AY144,""),"")</f>
        <v>0.122665369649805</v>
      </c>
      <c r="AZ135" s="215">
        <f>IF(AND(ISNUMBER(AZ150),ISNUMBER(AZ144)),IFERROR(AZ150/AZ144,""),"")</f>
        <v>0.129769339060752</v>
      </c>
      <c r="BA135" s="215">
        <f>IF(AND(ISNUMBER(BA150),ISNUMBER(BA144)),IFERROR(BA150/BA144,""),"")</f>
        <v>0.111438593427066</v>
      </c>
      <c r="BB135" s="215">
        <f>IF(AND(ISNUMBER(BB150),ISNUMBER(BB144)),IFERROR(BB150/BB144,""),"")</f>
        <v>0.119304757972168</v>
      </c>
      <c r="BC135" s="215">
        <f>IF(AND(ISNUMBER(BC150),ISNUMBER(BC144)),IFERROR(BC150/BC144,""),"")</f>
        <v>0.127460410154237</v>
      </c>
      <c r="BD135" s="215">
        <f>IF(AND(ISNUMBER(BD150),ISNUMBER(BD144)),IFERROR(BD150/BD144,""),"")</f>
        <v>0.149067093389643</v>
      </c>
      <c r="BE135" s="215">
        <f>IF(AND(ISNUMBER(BE150),ISNUMBER(BE144)),IFERROR(BE150/BE144,""),"")</f>
        <v>0.153303278495055</v>
      </c>
      <c r="BF135" s="215">
        <f>IF(AND(ISNUMBER(BF150),ISNUMBER(BF144)),IFERROR(BF150/BF144,""),"")</f>
        <v>0.139500281493794</v>
      </c>
      <c r="BG135" s="215">
        <f>IF(AND(ISNUMBER(BG150),ISNUMBER(BG144)),IFERROR(BG150/BG144,""),"")</f>
        <v>0.142442454322419</v>
      </c>
      <c r="BH135" s="215">
        <f>IF(AND(ISNUMBER(BH150),ISNUMBER(BH144)),IFERROR(BH150/BH144,""),"")</f>
        <v>0.160570988866031</v>
      </c>
      <c r="BI135" s="215">
        <f>IF(AND(ISNUMBER(BI150),ISNUMBER(BI144)),IFERROR(BI150/BI144,""),"")</f>
        <v>0.16319772590283</v>
      </c>
      <c r="BJ135" s="215">
        <f>IF(AND(ISNUMBER(BJ150),ISNUMBER(BJ144)),IFERROR(BJ150/BJ144,""),"")</f>
        <v>0.148186716800738</v>
      </c>
      <c r="BK135" s="215">
        <f>IF(AND(ISNUMBER(BK150),ISNUMBER(BK144)),IFERROR(BK150/BK144,""),"")</f>
        <v>0.129665040803478</v>
      </c>
      <c r="BL135" s="215">
        <f>IF(AND(ISNUMBER(BL150),ISNUMBER(BL144)),IFERROR(BL150/BL144,""),"")</f>
        <v>0.148963525492141</v>
      </c>
      <c r="BM135" s="215">
        <f>IF(AND(ISNUMBER(BM150),ISNUMBER(BM144)),IFERROR(BM150/BM144,""),"")</f>
        <v>0.142513240250361</v>
      </c>
      <c r="BN135" s="215">
        <f>IF(AND(ISNUMBER(BN150),ISNUMBER(BN144)),IFERROR(BN150/BN144,""),"")</f>
        <v>0.150726126357474</v>
      </c>
      <c r="BO135" s="215">
        <f>IF(AND(ISNUMBER(BO150),ISNUMBER(BO144)),IFERROR(BO150/BO144,""),"")</f>
        <v>0.14001397307351</v>
      </c>
      <c r="BP135" s="215">
        <f>IF(AND(ISNUMBER(BP150),ISNUMBER(BP144)),IFERROR(BP150/BP144,""),"")</f>
        <v>0.12551652892562</v>
      </c>
      <c r="BQ135" s="215">
        <f>IF(AND(ISNUMBER(BQ150),ISNUMBER(BQ144)),IFERROR(BQ150/BQ144,""),"")</f>
        <v>0.138792618334407</v>
      </c>
      <c r="BR135" s="215">
        <f>IF(AND(ISNUMBER(BR150),ISNUMBER(BR144)),IFERROR(BR150/BR144,""),"")</f>
        <v>0.147712745797118</v>
      </c>
      <c r="BS135" s="215">
        <f>IF(AND(ISNUMBER(BS150),ISNUMBER(BS144)),IFERROR(BS150/BS144,""),"")</f>
        <v>0.161989719860228</v>
      </c>
      <c r="BT135" s="215">
        <f>IF(AND(ISNUMBER(BT150),ISNUMBER(BT144)),IFERROR(BT150/BT144,""),"")</f>
        <v>0.160749074480072</v>
      </c>
      <c r="BU135" s="215">
        <f>IF(AND(ISNUMBER(BU150),ISNUMBER(BU144)),IFERROR(BU150/BU144,""),"")</f>
        <v>0.137773799593225</v>
      </c>
      <c r="BV135" s="215">
        <f>IF(AND(ISNUMBER(BV150),ISNUMBER(BV144)),IFERROR(BV150/BV144,""),"")</f>
        <v>0.151370298664852</v>
      </c>
      <c r="BW135" s="215">
        <f>IF(AND(ISNUMBER(BW150),ISNUMBER(BW144)),IFERROR(BW150/BW144,""),"")</f>
        <v>0.162886529784761</v>
      </c>
      <c r="BX135" s="215">
        <f>IF(AND(ISNUMBER(BX150),ISNUMBER(BX144)),IFERROR(BX150/BX144,""),"")</f>
        <v>0.165289173803376</v>
      </c>
      <c r="BY135" s="256">
        <f>BT135+IFERROR(SUM(BW150:BX150)/SUM(BW144:BX144)-SUM(BR150:BS150)/SUM(BR144:BS144),0)</f>
        <v>0.169780022072406</v>
      </c>
      <c r="BZ135" s="256">
        <f>BU135+IFERROR(SUM(BW150:BX150)/SUM(BW144:BX144)-SUM(BR150:BS150)/SUM(BR144:BS144),0)</f>
        <v>0.14680474718556</v>
      </c>
      <c r="CA135" s="256">
        <f>IF(AND(ISNUMBER(CA150),ISNUMBER(CA144)),IFERROR(CA150/CA144,""),"")</f>
        <v>0.160384999298142</v>
      </c>
      <c r="CB135" s="269" t="n">
        <v>0.17</v>
      </c>
      <c r="CC135" s="269" t="n">
        <v>0.172</v>
      </c>
      <c r="CD135" s="269" t="n">
        <v>0.172</v>
      </c>
      <c r="CE135" s="269" t="n">
        <v>0.172</v>
      </c>
      <c r="CF135" s="153" t="n"/>
      <c r="CH135" s="37">
        <f>IFERROR(AVERAGE(CA135,CB135,CC135,CD135,CE135),"n/m")</f>
        <v>0.169276999859628</v>
      </c>
      <c r="CI135" s="37">
        <f>IFERROR(AVERAGE(BB135,BG135,BL135,BQ135,BV135),"n/m")</f>
        <v>0.140174730957197</v>
      </c>
      <c r="CJ135" s="37">
        <f>IFERROR(AVERAGE(AC135,AH135,AM135,AR135,AW135,BB135,BG135,BL135,BQ135,BV135),"n/m")</f>
        <v>0.130894865403567</v>
      </c>
      <c r="CK135" s="37">
        <f>IFERROR(AVERAGE(C135,D135,E135,F135,G135,H135,I135,N135,S135,X135,AC135,AH135,AM135,AR135,AW135,BB135,BG135,BL135,BQ135,BV135),"n/m")</f>
        <v>0.101294444087964</v>
      </c>
    </row>
    <row r="136" ht="15" customHeight="1" s="251">
      <c r="B136" s="25" t="inlineStr">
        <is>
          <t xml:space="preserve">  Sales and marketing (marketing to 2021) % of net sales</t>
        </is>
      </c>
      <c r="C136" s="215">
        <f>IF(AND(ISNUMBER(C151),ISNUMBER(C144)),IFERROR(C151/C144,""),"")</f>
        <v>0.0245541966202969</v>
      </c>
      <c r="D136" s="215">
        <f>IF(AND(ISNUMBER(D151),ISNUMBER(D144)),IFERROR(D151/D144,""),"")</f>
        <v>0.0231884057971015</v>
      </c>
      <c r="E136" s="215">
        <f>IF(AND(ISNUMBER(E151),ISNUMBER(E144)),IFERROR(E151/E144,""),"")</f>
        <v>0.0251487008243765</v>
      </c>
      <c r="F136" s="215">
        <f>IF(AND(ISNUMBER(F151),ISNUMBER(F144)),IFERROR(F151/F144,""),"")</f>
        <v>0.0277449100330491</v>
      </c>
      <c r="G136" s="215">
        <f>IF(AND(ISNUMBER(G151),ISNUMBER(G144)),IFERROR(G151/G144,""),"")</f>
        <v>0.0300842006782832</v>
      </c>
      <c r="H136" s="215">
        <f>IF(AND(ISNUMBER(H151),ISNUMBER(H144)),IFERROR(H151/H144,""),"")</f>
        <v>0.0339039457536868</v>
      </c>
      <c r="I136" s="215">
        <f>IF(AND(ISNUMBER(I151),ISNUMBER(I144)),IFERROR(I151/I144,""),"")</f>
        <v>0.0394153176304978</v>
      </c>
      <c r="J136" s="215">
        <f>IF(AND(ISNUMBER(J151),ISNUMBER(J144)),IFERROR(J151/J144,""),"")</f>
        <v>0.0393279402613566</v>
      </c>
      <c r="K136" s="215">
        <f>IF(AND(ISNUMBER(K151),ISNUMBER(K144)),IFERROR(K151/K144,""),"")</f>
        <v>0.0429826795720835</v>
      </c>
      <c r="L136" s="215">
        <f>IF(AND(ISNUMBER(L151),ISNUMBER(L144)),IFERROR(L151/L144,""),"")</f>
        <v>0.0406037912473672</v>
      </c>
      <c r="M136" s="215">
        <f>IF(AND(ISNUMBER(M151),ISNUMBER(M144)),IFERROR(M151/M144,""),"")</f>
        <v>0.0442802985891273</v>
      </c>
      <c r="N136" s="215">
        <f>IF(AND(ISNUMBER(N151),ISNUMBER(N144)),IFERROR(N151/N144,""),"")</f>
        <v>0.042080803739322</v>
      </c>
      <c r="O136" s="215">
        <f>IF(AND(ISNUMBER(O151),ISNUMBER(O144)),IFERROR(O151/O144,""),"")</f>
        <v>0.0440707157692113</v>
      </c>
      <c r="P136" s="215">
        <f>IF(AND(ISNUMBER(P151),ISNUMBER(P144)),IFERROR(P151/P144,""),"")</f>
        <v>0.0487590486039297</v>
      </c>
      <c r="Q136" s="215">
        <f>IF(AND(ISNUMBER(Q151),ISNUMBER(Q144)),IFERROR(Q151/Q144,""),"")</f>
        <v>0.0482530735215511</v>
      </c>
      <c r="R136" s="215">
        <f>IF(AND(ISNUMBER(R151),ISNUMBER(R144)),IFERROR(R151/R144,""),"")</f>
        <v>0.0520321876704855</v>
      </c>
      <c r="S136" s="215">
        <f>IF(AND(ISNUMBER(S151),ISNUMBER(S144)),IFERROR(S151/S144,""),"")</f>
        <v>0.0486807209960894</v>
      </c>
      <c r="T136" s="215">
        <f>IF(AND(ISNUMBER(T151),ISNUMBER(T144)),IFERROR(T151/T144,""),"")</f>
        <v>0.0476735484438966</v>
      </c>
      <c r="U136" s="215">
        <f>IF(AND(ISNUMBER(U151),ISNUMBER(U144)),IFERROR(U151/U144,""),"")</f>
        <v>0.049601035152038</v>
      </c>
      <c r="V136" s="215">
        <f>IF(AND(ISNUMBER(V151),ISNUMBER(V144)),IFERROR(V151/V144,""),"")</f>
        <v>0.0498462023818913</v>
      </c>
      <c r="W136" s="215">
        <f>IF(AND(ISNUMBER(W151),ISNUMBER(W144)),IFERROR(W151/W144,""),"")</f>
        <v>0.0490950289534786</v>
      </c>
      <c r="X136" s="215">
        <f>IF(AND(ISNUMBER(X151),ISNUMBER(X144)),IFERROR(X151/X144,""),"")</f>
        <v>0.0491000504644599</v>
      </c>
      <c r="Y136" s="215">
        <f>IF(AND(ISNUMBER(Y151),ISNUMBER(Y144)),IFERROR(Y151/Y144,""),"")</f>
        <v>0.0492996429552321</v>
      </c>
      <c r="Z136" s="215">
        <f>IF(AND(ISNUMBER(Z151),ISNUMBER(Z144)),IFERROR(Z151/Z144,""),"")</f>
        <v>0.0508485725562426</v>
      </c>
      <c r="AA136" s="215">
        <f>IF(AND(ISNUMBER(AA151),ISNUMBER(AA144)),IFERROR(AA151/AA144,""),"")</f>
        <v>0.0531271015467384</v>
      </c>
      <c r="AB136" s="215">
        <f>IF(AND(ISNUMBER(AB151),ISNUMBER(AB144)),IFERROR(AB151/AB144,""),"")</f>
        <v>0.0574518186598386</v>
      </c>
      <c r="AC136" s="215">
        <f>IF(AND(ISNUMBER(AC151),ISNUMBER(AC144)),IFERROR(AC151/AC144,""),"")</f>
        <v>0.0531889077632421</v>
      </c>
      <c r="AD136" s="215">
        <f>IF(AND(ISNUMBER(AD151),ISNUMBER(AD144)),IFERROR(AD151/AD144,""),"")</f>
        <v>0.0537604300834407</v>
      </c>
      <c r="AE136" s="215">
        <f>IF(AND(ISNUMBER(AE151),ISNUMBER(AE144)),IFERROR(AE151/AE144,""),"")</f>
        <v>0.0587274403899355</v>
      </c>
      <c r="AF136" s="215">
        <f>IF(AND(ISNUMBER(AF151),ISNUMBER(AF144)),IFERROR(AF151/AF144,""),"")</f>
        <v>0.05667062911485</v>
      </c>
      <c r="AG136" s="215">
        <f>IF(AND(ISNUMBER(AG151),ISNUMBER(AG144)),IFERROR(AG151/AG144,""),"")</f>
        <v>0.0569037103204142</v>
      </c>
      <c r="AH136" s="215">
        <f>IF(AND(ISNUMBER(AH151),ISNUMBER(AH144)),IFERROR(AH151/AH144,""),"")</f>
        <v>0.0566100322714853</v>
      </c>
      <c r="AI136" s="215">
        <f>IF(AND(ISNUMBER(AI151),ISNUMBER(AI144)),IFERROR(AI151/AI144,""),"")</f>
        <v>0.0528780220210807</v>
      </c>
      <c r="AJ136" s="215">
        <f>IF(AND(ISNUMBER(AJ151),ISNUMBER(AJ144)),IFERROR(AJ151/AJ144,""),"")</f>
        <v>0.0548538365540975</v>
      </c>
      <c r="AK136" s="215">
        <f>IF(AND(ISNUMBER(AK151),ISNUMBER(AK144)),IFERROR(AK151/AK144,""),"")</f>
        <v>0.0583816459276018</v>
      </c>
      <c r="AL136" s="215">
        <f>IF(AND(ISNUMBER(AL151),ISNUMBER(AL144)),IFERROR(AL151/AL144,""),"")</f>
        <v>0.0678474227373831</v>
      </c>
      <c r="AM136" s="215">
        <f>IF(AND(ISNUMBER(AM151),ISNUMBER(AM144)),IFERROR(AM151/AM144,""),"")</f>
        <v>0.0593163207907698</v>
      </c>
      <c r="AN136" s="215">
        <f>IF(AND(ISNUMBER(AN151),ISNUMBER(AN144)),IFERROR(AN151/AN144,""),"")</f>
        <v>0.0613735343383585</v>
      </c>
      <c r="AO136" s="215">
        <f>IF(AND(ISNUMBER(AO151),ISNUMBER(AO144)),IFERROR(AO151/AO144,""),"")</f>
        <v>0.0676771181628919</v>
      </c>
      <c r="AP136" s="215">
        <f>IF(AND(ISNUMBER(AP151),ISNUMBER(AP144)),IFERROR(AP151/AP144,""),"")</f>
        <v>0.0679041454108973</v>
      </c>
      <c r="AQ136" s="215">
        <f>IF(AND(ISNUMBER(AQ151),ISNUMBER(AQ144)),IFERROR(AQ151/AQ144,""),"")</f>
        <v>0.0705879661928017</v>
      </c>
      <c r="AR136" s="215">
        <f>IF(AND(ISNUMBER(AR151),ISNUMBER(AR144)),IFERROR(AR151/AR144,""),"")</f>
        <v>0.0672959696565688</v>
      </c>
      <c r="AS136" s="215">
        <f>IF(AND(ISNUMBER(AS151),ISNUMBER(AS144)),IFERROR(AS151/AS144,""),"")</f>
        <v>0.0639877007899062</v>
      </c>
      <c r="AT136" s="215">
        <f>IF(AND(ISNUMBER(AT151),ISNUMBER(AT144)),IFERROR(AT151/AT144,""),"")</f>
        <v>0.0488685441785136</v>
      </c>
      <c r="AU136" s="215">
        <f>IF(AND(ISNUMBER(AU151),ISNUMBER(AU144)),IFERROR(AU151/AU144,""),"")</f>
        <v>0.0565187997295751</v>
      </c>
      <c r="AV136" s="215">
        <f>IF(AND(ISNUMBER(AV151),ISNUMBER(AV144)),IFERROR(AV151/AV144,""),"")</f>
        <v>0.0589622077973796</v>
      </c>
      <c r="AW136" s="215">
        <f>IF(AND(ISNUMBER(AW151),ISNUMBER(AW144)),IFERROR(AW151/AW144,""),"")</f>
        <v>0.057006092254134</v>
      </c>
      <c r="AX136" s="215">
        <f>IF(AND(ISNUMBER(AX151),ISNUMBER(AX144)),IFERROR(AX151/AX144,""),"")</f>
        <v>0.0571978842219724</v>
      </c>
      <c r="AY136" s="215">
        <f>IF(AND(ISNUMBER(AY151),ISNUMBER(AY144)),IFERROR(AY151/AY144,""),"")</f>
        <v>0.0665369649805448</v>
      </c>
      <c r="AZ136" s="215">
        <f>IF(AND(ISNUMBER(AZ151),ISNUMBER(AZ144)),IFERROR(AZ151/AZ144,""),"")</f>
        <v>0.0722845901165939</v>
      </c>
      <c r="BA136" s="215">
        <f>IF(AND(ISNUMBER(BA151),ISNUMBER(BA144)),IFERROR(BA151/BA144,""),"")</f>
        <v>0.0786685296771752</v>
      </c>
      <c r="BB136" s="215">
        <f>IF(AND(ISNUMBER(BB151),ISNUMBER(BB144)),IFERROR(BB151/BB144,""),"")</f>
        <v>0.0692836861619933</v>
      </c>
      <c r="BC136" s="215">
        <f>IF(AND(ISNUMBER(BC151),ISNUMBER(BC144)),IFERROR(BC151/BC144,""),"")</f>
        <v>0.0714506543918107</v>
      </c>
      <c r="BD136" s="215">
        <f>IF(AND(ISNUMBER(BD151),ISNUMBER(BD144)),IFERROR(BD151/BD144,""),"")</f>
        <v>0.0831944833957471</v>
      </c>
      <c r="BE136" s="215">
        <f>IF(AND(ISNUMBER(BE151),ISNUMBER(BE144)),IFERROR(BE151/BE144,""),"")</f>
        <v>0.0866554944492962</v>
      </c>
      <c r="BF136" s="215">
        <f>IF(AND(ISNUMBER(BF151),ISNUMBER(BF144)),IFERROR(BF151/BF144,""),"")</f>
        <v>0.0859092249537546</v>
      </c>
      <c r="BG136" s="215">
        <f>IF(AND(ISNUMBER(BG151),ISNUMBER(BG144)),IFERROR(BG151/BG144,""),"")</f>
        <v>0.0821778152195695</v>
      </c>
      <c r="BH136" s="215">
        <f>IF(AND(ISNUMBER(BH151),ISNUMBER(BH144)),IFERROR(BH151/BH144,""),"")</f>
        <v>0.0798693446819203</v>
      </c>
      <c r="BI136" s="215">
        <f>IF(AND(ISNUMBER(BI151),ISNUMBER(BI144)),IFERROR(BI151/BI144,""),"")</f>
        <v>0.0799580304056317</v>
      </c>
      <c r="BJ136" s="215">
        <f>IF(AND(ISNUMBER(BJ151),ISNUMBER(BJ144)),IFERROR(BJ151/BJ144,""),"")</f>
        <v>0.073740416401669</v>
      </c>
      <c r="BK136" s="215">
        <f>IF(AND(ISNUMBER(BK151),ISNUMBER(BK144)),IFERROR(BK151/BK144,""),"")</f>
        <v>0.0759115326457246</v>
      </c>
      <c r="BL136" s="215">
        <f>IF(AND(ISNUMBER(BL151),ISNUMBER(BL144)),IFERROR(BL151/BL144,""),"")</f>
        <v>0.0771940812651687</v>
      </c>
      <c r="BM136" s="215">
        <f>IF(AND(ISNUMBER(BM151),ISNUMBER(BM144)),IFERROR(BM151/BM144,""),"")</f>
        <v>0.0674188663973261</v>
      </c>
      <c r="BN136" s="215">
        <f>IF(AND(ISNUMBER(BN151),ISNUMBER(BN144)),IFERROR(BN151/BN144,""),"")</f>
        <v>0.0710380667265859</v>
      </c>
      <c r="BO136" s="215">
        <f>IF(AND(ISNUMBER(BO151),ISNUMBER(BO144)),IFERROR(BO151/BO144,""),"")</f>
        <v>0.0667749265154805</v>
      </c>
      <c r="BP136" s="215">
        <f>IF(AND(ISNUMBER(BP151),ISNUMBER(BP144)),IFERROR(BP151/BP144,""),"")</f>
        <v>0.0698858311323166</v>
      </c>
      <c r="BQ136" s="215">
        <f>IF(AND(ISNUMBER(BQ151),ISNUMBER(BQ144)),IFERROR(BQ151/BQ144,""),"")</f>
        <v>0.068824172086294</v>
      </c>
      <c r="BR136" s="215">
        <f>IF(AND(ISNUMBER(BR151),ISNUMBER(BR144)),IFERROR(BR151/BR144,""),"")</f>
        <v>0.0627172104556521</v>
      </c>
      <c r="BS136" s="215">
        <f>IF(AND(ISNUMBER(BS151),ISNUMBER(BS144)),IFERROR(BS151/BS144,""),"")</f>
        <v>0.0680731297181906</v>
      </c>
      <c r="BT136" s="215">
        <f>IF(AND(ISNUMBER(BT151),ISNUMBER(BT144)),IFERROR(BT151/BT144,""),"")</f>
        <v>0.0648613246451942</v>
      </c>
      <c r="BU136" s="215">
        <f>IF(AND(ISNUMBER(BU151),ISNUMBER(BU144)),IFERROR(BU151/BU144,""),"")</f>
        <v>0.0668459973943933</v>
      </c>
      <c r="BV136" s="215">
        <f>IF(AND(ISNUMBER(BV151),ISNUMBER(BV144)),IFERROR(BV151/BV144,""),"")</f>
        <v>0.0657377908955482</v>
      </c>
      <c r="BW136" s="215">
        <f>IF(AND(ISNUMBER(BW151),ISNUMBER(BW144)),IFERROR(BW151/BW144,""),"")</f>
        <v>0.0568204981296724</v>
      </c>
      <c r="BX136" s="215">
        <f>IF(AND(ISNUMBER(BX151),ISNUMBER(BX144)),IFERROR(BX151/BX144,""),"")</f>
        <v>0.0583133106686739</v>
      </c>
      <c r="BY136" s="256">
        <f>BT136+IFERROR(SUM(BW151:BX151)/SUM(BW144:BX144)-SUM(BR151:BS151)/SUM(BR144:BS144),0)</f>
        <v>0.056970674589295</v>
      </c>
      <c r="BZ136" s="256">
        <f>BU136+IFERROR(SUM(BW151:BX151)/SUM(BW144:BX144)-SUM(BR151:BS151)/SUM(BR144:BS144),0)</f>
        <v>0.0589553473384941</v>
      </c>
      <c r="CA136" s="256">
        <f>IF(AND(ISNUMBER(CA151),ISNUMBER(CA144)),IFERROR(CA151/CA144,""),"")</f>
        <v>0.0578502843706052</v>
      </c>
      <c r="CB136" s="269" t="n">
        <v>0.058</v>
      </c>
      <c r="CC136" s="269" t="n">
        <v>0.058</v>
      </c>
      <c r="CD136" s="269" t="n">
        <v>0.058</v>
      </c>
      <c r="CE136" s="269" t="n">
        <v>0.058</v>
      </c>
      <c r="CF136" s="153" t="n"/>
      <c r="CH136" s="37">
        <f>IFERROR(AVERAGE(CA136,CB136,CC136,CD136,CE136),"n/m")</f>
        <v>0.057970056874121</v>
      </c>
      <c r="CI136" s="37">
        <f>IFERROR(AVERAGE(BB136,BG136,BL136,BQ136,BV136),"n/m")</f>
        <v>0.0726435091257147</v>
      </c>
      <c r="CJ136" s="37">
        <f>IFERROR(AVERAGE(AC136,AH136,AM136,AR136,AW136,BB136,BG136,BL136,BQ136,BV136),"n/m")</f>
        <v>0.0656634868364774</v>
      </c>
      <c r="CK136" s="37">
        <f>IFERROR(AVERAGE(C136,D136,E136,F136,G136,H136,I136,N136,S136,X136,AC136,AH136,AM136,AR136,AW136,BB136,BG136,BL136,BQ136,BV136),"n/m")</f>
        <v>0.0500268060450968</v>
      </c>
    </row>
    <row r="137" ht="15" customHeight="1" s="251">
      <c r="B137" s="25" t="inlineStr">
        <is>
          <t xml:space="preserve">  General and administrative % of net sales</t>
        </is>
      </c>
      <c r="C137" s="215">
        <f>IF(AND(ISNUMBER(C152),ISNUMBER(C144)),IFERROR(C152/C144,""),"")</f>
        <v>0.0182055830454673</v>
      </c>
      <c r="D137" s="215">
        <f>IF(AND(ISNUMBER(D152),ISNUMBER(D144)),IFERROR(D152/D144,""),"")</f>
        <v>0.0158409167509269</v>
      </c>
      <c r="E137" s="215">
        <f>IF(AND(ISNUMBER(E152),ISNUMBER(E144)),IFERROR(E152/E144,""),"")</f>
        <v>0.0145570280705416</v>
      </c>
      <c r="F137" s="215">
        <f>IF(AND(ISNUMBER(F152),ISNUMBER(F144)),IFERROR(F152/F144,""),"")</f>
        <v>0.0133828389571178</v>
      </c>
      <c r="G137" s="215">
        <f>IF(AND(ISNUMBER(G152),ISNUMBER(G144)),IFERROR(G152/G144,""),"")</f>
        <v>0.013741082914279</v>
      </c>
      <c r="H137" s="215">
        <f>IF(AND(ISNUMBER(H152),ISNUMBER(H144)),IFERROR(H152/H144,""),"")</f>
        <v>0.013686378101795</v>
      </c>
      <c r="I137" s="215">
        <f>IF(AND(ISNUMBER(I152),ISNUMBER(I144)),IFERROR(I152/I144,""),"")</f>
        <v>0.0146661646997201</v>
      </c>
      <c r="J137" s="215">
        <f>IF(AND(ISNUMBER(J152),ISNUMBER(J144)),IFERROR(J152/J144,""),"")</f>
        <v>0.0153080273802116</v>
      </c>
      <c r="K137" s="215">
        <f>IF(AND(ISNUMBER(K152),ISNUMBER(K144)),IFERROR(K152/K144,""),"")</f>
        <v>0.0182119205298013</v>
      </c>
      <c r="L137" s="215">
        <f>IF(AND(ISNUMBER(L152),ISNUMBER(L144)),IFERROR(L152/L144,""),"")</f>
        <v>0.0162649192604727</v>
      </c>
      <c r="M137" s="215">
        <f>IF(AND(ISNUMBER(M152),ISNUMBER(M144)),IFERROR(M152/M144,""),"")</f>
        <v>0.0124281861882987</v>
      </c>
      <c r="N137" s="215">
        <f>IF(AND(ISNUMBER(N152),ISNUMBER(N144)),IFERROR(N152/N144,""),"")</f>
        <v>0.0151641325954978</v>
      </c>
      <c r="O137" s="215">
        <f>IF(AND(ISNUMBER(O152),ISNUMBER(O144)),IFERROR(O152/O144,""),"")</f>
        <v>0.016564510409807</v>
      </c>
      <c r="P137" s="215">
        <f>IF(AND(ISNUMBER(P152),ISNUMBER(P144)),IFERROR(P152/P144,""),"")</f>
        <v>0.019493278179938</v>
      </c>
      <c r="Q137" s="215">
        <f>IF(AND(ISNUMBER(Q152),ISNUMBER(Q144)),IFERROR(Q152/Q144,""),"")</f>
        <v>0.0197288497983381</v>
      </c>
      <c r="R137" s="215">
        <f>IF(AND(ISNUMBER(R152),ISNUMBER(R144)),IFERROR(R152/R144,""),"")</f>
        <v>0.0150709219858156</v>
      </c>
      <c r="S137" s="215">
        <f>IF(AND(ISNUMBER(S152),ISNUMBER(S144)),IFERROR(S152/S144,""),"")</f>
        <v>0.0174405537825325</v>
      </c>
      <c r="T137" s="215">
        <f>IF(AND(ISNUMBER(T152),ISNUMBER(T144)),IFERROR(T152/T144,""),"")</f>
        <v>0.0187964960161993</v>
      </c>
      <c r="U137" s="215">
        <f>IF(AND(ISNUMBER(U152),ISNUMBER(U144)),IFERROR(U152/U144,""),"")</f>
        <v>0.0201423334052189</v>
      </c>
      <c r="V137" s="215">
        <f>IF(AND(ISNUMBER(V152),ISNUMBER(V144)),IFERROR(V152/V144,""),"")</f>
        <v>0.0182585377395694</v>
      </c>
      <c r="W137" s="215">
        <f>IF(AND(ISNUMBER(W152),ISNUMBER(W144)),IFERROR(W152/W144,""),"")</f>
        <v>0.0109100064341064</v>
      </c>
      <c r="X137" s="215">
        <f>IF(AND(ISNUMBER(X152),ISNUMBER(X144)),IFERROR(X152/X144,""),"")</f>
        <v>0.0163261873165991</v>
      </c>
      <c r="Y137" s="215">
        <f>IF(AND(ISNUMBER(Y152),ISNUMBER(Y144)),IFERROR(Y152/Y144,""),"")</f>
        <v>0.0170626201592969</v>
      </c>
      <c r="Z137" s="215">
        <f>IF(AND(ISNUMBER(Z152),ISNUMBER(Z144)),IFERROR(Z152/Z144,""),"")</f>
        <v>0.0190764373108801</v>
      </c>
      <c r="AA137" s="215">
        <f>IF(AND(ISNUMBER(AA152),ISNUMBER(AA144)),IFERROR(AA152/AA144,""),"")</f>
        <v>0.0195329216849055</v>
      </c>
      <c r="AB137" s="215">
        <f>IF(AND(ISNUMBER(AB152),ISNUMBER(AB144)),IFERROR(AB152/AB144,""),"")</f>
        <v>0.016391943485517</v>
      </c>
      <c r="AC137" s="215">
        <f>IF(AND(ISNUMBER(AC152),ISNUMBER(AC144)),IFERROR(AC152/AC144,""),"")</f>
        <v>0.0178840624471457</v>
      </c>
      <c r="AD137" s="215">
        <f>IF(AND(ISNUMBER(AD152),ISNUMBER(AD144)),IFERROR(AD152/AD144,""),"")</f>
        <v>0.0222601780814247</v>
      </c>
      <c r="AE137" s="215">
        <f>IF(AND(ISNUMBER(AE152),ISNUMBER(AE144)),IFERROR(AE152/AE144,""),"")</f>
        <v>0.0230272691345014</v>
      </c>
      <c r="AF137" s="215">
        <f>IF(AND(ISNUMBER(AF152),ISNUMBER(AF144)),IFERROR(AF152/AF144,""),"")</f>
        <v>0.021945866861741</v>
      </c>
      <c r="AG137" s="215">
        <f>IF(AND(ISNUMBER(AG152),ISNUMBER(AG144)),IFERROR(AG152/AG144,""),"")</f>
        <v>0.0172696144111955</v>
      </c>
      <c r="AH137" s="215">
        <f>IF(AND(ISNUMBER(AH152),ISNUMBER(AH144)),IFERROR(AH152/AH144,""),"")</f>
        <v>0.0206559994602678</v>
      </c>
      <c r="AI137" s="215">
        <f>IF(AND(ISNUMBER(AI152),ISNUMBER(AI144)),IFERROR(AI152/AI144,""),"")</f>
        <v>0.0209043532776929</v>
      </c>
      <c r="AJ137" s="215">
        <f>IF(AND(ISNUMBER(AJ152),ISNUMBER(AJ144)),IFERROR(AJ152/AJ144,""),"")</f>
        <v>0.021007449986764</v>
      </c>
      <c r="AK137" s="215">
        <f>IF(AND(ISNUMBER(AK152),ISNUMBER(AK144)),IFERROR(AK152/AK144,""),"")</f>
        <v>0.018400028280543</v>
      </c>
      <c r="AL137" s="215">
        <f>IF(AND(ISNUMBER(AL152),ISNUMBER(AL144)),IFERROR(AL152/AL144,""),"")</f>
        <v>0.0154318002845972</v>
      </c>
      <c r="AM137" s="215">
        <f>IF(AND(ISNUMBER(AM152),ISNUMBER(AM144)),IFERROR(AM152/AM144,""),"")</f>
        <v>0.0186184716192832</v>
      </c>
      <c r="AN137" s="215">
        <f>IF(AND(ISNUMBER(AN152),ISNUMBER(AN144)),IFERROR(AN152/AN144,""),"")</f>
        <v>0.0196482412060302</v>
      </c>
      <c r="AO137" s="215">
        <f>IF(AND(ISNUMBER(AO152),ISNUMBER(AO144)),IFERROR(AO152/AO144,""),"")</f>
        <v>0.0200302820011356</v>
      </c>
      <c r="AP137" s="215">
        <f>IF(AND(ISNUMBER(AP152),ISNUMBER(AP144)),IFERROR(AP152/AP144,""),"")</f>
        <v>0.0192623712150441</v>
      </c>
      <c r="AQ137" s="215">
        <f>IF(AND(ISNUMBER(AQ152),ISNUMBER(AQ144)),IFERROR(AQ152/AQ144,""),"")</f>
        <v>0.0161487699715224</v>
      </c>
      <c r="AR137" s="215">
        <f>IF(AND(ISNUMBER(AR152),ISNUMBER(AR144)),IFERROR(AR152/AR144,""),"")</f>
        <v>0.0185475648968708</v>
      </c>
      <c r="AS137" s="215">
        <f>IF(AND(ISNUMBER(AS152),ISNUMBER(AS144)),IFERROR(AS152/AS144,""),"")</f>
        <v>0.0192440226899221</v>
      </c>
      <c r="AT137" s="215">
        <f>IF(AND(ISNUMBER(AT152),ISNUMBER(AT144)),IFERROR(AT152/AT144,""),"")</f>
        <v>0.0177703797012777</v>
      </c>
      <c r="AU137" s="215">
        <f>IF(AND(ISNUMBER(AU152),ISNUMBER(AU144)),IFERROR(AU152/AU144,""),"")</f>
        <v>0.0173487960892402</v>
      </c>
      <c r="AV137" s="215">
        <f>IF(AND(ISNUMBER(AV152),ISNUMBER(AV144)),IFERROR(AV152/AV144,""),"")</f>
        <v>0.015674405638963</v>
      </c>
      <c r="AW137" s="215">
        <f>IF(AND(ISNUMBER(AW152),ISNUMBER(AW144)),IFERROR(AW152/AW144,""),"")</f>
        <v>0.0172717476895023</v>
      </c>
      <c r="AX137" s="215">
        <f>IF(AND(ISNUMBER(AX152),ISNUMBER(AX144)),IFERROR(AX152/AX144,""),"")</f>
        <v>0.018310326397464</v>
      </c>
      <c r="AY137" s="215">
        <f>IF(AND(ISNUMBER(AY152),ISNUMBER(AY144)),IFERROR(AY152/AY144,""),"")</f>
        <v>0.0190838344534843</v>
      </c>
      <c r="AZ137" s="215">
        <f>IF(AND(ISNUMBER(AZ152),ISNUMBER(AZ144)),IFERROR(AZ152/AZ144,""),"")</f>
        <v>0.0194293036855214</v>
      </c>
      <c r="BA137" s="215">
        <f>IF(AND(ISNUMBER(BA152),ISNUMBER(BA144)),IFERROR(BA152/BA144,""),"")</f>
        <v>0.0183753966174715</v>
      </c>
      <c r="BB137" s="215">
        <f>IF(AND(ISNUMBER(BB152),ISNUMBER(BB144)),IFERROR(BB152/BB144,""),"")</f>
        <v>0.0187794526437672</v>
      </c>
      <c r="BC137" s="215">
        <f>IF(AND(ISNUMBER(BC152),ISNUMBER(BC144)),IFERROR(BC152/BC144,""),"")</f>
        <v>0.022276802583216</v>
      </c>
      <c r="BD137" s="215">
        <f>IF(AND(ISNUMBER(BD152),ISNUMBER(BD144)),IFERROR(BD152/BD144,""),"")</f>
        <v>0.023945427850273</v>
      </c>
      <c r="BE137" s="215">
        <f>IF(AND(ISNUMBER(BE152),ISNUMBER(BE144)),IFERROR(BE152/BE144,""),"")</f>
        <v>0.0240832094161336</v>
      </c>
      <c r="BF137" s="215">
        <f>IF(AND(ISNUMBER(BF152),ISNUMBER(BF144)),IFERROR(BF152/BF144,""),"")</f>
        <v>0.0223385432025951</v>
      </c>
      <c r="BG137" s="215">
        <f>IF(AND(ISNUMBER(BG152),ISNUMBER(BG144)),IFERROR(BG152/BG144,""),"")</f>
        <v>0.0231350064107179</v>
      </c>
      <c r="BH137" s="215">
        <f>IF(AND(ISNUMBER(BH152),ISNUMBER(BH144)),IFERROR(BH152/BH144,""),"")</f>
        <v>0.0238932772185493</v>
      </c>
      <c r="BI137" s="215">
        <f>IF(AND(ISNUMBER(BI152),ISNUMBER(BI144)),IFERROR(BI152/BI144,""),"")</f>
        <v>0.0238274186467038</v>
      </c>
      <c r="BJ137" s="215">
        <f>IF(AND(ISNUMBER(BJ152),ISNUMBER(BJ144)),IFERROR(BJ152/BJ144,""),"")</f>
        <v>0.0178987021518979</v>
      </c>
      <c r="BK137" s="215">
        <f>IF(AND(ISNUMBER(BK152),ISNUMBER(BK144)),IFERROR(BK152/BK144,""),"")</f>
        <v>0.0177099452227276</v>
      </c>
      <c r="BL137" s="215">
        <f>IF(AND(ISNUMBER(BL152),ISNUMBER(BL144)),IFERROR(BL152/BL144,""),"")</f>
        <v>0.0205572518419931</v>
      </c>
      <c r="BM137" s="215">
        <f>IF(AND(ISNUMBER(BM152),ISNUMBER(BM144)),IFERROR(BM152/BM144,""),"")</f>
        <v>0.0191329467668669</v>
      </c>
      <c r="BN137" s="215">
        <f>IF(AND(ISNUMBER(BN152),ISNUMBER(BN144)),IFERROR(BN152/BN144,""),"")</f>
        <v>0.0205504909546754</v>
      </c>
      <c r="BO137" s="215">
        <f>IF(AND(ISNUMBER(BO152),ISNUMBER(BO144)),IFERROR(BO152/BO144,""),"")</f>
        <v>0.0170761028972098</v>
      </c>
      <c r="BP137" s="215">
        <f>IF(AND(ISNUMBER(BP152),ISNUMBER(BP144)),IFERROR(BP152/BP144,""),"")</f>
        <v>0.0152455908664906</v>
      </c>
      <c r="BQ137" s="215">
        <f>IF(AND(ISNUMBER(BQ152),ISNUMBER(BQ144)),IFERROR(BQ152/BQ144,""),"")</f>
        <v>0.0178052194576767</v>
      </c>
      <c r="BR137" s="215">
        <f>IF(AND(ISNUMBER(BR152),ISNUMBER(BR144)),IFERROR(BR152/BR144,""),"")</f>
        <v>0.0168821908304265</v>
      </c>
      <c r="BS137" s="215">
        <f>IF(AND(ISNUMBER(BS152),ISNUMBER(BS144)),IFERROR(BS152/BS144,""),"")</f>
        <v>0.0176801707791201</v>
      </c>
      <c r="BT137" s="215">
        <f>IF(AND(ISNUMBER(BT152),ISNUMBER(BT144)),IFERROR(BT152/BT144,""),"")</f>
        <v>0.0159572401467511</v>
      </c>
      <c r="BU137" s="215">
        <f>IF(AND(ISNUMBER(BU152),ISNUMBER(BU144)),IFERROR(BU152/BU144,""),"")</f>
        <v>0.0126718716316909</v>
      </c>
      <c r="BV137" s="215">
        <f>IF(AND(ISNUMBER(BV152),ISNUMBER(BV144)),IFERROR(BV152/BV144,""),"")</f>
        <v>0.0155832417383154</v>
      </c>
      <c r="BW137" s="215">
        <f>IF(AND(ISNUMBER(BW152),ISNUMBER(BW144)),IFERROR(BW152/BW144,""),"")</f>
        <v>0.0142519515863353</v>
      </c>
      <c r="BX137" s="215">
        <f>IF(AND(ISNUMBER(BX152),ISNUMBER(BX144)),IFERROR(BX152/BX144,""),"")</f>
        <v>0.0138978893951327</v>
      </c>
      <c r="BY137" s="256">
        <f>BT137+IFERROR(SUM(BW152:BX152)/SUM(BW144:BX144)-SUM(BR152:BS152)/SUM(BR144:BS144),0)</f>
        <v>0.0127272877691397</v>
      </c>
      <c r="BZ137" s="256">
        <f>BU137+IFERROR(SUM(BW152:BX152)/SUM(BW144:BX144)-SUM(BR152:BS152)/SUM(BR144:BS144),0)</f>
        <v>0.00944191925407955</v>
      </c>
      <c r="CA137" s="256">
        <f>IF(AND(ISNUMBER(CA152),ISNUMBER(CA144)),IFERROR(CA152/CA144,""),"")</f>
        <v>0.0123763489032512</v>
      </c>
      <c r="CB137" s="269" t="n">
        <v>0.014</v>
      </c>
      <c r="CC137" s="269" t="n">
        <v>0.014</v>
      </c>
      <c r="CD137" s="269" t="n">
        <v>0.014</v>
      </c>
      <c r="CE137" s="269" t="n">
        <v>0.014</v>
      </c>
      <c r="CF137" s="153" t="n"/>
      <c r="CH137" s="37">
        <f>IFERROR(AVERAGE(CA137,CB137,CC137,CD137,CE137),"n/m")</f>
        <v>0.0136752697806502</v>
      </c>
      <c r="CI137" s="37">
        <f>IFERROR(AVERAGE(BB137,BG137,BL137,BQ137,BV137),"n/m")</f>
        <v>0.0191720344184941</v>
      </c>
      <c r="CJ137" s="37">
        <f>IFERROR(AVERAGE(AC137,AH137,AM137,AR137,AW137,BB137,BG137,BL137,BQ137,BV137),"n/m")</f>
        <v>0.018883801820554</v>
      </c>
      <c r="CK137" s="37">
        <f>IFERROR(AVERAGE(C137,D137,E137,F137,G137,H137,I137,N137,S137,X137,AC137,AH137,AM137,AR137,AW137,BB137,BG137,BL137,BQ137,BV137),"n/m")</f>
        <v>0.0170924442220009</v>
      </c>
    </row>
    <row r="138" ht="15" customHeight="1" s="251">
      <c r="B138" s="25" t="inlineStr">
        <is>
          <t xml:space="preserve">  Other operating expense (income), net</t>
        </is>
      </c>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c r="AA138" s="34" t="n"/>
      <c r="AB138" s="34" t="n"/>
      <c r="AC138" s="34" t="n"/>
      <c r="AD138" s="34" t="n"/>
      <c r="AE138" s="34" t="n"/>
      <c r="AF138" s="34" t="n"/>
      <c r="AG138" s="34" t="n"/>
      <c r="AH138" s="34" t="n"/>
      <c r="AI138" s="34" t="n"/>
      <c r="AJ138" s="34" t="n"/>
      <c r="AK138" s="34" t="n"/>
      <c r="AL138" s="34" t="n"/>
      <c r="AM138" s="34" t="n"/>
      <c r="AN138" s="34" t="n"/>
      <c r="AO138" s="34" t="n"/>
      <c r="AP138" s="34" t="n"/>
      <c r="AQ138" s="34" t="n"/>
      <c r="AR138" s="34" t="n"/>
      <c r="AS138" s="34" t="n"/>
      <c r="AT138" s="34" t="n"/>
      <c r="AU138" s="34" t="n"/>
      <c r="AV138" s="34" t="n"/>
      <c r="AW138" s="34" t="n"/>
      <c r="AX138" s="34" t="n"/>
      <c r="AY138" s="34" t="n"/>
      <c r="AZ138" s="34" t="n"/>
      <c r="BA138" s="34" t="n"/>
      <c r="BB138" s="34" t="n"/>
      <c r="BC138" s="34" t="n"/>
      <c r="BD138" s="34" t="n"/>
      <c r="BE138" s="34" t="n"/>
      <c r="BF138" s="34" t="n"/>
      <c r="BG138" s="34" t="n"/>
      <c r="BH138" s="34" t="n"/>
      <c r="BI138" s="34" t="n"/>
      <c r="BJ138" s="34" t="n"/>
      <c r="BK138" s="34" t="n"/>
      <c r="BL138" s="34" t="n"/>
      <c r="BM138" s="34" t="n"/>
      <c r="BN138" s="34" t="n"/>
      <c r="BO138" s="34" t="n"/>
      <c r="BP138" s="34" t="n"/>
      <c r="BQ138" s="34" t="n"/>
      <c r="BR138" s="34" t="n"/>
      <c r="BS138" s="34" t="n"/>
      <c r="BT138" s="34" t="n"/>
      <c r="BU138" s="34" t="n"/>
      <c r="BV138" s="34" t="n"/>
      <c r="BW138" s="34" t="n"/>
      <c r="BX138" s="34" t="n"/>
      <c r="BY138" s="254">
        <f>$CP$19</f>
        <v>300</v>
      </c>
      <c r="BZ138" s="254">
        <f>$CP$19</f>
        <v>300</v>
      </c>
      <c r="CA138" s="35" t="n"/>
      <c r="CB138" s="268" t="n">
        <v>1200</v>
      </c>
      <c r="CC138" s="268" t="n">
        <v>1200</v>
      </c>
      <c r="CD138" s="268" t="n">
        <v>1200</v>
      </c>
      <c r="CE138" s="268" t="n">
        <v>1200</v>
      </c>
      <c r="CF138" s="19" t="n"/>
    </row>
    <row r="139" ht="15" customHeight="1" s="251">
      <c r="B139" s="25" t="inlineStr">
        <is>
          <t xml:space="preserve">  Special items quantified by Amazon (pre-tax; adjusted out in the model bridges; forecast nil):</t>
        </is>
      </c>
      <c r="CF139" s="153" t="n"/>
    </row>
    <row r="140" ht="15" customHeight="1" s="251">
      <c r="B140" s="25" t="inlineStr">
        <is>
          <t xml:space="preserve">  Special charges quantified in the release text (Q4-22 $2.7bn; Q1-23 $0.5bn; Q3-25 $4.3bn; Q4-25 $2.44bn)</t>
        </is>
      </c>
      <c r="C140" s="253" t="n">
        <v>0</v>
      </c>
      <c r="D140" s="253" t="n">
        <v>0</v>
      </c>
      <c r="E140" s="253" t="n">
        <v>0</v>
      </c>
      <c r="F140" s="253" t="n">
        <v>0</v>
      </c>
      <c r="G140" s="253" t="n">
        <v>0</v>
      </c>
      <c r="H140" s="253" t="n">
        <v>0</v>
      </c>
      <c r="I140" s="253" t="n">
        <v>0</v>
      </c>
      <c r="J140" s="253" t="n">
        <v>0</v>
      </c>
      <c r="K140" s="253" t="n">
        <v>0</v>
      </c>
      <c r="L140" s="253" t="n">
        <v>0</v>
      </c>
      <c r="M140" s="253" t="n">
        <v>0</v>
      </c>
      <c r="N140" s="253" t="n">
        <v>0</v>
      </c>
      <c r="O140" s="253" t="n">
        <v>0</v>
      </c>
      <c r="P140" s="253" t="n">
        <v>0</v>
      </c>
      <c r="Q140" s="253" t="n">
        <v>0</v>
      </c>
      <c r="R140" s="253" t="n">
        <v>0</v>
      </c>
      <c r="S140" s="253" t="n">
        <v>0</v>
      </c>
      <c r="T140" s="253" t="n">
        <v>0</v>
      </c>
      <c r="U140" s="253" t="n">
        <v>0</v>
      </c>
      <c r="V140" s="253" t="n">
        <v>0</v>
      </c>
      <c r="W140" s="253" t="n">
        <v>0</v>
      </c>
      <c r="X140" s="253" t="n">
        <v>0</v>
      </c>
      <c r="Y140" s="253" t="n">
        <v>0</v>
      </c>
      <c r="Z140" s="253" t="n">
        <v>0</v>
      </c>
      <c r="AA140" s="253" t="n">
        <v>0</v>
      </c>
      <c r="AB140" s="253" t="n">
        <v>0</v>
      </c>
      <c r="AC140" s="253" t="n">
        <v>0</v>
      </c>
      <c r="AD140" s="253" t="n">
        <v>0</v>
      </c>
      <c r="AE140" s="253" t="n">
        <v>0</v>
      </c>
      <c r="AF140" s="253" t="n">
        <v>0</v>
      </c>
      <c r="AG140" s="253" t="n">
        <v>0</v>
      </c>
      <c r="AH140" s="253" t="n">
        <v>0</v>
      </c>
      <c r="AI140" s="253" t="n">
        <v>0</v>
      </c>
      <c r="AJ140" s="253" t="n">
        <v>0</v>
      </c>
      <c r="AK140" s="253" t="n">
        <v>0</v>
      </c>
      <c r="AL140" s="253" t="n">
        <v>0</v>
      </c>
      <c r="AM140" s="253" t="n">
        <v>0</v>
      </c>
      <c r="AN140" s="253" t="n">
        <v>0</v>
      </c>
      <c r="AO140" s="253" t="n">
        <v>0</v>
      </c>
      <c r="AP140" s="253" t="n">
        <v>0</v>
      </c>
      <c r="AQ140" s="253" t="n">
        <v>0</v>
      </c>
      <c r="AR140" s="253" t="n">
        <v>0</v>
      </c>
      <c r="AS140" s="253" t="n">
        <v>0</v>
      </c>
      <c r="AT140" s="253" t="n">
        <v>0</v>
      </c>
      <c r="AU140" s="253" t="n">
        <v>0</v>
      </c>
      <c r="AV140" s="253" t="n">
        <v>0</v>
      </c>
      <c r="AW140" s="253" t="n">
        <v>0</v>
      </c>
      <c r="AX140" s="253" t="n">
        <v>0</v>
      </c>
      <c r="AY140" s="253" t="n">
        <v>0</v>
      </c>
      <c r="AZ140" s="253" t="n">
        <v>0</v>
      </c>
      <c r="BA140" s="253" t="n">
        <v>0</v>
      </c>
      <c r="BB140" s="253" t="n">
        <v>0</v>
      </c>
      <c r="BC140" s="253" t="n">
        <v>0</v>
      </c>
      <c r="BD140" s="253" t="n">
        <v>0</v>
      </c>
      <c r="BE140" s="253" t="n">
        <v>0</v>
      </c>
      <c r="BF140" s="253" t="n">
        <v>2700</v>
      </c>
      <c r="BG140" s="253" t="n">
        <v>2700</v>
      </c>
      <c r="BH140" s="253" t="n">
        <v>500</v>
      </c>
      <c r="BI140" s="253" t="n">
        <v>0</v>
      </c>
      <c r="BJ140" s="253" t="n">
        <v>0</v>
      </c>
      <c r="BK140" s="253" t="n">
        <v>0</v>
      </c>
      <c r="BL140" s="253" t="n">
        <v>500</v>
      </c>
      <c r="BM140" s="253" t="n">
        <v>0</v>
      </c>
      <c r="BN140" s="253" t="n">
        <v>0</v>
      </c>
      <c r="BO140" s="253" t="n">
        <v>0</v>
      </c>
      <c r="BP140" s="253" t="n">
        <v>0</v>
      </c>
      <c r="BQ140" s="253" t="n">
        <v>0</v>
      </c>
      <c r="BR140" s="253" t="n">
        <v>0</v>
      </c>
      <c r="BS140" s="253" t="n">
        <v>0</v>
      </c>
      <c r="BT140" s="253" t="n">
        <v>4300</v>
      </c>
      <c r="BU140" s="253" t="n">
        <v>2440</v>
      </c>
      <c r="BV140" s="253" t="n">
        <v>6740</v>
      </c>
      <c r="BW140" s="253" t="n">
        <v>0</v>
      </c>
      <c r="BX140" s="253" t="n">
        <v>0</v>
      </c>
      <c r="BY140" s="254">
        <f>0</f>
        <v>0</v>
      </c>
      <c r="BZ140" s="254">
        <f>0</f>
        <v>0</v>
      </c>
      <c r="CA140" s="254">
        <f>SUM(BW140:BZ140)</f>
        <v>0</v>
      </c>
      <c r="CB140" s="254">
        <f>0</f>
        <v>0</v>
      </c>
      <c r="CC140" s="254">
        <f>0</f>
        <v>0</v>
      </c>
      <c r="CD140" s="254">
        <f>0</f>
        <v>0</v>
      </c>
      <c r="CE140" s="254">
        <f>0</f>
        <v>0</v>
      </c>
      <c r="CF140" s="19" t="inlineStr">
        <is>
          <t>Q4-22 self-insurance estimate changes, impairments, severance; Q1-23 severance; Q3-25 FTC settlement $2.5bn + severance $1.8bn; Q4-25 Italy tax disputes &amp; lawsuit $1.1bn, severance $0.73bn, impairments $0.61bn. Forecast nil (guidance assumes no settlements / restructurings).</t>
        </is>
      </c>
    </row>
    <row r="141" ht="15" customHeight="1" s="251">
      <c r="B141" s="25" t="inlineStr">
        <is>
          <t xml:space="preserve">  Energy-contract derivative remeasurement (unrealized gain −; in technology and infrastructure, mostly AWS; Q2-26 10-Q)</t>
        </is>
      </c>
      <c r="C141" s="253" t="n">
        <v>0</v>
      </c>
      <c r="D141" s="253" t="n">
        <v>0</v>
      </c>
      <c r="E141" s="253" t="n">
        <v>0</v>
      </c>
      <c r="F141" s="253" t="n">
        <v>0</v>
      </c>
      <c r="G141" s="253" t="n">
        <v>0</v>
      </c>
      <c r="H141" s="253" t="n">
        <v>0</v>
      </c>
      <c r="I141" s="253" t="n">
        <v>0</v>
      </c>
      <c r="J141" s="253" t="n">
        <v>0</v>
      </c>
      <c r="K141" s="253" t="n">
        <v>0</v>
      </c>
      <c r="L141" s="253" t="n">
        <v>0</v>
      </c>
      <c r="M141" s="253" t="n">
        <v>0</v>
      </c>
      <c r="N141" s="253" t="n">
        <v>0</v>
      </c>
      <c r="O141" s="253" t="n">
        <v>0</v>
      </c>
      <c r="P141" s="253" t="n">
        <v>0</v>
      </c>
      <c r="Q141" s="253" t="n">
        <v>0</v>
      </c>
      <c r="R141" s="253" t="n">
        <v>0</v>
      </c>
      <c r="S141" s="253" t="n">
        <v>0</v>
      </c>
      <c r="T141" s="253" t="n">
        <v>0</v>
      </c>
      <c r="U141" s="253" t="n">
        <v>0</v>
      </c>
      <c r="V141" s="253" t="n">
        <v>0</v>
      </c>
      <c r="W141" s="253" t="n">
        <v>0</v>
      </c>
      <c r="X141" s="253" t="n">
        <v>0</v>
      </c>
      <c r="Y141" s="253" t="n">
        <v>0</v>
      </c>
      <c r="Z141" s="253" t="n">
        <v>0</v>
      </c>
      <c r="AA141" s="253" t="n">
        <v>0</v>
      </c>
      <c r="AB141" s="253" t="n">
        <v>0</v>
      </c>
      <c r="AC141" s="253" t="n">
        <v>0</v>
      </c>
      <c r="AD141" s="253" t="n">
        <v>0</v>
      </c>
      <c r="AE141" s="253" t="n">
        <v>0</v>
      </c>
      <c r="AF141" s="253" t="n">
        <v>0</v>
      </c>
      <c r="AG141" s="253" t="n">
        <v>0</v>
      </c>
      <c r="AH141" s="253" t="n">
        <v>0</v>
      </c>
      <c r="AI141" s="253" t="n">
        <v>0</v>
      </c>
      <c r="AJ141" s="253" t="n">
        <v>0</v>
      </c>
      <c r="AK141" s="253" t="n">
        <v>0</v>
      </c>
      <c r="AL141" s="253" t="n">
        <v>0</v>
      </c>
      <c r="AM141" s="253" t="n">
        <v>0</v>
      </c>
      <c r="AN141" s="253" t="n">
        <v>0</v>
      </c>
      <c r="AO141" s="253" t="n">
        <v>0</v>
      </c>
      <c r="AP141" s="253" t="n">
        <v>0</v>
      </c>
      <c r="AQ141" s="253" t="n">
        <v>0</v>
      </c>
      <c r="AR141" s="253" t="n">
        <v>0</v>
      </c>
      <c r="AS141" s="253" t="n">
        <v>0</v>
      </c>
      <c r="AT141" s="253" t="n">
        <v>0</v>
      </c>
      <c r="AU141" s="253" t="n">
        <v>0</v>
      </c>
      <c r="AV141" s="253" t="n">
        <v>0</v>
      </c>
      <c r="AW141" s="253" t="n">
        <v>0</v>
      </c>
      <c r="AX141" s="253" t="n">
        <v>0</v>
      </c>
      <c r="AY141" s="253" t="n">
        <v>0</v>
      </c>
      <c r="AZ141" s="253" t="n">
        <v>0</v>
      </c>
      <c r="BA141" s="253" t="n">
        <v>0</v>
      </c>
      <c r="BB141" s="253" t="n">
        <v>0</v>
      </c>
      <c r="BC141" s="253" t="n">
        <v>0</v>
      </c>
      <c r="BD141" s="253" t="n">
        <v>0</v>
      </c>
      <c r="BE141" s="253" t="n">
        <v>0</v>
      </c>
      <c r="BF141" s="253" t="n">
        <v>0</v>
      </c>
      <c r="BG141" s="253" t="n">
        <v>0</v>
      </c>
      <c r="BH141" s="253" t="n">
        <v>0</v>
      </c>
      <c r="BI141" s="253" t="n">
        <v>0</v>
      </c>
      <c r="BJ141" s="253" t="n">
        <v>0</v>
      </c>
      <c r="BK141" s="253" t="n">
        <v>0</v>
      </c>
      <c r="BL141" s="253" t="n">
        <v>0</v>
      </c>
      <c r="BM141" s="253" t="n">
        <v>0</v>
      </c>
      <c r="BN141" s="253" t="n">
        <v>0</v>
      </c>
      <c r="BO141" s="253" t="n">
        <v>0</v>
      </c>
      <c r="BP141" s="253" t="n">
        <v>0</v>
      </c>
      <c r="BQ141" s="253" t="n">
        <v>0</v>
      </c>
      <c r="BR141" s="253" t="n">
        <v>0</v>
      </c>
      <c r="BS141" s="253" t="n">
        <v>0</v>
      </c>
      <c r="BT141" s="253" t="n">
        <v>0</v>
      </c>
      <c r="BU141" s="253" t="n">
        <v>0</v>
      </c>
      <c r="BV141" s="253" t="n">
        <v>0</v>
      </c>
      <c r="BW141" s="253" t="n">
        <v>-48</v>
      </c>
      <c r="BX141" s="253" t="n">
        <v>-551</v>
      </c>
      <c r="BY141" s="254">
        <f>0</f>
        <v>0</v>
      </c>
      <c r="BZ141" s="254">
        <f>0</f>
        <v>0</v>
      </c>
      <c r="CA141" s="254">
        <f>SUM(BW141:BZ141)</f>
        <v>-599</v>
      </c>
      <c r="CB141" s="254">
        <f>0</f>
        <v>0</v>
      </c>
      <c r="CC141" s="254">
        <f>0</f>
        <v>0</v>
      </c>
      <c r="CD141" s="254">
        <f>0</f>
        <v>0</v>
      </c>
      <c r="CE141" s="254">
        <f>0</f>
        <v>0</v>
      </c>
      <c r="CF141" s="19" t="inlineStr">
        <is>
          <t>Non-cash fair-value changes on long-dated power contracts (Q1-26 gain $48m, Q2-26 gain $551m). Excluded from Q3-26 guidance; forecast nil.</t>
        </is>
      </c>
    </row>
    <row r="142" ht="15" customHeight="1" s="251">
      <c r="CN142" s="11" t="n"/>
      <c r="CO142" s="12" t="n"/>
      <c r="CP142" s="12" t="n"/>
      <c r="CQ142" s="12" t="n"/>
      <c r="CR142" s="13" t="n"/>
    </row>
    <row r="143" ht="15" customHeight="1" s="251">
      <c r="B143" s="10" t="inlineStr">
        <is>
          <t>CONSOLIDATED STATEMENT OF OPERATIONS (US GAAP)</t>
        </is>
      </c>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0" t="n"/>
      <c r="AZ143" s="10" t="n"/>
      <c r="BA143" s="10" t="n"/>
      <c r="BB143" s="10" t="n"/>
      <c r="BC143" s="10" t="n"/>
      <c r="BD143" s="10" t="n"/>
      <c r="BE143" s="10" t="n"/>
      <c r="BF143" s="10" t="n"/>
      <c r="BG143" s="10" t="n"/>
      <c r="BH143" s="10" t="n"/>
      <c r="BI143" s="10" t="n"/>
      <c r="BJ143" s="10" t="n"/>
      <c r="BK143" s="10" t="n"/>
      <c r="BL143" s="10" t="n"/>
      <c r="BM143" s="10" t="n"/>
      <c r="BN143" s="10" t="n"/>
      <c r="BO143" s="10" t="n"/>
      <c r="BP143" s="10" t="n"/>
      <c r="BQ143" s="10" t="n"/>
      <c r="BR143" s="10" t="n"/>
      <c r="BS143" s="10" t="n"/>
      <c r="BT143" s="10" t="n"/>
      <c r="BU143" s="10" t="n"/>
      <c r="BV143" s="10" t="n"/>
      <c r="BW143" s="10" t="n"/>
      <c r="BX143" s="10" t="n"/>
      <c r="BY143" s="10" t="n"/>
      <c r="BZ143" s="10" t="n"/>
      <c r="CA143" s="10" t="n"/>
      <c r="CB143" s="10" t="n"/>
      <c r="CC143" s="10" t="n"/>
      <c r="CD143" s="10" t="n"/>
      <c r="CE143" s="10" t="n"/>
      <c r="CF143" s="10" t="inlineStr">
        <is>
          <t>CONSOLIDATED IS — forecast logic (operating income = adjusted OI from the segment build − special items; cost of sales is the balancing line)</t>
        </is>
      </c>
    </row>
    <row r="144" ht="15" customHeight="1" s="251">
      <c r="B144" s="55" t="inlineStr">
        <is>
          <t>Total net sales</t>
        </is>
      </c>
      <c r="C144" s="274" t="n">
        <v>10711</v>
      </c>
      <c r="D144" s="274" t="n">
        <v>14835</v>
      </c>
      <c r="E144" s="274" t="n">
        <v>19166</v>
      </c>
      <c r="F144" s="274" t="n">
        <v>24509</v>
      </c>
      <c r="G144" s="274" t="n">
        <v>34204</v>
      </c>
      <c r="H144" s="274" t="n">
        <v>48077</v>
      </c>
      <c r="I144" s="274" t="n">
        <v>61093</v>
      </c>
      <c r="J144" s="274" t="n">
        <v>16070</v>
      </c>
      <c r="K144" s="274" t="n">
        <v>15704</v>
      </c>
      <c r="L144" s="274" t="n">
        <v>17092</v>
      </c>
      <c r="M144" s="274" t="n">
        <v>25587</v>
      </c>
      <c r="N144" s="274" t="n">
        <v>74452</v>
      </c>
      <c r="O144" s="274" t="n">
        <v>19741</v>
      </c>
      <c r="P144" s="274" t="n">
        <v>19340</v>
      </c>
      <c r="Q144" s="274" t="n">
        <v>20579</v>
      </c>
      <c r="R144" s="274" t="n">
        <v>29328</v>
      </c>
      <c r="S144" s="274" t="n">
        <v>88988</v>
      </c>
      <c r="T144" s="274" t="n">
        <v>22717</v>
      </c>
      <c r="U144" s="274" t="n">
        <v>23185</v>
      </c>
      <c r="V144" s="274" t="n">
        <v>25358</v>
      </c>
      <c r="W144" s="274" t="n">
        <v>35747</v>
      </c>
      <c r="X144" s="274" t="n">
        <v>107006</v>
      </c>
      <c r="Y144" s="274" t="n">
        <v>29128</v>
      </c>
      <c r="Z144" s="274" t="n">
        <v>30404</v>
      </c>
      <c r="AA144" s="274" t="n">
        <v>32714</v>
      </c>
      <c r="AB144" s="274" t="n">
        <v>43741</v>
      </c>
      <c r="AC144" s="274" t="n">
        <v>135987</v>
      </c>
      <c r="AD144" s="274" t="n">
        <v>35714</v>
      </c>
      <c r="AE144" s="274" t="n">
        <v>37955</v>
      </c>
      <c r="AF144" s="274" t="n">
        <v>43744</v>
      </c>
      <c r="AG144" s="274" t="n">
        <v>60453</v>
      </c>
      <c r="AH144" s="274" t="n">
        <v>177866</v>
      </c>
      <c r="AI144" s="274" t="n">
        <v>51042</v>
      </c>
      <c r="AJ144" s="274" t="n">
        <v>52886</v>
      </c>
      <c r="AK144" s="274" t="n">
        <v>56576</v>
      </c>
      <c r="AL144" s="274" t="n">
        <v>72383</v>
      </c>
      <c r="AM144" s="274" t="n">
        <v>232887</v>
      </c>
      <c r="AN144" s="274" t="n">
        <v>59700</v>
      </c>
      <c r="AO144" s="274" t="n">
        <v>63404</v>
      </c>
      <c r="AP144" s="274" t="n">
        <v>69981</v>
      </c>
      <c r="AQ144" s="274" t="n">
        <v>87437</v>
      </c>
      <c r="AR144" s="274" t="n">
        <v>280522</v>
      </c>
      <c r="AS144" s="274" t="n">
        <v>75452</v>
      </c>
      <c r="AT144" s="274" t="n">
        <v>88912</v>
      </c>
      <c r="AU144" s="274" t="n">
        <v>96145</v>
      </c>
      <c r="AV144" s="274" t="n">
        <v>125555</v>
      </c>
      <c r="AW144" s="274" t="n">
        <v>386064</v>
      </c>
      <c r="AX144" s="274" t="n">
        <v>108518</v>
      </c>
      <c r="AY144" s="274" t="n">
        <v>113080</v>
      </c>
      <c r="AZ144" s="274" t="n">
        <v>110812</v>
      </c>
      <c r="BA144" s="274" t="n">
        <v>137412</v>
      </c>
      <c r="BB144" s="274" t="n">
        <v>469822</v>
      </c>
      <c r="BC144" s="274" t="n">
        <v>116444</v>
      </c>
      <c r="BD144" s="274" t="n">
        <v>121234</v>
      </c>
      <c r="BE144" s="274" t="n">
        <v>127101</v>
      </c>
      <c r="BF144" s="274" t="n">
        <v>149204</v>
      </c>
      <c r="BG144" s="274" t="n">
        <v>513983</v>
      </c>
      <c r="BH144" s="274" t="n">
        <v>127358</v>
      </c>
      <c r="BI144" s="274" t="n">
        <v>134383</v>
      </c>
      <c r="BJ144" s="274" t="n">
        <v>143083</v>
      </c>
      <c r="BK144" s="274" t="n">
        <v>169961</v>
      </c>
      <c r="BL144" s="274" t="n">
        <v>574785</v>
      </c>
      <c r="BM144" s="274" t="n">
        <v>143313</v>
      </c>
      <c r="BN144" s="274" t="n">
        <v>147977</v>
      </c>
      <c r="BO144" s="274" t="n">
        <v>158877</v>
      </c>
      <c r="BP144" s="274" t="n">
        <v>187792</v>
      </c>
      <c r="BQ144" s="274" t="n">
        <v>637959</v>
      </c>
      <c r="BR144" s="274" t="n">
        <v>155667</v>
      </c>
      <c r="BS144" s="274" t="n">
        <v>167702</v>
      </c>
      <c r="BT144" s="274" t="n">
        <v>180169</v>
      </c>
      <c r="BU144" s="274" t="n">
        <v>213386</v>
      </c>
      <c r="BV144" s="274" t="n">
        <v>716924</v>
      </c>
      <c r="BW144" s="274" t="n">
        <v>181519</v>
      </c>
      <c r="BX144" s="274" t="n">
        <v>200606</v>
      </c>
      <c r="BY144" s="262">
        <f>BY105</f>
        <v>199500</v>
      </c>
      <c r="BZ144" s="262">
        <f>BZ105</f>
        <v>243897.474008927</v>
      </c>
      <c r="CA144" s="262">
        <f>SUM(BW144:BZ144)</f>
        <v>825522.474008928</v>
      </c>
      <c r="CB144" s="262">
        <f>CB105</f>
        <v>943961.712210567</v>
      </c>
      <c r="CC144" s="262">
        <f>CC105</f>
        <v>1069423.70239271</v>
      </c>
      <c r="CD144" s="262">
        <f>CD105</f>
        <v>1198711.65171464</v>
      </c>
      <c r="CE144" s="262">
        <f>CE105</f>
        <v>1330223.04732592</v>
      </c>
      <c r="CF144" s="153" t="inlineStr">
        <is>
          <t>Forecast linked to the segment build.</t>
        </is>
      </c>
      <c r="CH144" s="20">
        <f>IFERROR((CE144/BV144)^(1/5)-1,"n/m")</f>
        <v>0.131593045640937</v>
      </c>
      <c r="CI144" s="20">
        <f>IFERROR((BV144/AW144)^(1/5)-1,"n/m")</f>
        <v>0.13178194800406</v>
      </c>
      <c r="CJ144" s="20">
        <f>IFERROR((BV144/X144)^(1/10)-1,"n/m")</f>
        <v>0.209501744031962</v>
      </c>
      <c r="CK144" s="20">
        <f>IFERROR((BV144/C144)^(1/19)-1,"n/m")</f>
        <v>0.247631924372161</v>
      </c>
    </row>
    <row r="145" ht="15" customHeight="1" s="251">
      <c r="B145" s="156" t="inlineStr">
        <is>
          <t xml:space="preserve">  Memo: net product sales</t>
        </is>
      </c>
      <c r="C145" s="34" t="n"/>
      <c r="D145" s="34" t="n"/>
      <c r="E145" s="34" t="n"/>
      <c r="F145" s="34" t="n"/>
      <c r="G145" s="34" t="n"/>
      <c r="H145" s="34" t="n"/>
      <c r="I145" s="253" t="n">
        <v>51733</v>
      </c>
      <c r="J145" s="253" t="n">
        <v>13271</v>
      </c>
      <c r="K145" s="253" t="n">
        <v>12752</v>
      </c>
      <c r="L145" s="253" t="n">
        <v>13808</v>
      </c>
      <c r="M145" s="253" t="n">
        <v>21072</v>
      </c>
      <c r="N145" s="253" t="n">
        <v>60903</v>
      </c>
      <c r="O145" s="253" t="n">
        <v>15705</v>
      </c>
      <c r="P145" s="253" t="n">
        <v>15251</v>
      </c>
      <c r="Q145" s="253" t="n">
        <v>16022</v>
      </c>
      <c r="R145" s="253" t="n">
        <v>23102</v>
      </c>
      <c r="S145" s="253" t="n">
        <v>70080</v>
      </c>
      <c r="T145" s="253" t="n">
        <v>17084</v>
      </c>
      <c r="U145" s="253" t="n">
        <v>17104</v>
      </c>
      <c r="V145" s="253" t="n">
        <v>18463</v>
      </c>
      <c r="W145" s="253" t="n">
        <v>26618</v>
      </c>
      <c r="X145" s="253" t="n">
        <v>79268</v>
      </c>
      <c r="Y145" s="253" t="n">
        <v>20581</v>
      </c>
      <c r="Z145" s="253" t="n">
        <v>21116</v>
      </c>
      <c r="AA145" s="253" t="n">
        <v>22339</v>
      </c>
      <c r="AB145" s="253" t="n">
        <v>30629</v>
      </c>
      <c r="AC145" s="253" t="n">
        <v>94665</v>
      </c>
      <c r="AD145" s="253" t="n">
        <v>23734</v>
      </c>
      <c r="AE145" s="253" t="n">
        <v>24745</v>
      </c>
      <c r="AF145" s="253" t="n">
        <v>28768</v>
      </c>
      <c r="AG145" s="253" t="n">
        <v>41325</v>
      </c>
      <c r="AH145" s="253" t="n">
        <v>118573</v>
      </c>
      <c r="AI145" s="253" t="n">
        <v>31605</v>
      </c>
      <c r="AJ145" s="253" t="n">
        <v>31864</v>
      </c>
      <c r="AK145" s="253" t="n">
        <v>33746</v>
      </c>
      <c r="AL145" s="253" t="n">
        <v>44700</v>
      </c>
      <c r="AM145" s="253" t="n">
        <v>141915</v>
      </c>
      <c r="AN145" s="253" t="n">
        <v>34283</v>
      </c>
      <c r="AO145" s="253" t="n">
        <v>35856</v>
      </c>
      <c r="AP145" s="253" t="n">
        <v>39726</v>
      </c>
      <c r="AQ145" s="253" t="n">
        <v>50542</v>
      </c>
      <c r="AR145" s="253" t="n">
        <v>160408</v>
      </c>
      <c r="AS145" s="253" t="n">
        <v>41841</v>
      </c>
      <c r="AT145" s="253" t="n">
        <v>50244</v>
      </c>
      <c r="AU145" s="253" t="n">
        <v>52774</v>
      </c>
      <c r="AV145" s="253" t="n">
        <v>71056</v>
      </c>
      <c r="AW145" s="253" t="n">
        <v>215915</v>
      </c>
      <c r="AX145" s="253" t="n">
        <v>57491</v>
      </c>
      <c r="AY145" s="253" t="n">
        <v>58004</v>
      </c>
      <c r="AZ145" s="253" t="n">
        <v>54876</v>
      </c>
      <c r="BA145" s="253" t="n">
        <v>71416</v>
      </c>
      <c r="BB145" s="253" t="n">
        <v>241787</v>
      </c>
      <c r="BC145" s="253" t="n">
        <v>56455</v>
      </c>
      <c r="BD145" s="253" t="n">
        <v>56575</v>
      </c>
      <c r="BE145" s="253" t="n">
        <v>59340</v>
      </c>
      <c r="BF145" s="253" t="n">
        <v>70531</v>
      </c>
      <c r="BG145" s="253" t="n">
        <v>242901</v>
      </c>
      <c r="BH145" s="253" t="n">
        <v>56981</v>
      </c>
      <c r="BI145" s="253" t="n">
        <v>59032</v>
      </c>
      <c r="BJ145" s="253" t="n">
        <v>63171</v>
      </c>
      <c r="BK145" s="253" t="n">
        <v>76703</v>
      </c>
      <c r="BL145" s="253" t="n">
        <v>255887</v>
      </c>
      <c r="BM145" s="253" t="n">
        <v>60915</v>
      </c>
      <c r="BN145" s="253" t="n">
        <v>61569</v>
      </c>
      <c r="BO145" s="253" t="n">
        <v>67601</v>
      </c>
      <c r="BP145" s="253" t="n">
        <v>82226</v>
      </c>
      <c r="BQ145" s="253" t="n">
        <v>272311</v>
      </c>
      <c r="BR145" s="253" t="n">
        <v>63970</v>
      </c>
      <c r="BS145" s="253" t="n">
        <v>68246</v>
      </c>
      <c r="BT145" s="253" t="n">
        <v>74058</v>
      </c>
      <c r="BU145" s="253" t="n">
        <v>89992</v>
      </c>
      <c r="BV145" s="253" t="n">
        <v>296266</v>
      </c>
      <c r="BW145" s="253" t="n">
        <v>71304</v>
      </c>
      <c r="BX145" s="253" t="n">
        <v>77602</v>
      </c>
      <c r="BY145" s="153" t="n"/>
      <c r="BZ145" s="153" t="n"/>
      <c r="CA145" s="153" t="n"/>
      <c r="CB145" s="153" t="n"/>
      <c r="CC145" s="153" t="n"/>
      <c r="CD145" s="153" t="n"/>
      <c r="CE145" s="153" t="n"/>
      <c r="CF145" s="153" t="n"/>
    </row>
    <row r="146" ht="15" customHeight="1" s="251">
      <c r="B146" s="156" t="inlineStr">
        <is>
          <t xml:space="preserve">  Memo: net service sales</t>
        </is>
      </c>
      <c r="C146" s="34" t="n"/>
      <c r="D146" s="34" t="n"/>
      <c r="E146" s="34" t="n"/>
      <c r="F146" s="34" t="n"/>
      <c r="G146" s="34" t="n"/>
      <c r="H146" s="34" t="n"/>
      <c r="I146" s="253" t="n">
        <v>9360</v>
      </c>
      <c r="J146" s="253" t="n">
        <v>2799</v>
      </c>
      <c r="K146" s="253" t="n">
        <v>2952</v>
      </c>
      <c r="L146" s="253" t="n">
        <v>3284</v>
      </c>
      <c r="M146" s="253" t="n">
        <v>4515</v>
      </c>
      <c r="N146" s="253" t="n">
        <v>13549</v>
      </c>
      <c r="O146" s="253" t="n">
        <v>4036</v>
      </c>
      <c r="P146" s="253" t="n">
        <v>4089</v>
      </c>
      <c r="Q146" s="253" t="n">
        <v>4557</v>
      </c>
      <c r="R146" s="253" t="n">
        <v>6226</v>
      </c>
      <c r="S146" s="253" t="n">
        <v>18908</v>
      </c>
      <c r="T146" s="253" t="n">
        <v>5633</v>
      </c>
      <c r="U146" s="253" t="n">
        <v>6081</v>
      </c>
      <c r="V146" s="253" t="n">
        <v>6895</v>
      </c>
      <c r="W146" s="253" t="n">
        <v>9129</v>
      </c>
      <c r="X146" s="253" t="n">
        <v>27738</v>
      </c>
      <c r="Y146" s="253" t="n">
        <v>8547</v>
      </c>
      <c r="Z146" s="253" t="n">
        <v>9288</v>
      </c>
      <c r="AA146" s="253" t="n">
        <v>10375</v>
      </c>
      <c r="AB146" s="253" t="n">
        <v>13112</v>
      </c>
      <c r="AC146" s="253" t="n">
        <v>41322</v>
      </c>
      <c r="AD146" s="253" t="n">
        <v>11980</v>
      </c>
      <c r="AE146" s="253" t="n">
        <v>13210</v>
      </c>
      <c r="AF146" s="253" t="n">
        <v>14976</v>
      </c>
      <c r="AG146" s="253" t="n">
        <v>19128</v>
      </c>
      <c r="AH146" s="253" t="n">
        <v>59293</v>
      </c>
      <c r="AI146" s="253" t="n">
        <v>19437</v>
      </c>
      <c r="AJ146" s="253" t="n">
        <v>21022</v>
      </c>
      <c r="AK146" s="253" t="n">
        <v>22830</v>
      </c>
      <c r="AL146" s="253" t="n">
        <v>27683</v>
      </c>
      <c r="AM146" s="253" t="n">
        <v>90972</v>
      </c>
      <c r="AN146" s="253" t="n">
        <v>25417</v>
      </c>
      <c r="AO146" s="253" t="n">
        <v>27548</v>
      </c>
      <c r="AP146" s="253" t="n">
        <v>30255</v>
      </c>
      <c r="AQ146" s="253" t="n">
        <v>36895</v>
      </c>
      <c r="AR146" s="253" t="n">
        <v>120114</v>
      </c>
      <c r="AS146" s="253" t="n">
        <v>33611</v>
      </c>
      <c r="AT146" s="253" t="n">
        <v>38668</v>
      </c>
      <c r="AU146" s="253" t="n">
        <v>43371</v>
      </c>
      <c r="AV146" s="253" t="n">
        <v>54499</v>
      </c>
      <c r="AW146" s="253" t="n">
        <v>170149</v>
      </c>
      <c r="AX146" s="253" t="n">
        <v>51027</v>
      </c>
      <c r="AY146" s="253" t="n">
        <v>55076</v>
      </c>
      <c r="AZ146" s="253" t="n">
        <v>55936</v>
      </c>
      <c r="BA146" s="253" t="n">
        <v>65996</v>
      </c>
      <c r="BB146" s="253" t="n">
        <v>228035</v>
      </c>
      <c r="BC146" s="253" t="n">
        <v>59989</v>
      </c>
      <c r="BD146" s="253" t="n">
        <v>64659</v>
      </c>
      <c r="BE146" s="253" t="n">
        <v>67761</v>
      </c>
      <c r="BF146" s="253" t="n">
        <v>78673</v>
      </c>
      <c r="BG146" s="253" t="n">
        <v>271082</v>
      </c>
      <c r="BH146" s="253" t="n">
        <v>70377</v>
      </c>
      <c r="BI146" s="253" t="n">
        <v>75351</v>
      </c>
      <c r="BJ146" s="253" t="n">
        <v>79912</v>
      </c>
      <c r="BK146" s="253" t="n">
        <v>93258</v>
      </c>
      <c r="BL146" s="253" t="n">
        <v>318898</v>
      </c>
      <c r="BM146" s="253" t="n">
        <v>82398</v>
      </c>
      <c r="BN146" s="253" t="n">
        <v>86408</v>
      </c>
      <c r="BO146" s="253" t="n">
        <v>91276</v>
      </c>
      <c r="BP146" s="253" t="n">
        <v>105566</v>
      </c>
      <c r="BQ146" s="253" t="n">
        <v>365648</v>
      </c>
      <c r="BR146" s="253" t="n">
        <v>91697</v>
      </c>
      <c r="BS146" s="253" t="n">
        <v>99456</v>
      </c>
      <c r="BT146" s="253" t="n">
        <v>106111</v>
      </c>
      <c r="BU146" s="253" t="n">
        <v>123394</v>
      </c>
      <c r="BV146" s="253" t="n">
        <v>420658</v>
      </c>
      <c r="BW146" s="253" t="n">
        <v>110215</v>
      </c>
      <c r="BX146" s="253" t="n">
        <v>123004</v>
      </c>
      <c r="BY146" s="153" t="n"/>
      <c r="BZ146" s="153" t="n"/>
      <c r="CA146" s="153" t="n"/>
      <c r="CB146" s="153" t="n"/>
      <c r="CC146" s="153" t="n"/>
      <c r="CD146" s="153" t="n"/>
      <c r="CE146" s="153" t="n"/>
      <c r="CF146" s="153" t="n"/>
    </row>
    <row r="147" ht="15" customHeight="1" s="251">
      <c r="B147" s="25" t="inlineStr">
        <is>
          <t>Cost of sales</t>
        </is>
      </c>
      <c r="C147" s="253" t="n">
        <v>8255</v>
      </c>
      <c r="D147" s="253" t="n">
        <v>11482</v>
      </c>
      <c r="E147" s="253" t="n">
        <v>14896</v>
      </c>
      <c r="F147" s="253" t="n">
        <v>18978</v>
      </c>
      <c r="G147" s="253" t="n">
        <v>26561</v>
      </c>
      <c r="H147" s="253" t="n">
        <v>37288</v>
      </c>
      <c r="I147" s="253" t="n">
        <v>45971</v>
      </c>
      <c r="J147" s="253" t="n">
        <v>11801</v>
      </c>
      <c r="K147" s="253" t="n">
        <v>11209</v>
      </c>
      <c r="L147" s="253" t="n">
        <v>12366</v>
      </c>
      <c r="M147" s="253" t="n">
        <v>18806</v>
      </c>
      <c r="N147" s="253" t="n">
        <v>54181</v>
      </c>
      <c r="O147" s="253" t="n">
        <v>14055</v>
      </c>
      <c r="P147" s="253" t="n">
        <v>13399</v>
      </c>
      <c r="Q147" s="253" t="n">
        <v>14627</v>
      </c>
      <c r="R147" s="253" t="n">
        <v>20671</v>
      </c>
      <c r="S147" s="253" t="n">
        <v>62752</v>
      </c>
      <c r="T147" s="253" t="n">
        <v>15395</v>
      </c>
      <c r="U147" s="253" t="n">
        <v>15160</v>
      </c>
      <c r="V147" s="253" t="n">
        <v>16755</v>
      </c>
      <c r="W147" s="253" t="n">
        <v>24341</v>
      </c>
      <c r="X147" s="253" t="n">
        <v>71651</v>
      </c>
      <c r="Y147" s="253" t="n">
        <v>18866</v>
      </c>
      <c r="Z147" s="253" t="n">
        <v>19180</v>
      </c>
      <c r="AA147" s="253" t="n">
        <v>21260</v>
      </c>
      <c r="AB147" s="253" t="n">
        <v>28958</v>
      </c>
      <c r="AC147" s="253" t="n">
        <v>88265</v>
      </c>
      <c r="AD147" s="253" t="n">
        <v>22440</v>
      </c>
      <c r="AE147" s="253" t="n">
        <v>23451</v>
      </c>
      <c r="AF147" s="253" t="n">
        <v>27549</v>
      </c>
      <c r="AG147" s="253" t="n">
        <v>38494</v>
      </c>
      <c r="AH147" s="253" t="n">
        <v>111934</v>
      </c>
      <c r="AI147" s="253" t="n">
        <v>30735</v>
      </c>
      <c r="AJ147" s="253" t="n">
        <v>30632</v>
      </c>
      <c r="AK147" s="253" t="n">
        <v>33003</v>
      </c>
      <c r="AL147" s="253" t="n">
        <v>44786</v>
      </c>
      <c r="AM147" s="253" t="n">
        <v>139156</v>
      </c>
      <c r="AN147" s="253" t="n">
        <v>33920</v>
      </c>
      <c r="AO147" s="253" t="n">
        <v>36337</v>
      </c>
      <c r="AP147" s="253" t="n">
        <v>41302</v>
      </c>
      <c r="AQ147" s="253" t="n">
        <v>53977</v>
      </c>
      <c r="AR147" s="253" t="n">
        <v>165536</v>
      </c>
      <c r="AS147" s="253" t="n">
        <v>44257</v>
      </c>
      <c r="AT147" s="253" t="n">
        <v>52660</v>
      </c>
      <c r="AU147" s="253" t="n">
        <v>57106</v>
      </c>
      <c r="AV147" s="253" t="n">
        <v>79284</v>
      </c>
      <c r="AW147" s="253" t="n">
        <v>233307</v>
      </c>
      <c r="AX147" s="253" t="n">
        <v>62403</v>
      </c>
      <c r="AY147" s="253" t="n">
        <v>64176</v>
      </c>
      <c r="AZ147" s="253" t="n">
        <v>62930</v>
      </c>
      <c r="BA147" s="253" t="n">
        <v>82835</v>
      </c>
      <c r="BB147" s="253" t="n">
        <v>272344</v>
      </c>
      <c r="BC147" s="253" t="n">
        <v>66499</v>
      </c>
      <c r="BD147" s="253" t="n">
        <v>66424</v>
      </c>
      <c r="BE147" s="253" t="n">
        <v>70268</v>
      </c>
      <c r="BF147" s="253" t="n">
        <v>85640</v>
      </c>
      <c r="BG147" s="253" t="n">
        <v>288831</v>
      </c>
      <c r="BH147" s="253" t="n">
        <v>67791</v>
      </c>
      <c r="BI147" s="253" t="n">
        <v>69373</v>
      </c>
      <c r="BJ147" s="253" t="n">
        <v>75022</v>
      </c>
      <c r="BK147" s="253" t="n">
        <v>92553</v>
      </c>
      <c r="BL147" s="253" t="n">
        <v>304739</v>
      </c>
      <c r="BM147" s="253" t="n">
        <v>72633</v>
      </c>
      <c r="BN147" s="253" t="n">
        <v>73785</v>
      </c>
      <c r="BO147" s="253" t="n">
        <v>80977</v>
      </c>
      <c r="BP147" s="253" t="n">
        <v>98893</v>
      </c>
      <c r="BQ147" s="253" t="n">
        <v>326288</v>
      </c>
      <c r="BR147" s="253" t="n">
        <v>76976</v>
      </c>
      <c r="BS147" s="253" t="n">
        <v>80809</v>
      </c>
      <c r="BT147" s="253" t="n">
        <v>88670</v>
      </c>
      <c r="BU147" s="253" t="n">
        <v>109959</v>
      </c>
      <c r="BV147" s="253" t="n">
        <v>356414</v>
      </c>
      <c r="BW147" s="253" t="n">
        <v>87463</v>
      </c>
      <c r="BX147" s="253" t="n">
        <v>95778</v>
      </c>
      <c r="BY147" s="254">
        <f>BY144-BY154-BY149-BY150-BY151-BY152-BY153</f>
        <v>97755.6478851467</v>
      </c>
      <c r="BZ147" s="254">
        <f>BZ144-BZ154-BZ149-BZ150-BZ151-BZ152-BZ153</f>
        <v>126745.633136883</v>
      </c>
      <c r="CA147" s="254">
        <f>SUM(BW147:BZ147)</f>
        <v>407742.28102203</v>
      </c>
      <c r="CB147" s="254">
        <f>CB144-CB154-CB149-CB150-CB151-CB152-CB153</f>
        <v>444163.118205805</v>
      </c>
      <c r="CC147" s="254">
        <f>CC144-CC154-CC149-CC150-CC151-CC152-CC153</f>
        <v>491841.786238749</v>
      </c>
      <c r="CD147" s="254">
        <f>CD144-CD154-CD149-CD150-CD151-CD152-CD153</f>
        <v>542775.694481146</v>
      </c>
      <c r="CE147" s="254">
        <f>CE144-CE154-CE149-CE150-CE151-CE152-CE153</f>
        <v>592475.772235591</v>
      </c>
      <c r="CF147" s="19" t="inlineStr">
        <is>
          <t>Forecast = net sales − operating income − other operating expense lines (balancing line).</t>
        </is>
      </c>
    </row>
    <row r="148" ht="15" customHeight="1" s="251">
      <c r="B148" s="25" t="inlineStr">
        <is>
          <t xml:space="preserve">  Gross margin % (net sales less cost of sales; FY2006–09 releases presented gross profit)</t>
        </is>
      </c>
      <c r="C148" s="215">
        <f>IF(ISNUMBER(C147),IFERROR(1-C147/C144,""),"")</f>
        <v>0.229296984408552</v>
      </c>
      <c r="D148" s="215">
        <f>IF(ISNUMBER(D147),IFERROR(1-D147/D144,""),"")</f>
        <v>0.226019548365352</v>
      </c>
      <c r="E148" s="215">
        <f>IF(ISNUMBER(E147),IFERROR(1-E147/E144,""),"")</f>
        <v>0.222790357925493</v>
      </c>
      <c r="F148" s="215">
        <f>IF(ISNUMBER(F147),IFERROR(1-F147/F144,""),"")</f>
        <v>0.225672202048227</v>
      </c>
      <c r="G148" s="215">
        <f>IF(ISNUMBER(G147),IFERROR(1-G147/G144,""),"")</f>
        <v>0.223453397263478</v>
      </c>
      <c r="H148" s="215">
        <f>IF(ISNUMBER(H147),IFERROR(1-H147/H144,""),"")</f>
        <v>0.224410840942655</v>
      </c>
      <c r="I148" s="215">
        <f>IF(ISNUMBER(I147),IFERROR(1-I147/I144,""),"")</f>
        <v>0.247524266282553</v>
      </c>
      <c r="J148" s="215">
        <f>IF(ISNUMBER(J147),IFERROR(1-J147/J144,""),"")</f>
        <v>0.265650280024891</v>
      </c>
      <c r="K148" s="215">
        <f>IF(ISNUMBER(K147),IFERROR(1-K147/K144,""),"")</f>
        <v>0.286232806928171</v>
      </c>
      <c r="L148" s="215">
        <f>IF(ISNUMBER(L147),IFERROR(1-L147/L144,""),"")</f>
        <v>0.276503627428036</v>
      </c>
      <c r="M148" s="215">
        <f>IF(ISNUMBER(M147),IFERROR(1-M147/M144,""),"")</f>
        <v>0.265017391644194</v>
      </c>
      <c r="N148" s="215">
        <f>IF(ISNUMBER(N147),IFERROR(1-N147/N144,""),"")</f>
        <v>0.272269381615</v>
      </c>
      <c r="O148" s="215">
        <f>IF(ISNUMBER(O147),IFERROR(1-O147/O144,""),"")</f>
        <v>0.288029988349121</v>
      </c>
      <c r="P148" s="215">
        <f>IF(ISNUMBER(P147),IFERROR(1-P147/P144,""),"")</f>
        <v>0.307187176835574</v>
      </c>
      <c r="Q148" s="215">
        <f>IF(ISNUMBER(Q147),IFERROR(1-Q147/Q144,""),"")</f>
        <v>0.289226881772681</v>
      </c>
      <c r="R148" s="215">
        <f>IF(ISNUMBER(R147),IFERROR(1-R147/R144,""),"")</f>
        <v>0.295178668848882</v>
      </c>
      <c r="S148" s="215">
        <f>IF(ISNUMBER(S147),IFERROR(1-S147/S144,""),"")</f>
        <v>0.294826268710388</v>
      </c>
      <c r="T148" s="215">
        <f>IF(ISNUMBER(T147),IFERROR(1-T147/T144,""),"")</f>
        <v>0.322313685785975</v>
      </c>
      <c r="U148" s="215">
        <f>IF(ISNUMBER(U147),IFERROR(1-U147/U144,""),"")</f>
        <v>0.346128962691395</v>
      </c>
      <c r="V148" s="215">
        <f>IF(ISNUMBER(V147),IFERROR(1-V147/V144,""),"")</f>
        <v>0.339261771433078</v>
      </c>
      <c r="W148" s="215">
        <f>IF(ISNUMBER(W147),IFERROR(1-W147/W144,""),"")</f>
        <v>0.319075726634403</v>
      </c>
      <c r="X148" s="215">
        <f>IF(ISNUMBER(X147),IFERROR(1-X147/X144,""),"")</f>
        <v>0.33040203353083</v>
      </c>
      <c r="Y148" s="215">
        <f>IF(ISNUMBER(Y147),IFERROR(1-Y147/Y144,""),"")</f>
        <v>0.352307058500412</v>
      </c>
      <c r="Z148" s="215">
        <f>IF(ISNUMBER(Z147),IFERROR(1-Z147/Z144,""),"")</f>
        <v>0.369161952374688</v>
      </c>
      <c r="AA148" s="215">
        <f>IF(ISNUMBER(AA147),IFERROR(1-AA147/AA144,""),"")</f>
        <v>0.35012532860549</v>
      </c>
      <c r="AB148" s="215">
        <f>IF(ISNUMBER(AB147),IFERROR(1-AB147/AB144,""),"")</f>
        <v>0.337966667428728</v>
      </c>
      <c r="AC148" s="215">
        <f>IF(ISNUMBER(AC147),IFERROR(1-AC147/AC144,""),"")</f>
        <v>0.350930603660644</v>
      </c>
      <c r="AD148" s="215">
        <f>IF(ISNUMBER(AD147),IFERROR(1-AD147/AD144,""),"")</f>
        <v>0.371674973399787</v>
      </c>
      <c r="AE148" s="215">
        <f>IF(ISNUMBER(AE147),IFERROR(1-AE147/AE144,""),"")</f>
        <v>0.382136740877355</v>
      </c>
      <c r="AF148" s="215">
        <f>IF(ISNUMBER(AF147),IFERROR(1-AF147/AF144,""),"")</f>
        <v>0.370222201901975</v>
      </c>
      <c r="AG148" s="215">
        <f>IF(ISNUMBER(AG147),IFERROR(1-AG147/AG144,""),"")</f>
        <v>0.363240864804063</v>
      </c>
      <c r="AH148" s="215">
        <f>IF(ISNUMBER(AH147),IFERROR(1-AH147/AH144,""),"")</f>
        <v>0.370683548289162</v>
      </c>
      <c r="AI148" s="215">
        <f>IF(ISNUMBER(AI147),IFERROR(1-AI147/AI144,""),"")</f>
        <v>0.397848830374985</v>
      </c>
      <c r="AJ148" s="215">
        <f>IF(ISNUMBER(AJ147),IFERROR(1-AJ147/AJ144,""),"")</f>
        <v>0.420791891994101</v>
      </c>
      <c r="AK148" s="215">
        <f>IF(ISNUMBER(AK147),IFERROR(1-AK147/AK144,""),"")</f>
        <v>0.416660774886878</v>
      </c>
      <c r="AL148" s="215">
        <f>IF(ISNUMBER(AL147),IFERROR(1-AL147/AL144,""),"")</f>
        <v>0.381263556359919</v>
      </c>
      <c r="AM148" s="215">
        <f>IF(ISNUMBER(AM147),IFERROR(1-AM147/AM144,""),"")</f>
        <v>0.402474161288522</v>
      </c>
      <c r="AN148" s="215">
        <f>IF(ISNUMBER(AN147),IFERROR(1-AN147/AN144,""),"")</f>
        <v>0.431825795644891</v>
      </c>
      <c r="AO148" s="215">
        <f>IF(ISNUMBER(AO147),IFERROR(1-AO147/AO144,""),"")</f>
        <v>0.426897356633651</v>
      </c>
      <c r="AP148" s="215">
        <f>IF(ISNUMBER(AP147),IFERROR(1-AP147/AP144,""),"")</f>
        <v>0.40981123447793</v>
      </c>
      <c r="AQ148" s="215">
        <f>IF(ISNUMBER(AQ147),IFERROR(1-AQ147/AQ144,""),"")</f>
        <v>0.382675526378993</v>
      </c>
      <c r="AR148" s="215">
        <f>IF(ISNUMBER(AR147),IFERROR(1-AR147/AR144,""),"")</f>
        <v>0.409900114786006</v>
      </c>
      <c r="AS148" s="215">
        <f>IF(ISNUMBER(AS147),IFERROR(1-AS147/AS144,""),"")</f>
        <v>0.413441658272809</v>
      </c>
      <c r="AT148" s="215">
        <f>IF(ISNUMBER(AT147),IFERROR(1-AT147/AT144,""),"")</f>
        <v>0.40772899046248</v>
      </c>
      <c r="AU148" s="215">
        <f>IF(ISNUMBER(AU147),IFERROR(1-AU147/AU144,""),"")</f>
        <v>0.406042955951948</v>
      </c>
      <c r="AV148" s="215">
        <f>IF(ISNUMBER(AV147),IFERROR(1-AV147/AV144,""),"")</f>
        <v>0.368531719166899</v>
      </c>
      <c r="AW148" s="215">
        <f>IF(ISNUMBER(AW147),IFERROR(1-AW147/AW144,""),"")</f>
        <v>0.395677918687057</v>
      </c>
      <c r="AX148" s="215">
        <f>IF(ISNUMBER(AX147),IFERROR(1-AX147/AX144,""),"")</f>
        <v>0.424952542435356</v>
      </c>
      <c r="AY148" s="215">
        <f>IF(ISNUMBER(AY147),IFERROR(1-AY147/AY144,""),"")</f>
        <v>0.432472585779979</v>
      </c>
      <c r="AZ148" s="215">
        <f>IF(ISNUMBER(AZ147),IFERROR(1-AZ147/AZ144,""),"")</f>
        <v>0.43210121647475</v>
      </c>
      <c r="BA148" s="215">
        <f>IF(ISNUMBER(BA147),IFERROR(1-BA147/BA144,""),"")</f>
        <v>0.397177830174948</v>
      </c>
      <c r="BB148" s="215">
        <f>IF(ISNUMBER(BB147),IFERROR(1-BB147/BB144,""),"")</f>
        <v>0.420325144416396</v>
      </c>
      <c r="BC148" s="215">
        <f>IF(ISNUMBER(BC147),IFERROR(1-BC147/BC144,""),"")</f>
        <v>0.428918621826801</v>
      </c>
      <c r="BD148" s="215">
        <f>IF(ISNUMBER(BD147),IFERROR(1-BD147/BD144,""),"")</f>
        <v>0.45210089578831</v>
      </c>
      <c r="BE148" s="215">
        <f>IF(ISNUMBER(BE147),IFERROR(1-BE147/BE144,""),"")</f>
        <v>0.447148330854989</v>
      </c>
      <c r="BF148" s="215">
        <f>IF(ISNUMBER(BF147),IFERROR(1-BF147/BF144,""),"")</f>
        <v>0.426020750113938</v>
      </c>
      <c r="BG148" s="215">
        <f>IF(ISNUMBER(BG147),IFERROR(1-BG147/BG144,""),"")</f>
        <v>0.438053398653263</v>
      </c>
      <c r="BH148" s="215">
        <f>IF(ISNUMBER(BH147),IFERROR(1-BH147/BH144,""),"")</f>
        <v>0.467713060820679</v>
      </c>
      <c r="BI148" s="215">
        <f>IF(ISNUMBER(BI147),IFERROR(1-BI147/BI144,""),"")</f>
        <v>0.483766547852035</v>
      </c>
      <c r="BJ148" s="215">
        <f>IF(ISNUMBER(BJ147),IFERROR(1-BJ147/BJ144,""),"")</f>
        <v>0.475674957891573</v>
      </c>
      <c r="BK148" s="215">
        <f>IF(ISNUMBER(BK147),IFERROR(1-BK147/BK144,""),"")</f>
        <v>0.45544566106342</v>
      </c>
      <c r="BL148" s="215">
        <f>IF(ISNUMBER(BL147),IFERROR(1-BL147/BL144,""),"")</f>
        <v>0.469820889550006</v>
      </c>
      <c r="BM148" s="215">
        <f>IF(ISNUMBER(BM147),IFERROR(1-BM147/BM144,""),"")</f>
        <v>0.493186242699546</v>
      </c>
      <c r="BN148" s="215">
        <f>IF(ISNUMBER(BN147),IFERROR(1-BN147/BN144,""),"")</f>
        <v>0.501375213715645</v>
      </c>
      <c r="BO148" s="215">
        <f>IF(ISNUMBER(BO147),IFERROR(1-BO147/BO144,""),"")</f>
        <v>0.49031640829069</v>
      </c>
      <c r="BP148" s="215">
        <f>IF(ISNUMBER(BP147),IFERROR(1-BP147/BP144,""),"")</f>
        <v>0.473390772769873</v>
      </c>
      <c r="BQ148" s="215">
        <f>IF(ISNUMBER(BQ147),IFERROR(1-BQ147/BQ144,""),"")</f>
        <v>0.488543934641568</v>
      </c>
      <c r="BR148" s="215">
        <f>IF(ISNUMBER(BR147),IFERROR(1-BR147/BR144,""),"")</f>
        <v>0.505508553514875</v>
      </c>
      <c r="BS148" s="215">
        <f>IF(ISNUMBER(BS147),IFERROR(1-BS147/BS144,""),"")</f>
        <v>0.518139318553148</v>
      </c>
      <c r="BT148" s="215">
        <f>IF(ISNUMBER(BT147),IFERROR(1-BT147/BT144,""),"")</f>
        <v>0.507850962152202</v>
      </c>
      <c r="BU148" s="215">
        <f>IF(ISNUMBER(BU147),IFERROR(1-BU147/BU144,""),"")</f>
        <v>0.484694403569119</v>
      </c>
      <c r="BV148" s="215">
        <f>IF(ISNUMBER(BV147),IFERROR(1-BV147/BV144,""),"")</f>
        <v>0.502856648682427</v>
      </c>
      <c r="BW148" s="215">
        <f>IF(ISNUMBER(BW147),IFERROR(1-BW147/BW144,""),"")</f>
        <v>0.518160633322132</v>
      </c>
      <c r="BX148" s="215">
        <f>IF(ISNUMBER(BX147),IFERROR(1-BX147/BX144,""),"")</f>
        <v>0.522556653340379</v>
      </c>
      <c r="BY148" s="256">
        <f>IF(ISNUMBER(BY147),IFERROR(1-BY147/BY144,""),"")</f>
        <v>0.509996752455405</v>
      </c>
      <c r="BZ148" s="256">
        <f>IF(ISNUMBER(BZ147),IFERROR(1-BZ147/BZ144,""),"")</f>
        <v>0.480332325490816</v>
      </c>
      <c r="CA148" s="256">
        <f>IF(ISNUMBER(CA147),IFERROR(1-CA147/CA144,""),"")</f>
        <v>0.50607973270317</v>
      </c>
      <c r="CB148" s="256">
        <f>IF(ISNUMBER(CB147),IFERROR(1-CB147/CB144,""),"")</f>
        <v>0.529469137931808</v>
      </c>
      <c r="CC148" s="256">
        <f>IF(ISNUMBER(CC147),IFERROR(1-CC147/CC144,""),"")</f>
        <v>0.540087072001199</v>
      </c>
      <c r="CD148" s="256">
        <f>IF(ISNUMBER(CD147),IFERROR(1-CD147/CD144,""),"")</f>
        <v>0.547200785355879</v>
      </c>
      <c r="CE148" s="256">
        <f>IF(ISNUMBER(CE147),IFERROR(1-CE147/CE144,""),"")</f>
        <v>0.554604189555566</v>
      </c>
      <c r="CF148" s="153" t="n"/>
      <c r="CH148" s="37">
        <f>IFERROR(AVERAGE(CA148,CB148,CC148,CD148,CE148),"n/m")</f>
        <v>0.535488183509524</v>
      </c>
      <c r="CI148" s="37">
        <f>IFERROR(AVERAGE(BB148,BG148,BL148,BQ148,BV148),"n/m")</f>
        <v>0.463920003188732</v>
      </c>
      <c r="CJ148" s="37">
        <f>IFERROR(AVERAGE(AC148,AH148,AM148,AR148,AW148,BB148,BG148,BL148,BQ148,BV148),"n/m")</f>
        <v>0.424926636265505</v>
      </c>
      <c r="CK148" s="37">
        <f>IFERROR(AVERAGE(C148,D148,E148,F148,G148,H148,I148,N148,S148,X148,AC148,AH148,AM148,AR148,AW148,BB148,BG148,BL148,BQ148,BV148),"n/m")</f>
        <v>0.337296582187379</v>
      </c>
    </row>
    <row r="149" collapsed="1" ht="15" customHeight="1" s="251">
      <c r="B149" s="25" t="inlineStr">
        <is>
          <t>Fulfillment</t>
        </is>
      </c>
      <c r="C149" s="253" t="n">
        <v>937</v>
      </c>
      <c r="D149" s="253" t="n">
        <v>1292</v>
      </c>
      <c r="E149" s="253" t="n">
        <v>1658</v>
      </c>
      <c r="F149" s="253" t="n">
        <v>2052</v>
      </c>
      <c r="G149" s="253" t="n">
        <v>2898</v>
      </c>
      <c r="H149" s="253" t="n">
        <v>4576</v>
      </c>
      <c r="I149" s="253" t="n">
        <v>6419</v>
      </c>
      <c r="J149" s="253" t="n">
        <v>1796</v>
      </c>
      <c r="K149" s="253" t="n">
        <v>1837</v>
      </c>
      <c r="L149" s="253" t="n">
        <v>2034</v>
      </c>
      <c r="M149" s="253" t="n">
        <v>2918</v>
      </c>
      <c r="N149" s="253" t="n">
        <v>8585</v>
      </c>
      <c r="O149" s="253" t="n">
        <v>2317</v>
      </c>
      <c r="P149" s="253" t="n">
        <v>2382</v>
      </c>
      <c r="Q149" s="253" t="n">
        <v>2643</v>
      </c>
      <c r="R149" s="253" t="n">
        <v>3424</v>
      </c>
      <c r="S149" s="253" t="n">
        <v>10766</v>
      </c>
      <c r="T149" s="253" t="n">
        <v>2759</v>
      </c>
      <c r="U149" s="253" t="n">
        <v>2876</v>
      </c>
      <c r="V149" s="253" t="n">
        <v>3230</v>
      </c>
      <c r="W149" s="253" t="n">
        <v>4546</v>
      </c>
      <c r="X149" s="253" t="n">
        <v>13410</v>
      </c>
      <c r="Y149" s="253" t="n">
        <v>3687</v>
      </c>
      <c r="Z149" s="253" t="n">
        <v>3878</v>
      </c>
      <c r="AA149" s="253" t="n">
        <v>4335</v>
      </c>
      <c r="AB149" s="253" t="n">
        <v>5719</v>
      </c>
      <c r="AC149" s="253" t="n">
        <v>17619</v>
      </c>
      <c r="AD149" s="253" t="n">
        <v>4697</v>
      </c>
      <c r="AE149" s="253" t="n">
        <v>5158</v>
      </c>
      <c r="AF149" s="253" t="n">
        <v>6420</v>
      </c>
      <c r="AG149" s="253" t="n">
        <v>8974</v>
      </c>
      <c r="AH149" s="253" t="n">
        <v>25249</v>
      </c>
      <c r="AI149" s="253" t="n">
        <v>7792</v>
      </c>
      <c r="AJ149" s="253" t="n">
        <v>7932</v>
      </c>
      <c r="AK149" s="253" t="n">
        <v>8275</v>
      </c>
      <c r="AL149" s="253" t="n">
        <v>10028</v>
      </c>
      <c r="AM149" s="253" t="n">
        <v>34027</v>
      </c>
      <c r="AN149" s="253" t="n">
        <v>8601</v>
      </c>
      <c r="AO149" s="253" t="n">
        <v>9271</v>
      </c>
      <c r="AP149" s="253" t="n">
        <v>10167</v>
      </c>
      <c r="AQ149" s="253" t="n">
        <v>12192</v>
      </c>
      <c r="AR149" s="253" t="n">
        <v>40232</v>
      </c>
      <c r="AS149" s="253" t="n">
        <v>11531</v>
      </c>
      <c r="AT149" s="253" t="n">
        <v>13806</v>
      </c>
      <c r="AU149" s="253" t="n">
        <v>14705</v>
      </c>
      <c r="AV149" s="253" t="n">
        <v>18474</v>
      </c>
      <c r="AW149" s="253" t="n">
        <v>58517</v>
      </c>
      <c r="AX149" s="253" t="n">
        <v>16530</v>
      </c>
      <c r="AY149" s="253" t="n">
        <v>17638</v>
      </c>
      <c r="AZ149" s="253" t="n">
        <v>18498</v>
      </c>
      <c r="BA149" s="253" t="n">
        <v>22445</v>
      </c>
      <c r="BB149" s="253" t="n">
        <v>75111</v>
      </c>
      <c r="BC149" s="253" t="n">
        <v>20271</v>
      </c>
      <c r="BD149" s="253" t="n">
        <v>20342</v>
      </c>
      <c r="BE149" s="253" t="n">
        <v>20583</v>
      </c>
      <c r="BF149" s="253" t="n">
        <v>23103</v>
      </c>
      <c r="BG149" s="253" t="n">
        <v>84299</v>
      </c>
      <c r="BH149" s="253" t="n">
        <v>20905</v>
      </c>
      <c r="BI149" s="253" t="n">
        <v>21305</v>
      </c>
      <c r="BJ149" s="253" t="n">
        <v>22314</v>
      </c>
      <c r="BK149" s="253" t="n">
        <v>26095</v>
      </c>
      <c r="BL149" s="253" t="n">
        <v>90619</v>
      </c>
      <c r="BM149" s="253" t="n">
        <v>22317</v>
      </c>
      <c r="BN149" s="253" t="n">
        <v>23566</v>
      </c>
      <c r="BO149" s="253" t="n">
        <v>24660</v>
      </c>
      <c r="BP149" s="253" t="n">
        <v>27962</v>
      </c>
      <c r="BQ149" s="253" t="n">
        <v>98505</v>
      </c>
      <c r="BR149" s="253" t="n">
        <v>24593</v>
      </c>
      <c r="BS149" s="253" t="n">
        <v>25976</v>
      </c>
      <c r="BT149" s="253" t="n">
        <v>27679</v>
      </c>
      <c r="BU149" s="253" t="n">
        <v>30826</v>
      </c>
      <c r="BV149" s="253" t="n">
        <v>109074</v>
      </c>
      <c r="BW149" s="253" t="n">
        <v>27289</v>
      </c>
      <c r="BX149" s="253" t="n">
        <v>29633</v>
      </c>
      <c r="BY149" s="254">
        <f>BY144*BY134</f>
        <v>29168.4942209006</v>
      </c>
      <c r="BZ149" s="254">
        <f>BZ144*BZ134</f>
        <v>33424.0072966128</v>
      </c>
      <c r="CA149" s="254">
        <f>SUM(BW149:BZ149)</f>
        <v>119514.501517513</v>
      </c>
      <c r="CB149" s="254">
        <f>CB144*CB134</f>
        <v>136874.448270532</v>
      </c>
      <c r="CC149" s="254">
        <f>CC144*CC134</f>
        <v>155066.436846943</v>
      </c>
      <c r="CD149" s="254">
        <f>CD144*CD134</f>
        <v>173813.189498623</v>
      </c>
      <c r="CE149" s="254">
        <f>CE144*CE134</f>
        <v>192882.341862258</v>
      </c>
      <c r="CF149" s="19" t="n"/>
      <c r="CH149" s="20">
        <f>IFERROR((CE149/BV149)^(1/5)-1,"n/m")</f>
        <v>0.120764189708023</v>
      </c>
      <c r="CI149" s="20">
        <f>IFERROR((BV149/AW149)^(1/5)-1,"n/m")</f>
        <v>0.132629417891857</v>
      </c>
      <c r="CJ149" s="20">
        <f>IFERROR((BV149/X149)^(1/10)-1,"n/m")</f>
        <v>0.233187875653013</v>
      </c>
      <c r="CK149" s="20">
        <f>IFERROR((BV149/C149)^(1/19)-1,"n/m")</f>
        <v>0.284505228190617</v>
      </c>
    </row>
    <row r="150" ht="15" customHeight="1" s="251">
      <c r="B150" s="25" t="inlineStr">
        <is>
          <t>Technology and infrastructure</t>
        </is>
      </c>
      <c r="C150" s="253" t="n">
        <v>662</v>
      </c>
      <c r="D150" s="253" t="n">
        <v>818</v>
      </c>
      <c r="E150" s="253" t="n">
        <v>1033</v>
      </c>
      <c r="F150" s="253" t="n">
        <v>1240</v>
      </c>
      <c r="G150" s="253" t="n">
        <v>1734</v>
      </c>
      <c r="H150" s="253" t="n">
        <v>2909</v>
      </c>
      <c r="I150" s="253" t="n">
        <v>4564</v>
      </c>
      <c r="J150" s="253" t="n">
        <v>1383</v>
      </c>
      <c r="K150" s="253" t="n">
        <v>1586</v>
      </c>
      <c r="L150" s="253" t="n">
        <v>1734</v>
      </c>
      <c r="M150" s="253" t="n">
        <v>1862</v>
      </c>
      <c r="N150" s="253" t="n">
        <v>6565</v>
      </c>
      <c r="O150" s="253" t="n">
        <v>1991</v>
      </c>
      <c r="P150" s="253" t="n">
        <v>2226</v>
      </c>
      <c r="Q150" s="253" t="n">
        <v>2423</v>
      </c>
      <c r="R150" s="253" t="n">
        <v>2635</v>
      </c>
      <c r="S150" s="253" t="n">
        <v>9275</v>
      </c>
      <c r="T150" s="253" t="n">
        <v>2754</v>
      </c>
      <c r="U150" s="253" t="n">
        <v>3020</v>
      </c>
      <c r="V150" s="253" t="n">
        <v>3197</v>
      </c>
      <c r="W150" s="253" t="n">
        <v>3571</v>
      </c>
      <c r="X150" s="253" t="n">
        <v>12540</v>
      </c>
      <c r="Y150" s="253" t="n">
        <v>3526</v>
      </c>
      <c r="Z150" s="253" t="n">
        <v>3880</v>
      </c>
      <c r="AA150" s="253" t="n">
        <v>4135</v>
      </c>
      <c r="AB150" s="253" t="n">
        <v>4545</v>
      </c>
      <c r="AC150" s="253" t="n">
        <v>16085</v>
      </c>
      <c r="AD150" s="253" t="n">
        <v>4813</v>
      </c>
      <c r="AE150" s="253" t="n">
        <v>5549</v>
      </c>
      <c r="AF150" s="253" t="n">
        <v>5944</v>
      </c>
      <c r="AG150" s="253" t="n">
        <v>6314</v>
      </c>
      <c r="AH150" s="253" t="n">
        <v>22620</v>
      </c>
      <c r="AI150" s="253" t="n">
        <v>6759</v>
      </c>
      <c r="AJ150" s="253" t="n">
        <v>7247</v>
      </c>
      <c r="AK150" s="253" t="n">
        <v>7162</v>
      </c>
      <c r="AL150" s="253" t="n">
        <v>7669</v>
      </c>
      <c r="AM150" s="253" t="n">
        <v>28837</v>
      </c>
      <c r="AN150" s="253" t="n">
        <v>7927</v>
      </c>
      <c r="AO150" s="253" t="n">
        <v>9065</v>
      </c>
      <c r="AP150" s="253" t="n">
        <v>9200</v>
      </c>
      <c r="AQ150" s="253" t="n">
        <v>9740</v>
      </c>
      <c r="AR150" s="253" t="n">
        <v>35931</v>
      </c>
      <c r="AS150" s="253" t="n">
        <v>9325</v>
      </c>
      <c r="AT150" s="253" t="n">
        <v>10388</v>
      </c>
      <c r="AU150" s="253" t="n">
        <v>10976</v>
      </c>
      <c r="AV150" s="253" t="n">
        <v>12049</v>
      </c>
      <c r="AW150" s="253" t="n">
        <v>42740</v>
      </c>
      <c r="AX150" s="253" t="n">
        <v>12488</v>
      </c>
      <c r="AY150" s="253" t="n">
        <v>13871</v>
      </c>
      <c r="AZ150" s="253" t="n">
        <v>14380</v>
      </c>
      <c r="BA150" s="253" t="n">
        <v>15313</v>
      </c>
      <c r="BB150" s="253" t="n">
        <v>56052</v>
      </c>
      <c r="BC150" s="253" t="n">
        <v>14842</v>
      </c>
      <c r="BD150" s="253" t="n">
        <v>18072</v>
      </c>
      <c r="BE150" s="253" t="n">
        <v>19485</v>
      </c>
      <c r="BF150" s="253" t="n">
        <v>20814</v>
      </c>
      <c r="BG150" s="253" t="n">
        <v>73213</v>
      </c>
      <c r="BH150" s="253" t="n">
        <v>20450</v>
      </c>
      <c r="BI150" s="253" t="n">
        <v>21931</v>
      </c>
      <c r="BJ150" s="253" t="n">
        <v>21203</v>
      </c>
      <c r="BK150" s="253" t="n">
        <v>22038</v>
      </c>
      <c r="BL150" s="253" t="n">
        <v>85622</v>
      </c>
      <c r="BM150" s="253" t="n">
        <v>20424</v>
      </c>
      <c r="BN150" s="253" t="n">
        <v>22304</v>
      </c>
      <c r="BO150" s="253" t="n">
        <v>22245</v>
      </c>
      <c r="BP150" s="253" t="n">
        <v>23571</v>
      </c>
      <c r="BQ150" s="253" t="n">
        <v>88544</v>
      </c>
      <c r="BR150" s="253" t="n">
        <v>22994</v>
      </c>
      <c r="BS150" s="253" t="n">
        <v>27166</v>
      </c>
      <c r="BT150" s="253" t="n">
        <v>28962</v>
      </c>
      <c r="BU150" s="253" t="n">
        <v>29399</v>
      </c>
      <c r="BV150" s="253" t="n">
        <v>108521</v>
      </c>
      <c r="BW150" s="253" t="n">
        <v>29567</v>
      </c>
      <c r="BX150" s="253" t="n">
        <v>33158</v>
      </c>
      <c r="BY150" s="254">
        <f>BY144*BY135+BY141</f>
        <v>33871.114403445</v>
      </c>
      <c r="BZ150" s="254">
        <f>BZ144*BZ135+BZ141</f>
        <v>35805.3070110773</v>
      </c>
      <c r="CA150" s="254">
        <f>SUM(BW150:BZ150)</f>
        <v>132401.421414522</v>
      </c>
      <c r="CB150" s="254">
        <f>CB144*CB135+CB141</f>
        <v>160473.491075796</v>
      </c>
      <c r="CC150" s="254">
        <f>CC144*CC135+CC141</f>
        <v>183940.876811546</v>
      </c>
      <c r="CD150" s="254">
        <f>CD144*CD135+CD141</f>
        <v>206178.404094918</v>
      </c>
      <c r="CE150" s="254">
        <f>CE144*CE135+CE141</f>
        <v>228798.364140057</v>
      </c>
      <c r="CF150" s="19" t="n"/>
      <c r="CH150" s="20">
        <f>IFERROR((CE150/BV150)^(1/5)-1,"n/m")</f>
        <v>0.160881327141883</v>
      </c>
      <c r="CI150" s="20">
        <f>IFERROR((BV150/AW150)^(1/5)-1,"n/m")</f>
        <v>0.204857967317857</v>
      </c>
      <c r="CJ150" s="20">
        <f>IFERROR((BV150/X150)^(1/10)-1,"n/m")</f>
        <v>0.240856685832367</v>
      </c>
      <c r="CK150" s="20">
        <f>IFERROR((BV150/C150)^(1/19)-1,"n/m")</f>
        <v>0.307858717334482</v>
      </c>
    </row>
    <row r="151" ht="15" customHeight="1" s="251">
      <c r="B151" s="25" t="inlineStr">
        <is>
          <t>Sales and marketing</t>
        </is>
      </c>
      <c r="C151" s="253" t="n">
        <v>263</v>
      </c>
      <c r="D151" s="253" t="n">
        <v>344</v>
      </c>
      <c r="E151" s="253" t="n">
        <v>482</v>
      </c>
      <c r="F151" s="253" t="n">
        <v>680</v>
      </c>
      <c r="G151" s="253" t="n">
        <v>1029</v>
      </c>
      <c r="H151" s="253" t="n">
        <v>1630</v>
      </c>
      <c r="I151" s="253" t="n">
        <v>2408</v>
      </c>
      <c r="J151" s="253" t="n">
        <v>632</v>
      </c>
      <c r="K151" s="253" t="n">
        <v>675</v>
      </c>
      <c r="L151" s="253" t="n">
        <v>694</v>
      </c>
      <c r="M151" s="253" t="n">
        <v>1133</v>
      </c>
      <c r="N151" s="253" t="n">
        <v>3133</v>
      </c>
      <c r="O151" s="253" t="n">
        <v>870</v>
      </c>
      <c r="P151" s="253" t="n">
        <v>943</v>
      </c>
      <c r="Q151" s="253" t="n">
        <v>993</v>
      </c>
      <c r="R151" s="253" t="n">
        <v>1526</v>
      </c>
      <c r="S151" s="253" t="n">
        <v>4332</v>
      </c>
      <c r="T151" s="253" t="n">
        <v>1083</v>
      </c>
      <c r="U151" s="253" t="n">
        <v>1150</v>
      </c>
      <c r="V151" s="253" t="n">
        <v>1264</v>
      </c>
      <c r="W151" s="253" t="n">
        <v>1755</v>
      </c>
      <c r="X151" s="253" t="n">
        <v>5254</v>
      </c>
      <c r="Y151" s="253" t="n">
        <v>1436</v>
      </c>
      <c r="Z151" s="253" t="n">
        <v>1546</v>
      </c>
      <c r="AA151" s="253" t="n">
        <v>1738</v>
      </c>
      <c r="AB151" s="253" t="n">
        <v>2513</v>
      </c>
      <c r="AC151" s="253" t="n">
        <v>7233</v>
      </c>
      <c r="AD151" s="253" t="n">
        <v>1920</v>
      </c>
      <c r="AE151" s="253" t="n">
        <v>2229</v>
      </c>
      <c r="AF151" s="253" t="n">
        <v>2479</v>
      </c>
      <c r="AG151" s="253" t="n">
        <v>3440</v>
      </c>
      <c r="AH151" s="253" t="n">
        <v>10069</v>
      </c>
      <c r="AI151" s="253" t="n">
        <v>2699</v>
      </c>
      <c r="AJ151" s="253" t="n">
        <v>2901</v>
      </c>
      <c r="AK151" s="253" t="n">
        <v>3303</v>
      </c>
      <c r="AL151" s="253" t="n">
        <v>4911</v>
      </c>
      <c r="AM151" s="253" t="n">
        <v>13814</v>
      </c>
      <c r="AN151" s="253" t="n">
        <v>3664</v>
      </c>
      <c r="AO151" s="253" t="n">
        <v>4291</v>
      </c>
      <c r="AP151" s="253" t="n">
        <v>4752</v>
      </c>
      <c r="AQ151" s="253" t="n">
        <v>6172</v>
      </c>
      <c r="AR151" s="253" t="n">
        <v>18878</v>
      </c>
      <c r="AS151" s="253" t="n">
        <v>4828</v>
      </c>
      <c r="AT151" s="253" t="n">
        <v>4345</v>
      </c>
      <c r="AU151" s="253" t="n">
        <v>5434</v>
      </c>
      <c r="AV151" s="253" t="n">
        <v>7403</v>
      </c>
      <c r="AW151" s="253" t="n">
        <v>22008</v>
      </c>
      <c r="AX151" s="253" t="n">
        <v>6207</v>
      </c>
      <c r="AY151" s="253" t="n">
        <v>7524</v>
      </c>
      <c r="AZ151" s="253" t="n">
        <v>8010</v>
      </c>
      <c r="BA151" s="253" t="n">
        <v>10810</v>
      </c>
      <c r="BB151" s="253" t="n">
        <v>32551</v>
      </c>
      <c r="BC151" s="253" t="n">
        <v>8320</v>
      </c>
      <c r="BD151" s="253" t="n">
        <v>10086</v>
      </c>
      <c r="BE151" s="253" t="n">
        <v>11014</v>
      </c>
      <c r="BF151" s="253" t="n">
        <v>12818</v>
      </c>
      <c r="BG151" s="253" t="n">
        <v>42238</v>
      </c>
      <c r="BH151" s="253" t="n">
        <v>10172</v>
      </c>
      <c r="BI151" s="253" t="n">
        <v>10745</v>
      </c>
      <c r="BJ151" s="253" t="n">
        <v>10551</v>
      </c>
      <c r="BK151" s="253" t="n">
        <v>12902</v>
      </c>
      <c r="BL151" s="253" t="n">
        <v>44370</v>
      </c>
      <c r="BM151" s="253" t="n">
        <v>9662</v>
      </c>
      <c r="BN151" s="253" t="n">
        <v>10512</v>
      </c>
      <c r="BO151" s="253" t="n">
        <v>10609</v>
      </c>
      <c r="BP151" s="253" t="n">
        <v>13124</v>
      </c>
      <c r="BQ151" s="253" t="n">
        <v>43907</v>
      </c>
      <c r="BR151" s="253" t="n">
        <v>9763</v>
      </c>
      <c r="BS151" s="253" t="n">
        <v>11416</v>
      </c>
      <c r="BT151" s="253" t="n">
        <v>11686</v>
      </c>
      <c r="BU151" s="253" t="n">
        <v>14264</v>
      </c>
      <c r="BV151" s="253" t="n">
        <v>47129</v>
      </c>
      <c r="BW151" s="253" t="n">
        <v>10314</v>
      </c>
      <c r="BX151" s="253" t="n">
        <v>11698</v>
      </c>
      <c r="BY151" s="254">
        <f>BY144*BY136</f>
        <v>11365.6495805644</v>
      </c>
      <c r="BZ151" s="254">
        <f>BZ144*BZ136</f>
        <v>14379.0602951776</v>
      </c>
      <c r="CA151" s="254">
        <f>SUM(BW151:BZ151)</f>
        <v>47756.709875742</v>
      </c>
      <c r="CB151" s="254">
        <f>CB144*CB136</f>
        <v>54749.7793082129</v>
      </c>
      <c r="CC151" s="254">
        <f>CC144*CC136</f>
        <v>62026.574738777</v>
      </c>
      <c r="CD151" s="254">
        <f>CD144*CD136</f>
        <v>69525.275799449</v>
      </c>
      <c r="CE151" s="254">
        <f>CE144*CE136</f>
        <v>77152.9367449031</v>
      </c>
      <c r="CF151" s="19" t="n"/>
    </row>
    <row r="152" ht="15" customHeight="1" s="251">
      <c r="B152" s="25" t="inlineStr">
        <is>
          <t>General and administrative</t>
        </is>
      </c>
      <c r="C152" s="253" t="n">
        <v>195</v>
      </c>
      <c r="D152" s="253" t="n">
        <v>235</v>
      </c>
      <c r="E152" s="253" t="n">
        <v>279</v>
      </c>
      <c r="F152" s="253" t="n">
        <v>328</v>
      </c>
      <c r="G152" s="253" t="n">
        <v>470</v>
      </c>
      <c r="H152" s="253" t="n">
        <v>658</v>
      </c>
      <c r="I152" s="253" t="n">
        <v>896</v>
      </c>
      <c r="J152" s="253" t="n">
        <v>246</v>
      </c>
      <c r="K152" s="253" t="n">
        <v>286</v>
      </c>
      <c r="L152" s="253" t="n">
        <v>278</v>
      </c>
      <c r="M152" s="253" t="n">
        <v>318</v>
      </c>
      <c r="N152" s="253" t="n">
        <v>1129</v>
      </c>
      <c r="O152" s="253" t="n">
        <v>327</v>
      </c>
      <c r="P152" s="253" t="n">
        <v>377</v>
      </c>
      <c r="Q152" s="253" t="n">
        <v>406</v>
      </c>
      <c r="R152" s="253" t="n">
        <v>442</v>
      </c>
      <c r="S152" s="253" t="n">
        <v>1552</v>
      </c>
      <c r="T152" s="253" t="n">
        <v>427</v>
      </c>
      <c r="U152" s="253" t="n">
        <v>467</v>
      </c>
      <c r="V152" s="253" t="n">
        <v>463</v>
      </c>
      <c r="W152" s="253" t="n">
        <v>390</v>
      </c>
      <c r="X152" s="253" t="n">
        <v>1747</v>
      </c>
      <c r="Y152" s="253" t="n">
        <v>497</v>
      </c>
      <c r="Z152" s="253" t="n">
        <v>580</v>
      </c>
      <c r="AA152" s="253" t="n">
        <v>639</v>
      </c>
      <c r="AB152" s="253" t="n">
        <v>717</v>
      </c>
      <c r="AC152" s="253" t="n">
        <v>2432</v>
      </c>
      <c r="AD152" s="253" t="n">
        <v>795</v>
      </c>
      <c r="AE152" s="253" t="n">
        <v>874</v>
      </c>
      <c r="AF152" s="253" t="n">
        <v>960</v>
      </c>
      <c r="AG152" s="253" t="n">
        <v>1044</v>
      </c>
      <c r="AH152" s="253" t="n">
        <v>3674</v>
      </c>
      <c r="AI152" s="253" t="n">
        <v>1067</v>
      </c>
      <c r="AJ152" s="253" t="n">
        <v>1111</v>
      </c>
      <c r="AK152" s="253" t="n">
        <v>1041</v>
      </c>
      <c r="AL152" s="253" t="n">
        <v>1117</v>
      </c>
      <c r="AM152" s="253" t="n">
        <v>4336</v>
      </c>
      <c r="AN152" s="253" t="n">
        <v>1173</v>
      </c>
      <c r="AO152" s="253" t="n">
        <v>1270</v>
      </c>
      <c r="AP152" s="253" t="n">
        <v>1348</v>
      </c>
      <c r="AQ152" s="253" t="n">
        <v>1412</v>
      </c>
      <c r="AR152" s="253" t="n">
        <v>5203</v>
      </c>
      <c r="AS152" s="253" t="n">
        <v>1452</v>
      </c>
      <c r="AT152" s="253" t="n">
        <v>1580</v>
      </c>
      <c r="AU152" s="253" t="n">
        <v>1668</v>
      </c>
      <c r="AV152" s="253" t="n">
        <v>1968</v>
      </c>
      <c r="AW152" s="253" t="n">
        <v>6668</v>
      </c>
      <c r="AX152" s="253" t="n">
        <v>1987</v>
      </c>
      <c r="AY152" s="253" t="n">
        <v>2158</v>
      </c>
      <c r="AZ152" s="253" t="n">
        <v>2153</v>
      </c>
      <c r="BA152" s="253" t="n">
        <v>2525</v>
      </c>
      <c r="BB152" s="253" t="n">
        <v>8823</v>
      </c>
      <c r="BC152" s="253" t="n">
        <v>2594</v>
      </c>
      <c r="BD152" s="253" t="n">
        <v>2903</v>
      </c>
      <c r="BE152" s="253" t="n">
        <v>3061</v>
      </c>
      <c r="BF152" s="253" t="n">
        <v>3333</v>
      </c>
      <c r="BG152" s="253" t="n">
        <v>11891</v>
      </c>
      <c r="BH152" s="253" t="n">
        <v>3043</v>
      </c>
      <c r="BI152" s="253" t="n">
        <v>3202</v>
      </c>
      <c r="BJ152" s="253" t="n">
        <v>2561</v>
      </c>
      <c r="BK152" s="253" t="n">
        <v>3010</v>
      </c>
      <c r="BL152" s="253" t="n">
        <v>11816</v>
      </c>
      <c r="BM152" s="253" t="n">
        <v>2742</v>
      </c>
      <c r="BN152" s="253" t="n">
        <v>3041</v>
      </c>
      <c r="BO152" s="253" t="n">
        <v>2713</v>
      </c>
      <c r="BP152" s="253" t="n">
        <v>2863</v>
      </c>
      <c r="BQ152" s="253" t="n">
        <v>11359</v>
      </c>
      <c r="BR152" s="253" t="n">
        <v>2628</v>
      </c>
      <c r="BS152" s="253" t="n">
        <v>2965</v>
      </c>
      <c r="BT152" s="253" t="n">
        <v>2875</v>
      </c>
      <c r="BU152" s="253" t="n">
        <v>2704</v>
      </c>
      <c r="BV152" s="253" t="n">
        <v>11172</v>
      </c>
      <c r="BW152" s="253" t="n">
        <v>2587</v>
      </c>
      <c r="BX152" s="253" t="n">
        <v>2788</v>
      </c>
      <c r="BY152" s="254">
        <f>BY144*BY137</f>
        <v>2539.09390994338</v>
      </c>
      <c r="BZ152" s="254">
        <f>BZ144*BZ137</f>
        <v>2302.86025586626</v>
      </c>
      <c r="CA152" s="254">
        <f>SUM(BW152:BZ152)</f>
        <v>10216.9541658096</v>
      </c>
      <c r="CB152" s="254">
        <f>CB144*CB137</f>
        <v>13215.4639709479</v>
      </c>
      <c r="CC152" s="254">
        <f>CC144*CC137</f>
        <v>14971.9318334979</v>
      </c>
      <c r="CD152" s="254">
        <f>CD144*CD137</f>
        <v>16781.9631240049</v>
      </c>
      <c r="CE152" s="254">
        <f>CE144*CE137</f>
        <v>18623.1226625628</v>
      </c>
      <c r="CF152" s="19" t="n"/>
    </row>
    <row r="153" ht="15" customHeight="1" s="251">
      <c r="B153" s="25" t="inlineStr">
        <is>
          <t>Other operating expense (income), net</t>
        </is>
      </c>
      <c r="C153" s="253" t="n">
        <v>10</v>
      </c>
      <c r="D153" s="253" t="n">
        <v>9</v>
      </c>
      <c r="E153" s="253" t="n">
        <v>-24</v>
      </c>
      <c r="F153" s="253" t="n">
        <v>102</v>
      </c>
      <c r="G153" s="253" t="n">
        <v>106</v>
      </c>
      <c r="H153" s="253" t="n">
        <v>154</v>
      </c>
      <c r="I153" s="253" t="n">
        <v>159</v>
      </c>
      <c r="J153" s="253" t="n">
        <v>31</v>
      </c>
      <c r="K153" s="253" t="n">
        <v>32</v>
      </c>
      <c r="L153" s="253" t="n">
        <v>11</v>
      </c>
      <c r="M153" s="253" t="n">
        <v>40</v>
      </c>
      <c r="N153" s="253" t="n">
        <v>114</v>
      </c>
      <c r="O153" s="253" t="n">
        <v>35</v>
      </c>
      <c r="P153" s="253" t="n">
        <v>28</v>
      </c>
      <c r="Q153" s="253" t="n">
        <v>31</v>
      </c>
      <c r="R153" s="253" t="n">
        <v>39</v>
      </c>
      <c r="S153" s="253" t="n">
        <v>133</v>
      </c>
      <c r="T153" s="253" t="n">
        <v>44</v>
      </c>
      <c r="U153" s="253" t="n">
        <v>48</v>
      </c>
      <c r="V153" s="253" t="n">
        <v>43</v>
      </c>
      <c r="W153" s="253" t="n">
        <v>36</v>
      </c>
      <c r="X153" s="253" t="n">
        <v>171</v>
      </c>
      <c r="Y153" s="253" t="n">
        <v>45</v>
      </c>
      <c r="Z153" s="253" t="n">
        <v>55</v>
      </c>
      <c r="AA153" s="253" t="n">
        <v>32</v>
      </c>
      <c r="AB153" s="253" t="n">
        <v>34</v>
      </c>
      <c r="AC153" s="253" t="n">
        <v>167</v>
      </c>
      <c r="AD153" s="253" t="n">
        <v>44</v>
      </c>
      <c r="AE153" s="253" t="n">
        <v>66</v>
      </c>
      <c r="AF153" s="253" t="n">
        <v>45</v>
      </c>
      <c r="AG153" s="253" t="n">
        <v>60</v>
      </c>
      <c r="AH153" s="253" t="n">
        <v>214</v>
      </c>
      <c r="AI153" s="253" t="n">
        <v>63</v>
      </c>
      <c r="AJ153" s="253" t="n">
        <v>80</v>
      </c>
      <c r="AK153" s="253" t="n">
        <v>68</v>
      </c>
      <c r="AL153" s="253" t="n">
        <v>86</v>
      </c>
      <c r="AM153" s="253" t="n">
        <v>296</v>
      </c>
      <c r="AN153" s="253" t="n">
        <v>-5</v>
      </c>
      <c r="AO153" s="253" t="n">
        <v>86</v>
      </c>
      <c r="AP153" s="253" t="n">
        <v>55</v>
      </c>
      <c r="AQ153" s="253" t="n">
        <v>65</v>
      </c>
      <c r="AR153" s="253" t="n">
        <v>201</v>
      </c>
      <c r="AS153" s="253" t="n">
        <v>70</v>
      </c>
      <c r="AT153" s="253" t="n">
        <v>290</v>
      </c>
      <c r="AU153" s="253" t="n">
        <v>62</v>
      </c>
      <c r="AV153" s="253" t="n">
        <v>-496</v>
      </c>
      <c r="AW153" s="253" t="n">
        <v>-75</v>
      </c>
      <c r="AX153" s="253" t="n">
        <v>38</v>
      </c>
      <c r="AY153" s="253" t="n">
        <v>11</v>
      </c>
      <c r="AZ153" s="253" t="n">
        <v>-11</v>
      </c>
      <c r="BA153" s="253" t="n">
        <v>24</v>
      </c>
      <c r="BB153" s="253" t="n">
        <v>62</v>
      </c>
      <c r="BC153" s="253" t="n">
        <v>249</v>
      </c>
      <c r="BD153" s="253" t="n">
        <v>90</v>
      </c>
      <c r="BE153" s="253" t="n">
        <v>165</v>
      </c>
      <c r="BF153" s="253" t="n">
        <v>759</v>
      </c>
      <c r="BG153" s="253" t="n">
        <v>1263</v>
      </c>
      <c r="BH153" s="253" t="n">
        <v>223</v>
      </c>
      <c r="BI153" s="253" t="n">
        <v>146</v>
      </c>
      <c r="BJ153" s="253" t="n">
        <v>244</v>
      </c>
      <c r="BK153" s="253" t="n">
        <v>154</v>
      </c>
      <c r="BL153" s="253" t="n">
        <v>767</v>
      </c>
      <c r="BM153" s="253" t="n">
        <v>228</v>
      </c>
      <c r="BN153" s="253" t="n">
        <v>97</v>
      </c>
      <c r="BO153" s="253" t="n">
        <v>262</v>
      </c>
      <c r="BP153" s="253" t="n">
        <v>176</v>
      </c>
      <c r="BQ153" s="253" t="n">
        <v>763</v>
      </c>
      <c r="BR153" s="253" t="n">
        <v>308</v>
      </c>
      <c r="BS153" s="253" t="n">
        <v>199</v>
      </c>
      <c r="BT153" s="253" t="n">
        <v>2875</v>
      </c>
      <c r="BU153" s="253" t="n">
        <v>1257</v>
      </c>
      <c r="BV153" s="253" t="n">
        <v>4639</v>
      </c>
      <c r="BW153" s="253" t="n">
        <v>447</v>
      </c>
      <c r="BX153" s="253" t="n">
        <v>90</v>
      </c>
      <c r="BY153" s="254">
        <f>BY138</f>
        <v>300</v>
      </c>
      <c r="BZ153" s="254">
        <f>BZ138</f>
        <v>300</v>
      </c>
      <c r="CA153" s="254">
        <f>SUM(BW153:BZ153)</f>
        <v>1137</v>
      </c>
      <c r="CB153" s="254">
        <f>CB138</f>
        <v>1200</v>
      </c>
      <c r="CC153" s="254">
        <f>CC138</f>
        <v>1200</v>
      </c>
      <c r="CD153" s="254">
        <f>CD138</f>
        <v>1200</v>
      </c>
      <c r="CE153" s="254">
        <f>CE138</f>
        <v>1200</v>
      </c>
      <c r="CF153" s="19" t="n"/>
    </row>
    <row r="154" ht="15" customHeight="1" s="251">
      <c r="B154" s="55" t="inlineStr">
        <is>
          <t>Operating income</t>
        </is>
      </c>
      <c r="C154" s="274" t="n">
        <v>389</v>
      </c>
      <c r="D154" s="274" t="n">
        <v>655</v>
      </c>
      <c r="E154" s="274" t="n">
        <v>842</v>
      </c>
      <c r="F154" s="274" t="n">
        <v>1129</v>
      </c>
      <c r="G154" s="274" t="n">
        <v>1406</v>
      </c>
      <c r="H154" s="274" t="n">
        <v>862</v>
      </c>
      <c r="I154" s="274" t="n">
        <v>676</v>
      </c>
      <c r="J154" s="274" t="n">
        <v>181</v>
      </c>
      <c r="K154" s="274" t="n">
        <v>79</v>
      </c>
      <c r="L154" s="274" t="n">
        <v>-25</v>
      </c>
      <c r="M154" s="274" t="n">
        <v>510</v>
      </c>
      <c r="N154" s="274" t="n">
        <v>745</v>
      </c>
      <c r="O154" s="274" t="n">
        <v>146</v>
      </c>
      <c r="P154" s="274" t="n">
        <v>-15</v>
      </c>
      <c r="Q154" s="274" t="n">
        <v>-544</v>
      </c>
      <c r="R154" s="274" t="n">
        <v>591</v>
      </c>
      <c r="S154" s="274" t="n">
        <v>178</v>
      </c>
      <c r="T154" s="274" t="n">
        <v>255</v>
      </c>
      <c r="U154" s="274" t="n">
        <v>464</v>
      </c>
      <c r="V154" s="274" t="n">
        <v>406</v>
      </c>
      <c r="W154" s="274" t="n">
        <v>1108</v>
      </c>
      <c r="X154" s="274" t="n">
        <v>2233</v>
      </c>
      <c r="Y154" s="274" t="n">
        <v>1071</v>
      </c>
      <c r="Z154" s="274" t="n">
        <v>1285</v>
      </c>
      <c r="AA154" s="274" t="n">
        <v>575</v>
      </c>
      <c r="AB154" s="274" t="n">
        <v>1255</v>
      </c>
      <c r="AC154" s="274" t="n">
        <v>4186</v>
      </c>
      <c r="AD154" s="274" t="n">
        <v>1005</v>
      </c>
      <c r="AE154" s="274" t="n">
        <v>628</v>
      </c>
      <c r="AF154" s="274" t="n">
        <v>347</v>
      </c>
      <c r="AG154" s="274" t="n">
        <v>2127</v>
      </c>
      <c r="AH154" s="274" t="n">
        <v>4106</v>
      </c>
      <c r="AI154" s="274" t="n">
        <v>1927</v>
      </c>
      <c r="AJ154" s="274" t="n">
        <v>2983</v>
      </c>
      <c r="AK154" s="274" t="n">
        <v>3724</v>
      </c>
      <c r="AL154" s="274" t="n">
        <v>3786</v>
      </c>
      <c r="AM154" s="274" t="n">
        <v>12421</v>
      </c>
      <c r="AN154" s="274" t="n">
        <v>4420</v>
      </c>
      <c r="AO154" s="274" t="n">
        <v>3084</v>
      </c>
      <c r="AP154" s="274" t="n">
        <v>3157</v>
      </c>
      <c r="AQ154" s="274" t="n">
        <v>3879</v>
      </c>
      <c r="AR154" s="274" t="n">
        <v>14541</v>
      </c>
      <c r="AS154" s="274" t="n">
        <v>3989</v>
      </c>
      <c r="AT154" s="274" t="n">
        <v>5843</v>
      </c>
      <c r="AU154" s="274" t="n">
        <v>6194</v>
      </c>
      <c r="AV154" s="274" t="n">
        <v>6873</v>
      </c>
      <c r="AW154" s="274" t="n">
        <v>22899</v>
      </c>
      <c r="AX154" s="274" t="n">
        <v>8865</v>
      </c>
      <c r="AY154" s="274" t="n">
        <v>7702</v>
      </c>
      <c r="AZ154" s="274" t="n">
        <v>4852</v>
      </c>
      <c r="BA154" s="274" t="n">
        <v>3460</v>
      </c>
      <c r="BB154" s="274" t="n">
        <v>24879</v>
      </c>
      <c r="BC154" s="274" t="n">
        <v>3669</v>
      </c>
      <c r="BD154" s="274" t="n">
        <v>3317</v>
      </c>
      <c r="BE154" s="274" t="n">
        <v>2525</v>
      </c>
      <c r="BF154" s="274" t="n">
        <v>2737</v>
      </c>
      <c r="BG154" s="274" t="n">
        <v>12248</v>
      </c>
      <c r="BH154" s="274" t="n">
        <v>4774</v>
      </c>
      <c r="BI154" s="274" t="n">
        <v>7681</v>
      </c>
      <c r="BJ154" s="274" t="n">
        <v>11188</v>
      </c>
      <c r="BK154" s="274" t="n">
        <v>13209</v>
      </c>
      <c r="BL154" s="274" t="n">
        <v>36852</v>
      </c>
      <c r="BM154" s="274" t="n">
        <v>15307</v>
      </c>
      <c r="BN154" s="274" t="n">
        <v>14672</v>
      </c>
      <c r="BO154" s="274" t="n">
        <v>17411</v>
      </c>
      <c r="BP154" s="274" t="n">
        <v>21203</v>
      </c>
      <c r="BQ154" s="274" t="n">
        <v>68593</v>
      </c>
      <c r="BR154" s="274" t="n">
        <v>18405</v>
      </c>
      <c r="BS154" s="274" t="n">
        <v>19171</v>
      </c>
      <c r="BT154" s="274" t="n">
        <v>17422</v>
      </c>
      <c r="BU154" s="274" t="n">
        <v>24977</v>
      </c>
      <c r="BV154" s="274" t="n">
        <v>79975</v>
      </c>
      <c r="BW154" s="274" t="n">
        <v>23852</v>
      </c>
      <c r="BX154" s="274" t="n">
        <v>27461</v>
      </c>
      <c r="BY154" s="262">
        <f>BY108-BY181</f>
        <v>24500</v>
      </c>
      <c r="BZ154" s="262">
        <f>BZ108-BZ181</f>
        <v>30940.6060133102</v>
      </c>
      <c r="CA154" s="262">
        <f>SUM(BW154:BZ154)</f>
        <v>106753.60601331</v>
      </c>
      <c r="CB154" s="262">
        <f>CB108-CB181</f>
        <v>133285.411379273</v>
      </c>
      <c r="CC154" s="262">
        <f>CC108-CC181</f>
        <v>160376.095923195</v>
      </c>
      <c r="CD154" s="262">
        <f>CD108-CD181</f>
        <v>188437.124716498</v>
      </c>
      <c r="CE154" s="262">
        <f>CE108-CE181</f>
        <v>219090.509680543</v>
      </c>
      <c r="CF154" s="153" t="inlineStr">
        <is>
          <t>Forecast = adjusted operating income (segment build) − special items (forecast nil).</t>
        </is>
      </c>
      <c r="CH154" s="20">
        <f>IFERROR((CE154/BV154)^(1/5)-1,"n/m")</f>
        <v>0.223302500295774</v>
      </c>
      <c r="CI154" s="20">
        <f>IFERROR((BV154/AW154)^(1/5)-1,"n/m")</f>
        <v>0.284184862571978</v>
      </c>
      <c r="CJ154" s="20">
        <f>IFERROR((BV154/X154)^(1/10)-1,"n/m")</f>
        <v>0.430232203697696</v>
      </c>
      <c r="CK154" s="20">
        <f>IFERROR((BV154/C154)^(1/19)-1,"n/m")</f>
        <v>0.323540047638961</v>
      </c>
    </row>
    <row r="155" ht="15" customHeight="1" s="251">
      <c r="B155" s="25" t="inlineStr">
        <is>
          <t xml:space="preserve">  Operating margin %</t>
        </is>
      </c>
      <c r="C155" s="215">
        <f>IF(AND(ISNUMBER(C154),ISNUMBER(C144)),IFERROR(C154/C144,""),"")</f>
        <v>0.0363178041265988</v>
      </c>
      <c r="D155" s="215">
        <f>IF(AND(ISNUMBER(D154),ISNUMBER(D144)),IFERROR(D154/D144,""),"")</f>
        <v>0.0441523424334344</v>
      </c>
      <c r="E155" s="215">
        <f>IF(AND(ISNUMBER(E154),ISNUMBER(E144)),IFERROR(E154/E144,""),"")</f>
        <v>0.0439319628508818</v>
      </c>
      <c r="F155" s="215">
        <f>IF(AND(ISNUMBER(F154),ISNUMBER(F144)),IFERROR(F154/F144,""),"")</f>
        <v>0.0460647109225183</v>
      </c>
      <c r="G155" s="215">
        <f>IF(AND(ISNUMBER(G154),ISNUMBER(G144)),IFERROR(G154/G144,""),"")</f>
        <v>0.0411063033563326</v>
      </c>
      <c r="H155" s="215">
        <f>IF(AND(ISNUMBER(H154),ISNUMBER(H144)),IFERROR(H154/H144,""),"")</f>
        <v>0.0179295713126859</v>
      </c>
      <c r="I155" s="215">
        <f>IF(AND(ISNUMBER(I154),ISNUMBER(I144)),IFERROR(I154/I144,""),"")</f>
        <v>0.0110650974743424</v>
      </c>
      <c r="J155" s="215">
        <f>IF(AND(ISNUMBER(J154),ISNUMBER(J144)),IFERROR(J154/J144,""),"")</f>
        <v>0.0112632233976353</v>
      </c>
      <c r="K155" s="215">
        <f>IF(AND(ISNUMBER(K154),ISNUMBER(K144)),IFERROR(K154/K144,""),"")</f>
        <v>0.00503056546102904</v>
      </c>
      <c r="L155" s="215">
        <f>IF(AND(ISNUMBER(L154),ISNUMBER(L144)),IFERROR(L154/L144,""),"")</f>
        <v>-0.00146267259536625</v>
      </c>
      <c r="M155" s="215">
        <f>IF(AND(ISNUMBER(M154),ISNUMBER(M144)),IFERROR(M154/M144,""),"")</f>
        <v>0.0199319967170829</v>
      </c>
      <c r="N155" s="215">
        <f>IF(AND(ISNUMBER(N154),ISNUMBER(N144)),IFERROR(N154/N144,""),"")</f>
        <v>0.0100064471068608</v>
      </c>
      <c r="O155" s="215">
        <f>IF(AND(ISNUMBER(O154),ISNUMBER(O144)),IFERROR(O154/O144,""),"")</f>
        <v>0.00739577529000557</v>
      </c>
      <c r="P155" s="215">
        <f>IF(AND(ISNUMBER(P154),ISNUMBER(P144)),IFERROR(P154/P144,""),"")</f>
        <v>-0.00077559462254395</v>
      </c>
      <c r="Q155" s="215">
        <f>IF(AND(ISNUMBER(Q154),ISNUMBER(Q144)),IFERROR(Q154/Q144,""),"")</f>
        <v>-0.0264347150007289</v>
      </c>
      <c r="R155" s="215">
        <f>IF(AND(ISNUMBER(R154),ISNUMBER(R144)),IFERROR(R154/R144,""),"")</f>
        <v>0.0201513911620295</v>
      </c>
      <c r="S155" s="215">
        <f>IF(AND(ISNUMBER(S154),ISNUMBER(S144)),IFERROR(S154/S144,""),"")</f>
        <v>0.0020002696992853</v>
      </c>
      <c r="T155" s="215">
        <f>IF(AND(ISNUMBER(T154),ISNUMBER(T144)),IFERROR(T154/T144,""),"")</f>
        <v>0.0112250737333275</v>
      </c>
      <c r="U155" s="215">
        <f>IF(AND(ISNUMBER(U154),ISNUMBER(U144)),IFERROR(U154/U144,""),"")</f>
        <v>0.0200129394004744</v>
      </c>
      <c r="V155" s="215">
        <f>IF(AND(ISNUMBER(V154),ISNUMBER(V144)),IFERROR(V154/V144,""),"")</f>
        <v>0.0160107263979809</v>
      </c>
      <c r="W155" s="215">
        <f>IF(AND(ISNUMBER(W154),ISNUMBER(W144)),IFERROR(W154/W144,""),"")</f>
        <v>0.0309956080230509</v>
      </c>
      <c r="X155" s="215">
        <f>IF(AND(ISNUMBER(X154),ISNUMBER(X144)),IFERROR(X154/X144,""),"")</f>
        <v>0.0208679887109134</v>
      </c>
      <c r="Y155" s="215">
        <f>IF(AND(ISNUMBER(Y154),ISNUMBER(Y144)),IFERROR(Y154/Y144,""),"")</f>
        <v>0.0367687448503158</v>
      </c>
      <c r="Z155" s="215">
        <f>IF(AND(ISNUMBER(Z154),ISNUMBER(Z144)),IFERROR(Z154/Z144,""),"")</f>
        <v>0.0422641757663465</v>
      </c>
      <c r="AA155" s="215">
        <f>IF(AND(ISNUMBER(AA154),ISNUMBER(AA144)),IFERROR(AA154/AA144,""),"")</f>
        <v>0.0175765727211591</v>
      </c>
      <c r="AB155" s="215">
        <f>IF(AND(ISNUMBER(AB154),ISNUMBER(AB144)),IFERROR(AB154/AB144,""),"")</f>
        <v>0.0286916165611211</v>
      </c>
      <c r="AC155" s="215">
        <f>IF(AND(ISNUMBER(AC154),ISNUMBER(AC144)),IFERROR(AC154/AC144,""),"")</f>
        <v>0.0307823541956216</v>
      </c>
      <c r="AD155" s="215">
        <f>IF(AND(ISNUMBER(AD154),ISNUMBER(AD144)),IFERROR(AD154/AD144,""),"")</f>
        <v>0.028140225121801</v>
      </c>
      <c r="AE155" s="215">
        <f>IF(AND(ISNUMBER(AE154),ISNUMBER(AE144)),IFERROR(AE154/AE144,""),"")</f>
        <v>0.0165459096298248</v>
      </c>
      <c r="AF155" s="215">
        <f>IF(AND(ISNUMBER(AF154),ISNUMBER(AF144)),IFERROR(AF154/AF144,""),"")</f>
        <v>0.00793251645940015</v>
      </c>
      <c r="AG155" s="215">
        <f>IF(AND(ISNUMBER(AG154),ISNUMBER(AG144)),IFERROR(AG154/AG144,""),"")</f>
        <v>0.0351843580963724</v>
      </c>
      <c r="AH155" s="215">
        <f>IF(AND(ISNUMBER(AH154),ISNUMBER(AH144)),IFERROR(AH154/AH144,""),"")</f>
        <v>0.0230847941708927</v>
      </c>
      <c r="AI155" s="215">
        <f>IF(AND(ISNUMBER(AI154),ISNUMBER(AI144)),IFERROR(AI154/AI144,""),"")</f>
        <v>0.0377532228360958</v>
      </c>
      <c r="AJ155" s="215">
        <f>IF(AND(ISNUMBER(AJ154),ISNUMBER(AJ144)),IFERROR(AJ154/AJ144,""),"")</f>
        <v>0.0564043414136066</v>
      </c>
      <c r="AK155" s="215">
        <f>IF(AND(ISNUMBER(AK154),ISNUMBER(AK144)),IFERROR(AK154/AK144,""),"")</f>
        <v>0.065822963800905</v>
      </c>
      <c r="AL155" s="215">
        <f>IF(AND(ISNUMBER(AL154),ISNUMBER(AL144)),IFERROR(AL154/AL144,""),"")</f>
        <v>0.0523050992636393</v>
      </c>
      <c r="AM155" s="215">
        <f>IF(AND(ISNUMBER(AM154),ISNUMBER(AM144)),IFERROR(AM154/AM144,""),"")</f>
        <v>0.0533348791473977</v>
      </c>
      <c r="AN155" s="215">
        <f>IF(AND(ISNUMBER(AN154),ISNUMBER(AN144)),IFERROR(AN154/AN144,""),"")</f>
        <v>0.074036850921273</v>
      </c>
      <c r="AO155" s="215">
        <f>IF(AND(ISNUMBER(AO154),ISNUMBER(AO144)),IFERROR(AO154/AO144,""),"")</f>
        <v>0.0486404643240174</v>
      </c>
      <c r="AP155" s="215">
        <f>IF(AND(ISNUMBER(AP154),ISNUMBER(AP144)),IFERROR(AP154/AP144,""),"")</f>
        <v>0.045112244752147</v>
      </c>
      <c r="AQ155" s="215">
        <f>IF(AND(ISNUMBER(AQ154),ISNUMBER(AQ144)),IFERROR(AQ154/AQ144,""),"")</f>
        <v>0.0443633701979711</v>
      </c>
      <c r="AR155" s="215">
        <f>IF(AND(ISNUMBER(AR154),ISNUMBER(AR144)),IFERROR(AR154/AR144,""),"")</f>
        <v>0.0518355066625791</v>
      </c>
      <c r="AS155" s="215">
        <f>IF(AND(ISNUMBER(AS154),ISNUMBER(AS144)),IFERROR(AS154/AS144,""),"")</f>
        <v>0.0528680485606743</v>
      </c>
      <c r="AT155" s="215">
        <f>IF(AND(ISNUMBER(AT154),ISNUMBER(AT144)),IFERROR(AT154/AT144,""),"")</f>
        <v>0.0657166636674465</v>
      </c>
      <c r="AU155" s="215">
        <f>IF(AND(ISNUMBER(AU154),ISNUMBER(AU144)),IFERROR(AU154/AU144,""),"")</f>
        <v>0.0644235269644807</v>
      </c>
      <c r="AV155" s="215">
        <f>IF(AND(ISNUMBER(AV154),ISNUMBER(AV144)),IFERROR(AV154/AV144,""),"")</f>
        <v>0.0547409501811955</v>
      </c>
      <c r="AW155" s="215">
        <f>IF(AND(ISNUMBER(AW154),ISNUMBER(AW144)),IFERROR(AW154/AW144,""),"")</f>
        <v>0.0593139997513366</v>
      </c>
      <c r="AX155" s="215">
        <f>IF(AND(ISNUMBER(AX154),ISNUMBER(AX144)),IFERROR(AX154/AX144,""),"")</f>
        <v>0.0816915166147552</v>
      </c>
      <c r="AY155" s="215">
        <f>IF(AND(ISNUMBER(AY154),ISNUMBER(AY144)),IFERROR(AY154/AY144,""),"")</f>
        <v>0.0681110718075699</v>
      </c>
      <c r="AZ155" s="215">
        <f>IF(AND(ISNUMBER(AZ154),ISNUMBER(AZ144)),IFERROR(AZ154/AZ144,""),"")</f>
        <v>0.0437858715662564</v>
      </c>
      <c r="BA155" s="215">
        <f>IF(AND(ISNUMBER(BA154),ISNUMBER(BA144)),IFERROR(BA154/BA144,""),"")</f>
        <v>0.0251797514045353</v>
      </c>
      <c r="BB155" s="215">
        <f>IF(AND(ISNUMBER(BB154),ISNUMBER(BB144)),IFERROR(BB154/BB144,""),"")</f>
        <v>0.0529540975092695</v>
      </c>
      <c r="BC155" s="215">
        <f>IF(AND(ISNUMBER(BC154),ISNUMBER(BC144)),IFERROR(BC154/BC144,""),"")</f>
        <v>0.031508708048504</v>
      </c>
      <c r="BD155" s="215">
        <f>IF(AND(ISNUMBER(BD154),ISNUMBER(BD144)),IFERROR(BD154/BD144,""),"")</f>
        <v>0.0273603114637808</v>
      </c>
      <c r="BE155" s="215">
        <f>IF(AND(ISNUMBER(BE154),ISNUMBER(BE144)),IFERROR(BE154/BE144,""),"")</f>
        <v>0.019866090746729</v>
      </c>
      <c r="BF155" s="215">
        <f>IF(AND(ISNUMBER(BF154),ISNUMBER(BF144)),IFERROR(BF154/BF144,""),"")</f>
        <v>0.0183440122248733</v>
      </c>
      <c r="BG155" s="215">
        <f>IF(AND(ISNUMBER(BG154),ISNUMBER(BG144)),IFERROR(BG154/BG144,""),"")</f>
        <v>0.0238295819122422</v>
      </c>
      <c r="BH155" s="215">
        <f>IF(AND(ISNUMBER(BH154),ISNUMBER(BH144)),IFERROR(BH154/BH144,""),"")</f>
        <v>0.0374848851269649</v>
      </c>
      <c r="BI155" s="215">
        <f>IF(AND(ISNUMBER(BI154),ISNUMBER(BI144)),IFERROR(BI154/BI144,""),"")</f>
        <v>0.0571575273658126</v>
      </c>
      <c r="BJ155" s="215">
        <f>IF(AND(ISNUMBER(BJ154),ISNUMBER(BJ144)),IFERROR(BJ154/BJ144,""),"")</f>
        <v>0.0781923778506182</v>
      </c>
      <c r="BK155" s="215">
        <f>IF(AND(ISNUMBER(BK154),ISNUMBER(BK144)),IFERROR(BK154/BK144,""),"")</f>
        <v>0.0777178293843882</v>
      </c>
      <c r="BL155" s="215">
        <f>IF(AND(ISNUMBER(BL154),ISNUMBER(BL144)),IFERROR(BL154/BL144,""),"")</f>
        <v>0.0641144079960333</v>
      </c>
      <c r="BM155" s="215">
        <f>IF(AND(ISNUMBER(BM154),ISNUMBER(BM144)),IFERROR(BM154/BM144,""),"")</f>
        <v>0.106808175113214</v>
      </c>
      <c r="BN155" s="215">
        <f>IF(AND(ISNUMBER(BN154),ISNUMBER(BN144)),IFERROR(BN154/BN144,""),"")</f>
        <v>0.0991505436655697</v>
      </c>
      <c r="BO155" s="215">
        <f>IF(AND(ISNUMBER(BO154),ISNUMBER(BO144)),IFERROR(BO154/BO144,""),"")</f>
        <v>0.109587920215009</v>
      </c>
      <c r="BP155" s="215">
        <f>IF(AND(ISNUMBER(BP154),ISNUMBER(BP144)),IFERROR(BP154/BP144,""),"")</f>
        <v>0.112906833091932</v>
      </c>
      <c r="BQ155" s="215">
        <f>IF(AND(ISNUMBER(BQ154),ISNUMBER(BQ144)),IFERROR(BQ154/BQ144,""),"")</f>
        <v>0.107519448742004</v>
      </c>
      <c r="BR155" s="215">
        <f>IF(AND(ISNUMBER(BR154),ISNUMBER(BR144)),IFERROR(BR154/BR144,""),"")</f>
        <v>0.118233151535007</v>
      </c>
      <c r="BS155" s="215">
        <f>IF(AND(ISNUMBER(BS154),ISNUMBER(BS144)),IFERROR(BS154/BS144,""),"")</f>
        <v>0.114315869816699</v>
      </c>
      <c r="BT155" s="215">
        <f>IF(AND(ISNUMBER(BT154),ISNUMBER(BT144)),IFERROR(BT154/BT144,""),"")</f>
        <v>0.0966981001171123</v>
      </c>
      <c r="BU155" s="215">
        <f>IF(AND(ISNUMBER(BU154),ISNUMBER(BU144)),IFERROR(BU154/BU144,""),"")</f>
        <v>0.117050790586074</v>
      </c>
      <c r="BV155" s="215">
        <f>IF(AND(ISNUMBER(BV154),ISNUMBER(BV144)),IFERROR(BV154/BV144,""),"")</f>
        <v>0.111552967957552</v>
      </c>
      <c r="BW155" s="215">
        <f>IF(AND(ISNUMBER(BW154),ISNUMBER(BW144)),IFERROR(BW154/BW144,""),"")</f>
        <v>0.131402222356888</v>
      </c>
      <c r="BX155" s="215">
        <f>IF(AND(ISNUMBER(BX154),ISNUMBER(BX144)),IFERROR(BX154/BX144,""),"")</f>
        <v>0.136890222625445</v>
      </c>
      <c r="BY155" s="256">
        <f>IF(AND(ISNUMBER(BY154),ISNUMBER(BY144)),IFERROR(BY154/BY144,""),"")</f>
        <v>0.12280701754386</v>
      </c>
      <c r="BZ155" s="256">
        <f>IF(AND(ISNUMBER(BZ154),ISNUMBER(BZ144)),IFERROR(BZ154/BZ144,""),"")</f>
        <v>0.126859067069213</v>
      </c>
      <c r="CA155" s="256">
        <f>IF(AND(ISNUMBER(CA154),ISNUMBER(CA144)),IFERROR(CA154/CA144,""),"")</f>
        <v>0.129316413997659</v>
      </c>
      <c r="CB155" s="256">
        <f>IF(AND(ISNUMBER(CB154),ISNUMBER(CB144)),IFERROR(CB154/CB144,""),"")</f>
        <v>0.141197899930862</v>
      </c>
      <c r="CC155" s="256">
        <f>IF(AND(ISNUMBER(CC154),ISNUMBER(CC144)),IFERROR(CC154/CC144,""),"")</f>
        <v>0.149964972315812</v>
      </c>
      <c r="CD155" s="256">
        <f>IF(AND(ISNUMBER(CD154),ISNUMBER(CD144)),IFERROR(CD154/CD144,""),"")</f>
        <v>0.157199710578401</v>
      </c>
      <c r="CE155" s="256">
        <f>IF(AND(ISNUMBER(CE154),ISNUMBER(CE144)),IFERROR(CE154/CE144,""),"")</f>
        <v>0.164702085203659</v>
      </c>
      <c r="CF155" s="153" t="n"/>
      <c r="CH155" s="37">
        <f>IFERROR(AVERAGE(CA155,CB155,CC155,CD155,CE155),"n/m")</f>
        <v>0.148476216405278</v>
      </c>
      <c r="CI155" s="37">
        <f>IFERROR(AVERAGE(BB155,BG155,BL155,BQ155,BV155),"n/m")</f>
        <v>0.0719941008234202</v>
      </c>
      <c r="CJ155" s="37">
        <f>IFERROR(AVERAGE(AC155,AH155,AM155,AR155,AW155,BB155,BG155,BL155,BQ155,BV155),"n/m")</f>
        <v>0.0578322038044928</v>
      </c>
      <c r="CK155" s="37">
        <f>IFERROR(AVERAGE(C155,D155,E155,F155,G155,H155,I155,N155,S155,X155,AC155,AH155,AM155,AR155,AW155,BB155,BG155,BL155,BQ155,BV155),"n/m")</f>
        <v>0.0425882268019391</v>
      </c>
    </row>
    <row r="156" collapsed="1" ht="15" customHeight="1" s="251">
      <c r="B156" s="25" t="inlineStr">
        <is>
          <t>Interest income</t>
        </is>
      </c>
      <c r="C156" s="253" t="n">
        <v>59</v>
      </c>
      <c r="D156" s="253" t="n">
        <v>90</v>
      </c>
      <c r="E156" s="253" t="n">
        <v>83</v>
      </c>
      <c r="F156" s="253" t="n">
        <v>37</v>
      </c>
      <c r="G156" s="253" t="n">
        <v>51</v>
      </c>
      <c r="H156" s="253" t="n">
        <v>61</v>
      </c>
      <c r="I156" s="253" t="n">
        <v>40</v>
      </c>
      <c r="J156" s="253" t="n">
        <v>10</v>
      </c>
      <c r="K156" s="253" t="n">
        <v>9</v>
      </c>
      <c r="L156" s="253" t="n">
        <v>9</v>
      </c>
      <c r="M156" s="253" t="n">
        <v>10</v>
      </c>
      <c r="N156" s="253" t="n">
        <v>38</v>
      </c>
      <c r="O156" s="253" t="n">
        <v>11</v>
      </c>
      <c r="P156" s="253" t="n">
        <v>11</v>
      </c>
      <c r="Q156" s="253" t="n">
        <v>9</v>
      </c>
      <c r="R156" s="253" t="n">
        <v>8</v>
      </c>
      <c r="S156" s="253" t="n">
        <v>39</v>
      </c>
      <c r="T156" s="253" t="n">
        <v>11</v>
      </c>
      <c r="U156" s="253" t="n">
        <v>12</v>
      </c>
      <c r="V156" s="253" t="n">
        <v>13</v>
      </c>
      <c r="W156" s="253" t="n">
        <v>13</v>
      </c>
      <c r="X156" s="253" t="n">
        <v>50</v>
      </c>
      <c r="Y156" s="253" t="n">
        <v>21</v>
      </c>
      <c r="Z156" s="253" t="n">
        <v>24</v>
      </c>
      <c r="AA156" s="253" t="n">
        <v>26</v>
      </c>
      <c r="AB156" s="253" t="n">
        <v>30</v>
      </c>
      <c r="AC156" s="253" t="n">
        <v>100</v>
      </c>
      <c r="AD156" s="253" t="n">
        <v>39</v>
      </c>
      <c r="AE156" s="253" t="n">
        <v>44</v>
      </c>
      <c r="AF156" s="253" t="n">
        <v>54</v>
      </c>
      <c r="AG156" s="253" t="n">
        <v>66</v>
      </c>
      <c r="AH156" s="253" t="n">
        <v>202</v>
      </c>
      <c r="AI156" s="253" t="n">
        <v>80</v>
      </c>
      <c r="AJ156" s="253" t="n">
        <v>94</v>
      </c>
      <c r="AK156" s="253" t="n">
        <v>117</v>
      </c>
      <c r="AL156" s="253" t="n">
        <v>150</v>
      </c>
      <c r="AM156" s="253" t="n">
        <v>440</v>
      </c>
      <c r="AN156" s="253" t="n">
        <v>183</v>
      </c>
      <c r="AO156" s="253" t="n">
        <v>215</v>
      </c>
      <c r="AP156" s="253" t="n">
        <v>224</v>
      </c>
      <c r="AQ156" s="253" t="n">
        <v>211</v>
      </c>
      <c r="AR156" s="253" t="n">
        <v>832</v>
      </c>
      <c r="AS156" s="253" t="n">
        <v>202</v>
      </c>
      <c r="AT156" s="253" t="n">
        <v>135</v>
      </c>
      <c r="AU156" s="253" t="n">
        <v>118</v>
      </c>
      <c r="AV156" s="253" t="n">
        <v>100</v>
      </c>
      <c r="AW156" s="253" t="n">
        <v>555</v>
      </c>
      <c r="AX156" s="253" t="n">
        <v>105</v>
      </c>
      <c r="AY156" s="253" t="n">
        <v>106</v>
      </c>
      <c r="AZ156" s="253" t="n">
        <v>119</v>
      </c>
      <c r="BA156" s="253" t="n">
        <v>118</v>
      </c>
      <c r="BB156" s="253" t="n">
        <v>448</v>
      </c>
      <c r="BC156" s="253" t="n">
        <v>108</v>
      </c>
      <c r="BD156" s="253" t="n">
        <v>159</v>
      </c>
      <c r="BE156" s="253" t="n">
        <v>277</v>
      </c>
      <c r="BF156" s="253" t="n">
        <v>445</v>
      </c>
      <c r="BG156" s="253" t="n">
        <v>989</v>
      </c>
      <c r="BH156" s="253" t="n">
        <v>611</v>
      </c>
      <c r="BI156" s="253" t="n">
        <v>661</v>
      </c>
      <c r="BJ156" s="253" t="n">
        <v>776</v>
      </c>
      <c r="BK156" s="253" t="n">
        <v>901</v>
      </c>
      <c r="BL156" s="253" t="n">
        <v>2949</v>
      </c>
      <c r="BM156" s="253" t="n">
        <v>993</v>
      </c>
      <c r="BN156" s="253" t="n">
        <v>1180</v>
      </c>
      <c r="BO156" s="253" t="n">
        <v>1256</v>
      </c>
      <c r="BP156" s="253" t="n">
        <v>1248</v>
      </c>
      <c r="BQ156" s="253" t="n">
        <v>4677</v>
      </c>
      <c r="BR156" s="253" t="n">
        <v>1066</v>
      </c>
      <c r="BS156" s="253" t="n">
        <v>1085</v>
      </c>
      <c r="BT156" s="253" t="n">
        <v>1100</v>
      </c>
      <c r="BU156" s="253" t="n">
        <v>1130</v>
      </c>
      <c r="BV156" s="253" t="n">
        <v>4381</v>
      </c>
      <c r="BW156" s="253" t="n">
        <v>1135</v>
      </c>
      <c r="BX156" s="253" t="n">
        <v>1295</v>
      </c>
      <c r="BY156" s="254">
        <f>(BX311+BX312)*$CP$20/4</f>
        <v>1106.892</v>
      </c>
      <c r="BZ156" s="254">
        <f>BY156</f>
        <v>1106.892</v>
      </c>
      <c r="CA156" s="254">
        <f>SUM(BW156:BZ156)</f>
        <v>4643.784</v>
      </c>
      <c r="CB156" s="254">
        <f>(CA311+CA312)*CB373</f>
        <v>4968.10844305637</v>
      </c>
      <c r="CC156" s="254">
        <f>(CB311+CB312)*CC373</f>
        <v>5377.7295</v>
      </c>
      <c r="CD156" s="254">
        <f>(CC311+CC312)*CD373</f>
        <v>5377.7295</v>
      </c>
      <c r="CE156" s="254">
        <f>(CD311+CD312)*CE373</f>
        <v>5377.7295</v>
      </c>
      <c r="CF156" s="19" t="inlineStr">
        <is>
          <t>Yield × opening cash, cash equivalents and marketable securities (no circularity).</t>
        </is>
      </c>
    </row>
    <row r="157" ht="15" customHeight="1" s="251">
      <c r="B157" s="25" t="inlineStr">
        <is>
          <t>Interest expense (incl. finance-lease and financing-obligation interest)</t>
        </is>
      </c>
      <c r="C157" s="253" t="n">
        <v>78</v>
      </c>
      <c r="D157" s="253" t="n">
        <v>77</v>
      </c>
      <c r="E157" s="253" t="n">
        <v>71</v>
      </c>
      <c r="F157" s="253" t="n">
        <v>34</v>
      </c>
      <c r="G157" s="253" t="n">
        <v>39</v>
      </c>
      <c r="H157" s="253" t="n">
        <v>65</v>
      </c>
      <c r="I157" s="253" t="n">
        <v>92</v>
      </c>
      <c r="J157" s="253" t="n">
        <v>33</v>
      </c>
      <c r="K157" s="253" t="n">
        <v>33</v>
      </c>
      <c r="L157" s="253" t="n">
        <v>36</v>
      </c>
      <c r="M157" s="253" t="n">
        <v>39</v>
      </c>
      <c r="N157" s="253" t="n">
        <v>141</v>
      </c>
      <c r="O157" s="253" t="n">
        <v>42</v>
      </c>
      <c r="P157" s="253" t="n">
        <v>45</v>
      </c>
      <c r="Q157" s="253" t="n">
        <v>49</v>
      </c>
      <c r="R157" s="253" t="n">
        <v>74</v>
      </c>
      <c r="S157" s="253" t="n">
        <v>210</v>
      </c>
      <c r="T157" s="253" t="n">
        <v>115</v>
      </c>
      <c r="U157" s="253" t="n">
        <v>114</v>
      </c>
      <c r="V157" s="253" t="n">
        <v>116</v>
      </c>
      <c r="W157" s="253" t="n">
        <v>115</v>
      </c>
      <c r="X157" s="253" t="n">
        <v>459</v>
      </c>
      <c r="Y157" s="253" t="n">
        <v>117</v>
      </c>
      <c r="Z157" s="253" t="n">
        <v>116</v>
      </c>
      <c r="AA157" s="253" t="n">
        <v>118</v>
      </c>
      <c r="AB157" s="253" t="n">
        <v>133</v>
      </c>
      <c r="AC157" s="253" t="n">
        <v>484</v>
      </c>
      <c r="AD157" s="253" t="n">
        <v>139</v>
      </c>
      <c r="AE157" s="253" t="n">
        <v>143</v>
      </c>
      <c r="AF157" s="253" t="n">
        <v>228</v>
      </c>
      <c r="AG157" s="253" t="n">
        <v>339</v>
      </c>
      <c r="AH157" s="253" t="n">
        <v>848</v>
      </c>
      <c r="AI157" s="253" t="n">
        <v>330</v>
      </c>
      <c r="AJ157" s="253" t="n">
        <v>343</v>
      </c>
      <c r="AK157" s="253" t="n">
        <v>358</v>
      </c>
      <c r="AL157" s="253" t="n">
        <v>387</v>
      </c>
      <c r="AM157" s="253" t="n">
        <v>1417</v>
      </c>
      <c r="AN157" s="253" t="n">
        <v>366</v>
      </c>
      <c r="AO157" s="253" t="n">
        <v>383</v>
      </c>
      <c r="AP157" s="253" t="n">
        <v>396</v>
      </c>
      <c r="AQ157" s="253" t="n">
        <v>455</v>
      </c>
      <c r="AR157" s="253" t="n">
        <v>1600</v>
      </c>
      <c r="AS157" s="253" t="n">
        <v>402</v>
      </c>
      <c r="AT157" s="253" t="n">
        <v>403</v>
      </c>
      <c r="AU157" s="253" t="n">
        <v>428</v>
      </c>
      <c r="AV157" s="253" t="n">
        <v>414</v>
      </c>
      <c r="AW157" s="253" t="n">
        <v>1647</v>
      </c>
      <c r="AX157" s="253" t="n">
        <v>399</v>
      </c>
      <c r="AY157" s="253" t="n">
        <v>435</v>
      </c>
      <c r="AZ157" s="253" t="n">
        <v>493</v>
      </c>
      <c r="BA157" s="253" t="n">
        <v>482</v>
      </c>
      <c r="BB157" s="253" t="n">
        <v>1809</v>
      </c>
      <c r="BC157" s="253" t="n">
        <v>472</v>
      </c>
      <c r="BD157" s="253" t="n">
        <v>584</v>
      </c>
      <c r="BE157" s="253" t="n">
        <v>617</v>
      </c>
      <c r="BF157" s="253" t="n">
        <v>694</v>
      </c>
      <c r="BG157" s="253" t="n">
        <v>2367</v>
      </c>
      <c r="BH157" s="253" t="n">
        <v>823</v>
      </c>
      <c r="BI157" s="253" t="n">
        <v>840</v>
      </c>
      <c r="BJ157" s="253" t="n">
        <v>806</v>
      </c>
      <c r="BK157" s="253" t="n">
        <v>713</v>
      </c>
      <c r="BL157" s="253" t="n">
        <v>3182</v>
      </c>
      <c r="BM157" s="253" t="n">
        <v>644</v>
      </c>
      <c r="BN157" s="253" t="n">
        <v>589</v>
      </c>
      <c r="BO157" s="253" t="n">
        <v>603</v>
      </c>
      <c r="BP157" s="253" t="n">
        <v>570</v>
      </c>
      <c r="BQ157" s="253" t="n">
        <v>2406</v>
      </c>
      <c r="BR157" s="253" t="n">
        <v>541</v>
      </c>
      <c r="BS157" s="253" t="n">
        <v>516</v>
      </c>
      <c r="BT157" s="253" t="n">
        <v>538</v>
      </c>
      <c r="BU157" s="253" t="n">
        <v>679</v>
      </c>
      <c r="BV157" s="253" t="n">
        <v>2274</v>
      </c>
      <c r="BW157" s="253" t="n">
        <v>800</v>
      </c>
      <c r="BX157" s="253" t="n">
        <v>1314</v>
      </c>
      <c r="BY157" s="254">
        <f>$CP$21</f>
        <v>1750</v>
      </c>
      <c r="BZ157" s="254">
        <f>$CP$22</f>
        <v>1950</v>
      </c>
      <c r="CA157" s="254">
        <f>SUM(BW157:BZ157)</f>
        <v>5814</v>
      </c>
      <c r="CB157" s="254">
        <f>CA360*CB370+CA367*CB371+CB372</f>
        <v>7933.2675</v>
      </c>
      <c r="CC157" s="254">
        <f>CB360*CC370+CB367*CC371+CC372</f>
        <v>8096.229</v>
      </c>
      <c r="CD157" s="254">
        <f>CC360*CD370+CC367*CD371+CD372</f>
        <v>8259.1905</v>
      </c>
      <c r="CE157" s="254">
        <f>CD360*CE370+CD367*CE371+CE372</f>
        <v>8259.1905</v>
      </c>
      <c r="CF157" s="19" t="inlineStr">
        <is>
          <t>Q3/Q4-26E point estimates (incl. the $25.0bn July and £4.25bn September notes). 2027E+ = rate × opening notes + rate × opening CP / revolver + lease interest.</t>
        </is>
      </c>
    </row>
    <row r="158" ht="15" customHeight="1" s="251">
      <c r="B158" s="25" t="inlineStr">
        <is>
          <t>Other income (expense), net (investment marks — Anthropic, Rivian — FX, other; incl. "remeasurements and other" 2006–08)</t>
        </is>
      </c>
      <c r="C158" s="253" t="n">
        <v>7</v>
      </c>
      <c r="D158" s="253" t="n">
        <v>-8</v>
      </c>
      <c r="E158" s="253" t="n">
        <v>47</v>
      </c>
      <c r="F158" s="253" t="n">
        <v>29</v>
      </c>
      <c r="G158" s="253" t="n">
        <v>79</v>
      </c>
      <c r="H158" s="253" t="n">
        <v>76</v>
      </c>
      <c r="I158" s="253" t="n">
        <v>-80</v>
      </c>
      <c r="J158" s="253" t="n">
        <v>-77</v>
      </c>
      <c r="K158" s="253" t="n">
        <v>-38</v>
      </c>
      <c r="L158" s="253" t="n">
        <v>9</v>
      </c>
      <c r="M158" s="253" t="n">
        <v>-30</v>
      </c>
      <c r="N158" s="253" t="n">
        <v>-136</v>
      </c>
      <c r="O158" s="253" t="n">
        <v>5</v>
      </c>
      <c r="P158" s="253" t="n">
        <v>22</v>
      </c>
      <c r="Q158" s="253" t="n">
        <v>-50</v>
      </c>
      <c r="R158" s="253" t="n">
        <v>-96</v>
      </c>
      <c r="S158" s="253" t="n">
        <v>-118</v>
      </c>
      <c r="T158" s="253" t="n">
        <v>-130</v>
      </c>
      <c r="U158" s="253" t="n">
        <v>0</v>
      </c>
      <c r="V158" s="253" t="n">
        <v>-56</v>
      </c>
      <c r="W158" s="253" t="n">
        <v>-68</v>
      </c>
      <c r="X158" s="253" t="n">
        <v>-256</v>
      </c>
      <c r="Y158" s="253" t="n">
        <v>81</v>
      </c>
      <c r="Z158" s="253" t="n">
        <v>-14</v>
      </c>
      <c r="AA158" s="253" t="n">
        <v>8</v>
      </c>
      <c r="AB158" s="253" t="n">
        <v>14</v>
      </c>
      <c r="AC158" s="253" t="n">
        <v>90</v>
      </c>
      <c r="AD158" s="253" t="n">
        <v>48</v>
      </c>
      <c r="AE158" s="253" t="n">
        <v>137</v>
      </c>
      <c r="AF158" s="253" t="n">
        <v>143</v>
      </c>
      <c r="AG158" s="253" t="n">
        <v>18</v>
      </c>
      <c r="AH158" s="253" t="n">
        <v>346</v>
      </c>
      <c r="AI158" s="253" t="n">
        <v>239</v>
      </c>
      <c r="AJ158" s="253" t="n">
        <v>-129</v>
      </c>
      <c r="AK158" s="253" t="n">
        <v>-93</v>
      </c>
      <c r="AL158" s="253" t="n">
        <v>-199</v>
      </c>
      <c r="AM158" s="253" t="n">
        <v>-183</v>
      </c>
      <c r="AN158" s="253" t="n">
        <v>164</v>
      </c>
      <c r="AO158" s="253" t="n">
        <v>-27</v>
      </c>
      <c r="AP158" s="253" t="n">
        <v>-353</v>
      </c>
      <c r="AQ158" s="253" t="n">
        <v>418</v>
      </c>
      <c r="AR158" s="253" t="n">
        <v>203</v>
      </c>
      <c r="AS158" s="253" t="n">
        <v>-406</v>
      </c>
      <c r="AT158" s="253" t="n">
        <v>646</v>
      </c>
      <c r="AU158" s="253" t="n">
        <v>925</v>
      </c>
      <c r="AV158" s="253" t="n">
        <v>1206</v>
      </c>
      <c r="AW158" s="253" t="n">
        <v>2371</v>
      </c>
      <c r="AX158" s="253" t="n">
        <v>1697</v>
      </c>
      <c r="AY158" s="253" t="n">
        <v>1261</v>
      </c>
      <c r="AZ158" s="253" t="n">
        <v>-163</v>
      </c>
      <c r="BA158" s="253" t="n">
        <v>11838</v>
      </c>
      <c r="BB158" s="253" t="n">
        <v>14633</v>
      </c>
      <c r="BC158" s="253" t="n">
        <v>-8570</v>
      </c>
      <c r="BD158" s="253" t="n">
        <v>-5545</v>
      </c>
      <c r="BE158" s="253" t="n">
        <v>759</v>
      </c>
      <c r="BF158" s="253" t="n">
        <v>-3450</v>
      </c>
      <c r="BG158" s="253" t="n">
        <v>-16806</v>
      </c>
      <c r="BH158" s="253" t="n">
        <v>-443</v>
      </c>
      <c r="BI158" s="253" t="n">
        <v>61</v>
      </c>
      <c r="BJ158" s="253" t="n">
        <v>1031</v>
      </c>
      <c r="BK158" s="253" t="n">
        <v>289</v>
      </c>
      <c r="BL158" s="253" t="n">
        <v>938</v>
      </c>
      <c r="BM158" s="253" t="n">
        <v>-2673</v>
      </c>
      <c r="BN158" s="253" t="n">
        <v>-18</v>
      </c>
      <c r="BO158" s="253" t="n">
        <v>-27</v>
      </c>
      <c r="BP158" s="253" t="n">
        <v>468</v>
      </c>
      <c r="BQ158" s="253" t="n">
        <v>-2250</v>
      </c>
      <c r="BR158" s="253" t="n">
        <v>2749</v>
      </c>
      <c r="BS158" s="253" t="n">
        <v>1117</v>
      </c>
      <c r="BT158" s="253" t="n">
        <v>10186</v>
      </c>
      <c r="BU158" s="253" t="n">
        <v>1177</v>
      </c>
      <c r="BV158" s="253" t="n">
        <v>15229</v>
      </c>
      <c r="BW158" s="253" t="n">
        <v>15647</v>
      </c>
      <c r="BX158" s="253" t="n">
        <v>53415</v>
      </c>
      <c r="BY158" s="254">
        <f>0</f>
        <v>0</v>
      </c>
      <c r="BZ158" s="254">
        <f>0</f>
        <v>0</v>
      </c>
      <c r="CA158" s="254">
        <f>SUM(BW158:BZ158)</f>
        <v>69062</v>
      </c>
      <c r="CB158" s="254">
        <f>0</f>
        <v>0</v>
      </c>
      <c r="CC158" s="254">
        <f>0</f>
        <v>0</v>
      </c>
      <c r="CD158" s="254">
        <f>0</f>
        <v>0</v>
      </c>
      <c r="CE158" s="254">
        <f>0</f>
        <v>0</v>
      </c>
      <c r="CF158" s="19" t="inlineStr">
        <is>
          <t>Not forecast (fair-value changes on equity investments and convertible notes are unpredictable); excluded from adjusted net income.</t>
        </is>
      </c>
    </row>
    <row r="159" ht="15" customHeight="1" s="251">
      <c r="B159" s="16" t="inlineStr">
        <is>
          <t>Income before income taxes</t>
        </is>
      </c>
      <c r="C159" s="275">
        <f>IF(ISNUMBER(C154),C154+C156-C157+C158,"")</f>
        <v>377</v>
      </c>
      <c r="D159" s="275">
        <f>IF(ISNUMBER(D154),D154+D156-D157+D158,"")</f>
        <v>660</v>
      </c>
      <c r="E159" s="275">
        <f>IF(ISNUMBER(E154),E154+E156-E157+E158,"")</f>
        <v>901</v>
      </c>
      <c r="F159" s="275">
        <f>IF(ISNUMBER(F154),F154+F156-F157+F158,"")</f>
        <v>1161</v>
      </c>
      <c r="G159" s="275">
        <f>IF(ISNUMBER(G154),G154+G156-G157+G158,"")</f>
        <v>1497</v>
      </c>
      <c r="H159" s="275">
        <f>IF(ISNUMBER(H154),H154+H156-H157+H158,"")</f>
        <v>934</v>
      </c>
      <c r="I159" s="275">
        <f>IF(ISNUMBER(I154),I154+I156-I157+I158,"")</f>
        <v>544</v>
      </c>
      <c r="J159" s="275">
        <f>IF(ISNUMBER(J154),J154+J156-J157+J158,"")</f>
        <v>81</v>
      </c>
      <c r="K159" s="275">
        <f>IF(ISNUMBER(K154),K154+K156-K157+K158,"")</f>
        <v>17</v>
      </c>
      <c r="L159" s="275">
        <f>IF(ISNUMBER(L154),L154+L156-L157+L158,"")</f>
        <v>-43</v>
      </c>
      <c r="M159" s="275">
        <f>IF(ISNUMBER(M154),M154+M156-M157+M158,"")</f>
        <v>451</v>
      </c>
      <c r="N159" s="275">
        <f>IF(ISNUMBER(N154),N154+N156-N157+N158,"")</f>
        <v>506</v>
      </c>
      <c r="O159" s="275">
        <f>IF(ISNUMBER(O154),O154+O156-O157+O158,"")</f>
        <v>120</v>
      </c>
      <c r="P159" s="275">
        <f>IF(ISNUMBER(P154),P154+P156-P157+P158,"")</f>
        <v>-27</v>
      </c>
      <c r="Q159" s="275">
        <f>IF(ISNUMBER(Q154),Q154+Q156-Q157+Q158,"")</f>
        <v>-634</v>
      </c>
      <c r="R159" s="275">
        <f>IF(ISNUMBER(R154),R154+R156-R157+R158,"")</f>
        <v>429</v>
      </c>
      <c r="S159" s="275">
        <f>IF(ISNUMBER(S154),S154+S156-S157+S158,"")</f>
        <v>-111</v>
      </c>
      <c r="T159" s="275">
        <f>IF(ISNUMBER(T154),T154+T156-T157+T158,"")</f>
        <v>21</v>
      </c>
      <c r="U159" s="275">
        <f>IF(ISNUMBER(U154),U154+U156-U157+U158,"")</f>
        <v>362</v>
      </c>
      <c r="V159" s="275">
        <f>IF(ISNUMBER(V154),V154+V156-V157+V158,"")</f>
        <v>247</v>
      </c>
      <c r="W159" s="275">
        <f>IF(ISNUMBER(W154),W154+W156-W157+W158,"")</f>
        <v>938</v>
      </c>
      <c r="X159" s="275">
        <f>IF(ISNUMBER(X154),X154+X156-X157+X158,"")</f>
        <v>1568</v>
      </c>
      <c r="Y159" s="275">
        <f>IF(ISNUMBER(Y154),Y154+Y156-Y157+Y158,"")</f>
        <v>1056</v>
      </c>
      <c r="Z159" s="275">
        <f>IF(ISNUMBER(Z154),Z154+Z156-Z157+Z158,"")</f>
        <v>1179</v>
      </c>
      <c r="AA159" s="275">
        <f>IF(ISNUMBER(AA154),AA154+AA156-AA157+AA158,"")</f>
        <v>491</v>
      </c>
      <c r="AB159" s="275">
        <f>IF(ISNUMBER(AB154),AB154+AB156-AB157+AB158,"")</f>
        <v>1166</v>
      </c>
      <c r="AC159" s="275">
        <f>IF(ISNUMBER(AC154),AC154+AC156-AC157+AC158,"")</f>
        <v>3892</v>
      </c>
      <c r="AD159" s="275">
        <f>IF(ISNUMBER(AD154),AD154+AD156-AD157+AD158,"")</f>
        <v>953</v>
      </c>
      <c r="AE159" s="275">
        <f>IF(ISNUMBER(AE154),AE154+AE156-AE157+AE158,"")</f>
        <v>666</v>
      </c>
      <c r="AF159" s="275">
        <f>IF(ISNUMBER(AF154),AF154+AF156-AF157+AF158,"")</f>
        <v>316</v>
      </c>
      <c r="AG159" s="275">
        <f>IF(ISNUMBER(AG154),AG154+AG156-AG157+AG158,"")</f>
        <v>1872</v>
      </c>
      <c r="AH159" s="275">
        <f>IF(ISNUMBER(AH154),AH154+AH156-AH157+AH158,"")</f>
        <v>3806</v>
      </c>
      <c r="AI159" s="275">
        <f>IF(ISNUMBER(AI154),AI154+AI156-AI157+AI158,"")</f>
        <v>1916</v>
      </c>
      <c r="AJ159" s="275">
        <f>IF(ISNUMBER(AJ154),AJ154+AJ156-AJ157+AJ158,"")</f>
        <v>2605</v>
      </c>
      <c r="AK159" s="275">
        <f>IF(ISNUMBER(AK154),AK154+AK156-AK157+AK158,"")</f>
        <v>3390</v>
      </c>
      <c r="AL159" s="275">
        <f>IF(ISNUMBER(AL154),AL154+AL156-AL157+AL158,"")</f>
        <v>3350</v>
      </c>
      <c r="AM159" s="275">
        <f>IF(ISNUMBER(AM154),AM154+AM156-AM157+AM158,"")</f>
        <v>11261</v>
      </c>
      <c r="AN159" s="275">
        <f>IF(ISNUMBER(AN154),AN154+AN156-AN157+AN158,"")</f>
        <v>4401</v>
      </c>
      <c r="AO159" s="275">
        <f>IF(ISNUMBER(AO154),AO154+AO156-AO157+AO158,"")</f>
        <v>2889</v>
      </c>
      <c r="AP159" s="275">
        <f>IF(ISNUMBER(AP154),AP154+AP156-AP157+AP158,"")</f>
        <v>2632</v>
      </c>
      <c r="AQ159" s="275">
        <f>IF(ISNUMBER(AQ154),AQ154+AQ156-AQ157+AQ158,"")</f>
        <v>4053</v>
      </c>
      <c r="AR159" s="275">
        <f>IF(ISNUMBER(AR154),AR154+AR156-AR157+AR158,"")</f>
        <v>13976</v>
      </c>
      <c r="AS159" s="275">
        <f>IF(ISNUMBER(AS154),AS154+AS156-AS157+AS158,"")</f>
        <v>3383</v>
      </c>
      <c r="AT159" s="275">
        <f>IF(ISNUMBER(AT154),AT154+AT156-AT157+AT158,"")</f>
        <v>6221</v>
      </c>
      <c r="AU159" s="275">
        <f>IF(ISNUMBER(AU154),AU154+AU156-AU157+AU158,"")</f>
        <v>6809</v>
      </c>
      <c r="AV159" s="275">
        <f>IF(ISNUMBER(AV154),AV154+AV156-AV157+AV158,"")</f>
        <v>7765</v>
      </c>
      <c r="AW159" s="275">
        <f>IF(ISNUMBER(AW154),AW154+AW156-AW157+AW158,"")</f>
        <v>24178</v>
      </c>
      <c r="AX159" s="275">
        <f>IF(ISNUMBER(AX154),AX154+AX156-AX157+AX158,"")</f>
        <v>10268</v>
      </c>
      <c r="AY159" s="275">
        <f>IF(ISNUMBER(AY154),AY154+AY156-AY157+AY158,"")</f>
        <v>8634</v>
      </c>
      <c r="AZ159" s="275">
        <f>IF(ISNUMBER(AZ154),AZ154+AZ156-AZ157+AZ158,"")</f>
        <v>4315</v>
      </c>
      <c r="BA159" s="275">
        <f>IF(ISNUMBER(BA154),BA154+BA156-BA157+BA158,"")</f>
        <v>14934</v>
      </c>
      <c r="BB159" s="275">
        <f>IF(ISNUMBER(BB154),BB154+BB156-BB157+BB158,"")</f>
        <v>38151</v>
      </c>
      <c r="BC159" s="275">
        <f>IF(ISNUMBER(BC154),BC154+BC156-BC157+BC158,"")</f>
        <v>-5265</v>
      </c>
      <c r="BD159" s="275">
        <f>IF(ISNUMBER(BD154),BD154+BD156-BD157+BD158,"")</f>
        <v>-2653</v>
      </c>
      <c r="BE159" s="275">
        <f>IF(ISNUMBER(BE154),BE154+BE156-BE157+BE158,"")</f>
        <v>2944</v>
      </c>
      <c r="BF159" s="275">
        <f>IF(ISNUMBER(BF154),BF154+BF156-BF157+BF158,"")</f>
        <v>-962</v>
      </c>
      <c r="BG159" s="275">
        <f>IF(ISNUMBER(BG154),BG154+BG156-BG157+BG158,"")</f>
        <v>-5936</v>
      </c>
      <c r="BH159" s="275">
        <f>IF(ISNUMBER(BH154),BH154+BH156-BH157+BH158,"")</f>
        <v>4119</v>
      </c>
      <c r="BI159" s="275">
        <f>IF(ISNUMBER(BI154),BI154+BI156-BI157+BI158,"")</f>
        <v>7563</v>
      </c>
      <c r="BJ159" s="275">
        <f>IF(ISNUMBER(BJ154),BJ154+BJ156-BJ157+BJ158,"")</f>
        <v>12189</v>
      </c>
      <c r="BK159" s="275">
        <f>IF(ISNUMBER(BK154),BK154+BK156-BK157+BK158,"")</f>
        <v>13686</v>
      </c>
      <c r="BL159" s="275">
        <f>IF(ISNUMBER(BL154),BL154+BL156-BL157+BL158,"")</f>
        <v>37557</v>
      </c>
      <c r="BM159" s="275">
        <f>IF(ISNUMBER(BM154),BM154+BM156-BM157+BM158,"")</f>
        <v>12983</v>
      </c>
      <c r="BN159" s="275">
        <f>IF(ISNUMBER(BN154),BN154+BN156-BN157+BN158,"")</f>
        <v>15245</v>
      </c>
      <c r="BO159" s="275">
        <f>IF(ISNUMBER(BO154),BO154+BO156-BO157+BO158,"")</f>
        <v>18037</v>
      </c>
      <c r="BP159" s="275">
        <f>IF(ISNUMBER(BP154),BP154+BP156-BP157+BP158,"")</f>
        <v>22349</v>
      </c>
      <c r="BQ159" s="275">
        <f>IF(ISNUMBER(BQ154),BQ154+BQ156-BQ157+BQ158,"")</f>
        <v>68614</v>
      </c>
      <c r="BR159" s="275">
        <f>IF(ISNUMBER(BR154),BR154+BR156-BR157+BR158,"")</f>
        <v>21679</v>
      </c>
      <c r="BS159" s="275">
        <f>IF(ISNUMBER(BS154),BS154+BS156-BS157+BS158,"")</f>
        <v>20857</v>
      </c>
      <c r="BT159" s="275">
        <f>IF(ISNUMBER(BT154),BT154+BT156-BT157+BT158,"")</f>
        <v>28170</v>
      </c>
      <c r="BU159" s="275">
        <f>IF(ISNUMBER(BU154),BU154+BU156-BU157+BU158,"")</f>
        <v>26605</v>
      </c>
      <c r="BV159" s="275">
        <f>IF(ISNUMBER(BV154),BV154+BV156-BV157+BV158,"")</f>
        <v>97311</v>
      </c>
      <c r="BW159" s="275">
        <f>IF(ISNUMBER(BW154),BW154+BW156-BW157+BW158,"")</f>
        <v>39834</v>
      </c>
      <c r="BX159" s="275">
        <f>IF(ISNUMBER(BX154),BX154+BX156-BX157+BX158,"")</f>
        <v>80857</v>
      </c>
      <c r="BY159" s="265">
        <f>IF(ISNUMBER(BY154),BY154+BY156-BY157+BY158,"")</f>
        <v>23856.892</v>
      </c>
      <c r="BZ159" s="265">
        <f>IF(ISNUMBER(BZ154),BZ154+BZ156-BZ157+BZ158,"")</f>
        <v>30097.4980133102</v>
      </c>
      <c r="CA159" s="265">
        <f>IF(ISNUMBER(CA154),CA154+CA156-CA157+CA158,"")</f>
        <v>174645.39001331</v>
      </c>
      <c r="CB159" s="265">
        <f>IF(ISNUMBER(CB154),CB154+CB156-CB157+CB158,"")</f>
        <v>130320.252322329</v>
      </c>
      <c r="CC159" s="265">
        <f>IF(ISNUMBER(CC154),CC154+CC156-CC157+CC158,"")</f>
        <v>157657.596423195</v>
      </c>
      <c r="CD159" s="265">
        <f>IF(ISNUMBER(CD154),CD154+CD156-CD157+CD158,"")</f>
        <v>185555.663716498</v>
      </c>
      <c r="CE159" s="265">
        <f>IF(ISNUMBER(CE154),CE154+CE156-CE157+CE158,"")</f>
        <v>216209.048680543</v>
      </c>
      <c r="CF159" s="153" t="n"/>
    </row>
    <row r="160" ht="15" customHeight="1" s="251">
      <c r="B160" s="25" t="inlineStr">
        <is>
          <t>Provision for income taxes</t>
        </is>
      </c>
      <c r="C160" s="253" t="n">
        <v>187</v>
      </c>
      <c r="D160" s="253" t="n">
        <v>184</v>
      </c>
      <c r="E160" s="253" t="n">
        <v>247</v>
      </c>
      <c r="F160" s="253" t="n">
        <v>253</v>
      </c>
      <c r="G160" s="253" t="n">
        <v>352</v>
      </c>
      <c r="H160" s="253" t="n">
        <v>291</v>
      </c>
      <c r="I160" s="253" t="n">
        <v>428</v>
      </c>
      <c r="J160" s="253" t="n">
        <v>-18</v>
      </c>
      <c r="K160" s="253" t="n">
        <v>13</v>
      </c>
      <c r="L160" s="253" t="n">
        <v>-12</v>
      </c>
      <c r="M160" s="253" t="n">
        <v>179</v>
      </c>
      <c r="N160" s="253" t="n">
        <v>161</v>
      </c>
      <c r="O160" s="253" t="n">
        <v>73</v>
      </c>
      <c r="P160" s="253" t="n">
        <v>94</v>
      </c>
      <c r="Q160" s="253" t="n">
        <v>-205</v>
      </c>
      <c r="R160" s="253" t="n">
        <v>205</v>
      </c>
      <c r="S160" s="253" t="n">
        <v>167</v>
      </c>
      <c r="T160" s="253" t="n">
        <v>71</v>
      </c>
      <c r="U160" s="253" t="n">
        <v>266</v>
      </c>
      <c r="V160" s="253" t="n">
        <v>161</v>
      </c>
      <c r="W160" s="253" t="n">
        <v>453</v>
      </c>
      <c r="X160" s="253" t="n">
        <v>950</v>
      </c>
      <c r="Y160" s="253" t="n">
        <v>475</v>
      </c>
      <c r="Z160" s="253" t="n">
        <v>307</v>
      </c>
      <c r="AA160" s="253" t="n">
        <v>229</v>
      </c>
      <c r="AB160" s="253" t="n">
        <v>414</v>
      </c>
      <c r="AC160" s="253" t="n">
        <v>1425</v>
      </c>
      <c r="AD160" s="253" t="n">
        <v>229</v>
      </c>
      <c r="AE160" s="253" t="n">
        <v>467</v>
      </c>
      <c r="AF160" s="253" t="n">
        <v>58</v>
      </c>
      <c r="AG160" s="253" t="n">
        <v>16</v>
      </c>
      <c r="AH160" s="253" t="n">
        <v>769</v>
      </c>
      <c r="AI160" s="253" t="n">
        <v>287</v>
      </c>
      <c r="AJ160" s="253" t="n">
        <v>74</v>
      </c>
      <c r="AK160" s="253" t="n">
        <v>508</v>
      </c>
      <c r="AL160" s="253" t="n">
        <v>327</v>
      </c>
      <c r="AM160" s="253" t="n">
        <v>1197</v>
      </c>
      <c r="AN160" s="253" t="n">
        <v>836</v>
      </c>
      <c r="AO160" s="253" t="n">
        <v>257</v>
      </c>
      <c r="AP160" s="253" t="n">
        <v>494</v>
      </c>
      <c r="AQ160" s="253" t="n">
        <v>786</v>
      </c>
      <c r="AR160" s="253" t="n">
        <v>2374</v>
      </c>
      <c r="AS160" s="253" t="n">
        <v>744</v>
      </c>
      <c r="AT160" s="253" t="n">
        <v>984</v>
      </c>
      <c r="AU160" s="253" t="n">
        <v>569</v>
      </c>
      <c r="AV160" s="253" t="n">
        <v>566</v>
      </c>
      <c r="AW160" s="253" t="n">
        <v>2863</v>
      </c>
      <c r="AX160" s="253" t="n">
        <v>2156</v>
      </c>
      <c r="AY160" s="253" t="n">
        <v>868</v>
      </c>
      <c r="AZ160" s="253" t="n">
        <v>1155</v>
      </c>
      <c r="BA160" s="253" t="n">
        <v>612</v>
      </c>
      <c r="BB160" s="253" t="n">
        <v>4791</v>
      </c>
      <c r="BC160" s="253" t="n">
        <v>-1422</v>
      </c>
      <c r="BD160" s="253" t="n">
        <v>-637</v>
      </c>
      <c r="BE160" s="253" t="n">
        <v>69</v>
      </c>
      <c r="BF160" s="253" t="n">
        <v>-1227</v>
      </c>
      <c r="BG160" s="253" t="n">
        <v>-3217</v>
      </c>
      <c r="BH160" s="253" t="n">
        <v>948</v>
      </c>
      <c r="BI160" s="253" t="n">
        <v>804</v>
      </c>
      <c r="BJ160" s="253" t="n">
        <v>2306</v>
      </c>
      <c r="BK160" s="253" t="n">
        <v>3062</v>
      </c>
      <c r="BL160" s="253" t="n">
        <v>7120</v>
      </c>
      <c r="BM160" s="253" t="n">
        <v>2467</v>
      </c>
      <c r="BN160" s="253" t="n">
        <v>1767</v>
      </c>
      <c r="BO160" s="253" t="n">
        <v>2706</v>
      </c>
      <c r="BP160" s="253" t="n">
        <v>2325</v>
      </c>
      <c r="BQ160" s="253" t="n">
        <v>9265</v>
      </c>
      <c r="BR160" s="253" t="n">
        <v>4553</v>
      </c>
      <c r="BS160" s="253" t="n">
        <v>2678</v>
      </c>
      <c r="BT160" s="253" t="n">
        <v>6910</v>
      </c>
      <c r="BU160" s="253" t="n">
        <v>4946</v>
      </c>
      <c r="BV160" s="253" t="n">
        <v>19087</v>
      </c>
      <c r="BW160" s="253" t="n">
        <v>9560</v>
      </c>
      <c r="BX160" s="253" t="n">
        <v>18199</v>
      </c>
      <c r="BY160" s="254">
        <f>BY159*BY161</f>
        <v>4532.80948</v>
      </c>
      <c r="BZ160" s="254">
        <f>BZ159*BZ161</f>
        <v>5718.52462252893</v>
      </c>
      <c r="CA160" s="254">
        <f>SUM(BW160:BZ160)</f>
        <v>38010.3341025289</v>
      </c>
      <c r="CB160" s="254">
        <f>CB159*CB161</f>
        <v>24760.8479412425</v>
      </c>
      <c r="CC160" s="254">
        <f>CC159*CC161</f>
        <v>29954.9433204071</v>
      </c>
      <c r="CD160" s="254">
        <f>CD159*CD161</f>
        <v>35255.5761061347</v>
      </c>
      <c r="CE160" s="254">
        <f>CE159*CE161</f>
        <v>41079.7192493032</v>
      </c>
      <c r="CF160" s="19" t="n"/>
    </row>
    <row r="161" ht="15" customHeight="1" s="251">
      <c r="B161" s="25" t="inlineStr">
        <is>
          <t xml:space="preserve">  Effective tax rate</t>
        </is>
      </c>
      <c r="C161" s="215">
        <f>IF(AND(ISNUMBER(C160),ISNUMBER(C159)),IFERROR(C160/C159,""),"")</f>
        <v>0.496021220159151</v>
      </c>
      <c r="D161" s="215">
        <f>IF(AND(ISNUMBER(D160),ISNUMBER(D159)),IFERROR(D160/D159,""),"")</f>
        <v>0.278787878787879</v>
      </c>
      <c r="E161" s="215">
        <f>IF(AND(ISNUMBER(E160),ISNUMBER(E159)),IFERROR(E160/E159,""),"")</f>
        <v>0.274139844617092</v>
      </c>
      <c r="F161" s="215">
        <f>IF(AND(ISNUMBER(F160),ISNUMBER(F159)),IFERROR(F160/F159,""),"")</f>
        <v>0.217915590008613</v>
      </c>
      <c r="G161" s="215">
        <f>IF(AND(ISNUMBER(G160),ISNUMBER(G159)),IFERROR(G160/G159,""),"")</f>
        <v>0.235136940547762</v>
      </c>
      <c r="H161" s="215">
        <f>IF(AND(ISNUMBER(H160),ISNUMBER(H159)),IFERROR(H160/H159,""),"")</f>
        <v>0.311563169164882</v>
      </c>
      <c r="I161" s="215">
        <f>IF(AND(ISNUMBER(I160),ISNUMBER(I159)),IFERROR(I160/I159,""),"")</f>
        <v>0.786764705882353</v>
      </c>
      <c r="J161" s="215">
        <f>IF(AND(ISNUMBER(J160),ISNUMBER(J159)),IFERROR(J160/J159,""),"")</f>
        <v>-0.222222222222222</v>
      </c>
      <c r="K161" s="215">
        <f>IF(AND(ISNUMBER(K160),ISNUMBER(K159)),IFERROR(K160/K159,""),"")</f>
        <v>0.764705882352941</v>
      </c>
      <c r="L161" s="215">
        <f>IF(AND(ISNUMBER(L160),ISNUMBER(L159)),IFERROR(L160/L159,""),"")</f>
        <v>0.27906976744186</v>
      </c>
      <c r="M161" s="215">
        <f>IF(AND(ISNUMBER(M160),ISNUMBER(M159)),IFERROR(M160/M159,""),"")</f>
        <v>0.39689578713969</v>
      </c>
      <c r="N161" s="215">
        <f>IF(AND(ISNUMBER(N160),ISNUMBER(N159)),IFERROR(N160/N159,""),"")</f>
        <v>0.318181818181818</v>
      </c>
      <c r="O161" s="215">
        <f>IF(AND(ISNUMBER(O160),ISNUMBER(O159)),IFERROR(O160/O159,""),"")</f>
        <v>0.608333333333333</v>
      </c>
      <c r="P161" s="215">
        <f>IF(AND(ISNUMBER(P160),ISNUMBER(P159)),IFERROR(P160/P159,""),"")</f>
        <v>-3.48148148148148</v>
      </c>
      <c r="Q161" s="215">
        <f>IF(AND(ISNUMBER(Q160),ISNUMBER(Q159)),IFERROR(Q160/Q159,""),"")</f>
        <v>0.323343848580442</v>
      </c>
      <c r="R161" s="215">
        <f>IF(AND(ISNUMBER(R160),ISNUMBER(R159)),IFERROR(R160/R159,""),"")</f>
        <v>0.477855477855478</v>
      </c>
      <c r="S161" s="215">
        <f>IF(AND(ISNUMBER(S160),ISNUMBER(S159)),IFERROR(S160/S159,""),"")</f>
        <v>-1.5045045045045</v>
      </c>
      <c r="T161" s="215">
        <f>IF(AND(ISNUMBER(T160),ISNUMBER(T159)),IFERROR(T160/T159,""),"")</f>
        <v>3.38095238095238</v>
      </c>
      <c r="U161" s="215">
        <f>IF(AND(ISNUMBER(U160),ISNUMBER(U159)),IFERROR(U160/U159,""),"")</f>
        <v>0.734806629834254</v>
      </c>
      <c r="V161" s="215">
        <f>IF(AND(ISNUMBER(V160),ISNUMBER(V159)),IFERROR(V160/V159,""),"")</f>
        <v>0.651821862348178</v>
      </c>
      <c r="W161" s="215">
        <f>IF(AND(ISNUMBER(W160),ISNUMBER(W159)),IFERROR(W160/W159,""),"")</f>
        <v>0.482942430703625</v>
      </c>
      <c r="X161" s="215">
        <f>IF(AND(ISNUMBER(X160),ISNUMBER(X159)),IFERROR(X160/X159,""),"")</f>
        <v>0.605867346938776</v>
      </c>
      <c r="Y161" s="215">
        <f>IF(AND(ISNUMBER(Y160),ISNUMBER(Y159)),IFERROR(Y160/Y159,""),"")</f>
        <v>0.449810606060606</v>
      </c>
      <c r="Z161" s="215">
        <f>IF(AND(ISNUMBER(Z160),ISNUMBER(Z159)),IFERROR(Z160/Z159,""),"")</f>
        <v>0.26039016115352</v>
      </c>
      <c r="AA161" s="215">
        <f>IF(AND(ISNUMBER(AA160),ISNUMBER(AA159)),IFERROR(AA160/AA159,""),"")</f>
        <v>0.466395112016293</v>
      </c>
      <c r="AB161" s="215">
        <f>IF(AND(ISNUMBER(AB160),ISNUMBER(AB159)),IFERROR(AB160/AB159,""),"")</f>
        <v>0.355060034305317</v>
      </c>
      <c r="AC161" s="215">
        <f>IF(AND(ISNUMBER(AC160),ISNUMBER(AC159)),IFERROR(AC160/AC159,""),"")</f>
        <v>0.366135662898253</v>
      </c>
      <c r="AD161" s="215">
        <f>IF(AND(ISNUMBER(AD160),ISNUMBER(AD159)),IFERROR(AD160/AD159,""),"")</f>
        <v>0.240293809024134</v>
      </c>
      <c r="AE161" s="215">
        <f>IF(AND(ISNUMBER(AE160),ISNUMBER(AE159)),IFERROR(AE160/AE159,""),"")</f>
        <v>0.701201201201201</v>
      </c>
      <c r="AF161" s="215">
        <f>IF(AND(ISNUMBER(AF160),ISNUMBER(AF159)),IFERROR(AF160/AF159,""),"")</f>
        <v>0.183544303797468</v>
      </c>
      <c r="AG161" s="215">
        <f>IF(AND(ISNUMBER(AG160),ISNUMBER(AG159)),IFERROR(AG160/AG159,""),"")</f>
        <v>0.00854700854700855</v>
      </c>
      <c r="AH161" s="215">
        <f>IF(AND(ISNUMBER(AH160),ISNUMBER(AH159)),IFERROR(AH160/AH159,""),"")</f>
        <v>0.202049395691014</v>
      </c>
      <c r="AI161" s="215">
        <f>IF(AND(ISNUMBER(AI160),ISNUMBER(AI159)),IFERROR(AI160/AI159,""),"")</f>
        <v>0.149791231732777</v>
      </c>
      <c r="AJ161" s="215">
        <f>IF(AND(ISNUMBER(AJ160),ISNUMBER(AJ159)),IFERROR(AJ160/AJ159,""),"")</f>
        <v>0.0284069097888676</v>
      </c>
      <c r="AK161" s="215">
        <f>IF(AND(ISNUMBER(AK160),ISNUMBER(AK159)),IFERROR(AK160/AK159,""),"")</f>
        <v>0.149852507374631</v>
      </c>
      <c r="AL161" s="215">
        <f>IF(AND(ISNUMBER(AL160),ISNUMBER(AL159)),IFERROR(AL160/AL159,""),"")</f>
        <v>0.0976119402985075</v>
      </c>
      <c r="AM161" s="215">
        <f>IF(AND(ISNUMBER(AM160),ISNUMBER(AM159)),IFERROR(AM160/AM159,""),"")</f>
        <v>0.106296066068733</v>
      </c>
      <c r="AN161" s="215">
        <f>IF(AND(ISNUMBER(AN160),ISNUMBER(AN159)),IFERROR(AN160/AN159,""),"")</f>
        <v>0.189956827993638</v>
      </c>
      <c r="AO161" s="215">
        <f>IF(AND(ISNUMBER(AO160),ISNUMBER(AO159)),IFERROR(AO160/AO159,""),"")</f>
        <v>0.0889581169955002</v>
      </c>
      <c r="AP161" s="215">
        <f>IF(AND(ISNUMBER(AP160),ISNUMBER(AP159)),IFERROR(AP160/AP159,""),"")</f>
        <v>0.187689969604863</v>
      </c>
      <c r="AQ161" s="215">
        <f>IF(AND(ISNUMBER(AQ160),ISNUMBER(AQ159)),IFERROR(AQ160/AQ159,""),"")</f>
        <v>0.193930421909697</v>
      </c>
      <c r="AR161" s="215">
        <f>IF(AND(ISNUMBER(AR160),ISNUMBER(AR159)),IFERROR(AR160/AR159,""),"")</f>
        <v>0.169862621637092</v>
      </c>
      <c r="AS161" s="215">
        <f>IF(AND(ISNUMBER(AS160),ISNUMBER(AS159)),IFERROR(AS160/AS159,""),"")</f>
        <v>0.219923145137452</v>
      </c>
      <c r="AT161" s="215">
        <f>IF(AND(ISNUMBER(AT160),ISNUMBER(AT159)),IFERROR(AT160/AT159,""),"")</f>
        <v>0.158173927021379</v>
      </c>
      <c r="AU161" s="215">
        <f>IF(AND(ISNUMBER(AU160),ISNUMBER(AU159)),IFERROR(AU160/AU159,""),"")</f>
        <v>0.083565868703187</v>
      </c>
      <c r="AV161" s="215">
        <f>IF(AND(ISNUMBER(AV160),ISNUMBER(AV159)),IFERROR(AV160/AV159,""),"")</f>
        <v>0.0728911783644559</v>
      </c>
      <c r="AW161" s="215">
        <f>IF(AND(ISNUMBER(AW160),ISNUMBER(AW159)),IFERROR(AW160/AW159,""),"")</f>
        <v>0.118413433700058</v>
      </c>
      <c r="AX161" s="215">
        <f>IF(AND(ISNUMBER(AX160),ISNUMBER(AX159)),IFERROR(AX160/AX159,""),"")</f>
        <v>0.20997273081418</v>
      </c>
      <c r="AY161" s="215">
        <f>IF(AND(ISNUMBER(AY160),ISNUMBER(AY159)),IFERROR(AY160/AY159,""),"")</f>
        <v>0.100532777391707</v>
      </c>
      <c r="AZ161" s="215">
        <f>IF(AND(ISNUMBER(AZ160),ISNUMBER(AZ159)),IFERROR(AZ160/AZ159,""),"")</f>
        <v>0.267670915411356</v>
      </c>
      <c r="BA161" s="215">
        <f>IF(AND(ISNUMBER(BA160),ISNUMBER(BA159)),IFERROR(BA160/BA159,""),"")</f>
        <v>0.040980313378867</v>
      </c>
      <c r="BB161" s="215">
        <f>IF(AND(ISNUMBER(BB160),ISNUMBER(BB159)),IFERROR(BB160/BB159,""),"")</f>
        <v>0.125579932373988</v>
      </c>
      <c r="BC161" s="215">
        <f>IF(AND(ISNUMBER(BC160),ISNUMBER(BC159)),IFERROR(BC160/BC159,""),"")</f>
        <v>0.27008547008547</v>
      </c>
      <c r="BD161" s="215">
        <f>IF(AND(ISNUMBER(BD160),ISNUMBER(BD159)),IFERROR(BD160/BD159,""),"")</f>
        <v>0.240105540897098</v>
      </c>
      <c r="BE161" s="215">
        <f>IF(AND(ISNUMBER(BE160),ISNUMBER(BE159)),IFERROR(BE160/BE159,""),"")</f>
        <v>0.0234375</v>
      </c>
      <c r="BF161" s="215">
        <f>IF(AND(ISNUMBER(BF160),ISNUMBER(BF159)),IFERROR(BF160/BF159,""),"")</f>
        <v>1.27546777546778</v>
      </c>
      <c r="BG161" s="215">
        <f>IF(AND(ISNUMBER(BG160),ISNUMBER(BG159)),IFERROR(BG160/BG159,""),"")</f>
        <v>0.5419474393531</v>
      </c>
      <c r="BH161" s="215">
        <f>IF(AND(ISNUMBER(BH160),ISNUMBER(BH159)),IFERROR(BH160/BH159,""),"")</f>
        <v>0.230152949745084</v>
      </c>
      <c r="BI161" s="215">
        <f>IF(AND(ISNUMBER(BI160),ISNUMBER(BI159)),IFERROR(BI160/BI159,""),"")</f>
        <v>0.106307021023403</v>
      </c>
      <c r="BJ161" s="215">
        <f>IF(AND(ISNUMBER(BJ160),ISNUMBER(BJ159)),IFERROR(BJ160/BJ159,""),"")</f>
        <v>0.189186971859874</v>
      </c>
      <c r="BK161" s="215">
        <f>IF(AND(ISNUMBER(BK160),ISNUMBER(BK159)),IFERROR(BK160/BK159,""),"")</f>
        <v>0.223732281163233</v>
      </c>
      <c r="BL161" s="215">
        <f>IF(AND(ISNUMBER(BL160),ISNUMBER(BL159)),IFERROR(BL160/BL159,""),"")</f>
        <v>0.189578507335517</v>
      </c>
      <c r="BM161" s="215">
        <f>IF(AND(ISNUMBER(BM160),ISNUMBER(BM159)),IFERROR(BM160/BM159,""),"")</f>
        <v>0.190017715474082</v>
      </c>
      <c r="BN161" s="215">
        <f>IF(AND(ISNUMBER(BN160),ISNUMBER(BN159)),IFERROR(BN160/BN159,""),"")</f>
        <v>0.115906854706461</v>
      </c>
      <c r="BO161" s="215">
        <f>IF(AND(ISNUMBER(BO160),ISNUMBER(BO159)),IFERROR(BO160/BO159,""),"")</f>
        <v>0.150024948716527</v>
      </c>
      <c r="BP161" s="215">
        <f>IF(AND(ISNUMBER(BP160),ISNUMBER(BP159)),IFERROR(BP160/BP159,""),"")</f>
        <v>0.104031500290841</v>
      </c>
      <c r="BQ161" s="215">
        <f>IF(AND(ISNUMBER(BQ160),ISNUMBER(BQ159)),IFERROR(BQ160/BQ159,""),"")</f>
        <v>0.135030751741627</v>
      </c>
      <c r="BR161" s="215">
        <f>IF(AND(ISNUMBER(BR160),ISNUMBER(BR159)),IFERROR(BR160/BR159,""),"")</f>
        <v>0.210018912311453</v>
      </c>
      <c r="BS161" s="215">
        <f>IF(AND(ISNUMBER(BS160),ISNUMBER(BS159)),IFERROR(BS160/BS159,""),"")</f>
        <v>0.128398139713286</v>
      </c>
      <c r="BT161" s="215">
        <f>IF(AND(ISNUMBER(BT160),ISNUMBER(BT159)),IFERROR(BT160/BT159,""),"")</f>
        <v>0.245296414625488</v>
      </c>
      <c r="BU161" s="215">
        <f>IF(AND(ISNUMBER(BU160),ISNUMBER(BU159)),IFERROR(BU160/BU159,""),"")</f>
        <v>0.185904905093028</v>
      </c>
      <c r="BV161" s="215">
        <f>IF(AND(ISNUMBER(BV160),ISNUMBER(BV159)),IFERROR(BV160/BV159,""),"")</f>
        <v>0.196144320785934</v>
      </c>
      <c r="BW161" s="215">
        <f>IF(AND(ISNUMBER(BW160),ISNUMBER(BW159)),IFERROR(BW160/BW159,""),"")</f>
        <v>0.239995983330823</v>
      </c>
      <c r="BX161" s="215">
        <f>IF(AND(ISNUMBER(BX160),ISNUMBER(BX159)),IFERROR(BX160/BX159,""),"")</f>
        <v>0.225076369392879</v>
      </c>
      <c r="BY161" s="256">
        <f>$CP$23</f>
        <v>0.19</v>
      </c>
      <c r="BZ161" s="256">
        <f>$CP$23</f>
        <v>0.19</v>
      </c>
      <c r="CA161" s="256">
        <f>IF(AND(ISNUMBER(CA160),ISNUMBER(CA159)),IFERROR(CA160/CA159,""),"")</f>
        <v>0.217642928333992</v>
      </c>
      <c r="CB161" s="269" t="n">
        <v>0.19</v>
      </c>
      <c r="CC161" s="269" t="n">
        <v>0.19</v>
      </c>
      <c r="CD161" s="269" t="n">
        <v>0.19</v>
      </c>
      <c r="CE161" s="269" t="n">
        <v>0.19</v>
      </c>
      <c r="CF161" s="153" t="inlineStr">
        <is>
          <t>FY2025 19.6%; 1H-26 22.9% (incl. tax on investment gains). Forecast rate on pre-tax income without investment marks (assumption).</t>
        </is>
      </c>
      <c r="CH161" s="37">
        <f>IFERROR(AVERAGE(CA161,CB161,CC161,CD161,CE161),"n/m")</f>
        <v>0.195528585666798</v>
      </c>
      <c r="CI161" s="37">
        <f>IFERROR(AVERAGE(BB161,BG161,BL161,BQ161,BV161),"n/m")</f>
        <v>0.237656190318033</v>
      </c>
      <c r="CJ161" s="37">
        <f>IFERROR(AVERAGE(AC161,AH161,AM161,AR161,AW161,BB161,BG161,BL161,BQ161,BV161),"n/m")</f>
        <v>0.215103813158532</v>
      </c>
      <c r="CK161" s="37">
        <f>IFERROR(AVERAGE(C161,D161,E161,F161,G161,H161,I161,N161,S161,X161,AC161,AH161,AM161,AR161,AW161,BB161,BG161,BL161,BQ161,BV161),"n/m")</f>
        <v>0.208545607068457</v>
      </c>
    </row>
    <row r="162" ht="15" customHeight="1" s="251">
      <c r="B162" s="25" t="inlineStr">
        <is>
          <t>Equity-method investment activity, net of tax (incl. 2005–06 cumulative effect)</t>
        </is>
      </c>
      <c r="C162" s="253" t="n">
        <v>0</v>
      </c>
      <c r="D162" s="253" t="n">
        <v>0</v>
      </c>
      <c r="E162" s="253" t="n">
        <v>-9</v>
      </c>
      <c r="F162" s="253" t="n">
        <v>-6</v>
      </c>
      <c r="G162" s="253" t="n">
        <v>7</v>
      </c>
      <c r="H162" s="253" t="n">
        <v>-12</v>
      </c>
      <c r="I162" s="253" t="n">
        <v>-155</v>
      </c>
      <c r="J162" s="253" t="n">
        <v>-17</v>
      </c>
      <c r="K162" s="253" t="n">
        <v>-11</v>
      </c>
      <c r="L162" s="253" t="n">
        <v>-10</v>
      </c>
      <c r="M162" s="253" t="n">
        <v>-33</v>
      </c>
      <c r="N162" s="253" t="n">
        <v>-71</v>
      </c>
      <c r="O162" s="253" t="n">
        <v>61</v>
      </c>
      <c r="P162" s="253" t="n">
        <v>-5</v>
      </c>
      <c r="Q162" s="253" t="n">
        <v>-8</v>
      </c>
      <c r="R162" s="253" t="n">
        <v>-10</v>
      </c>
      <c r="S162" s="253" t="n">
        <v>37</v>
      </c>
      <c r="T162" s="253" t="n">
        <v>-7</v>
      </c>
      <c r="U162" s="253" t="n">
        <v>-4</v>
      </c>
      <c r="V162" s="253" t="n">
        <v>-7</v>
      </c>
      <c r="W162" s="253" t="n">
        <v>-3</v>
      </c>
      <c r="X162" s="253" t="n">
        <v>-22</v>
      </c>
      <c r="Y162" s="253" t="n">
        <v>-68</v>
      </c>
      <c r="Z162" s="253" t="n">
        <v>-15</v>
      </c>
      <c r="AA162" s="253" t="n">
        <v>-10</v>
      </c>
      <c r="AB162" s="253" t="n">
        <v>-3</v>
      </c>
      <c r="AC162" s="253" t="n">
        <v>-96</v>
      </c>
      <c r="AD162" s="253" t="n">
        <v>0</v>
      </c>
      <c r="AE162" s="253" t="n">
        <v>-2</v>
      </c>
      <c r="AF162" s="253" t="n">
        <v>-2</v>
      </c>
      <c r="AG162" s="253" t="n">
        <v>0</v>
      </c>
      <c r="AH162" s="253" t="n">
        <v>-4</v>
      </c>
      <c r="AI162" s="253" t="n">
        <v>0</v>
      </c>
      <c r="AJ162" s="253" t="n">
        <v>3</v>
      </c>
      <c r="AK162" s="253" t="n">
        <v>1</v>
      </c>
      <c r="AL162" s="253" t="n">
        <v>4</v>
      </c>
      <c r="AM162" s="253" t="n">
        <v>9</v>
      </c>
      <c r="AN162" s="253" t="n">
        <v>-4</v>
      </c>
      <c r="AO162" s="253" t="n">
        <v>-7</v>
      </c>
      <c r="AP162" s="253" t="n">
        <v>-4</v>
      </c>
      <c r="AQ162" s="253" t="n">
        <v>1</v>
      </c>
      <c r="AR162" s="253" t="n">
        <v>-14</v>
      </c>
      <c r="AS162" s="253" t="n">
        <v>-104</v>
      </c>
      <c r="AT162" s="253" t="n">
        <v>6</v>
      </c>
      <c r="AU162" s="253" t="n">
        <v>91</v>
      </c>
      <c r="AV162" s="253" t="n">
        <v>23</v>
      </c>
      <c r="AW162" s="253" t="n">
        <v>16</v>
      </c>
      <c r="AX162" s="253" t="n">
        <v>-5</v>
      </c>
      <c r="AY162" s="253" t="n">
        <v>12</v>
      </c>
      <c r="AZ162" s="253" t="n">
        <v>-4</v>
      </c>
      <c r="BA162" s="253" t="n">
        <v>1</v>
      </c>
      <c r="BB162" s="253" t="n">
        <v>4</v>
      </c>
      <c r="BC162" s="253" t="n">
        <v>-1</v>
      </c>
      <c r="BD162" s="253" t="n">
        <v>-12</v>
      </c>
      <c r="BE162" s="253" t="n">
        <v>-3</v>
      </c>
      <c r="BF162" s="253" t="n">
        <v>13</v>
      </c>
      <c r="BG162" s="253" t="n">
        <v>-3</v>
      </c>
      <c r="BH162" s="253" t="n">
        <v>1</v>
      </c>
      <c r="BI162" s="253" t="n">
        <v>-9</v>
      </c>
      <c r="BJ162" s="253" t="n">
        <v>-4</v>
      </c>
      <c r="BK162" s="253" t="n">
        <v>0</v>
      </c>
      <c r="BL162" s="253" t="n">
        <v>-12</v>
      </c>
      <c r="BM162" s="253" t="n">
        <v>-85</v>
      </c>
      <c r="BN162" s="253" t="n">
        <v>7</v>
      </c>
      <c r="BO162" s="253" t="n">
        <v>-3</v>
      </c>
      <c r="BP162" s="253" t="n">
        <v>-20</v>
      </c>
      <c r="BQ162" s="253" t="n">
        <v>-101</v>
      </c>
      <c r="BR162" s="253" t="n">
        <v>1</v>
      </c>
      <c r="BS162" s="253" t="n">
        <v>-15</v>
      </c>
      <c r="BT162" s="253" t="n">
        <v>-73</v>
      </c>
      <c r="BU162" s="253" t="n">
        <v>-467</v>
      </c>
      <c r="BV162" s="253" t="n">
        <v>-554</v>
      </c>
      <c r="BW162" s="253" t="n">
        <v>-19</v>
      </c>
      <c r="BX162" s="253" t="n">
        <v>-11</v>
      </c>
      <c r="BY162" s="254">
        <f>0</f>
        <v>0</v>
      </c>
      <c r="BZ162" s="254">
        <f>0</f>
        <v>0</v>
      </c>
      <c r="CA162" s="254">
        <f>SUM(BW162:BZ162)</f>
        <v>-30</v>
      </c>
      <c r="CB162" s="254">
        <f>0</f>
        <v>0</v>
      </c>
      <c r="CC162" s="254">
        <f>0</f>
        <v>0</v>
      </c>
      <c r="CD162" s="254">
        <f>0</f>
        <v>0</v>
      </c>
      <c r="CE162" s="254">
        <f>0</f>
        <v>0</v>
      </c>
      <c r="CF162" s="19" t="n"/>
    </row>
    <row r="163" ht="15" customHeight="1" s="251">
      <c r="B163" s="55" t="inlineStr">
        <is>
          <t>Net income</t>
        </is>
      </c>
      <c r="C163" s="262">
        <f>IF(ISNUMBER(C159),C159-C160+C162,"")</f>
        <v>190</v>
      </c>
      <c r="D163" s="262">
        <f>IF(ISNUMBER(D159),D159-D160+D162,"")</f>
        <v>476</v>
      </c>
      <c r="E163" s="262">
        <f>IF(ISNUMBER(E159),E159-E160+E162,"")</f>
        <v>645</v>
      </c>
      <c r="F163" s="262">
        <f>IF(ISNUMBER(F159),F159-F160+F162,"")</f>
        <v>902</v>
      </c>
      <c r="G163" s="262">
        <f>IF(ISNUMBER(G159),G159-G160+G162,"")</f>
        <v>1152</v>
      </c>
      <c r="H163" s="262">
        <f>IF(ISNUMBER(H159),H159-H160+H162,"")</f>
        <v>631</v>
      </c>
      <c r="I163" s="262">
        <f>IF(ISNUMBER(I159),I159-I160+I162,"")</f>
        <v>-39</v>
      </c>
      <c r="J163" s="262">
        <f>IF(ISNUMBER(J159),J159-J160+J162,"")</f>
        <v>82</v>
      </c>
      <c r="K163" s="262">
        <f>IF(ISNUMBER(K159),K159-K160+K162,"")</f>
        <v>-7</v>
      </c>
      <c r="L163" s="262">
        <f>IF(ISNUMBER(L159),L159-L160+L162,"")</f>
        <v>-41</v>
      </c>
      <c r="M163" s="262">
        <f>IF(ISNUMBER(M159),M159-M160+M162,"")</f>
        <v>239</v>
      </c>
      <c r="N163" s="262">
        <f>IF(ISNUMBER(N159),N159-N160+N162,"")</f>
        <v>274</v>
      </c>
      <c r="O163" s="262">
        <f>IF(ISNUMBER(O159),O159-O160+O162,"")</f>
        <v>108</v>
      </c>
      <c r="P163" s="262">
        <f>IF(ISNUMBER(P159),P159-P160+P162,"")</f>
        <v>-126</v>
      </c>
      <c r="Q163" s="262">
        <f>IF(ISNUMBER(Q159),Q159-Q160+Q162,"")</f>
        <v>-437</v>
      </c>
      <c r="R163" s="262">
        <f>IF(ISNUMBER(R159),R159-R160+R162,"")</f>
        <v>214</v>
      </c>
      <c r="S163" s="262">
        <f>IF(ISNUMBER(S159),S159-S160+S162,"")</f>
        <v>-241</v>
      </c>
      <c r="T163" s="262">
        <f>IF(ISNUMBER(T159),T159-T160+T162,"")</f>
        <v>-57</v>
      </c>
      <c r="U163" s="262">
        <f>IF(ISNUMBER(U159),U159-U160+U162,"")</f>
        <v>92</v>
      </c>
      <c r="V163" s="262">
        <f>IF(ISNUMBER(V159),V159-V160+V162,"")</f>
        <v>79</v>
      </c>
      <c r="W163" s="262">
        <f>IF(ISNUMBER(W159),W159-W160+W162,"")</f>
        <v>482</v>
      </c>
      <c r="X163" s="262">
        <f>IF(ISNUMBER(X159),X159-X160+X162,"")</f>
        <v>596</v>
      </c>
      <c r="Y163" s="262">
        <f>IF(ISNUMBER(Y159),Y159-Y160+Y162,"")</f>
        <v>513</v>
      </c>
      <c r="Z163" s="262">
        <f>IF(ISNUMBER(Z159),Z159-Z160+Z162,"")</f>
        <v>857</v>
      </c>
      <c r="AA163" s="262">
        <f>IF(ISNUMBER(AA159),AA159-AA160+AA162,"")</f>
        <v>252</v>
      </c>
      <c r="AB163" s="262">
        <f>IF(ISNUMBER(AB159),AB159-AB160+AB162,"")</f>
        <v>749</v>
      </c>
      <c r="AC163" s="262">
        <f>IF(ISNUMBER(AC159),AC159-AC160+AC162,"")</f>
        <v>2371</v>
      </c>
      <c r="AD163" s="262">
        <f>IF(ISNUMBER(AD159),AD159-AD160+AD162,"")</f>
        <v>724</v>
      </c>
      <c r="AE163" s="262">
        <f>IF(ISNUMBER(AE159),AE159-AE160+AE162,"")</f>
        <v>197</v>
      </c>
      <c r="AF163" s="262">
        <f>IF(ISNUMBER(AF159),AF159-AF160+AF162,"")</f>
        <v>256</v>
      </c>
      <c r="AG163" s="262">
        <f>IF(ISNUMBER(AG159),AG159-AG160+AG162,"")</f>
        <v>1856</v>
      </c>
      <c r="AH163" s="262">
        <f>IF(ISNUMBER(AH159),AH159-AH160+AH162,"")</f>
        <v>3033</v>
      </c>
      <c r="AI163" s="262">
        <f>IF(ISNUMBER(AI159),AI159-AI160+AI162,"")</f>
        <v>1629</v>
      </c>
      <c r="AJ163" s="262">
        <f>IF(ISNUMBER(AJ159),AJ159-AJ160+AJ162,"")</f>
        <v>2534</v>
      </c>
      <c r="AK163" s="262">
        <f>IF(ISNUMBER(AK159),AK159-AK160+AK162,"")</f>
        <v>2883</v>
      </c>
      <c r="AL163" s="262">
        <f>IF(ISNUMBER(AL159),AL159-AL160+AL162,"")</f>
        <v>3027</v>
      </c>
      <c r="AM163" s="262">
        <f>IF(ISNUMBER(AM159),AM159-AM160+AM162,"")</f>
        <v>10073</v>
      </c>
      <c r="AN163" s="262">
        <f>IF(ISNUMBER(AN159),AN159-AN160+AN162,"")</f>
        <v>3561</v>
      </c>
      <c r="AO163" s="262">
        <f>IF(ISNUMBER(AO159),AO159-AO160+AO162,"")</f>
        <v>2625</v>
      </c>
      <c r="AP163" s="262">
        <f>IF(ISNUMBER(AP159),AP159-AP160+AP162,"")</f>
        <v>2134</v>
      </c>
      <c r="AQ163" s="262">
        <f>IF(ISNUMBER(AQ159),AQ159-AQ160+AQ162,"")</f>
        <v>3268</v>
      </c>
      <c r="AR163" s="262">
        <f>IF(ISNUMBER(AR159),AR159-AR160+AR162,"")</f>
        <v>11588</v>
      </c>
      <c r="AS163" s="262">
        <f>IF(ISNUMBER(AS159),AS159-AS160+AS162,"")</f>
        <v>2535</v>
      </c>
      <c r="AT163" s="262">
        <f>IF(ISNUMBER(AT159),AT159-AT160+AT162,"")</f>
        <v>5243</v>
      </c>
      <c r="AU163" s="262">
        <f>IF(ISNUMBER(AU159),AU159-AU160+AU162,"")</f>
        <v>6331</v>
      </c>
      <c r="AV163" s="262">
        <f>IF(ISNUMBER(AV159),AV159-AV160+AV162,"")</f>
        <v>7222</v>
      </c>
      <c r="AW163" s="262">
        <f>IF(ISNUMBER(AW159),AW159-AW160+AW162,"")</f>
        <v>21331</v>
      </c>
      <c r="AX163" s="262">
        <f>IF(ISNUMBER(AX159),AX159-AX160+AX162,"")</f>
        <v>8107</v>
      </c>
      <c r="AY163" s="262">
        <f>IF(ISNUMBER(AY159),AY159-AY160+AY162,"")</f>
        <v>7778</v>
      </c>
      <c r="AZ163" s="262">
        <f>IF(ISNUMBER(AZ159),AZ159-AZ160+AZ162,"")</f>
        <v>3156</v>
      </c>
      <c r="BA163" s="262">
        <f>IF(ISNUMBER(BA159),BA159-BA160+BA162,"")</f>
        <v>14323</v>
      </c>
      <c r="BB163" s="262">
        <f>IF(ISNUMBER(BB159),BB159-BB160+BB162,"")</f>
        <v>33364</v>
      </c>
      <c r="BC163" s="262">
        <f>IF(ISNUMBER(BC159),BC159-BC160+BC162,"")</f>
        <v>-3844</v>
      </c>
      <c r="BD163" s="262">
        <f>IF(ISNUMBER(BD159),BD159-BD160+BD162,"")</f>
        <v>-2028</v>
      </c>
      <c r="BE163" s="262">
        <f>IF(ISNUMBER(BE159),BE159-BE160+BE162,"")</f>
        <v>2872</v>
      </c>
      <c r="BF163" s="262">
        <f>IF(ISNUMBER(BF159),BF159-BF160+BF162,"")</f>
        <v>278</v>
      </c>
      <c r="BG163" s="262">
        <f>IF(ISNUMBER(BG159),BG159-BG160+BG162,"")</f>
        <v>-2722</v>
      </c>
      <c r="BH163" s="262">
        <f>IF(ISNUMBER(BH159),BH159-BH160+BH162,"")</f>
        <v>3172</v>
      </c>
      <c r="BI163" s="262">
        <f>IF(ISNUMBER(BI159),BI159-BI160+BI162,"")</f>
        <v>6750</v>
      </c>
      <c r="BJ163" s="262">
        <f>IF(ISNUMBER(BJ159),BJ159-BJ160+BJ162,"")</f>
        <v>9879</v>
      </c>
      <c r="BK163" s="262">
        <f>IF(ISNUMBER(BK159),BK159-BK160+BK162,"")</f>
        <v>10624</v>
      </c>
      <c r="BL163" s="262">
        <f>IF(ISNUMBER(BL159),BL159-BL160+BL162,"")</f>
        <v>30425</v>
      </c>
      <c r="BM163" s="262">
        <f>IF(ISNUMBER(BM159),BM159-BM160+BM162,"")</f>
        <v>10431</v>
      </c>
      <c r="BN163" s="262">
        <f>IF(ISNUMBER(BN159),BN159-BN160+BN162,"")</f>
        <v>13485</v>
      </c>
      <c r="BO163" s="262">
        <f>IF(ISNUMBER(BO159),BO159-BO160+BO162,"")</f>
        <v>15328</v>
      </c>
      <c r="BP163" s="262">
        <f>IF(ISNUMBER(BP159),BP159-BP160+BP162,"")</f>
        <v>20004</v>
      </c>
      <c r="BQ163" s="262">
        <f>IF(ISNUMBER(BQ159),BQ159-BQ160+BQ162,"")</f>
        <v>59248</v>
      </c>
      <c r="BR163" s="262">
        <f>IF(ISNUMBER(BR159),BR159-BR160+BR162,"")</f>
        <v>17127</v>
      </c>
      <c r="BS163" s="262">
        <f>IF(ISNUMBER(BS159),BS159-BS160+BS162,"")</f>
        <v>18164</v>
      </c>
      <c r="BT163" s="262">
        <f>IF(ISNUMBER(BT159),BT159-BT160+BT162,"")</f>
        <v>21187</v>
      </c>
      <c r="BU163" s="262">
        <f>IF(ISNUMBER(BU159),BU159-BU160+BU162,"")</f>
        <v>21192</v>
      </c>
      <c r="BV163" s="262">
        <f>IF(ISNUMBER(BV159),BV159-BV160+BV162,"")</f>
        <v>77670</v>
      </c>
      <c r="BW163" s="262">
        <f>IF(ISNUMBER(BW159),BW159-BW160+BW162,"")</f>
        <v>30255</v>
      </c>
      <c r="BX163" s="262">
        <f>IF(ISNUMBER(BX159),BX159-BX160+BX162,"")</f>
        <v>62647</v>
      </c>
      <c r="BY163" s="262">
        <f>IF(ISNUMBER(BY159),BY159-BY160+BY162,"")</f>
        <v>19324.08252</v>
      </c>
      <c r="BZ163" s="262">
        <f>IF(ISNUMBER(BZ159),BZ159-BZ160+BZ162,"")</f>
        <v>24378.9733907812</v>
      </c>
      <c r="CA163" s="262">
        <f>IF(ISNUMBER(CA159),CA159-CA160+CA162,"")</f>
        <v>136605.055910781</v>
      </c>
      <c r="CB163" s="262">
        <f>IF(ISNUMBER(CB159),CB159-CB160+CB162,"")</f>
        <v>105559.404381086</v>
      </c>
      <c r="CC163" s="262">
        <f>IF(ISNUMBER(CC159),CC159-CC160+CC162,"")</f>
        <v>127702.653102788</v>
      </c>
      <c r="CD163" s="262">
        <f>IF(ISNUMBER(CD159),CD159-CD160+CD162,"")</f>
        <v>150300.087610364</v>
      </c>
      <c r="CE163" s="262">
        <f>IF(ISNUMBER(CE159),CE159-CE160+CE162,"")</f>
        <v>175129.32943124</v>
      </c>
      <c r="CF163" s="153" t="n"/>
      <c r="CH163" s="20">
        <f>IFERROR((CE163/BV163)^(1/5)-1,"n/m")</f>
        <v>0.176579062972266</v>
      </c>
      <c r="CI163" s="20">
        <f>IFERROR((BV163/AW163)^(1/5)-1,"n/m")</f>
        <v>0.294936337542653</v>
      </c>
      <c r="CJ163" s="20">
        <f>IFERROR((BV163/X163)^(1/10)-1,"n/m")</f>
        <v>0.62742395575561</v>
      </c>
      <c r="CK163" s="20">
        <f>IFERROR((BV163/C163)^(1/19)-1,"n/m")</f>
        <v>0.372294595147698</v>
      </c>
    </row>
    <row r="164" ht="15" customHeight="1" s="251">
      <c r="B164" s="57" t="inlineStr">
        <is>
          <t xml:space="preserve">  Check: net income vs reported (should be 0)</t>
        </is>
      </c>
      <c r="C164" s="211">
        <f>IF(ISNUMBER(C165),IF(ABS(C163-C165)&lt;=1.01,0,ROUND(C163-C165,0)),"")</f>
        <v>0</v>
      </c>
      <c r="D164" s="211">
        <f>IF(ISNUMBER(D165),IF(ABS(D163-D165)&lt;=1.01,0,ROUND(D163-D165,0)),"")</f>
        <v>0</v>
      </c>
      <c r="E164" s="211">
        <f>IF(ISNUMBER(E165),IF(ABS(E163-E165)&lt;=1.01,0,ROUND(E163-E165,0)),"")</f>
        <v>0</v>
      </c>
      <c r="F164" s="211">
        <f>IF(ISNUMBER(F165),IF(ABS(F163-F165)&lt;=1.01,0,ROUND(F163-F165,0)),"")</f>
        <v>0</v>
      </c>
      <c r="G164" s="211">
        <f>IF(ISNUMBER(G165),IF(ABS(G163-G165)&lt;=1.01,0,ROUND(G163-G165,0)),"")</f>
        <v>0</v>
      </c>
      <c r="H164" s="211">
        <f>IF(ISNUMBER(H165),IF(ABS(H163-H165)&lt;=1.01,0,ROUND(H163-H165,0)),"")</f>
        <v>0</v>
      </c>
      <c r="I164" s="211">
        <f>IF(ISNUMBER(I165),IF(ABS(I163-I165)&lt;=1.01,0,ROUND(I163-I165,0)),"")</f>
        <v>0</v>
      </c>
      <c r="J164" s="211">
        <f>IF(ISNUMBER(J165),IF(ABS(J163-J165)&lt;=1.01,0,ROUND(J163-J165,0)),"")</f>
        <v>0</v>
      </c>
      <c r="K164" s="211">
        <f>IF(ISNUMBER(K165),IF(ABS(K163-K165)&lt;=1.01,0,ROUND(K163-K165,0)),"")</f>
        <v>0</v>
      </c>
      <c r="L164" s="211">
        <f>IF(ISNUMBER(L165),IF(ABS(L163-L165)&lt;=1.01,0,ROUND(L163-L165,0)),"")</f>
        <v>0</v>
      </c>
      <c r="M164" s="211">
        <f>IF(ISNUMBER(M165),IF(ABS(M163-M165)&lt;=1.01,0,ROUND(M163-M165,0)),"")</f>
        <v>0</v>
      </c>
      <c r="N164" s="211">
        <f>IF(ISNUMBER(N165),IF(ABS(N163-N165)&lt;=1.01,0,ROUND(N163-N165,0)),"")</f>
        <v>0</v>
      </c>
      <c r="O164" s="211">
        <f>IF(ISNUMBER(O165),IF(ABS(O163-O165)&lt;=1.01,0,ROUND(O163-O165,0)),"")</f>
        <v>0</v>
      </c>
      <c r="P164" s="211">
        <f>IF(ISNUMBER(P165),IF(ABS(P163-P165)&lt;=1.01,0,ROUND(P163-P165,0)),"")</f>
        <v>0</v>
      </c>
      <c r="Q164" s="211">
        <f>IF(ISNUMBER(Q165),IF(ABS(Q163-Q165)&lt;=1.01,0,ROUND(Q163-Q165,0)),"")</f>
        <v>0</v>
      </c>
      <c r="R164" s="211">
        <f>IF(ISNUMBER(R165),IF(ABS(R163-R165)&lt;=1.01,0,ROUND(R163-R165,0)),"")</f>
        <v>0</v>
      </c>
      <c r="S164" s="211">
        <f>IF(ISNUMBER(S165),IF(ABS(S163-S165)&lt;=1.01,0,ROUND(S163-S165,0)),"")</f>
        <v>0</v>
      </c>
      <c r="T164" s="211">
        <f>IF(ISNUMBER(T165),IF(ABS(T163-T165)&lt;=1.01,0,ROUND(T163-T165,0)),"")</f>
        <v>0</v>
      </c>
      <c r="U164" s="211">
        <f>IF(ISNUMBER(U165),IF(ABS(U163-U165)&lt;=1.01,0,ROUND(U163-U165,0)),"")</f>
        <v>0</v>
      </c>
      <c r="V164" s="211">
        <f>IF(ISNUMBER(V165),IF(ABS(V163-V165)&lt;=1.01,0,ROUND(V163-V165,0)),"")</f>
        <v>0</v>
      </c>
      <c r="W164" s="211">
        <f>IF(ISNUMBER(W165),IF(ABS(W163-W165)&lt;=1.01,0,ROUND(W163-W165,0)),"")</f>
        <v>0</v>
      </c>
      <c r="X164" s="211">
        <f>IF(ISNUMBER(X165),IF(ABS(X163-X165)&lt;=1.01,0,ROUND(X163-X165,0)),"")</f>
        <v>0</v>
      </c>
      <c r="Y164" s="211">
        <f>IF(ISNUMBER(Y165),IF(ABS(Y163-Y165)&lt;=1.01,0,ROUND(Y163-Y165,0)),"")</f>
        <v>0</v>
      </c>
      <c r="Z164" s="211">
        <f>IF(ISNUMBER(Z165),IF(ABS(Z163-Z165)&lt;=1.01,0,ROUND(Z163-Z165,0)),"")</f>
        <v>0</v>
      </c>
      <c r="AA164" s="211">
        <f>IF(ISNUMBER(AA165),IF(ABS(AA163-AA165)&lt;=1.01,0,ROUND(AA163-AA165,0)),"")</f>
        <v>0</v>
      </c>
      <c r="AB164" s="211">
        <f>IF(ISNUMBER(AB165),IF(ABS(AB163-AB165)&lt;=1.01,0,ROUND(AB163-AB165,0)),"")</f>
        <v>0</v>
      </c>
      <c r="AC164" s="211">
        <f>IF(ISNUMBER(AC165),IF(ABS(AC163-AC165)&lt;=1.01,0,ROUND(AC163-AC165,0)),"")</f>
        <v>0</v>
      </c>
      <c r="AD164" s="211">
        <f>IF(ISNUMBER(AD165),IF(ABS(AD163-AD165)&lt;=1.01,0,ROUND(AD163-AD165,0)),"")</f>
        <v>0</v>
      </c>
      <c r="AE164" s="211">
        <f>IF(ISNUMBER(AE165),IF(ABS(AE163-AE165)&lt;=1.01,0,ROUND(AE163-AE165,0)),"")</f>
        <v>0</v>
      </c>
      <c r="AF164" s="211">
        <f>IF(ISNUMBER(AF165),IF(ABS(AF163-AF165)&lt;=1.01,0,ROUND(AF163-AF165,0)),"")</f>
        <v>0</v>
      </c>
      <c r="AG164" s="211">
        <f>IF(ISNUMBER(AG165),IF(ABS(AG163-AG165)&lt;=1.01,0,ROUND(AG163-AG165,0)),"")</f>
        <v>0</v>
      </c>
      <c r="AH164" s="211">
        <f>IF(ISNUMBER(AH165),IF(ABS(AH163-AH165)&lt;=1.01,0,ROUND(AH163-AH165,0)),"")</f>
        <v>0</v>
      </c>
      <c r="AI164" s="211">
        <f>IF(ISNUMBER(AI165),IF(ABS(AI163-AI165)&lt;=1.01,0,ROUND(AI163-AI165,0)),"")</f>
        <v>0</v>
      </c>
      <c r="AJ164" s="211">
        <f>IF(ISNUMBER(AJ165),IF(ABS(AJ163-AJ165)&lt;=1.01,0,ROUND(AJ163-AJ165,0)),"")</f>
        <v>0</v>
      </c>
      <c r="AK164" s="211">
        <f>IF(ISNUMBER(AK165),IF(ABS(AK163-AK165)&lt;=1.01,0,ROUND(AK163-AK165,0)),"")</f>
        <v>0</v>
      </c>
      <c r="AL164" s="211">
        <f>IF(ISNUMBER(AL165),IF(ABS(AL163-AL165)&lt;=1.01,0,ROUND(AL163-AL165,0)),"")</f>
        <v>0</v>
      </c>
      <c r="AM164" s="211">
        <f>IF(ISNUMBER(AM165),IF(ABS(AM163-AM165)&lt;=1.01,0,ROUND(AM163-AM165,0)),"")</f>
        <v>0</v>
      </c>
      <c r="AN164" s="211">
        <f>IF(ISNUMBER(AN165),IF(ABS(AN163-AN165)&lt;=1.01,0,ROUND(AN163-AN165,0)),"")</f>
        <v>0</v>
      </c>
      <c r="AO164" s="211">
        <f>IF(ISNUMBER(AO165),IF(ABS(AO163-AO165)&lt;=1.01,0,ROUND(AO163-AO165,0)),"")</f>
        <v>0</v>
      </c>
      <c r="AP164" s="211">
        <f>IF(ISNUMBER(AP165),IF(ABS(AP163-AP165)&lt;=1.01,0,ROUND(AP163-AP165,0)),"")</f>
        <v>0</v>
      </c>
      <c r="AQ164" s="211">
        <f>IF(ISNUMBER(AQ165),IF(ABS(AQ163-AQ165)&lt;=1.01,0,ROUND(AQ163-AQ165,0)),"")</f>
        <v>0</v>
      </c>
      <c r="AR164" s="211">
        <f>IF(ISNUMBER(AR165),IF(ABS(AR163-AR165)&lt;=1.01,0,ROUND(AR163-AR165,0)),"")</f>
        <v>0</v>
      </c>
      <c r="AS164" s="211">
        <f>IF(ISNUMBER(AS165),IF(ABS(AS163-AS165)&lt;=1.01,0,ROUND(AS163-AS165,0)),"")</f>
        <v>0</v>
      </c>
      <c r="AT164" s="211">
        <f>IF(ISNUMBER(AT165),IF(ABS(AT163-AT165)&lt;=1.01,0,ROUND(AT163-AT165,0)),"")</f>
        <v>0</v>
      </c>
      <c r="AU164" s="211">
        <f>IF(ISNUMBER(AU165),IF(ABS(AU163-AU165)&lt;=1.01,0,ROUND(AU163-AU165,0)),"")</f>
        <v>0</v>
      </c>
      <c r="AV164" s="211">
        <f>IF(ISNUMBER(AV165),IF(ABS(AV163-AV165)&lt;=1.01,0,ROUND(AV163-AV165,0)),"")</f>
        <v>0</v>
      </c>
      <c r="AW164" s="211">
        <f>IF(ISNUMBER(AW165),IF(ABS(AW163-AW165)&lt;=1.01,0,ROUND(AW163-AW165,0)),"")</f>
        <v>0</v>
      </c>
      <c r="AX164" s="211">
        <f>IF(ISNUMBER(AX165),IF(ABS(AX163-AX165)&lt;=1.01,0,ROUND(AX163-AX165,0)),"")</f>
        <v>0</v>
      </c>
      <c r="AY164" s="211">
        <f>IF(ISNUMBER(AY165),IF(ABS(AY163-AY165)&lt;=1.01,0,ROUND(AY163-AY165,0)),"")</f>
        <v>0</v>
      </c>
      <c r="AZ164" s="211">
        <f>IF(ISNUMBER(AZ165),IF(ABS(AZ163-AZ165)&lt;=1.01,0,ROUND(AZ163-AZ165,0)),"")</f>
        <v>0</v>
      </c>
      <c r="BA164" s="211">
        <f>IF(ISNUMBER(BA165),IF(ABS(BA163-BA165)&lt;=1.01,0,ROUND(BA163-BA165,0)),"")</f>
        <v>0</v>
      </c>
      <c r="BB164" s="211">
        <f>IF(ISNUMBER(BB165),IF(ABS(BB163-BB165)&lt;=1.01,0,ROUND(BB163-BB165,0)),"")</f>
        <v>0</v>
      </c>
      <c r="BC164" s="211">
        <f>IF(ISNUMBER(BC165),IF(ABS(BC163-BC165)&lt;=1.01,0,ROUND(BC163-BC165,0)),"")</f>
        <v>0</v>
      </c>
      <c r="BD164" s="211">
        <f>IF(ISNUMBER(BD165),IF(ABS(BD163-BD165)&lt;=1.01,0,ROUND(BD163-BD165,0)),"")</f>
        <v>0</v>
      </c>
      <c r="BE164" s="211">
        <f>IF(ISNUMBER(BE165),IF(ABS(BE163-BE165)&lt;=1.01,0,ROUND(BE163-BE165,0)),"")</f>
        <v>0</v>
      </c>
      <c r="BF164" s="211">
        <f>IF(ISNUMBER(BF165),IF(ABS(BF163-BF165)&lt;=1.01,0,ROUND(BF163-BF165,0)),"")</f>
        <v>0</v>
      </c>
      <c r="BG164" s="211">
        <f>IF(ISNUMBER(BG165),IF(ABS(BG163-BG165)&lt;=1.01,0,ROUND(BG163-BG165,0)),"")</f>
        <v>0</v>
      </c>
      <c r="BH164" s="211">
        <f>IF(ISNUMBER(BH165),IF(ABS(BH163-BH165)&lt;=1.01,0,ROUND(BH163-BH165,0)),"")</f>
        <v>0</v>
      </c>
      <c r="BI164" s="211">
        <f>IF(ISNUMBER(BI165),IF(ABS(BI163-BI165)&lt;=1.01,0,ROUND(BI163-BI165,0)),"")</f>
        <v>0</v>
      </c>
      <c r="BJ164" s="211">
        <f>IF(ISNUMBER(BJ165),IF(ABS(BJ163-BJ165)&lt;=1.01,0,ROUND(BJ163-BJ165,0)),"")</f>
        <v>0</v>
      </c>
      <c r="BK164" s="211">
        <f>IF(ISNUMBER(BK165),IF(ABS(BK163-BK165)&lt;=1.01,0,ROUND(BK163-BK165,0)),"")</f>
        <v>0</v>
      </c>
      <c r="BL164" s="211">
        <f>IF(ISNUMBER(BL165),IF(ABS(BL163-BL165)&lt;=1.01,0,ROUND(BL163-BL165,0)),"")</f>
        <v>0</v>
      </c>
      <c r="BM164" s="211">
        <f>IF(ISNUMBER(BM165),IF(ABS(BM163-BM165)&lt;=1.01,0,ROUND(BM163-BM165,0)),"")</f>
        <v>0</v>
      </c>
      <c r="BN164" s="211">
        <f>IF(ISNUMBER(BN165),IF(ABS(BN163-BN165)&lt;=1.01,0,ROUND(BN163-BN165,0)),"")</f>
        <v>0</v>
      </c>
      <c r="BO164" s="211">
        <f>IF(ISNUMBER(BO165),IF(ABS(BO163-BO165)&lt;=1.01,0,ROUND(BO163-BO165,0)),"")</f>
        <v>0</v>
      </c>
      <c r="BP164" s="211">
        <f>IF(ISNUMBER(BP165),IF(ABS(BP163-BP165)&lt;=1.01,0,ROUND(BP163-BP165,0)),"")</f>
        <v>0</v>
      </c>
      <c r="BQ164" s="211">
        <f>IF(ISNUMBER(BQ165),IF(ABS(BQ163-BQ165)&lt;=1.01,0,ROUND(BQ163-BQ165,0)),"")</f>
        <v>0</v>
      </c>
      <c r="BR164" s="211">
        <f>IF(ISNUMBER(BR165),IF(ABS(BR163-BR165)&lt;=1.01,0,ROUND(BR163-BR165,0)),"")</f>
        <v>0</v>
      </c>
      <c r="BS164" s="211">
        <f>IF(ISNUMBER(BS165),IF(ABS(BS163-BS165)&lt;=1.01,0,ROUND(BS163-BS165,0)),"")</f>
        <v>0</v>
      </c>
      <c r="BT164" s="211">
        <f>IF(ISNUMBER(BT165),IF(ABS(BT163-BT165)&lt;=1.01,0,ROUND(BT163-BT165,0)),"")</f>
        <v>0</v>
      </c>
      <c r="BU164" s="211">
        <f>IF(ISNUMBER(BU165),IF(ABS(BU163-BU165)&lt;=1.01,0,ROUND(BU163-BU165,0)),"")</f>
        <v>0</v>
      </c>
      <c r="BV164" s="211">
        <f>IF(ISNUMBER(BV165),IF(ABS(BV163-BV165)&lt;=1.01,0,ROUND(BV163-BV165,0)),"")</f>
        <v>0</v>
      </c>
      <c r="BW164" s="211">
        <f>IF(ISNUMBER(BW165),IF(ABS(BW163-BW165)&lt;=1.01,0,ROUND(BW163-BW165,0)),"")</f>
        <v>0</v>
      </c>
      <c r="BX164" s="211">
        <f>IF(ISNUMBER(BX165),IF(ABS(BX163-BX165)&lt;=1.01,0,ROUND(BX163-BX165,0)),"")</f>
        <v>0</v>
      </c>
      <c r="BY164" s="153" t="n"/>
      <c r="BZ164" s="153" t="n"/>
      <c r="CA164" s="153" t="n"/>
      <c r="CB164" s="153" t="n"/>
      <c r="CC164" s="153" t="n"/>
      <c r="CD164" s="153" t="n"/>
      <c r="CE164" s="153" t="n"/>
      <c r="CF164" s="153" t="n"/>
    </row>
    <row r="165" ht="15" customHeight="1" s="251">
      <c r="B165" s="156" t="inlineStr">
        <is>
          <t xml:space="preserve">  Memo: net income as reported</t>
        </is>
      </c>
      <c r="C165" s="253" t="n">
        <v>190</v>
      </c>
      <c r="D165" s="253" t="n">
        <v>476</v>
      </c>
      <c r="E165" s="253" t="n">
        <v>645</v>
      </c>
      <c r="F165" s="253" t="n">
        <v>902</v>
      </c>
      <c r="G165" s="253" t="n">
        <v>1152</v>
      </c>
      <c r="H165" s="253" t="n">
        <v>631</v>
      </c>
      <c r="I165" s="253" t="n">
        <v>-39</v>
      </c>
      <c r="J165" s="253" t="n">
        <v>82</v>
      </c>
      <c r="K165" s="253" t="n">
        <v>-7</v>
      </c>
      <c r="L165" s="253" t="n">
        <v>-41</v>
      </c>
      <c r="M165" s="253" t="n">
        <v>239</v>
      </c>
      <c r="N165" s="253" t="n">
        <v>274</v>
      </c>
      <c r="O165" s="253" t="n">
        <v>108</v>
      </c>
      <c r="P165" s="253" t="n">
        <v>-126</v>
      </c>
      <c r="Q165" s="253" t="n">
        <v>-437</v>
      </c>
      <c r="R165" s="253" t="n">
        <v>214</v>
      </c>
      <c r="S165" s="253" t="n">
        <v>-241</v>
      </c>
      <c r="T165" s="253" t="n">
        <v>-57</v>
      </c>
      <c r="U165" s="253" t="n">
        <v>92</v>
      </c>
      <c r="V165" s="253" t="n">
        <v>79</v>
      </c>
      <c r="W165" s="253" t="n">
        <v>482</v>
      </c>
      <c r="X165" s="253" t="n">
        <v>596</v>
      </c>
      <c r="Y165" s="253" t="n">
        <v>513</v>
      </c>
      <c r="Z165" s="253" t="n">
        <v>857</v>
      </c>
      <c r="AA165" s="253" t="n">
        <v>252</v>
      </c>
      <c r="AB165" s="253" t="n">
        <v>749</v>
      </c>
      <c r="AC165" s="253" t="n">
        <v>2371</v>
      </c>
      <c r="AD165" s="253" t="n">
        <v>724</v>
      </c>
      <c r="AE165" s="253" t="n">
        <v>197</v>
      </c>
      <c r="AF165" s="253" t="n">
        <v>256</v>
      </c>
      <c r="AG165" s="253" t="n">
        <v>1856</v>
      </c>
      <c r="AH165" s="253" t="n">
        <v>3033</v>
      </c>
      <c r="AI165" s="253" t="n">
        <v>1629</v>
      </c>
      <c r="AJ165" s="253" t="n">
        <v>2534</v>
      </c>
      <c r="AK165" s="253" t="n">
        <v>2883</v>
      </c>
      <c r="AL165" s="253" t="n">
        <v>3027</v>
      </c>
      <c r="AM165" s="253" t="n">
        <v>10073</v>
      </c>
      <c r="AN165" s="253" t="n">
        <v>3561</v>
      </c>
      <c r="AO165" s="253" t="n">
        <v>2625</v>
      </c>
      <c r="AP165" s="253" t="n">
        <v>2134</v>
      </c>
      <c r="AQ165" s="253" t="n">
        <v>3268</v>
      </c>
      <c r="AR165" s="253" t="n">
        <v>11588</v>
      </c>
      <c r="AS165" s="253" t="n">
        <v>2535</v>
      </c>
      <c r="AT165" s="253" t="n">
        <v>5243</v>
      </c>
      <c r="AU165" s="253" t="n">
        <v>6331</v>
      </c>
      <c r="AV165" s="253" t="n">
        <v>7222</v>
      </c>
      <c r="AW165" s="253" t="n">
        <v>21331</v>
      </c>
      <c r="AX165" s="253" t="n">
        <v>8107</v>
      </c>
      <c r="AY165" s="253" t="n">
        <v>7778</v>
      </c>
      <c r="AZ165" s="253" t="n">
        <v>3156</v>
      </c>
      <c r="BA165" s="253" t="n">
        <v>14323</v>
      </c>
      <c r="BB165" s="253" t="n">
        <v>33364</v>
      </c>
      <c r="BC165" s="253" t="n">
        <v>-3844</v>
      </c>
      <c r="BD165" s="253" t="n">
        <v>-2028</v>
      </c>
      <c r="BE165" s="253" t="n">
        <v>2872</v>
      </c>
      <c r="BF165" s="253" t="n">
        <v>278</v>
      </c>
      <c r="BG165" s="253" t="n">
        <v>-2722</v>
      </c>
      <c r="BH165" s="253" t="n">
        <v>3172</v>
      </c>
      <c r="BI165" s="253" t="n">
        <v>6750</v>
      </c>
      <c r="BJ165" s="253" t="n">
        <v>9879</v>
      </c>
      <c r="BK165" s="253" t="n">
        <v>10624</v>
      </c>
      <c r="BL165" s="253" t="n">
        <v>30425</v>
      </c>
      <c r="BM165" s="253" t="n">
        <v>10431</v>
      </c>
      <c r="BN165" s="253" t="n">
        <v>13485</v>
      </c>
      <c r="BO165" s="253" t="n">
        <v>15328</v>
      </c>
      <c r="BP165" s="253" t="n">
        <v>20004</v>
      </c>
      <c r="BQ165" s="253" t="n">
        <v>59248</v>
      </c>
      <c r="BR165" s="253" t="n">
        <v>17127</v>
      </c>
      <c r="BS165" s="253" t="n">
        <v>18164</v>
      </c>
      <c r="BT165" s="253" t="n">
        <v>21187</v>
      </c>
      <c r="BU165" s="253" t="n">
        <v>21192</v>
      </c>
      <c r="BV165" s="253" t="n">
        <v>77670</v>
      </c>
      <c r="BW165" s="253" t="n">
        <v>30255</v>
      </c>
      <c r="BX165" s="253" t="n">
        <v>62647</v>
      </c>
      <c r="BY165" s="153" t="n"/>
      <c r="BZ165" s="153" t="n"/>
      <c r="CA165" s="153" t="n"/>
      <c r="CB165" s="153" t="n"/>
      <c r="CC165" s="153" t="n"/>
      <c r="CD165" s="153" t="n"/>
      <c r="CE165" s="153" t="n"/>
      <c r="CF165" s="153" t="n"/>
    </row>
    <row r="166" ht="15" customHeight="1" s="251">
      <c r="B166" s="156" t="inlineStr">
        <is>
          <t xml:space="preserve">  Memo: depreciation &amp; amortization (total)</t>
        </is>
      </c>
      <c r="C166" s="211">
        <f>C126</f>
        <v>205</v>
      </c>
      <c r="D166" s="211">
        <f>D126</f>
        <v>246</v>
      </c>
      <c r="E166" s="211">
        <f>E126</f>
        <v>287</v>
      </c>
      <c r="F166" s="211">
        <f>F126</f>
        <v>378</v>
      </c>
      <c r="G166" s="211">
        <f>G126</f>
        <v>568</v>
      </c>
      <c r="H166" s="211">
        <f>H126</f>
        <v>1083</v>
      </c>
      <c r="I166" s="211">
        <f>I126</f>
        <v>2159</v>
      </c>
      <c r="J166" s="211">
        <f>J126</f>
        <v>700</v>
      </c>
      <c r="K166" s="211">
        <f>K126</f>
        <v>756</v>
      </c>
      <c r="L166" s="211">
        <f>L126</f>
        <v>834</v>
      </c>
      <c r="M166" s="211">
        <f>M126</f>
        <v>963</v>
      </c>
      <c r="N166" s="211">
        <f>N126</f>
        <v>3253</v>
      </c>
      <c r="O166" s="211">
        <f>O126</f>
        <v>1010</v>
      </c>
      <c r="P166" s="211">
        <f>P126</f>
        <v>1109</v>
      </c>
      <c r="Q166" s="211">
        <f>Q126</f>
        <v>1247</v>
      </c>
      <c r="R166" s="211">
        <f>R126</f>
        <v>1379</v>
      </c>
      <c r="S166" s="211">
        <f>S126</f>
        <v>4746</v>
      </c>
      <c r="T166" s="211">
        <f>T126</f>
        <v>1426</v>
      </c>
      <c r="U166" s="211">
        <f>U126</f>
        <v>1504</v>
      </c>
      <c r="V166" s="211">
        <f>V126</f>
        <v>1599</v>
      </c>
      <c r="W166" s="211">
        <f>W126</f>
        <v>1752</v>
      </c>
      <c r="X166" s="211">
        <f>X126</f>
        <v>6281</v>
      </c>
      <c r="Y166" s="211">
        <f>Y126</f>
        <v>1827</v>
      </c>
      <c r="Z166" s="211">
        <f>Z126</f>
        <v>1909</v>
      </c>
      <c r="AA166" s="211">
        <f>AA126</f>
        <v>2084</v>
      </c>
      <c r="AB166" s="211">
        <f>AB126</f>
        <v>2297</v>
      </c>
      <c r="AC166" s="211">
        <f>AC126</f>
        <v>8116</v>
      </c>
      <c r="AD166" s="211">
        <f>AD126</f>
        <v>2435</v>
      </c>
      <c r="AE166" s="211">
        <f>AE126</f>
        <v>2633</v>
      </c>
      <c r="AF166" s="211">
        <f>AF126</f>
        <v>2912</v>
      </c>
      <c r="AG166" s="211">
        <f>AG126</f>
        <v>3498</v>
      </c>
      <c r="AH166" s="211">
        <f>AH126</f>
        <v>11478</v>
      </c>
      <c r="AI166" s="211">
        <f>AI126</f>
        <v>3671</v>
      </c>
      <c r="AJ166" s="211">
        <f>AJ126</f>
        <v>3630</v>
      </c>
      <c r="AK166" s="211">
        <f>AK126</f>
        <v>3778</v>
      </c>
      <c r="AL166" s="211">
        <f>AL126</f>
        <v>4262</v>
      </c>
      <c r="AM166" s="211">
        <f>AM126</f>
        <v>15341</v>
      </c>
      <c r="AN166" s="211">
        <f>AN126</f>
        <v>4854</v>
      </c>
      <c r="AO166" s="211">
        <f>AO126</f>
        <v>5202</v>
      </c>
      <c r="AP166" s="211">
        <f>AP126</f>
        <v>5563</v>
      </c>
      <c r="AQ166" s="211">
        <f>AQ126</f>
        <v>6170</v>
      </c>
      <c r="AR166" s="211">
        <f>AR126</f>
        <v>21789</v>
      </c>
      <c r="AS166" s="211">
        <f>AS126</f>
        <v>5362</v>
      </c>
      <c r="AT166" s="211">
        <f>AT126</f>
        <v>5748</v>
      </c>
      <c r="AU166" s="211">
        <f>AU126</f>
        <v>6523</v>
      </c>
      <c r="AV166" s="211">
        <f>AV126</f>
        <v>7618</v>
      </c>
      <c r="AW166" s="211">
        <f>AW126</f>
        <v>25251</v>
      </c>
      <c r="AX166" s="211">
        <f>AX126</f>
        <v>7508</v>
      </c>
      <c r="AY166" s="211">
        <f>AY126</f>
        <v>8038</v>
      </c>
      <c r="AZ166" s="211">
        <f>AZ126</f>
        <v>8948</v>
      </c>
      <c r="BA166" s="211">
        <f>BA126</f>
        <v>9802</v>
      </c>
      <c r="BB166" s="211">
        <f>BB126</f>
        <v>34296</v>
      </c>
      <c r="BC166" s="211">
        <f>BC126</f>
        <v>8978</v>
      </c>
      <c r="BD166" s="211">
        <f>BD126</f>
        <v>9594</v>
      </c>
      <c r="BE166" s="211">
        <f>BE126</f>
        <v>10204</v>
      </c>
      <c r="BF166" s="211">
        <f>BF126</f>
        <v>12685</v>
      </c>
      <c r="BG166" s="211">
        <f>BG126</f>
        <v>41921</v>
      </c>
      <c r="BH166" s="211">
        <f>BH126</f>
        <v>11123</v>
      </c>
      <c r="BI166" s="211">
        <f>BI126</f>
        <v>11589</v>
      </c>
      <c r="BJ166" s="211">
        <f>BJ126</f>
        <v>12131</v>
      </c>
      <c r="BK166" s="211">
        <f>BK126</f>
        <v>13820</v>
      </c>
      <c r="BL166" s="211">
        <f>BL126</f>
        <v>48663</v>
      </c>
      <c r="BM166" s="211">
        <f>BM126</f>
        <v>11684</v>
      </c>
      <c r="BN166" s="211">
        <f>BN126</f>
        <v>12038</v>
      </c>
      <c r="BO166" s="211">
        <f>BO126</f>
        <v>13442</v>
      </c>
      <c r="BP166" s="211">
        <f>BP126</f>
        <v>15631</v>
      </c>
      <c r="BQ166" s="211">
        <f>BQ126</f>
        <v>52795</v>
      </c>
      <c r="BR166" s="211">
        <f>BR126</f>
        <v>14262</v>
      </c>
      <c r="BS166" s="211">
        <f>BS126</f>
        <v>15227</v>
      </c>
      <c r="BT166" s="211">
        <f>BT126</f>
        <v>16796</v>
      </c>
      <c r="BU166" s="211">
        <f>BU126</f>
        <v>19471</v>
      </c>
      <c r="BV166" s="211">
        <f>BV126</f>
        <v>65756</v>
      </c>
      <c r="BW166" s="211">
        <f>BW126</f>
        <v>18945</v>
      </c>
      <c r="BX166" s="211">
        <f>BX126</f>
        <v>19988</v>
      </c>
      <c r="BY166" s="254">
        <f>BY126</f>
        <v>21949.4861246213</v>
      </c>
      <c r="BZ166" s="254">
        <f>BZ126</f>
        <v>24681.0448011456</v>
      </c>
      <c r="CA166" s="254">
        <f>CA126</f>
        <v>85563.5309257669</v>
      </c>
      <c r="CB166" s="254">
        <f>CB126</f>
        <v>115153.995767509</v>
      </c>
      <c r="CC166" s="254">
        <f>CC126</f>
        <v>137323.709453689</v>
      </c>
      <c r="CD166" s="254">
        <f>CD126</f>
        <v>157869.040206443</v>
      </c>
      <c r="CE166" s="254">
        <f>CE126</f>
        <v>176373.54944682</v>
      </c>
      <c r="CF166" s="153" t="n"/>
    </row>
    <row r="167" ht="15" customHeight="1" s="251">
      <c r="B167" s="156" t="inlineStr">
        <is>
          <t xml:space="preserve">  Memo: stock-based compensation</t>
        </is>
      </c>
      <c r="C167" s="211">
        <f>C132</f>
        <v>101</v>
      </c>
      <c r="D167" s="211">
        <f>D132</f>
        <v>185</v>
      </c>
      <c r="E167" s="211">
        <f>E132</f>
        <v>275</v>
      </c>
      <c r="F167" s="211">
        <f>F132</f>
        <v>341</v>
      </c>
      <c r="G167" s="211">
        <f>G132</f>
        <v>424</v>
      </c>
      <c r="H167" s="211">
        <f>H132</f>
        <v>557</v>
      </c>
      <c r="I167" s="211">
        <f>I132</f>
        <v>833</v>
      </c>
      <c r="J167" s="211">
        <f>J132</f>
        <v>229</v>
      </c>
      <c r="K167" s="211">
        <f>K132</f>
        <v>298</v>
      </c>
      <c r="L167" s="211">
        <f>L132</f>
        <v>281</v>
      </c>
      <c r="M167" s="211">
        <f>M132</f>
        <v>326</v>
      </c>
      <c r="N167" s="211">
        <f>N132</f>
        <v>1134</v>
      </c>
      <c r="O167" s="211">
        <f>O132</f>
        <v>321</v>
      </c>
      <c r="P167" s="211">
        <f>P132</f>
        <v>391</v>
      </c>
      <c r="Q167" s="211">
        <f>Q132</f>
        <v>377</v>
      </c>
      <c r="R167" s="211">
        <f>R132</f>
        <v>408</v>
      </c>
      <c r="S167" s="211">
        <f>S132</f>
        <v>1497</v>
      </c>
      <c r="T167" s="211">
        <f>T132</f>
        <v>407</v>
      </c>
      <c r="U167" s="211">
        <f>U132</f>
        <v>563</v>
      </c>
      <c r="V167" s="211">
        <f>V132</f>
        <v>544</v>
      </c>
      <c r="W167" s="211">
        <f>W132</f>
        <v>606</v>
      </c>
      <c r="X167" s="211">
        <f>X132</f>
        <v>2119</v>
      </c>
      <c r="Y167" s="211">
        <f>Y132</f>
        <v>544</v>
      </c>
      <c r="Z167" s="211">
        <f>Z132</f>
        <v>768</v>
      </c>
      <c r="AA167" s="211">
        <f>AA132</f>
        <v>776</v>
      </c>
      <c r="AB167" s="211">
        <f>AB132</f>
        <v>887</v>
      </c>
      <c r="AC167" s="211">
        <f>AC132</f>
        <v>2975</v>
      </c>
      <c r="AD167" s="211">
        <f>AD132</f>
        <v>792</v>
      </c>
      <c r="AE167" s="211">
        <f>AE132</f>
        <v>1158</v>
      </c>
      <c r="AF167" s="211">
        <f>AF132</f>
        <v>1085</v>
      </c>
      <c r="AG167" s="211">
        <f>AG132</f>
        <v>1179</v>
      </c>
      <c r="AH167" s="211">
        <f>AH132</f>
        <v>4215</v>
      </c>
      <c r="AI167" s="211">
        <f>AI132</f>
        <v>1182</v>
      </c>
      <c r="AJ167" s="211">
        <f>AJ132</f>
        <v>1468</v>
      </c>
      <c r="AK167" s="211">
        <f>AK132</f>
        <v>1350</v>
      </c>
      <c r="AL167" s="211">
        <f>AL132</f>
        <v>1417</v>
      </c>
      <c r="AM167" s="211">
        <f>AM132</f>
        <v>5418</v>
      </c>
      <c r="AN167" s="211">
        <f>AN132</f>
        <v>1274</v>
      </c>
      <c r="AO167" s="211">
        <f>AO132</f>
        <v>1971</v>
      </c>
      <c r="AP167" s="211">
        <f>AP132</f>
        <v>1779</v>
      </c>
      <c r="AQ167" s="211">
        <f>AQ132</f>
        <v>1840</v>
      </c>
      <c r="AR167" s="211">
        <f>AR132</f>
        <v>6864</v>
      </c>
      <c r="AS167" s="211">
        <f>AS132</f>
        <v>1757</v>
      </c>
      <c r="AT167" s="211">
        <f>AT132</f>
        <v>2601</v>
      </c>
      <c r="AU167" s="211">
        <f>AU132</f>
        <v>2288</v>
      </c>
      <c r="AV167" s="211">
        <f>AV132</f>
        <v>2562</v>
      </c>
      <c r="AW167" s="211">
        <f>AW132</f>
        <v>9208</v>
      </c>
      <c r="AX167" s="211">
        <f>AX132</f>
        <v>2306</v>
      </c>
      <c r="AY167" s="211">
        <f>AY132</f>
        <v>3591</v>
      </c>
      <c r="AZ167" s="211">
        <f>AZ132</f>
        <v>3180</v>
      </c>
      <c r="BA167" s="211">
        <f>BA132</f>
        <v>3680</v>
      </c>
      <c r="BB167" s="211">
        <f>BB132</f>
        <v>12757</v>
      </c>
      <c r="BC167" s="211">
        <f>BC132</f>
        <v>3250</v>
      </c>
      <c r="BD167" s="211">
        <f>BD132</f>
        <v>5209</v>
      </c>
      <c r="BE167" s="211">
        <f>BE132</f>
        <v>5556</v>
      </c>
      <c r="BF167" s="211">
        <f>BF132</f>
        <v>5606</v>
      </c>
      <c r="BG167" s="211">
        <f>BG132</f>
        <v>19621</v>
      </c>
      <c r="BH167" s="211">
        <f>BH132</f>
        <v>4748</v>
      </c>
      <c r="BI167" s="211">
        <f>BI132</f>
        <v>7127</v>
      </c>
      <c r="BJ167" s="211">
        <f>BJ132</f>
        <v>5829</v>
      </c>
      <c r="BK167" s="211">
        <f>BK132</f>
        <v>6319</v>
      </c>
      <c r="BL167" s="211">
        <f>BL132</f>
        <v>24023</v>
      </c>
      <c r="BM167" s="211">
        <f>BM132</f>
        <v>4961</v>
      </c>
      <c r="BN167" s="211">
        <f>BN132</f>
        <v>6722</v>
      </c>
      <c r="BO167" s="211">
        <f>BO132</f>
        <v>5333</v>
      </c>
      <c r="BP167" s="211">
        <f>BP132</f>
        <v>4995</v>
      </c>
      <c r="BQ167" s="211">
        <f>BQ132</f>
        <v>22011</v>
      </c>
      <c r="BR167" s="211">
        <f>BR132</f>
        <v>3689</v>
      </c>
      <c r="BS167" s="211">
        <f>BS132</f>
        <v>6534</v>
      </c>
      <c r="BT167" s="211">
        <f>BT132</f>
        <v>4847</v>
      </c>
      <c r="BU167" s="211">
        <f>BU132</f>
        <v>4397</v>
      </c>
      <c r="BV167" s="211">
        <f>BV132</f>
        <v>19467</v>
      </c>
      <c r="BW167" s="211">
        <f>BW132</f>
        <v>4032</v>
      </c>
      <c r="BX167" s="211">
        <f>BX132</f>
        <v>6038</v>
      </c>
      <c r="BY167" s="254">
        <f>BY132</f>
        <v>4774.45857380417</v>
      </c>
      <c r="BZ167" s="254">
        <f>BZ132</f>
        <v>4331.19338745965</v>
      </c>
      <c r="CA167" s="254">
        <f>CA132</f>
        <v>19175.6519612638</v>
      </c>
      <c r="CB167" s="254">
        <f>CB132</f>
        <v>24543.0045174748</v>
      </c>
      <c r="CC167" s="254">
        <f>CC132</f>
        <v>27805.0162622104</v>
      </c>
      <c r="CD167" s="254">
        <f>CD132</f>
        <v>31166.5029445806</v>
      </c>
      <c r="CE167" s="254">
        <f>CE132</f>
        <v>34585.7992304738</v>
      </c>
      <c r="CF167" s="153" t="n"/>
    </row>
    <row r="168" ht="15" customHeight="1" s="251">
      <c r="B168" s="25" t="inlineStr">
        <is>
          <t>(Earnings per share — split-adjusted for the 20-for-1 split of 6-Jun-2022)</t>
        </is>
      </c>
      <c r="CF168" s="153" t="n"/>
    </row>
    <row r="169" ht="15" customHeight="1" s="251">
      <c r="B169" s="25" t="inlineStr">
        <is>
          <t xml:space="preserve">  Weighted-average basic shares (m)</t>
        </is>
      </c>
      <c r="C169" s="253" t="n">
        <v>8320</v>
      </c>
      <c r="D169" s="253" t="n">
        <v>8260</v>
      </c>
      <c r="E169" s="253" t="n">
        <v>8460</v>
      </c>
      <c r="F169" s="253" t="n">
        <v>8660</v>
      </c>
      <c r="G169" s="253" t="n">
        <v>8940</v>
      </c>
      <c r="H169" s="253" t="n">
        <v>9060</v>
      </c>
      <c r="I169" s="253" t="n">
        <v>9060</v>
      </c>
      <c r="J169" s="253" t="n">
        <v>9100</v>
      </c>
      <c r="K169" s="253" t="n">
        <v>9120</v>
      </c>
      <c r="L169" s="253" t="n">
        <v>9140</v>
      </c>
      <c r="M169" s="253" t="n">
        <v>9160</v>
      </c>
      <c r="N169" s="253" t="n">
        <v>9140</v>
      </c>
      <c r="O169" s="253" t="n">
        <v>9200</v>
      </c>
      <c r="P169" s="253" t="n">
        <v>9220</v>
      </c>
      <c r="Q169" s="253" t="n">
        <v>9260</v>
      </c>
      <c r="R169" s="253" t="n">
        <v>9280</v>
      </c>
      <c r="S169" s="253" t="n">
        <v>9240</v>
      </c>
      <c r="T169" s="253" t="n">
        <v>9300</v>
      </c>
      <c r="U169" s="253" t="n">
        <v>9340</v>
      </c>
      <c r="V169" s="253" t="n">
        <v>9360</v>
      </c>
      <c r="W169" s="253" t="n">
        <v>9400</v>
      </c>
      <c r="X169" s="253" t="n">
        <v>9340</v>
      </c>
      <c r="Y169" s="253" t="n">
        <v>9420</v>
      </c>
      <c r="Z169" s="253" t="n">
        <v>9460</v>
      </c>
      <c r="AA169" s="253" t="n">
        <v>9480</v>
      </c>
      <c r="AB169" s="253" t="n">
        <v>9520</v>
      </c>
      <c r="AC169" s="253" t="n">
        <v>9480</v>
      </c>
      <c r="AD169" s="253" t="n">
        <v>9540</v>
      </c>
      <c r="AE169" s="253" t="n">
        <v>9580</v>
      </c>
      <c r="AF169" s="253" t="n">
        <v>9620</v>
      </c>
      <c r="AG169" s="253" t="n">
        <v>9660</v>
      </c>
      <c r="AH169" s="253" t="n">
        <v>9600</v>
      </c>
      <c r="AI169" s="253" t="n">
        <v>9680</v>
      </c>
      <c r="AJ169" s="253" t="n">
        <v>9720</v>
      </c>
      <c r="AK169" s="253" t="n">
        <v>9760</v>
      </c>
      <c r="AL169" s="253" t="n">
        <v>9800</v>
      </c>
      <c r="AM169" s="253" t="n">
        <v>9740</v>
      </c>
      <c r="AN169" s="253" t="n">
        <v>9820</v>
      </c>
      <c r="AO169" s="253" t="n">
        <v>9860</v>
      </c>
      <c r="AP169" s="253" t="n">
        <v>9900</v>
      </c>
      <c r="AQ169" s="253" t="n">
        <v>9920</v>
      </c>
      <c r="AR169" s="253" t="n">
        <v>9880</v>
      </c>
      <c r="AS169" s="253" t="n">
        <v>9960</v>
      </c>
      <c r="AT169" s="253" t="n">
        <v>10000</v>
      </c>
      <c r="AU169" s="253" t="n">
        <v>10020</v>
      </c>
      <c r="AV169" s="253" t="n">
        <v>10040</v>
      </c>
      <c r="AW169" s="253" t="n">
        <v>10000</v>
      </c>
      <c r="AX169" s="253" t="n">
        <v>10080</v>
      </c>
      <c r="AY169" s="253" t="n">
        <v>10100</v>
      </c>
      <c r="AZ169" s="253" t="n">
        <v>10140</v>
      </c>
      <c r="BA169" s="253" t="n">
        <v>10160</v>
      </c>
      <c r="BB169" s="253" t="n">
        <v>10120</v>
      </c>
      <c r="BC169" s="253" t="n">
        <v>10180</v>
      </c>
      <c r="BD169" s="253" t="n">
        <v>10175</v>
      </c>
      <c r="BE169" s="253" t="n">
        <v>10191</v>
      </c>
      <c r="BF169" s="253" t="n">
        <v>10220</v>
      </c>
      <c r="BG169" s="253" t="n">
        <v>10189</v>
      </c>
      <c r="BH169" s="253" t="n">
        <v>10250</v>
      </c>
      <c r="BI169" s="253" t="n">
        <v>10285</v>
      </c>
      <c r="BJ169" s="253" t="n">
        <v>10322</v>
      </c>
      <c r="BK169" s="253" t="n">
        <v>10356</v>
      </c>
      <c r="BL169" s="253" t="n">
        <v>10304</v>
      </c>
      <c r="BM169" s="253" t="n">
        <v>10393</v>
      </c>
      <c r="BN169" s="253" t="n">
        <v>10447</v>
      </c>
      <c r="BO169" s="253" t="n">
        <v>10501</v>
      </c>
      <c r="BP169" s="253" t="n">
        <v>10552</v>
      </c>
      <c r="BQ169" s="253" t="n">
        <v>10473</v>
      </c>
      <c r="BR169" s="253" t="n">
        <v>10603</v>
      </c>
      <c r="BS169" s="253" t="n">
        <v>10637</v>
      </c>
      <c r="BT169" s="253" t="n">
        <v>10674</v>
      </c>
      <c r="BU169" s="253" t="n">
        <v>10709</v>
      </c>
      <c r="BV169" s="253" t="n">
        <v>10656</v>
      </c>
      <c r="BW169" s="253" t="n">
        <v>10743</v>
      </c>
      <c r="BX169" s="253" t="n">
        <v>10769</v>
      </c>
      <c r="BY169" s="254">
        <f>BX339+$CP$24*(3-2-0.5)</f>
        <v>10798</v>
      </c>
      <c r="BZ169" s="254">
        <f>BX339+$CP$24*(4-2-0.5)</f>
        <v>10828</v>
      </c>
      <c r="CA169" s="254">
        <f>AVERAGE(BW169:BZ169)</f>
        <v>10784.5</v>
      </c>
      <c r="CB169" s="254">
        <f>AVERAGE(CB304,CB305)</f>
        <v>10899.7705602103</v>
      </c>
      <c r="CC169" s="254">
        <f>AVERAGE(CC304,CC305)</f>
        <v>10928.5328359844</v>
      </c>
      <c r="CD169" s="254">
        <f>AVERAGE(CD304,CD305)</f>
        <v>10817.7236164809</v>
      </c>
      <c r="CE169" s="254">
        <f>AVERAGE(CE304,CE305)</f>
        <v>10600.616633665</v>
      </c>
      <c r="CF169" s="19" t="inlineStr">
        <is>
          <t>Q3/Q4-26E: shares outstanding at 30-Jun-2026 + equity-plan issuance (mid-quarter). 2027E+: average of beginning and ending shares.</t>
        </is>
      </c>
    </row>
    <row r="170" ht="15" customHeight="1" s="251">
      <c r="B170" s="25" t="inlineStr">
        <is>
          <t xml:space="preserve">  Weighted-average diluted shares (m)</t>
        </is>
      </c>
      <c r="C170" s="253" t="n">
        <v>8480</v>
      </c>
      <c r="D170" s="253" t="n">
        <v>8480</v>
      </c>
      <c r="E170" s="253" t="n">
        <v>8640</v>
      </c>
      <c r="F170" s="253" t="n">
        <v>8840</v>
      </c>
      <c r="G170" s="253" t="n">
        <v>9120</v>
      </c>
      <c r="H170" s="253" t="n">
        <v>9220</v>
      </c>
      <c r="I170" s="253" t="n">
        <v>9060</v>
      </c>
      <c r="J170" s="253" t="n">
        <v>9260</v>
      </c>
      <c r="K170" s="253" t="n">
        <v>9120</v>
      </c>
      <c r="L170" s="253" t="n">
        <v>9140</v>
      </c>
      <c r="M170" s="253" t="n">
        <v>9340</v>
      </c>
      <c r="N170" s="253" t="n">
        <v>9300</v>
      </c>
      <c r="O170" s="253" t="n">
        <v>9360</v>
      </c>
      <c r="P170" s="253" t="n">
        <v>9220</v>
      </c>
      <c r="Q170" s="253" t="n">
        <v>9260</v>
      </c>
      <c r="R170" s="253" t="n">
        <v>9440</v>
      </c>
      <c r="S170" s="253" t="n">
        <v>9240</v>
      </c>
      <c r="T170" s="253" t="n">
        <v>9300</v>
      </c>
      <c r="U170" s="253" t="n">
        <v>9520</v>
      </c>
      <c r="V170" s="253" t="n">
        <v>9560</v>
      </c>
      <c r="W170" s="253" t="n">
        <v>9620</v>
      </c>
      <c r="X170" s="253" t="n">
        <v>9540</v>
      </c>
      <c r="Y170" s="253" t="n">
        <v>9620</v>
      </c>
      <c r="Z170" s="253" t="n">
        <v>9660</v>
      </c>
      <c r="AA170" s="253" t="n">
        <v>9700</v>
      </c>
      <c r="AB170" s="253" t="n">
        <v>9720</v>
      </c>
      <c r="AC170" s="253" t="n">
        <v>9680</v>
      </c>
      <c r="AD170" s="253" t="n">
        <v>9800</v>
      </c>
      <c r="AE170" s="253" t="n">
        <v>9840</v>
      </c>
      <c r="AF170" s="253" t="n">
        <v>9880</v>
      </c>
      <c r="AG170" s="253" t="n">
        <v>9920</v>
      </c>
      <c r="AH170" s="253" t="n">
        <v>9860</v>
      </c>
      <c r="AI170" s="253" t="n">
        <v>9960</v>
      </c>
      <c r="AJ170" s="253" t="n">
        <v>10000</v>
      </c>
      <c r="AK170" s="253" t="n">
        <v>10020</v>
      </c>
      <c r="AL170" s="253" t="n">
        <v>10020</v>
      </c>
      <c r="AM170" s="253" t="n">
        <v>10000</v>
      </c>
      <c r="AN170" s="253" t="n">
        <v>10040</v>
      </c>
      <c r="AO170" s="253" t="n">
        <v>10060</v>
      </c>
      <c r="AP170" s="253" t="n">
        <v>10080</v>
      </c>
      <c r="AQ170" s="253" t="n">
        <v>10100</v>
      </c>
      <c r="AR170" s="253" t="n">
        <v>10080</v>
      </c>
      <c r="AS170" s="253" t="n">
        <v>10120</v>
      </c>
      <c r="AT170" s="253" t="n">
        <v>10180</v>
      </c>
      <c r="AU170" s="253" t="n">
        <v>10240</v>
      </c>
      <c r="AV170" s="253" t="n">
        <v>10260</v>
      </c>
      <c r="AW170" s="253" t="n">
        <v>10200</v>
      </c>
      <c r="AX170" s="253" t="n">
        <v>10260</v>
      </c>
      <c r="AY170" s="253" t="n">
        <v>10280</v>
      </c>
      <c r="AZ170" s="253" t="n">
        <v>10300</v>
      </c>
      <c r="BA170" s="253" t="n">
        <v>10320</v>
      </c>
      <c r="BB170" s="253" t="n">
        <v>10300</v>
      </c>
      <c r="BC170" s="253" t="n">
        <v>10180</v>
      </c>
      <c r="BD170" s="253" t="n">
        <v>10175</v>
      </c>
      <c r="BE170" s="253" t="n">
        <v>10331</v>
      </c>
      <c r="BF170" s="253" t="n">
        <v>10308</v>
      </c>
      <c r="BG170" s="253" t="n">
        <v>10189</v>
      </c>
      <c r="BH170" s="253" t="n">
        <v>10347</v>
      </c>
      <c r="BI170" s="253" t="n">
        <v>10449</v>
      </c>
      <c r="BJ170" s="253" t="n">
        <v>10558</v>
      </c>
      <c r="BK170" s="253" t="n">
        <v>10610</v>
      </c>
      <c r="BL170" s="253" t="n">
        <v>10492</v>
      </c>
      <c r="BM170" s="253" t="n">
        <v>10670</v>
      </c>
      <c r="BN170" s="253" t="n">
        <v>10708</v>
      </c>
      <c r="BO170" s="253" t="n">
        <v>10735</v>
      </c>
      <c r="BP170" s="253" t="n">
        <v>10771</v>
      </c>
      <c r="BQ170" s="253" t="n">
        <v>10721</v>
      </c>
      <c r="BR170" s="253" t="n">
        <v>10793</v>
      </c>
      <c r="BS170" s="253" t="n">
        <v>10806</v>
      </c>
      <c r="BT170" s="253" t="n">
        <v>10845</v>
      </c>
      <c r="BU170" s="253" t="n">
        <v>10863</v>
      </c>
      <c r="BV170" s="253" t="n">
        <v>10827</v>
      </c>
      <c r="BW170" s="253" t="n">
        <v>10874</v>
      </c>
      <c r="BX170" s="253" t="n">
        <v>10903</v>
      </c>
      <c r="BY170" s="254">
        <f>BY169+(BX170-BX169)</f>
        <v>10932</v>
      </c>
      <c r="BZ170" s="254">
        <f>BZ169+(BX170-BX169)</f>
        <v>10962</v>
      </c>
      <c r="CA170" s="254">
        <f>AVERAGE(BW170:BZ170)</f>
        <v>10917.75</v>
      </c>
      <c r="CB170" s="254">
        <f>CB169+CB356</f>
        <v>11034.7705602103</v>
      </c>
      <c r="CC170" s="254">
        <f>CC169+CC356</f>
        <v>11063.5328359844</v>
      </c>
      <c r="CD170" s="254">
        <f>CD169+CD356</f>
        <v>10952.7236164809</v>
      </c>
      <c r="CE170" s="254">
        <f>CE169+CE356</f>
        <v>10735.616633665</v>
      </c>
      <c r="CF170" s="19" t="n"/>
      <c r="CH170" s="20">
        <f>IFERROR((CE170/BV170)^(1/5)-1,"n/m")</f>
        <v>-0.00169379255667967</v>
      </c>
      <c r="CI170" s="20">
        <f>IFERROR((BV170/AW170)^(1/5)-1,"n/m")</f>
        <v>0.0120025178008747</v>
      </c>
      <c r="CJ170" s="20">
        <f>IFERROR((BV170/X170)^(1/10)-1,"n/m")</f>
        <v>0.0127353656517026</v>
      </c>
      <c r="CK170" s="20">
        <f>IFERROR((BV170/C170)^(1/19)-1,"n/m")</f>
        <v>0.0129426490002911</v>
      </c>
    </row>
    <row r="171" ht="15" customHeight="1" s="251">
      <c r="B171" s="55" t="inlineStr">
        <is>
          <t>EPS – diluted ($)</t>
        </is>
      </c>
      <c r="C171" s="276">
        <f>IF(ISNUMBER(C170),IFERROR(C163/C170,""),"")</f>
        <v>0.0224056603773585</v>
      </c>
      <c r="D171" s="276">
        <f>IF(ISNUMBER(D170),IFERROR(D163/D170,""),"")</f>
        <v>0.0561320754716981</v>
      </c>
      <c r="E171" s="276">
        <f>IF(ISNUMBER(E170),IFERROR(E163/E170,""),"")</f>
        <v>0.0746527777777778</v>
      </c>
      <c r="F171" s="276">
        <f>IF(ISNUMBER(F170),IFERROR(F163/F170,""),"")</f>
        <v>0.102036199095023</v>
      </c>
      <c r="G171" s="276">
        <f>IF(ISNUMBER(G170),IFERROR(G163/G170,""),"")</f>
        <v>0.126315789473684</v>
      </c>
      <c r="H171" s="276">
        <f>IF(ISNUMBER(H170),IFERROR(H163/H170,""),"")</f>
        <v>0.0684381778741866</v>
      </c>
      <c r="I171" s="276">
        <f>IF(ISNUMBER(I170),IFERROR(I163/I170,""),"")</f>
        <v>-0.0043046357615894</v>
      </c>
      <c r="J171" s="276">
        <f>IF(ISNUMBER(J170),IFERROR(J163/J170,""),"")</f>
        <v>0.00885529157667387</v>
      </c>
      <c r="K171" s="276">
        <f>IF(ISNUMBER(K170),IFERROR(K163/K170,""),"")</f>
        <v>-0.000767543859649123</v>
      </c>
      <c r="L171" s="276">
        <f>IF(ISNUMBER(L170),IFERROR(L163/L170,""),"")</f>
        <v>-0.00448577680525164</v>
      </c>
      <c r="M171" s="276">
        <f>IF(ISNUMBER(M170),IFERROR(M163/M170,""),"")</f>
        <v>0.0255888650963597</v>
      </c>
      <c r="N171" s="276">
        <f>IF(ISNUMBER(N170),IFERROR(N163/N170,""),"")</f>
        <v>0.0294623655913978</v>
      </c>
      <c r="O171" s="276">
        <f>IF(ISNUMBER(O170),IFERROR(O163/O170,""),"")</f>
        <v>0.0115384615384615</v>
      </c>
      <c r="P171" s="276">
        <f>IF(ISNUMBER(P170),IFERROR(P163/P170,""),"")</f>
        <v>-0.0136659436008677</v>
      </c>
      <c r="Q171" s="276">
        <f>IF(ISNUMBER(Q170),IFERROR(Q163/Q170,""),"")</f>
        <v>-0.0471922246220302</v>
      </c>
      <c r="R171" s="276">
        <f>IF(ISNUMBER(R170),IFERROR(R163/R170,""),"")</f>
        <v>0.0226694915254237</v>
      </c>
      <c r="S171" s="276">
        <f>IF(ISNUMBER(S170),IFERROR(S163/S170,""),"")</f>
        <v>-0.0260822510822511</v>
      </c>
      <c r="T171" s="276">
        <f>IF(ISNUMBER(T170),IFERROR(T163/T170,""),"")</f>
        <v>-0.00612903225806452</v>
      </c>
      <c r="U171" s="276">
        <f>IF(ISNUMBER(U170),IFERROR(U163/U170,""),"")</f>
        <v>0.00966386554621849</v>
      </c>
      <c r="V171" s="276">
        <f>IF(ISNUMBER(V170),IFERROR(V163/V170,""),"")</f>
        <v>0.00826359832635983</v>
      </c>
      <c r="W171" s="276">
        <f>IF(ISNUMBER(W170),IFERROR(W163/W170,""),"")</f>
        <v>0.0501039501039501</v>
      </c>
      <c r="X171" s="276">
        <f>IF(ISNUMBER(X170),IFERROR(X163/X170,""),"")</f>
        <v>0.0624737945492663</v>
      </c>
      <c r="Y171" s="276">
        <f>IF(ISNUMBER(Y170),IFERROR(Y163/Y170,""),"")</f>
        <v>0.0533264033264033</v>
      </c>
      <c r="Z171" s="276">
        <f>IF(ISNUMBER(Z170),IFERROR(Z163/Z170,""),"")</f>
        <v>0.0887163561076605</v>
      </c>
      <c r="AA171" s="276">
        <f>IF(ISNUMBER(AA170),IFERROR(AA163/AA170,""),"")</f>
        <v>0.025979381443299</v>
      </c>
      <c r="AB171" s="276">
        <f>IF(ISNUMBER(AB170),IFERROR(AB163/AB170,""),"")</f>
        <v>0.0770576131687243</v>
      </c>
      <c r="AC171" s="276">
        <f>IF(ISNUMBER(AC170),IFERROR(AC163/AC170,""),"")</f>
        <v>0.244938016528926</v>
      </c>
      <c r="AD171" s="276">
        <f>IF(ISNUMBER(AD170),IFERROR(AD163/AD170,""),"")</f>
        <v>0.0738775510204082</v>
      </c>
      <c r="AE171" s="276">
        <f>IF(ISNUMBER(AE170),IFERROR(AE163/AE170,""),"")</f>
        <v>0.020020325203252</v>
      </c>
      <c r="AF171" s="276">
        <f>IF(ISNUMBER(AF170),IFERROR(AF163/AF170,""),"")</f>
        <v>0.0259109311740891</v>
      </c>
      <c r="AG171" s="276">
        <f>IF(ISNUMBER(AG170),IFERROR(AG163/AG170,""),"")</f>
        <v>0.187096774193548</v>
      </c>
      <c r="AH171" s="276">
        <f>IF(ISNUMBER(AH170),IFERROR(AH163/AH170,""),"")</f>
        <v>0.307606490872211</v>
      </c>
      <c r="AI171" s="276">
        <f>IF(ISNUMBER(AI170),IFERROR(AI163/AI170,""),"")</f>
        <v>0.16355421686747</v>
      </c>
      <c r="AJ171" s="276">
        <f>IF(ISNUMBER(AJ170),IFERROR(AJ163/AJ170,""),"")</f>
        <v>0.2534</v>
      </c>
      <c r="AK171" s="276">
        <f>IF(ISNUMBER(AK170),IFERROR(AK163/AK170,""),"")</f>
        <v>0.287724550898204</v>
      </c>
      <c r="AL171" s="276">
        <f>IF(ISNUMBER(AL170),IFERROR(AL163/AL170,""),"")</f>
        <v>0.302095808383234</v>
      </c>
      <c r="AM171" s="276">
        <f>IF(ISNUMBER(AM170),IFERROR(AM163/AM170,""),"")</f>
        <v>1.0073</v>
      </c>
      <c r="AN171" s="276">
        <f>IF(ISNUMBER(AN170),IFERROR(AN163/AN170,""),"")</f>
        <v>0.354681274900398</v>
      </c>
      <c r="AO171" s="276">
        <f>IF(ISNUMBER(AO170),IFERROR(AO163/AO170,""),"")</f>
        <v>0.260934393638171</v>
      </c>
      <c r="AP171" s="276">
        <f>IF(ISNUMBER(AP170),IFERROR(AP163/AP170,""),"")</f>
        <v>0.211706349206349</v>
      </c>
      <c r="AQ171" s="276">
        <f>IF(ISNUMBER(AQ170),IFERROR(AQ163/AQ170,""),"")</f>
        <v>0.323564356435644</v>
      </c>
      <c r="AR171" s="276">
        <f>IF(ISNUMBER(AR170),IFERROR(AR163/AR170,""),"")</f>
        <v>1.14960317460317</v>
      </c>
      <c r="AS171" s="276">
        <f>IF(ISNUMBER(AS170),IFERROR(AS163/AS170,""),"")</f>
        <v>0.250494071146245</v>
      </c>
      <c r="AT171" s="276">
        <f>IF(ISNUMBER(AT170),IFERROR(AT163/AT170,""),"")</f>
        <v>0.515029469548134</v>
      </c>
      <c r="AU171" s="276">
        <f>IF(ISNUMBER(AU170),IFERROR(AU163/AU170,""),"")</f>
        <v>0.61826171875</v>
      </c>
      <c r="AV171" s="276">
        <f>IF(ISNUMBER(AV170),IFERROR(AV163/AV170,""),"")</f>
        <v>0.703898635477583</v>
      </c>
      <c r="AW171" s="276">
        <f>IF(ISNUMBER(AW170),IFERROR(AW163/AW170,""),"")</f>
        <v>2.09127450980392</v>
      </c>
      <c r="AX171" s="276">
        <f>IF(ISNUMBER(AX170),IFERROR(AX163/AX170,""),"")</f>
        <v>0.790155945419103</v>
      </c>
      <c r="AY171" s="276">
        <f>IF(ISNUMBER(AY170),IFERROR(AY163/AY170,""),"")</f>
        <v>0.756614785992218</v>
      </c>
      <c r="AZ171" s="276">
        <f>IF(ISNUMBER(AZ170),IFERROR(AZ163/AZ170,""),"")</f>
        <v>0.306407766990291</v>
      </c>
      <c r="BA171" s="276">
        <f>IF(ISNUMBER(BA170),IFERROR(BA163/BA170,""),"")</f>
        <v>1.38788759689922</v>
      </c>
      <c r="BB171" s="276">
        <f>IF(ISNUMBER(BB170),IFERROR(BB163/BB170,""),"")</f>
        <v>3.23922330097087</v>
      </c>
      <c r="BC171" s="276">
        <f>IF(ISNUMBER(BC170),IFERROR(BC163/BC170,""),"")</f>
        <v>-0.377603143418468</v>
      </c>
      <c r="BD171" s="276">
        <f>IF(ISNUMBER(BD170),IFERROR(BD163/BD170,""),"")</f>
        <v>-0.199312039312039</v>
      </c>
      <c r="BE171" s="276">
        <f>IF(ISNUMBER(BE170),IFERROR(BE163/BE170,""),"")</f>
        <v>0.277998257671087</v>
      </c>
      <c r="BF171" s="276">
        <f>IF(ISNUMBER(BF170),IFERROR(BF163/BF170,""),"")</f>
        <v>0.0269693441986806</v>
      </c>
      <c r="BG171" s="276">
        <f>IF(ISNUMBER(BG170),IFERROR(BG163/BG170,""),"")</f>
        <v>-0.267150848954755</v>
      </c>
      <c r="BH171" s="276">
        <f>IF(ISNUMBER(BH170),IFERROR(BH163/BH170,""),"")</f>
        <v>0.306562288586064</v>
      </c>
      <c r="BI171" s="276">
        <f>IF(ISNUMBER(BI170),IFERROR(BI163/BI170,""),"")</f>
        <v>0.645994832041344</v>
      </c>
      <c r="BJ171" s="276">
        <f>IF(ISNUMBER(BJ170),IFERROR(BJ163/BJ170,""),"")</f>
        <v>0.93568857738208</v>
      </c>
      <c r="BK171" s="276">
        <f>IF(ISNUMBER(BK170),IFERROR(BK163/BK170,""),"")</f>
        <v>1.00131950989632</v>
      </c>
      <c r="BL171" s="276">
        <f>IF(ISNUMBER(BL170),IFERROR(BL163/BL170,""),"")</f>
        <v>2.89982844071674</v>
      </c>
      <c r="BM171" s="276">
        <f>IF(ISNUMBER(BM170),IFERROR(BM163/BM170,""),"")</f>
        <v>0.977600749765698</v>
      </c>
      <c r="BN171" s="276">
        <f>IF(ISNUMBER(BN170),IFERROR(BN163/BN170,""),"")</f>
        <v>1.2593388121031</v>
      </c>
      <c r="BO171" s="276">
        <f>IF(ISNUMBER(BO170),IFERROR(BO163/BO170,""),"")</f>
        <v>1.42785281788542</v>
      </c>
      <c r="BP171" s="276">
        <f>IF(ISNUMBER(BP170),IFERROR(BP163/BP170,""),"")</f>
        <v>1.85720917277876</v>
      </c>
      <c r="BQ171" s="276">
        <f>IF(ISNUMBER(BQ170),IFERROR(BQ163/BQ170,""),"")</f>
        <v>5.52635015390355</v>
      </c>
      <c r="BR171" s="276">
        <f>IF(ISNUMBER(BR170),IFERROR(BR163/BR170,""),"")</f>
        <v>1.58686185490596</v>
      </c>
      <c r="BS171" s="276">
        <f>IF(ISNUMBER(BS170),IFERROR(BS163/BS170,""),"")</f>
        <v>1.68091800851379</v>
      </c>
      <c r="BT171" s="276">
        <f>IF(ISNUMBER(BT170),IFERROR(BT163/BT170,""),"")</f>
        <v>1.95361917934532</v>
      </c>
      <c r="BU171" s="276">
        <f>IF(ISNUMBER(BU170),IFERROR(BU163/BU170,""),"")</f>
        <v>1.95084230875449</v>
      </c>
      <c r="BV171" s="276">
        <f>IF(ISNUMBER(BV170),IFERROR(BV163/BV170,""),"")</f>
        <v>7.1737323358271</v>
      </c>
      <c r="BW171" s="276">
        <f>IF(ISNUMBER(BW170),IFERROR(BW163/BW170,""),"")</f>
        <v>2.78232481147692</v>
      </c>
      <c r="BX171" s="276">
        <f>IF(ISNUMBER(BX170),IFERROR(BX163/BX170,""),"")</f>
        <v>5.74584976611942</v>
      </c>
      <c r="BY171" s="276">
        <f>IF(ISNUMBER(BY170),IFERROR(BY163/BY170,""),"")</f>
        <v>1.76766214050494</v>
      </c>
      <c r="BZ171" s="276">
        <f>IF(ISNUMBER(BZ170),IFERROR(BZ163/BZ170,""),"")</f>
        <v>2.2239530551707</v>
      </c>
      <c r="CA171" s="276">
        <f>IF(ISNUMBER(CA170),IFERROR(CA163/CA170,""),"")</f>
        <v>12.512198567542</v>
      </c>
      <c r="CB171" s="276">
        <f>IF(ISNUMBER(CB170),IFERROR(CB163/CB170,""),"")</f>
        <v>9.56607151957628</v>
      </c>
      <c r="CC171" s="276">
        <f>IF(ISNUMBER(CC170),IFERROR(CC163/CC170,""),"")</f>
        <v>11.5426649873929</v>
      </c>
      <c r="CD171" s="276">
        <f>IF(ISNUMBER(CD170),IFERROR(CD163/CD170,""),"")</f>
        <v>13.7226221416016</v>
      </c>
      <c r="CE171" s="276">
        <f>IF(ISNUMBER(CE170),IFERROR(CE163/CE170,""),"")</f>
        <v>16.3129269055738</v>
      </c>
      <c r="CF171" s="19" t="inlineStr">
        <is>
          <t>Net income / weighted diluted shares.</t>
        </is>
      </c>
      <c r="CH171" s="20">
        <f>IFERROR((CE171/BV171)^(1/5)-1,"n/m")</f>
        <v>0.178575325085382</v>
      </c>
      <c r="CI171" s="20">
        <f>IFERROR((BV171/AW171)^(1/5)-1,"n/m")</f>
        <v>0.27957817768735</v>
      </c>
      <c r="CJ171" s="20">
        <f>IFERROR((BV171/X171)^(1/10)-1,"n/m")</f>
        <v>0.606958748506181</v>
      </c>
      <c r="CK171" s="20">
        <f>IFERROR((BV171/C171)^(1/19)-1,"n/m")</f>
        <v>0.354760406723978</v>
      </c>
    </row>
    <row r="172" ht="15" customHeight="1" s="251">
      <c r="B172" s="22" t="inlineStr">
        <is>
          <t xml:space="preserve">  EPS – diluted y/y %</t>
        </is>
      </c>
      <c r="D172" s="255">
        <f>IF(AND(ISNUMBER(D171),ISNUMBER(C171)),IFERROR(D171/C171-1,""),"")</f>
        <v>1.50526315789474</v>
      </c>
      <c r="E172" s="255">
        <f>IF(AND(ISNUMBER(E171),ISNUMBER(D171)),IFERROR(E171/D171-1,""),"")</f>
        <v>0.329948646125117</v>
      </c>
      <c r="F172" s="255">
        <f>IF(AND(ISNUMBER(F171),ISNUMBER(E171)),IFERROR(F171/E171-1,""),"")</f>
        <v>0.366810480900768</v>
      </c>
      <c r="G172" s="255">
        <f>IF(AND(ISNUMBER(G171),ISNUMBER(F171)),IFERROR(G171/F171-1,""),"")</f>
        <v>0.237950752713269</v>
      </c>
      <c r="H172" s="255">
        <f>IF(AND(ISNUMBER(H171),ISNUMBER(G171)),IFERROR(H171/G171-1,""),"")</f>
        <v>-0.458197758496023</v>
      </c>
      <c r="I172" s="255">
        <f>IF(AND(ISNUMBER(I171),ISNUMBER(H171)),IFERROR(I171/H171-1,""),"")</f>
        <v>-1.06289816437695</v>
      </c>
      <c r="N172" s="255">
        <f>IF(AND(ISNUMBER(N171),ISNUMBER(I171)),IFERROR(N171/I171-1,""),"")</f>
        <v>-7.84433416046319</v>
      </c>
      <c r="O172" s="255">
        <f>IF(AND(ISNUMBER(O171),ISNUMBER(J171)),IFERROR(O171/J171-1,""),"")</f>
        <v>0.303001876172608</v>
      </c>
      <c r="P172" s="255">
        <f>IF(AND(ISNUMBER(P171),ISNUMBER(K171)),IFERROR(P171/K171-1,""),"")</f>
        <v>16.8047722342733</v>
      </c>
      <c r="Q172" s="255">
        <f>IF(AND(ISNUMBER(Q171),ISNUMBER(L171)),IFERROR(Q171/L171-1,""),"")</f>
        <v>9.52041300110625</v>
      </c>
      <c r="R172" s="255">
        <f>IF(AND(ISNUMBER(R171),ISNUMBER(M171)),IFERROR(R171/M171-1,""),"")</f>
        <v>-0.114087653357918</v>
      </c>
      <c r="S172" s="255">
        <f>IF(AND(ISNUMBER(S171),ISNUMBER(N171)),IFERROR(S171/N171-1,""),"")</f>
        <v>-1.88527348563845</v>
      </c>
      <c r="T172" s="255">
        <f>IF(AND(ISNUMBER(T171),ISNUMBER(O171)),IFERROR(T171/O171-1,""),"")</f>
        <v>-1.53118279569892</v>
      </c>
      <c r="U172" s="255">
        <f>IF(AND(ISNUMBER(U171),ISNUMBER(P171)),IFERROR(U171/P171-1,""),"")</f>
        <v>-1.70714952647726</v>
      </c>
      <c r="V172" s="255">
        <f>IF(AND(ISNUMBER(V171),ISNUMBER(Q171)),IFERROR(V171/Q171-1,""),"")</f>
        <v>-1.17510508124049</v>
      </c>
      <c r="W172" s="255">
        <f>IF(AND(ISNUMBER(W171),ISNUMBER(R171)),IFERROR(W171/R171-1,""),"")</f>
        <v>1.2101929391649</v>
      </c>
      <c r="X172" s="255">
        <f>IF(AND(ISNUMBER(X171),ISNUMBER(S171)),IFERROR(X171/S171-1,""),"")</f>
        <v>-3.39526083666066</v>
      </c>
      <c r="Y172" s="255">
        <f>IF(AND(ISNUMBER(Y171),ISNUMBER(T171)),IFERROR(Y171/T171-1,""),"")</f>
        <v>-9.7006237006237</v>
      </c>
      <c r="Z172" s="255">
        <f>IF(AND(ISNUMBER(Z171),ISNUMBER(U171)),IFERROR(Z171/U171-1,""),"")</f>
        <v>8.18021424070573</v>
      </c>
      <c r="AA172" s="255">
        <f>IF(AND(ISNUMBER(AA171),ISNUMBER(V171)),IFERROR(AA171/V171-1,""),"")</f>
        <v>2.14383400756884</v>
      </c>
      <c r="AB172" s="255">
        <f>IF(AND(ISNUMBER(AB171),ISNUMBER(W171)),IFERROR(AB171/W171-1,""),"")</f>
        <v>0.537954852039684</v>
      </c>
      <c r="AC172" s="255">
        <f>IF(AND(ISNUMBER(AC171),ISNUMBER(X171)),IFERROR(AC171/X171-1,""),"")</f>
        <v>2.92065214376837</v>
      </c>
      <c r="AD172" s="255">
        <f>IF(AND(ISNUMBER(AD171),ISNUMBER(Y171)),IFERROR(AD171/Y171-1,""),"")</f>
        <v>0.385384095158531</v>
      </c>
      <c r="AE172" s="255">
        <f>IF(AND(ISNUMBER(AE171),ISNUMBER(Z171)),IFERROR(AE171/Z171-1,""),"")</f>
        <v>-0.774333323846657</v>
      </c>
      <c r="AF172" s="255">
        <f>IF(AND(ISNUMBER(AF171),ISNUMBER(AA171)),IFERROR(AF171/AA171-1,""),"")</f>
        <v>-0.00263479210847639</v>
      </c>
      <c r="AG172" s="255">
        <f>IF(AND(ISNUMBER(AG171),ISNUMBER(AB171)),IFERROR(AG171/AB171-1,""),"")</f>
        <v>1.42801154227142</v>
      </c>
      <c r="AH172" s="255">
        <f>IF(AND(ISNUMBER(AH171),ISNUMBER(AC171)),IFERROR(AH171/AC171-1,""),"")</f>
        <v>0.255854420768875</v>
      </c>
      <c r="AI172" s="255">
        <f>IF(AND(ISNUMBER(AI171),ISNUMBER(AD171)),IFERROR(AI171/AD171-1,""),"")</f>
        <v>1.21385542168675</v>
      </c>
      <c r="AJ172" s="255">
        <f>IF(AND(ISNUMBER(AJ171),ISNUMBER(AE171)),IFERROR(AJ171/AE171-1,""),"")</f>
        <v>11.6571370558376</v>
      </c>
      <c r="AK172" s="255">
        <f>IF(AND(ISNUMBER(AK171),ISNUMBER(AF171)),IFERROR(AK171/AF171-1,""),"")</f>
        <v>10.1043693862275</v>
      </c>
      <c r="AL172" s="255">
        <f>IF(AND(ISNUMBER(AL171),ISNUMBER(AG171)),IFERROR(AL171/AG171-1,""),"")</f>
        <v>0.614650010324179</v>
      </c>
      <c r="AM172" s="255">
        <f>IF(AND(ISNUMBER(AM171),ISNUMBER(AH171)),IFERROR(AM171/AH171-1,""),"")</f>
        <v>2.27463831190241</v>
      </c>
      <c r="AN172" s="255">
        <f>IF(AND(ISNUMBER(AN171),ISNUMBER(AI171)),IFERROR(AN171/AI171-1,""),"")</f>
        <v>1.16858532719949</v>
      </c>
      <c r="AO172" s="255">
        <f>IF(AND(ISNUMBER(AO171),ISNUMBER(AJ171)),IFERROR(AO171/AJ171-1,""),"")</f>
        <v>0.0297332029919926</v>
      </c>
      <c r="AP172" s="255">
        <f>IF(AND(ISNUMBER(AP171),ISNUMBER(AK171)),IFERROR(AP171/AK171-1,""),"")</f>
        <v>-0.264204780073667</v>
      </c>
      <c r="AQ172" s="255">
        <f>IF(AND(ISNUMBER(AQ171),ISNUMBER(AL171)),IFERROR(AQ171/AL171-1,""),"")</f>
        <v>0.0710653622349351</v>
      </c>
      <c r="AR172" s="255">
        <f>IF(AND(ISNUMBER(AR171),ISNUMBER(AM171)),IFERROR(AR171/AM171-1,""),"")</f>
        <v>0.141271889807579</v>
      </c>
      <c r="AS172" s="255">
        <f>IF(AND(ISNUMBER(AS171),ISNUMBER(AN171)),IFERROR(AS171/AN171-1,""),"")</f>
        <v>-0.293748813729767</v>
      </c>
      <c r="AT172" s="255">
        <f>IF(AND(ISNUMBER(AT171),ISNUMBER(AO171)),IFERROR(AT171/AO171-1,""),"")</f>
        <v>0.973789129011133</v>
      </c>
      <c r="AU172" s="255">
        <f>IF(AND(ISNUMBER(AU171),ISNUMBER(AP171)),IFERROR(AU171/AP171-1,""),"")</f>
        <v>1.92037400421743</v>
      </c>
      <c r="AV172" s="255">
        <f>IF(AND(ISNUMBER(AV171),ISNUMBER(AQ171)),IFERROR(AV171/AQ171-1,""),"")</f>
        <v>1.17545171919326</v>
      </c>
      <c r="AW172" s="255">
        <f>IF(AND(ISNUMBER(AW171),ISNUMBER(AR171)),IFERROR(AW171/AR171-1,""),"")</f>
        <v>0.819127291924709</v>
      </c>
      <c r="AX172" s="255">
        <f>IF(AND(ISNUMBER(AX171),ISNUMBER(AS171)),IFERROR(AX171/AS171-1,""),"")</f>
        <v>2.15438980972044</v>
      </c>
      <c r="AY172" s="255">
        <f>IF(AND(ISNUMBER(AY171),ISNUMBER(AT171)),IFERROR(AY171/AT171-1,""),"")</f>
        <v>0.469070860461716</v>
      </c>
      <c r="AZ172" s="255">
        <f>IF(AND(ISNUMBER(AZ171),ISNUMBER(AU171)),IFERROR(AZ171/AU171-1,""),"")</f>
        <v>-0.504404433110001</v>
      </c>
      <c r="BA172" s="255">
        <f>IF(AND(ISNUMBER(BA171),ISNUMBER(AV171)),IFERROR(BA171/AV171-1,""),"")</f>
        <v>0.971715140430081</v>
      </c>
      <c r="BB172" s="255">
        <f>IF(AND(ISNUMBER(BB171),ISNUMBER(AW171)),IFERROR(BB171/AW171-1,""),"")</f>
        <v>0.548923054235756</v>
      </c>
      <c r="BC172" s="255">
        <f>IF(AND(ISNUMBER(BC171),ISNUMBER(AX171)),IFERROR(BC171/AX171-1,""),"")</f>
        <v>-1.47788432853996</v>
      </c>
      <c r="BD172" s="255">
        <f>IF(AND(ISNUMBER(BD171),ISNUMBER(AY171)),IFERROR(BD171/AY171-1,""),"")</f>
        <v>-1.26342604321519</v>
      </c>
      <c r="BE172" s="255">
        <f>IF(AND(ISNUMBER(BE171),ISNUMBER(AZ171)),IFERROR(BE171/AZ171-1,""),"")</f>
        <v>-0.0927179803510151</v>
      </c>
      <c r="BF172" s="255">
        <f>IF(AND(ISNUMBER(BF171),ISNUMBER(BA171)),IFERROR(BF171/BA171-1,""),"")</f>
        <v>-0.980568063106166</v>
      </c>
      <c r="BG172" s="255">
        <f>IF(AND(ISNUMBER(BG171),ISNUMBER(BB171)),IFERROR(BG171/BB171-1,""),"")</f>
        <v>-1.08247373648945</v>
      </c>
      <c r="BH172" s="255">
        <f>IF(AND(ISNUMBER(BH171),ISNUMBER(BC171)),IFERROR(BH171/BC171-1,""),"")</f>
        <v>-1.81186370910669</v>
      </c>
      <c r="BI172" s="255">
        <f>IF(AND(ISNUMBER(BI171),ISNUMBER(BD171)),IFERROR(BI171/BD171-1,""),"")</f>
        <v>-4.24112298620349</v>
      </c>
      <c r="BJ172" s="255">
        <f>IF(AND(ISNUMBER(BJ171),ISNUMBER(BE171)),IFERROR(BJ171/BE171-1,""),"")</f>
        <v>2.36580734433644</v>
      </c>
      <c r="BK172" s="255">
        <f>IF(AND(ISNUMBER(BK171),ISNUMBER(BF171)),IFERROR(BK171/BF171-1,""),"")</f>
        <v>36.128062978458</v>
      </c>
      <c r="BL172" s="255">
        <f>IF(AND(ISNUMBER(BL171),ISNUMBER(BG171)),IFERROR(BL171/BG171-1,""),"")</f>
        <v>-11.8546480464595</v>
      </c>
      <c r="BM172" s="255">
        <f>IF(AND(ISNUMBER(BM171),ISNUMBER(BH171)),IFERROR(BM171/BH171-1,""),"")</f>
        <v>2.18891392113042</v>
      </c>
      <c r="BN172" s="255">
        <f>IF(AND(ISNUMBER(BN171),ISNUMBER(BI171)),IFERROR(BN171/BI171-1,""),"")</f>
        <v>0.949456481135599</v>
      </c>
      <c r="BO172" s="255">
        <f>IF(AND(ISNUMBER(BO171),ISNUMBER(BJ171)),IFERROR(BO171/BJ171-1,""),"")</f>
        <v>0.525991502301274</v>
      </c>
      <c r="BP172" s="255">
        <f>IF(AND(ISNUMBER(BP171),ISNUMBER(BK171)),IFERROR(BP171/BK171-1,""),"")</f>
        <v>0.854761796233304</v>
      </c>
      <c r="BQ172" s="255">
        <f>IF(AND(ISNUMBER(BQ171),ISNUMBER(BL171)),IFERROR(BQ171/BL171-1,""),"")</f>
        <v>0.905750725217948</v>
      </c>
      <c r="BR172" s="255">
        <f>IF(AND(ISNUMBER(BR171),ISNUMBER(BM171)),IFERROR(BR171/BM171-1,""),"")</f>
        <v>0.623220783419286</v>
      </c>
      <c r="BS172" s="255">
        <f>IF(AND(ISNUMBER(BS171),ISNUMBER(BN171)),IFERROR(BS171/BN171-1,""),"")</f>
        <v>0.334762331120923</v>
      </c>
      <c r="BT172" s="255">
        <f>IF(AND(ISNUMBER(BT171),ISNUMBER(BO171)),IFERROR(BT171/BO171-1,""),"")</f>
        <v>0.368221678645095</v>
      </c>
      <c r="BU172" s="255">
        <f>IF(AND(ISNUMBER(BU171),ISNUMBER(BP171)),IFERROR(BU171/BP171-1,""),"")</f>
        <v>0.0504160421712951</v>
      </c>
      <c r="BV172" s="255">
        <f>IF(AND(ISNUMBER(BV171),ISNUMBER(BQ171)),IFERROR(BV171/BQ171-1,""),"")</f>
        <v>0.298095874500444</v>
      </c>
      <c r="BW172" s="255">
        <f>IF(AND(ISNUMBER(BW171),ISNUMBER(BR171)),IFERROR(BW171/BR171-1,""),"")</f>
        <v>0.753350364352798</v>
      </c>
      <c r="BX172" s="255">
        <f>IF(AND(ISNUMBER(BX171),ISNUMBER(BS171)),IFERROR(BX171/BS171-1,""),"")</f>
        <v>2.41828080668831</v>
      </c>
      <c r="BY172" s="256">
        <f>IF(AND(ISNUMBER(BY171),ISNUMBER(BT171)),IFERROR(BY171/BT171-1,""),"")</f>
        <v>-0.0951859199614825</v>
      </c>
      <c r="BZ172" s="256">
        <f>IF(AND(ISNUMBER(BZ171),ISNUMBER(BU171)),IFERROR(BZ171/BU171-1,""),"")</f>
        <v>0.139996321173996</v>
      </c>
      <c r="CA172" s="256">
        <f>IF(AND(ISNUMBER(CA171),ISNUMBER(BV171)),IFERROR(CA171/BV171-1,""),"")</f>
        <v>0.744168583633021</v>
      </c>
      <c r="CB172" s="256">
        <f>IF(AND(ISNUMBER(CB171),ISNUMBER(CA171)),IFERROR(CB171/CA171-1,""),"")</f>
        <v>-0.235460381487891</v>
      </c>
      <c r="CC172" s="256">
        <f>IF(AND(ISNUMBER(CC171),ISNUMBER(CB171)),IFERROR(CC171/CB171-1,""),"")</f>
        <v>0.20662541188111</v>
      </c>
      <c r="CD172" s="256">
        <f>IF(AND(ISNUMBER(CD171),ISNUMBER(CC171)),IFERROR(CD171/CC171-1,""),"")</f>
        <v>0.188860818241689</v>
      </c>
      <c r="CE172" s="256">
        <f>IF(AND(ISNUMBER(CE171),ISNUMBER(CD171)),IFERROR(CE171/CD171-1,""),"")</f>
        <v>0.188761647536694</v>
      </c>
      <c r="CF172" s="153" t="n"/>
    </row>
    <row r="173" ht="15" customHeight="1" s="251">
      <c r="B173" s="156" t="inlineStr">
        <is>
          <t xml:space="preserve">  Memo: EPS – diluted as reported ($; split-adjusted)</t>
        </is>
      </c>
      <c r="C173" s="277" t="n">
        <v>0.0225</v>
      </c>
      <c r="D173" s="277" t="n">
        <v>0.056</v>
      </c>
      <c r="E173" s="277" t="n">
        <v>0.0745</v>
      </c>
      <c r="F173" s="277" t="n">
        <v>0.102</v>
      </c>
      <c r="G173" s="277" t="n">
        <v>0.1265</v>
      </c>
      <c r="H173" s="277" t="n">
        <v>0.06850000000000001</v>
      </c>
      <c r="I173" s="277" t="n">
        <v>-0.0045</v>
      </c>
      <c r="J173" s="277" t="n">
        <v>0.008999999999999999</v>
      </c>
      <c r="K173" s="277" t="n">
        <v>-0.001</v>
      </c>
      <c r="L173" s="277" t="n">
        <v>-0.0045</v>
      </c>
      <c r="M173" s="277" t="n">
        <v>0.0255</v>
      </c>
      <c r="N173" s="277" t="n">
        <v>0.0295</v>
      </c>
      <c r="O173" s="277" t="n">
        <v>0.0115</v>
      </c>
      <c r="P173" s="277" t="n">
        <v>-0.0135</v>
      </c>
      <c r="Q173" s="277" t="n">
        <v>-0.0475</v>
      </c>
      <c r="R173" s="277" t="n">
        <v>0.0225</v>
      </c>
      <c r="S173" s="277" t="n">
        <v>-0.026</v>
      </c>
      <c r="T173" s="277" t="n">
        <v>-0.006</v>
      </c>
      <c r="U173" s="277" t="n">
        <v>0.0095</v>
      </c>
      <c r="V173" s="277" t="n">
        <v>0.008500000000000001</v>
      </c>
      <c r="W173" s="277" t="n">
        <v>0.05</v>
      </c>
      <c r="X173" s="277" t="n">
        <v>0.0625</v>
      </c>
      <c r="Y173" s="277" t="n">
        <v>0.0535</v>
      </c>
      <c r="Z173" s="277" t="n">
        <v>0.089</v>
      </c>
      <c r="AA173" s="277" t="n">
        <v>0.026</v>
      </c>
      <c r="AB173" s="277" t="n">
        <v>0.077</v>
      </c>
      <c r="AC173" s="277" t="n">
        <v>0.245</v>
      </c>
      <c r="AD173" s="277" t="n">
        <v>0.074</v>
      </c>
      <c r="AE173" s="277" t="n">
        <v>0.02</v>
      </c>
      <c r="AF173" s="277" t="n">
        <v>0.026</v>
      </c>
      <c r="AG173" s="277" t="n">
        <v>0.1875</v>
      </c>
      <c r="AH173" s="277" t="n">
        <v>0.3075</v>
      </c>
      <c r="AI173" s="277" t="n">
        <v>0.1635</v>
      </c>
      <c r="AJ173" s="277" t="n">
        <v>0.2535</v>
      </c>
      <c r="AK173" s="277" t="n">
        <v>0.2875</v>
      </c>
      <c r="AL173" s="277" t="n">
        <v>0.302</v>
      </c>
      <c r="AM173" s="277" t="n">
        <v>1.007</v>
      </c>
      <c r="AN173" s="277" t="n">
        <v>0.3545</v>
      </c>
      <c r="AO173" s="277" t="n">
        <v>0.261</v>
      </c>
      <c r="AP173" s="277" t="n">
        <v>0.2115</v>
      </c>
      <c r="AQ173" s="277" t="n">
        <v>0.3235</v>
      </c>
      <c r="AR173" s="277" t="n">
        <v>1.1505</v>
      </c>
      <c r="AS173" s="277" t="n">
        <v>0.2505</v>
      </c>
      <c r="AT173" s="277" t="n">
        <v>0.515</v>
      </c>
      <c r="AU173" s="277" t="n">
        <v>0.6185</v>
      </c>
      <c r="AV173" s="277" t="n">
        <v>0.7045</v>
      </c>
      <c r="AW173" s="277" t="n">
        <v>2.0915</v>
      </c>
      <c r="AX173" s="277" t="n">
        <v>0.7895</v>
      </c>
      <c r="AY173" s="277" t="n">
        <v>0.756</v>
      </c>
      <c r="AZ173" s="277" t="n">
        <v>0.306</v>
      </c>
      <c r="BA173" s="277" t="n">
        <v>1.3875</v>
      </c>
      <c r="BB173" s="277" t="n">
        <v>3.2405</v>
      </c>
      <c r="BC173" s="277" t="n">
        <v>-0.378</v>
      </c>
      <c r="BD173" s="277" t="n">
        <v>-0.2</v>
      </c>
      <c r="BE173" s="277" t="n">
        <v>0.28</v>
      </c>
      <c r="BF173" s="277" t="n">
        <v>0.03</v>
      </c>
      <c r="BG173" s="277" t="n">
        <v>-0.27</v>
      </c>
      <c r="BH173" s="277" t="n">
        <v>0.31</v>
      </c>
      <c r="BI173" s="277" t="n">
        <v>0.65</v>
      </c>
      <c r="BJ173" s="277" t="n">
        <v>0.9399999999999999</v>
      </c>
      <c r="BK173" s="277" t="n">
        <v>1</v>
      </c>
      <c r="BL173" s="277" t="n">
        <v>2.9</v>
      </c>
      <c r="BM173" s="277" t="n">
        <v>0.98</v>
      </c>
      <c r="BN173" s="277" t="n">
        <v>1.26</v>
      </c>
      <c r="BO173" s="277" t="n">
        <v>1.43</v>
      </c>
      <c r="BP173" s="277" t="n">
        <v>1.86</v>
      </c>
      <c r="BQ173" s="277" t="n">
        <v>5.53</v>
      </c>
      <c r="BR173" s="277" t="n">
        <v>1.59</v>
      </c>
      <c r="BS173" s="277" t="n">
        <v>1.68</v>
      </c>
      <c r="BT173" s="277" t="n">
        <v>1.95</v>
      </c>
      <c r="BU173" s="277" t="n">
        <v>1.95</v>
      </c>
      <c r="BV173" s="277" t="n">
        <v>7.17</v>
      </c>
      <c r="BW173" s="277" t="n">
        <v>2.78</v>
      </c>
      <c r="BX173" s="277" t="n">
        <v>5.75</v>
      </c>
      <c r="BY173" s="153" t="n"/>
      <c r="BZ173" s="153" t="n"/>
      <c r="CA173" s="153" t="n"/>
      <c r="CB173" s="153" t="n"/>
      <c r="CC173" s="153" t="n"/>
      <c r="CD173" s="153" t="n"/>
      <c r="CE173" s="153" t="n"/>
      <c r="CF173" s="153" t="n"/>
    </row>
    <row r="174" ht="15" customHeight="1" s="251">
      <c r="B174" s="57" t="inlineStr">
        <is>
          <t xml:space="preserve">  Check: model vs reported diluted EPS (should be 0.00; ±0.01 rounding)</t>
        </is>
      </c>
      <c r="C174" s="278">
        <f>IF(AND(ISNUMBER(C173),ISNUMBER(C171)),IF(ABS(C171-C173)&lt;=0.0101,0,ROUND(C171-C173,2)),"n/p")</f>
        <v>0</v>
      </c>
      <c r="D174" s="278">
        <f>IF(AND(ISNUMBER(D173),ISNUMBER(D171)),IF(ABS(D171-D173)&lt;=0.0101,0,ROUND(D171-D173,2)),"n/p")</f>
        <v>0</v>
      </c>
      <c r="E174" s="278">
        <f>IF(AND(ISNUMBER(E173),ISNUMBER(E171)),IF(ABS(E171-E173)&lt;=0.0101,0,ROUND(E171-E173,2)),"n/p")</f>
        <v>0</v>
      </c>
      <c r="F174" s="278">
        <f>IF(AND(ISNUMBER(F173),ISNUMBER(F171)),IF(ABS(F171-F173)&lt;=0.0101,0,ROUND(F171-F173,2)),"n/p")</f>
        <v>0</v>
      </c>
      <c r="G174" s="278">
        <f>IF(AND(ISNUMBER(G173),ISNUMBER(G171)),IF(ABS(G171-G173)&lt;=0.0101,0,ROUND(G171-G173,2)),"n/p")</f>
        <v>0</v>
      </c>
      <c r="H174" s="278">
        <f>IF(AND(ISNUMBER(H173),ISNUMBER(H171)),IF(ABS(H171-H173)&lt;=0.0101,0,ROUND(H171-H173,2)),"n/p")</f>
        <v>0</v>
      </c>
      <c r="I174" s="278">
        <f>IF(AND(ISNUMBER(I173),ISNUMBER(I171)),IF(ABS(I171-I173)&lt;=0.0101,0,ROUND(I171-I173,2)),"n/p")</f>
        <v>0</v>
      </c>
      <c r="J174" s="278">
        <f>IF(AND(ISNUMBER(J173),ISNUMBER(J171)),IF(ABS(J171-J173)&lt;=0.0101,0,ROUND(J171-J173,2)),"n/p")</f>
        <v>0</v>
      </c>
      <c r="K174" s="278">
        <f>IF(AND(ISNUMBER(K173),ISNUMBER(K171)),IF(ABS(K171-K173)&lt;=0.0101,0,ROUND(K171-K173,2)),"n/p")</f>
        <v>0</v>
      </c>
      <c r="L174" s="278">
        <f>IF(AND(ISNUMBER(L173),ISNUMBER(L171)),IF(ABS(L171-L173)&lt;=0.0101,0,ROUND(L171-L173,2)),"n/p")</f>
        <v>0</v>
      </c>
      <c r="M174" s="278">
        <f>IF(AND(ISNUMBER(M173),ISNUMBER(M171)),IF(ABS(M171-M173)&lt;=0.0101,0,ROUND(M171-M173,2)),"n/p")</f>
        <v>0</v>
      </c>
      <c r="N174" s="278">
        <f>IF(AND(ISNUMBER(N173),ISNUMBER(N171)),IF(ABS(N171-N173)&lt;=0.0101,0,ROUND(N171-N173,2)),"n/p")</f>
        <v>0</v>
      </c>
      <c r="O174" s="278">
        <f>IF(AND(ISNUMBER(O173),ISNUMBER(O171)),IF(ABS(O171-O173)&lt;=0.0101,0,ROUND(O171-O173,2)),"n/p")</f>
        <v>0</v>
      </c>
      <c r="P174" s="278">
        <f>IF(AND(ISNUMBER(P173),ISNUMBER(P171)),IF(ABS(P171-P173)&lt;=0.0101,0,ROUND(P171-P173,2)),"n/p")</f>
        <v>0</v>
      </c>
      <c r="Q174" s="278">
        <f>IF(AND(ISNUMBER(Q173),ISNUMBER(Q171)),IF(ABS(Q171-Q173)&lt;=0.0101,0,ROUND(Q171-Q173,2)),"n/p")</f>
        <v>0</v>
      </c>
      <c r="R174" s="278">
        <f>IF(AND(ISNUMBER(R173),ISNUMBER(R171)),IF(ABS(R171-R173)&lt;=0.0101,0,ROUND(R171-R173,2)),"n/p")</f>
        <v>0</v>
      </c>
      <c r="S174" s="278">
        <f>IF(AND(ISNUMBER(S173),ISNUMBER(S171)),IF(ABS(S171-S173)&lt;=0.0101,0,ROUND(S171-S173,2)),"n/p")</f>
        <v>0</v>
      </c>
      <c r="T174" s="278">
        <f>IF(AND(ISNUMBER(T173),ISNUMBER(T171)),IF(ABS(T171-T173)&lt;=0.0101,0,ROUND(T171-T173,2)),"n/p")</f>
        <v>0</v>
      </c>
      <c r="U174" s="278">
        <f>IF(AND(ISNUMBER(U173),ISNUMBER(U171)),IF(ABS(U171-U173)&lt;=0.0101,0,ROUND(U171-U173,2)),"n/p")</f>
        <v>0</v>
      </c>
      <c r="V174" s="278">
        <f>IF(AND(ISNUMBER(V173),ISNUMBER(V171)),IF(ABS(V171-V173)&lt;=0.0101,0,ROUND(V171-V173,2)),"n/p")</f>
        <v>0</v>
      </c>
      <c r="W174" s="278">
        <f>IF(AND(ISNUMBER(W173),ISNUMBER(W171)),IF(ABS(W171-W173)&lt;=0.0101,0,ROUND(W171-W173,2)),"n/p")</f>
        <v>0</v>
      </c>
      <c r="X174" s="278">
        <f>IF(AND(ISNUMBER(X173),ISNUMBER(X171)),IF(ABS(X171-X173)&lt;=0.0101,0,ROUND(X171-X173,2)),"n/p")</f>
        <v>0</v>
      </c>
      <c r="Y174" s="278">
        <f>IF(AND(ISNUMBER(Y173),ISNUMBER(Y171)),IF(ABS(Y171-Y173)&lt;=0.0101,0,ROUND(Y171-Y173,2)),"n/p")</f>
        <v>0</v>
      </c>
      <c r="Z174" s="278">
        <f>IF(AND(ISNUMBER(Z173),ISNUMBER(Z171)),IF(ABS(Z171-Z173)&lt;=0.0101,0,ROUND(Z171-Z173,2)),"n/p")</f>
        <v>0</v>
      </c>
      <c r="AA174" s="278">
        <f>IF(AND(ISNUMBER(AA173),ISNUMBER(AA171)),IF(ABS(AA171-AA173)&lt;=0.0101,0,ROUND(AA171-AA173,2)),"n/p")</f>
        <v>0</v>
      </c>
      <c r="AB174" s="278">
        <f>IF(AND(ISNUMBER(AB173),ISNUMBER(AB171)),IF(ABS(AB171-AB173)&lt;=0.0101,0,ROUND(AB171-AB173,2)),"n/p")</f>
        <v>0</v>
      </c>
      <c r="AC174" s="278">
        <f>IF(AND(ISNUMBER(AC173),ISNUMBER(AC171)),IF(ABS(AC171-AC173)&lt;=0.0101,0,ROUND(AC171-AC173,2)),"n/p")</f>
        <v>0</v>
      </c>
      <c r="AD174" s="278">
        <f>IF(AND(ISNUMBER(AD173),ISNUMBER(AD171)),IF(ABS(AD171-AD173)&lt;=0.0101,0,ROUND(AD171-AD173,2)),"n/p")</f>
        <v>0</v>
      </c>
      <c r="AE174" s="278">
        <f>IF(AND(ISNUMBER(AE173),ISNUMBER(AE171)),IF(ABS(AE171-AE173)&lt;=0.0101,0,ROUND(AE171-AE173,2)),"n/p")</f>
        <v>0</v>
      </c>
      <c r="AF174" s="278">
        <f>IF(AND(ISNUMBER(AF173),ISNUMBER(AF171)),IF(ABS(AF171-AF173)&lt;=0.0101,0,ROUND(AF171-AF173,2)),"n/p")</f>
        <v>0</v>
      </c>
      <c r="AG174" s="278">
        <f>IF(AND(ISNUMBER(AG173),ISNUMBER(AG171)),IF(ABS(AG171-AG173)&lt;=0.0101,0,ROUND(AG171-AG173,2)),"n/p")</f>
        <v>0</v>
      </c>
      <c r="AH174" s="278">
        <f>IF(AND(ISNUMBER(AH173),ISNUMBER(AH171)),IF(ABS(AH171-AH173)&lt;=0.0101,0,ROUND(AH171-AH173,2)),"n/p")</f>
        <v>0</v>
      </c>
      <c r="AI174" s="278">
        <f>IF(AND(ISNUMBER(AI173),ISNUMBER(AI171)),IF(ABS(AI171-AI173)&lt;=0.0101,0,ROUND(AI171-AI173,2)),"n/p")</f>
        <v>0</v>
      </c>
      <c r="AJ174" s="278">
        <f>IF(AND(ISNUMBER(AJ173),ISNUMBER(AJ171)),IF(ABS(AJ171-AJ173)&lt;=0.0101,0,ROUND(AJ171-AJ173,2)),"n/p")</f>
        <v>0</v>
      </c>
      <c r="AK174" s="278">
        <f>IF(AND(ISNUMBER(AK173),ISNUMBER(AK171)),IF(ABS(AK171-AK173)&lt;=0.0101,0,ROUND(AK171-AK173,2)),"n/p")</f>
        <v>0</v>
      </c>
      <c r="AL174" s="278">
        <f>IF(AND(ISNUMBER(AL173),ISNUMBER(AL171)),IF(ABS(AL171-AL173)&lt;=0.0101,0,ROUND(AL171-AL173,2)),"n/p")</f>
        <v>0</v>
      </c>
      <c r="AM174" s="278">
        <f>IF(AND(ISNUMBER(AM173),ISNUMBER(AM171)),IF(ABS(AM171-AM173)&lt;=0.0101,0,ROUND(AM171-AM173,2)),"n/p")</f>
        <v>0</v>
      </c>
      <c r="AN174" s="278">
        <f>IF(AND(ISNUMBER(AN173),ISNUMBER(AN171)),IF(ABS(AN171-AN173)&lt;=0.0101,0,ROUND(AN171-AN173,2)),"n/p")</f>
        <v>0</v>
      </c>
      <c r="AO174" s="278">
        <f>IF(AND(ISNUMBER(AO173),ISNUMBER(AO171)),IF(ABS(AO171-AO173)&lt;=0.0101,0,ROUND(AO171-AO173,2)),"n/p")</f>
        <v>0</v>
      </c>
      <c r="AP174" s="278">
        <f>IF(AND(ISNUMBER(AP173),ISNUMBER(AP171)),IF(ABS(AP171-AP173)&lt;=0.0101,0,ROUND(AP171-AP173,2)),"n/p")</f>
        <v>0</v>
      </c>
      <c r="AQ174" s="278">
        <f>IF(AND(ISNUMBER(AQ173),ISNUMBER(AQ171)),IF(ABS(AQ171-AQ173)&lt;=0.0101,0,ROUND(AQ171-AQ173,2)),"n/p")</f>
        <v>0</v>
      </c>
      <c r="AR174" s="278">
        <f>IF(AND(ISNUMBER(AR173),ISNUMBER(AR171)),IF(ABS(AR171-AR173)&lt;=0.0101,0,ROUND(AR171-AR173,2)),"n/p")</f>
        <v>0</v>
      </c>
      <c r="AS174" s="278">
        <f>IF(AND(ISNUMBER(AS173),ISNUMBER(AS171)),IF(ABS(AS171-AS173)&lt;=0.0101,0,ROUND(AS171-AS173,2)),"n/p")</f>
        <v>0</v>
      </c>
      <c r="AT174" s="278">
        <f>IF(AND(ISNUMBER(AT173),ISNUMBER(AT171)),IF(ABS(AT171-AT173)&lt;=0.0101,0,ROUND(AT171-AT173,2)),"n/p")</f>
        <v>0</v>
      </c>
      <c r="AU174" s="278">
        <f>IF(AND(ISNUMBER(AU173),ISNUMBER(AU171)),IF(ABS(AU171-AU173)&lt;=0.0101,0,ROUND(AU171-AU173,2)),"n/p")</f>
        <v>0</v>
      </c>
      <c r="AV174" s="278">
        <f>IF(AND(ISNUMBER(AV173),ISNUMBER(AV171)),IF(ABS(AV171-AV173)&lt;=0.0101,0,ROUND(AV171-AV173,2)),"n/p")</f>
        <v>0</v>
      </c>
      <c r="AW174" s="278">
        <f>IF(AND(ISNUMBER(AW173),ISNUMBER(AW171)),IF(ABS(AW171-AW173)&lt;=0.0101,0,ROUND(AW171-AW173,2)),"n/p")</f>
        <v>0</v>
      </c>
      <c r="AX174" s="278">
        <f>IF(AND(ISNUMBER(AX173),ISNUMBER(AX171)),IF(ABS(AX171-AX173)&lt;=0.0101,0,ROUND(AX171-AX173,2)),"n/p")</f>
        <v>0</v>
      </c>
      <c r="AY174" s="278">
        <f>IF(AND(ISNUMBER(AY173),ISNUMBER(AY171)),IF(ABS(AY171-AY173)&lt;=0.0101,0,ROUND(AY171-AY173,2)),"n/p")</f>
        <v>0</v>
      </c>
      <c r="AZ174" s="278">
        <f>IF(AND(ISNUMBER(AZ173),ISNUMBER(AZ171)),IF(ABS(AZ171-AZ173)&lt;=0.0101,0,ROUND(AZ171-AZ173,2)),"n/p")</f>
        <v>0</v>
      </c>
      <c r="BA174" s="278">
        <f>IF(AND(ISNUMBER(BA173),ISNUMBER(BA171)),IF(ABS(BA171-BA173)&lt;=0.0101,0,ROUND(BA171-BA173,2)),"n/p")</f>
        <v>0</v>
      </c>
      <c r="BB174" s="278">
        <f>IF(AND(ISNUMBER(BB173),ISNUMBER(BB171)),IF(ABS(BB171-BB173)&lt;=0.0101,0,ROUND(BB171-BB173,2)),"n/p")</f>
        <v>0</v>
      </c>
      <c r="BC174" s="278">
        <f>IF(AND(ISNUMBER(BC173),ISNUMBER(BC171)),IF(ABS(BC171-BC173)&lt;=0.0101,0,ROUND(BC171-BC173,2)),"n/p")</f>
        <v>0</v>
      </c>
      <c r="BD174" s="278">
        <f>IF(AND(ISNUMBER(BD173),ISNUMBER(BD171)),IF(ABS(BD171-BD173)&lt;=0.0101,0,ROUND(BD171-BD173,2)),"n/p")</f>
        <v>0</v>
      </c>
      <c r="BE174" s="278">
        <f>IF(AND(ISNUMBER(BE173),ISNUMBER(BE171)),IF(ABS(BE171-BE173)&lt;=0.0101,0,ROUND(BE171-BE173,2)),"n/p")</f>
        <v>0</v>
      </c>
      <c r="BF174" s="278">
        <f>IF(AND(ISNUMBER(BF173),ISNUMBER(BF171)),IF(ABS(BF171-BF173)&lt;=0.0101,0,ROUND(BF171-BF173,2)),"n/p")</f>
        <v>0</v>
      </c>
      <c r="BG174" s="278">
        <f>IF(AND(ISNUMBER(BG173),ISNUMBER(BG171)),IF(ABS(BG171-BG173)&lt;=0.0101,0,ROUND(BG171-BG173,2)),"n/p")</f>
        <v>0</v>
      </c>
      <c r="BH174" s="278">
        <f>IF(AND(ISNUMBER(BH173),ISNUMBER(BH171)),IF(ABS(BH171-BH173)&lt;=0.0101,0,ROUND(BH171-BH173,2)),"n/p")</f>
        <v>0</v>
      </c>
      <c r="BI174" s="278">
        <f>IF(AND(ISNUMBER(BI173),ISNUMBER(BI171)),IF(ABS(BI171-BI173)&lt;=0.0101,0,ROUND(BI171-BI173,2)),"n/p")</f>
        <v>0</v>
      </c>
      <c r="BJ174" s="278">
        <f>IF(AND(ISNUMBER(BJ173),ISNUMBER(BJ171)),IF(ABS(BJ171-BJ173)&lt;=0.0101,0,ROUND(BJ171-BJ173,2)),"n/p")</f>
        <v>0</v>
      </c>
      <c r="BK174" s="278">
        <f>IF(AND(ISNUMBER(BK173),ISNUMBER(BK171)),IF(ABS(BK171-BK173)&lt;=0.0101,0,ROUND(BK171-BK173,2)),"n/p")</f>
        <v>0</v>
      </c>
      <c r="BL174" s="278">
        <f>IF(AND(ISNUMBER(BL173),ISNUMBER(BL171)),IF(ABS(BL171-BL173)&lt;=0.0101,0,ROUND(BL171-BL173,2)),"n/p")</f>
        <v>0</v>
      </c>
      <c r="BM174" s="278">
        <f>IF(AND(ISNUMBER(BM173),ISNUMBER(BM171)),IF(ABS(BM171-BM173)&lt;=0.0101,0,ROUND(BM171-BM173,2)),"n/p")</f>
        <v>0</v>
      </c>
      <c r="BN174" s="278">
        <f>IF(AND(ISNUMBER(BN173),ISNUMBER(BN171)),IF(ABS(BN171-BN173)&lt;=0.0101,0,ROUND(BN171-BN173,2)),"n/p")</f>
        <v>0</v>
      </c>
      <c r="BO174" s="278">
        <f>IF(AND(ISNUMBER(BO173),ISNUMBER(BO171)),IF(ABS(BO171-BO173)&lt;=0.0101,0,ROUND(BO171-BO173,2)),"n/p")</f>
        <v>0</v>
      </c>
      <c r="BP174" s="278">
        <f>IF(AND(ISNUMBER(BP173),ISNUMBER(BP171)),IF(ABS(BP171-BP173)&lt;=0.0101,0,ROUND(BP171-BP173,2)),"n/p")</f>
        <v>0</v>
      </c>
      <c r="BQ174" s="278">
        <f>IF(AND(ISNUMBER(BQ173),ISNUMBER(BQ171)),IF(ABS(BQ171-BQ173)&lt;=0.0101,0,ROUND(BQ171-BQ173,2)),"n/p")</f>
        <v>0</v>
      </c>
      <c r="BR174" s="278">
        <f>IF(AND(ISNUMBER(BR173),ISNUMBER(BR171)),IF(ABS(BR171-BR173)&lt;=0.0101,0,ROUND(BR171-BR173,2)),"n/p")</f>
        <v>0</v>
      </c>
      <c r="BS174" s="278">
        <f>IF(AND(ISNUMBER(BS173),ISNUMBER(BS171)),IF(ABS(BS171-BS173)&lt;=0.0101,0,ROUND(BS171-BS173,2)),"n/p")</f>
        <v>0</v>
      </c>
      <c r="BT174" s="278">
        <f>IF(AND(ISNUMBER(BT173),ISNUMBER(BT171)),IF(ABS(BT171-BT173)&lt;=0.0101,0,ROUND(BT171-BT173,2)),"n/p")</f>
        <v>0</v>
      </c>
      <c r="BU174" s="278">
        <f>IF(AND(ISNUMBER(BU173),ISNUMBER(BU171)),IF(ABS(BU171-BU173)&lt;=0.0101,0,ROUND(BU171-BU173,2)),"n/p")</f>
        <v>0</v>
      </c>
      <c r="BV174" s="278">
        <f>IF(AND(ISNUMBER(BV173),ISNUMBER(BV171)),IF(ABS(BV171-BV173)&lt;=0.0101,0,ROUND(BV171-BV173,2)),"n/p")</f>
        <v>0</v>
      </c>
      <c r="BW174" s="278">
        <f>IF(AND(ISNUMBER(BW173),ISNUMBER(BW171)),IF(ABS(BW171-BW173)&lt;=0.0101,0,ROUND(BW171-BW173,2)),"n/p")</f>
        <v>0</v>
      </c>
      <c r="BX174" s="278">
        <f>IF(AND(ISNUMBER(BX173),ISNUMBER(BX171)),IF(ABS(BX171-BX173)&lt;=0.0101,0,ROUND(BX171-BX173,2)),"n/p")</f>
        <v>0</v>
      </c>
      <c r="BY174" s="153" t="n"/>
      <c r="BZ174" s="153" t="n"/>
      <c r="CA174" s="153" t="n"/>
      <c r="CB174" s="153" t="n"/>
      <c r="CC174" s="153" t="n"/>
      <c r="CD174" s="153" t="n"/>
      <c r="CE174" s="153" t="n"/>
      <c r="CF174" s="153" t="n"/>
    </row>
    <row r="175" ht="15" customHeight="1" s="251">
      <c r="B175" s="25" t="inlineStr">
        <is>
          <t xml:space="preserve">  Cash dividends per share ($) — Amazon pays no dividend</t>
        </is>
      </c>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c r="V175" s="34" t="n"/>
      <c r="W175" s="34" t="n"/>
      <c r="X175" s="34" t="n"/>
      <c r="Y175" s="34" t="n"/>
      <c r="Z175" s="34" t="n"/>
      <c r="AA175" s="34" t="n"/>
      <c r="AB175" s="34" t="n"/>
      <c r="AC175" s="34" t="n"/>
      <c r="AD175" s="34" t="n"/>
      <c r="AE175" s="34" t="n"/>
      <c r="AF175" s="34" t="n"/>
      <c r="AG175" s="34" t="n"/>
      <c r="AH175" s="34" t="n"/>
      <c r="AI175" s="34" t="n"/>
      <c r="AJ175" s="34" t="n"/>
      <c r="AK175" s="34" t="n"/>
      <c r="AL175" s="34" t="n"/>
      <c r="AM175" s="34" t="n"/>
      <c r="AN175" s="34" t="n"/>
      <c r="AO175" s="34" t="n"/>
      <c r="AP175" s="34" t="n"/>
      <c r="AQ175" s="34" t="n"/>
      <c r="AR175" s="34" t="n"/>
      <c r="AS175" s="34" t="n"/>
      <c r="AT175" s="34" t="n"/>
      <c r="AU175" s="34" t="n"/>
      <c r="AV175" s="34" t="n"/>
      <c r="AW175" s="34" t="n"/>
      <c r="AX175" s="34" t="n"/>
      <c r="AY175" s="34" t="n"/>
      <c r="AZ175" s="34" t="n"/>
      <c r="BA175" s="34" t="n"/>
      <c r="BB175" s="34" t="n"/>
      <c r="BC175" s="34" t="n"/>
      <c r="BD175" s="34" t="n"/>
      <c r="BE175" s="34" t="n"/>
      <c r="BF175" s="34" t="n"/>
      <c r="BG175" s="34" t="n"/>
      <c r="BH175" s="34" t="n"/>
      <c r="BI175" s="34" t="n"/>
      <c r="BJ175" s="34" t="n"/>
      <c r="BK175" s="34" t="n"/>
      <c r="BL175" s="34" t="n"/>
      <c r="BM175" s="34" t="n"/>
      <c r="BN175" s="34" t="n"/>
      <c r="BO175" s="34" t="n"/>
      <c r="BP175" s="34" t="n"/>
      <c r="BQ175" s="34" t="n"/>
      <c r="BR175" s="34" t="n"/>
      <c r="BS175" s="34" t="n"/>
      <c r="BT175" s="34" t="n"/>
      <c r="BU175" s="34" t="n"/>
      <c r="BV175" s="34" t="n"/>
      <c r="BW175" s="34" t="n"/>
      <c r="BX175" s="34" t="n"/>
      <c r="BY175" s="279">
        <f>0</f>
        <v>0</v>
      </c>
      <c r="BZ175" s="279">
        <f>0</f>
        <v>0</v>
      </c>
      <c r="CA175" s="279">
        <f>0</f>
        <v>0</v>
      </c>
      <c r="CB175" s="279">
        <f>0</f>
        <v>0</v>
      </c>
      <c r="CC175" s="279">
        <f>0</f>
        <v>0</v>
      </c>
      <c r="CD175" s="279">
        <f>0</f>
        <v>0</v>
      </c>
      <c r="CE175" s="279">
        <f>0</f>
        <v>0</v>
      </c>
      <c r="CF175" s="19" t="n"/>
    </row>
    <row r="176" ht="15" customHeight="1" s="251">
      <c r="CN176" s="11" t="n"/>
      <c r="CO176" s="12" t="n"/>
      <c r="CP176" s="12" t="n"/>
      <c r="CQ176" s="12" t="n"/>
      <c r="CR176" s="13" t="n"/>
    </row>
    <row r="177" ht="15" customHeight="1" s="251">
      <c r="B177" s="10" t="inlineStr">
        <is>
          <t>RECONCILIATION: OPERATING INCOME → ADJUSTED OPERATING INCOME (model definition; items Amazon quantified)</t>
        </is>
      </c>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0" t="n"/>
      <c r="AZ177" s="10" t="n"/>
      <c r="BA177" s="10" t="n"/>
      <c r="BB177" s="10" t="n"/>
      <c r="BC177" s="10" t="n"/>
      <c r="BD177" s="10" t="n"/>
      <c r="BE177" s="10" t="n"/>
      <c r="BF177" s="10" t="n"/>
      <c r="BG177" s="10" t="n"/>
      <c r="BH177" s="10" t="n"/>
      <c r="BI177" s="10" t="n"/>
      <c r="BJ177" s="10" t="n"/>
      <c r="BK177" s="10" t="n"/>
      <c r="BL177" s="10" t="n"/>
      <c r="BM177" s="10" t="n"/>
      <c r="BN177" s="10" t="n"/>
      <c r="BO177" s="10" t="n"/>
      <c r="BP177" s="10" t="n"/>
      <c r="BQ177" s="10" t="n"/>
      <c r="BR177" s="10" t="n"/>
      <c r="BS177" s="10" t="n"/>
      <c r="BT177" s="10" t="n"/>
      <c r="BU177" s="10" t="n"/>
      <c r="BV177" s="10" t="n"/>
      <c r="BW177" s="10" t="n"/>
      <c r="BX177" s="10" t="n"/>
      <c r="BY177" s="10" t="n"/>
      <c r="BZ177" s="10" t="n"/>
      <c r="CA177" s="10" t="n"/>
      <c r="CB177" s="10" t="n"/>
      <c r="CC177" s="10" t="n"/>
      <c r="CD177" s="10" t="n"/>
      <c r="CE177" s="10" t="n"/>
      <c r="CF177" s="10" t="inlineStr">
        <is>
          <t>ADJUSTED OI — Amazon publishes no adjusted operating income; the model adds back only the special charges Amazon quantified in its release text and the energy-contract remeasurements quantified in the 10-Q</t>
        </is>
      </c>
    </row>
    <row r="178" ht="15" customHeight="1" s="251">
      <c r="B178" s="16" t="inlineStr">
        <is>
          <t>Operating income (GAAP)</t>
        </is>
      </c>
      <c r="C178" s="275">
        <f>C154</f>
        <v>389</v>
      </c>
      <c r="D178" s="275">
        <f>D154</f>
        <v>655</v>
      </c>
      <c r="E178" s="275">
        <f>E154</f>
        <v>842</v>
      </c>
      <c r="F178" s="275">
        <f>F154</f>
        <v>1129</v>
      </c>
      <c r="G178" s="275">
        <f>G154</f>
        <v>1406</v>
      </c>
      <c r="H178" s="275">
        <f>H154</f>
        <v>862</v>
      </c>
      <c r="I178" s="275">
        <f>I154</f>
        <v>676</v>
      </c>
      <c r="J178" s="275">
        <f>J154</f>
        <v>181</v>
      </c>
      <c r="K178" s="275">
        <f>K154</f>
        <v>79</v>
      </c>
      <c r="L178" s="275">
        <f>L154</f>
        <v>-25</v>
      </c>
      <c r="M178" s="275">
        <f>M154</f>
        <v>510</v>
      </c>
      <c r="N178" s="275">
        <f>N154</f>
        <v>745</v>
      </c>
      <c r="O178" s="275">
        <f>O154</f>
        <v>146</v>
      </c>
      <c r="P178" s="275">
        <f>P154</f>
        <v>-15</v>
      </c>
      <c r="Q178" s="275">
        <f>Q154</f>
        <v>-544</v>
      </c>
      <c r="R178" s="275">
        <f>R154</f>
        <v>591</v>
      </c>
      <c r="S178" s="275">
        <f>S154</f>
        <v>178</v>
      </c>
      <c r="T178" s="275">
        <f>T154</f>
        <v>255</v>
      </c>
      <c r="U178" s="275">
        <f>U154</f>
        <v>464</v>
      </c>
      <c r="V178" s="275">
        <f>V154</f>
        <v>406</v>
      </c>
      <c r="W178" s="275">
        <f>W154</f>
        <v>1108</v>
      </c>
      <c r="X178" s="275">
        <f>X154</f>
        <v>2233</v>
      </c>
      <c r="Y178" s="275">
        <f>Y154</f>
        <v>1071</v>
      </c>
      <c r="Z178" s="275">
        <f>Z154</f>
        <v>1285</v>
      </c>
      <c r="AA178" s="275">
        <f>AA154</f>
        <v>575</v>
      </c>
      <c r="AB178" s="275">
        <f>AB154</f>
        <v>1255</v>
      </c>
      <c r="AC178" s="275">
        <f>AC154</f>
        <v>4186</v>
      </c>
      <c r="AD178" s="275">
        <f>AD154</f>
        <v>1005</v>
      </c>
      <c r="AE178" s="275">
        <f>AE154</f>
        <v>628</v>
      </c>
      <c r="AF178" s="275">
        <f>AF154</f>
        <v>347</v>
      </c>
      <c r="AG178" s="275">
        <f>AG154</f>
        <v>2127</v>
      </c>
      <c r="AH178" s="275">
        <f>AH154</f>
        <v>4106</v>
      </c>
      <c r="AI178" s="275">
        <f>AI154</f>
        <v>1927</v>
      </c>
      <c r="AJ178" s="275">
        <f>AJ154</f>
        <v>2983</v>
      </c>
      <c r="AK178" s="275">
        <f>AK154</f>
        <v>3724</v>
      </c>
      <c r="AL178" s="275">
        <f>AL154</f>
        <v>3786</v>
      </c>
      <c r="AM178" s="275">
        <f>AM154</f>
        <v>12421</v>
      </c>
      <c r="AN178" s="275">
        <f>AN154</f>
        <v>4420</v>
      </c>
      <c r="AO178" s="275">
        <f>AO154</f>
        <v>3084</v>
      </c>
      <c r="AP178" s="275">
        <f>AP154</f>
        <v>3157</v>
      </c>
      <c r="AQ178" s="275">
        <f>AQ154</f>
        <v>3879</v>
      </c>
      <c r="AR178" s="275">
        <f>AR154</f>
        <v>14541</v>
      </c>
      <c r="AS178" s="275">
        <f>AS154</f>
        <v>3989</v>
      </c>
      <c r="AT178" s="275">
        <f>AT154</f>
        <v>5843</v>
      </c>
      <c r="AU178" s="275">
        <f>AU154</f>
        <v>6194</v>
      </c>
      <c r="AV178" s="275">
        <f>AV154</f>
        <v>6873</v>
      </c>
      <c r="AW178" s="275">
        <f>AW154</f>
        <v>22899</v>
      </c>
      <c r="AX178" s="275">
        <f>AX154</f>
        <v>8865</v>
      </c>
      <c r="AY178" s="275">
        <f>AY154</f>
        <v>7702</v>
      </c>
      <c r="AZ178" s="275">
        <f>AZ154</f>
        <v>4852</v>
      </c>
      <c r="BA178" s="275">
        <f>BA154</f>
        <v>3460</v>
      </c>
      <c r="BB178" s="275">
        <f>BB154</f>
        <v>24879</v>
      </c>
      <c r="BC178" s="275">
        <f>BC154</f>
        <v>3669</v>
      </c>
      <c r="BD178" s="275">
        <f>BD154</f>
        <v>3317</v>
      </c>
      <c r="BE178" s="275">
        <f>BE154</f>
        <v>2525</v>
      </c>
      <c r="BF178" s="275">
        <f>BF154</f>
        <v>2737</v>
      </c>
      <c r="BG178" s="275">
        <f>BG154</f>
        <v>12248</v>
      </c>
      <c r="BH178" s="275">
        <f>BH154</f>
        <v>4774</v>
      </c>
      <c r="BI178" s="275">
        <f>BI154</f>
        <v>7681</v>
      </c>
      <c r="BJ178" s="275">
        <f>BJ154</f>
        <v>11188</v>
      </c>
      <c r="BK178" s="275">
        <f>BK154</f>
        <v>13209</v>
      </c>
      <c r="BL178" s="275">
        <f>BL154</f>
        <v>36852</v>
      </c>
      <c r="BM178" s="275">
        <f>BM154</f>
        <v>15307</v>
      </c>
      <c r="BN178" s="275">
        <f>BN154</f>
        <v>14672</v>
      </c>
      <c r="BO178" s="275">
        <f>BO154</f>
        <v>17411</v>
      </c>
      <c r="BP178" s="275">
        <f>BP154</f>
        <v>21203</v>
      </c>
      <c r="BQ178" s="275">
        <f>BQ154</f>
        <v>68593</v>
      </c>
      <c r="BR178" s="275">
        <f>BR154</f>
        <v>18405</v>
      </c>
      <c r="BS178" s="275">
        <f>BS154</f>
        <v>19171</v>
      </c>
      <c r="BT178" s="275">
        <f>BT154</f>
        <v>17422</v>
      </c>
      <c r="BU178" s="275">
        <f>BU154</f>
        <v>24977</v>
      </c>
      <c r="BV178" s="275">
        <f>BV154</f>
        <v>79975</v>
      </c>
      <c r="BW178" s="275">
        <f>BW154</f>
        <v>23852</v>
      </c>
      <c r="BX178" s="275">
        <f>BX154</f>
        <v>27461</v>
      </c>
      <c r="BY178" s="265">
        <f>BY154</f>
        <v>24500</v>
      </c>
      <c r="BZ178" s="265">
        <f>BZ154</f>
        <v>30940.6060133102</v>
      </c>
      <c r="CA178" s="265">
        <f>CA154</f>
        <v>106753.60601331</v>
      </c>
      <c r="CB178" s="265">
        <f>CB154</f>
        <v>133285.411379273</v>
      </c>
      <c r="CC178" s="265">
        <f>CC154</f>
        <v>160376.095923195</v>
      </c>
      <c r="CD178" s="265">
        <f>CD154</f>
        <v>188437.124716498</v>
      </c>
      <c r="CE178" s="265">
        <f>CE154</f>
        <v>219090.509680543</v>
      </c>
      <c r="CF178" s="153" t="n"/>
    </row>
    <row r="179" ht="15" customHeight="1" s="251">
      <c r="B179" s="25" t="inlineStr">
        <is>
          <t xml:space="preserve">  (+) Special charges quantified by Amazon</t>
        </is>
      </c>
      <c r="C179" s="211">
        <f>C140</f>
        <v>0</v>
      </c>
      <c r="D179" s="211">
        <f>D140</f>
        <v>0</v>
      </c>
      <c r="E179" s="211">
        <f>E140</f>
        <v>0</v>
      </c>
      <c r="F179" s="211">
        <f>F140</f>
        <v>0</v>
      </c>
      <c r="G179" s="211">
        <f>G140</f>
        <v>0</v>
      </c>
      <c r="H179" s="211">
        <f>H140</f>
        <v>0</v>
      </c>
      <c r="I179" s="211">
        <f>I140</f>
        <v>0</v>
      </c>
      <c r="J179" s="211">
        <f>J140</f>
        <v>0</v>
      </c>
      <c r="K179" s="211">
        <f>K140</f>
        <v>0</v>
      </c>
      <c r="L179" s="211">
        <f>L140</f>
        <v>0</v>
      </c>
      <c r="M179" s="211">
        <f>M140</f>
        <v>0</v>
      </c>
      <c r="N179" s="211">
        <f>N140</f>
        <v>0</v>
      </c>
      <c r="O179" s="211">
        <f>O140</f>
        <v>0</v>
      </c>
      <c r="P179" s="211">
        <f>P140</f>
        <v>0</v>
      </c>
      <c r="Q179" s="211">
        <f>Q140</f>
        <v>0</v>
      </c>
      <c r="R179" s="211">
        <f>R140</f>
        <v>0</v>
      </c>
      <c r="S179" s="211">
        <f>S140</f>
        <v>0</v>
      </c>
      <c r="T179" s="211">
        <f>T140</f>
        <v>0</v>
      </c>
      <c r="U179" s="211">
        <f>U140</f>
        <v>0</v>
      </c>
      <c r="V179" s="211">
        <f>V140</f>
        <v>0</v>
      </c>
      <c r="W179" s="211">
        <f>W140</f>
        <v>0</v>
      </c>
      <c r="X179" s="211">
        <f>X140</f>
        <v>0</v>
      </c>
      <c r="Y179" s="211">
        <f>Y140</f>
        <v>0</v>
      </c>
      <c r="Z179" s="211">
        <f>Z140</f>
        <v>0</v>
      </c>
      <c r="AA179" s="211">
        <f>AA140</f>
        <v>0</v>
      </c>
      <c r="AB179" s="211">
        <f>AB140</f>
        <v>0</v>
      </c>
      <c r="AC179" s="211">
        <f>AC140</f>
        <v>0</v>
      </c>
      <c r="AD179" s="211">
        <f>AD140</f>
        <v>0</v>
      </c>
      <c r="AE179" s="211">
        <f>AE140</f>
        <v>0</v>
      </c>
      <c r="AF179" s="211">
        <f>AF140</f>
        <v>0</v>
      </c>
      <c r="AG179" s="211">
        <f>AG140</f>
        <v>0</v>
      </c>
      <c r="AH179" s="211">
        <f>AH140</f>
        <v>0</v>
      </c>
      <c r="AI179" s="211">
        <f>AI140</f>
        <v>0</v>
      </c>
      <c r="AJ179" s="211">
        <f>AJ140</f>
        <v>0</v>
      </c>
      <c r="AK179" s="211">
        <f>AK140</f>
        <v>0</v>
      </c>
      <c r="AL179" s="211">
        <f>AL140</f>
        <v>0</v>
      </c>
      <c r="AM179" s="211">
        <f>AM140</f>
        <v>0</v>
      </c>
      <c r="AN179" s="211">
        <f>AN140</f>
        <v>0</v>
      </c>
      <c r="AO179" s="211">
        <f>AO140</f>
        <v>0</v>
      </c>
      <c r="AP179" s="211">
        <f>AP140</f>
        <v>0</v>
      </c>
      <c r="AQ179" s="211">
        <f>AQ140</f>
        <v>0</v>
      </c>
      <c r="AR179" s="211">
        <f>AR140</f>
        <v>0</v>
      </c>
      <c r="AS179" s="211">
        <f>AS140</f>
        <v>0</v>
      </c>
      <c r="AT179" s="211">
        <f>AT140</f>
        <v>0</v>
      </c>
      <c r="AU179" s="211">
        <f>AU140</f>
        <v>0</v>
      </c>
      <c r="AV179" s="211">
        <f>AV140</f>
        <v>0</v>
      </c>
      <c r="AW179" s="211">
        <f>AW140</f>
        <v>0</v>
      </c>
      <c r="AX179" s="211">
        <f>AX140</f>
        <v>0</v>
      </c>
      <c r="AY179" s="211">
        <f>AY140</f>
        <v>0</v>
      </c>
      <c r="AZ179" s="211">
        <f>AZ140</f>
        <v>0</v>
      </c>
      <c r="BA179" s="211">
        <f>BA140</f>
        <v>0</v>
      </c>
      <c r="BB179" s="211">
        <f>BB140</f>
        <v>0</v>
      </c>
      <c r="BC179" s="211">
        <f>BC140</f>
        <v>0</v>
      </c>
      <c r="BD179" s="211">
        <f>BD140</f>
        <v>0</v>
      </c>
      <c r="BE179" s="211">
        <f>BE140</f>
        <v>0</v>
      </c>
      <c r="BF179" s="211">
        <f>BF140</f>
        <v>2700</v>
      </c>
      <c r="BG179" s="211">
        <f>BG140</f>
        <v>2700</v>
      </c>
      <c r="BH179" s="211">
        <f>BH140</f>
        <v>500</v>
      </c>
      <c r="BI179" s="211">
        <f>BI140</f>
        <v>0</v>
      </c>
      <c r="BJ179" s="211">
        <f>BJ140</f>
        <v>0</v>
      </c>
      <c r="BK179" s="211">
        <f>BK140</f>
        <v>0</v>
      </c>
      <c r="BL179" s="211">
        <f>BL140</f>
        <v>500</v>
      </c>
      <c r="BM179" s="211">
        <f>BM140</f>
        <v>0</v>
      </c>
      <c r="BN179" s="211">
        <f>BN140</f>
        <v>0</v>
      </c>
      <c r="BO179" s="211">
        <f>BO140</f>
        <v>0</v>
      </c>
      <c r="BP179" s="211">
        <f>BP140</f>
        <v>0</v>
      </c>
      <c r="BQ179" s="211">
        <f>BQ140</f>
        <v>0</v>
      </c>
      <c r="BR179" s="211">
        <f>BR140</f>
        <v>0</v>
      </c>
      <c r="BS179" s="211">
        <f>BS140</f>
        <v>0</v>
      </c>
      <c r="BT179" s="211">
        <f>BT140</f>
        <v>4300</v>
      </c>
      <c r="BU179" s="211">
        <f>BU140</f>
        <v>2440</v>
      </c>
      <c r="BV179" s="211">
        <f>BV140</f>
        <v>6740</v>
      </c>
      <c r="BW179" s="211">
        <f>BW140</f>
        <v>0</v>
      </c>
      <c r="BX179" s="211">
        <f>BX140</f>
        <v>0</v>
      </c>
      <c r="BY179" s="254">
        <f>BY140</f>
        <v>0</v>
      </c>
      <c r="BZ179" s="254">
        <f>BZ140</f>
        <v>0</v>
      </c>
      <c r="CA179" s="254">
        <f>CA140</f>
        <v>0</v>
      </c>
      <c r="CB179" s="254">
        <f>CB140</f>
        <v>0</v>
      </c>
      <c r="CC179" s="254">
        <f>CC140</f>
        <v>0</v>
      </c>
      <c r="CD179" s="254">
        <f>CD140</f>
        <v>0</v>
      </c>
      <c r="CE179" s="254">
        <f>CE140</f>
        <v>0</v>
      </c>
      <c r="CF179" s="19" t="n"/>
    </row>
    <row r="180" ht="15" customHeight="1" s="251">
      <c r="B180" s="25" t="inlineStr">
        <is>
          <t xml:space="preserve">  (+) Energy-contract derivative remeasurement (gain −)</t>
        </is>
      </c>
      <c r="C180" s="211">
        <f>C141</f>
        <v>0</v>
      </c>
      <c r="D180" s="211">
        <f>D141</f>
        <v>0</v>
      </c>
      <c r="E180" s="211">
        <f>E141</f>
        <v>0</v>
      </c>
      <c r="F180" s="211">
        <f>F141</f>
        <v>0</v>
      </c>
      <c r="G180" s="211">
        <f>G141</f>
        <v>0</v>
      </c>
      <c r="H180" s="211">
        <f>H141</f>
        <v>0</v>
      </c>
      <c r="I180" s="211">
        <f>I141</f>
        <v>0</v>
      </c>
      <c r="J180" s="211">
        <f>J141</f>
        <v>0</v>
      </c>
      <c r="K180" s="211">
        <f>K141</f>
        <v>0</v>
      </c>
      <c r="L180" s="211">
        <f>L141</f>
        <v>0</v>
      </c>
      <c r="M180" s="211">
        <f>M141</f>
        <v>0</v>
      </c>
      <c r="N180" s="211">
        <f>N141</f>
        <v>0</v>
      </c>
      <c r="O180" s="211">
        <f>O141</f>
        <v>0</v>
      </c>
      <c r="P180" s="211">
        <f>P141</f>
        <v>0</v>
      </c>
      <c r="Q180" s="211">
        <f>Q141</f>
        <v>0</v>
      </c>
      <c r="R180" s="211">
        <f>R141</f>
        <v>0</v>
      </c>
      <c r="S180" s="211">
        <f>S141</f>
        <v>0</v>
      </c>
      <c r="T180" s="211">
        <f>T141</f>
        <v>0</v>
      </c>
      <c r="U180" s="211">
        <f>U141</f>
        <v>0</v>
      </c>
      <c r="V180" s="211">
        <f>V141</f>
        <v>0</v>
      </c>
      <c r="W180" s="211">
        <f>W141</f>
        <v>0</v>
      </c>
      <c r="X180" s="211">
        <f>X141</f>
        <v>0</v>
      </c>
      <c r="Y180" s="211">
        <f>Y141</f>
        <v>0</v>
      </c>
      <c r="Z180" s="211">
        <f>Z141</f>
        <v>0</v>
      </c>
      <c r="AA180" s="211">
        <f>AA141</f>
        <v>0</v>
      </c>
      <c r="AB180" s="211">
        <f>AB141</f>
        <v>0</v>
      </c>
      <c r="AC180" s="211">
        <f>AC141</f>
        <v>0</v>
      </c>
      <c r="AD180" s="211">
        <f>AD141</f>
        <v>0</v>
      </c>
      <c r="AE180" s="211">
        <f>AE141</f>
        <v>0</v>
      </c>
      <c r="AF180" s="211">
        <f>AF141</f>
        <v>0</v>
      </c>
      <c r="AG180" s="211">
        <f>AG141</f>
        <v>0</v>
      </c>
      <c r="AH180" s="211">
        <f>AH141</f>
        <v>0</v>
      </c>
      <c r="AI180" s="211">
        <f>AI141</f>
        <v>0</v>
      </c>
      <c r="AJ180" s="211">
        <f>AJ141</f>
        <v>0</v>
      </c>
      <c r="AK180" s="211">
        <f>AK141</f>
        <v>0</v>
      </c>
      <c r="AL180" s="211">
        <f>AL141</f>
        <v>0</v>
      </c>
      <c r="AM180" s="211">
        <f>AM141</f>
        <v>0</v>
      </c>
      <c r="AN180" s="211">
        <f>AN141</f>
        <v>0</v>
      </c>
      <c r="AO180" s="211">
        <f>AO141</f>
        <v>0</v>
      </c>
      <c r="AP180" s="211">
        <f>AP141</f>
        <v>0</v>
      </c>
      <c r="AQ180" s="211">
        <f>AQ141</f>
        <v>0</v>
      </c>
      <c r="AR180" s="211">
        <f>AR141</f>
        <v>0</v>
      </c>
      <c r="AS180" s="211">
        <f>AS141</f>
        <v>0</v>
      </c>
      <c r="AT180" s="211">
        <f>AT141</f>
        <v>0</v>
      </c>
      <c r="AU180" s="211">
        <f>AU141</f>
        <v>0</v>
      </c>
      <c r="AV180" s="211">
        <f>AV141</f>
        <v>0</v>
      </c>
      <c r="AW180" s="211">
        <f>AW141</f>
        <v>0</v>
      </c>
      <c r="AX180" s="211">
        <f>AX141</f>
        <v>0</v>
      </c>
      <c r="AY180" s="211">
        <f>AY141</f>
        <v>0</v>
      </c>
      <c r="AZ180" s="211">
        <f>AZ141</f>
        <v>0</v>
      </c>
      <c r="BA180" s="211">
        <f>BA141</f>
        <v>0</v>
      </c>
      <c r="BB180" s="211">
        <f>BB141</f>
        <v>0</v>
      </c>
      <c r="BC180" s="211">
        <f>BC141</f>
        <v>0</v>
      </c>
      <c r="BD180" s="211">
        <f>BD141</f>
        <v>0</v>
      </c>
      <c r="BE180" s="211">
        <f>BE141</f>
        <v>0</v>
      </c>
      <c r="BF180" s="211">
        <f>BF141</f>
        <v>0</v>
      </c>
      <c r="BG180" s="211">
        <f>BG141</f>
        <v>0</v>
      </c>
      <c r="BH180" s="211">
        <f>BH141</f>
        <v>0</v>
      </c>
      <c r="BI180" s="211">
        <f>BI141</f>
        <v>0</v>
      </c>
      <c r="BJ180" s="211">
        <f>BJ141</f>
        <v>0</v>
      </c>
      <c r="BK180" s="211">
        <f>BK141</f>
        <v>0</v>
      </c>
      <c r="BL180" s="211">
        <f>BL141</f>
        <v>0</v>
      </c>
      <c r="BM180" s="211">
        <f>BM141</f>
        <v>0</v>
      </c>
      <c r="BN180" s="211">
        <f>BN141</f>
        <v>0</v>
      </c>
      <c r="BO180" s="211">
        <f>BO141</f>
        <v>0</v>
      </c>
      <c r="BP180" s="211">
        <f>BP141</f>
        <v>0</v>
      </c>
      <c r="BQ180" s="211">
        <f>BQ141</f>
        <v>0</v>
      </c>
      <c r="BR180" s="211">
        <f>BR141</f>
        <v>0</v>
      </c>
      <c r="BS180" s="211">
        <f>BS141</f>
        <v>0</v>
      </c>
      <c r="BT180" s="211">
        <f>BT141</f>
        <v>0</v>
      </c>
      <c r="BU180" s="211">
        <f>BU141</f>
        <v>0</v>
      </c>
      <c r="BV180" s="211">
        <f>BV141</f>
        <v>0</v>
      </c>
      <c r="BW180" s="211">
        <f>BW141</f>
        <v>-48</v>
      </c>
      <c r="BX180" s="211">
        <f>BX141</f>
        <v>-551</v>
      </c>
      <c r="BY180" s="254">
        <f>BY141</f>
        <v>0</v>
      </c>
      <c r="BZ180" s="254">
        <f>BZ141</f>
        <v>0</v>
      </c>
      <c r="CA180" s="254">
        <f>CA141</f>
        <v>-599</v>
      </c>
      <c r="CB180" s="254">
        <f>CB141</f>
        <v>0</v>
      </c>
      <c r="CC180" s="254">
        <f>CC141</f>
        <v>0</v>
      </c>
      <c r="CD180" s="254">
        <f>CD141</f>
        <v>0</v>
      </c>
      <c r="CE180" s="254">
        <f>CE141</f>
        <v>0</v>
      </c>
      <c r="CF180" s="19" t="n"/>
    </row>
    <row r="181" ht="15" customHeight="1" s="251">
      <c r="B181" s="16" t="inlineStr">
        <is>
          <t xml:space="preserve">  Total special items (pre-tax)</t>
        </is>
      </c>
      <c r="C181" s="275">
        <f>IF(ISNUMBER(C179),C179+C180,"")</f>
        <v>0</v>
      </c>
      <c r="D181" s="275">
        <f>IF(ISNUMBER(D179),D179+D180,"")</f>
        <v>0</v>
      </c>
      <c r="E181" s="275">
        <f>IF(ISNUMBER(E179),E179+E180,"")</f>
        <v>0</v>
      </c>
      <c r="F181" s="275">
        <f>IF(ISNUMBER(F179),F179+F180,"")</f>
        <v>0</v>
      </c>
      <c r="G181" s="275">
        <f>IF(ISNUMBER(G179),G179+G180,"")</f>
        <v>0</v>
      </c>
      <c r="H181" s="275">
        <f>IF(ISNUMBER(H179),H179+H180,"")</f>
        <v>0</v>
      </c>
      <c r="I181" s="275">
        <f>IF(ISNUMBER(I179),I179+I180,"")</f>
        <v>0</v>
      </c>
      <c r="J181" s="275">
        <f>IF(ISNUMBER(J179),J179+J180,"")</f>
        <v>0</v>
      </c>
      <c r="K181" s="275">
        <f>IF(ISNUMBER(K179),K179+K180,"")</f>
        <v>0</v>
      </c>
      <c r="L181" s="275">
        <f>IF(ISNUMBER(L179),L179+L180,"")</f>
        <v>0</v>
      </c>
      <c r="M181" s="275">
        <f>IF(ISNUMBER(M179),M179+M180,"")</f>
        <v>0</v>
      </c>
      <c r="N181" s="275">
        <f>IF(ISNUMBER(N179),N179+N180,"")</f>
        <v>0</v>
      </c>
      <c r="O181" s="275">
        <f>IF(ISNUMBER(O179),O179+O180,"")</f>
        <v>0</v>
      </c>
      <c r="P181" s="275">
        <f>IF(ISNUMBER(P179),P179+P180,"")</f>
        <v>0</v>
      </c>
      <c r="Q181" s="275">
        <f>IF(ISNUMBER(Q179),Q179+Q180,"")</f>
        <v>0</v>
      </c>
      <c r="R181" s="275">
        <f>IF(ISNUMBER(R179),R179+R180,"")</f>
        <v>0</v>
      </c>
      <c r="S181" s="275">
        <f>IF(ISNUMBER(S179),S179+S180,"")</f>
        <v>0</v>
      </c>
      <c r="T181" s="275">
        <f>IF(ISNUMBER(T179),T179+T180,"")</f>
        <v>0</v>
      </c>
      <c r="U181" s="275">
        <f>IF(ISNUMBER(U179),U179+U180,"")</f>
        <v>0</v>
      </c>
      <c r="V181" s="275">
        <f>IF(ISNUMBER(V179),V179+V180,"")</f>
        <v>0</v>
      </c>
      <c r="W181" s="275">
        <f>IF(ISNUMBER(W179),W179+W180,"")</f>
        <v>0</v>
      </c>
      <c r="X181" s="275">
        <f>IF(ISNUMBER(X179),X179+X180,"")</f>
        <v>0</v>
      </c>
      <c r="Y181" s="275">
        <f>IF(ISNUMBER(Y179),Y179+Y180,"")</f>
        <v>0</v>
      </c>
      <c r="Z181" s="275">
        <f>IF(ISNUMBER(Z179),Z179+Z180,"")</f>
        <v>0</v>
      </c>
      <c r="AA181" s="275">
        <f>IF(ISNUMBER(AA179),AA179+AA180,"")</f>
        <v>0</v>
      </c>
      <c r="AB181" s="275">
        <f>IF(ISNUMBER(AB179),AB179+AB180,"")</f>
        <v>0</v>
      </c>
      <c r="AC181" s="275">
        <f>IF(ISNUMBER(AC179),AC179+AC180,"")</f>
        <v>0</v>
      </c>
      <c r="AD181" s="275">
        <f>IF(ISNUMBER(AD179),AD179+AD180,"")</f>
        <v>0</v>
      </c>
      <c r="AE181" s="275">
        <f>IF(ISNUMBER(AE179),AE179+AE180,"")</f>
        <v>0</v>
      </c>
      <c r="AF181" s="275">
        <f>IF(ISNUMBER(AF179),AF179+AF180,"")</f>
        <v>0</v>
      </c>
      <c r="AG181" s="275">
        <f>IF(ISNUMBER(AG179),AG179+AG180,"")</f>
        <v>0</v>
      </c>
      <c r="AH181" s="275">
        <f>IF(ISNUMBER(AH179),AH179+AH180,"")</f>
        <v>0</v>
      </c>
      <c r="AI181" s="275">
        <f>IF(ISNUMBER(AI179),AI179+AI180,"")</f>
        <v>0</v>
      </c>
      <c r="AJ181" s="275">
        <f>IF(ISNUMBER(AJ179),AJ179+AJ180,"")</f>
        <v>0</v>
      </c>
      <c r="AK181" s="275">
        <f>IF(ISNUMBER(AK179),AK179+AK180,"")</f>
        <v>0</v>
      </c>
      <c r="AL181" s="275">
        <f>IF(ISNUMBER(AL179),AL179+AL180,"")</f>
        <v>0</v>
      </c>
      <c r="AM181" s="275">
        <f>IF(ISNUMBER(AM179),AM179+AM180,"")</f>
        <v>0</v>
      </c>
      <c r="AN181" s="275">
        <f>IF(ISNUMBER(AN179),AN179+AN180,"")</f>
        <v>0</v>
      </c>
      <c r="AO181" s="275">
        <f>IF(ISNUMBER(AO179),AO179+AO180,"")</f>
        <v>0</v>
      </c>
      <c r="AP181" s="275">
        <f>IF(ISNUMBER(AP179),AP179+AP180,"")</f>
        <v>0</v>
      </c>
      <c r="AQ181" s="275">
        <f>IF(ISNUMBER(AQ179),AQ179+AQ180,"")</f>
        <v>0</v>
      </c>
      <c r="AR181" s="275">
        <f>IF(ISNUMBER(AR179),AR179+AR180,"")</f>
        <v>0</v>
      </c>
      <c r="AS181" s="275">
        <f>IF(ISNUMBER(AS179),AS179+AS180,"")</f>
        <v>0</v>
      </c>
      <c r="AT181" s="275">
        <f>IF(ISNUMBER(AT179),AT179+AT180,"")</f>
        <v>0</v>
      </c>
      <c r="AU181" s="275">
        <f>IF(ISNUMBER(AU179),AU179+AU180,"")</f>
        <v>0</v>
      </c>
      <c r="AV181" s="275">
        <f>IF(ISNUMBER(AV179),AV179+AV180,"")</f>
        <v>0</v>
      </c>
      <c r="AW181" s="275">
        <f>IF(ISNUMBER(AW179),AW179+AW180,"")</f>
        <v>0</v>
      </c>
      <c r="AX181" s="275">
        <f>IF(ISNUMBER(AX179),AX179+AX180,"")</f>
        <v>0</v>
      </c>
      <c r="AY181" s="275">
        <f>IF(ISNUMBER(AY179),AY179+AY180,"")</f>
        <v>0</v>
      </c>
      <c r="AZ181" s="275">
        <f>IF(ISNUMBER(AZ179),AZ179+AZ180,"")</f>
        <v>0</v>
      </c>
      <c r="BA181" s="275">
        <f>IF(ISNUMBER(BA179),BA179+BA180,"")</f>
        <v>0</v>
      </c>
      <c r="BB181" s="275">
        <f>IF(ISNUMBER(BB179),BB179+BB180,"")</f>
        <v>0</v>
      </c>
      <c r="BC181" s="275">
        <f>IF(ISNUMBER(BC179),BC179+BC180,"")</f>
        <v>0</v>
      </c>
      <c r="BD181" s="275">
        <f>IF(ISNUMBER(BD179),BD179+BD180,"")</f>
        <v>0</v>
      </c>
      <c r="BE181" s="275">
        <f>IF(ISNUMBER(BE179),BE179+BE180,"")</f>
        <v>0</v>
      </c>
      <c r="BF181" s="275">
        <f>IF(ISNUMBER(BF179),BF179+BF180,"")</f>
        <v>2700</v>
      </c>
      <c r="BG181" s="275">
        <f>IF(ISNUMBER(BG179),BG179+BG180,"")</f>
        <v>2700</v>
      </c>
      <c r="BH181" s="275">
        <f>IF(ISNUMBER(BH179),BH179+BH180,"")</f>
        <v>500</v>
      </c>
      <c r="BI181" s="275">
        <f>IF(ISNUMBER(BI179),BI179+BI180,"")</f>
        <v>0</v>
      </c>
      <c r="BJ181" s="275">
        <f>IF(ISNUMBER(BJ179),BJ179+BJ180,"")</f>
        <v>0</v>
      </c>
      <c r="BK181" s="275">
        <f>IF(ISNUMBER(BK179),BK179+BK180,"")</f>
        <v>0</v>
      </c>
      <c r="BL181" s="275">
        <f>IF(ISNUMBER(BL179),BL179+BL180,"")</f>
        <v>500</v>
      </c>
      <c r="BM181" s="275">
        <f>IF(ISNUMBER(BM179),BM179+BM180,"")</f>
        <v>0</v>
      </c>
      <c r="BN181" s="275">
        <f>IF(ISNUMBER(BN179),BN179+BN180,"")</f>
        <v>0</v>
      </c>
      <c r="BO181" s="275">
        <f>IF(ISNUMBER(BO179),BO179+BO180,"")</f>
        <v>0</v>
      </c>
      <c r="BP181" s="275">
        <f>IF(ISNUMBER(BP179),BP179+BP180,"")</f>
        <v>0</v>
      </c>
      <c r="BQ181" s="275">
        <f>IF(ISNUMBER(BQ179),BQ179+BQ180,"")</f>
        <v>0</v>
      </c>
      <c r="BR181" s="275">
        <f>IF(ISNUMBER(BR179),BR179+BR180,"")</f>
        <v>0</v>
      </c>
      <c r="BS181" s="275">
        <f>IF(ISNUMBER(BS179),BS179+BS180,"")</f>
        <v>0</v>
      </c>
      <c r="BT181" s="275">
        <f>IF(ISNUMBER(BT179),BT179+BT180,"")</f>
        <v>4300</v>
      </c>
      <c r="BU181" s="275">
        <f>IF(ISNUMBER(BU179),BU179+BU180,"")</f>
        <v>2440</v>
      </c>
      <c r="BV181" s="275">
        <f>IF(ISNUMBER(BV179),BV179+BV180,"")</f>
        <v>6740</v>
      </c>
      <c r="BW181" s="275">
        <f>IF(ISNUMBER(BW179),BW179+BW180,"")</f>
        <v>-48</v>
      </c>
      <c r="BX181" s="275">
        <f>IF(ISNUMBER(BX179),BX179+BX180,"")</f>
        <v>-551</v>
      </c>
      <c r="BY181" s="265">
        <f>IF(ISNUMBER(BY179),BY179+BY180,"")</f>
        <v>0</v>
      </c>
      <c r="BZ181" s="265">
        <f>IF(ISNUMBER(BZ179),BZ179+BZ180,"")</f>
        <v>0</v>
      </c>
      <c r="CA181" s="265">
        <f>IF(ISNUMBER(CA179),CA179+CA180,"")</f>
        <v>-599</v>
      </c>
      <c r="CB181" s="265">
        <f>IF(ISNUMBER(CB179),CB179+CB180,"")</f>
        <v>0</v>
      </c>
      <c r="CC181" s="265">
        <f>IF(ISNUMBER(CC179),CC179+CC180,"")</f>
        <v>0</v>
      </c>
      <c r="CD181" s="265">
        <f>IF(ISNUMBER(CD179),CD179+CD180,"")</f>
        <v>0</v>
      </c>
      <c r="CE181" s="265">
        <f>IF(ISNUMBER(CE179),CE179+CE180,"")</f>
        <v>0</v>
      </c>
      <c r="CF181" s="153" t="n"/>
    </row>
    <row r="182" ht="15" customHeight="1" s="251">
      <c r="B182" s="55" t="inlineStr">
        <is>
          <t xml:space="preserve">  = Adjusted operating income (model bridge)</t>
        </is>
      </c>
      <c r="C182" s="262">
        <f>IF(ISNUMBER(C178),C178+C181,"")</f>
        <v>389</v>
      </c>
      <c r="D182" s="262">
        <f>IF(ISNUMBER(D178),D178+D181,"")</f>
        <v>655</v>
      </c>
      <c r="E182" s="262">
        <f>IF(ISNUMBER(E178),E178+E181,"")</f>
        <v>842</v>
      </c>
      <c r="F182" s="262">
        <f>IF(ISNUMBER(F178),F178+F181,"")</f>
        <v>1129</v>
      </c>
      <c r="G182" s="262">
        <f>IF(ISNUMBER(G178),G178+G181,"")</f>
        <v>1406</v>
      </c>
      <c r="H182" s="262">
        <f>IF(ISNUMBER(H178),H178+H181,"")</f>
        <v>862</v>
      </c>
      <c r="I182" s="262">
        <f>IF(ISNUMBER(I178),I178+I181,"")</f>
        <v>676</v>
      </c>
      <c r="J182" s="262">
        <f>IF(ISNUMBER(J178),J178+J181,"")</f>
        <v>181</v>
      </c>
      <c r="K182" s="262">
        <f>IF(ISNUMBER(K178),K178+K181,"")</f>
        <v>79</v>
      </c>
      <c r="L182" s="262">
        <f>IF(ISNUMBER(L178),L178+L181,"")</f>
        <v>-25</v>
      </c>
      <c r="M182" s="262">
        <f>IF(ISNUMBER(M178),M178+M181,"")</f>
        <v>510</v>
      </c>
      <c r="N182" s="262">
        <f>IF(ISNUMBER(N178),N178+N181,"")</f>
        <v>745</v>
      </c>
      <c r="O182" s="262">
        <f>IF(ISNUMBER(O178),O178+O181,"")</f>
        <v>146</v>
      </c>
      <c r="P182" s="262">
        <f>IF(ISNUMBER(P178),P178+P181,"")</f>
        <v>-15</v>
      </c>
      <c r="Q182" s="262">
        <f>IF(ISNUMBER(Q178),Q178+Q181,"")</f>
        <v>-544</v>
      </c>
      <c r="R182" s="262">
        <f>IF(ISNUMBER(R178),R178+R181,"")</f>
        <v>591</v>
      </c>
      <c r="S182" s="262">
        <f>IF(ISNUMBER(S178),S178+S181,"")</f>
        <v>178</v>
      </c>
      <c r="T182" s="262">
        <f>IF(ISNUMBER(T178),T178+T181,"")</f>
        <v>255</v>
      </c>
      <c r="U182" s="262">
        <f>IF(ISNUMBER(U178),U178+U181,"")</f>
        <v>464</v>
      </c>
      <c r="V182" s="262">
        <f>IF(ISNUMBER(V178),V178+V181,"")</f>
        <v>406</v>
      </c>
      <c r="W182" s="262">
        <f>IF(ISNUMBER(W178),W178+W181,"")</f>
        <v>1108</v>
      </c>
      <c r="X182" s="262">
        <f>IF(ISNUMBER(X178),X178+X181,"")</f>
        <v>2233</v>
      </c>
      <c r="Y182" s="262">
        <f>IF(ISNUMBER(Y178),Y178+Y181,"")</f>
        <v>1071</v>
      </c>
      <c r="Z182" s="262">
        <f>IF(ISNUMBER(Z178),Z178+Z181,"")</f>
        <v>1285</v>
      </c>
      <c r="AA182" s="262">
        <f>IF(ISNUMBER(AA178),AA178+AA181,"")</f>
        <v>575</v>
      </c>
      <c r="AB182" s="262">
        <f>IF(ISNUMBER(AB178),AB178+AB181,"")</f>
        <v>1255</v>
      </c>
      <c r="AC182" s="262">
        <f>IF(ISNUMBER(AC178),AC178+AC181,"")</f>
        <v>4186</v>
      </c>
      <c r="AD182" s="262">
        <f>IF(ISNUMBER(AD178),AD178+AD181,"")</f>
        <v>1005</v>
      </c>
      <c r="AE182" s="262">
        <f>IF(ISNUMBER(AE178),AE178+AE181,"")</f>
        <v>628</v>
      </c>
      <c r="AF182" s="262">
        <f>IF(ISNUMBER(AF178),AF178+AF181,"")</f>
        <v>347</v>
      </c>
      <c r="AG182" s="262">
        <f>IF(ISNUMBER(AG178),AG178+AG181,"")</f>
        <v>2127</v>
      </c>
      <c r="AH182" s="262">
        <f>IF(ISNUMBER(AH178),AH178+AH181,"")</f>
        <v>4106</v>
      </c>
      <c r="AI182" s="262">
        <f>IF(ISNUMBER(AI178),AI178+AI181,"")</f>
        <v>1927</v>
      </c>
      <c r="AJ182" s="262">
        <f>IF(ISNUMBER(AJ178),AJ178+AJ181,"")</f>
        <v>2983</v>
      </c>
      <c r="AK182" s="262">
        <f>IF(ISNUMBER(AK178),AK178+AK181,"")</f>
        <v>3724</v>
      </c>
      <c r="AL182" s="262">
        <f>IF(ISNUMBER(AL178),AL178+AL181,"")</f>
        <v>3786</v>
      </c>
      <c r="AM182" s="262">
        <f>IF(ISNUMBER(AM178),AM178+AM181,"")</f>
        <v>12421</v>
      </c>
      <c r="AN182" s="262">
        <f>IF(ISNUMBER(AN178),AN178+AN181,"")</f>
        <v>4420</v>
      </c>
      <c r="AO182" s="262">
        <f>IF(ISNUMBER(AO178),AO178+AO181,"")</f>
        <v>3084</v>
      </c>
      <c r="AP182" s="262">
        <f>IF(ISNUMBER(AP178),AP178+AP181,"")</f>
        <v>3157</v>
      </c>
      <c r="AQ182" s="262">
        <f>IF(ISNUMBER(AQ178),AQ178+AQ181,"")</f>
        <v>3879</v>
      </c>
      <c r="AR182" s="262">
        <f>IF(ISNUMBER(AR178),AR178+AR181,"")</f>
        <v>14541</v>
      </c>
      <c r="AS182" s="262">
        <f>IF(ISNUMBER(AS178),AS178+AS181,"")</f>
        <v>3989</v>
      </c>
      <c r="AT182" s="262">
        <f>IF(ISNUMBER(AT178),AT178+AT181,"")</f>
        <v>5843</v>
      </c>
      <c r="AU182" s="262">
        <f>IF(ISNUMBER(AU178),AU178+AU181,"")</f>
        <v>6194</v>
      </c>
      <c r="AV182" s="262">
        <f>IF(ISNUMBER(AV178),AV178+AV181,"")</f>
        <v>6873</v>
      </c>
      <c r="AW182" s="262">
        <f>IF(ISNUMBER(AW178),AW178+AW181,"")</f>
        <v>22899</v>
      </c>
      <c r="AX182" s="262">
        <f>IF(ISNUMBER(AX178),AX178+AX181,"")</f>
        <v>8865</v>
      </c>
      <c r="AY182" s="262">
        <f>IF(ISNUMBER(AY178),AY178+AY181,"")</f>
        <v>7702</v>
      </c>
      <c r="AZ182" s="262">
        <f>IF(ISNUMBER(AZ178),AZ178+AZ181,"")</f>
        <v>4852</v>
      </c>
      <c r="BA182" s="262">
        <f>IF(ISNUMBER(BA178),BA178+BA181,"")</f>
        <v>3460</v>
      </c>
      <c r="BB182" s="262">
        <f>IF(ISNUMBER(BB178),BB178+BB181,"")</f>
        <v>24879</v>
      </c>
      <c r="BC182" s="262">
        <f>IF(ISNUMBER(BC178),BC178+BC181,"")</f>
        <v>3669</v>
      </c>
      <c r="BD182" s="262">
        <f>IF(ISNUMBER(BD178),BD178+BD181,"")</f>
        <v>3317</v>
      </c>
      <c r="BE182" s="262">
        <f>IF(ISNUMBER(BE178),BE178+BE181,"")</f>
        <v>2525</v>
      </c>
      <c r="BF182" s="262">
        <f>IF(ISNUMBER(BF178),BF178+BF181,"")</f>
        <v>5437</v>
      </c>
      <c r="BG182" s="262">
        <f>IF(ISNUMBER(BG178),BG178+BG181,"")</f>
        <v>14948</v>
      </c>
      <c r="BH182" s="262">
        <f>IF(ISNUMBER(BH178),BH178+BH181,"")</f>
        <v>5274</v>
      </c>
      <c r="BI182" s="262">
        <f>IF(ISNUMBER(BI178),BI178+BI181,"")</f>
        <v>7681</v>
      </c>
      <c r="BJ182" s="262">
        <f>IF(ISNUMBER(BJ178),BJ178+BJ181,"")</f>
        <v>11188</v>
      </c>
      <c r="BK182" s="262">
        <f>IF(ISNUMBER(BK178),BK178+BK181,"")</f>
        <v>13209</v>
      </c>
      <c r="BL182" s="262">
        <f>IF(ISNUMBER(BL178),BL178+BL181,"")</f>
        <v>37352</v>
      </c>
      <c r="BM182" s="262">
        <f>IF(ISNUMBER(BM178),BM178+BM181,"")</f>
        <v>15307</v>
      </c>
      <c r="BN182" s="262">
        <f>IF(ISNUMBER(BN178),BN178+BN181,"")</f>
        <v>14672</v>
      </c>
      <c r="BO182" s="262">
        <f>IF(ISNUMBER(BO178),BO178+BO181,"")</f>
        <v>17411</v>
      </c>
      <c r="BP182" s="262">
        <f>IF(ISNUMBER(BP178),BP178+BP181,"")</f>
        <v>21203</v>
      </c>
      <c r="BQ182" s="262">
        <f>IF(ISNUMBER(BQ178),BQ178+BQ181,"")</f>
        <v>68593</v>
      </c>
      <c r="BR182" s="262">
        <f>IF(ISNUMBER(BR178),BR178+BR181,"")</f>
        <v>18405</v>
      </c>
      <c r="BS182" s="262">
        <f>IF(ISNUMBER(BS178),BS178+BS181,"")</f>
        <v>19171</v>
      </c>
      <c r="BT182" s="262">
        <f>IF(ISNUMBER(BT178),BT178+BT181,"")</f>
        <v>21722</v>
      </c>
      <c r="BU182" s="262">
        <f>IF(ISNUMBER(BU178),BU178+BU181,"")</f>
        <v>27417</v>
      </c>
      <c r="BV182" s="262">
        <f>IF(ISNUMBER(BV178),BV178+BV181,"")</f>
        <v>86715</v>
      </c>
      <c r="BW182" s="262">
        <f>IF(ISNUMBER(BW178),BW178+BW181,"")</f>
        <v>23804</v>
      </c>
      <c r="BX182" s="262">
        <f>IF(ISNUMBER(BX178),BX178+BX181,"")</f>
        <v>26910</v>
      </c>
      <c r="BY182" s="262">
        <f>IF(ISNUMBER(BY178),BY178+BY181,"")</f>
        <v>24500</v>
      </c>
      <c r="BZ182" s="262">
        <f>IF(ISNUMBER(BZ178),BZ178+BZ181,"")</f>
        <v>30940.6060133102</v>
      </c>
      <c r="CA182" s="262">
        <f>IF(ISNUMBER(CA178),CA178+CA181,"")</f>
        <v>106154.60601331</v>
      </c>
      <c r="CB182" s="262">
        <f>IF(ISNUMBER(CB178),CB178+CB181,"")</f>
        <v>133285.411379273</v>
      </c>
      <c r="CC182" s="262">
        <f>IF(ISNUMBER(CC178),CC178+CC181,"")</f>
        <v>160376.095923195</v>
      </c>
      <c r="CD182" s="262">
        <f>IF(ISNUMBER(CD178),CD178+CD181,"")</f>
        <v>188437.124716498</v>
      </c>
      <c r="CE182" s="262">
        <f>IF(ISNUMBER(CE178),CE178+CE181,"")</f>
        <v>219090.509680543</v>
      </c>
      <c r="CF182" s="153" t="inlineStr">
        <is>
          <t>Equals the segment build in the forecast (check in the Group block).</t>
        </is>
      </c>
      <c r="CH182" s="20">
        <f>IFERROR((CE182/BV182)^(1/5)-1,"n/m")</f>
        <v>0.203665651569544</v>
      </c>
      <c r="CI182" s="20">
        <f>IFERROR((BV182/AW182)^(1/5)-1,"n/m")</f>
        <v>0.305135318248734</v>
      </c>
      <c r="CJ182" s="20">
        <f>IFERROR((BV182/X182)^(1/10)-1,"n/m")</f>
        <v>0.441851556295924</v>
      </c>
      <c r="CK182" s="20">
        <f>IFERROR((BV182/C182)^(1/19)-1,"n/m")</f>
        <v>0.329188451547712</v>
      </c>
    </row>
    <row r="183" ht="15" customHeight="1" s="251">
      <c r="B183" s="25" t="inlineStr">
        <is>
          <t xml:space="preserve">  Adjusted operating margin %</t>
        </is>
      </c>
      <c r="C183" s="215">
        <f>IF(AND(ISNUMBER(C182),ISNUMBER(C144)),IFERROR(C182/C144,""),"")</f>
        <v>0.0363178041265988</v>
      </c>
      <c r="D183" s="215">
        <f>IF(AND(ISNUMBER(D182),ISNUMBER(D144)),IFERROR(D182/D144,""),"")</f>
        <v>0.0441523424334344</v>
      </c>
      <c r="E183" s="215">
        <f>IF(AND(ISNUMBER(E182),ISNUMBER(E144)),IFERROR(E182/E144,""),"")</f>
        <v>0.0439319628508818</v>
      </c>
      <c r="F183" s="215">
        <f>IF(AND(ISNUMBER(F182),ISNUMBER(F144)),IFERROR(F182/F144,""),"")</f>
        <v>0.0460647109225183</v>
      </c>
      <c r="G183" s="215">
        <f>IF(AND(ISNUMBER(G182),ISNUMBER(G144)),IFERROR(G182/G144,""),"")</f>
        <v>0.0411063033563326</v>
      </c>
      <c r="H183" s="215">
        <f>IF(AND(ISNUMBER(H182),ISNUMBER(H144)),IFERROR(H182/H144,""),"")</f>
        <v>0.0179295713126859</v>
      </c>
      <c r="I183" s="215">
        <f>IF(AND(ISNUMBER(I182),ISNUMBER(I144)),IFERROR(I182/I144,""),"")</f>
        <v>0.0110650974743424</v>
      </c>
      <c r="J183" s="215">
        <f>IF(AND(ISNUMBER(J182),ISNUMBER(J144)),IFERROR(J182/J144,""),"")</f>
        <v>0.0112632233976353</v>
      </c>
      <c r="K183" s="215">
        <f>IF(AND(ISNUMBER(K182),ISNUMBER(K144)),IFERROR(K182/K144,""),"")</f>
        <v>0.00503056546102904</v>
      </c>
      <c r="L183" s="215">
        <f>IF(AND(ISNUMBER(L182),ISNUMBER(L144)),IFERROR(L182/L144,""),"")</f>
        <v>-0.00146267259536625</v>
      </c>
      <c r="M183" s="215">
        <f>IF(AND(ISNUMBER(M182),ISNUMBER(M144)),IFERROR(M182/M144,""),"")</f>
        <v>0.0199319967170829</v>
      </c>
      <c r="N183" s="215">
        <f>IF(AND(ISNUMBER(N182),ISNUMBER(N144)),IFERROR(N182/N144,""),"")</f>
        <v>0.0100064471068608</v>
      </c>
      <c r="O183" s="215">
        <f>IF(AND(ISNUMBER(O182),ISNUMBER(O144)),IFERROR(O182/O144,""),"")</f>
        <v>0.00739577529000557</v>
      </c>
      <c r="P183" s="215">
        <f>IF(AND(ISNUMBER(P182),ISNUMBER(P144)),IFERROR(P182/P144,""),"")</f>
        <v>-0.00077559462254395</v>
      </c>
      <c r="Q183" s="215">
        <f>IF(AND(ISNUMBER(Q182),ISNUMBER(Q144)),IFERROR(Q182/Q144,""),"")</f>
        <v>-0.0264347150007289</v>
      </c>
      <c r="R183" s="215">
        <f>IF(AND(ISNUMBER(R182),ISNUMBER(R144)),IFERROR(R182/R144,""),"")</f>
        <v>0.0201513911620295</v>
      </c>
      <c r="S183" s="215">
        <f>IF(AND(ISNUMBER(S182),ISNUMBER(S144)),IFERROR(S182/S144,""),"")</f>
        <v>0.0020002696992853</v>
      </c>
      <c r="T183" s="215">
        <f>IF(AND(ISNUMBER(T182),ISNUMBER(T144)),IFERROR(T182/T144,""),"")</f>
        <v>0.0112250737333275</v>
      </c>
      <c r="U183" s="215">
        <f>IF(AND(ISNUMBER(U182),ISNUMBER(U144)),IFERROR(U182/U144,""),"")</f>
        <v>0.0200129394004744</v>
      </c>
      <c r="V183" s="215">
        <f>IF(AND(ISNUMBER(V182),ISNUMBER(V144)),IFERROR(V182/V144,""),"")</f>
        <v>0.0160107263979809</v>
      </c>
      <c r="W183" s="215">
        <f>IF(AND(ISNUMBER(W182),ISNUMBER(W144)),IFERROR(W182/W144,""),"")</f>
        <v>0.0309956080230509</v>
      </c>
      <c r="X183" s="215">
        <f>IF(AND(ISNUMBER(X182),ISNUMBER(X144)),IFERROR(X182/X144,""),"")</f>
        <v>0.0208679887109134</v>
      </c>
      <c r="Y183" s="215">
        <f>IF(AND(ISNUMBER(Y182),ISNUMBER(Y144)),IFERROR(Y182/Y144,""),"")</f>
        <v>0.0367687448503158</v>
      </c>
      <c r="Z183" s="215">
        <f>IF(AND(ISNUMBER(Z182),ISNUMBER(Z144)),IFERROR(Z182/Z144,""),"")</f>
        <v>0.0422641757663465</v>
      </c>
      <c r="AA183" s="215">
        <f>IF(AND(ISNUMBER(AA182),ISNUMBER(AA144)),IFERROR(AA182/AA144,""),"")</f>
        <v>0.0175765727211591</v>
      </c>
      <c r="AB183" s="215">
        <f>IF(AND(ISNUMBER(AB182),ISNUMBER(AB144)),IFERROR(AB182/AB144,""),"")</f>
        <v>0.0286916165611211</v>
      </c>
      <c r="AC183" s="215">
        <f>IF(AND(ISNUMBER(AC182),ISNUMBER(AC144)),IFERROR(AC182/AC144,""),"")</f>
        <v>0.0307823541956216</v>
      </c>
      <c r="AD183" s="215">
        <f>IF(AND(ISNUMBER(AD182),ISNUMBER(AD144)),IFERROR(AD182/AD144,""),"")</f>
        <v>0.028140225121801</v>
      </c>
      <c r="AE183" s="215">
        <f>IF(AND(ISNUMBER(AE182),ISNUMBER(AE144)),IFERROR(AE182/AE144,""),"")</f>
        <v>0.0165459096298248</v>
      </c>
      <c r="AF183" s="215">
        <f>IF(AND(ISNUMBER(AF182),ISNUMBER(AF144)),IFERROR(AF182/AF144,""),"")</f>
        <v>0.00793251645940015</v>
      </c>
      <c r="AG183" s="215">
        <f>IF(AND(ISNUMBER(AG182),ISNUMBER(AG144)),IFERROR(AG182/AG144,""),"")</f>
        <v>0.0351843580963724</v>
      </c>
      <c r="AH183" s="215">
        <f>IF(AND(ISNUMBER(AH182),ISNUMBER(AH144)),IFERROR(AH182/AH144,""),"")</f>
        <v>0.0230847941708927</v>
      </c>
      <c r="AI183" s="215">
        <f>IF(AND(ISNUMBER(AI182),ISNUMBER(AI144)),IFERROR(AI182/AI144,""),"")</f>
        <v>0.0377532228360958</v>
      </c>
      <c r="AJ183" s="215">
        <f>IF(AND(ISNUMBER(AJ182),ISNUMBER(AJ144)),IFERROR(AJ182/AJ144,""),"")</f>
        <v>0.0564043414136066</v>
      </c>
      <c r="AK183" s="215">
        <f>IF(AND(ISNUMBER(AK182),ISNUMBER(AK144)),IFERROR(AK182/AK144,""),"")</f>
        <v>0.065822963800905</v>
      </c>
      <c r="AL183" s="215">
        <f>IF(AND(ISNUMBER(AL182),ISNUMBER(AL144)),IFERROR(AL182/AL144,""),"")</f>
        <v>0.0523050992636393</v>
      </c>
      <c r="AM183" s="215">
        <f>IF(AND(ISNUMBER(AM182),ISNUMBER(AM144)),IFERROR(AM182/AM144,""),"")</f>
        <v>0.0533348791473977</v>
      </c>
      <c r="AN183" s="215">
        <f>IF(AND(ISNUMBER(AN182),ISNUMBER(AN144)),IFERROR(AN182/AN144,""),"")</f>
        <v>0.074036850921273</v>
      </c>
      <c r="AO183" s="215">
        <f>IF(AND(ISNUMBER(AO182),ISNUMBER(AO144)),IFERROR(AO182/AO144,""),"")</f>
        <v>0.0486404643240174</v>
      </c>
      <c r="AP183" s="215">
        <f>IF(AND(ISNUMBER(AP182),ISNUMBER(AP144)),IFERROR(AP182/AP144,""),"")</f>
        <v>0.045112244752147</v>
      </c>
      <c r="AQ183" s="215">
        <f>IF(AND(ISNUMBER(AQ182),ISNUMBER(AQ144)),IFERROR(AQ182/AQ144,""),"")</f>
        <v>0.0443633701979711</v>
      </c>
      <c r="AR183" s="215">
        <f>IF(AND(ISNUMBER(AR182),ISNUMBER(AR144)),IFERROR(AR182/AR144,""),"")</f>
        <v>0.0518355066625791</v>
      </c>
      <c r="AS183" s="215">
        <f>IF(AND(ISNUMBER(AS182),ISNUMBER(AS144)),IFERROR(AS182/AS144,""),"")</f>
        <v>0.0528680485606743</v>
      </c>
      <c r="AT183" s="215">
        <f>IF(AND(ISNUMBER(AT182),ISNUMBER(AT144)),IFERROR(AT182/AT144,""),"")</f>
        <v>0.0657166636674465</v>
      </c>
      <c r="AU183" s="215">
        <f>IF(AND(ISNUMBER(AU182),ISNUMBER(AU144)),IFERROR(AU182/AU144,""),"")</f>
        <v>0.0644235269644807</v>
      </c>
      <c r="AV183" s="215">
        <f>IF(AND(ISNUMBER(AV182),ISNUMBER(AV144)),IFERROR(AV182/AV144,""),"")</f>
        <v>0.0547409501811955</v>
      </c>
      <c r="AW183" s="215">
        <f>IF(AND(ISNUMBER(AW182),ISNUMBER(AW144)),IFERROR(AW182/AW144,""),"")</f>
        <v>0.0593139997513366</v>
      </c>
      <c r="AX183" s="215">
        <f>IF(AND(ISNUMBER(AX182),ISNUMBER(AX144)),IFERROR(AX182/AX144,""),"")</f>
        <v>0.0816915166147552</v>
      </c>
      <c r="AY183" s="215">
        <f>IF(AND(ISNUMBER(AY182),ISNUMBER(AY144)),IFERROR(AY182/AY144,""),"")</f>
        <v>0.0681110718075699</v>
      </c>
      <c r="AZ183" s="215">
        <f>IF(AND(ISNUMBER(AZ182),ISNUMBER(AZ144)),IFERROR(AZ182/AZ144,""),"")</f>
        <v>0.0437858715662564</v>
      </c>
      <c r="BA183" s="215">
        <f>IF(AND(ISNUMBER(BA182),ISNUMBER(BA144)),IFERROR(BA182/BA144,""),"")</f>
        <v>0.0251797514045353</v>
      </c>
      <c r="BB183" s="215">
        <f>IF(AND(ISNUMBER(BB182),ISNUMBER(BB144)),IFERROR(BB182/BB144,""),"")</f>
        <v>0.0529540975092695</v>
      </c>
      <c r="BC183" s="215">
        <f>IF(AND(ISNUMBER(BC182),ISNUMBER(BC144)),IFERROR(BC182/BC144,""),"")</f>
        <v>0.031508708048504</v>
      </c>
      <c r="BD183" s="215">
        <f>IF(AND(ISNUMBER(BD182),ISNUMBER(BD144)),IFERROR(BD182/BD144,""),"")</f>
        <v>0.0273603114637808</v>
      </c>
      <c r="BE183" s="215">
        <f>IF(AND(ISNUMBER(BE182),ISNUMBER(BE144)),IFERROR(BE182/BE144,""),"")</f>
        <v>0.019866090746729</v>
      </c>
      <c r="BF183" s="215">
        <f>IF(AND(ISNUMBER(BF182),ISNUMBER(BF144)),IFERROR(BF182/BF144,""),"")</f>
        <v>0.0364400418219351</v>
      </c>
      <c r="BG183" s="215">
        <f>IF(AND(ISNUMBER(BG182),ISNUMBER(BG144)),IFERROR(BG182/BG144,""),"")</f>
        <v>0.0290826739405778</v>
      </c>
      <c r="BH183" s="215">
        <f>IF(AND(ISNUMBER(BH182),ISNUMBER(BH144)),IFERROR(BH182/BH144,""),"")</f>
        <v>0.0414108261750342</v>
      </c>
      <c r="BI183" s="215">
        <f>IF(AND(ISNUMBER(BI182),ISNUMBER(BI144)),IFERROR(BI182/BI144,""),"")</f>
        <v>0.0571575273658126</v>
      </c>
      <c r="BJ183" s="215">
        <f>IF(AND(ISNUMBER(BJ182),ISNUMBER(BJ144)),IFERROR(BJ182/BJ144,""),"")</f>
        <v>0.0781923778506182</v>
      </c>
      <c r="BK183" s="215">
        <f>IF(AND(ISNUMBER(BK182),ISNUMBER(BK144)),IFERROR(BK182/BK144,""),"")</f>
        <v>0.0777178293843882</v>
      </c>
      <c r="BL183" s="215">
        <f>IF(AND(ISNUMBER(BL182),ISNUMBER(BL144)),IFERROR(BL182/BL144,""),"")</f>
        <v>0.0649842984768218</v>
      </c>
      <c r="BM183" s="215">
        <f>IF(AND(ISNUMBER(BM182),ISNUMBER(BM144)),IFERROR(BM182/BM144,""),"")</f>
        <v>0.106808175113214</v>
      </c>
      <c r="BN183" s="215">
        <f>IF(AND(ISNUMBER(BN182),ISNUMBER(BN144)),IFERROR(BN182/BN144,""),"")</f>
        <v>0.0991505436655697</v>
      </c>
      <c r="BO183" s="215">
        <f>IF(AND(ISNUMBER(BO182),ISNUMBER(BO144)),IFERROR(BO182/BO144,""),"")</f>
        <v>0.109587920215009</v>
      </c>
      <c r="BP183" s="215">
        <f>IF(AND(ISNUMBER(BP182),ISNUMBER(BP144)),IFERROR(BP182/BP144,""),"")</f>
        <v>0.112906833091932</v>
      </c>
      <c r="BQ183" s="215">
        <f>IF(AND(ISNUMBER(BQ182),ISNUMBER(BQ144)),IFERROR(BQ182/BQ144,""),"")</f>
        <v>0.107519448742004</v>
      </c>
      <c r="BR183" s="215">
        <f>IF(AND(ISNUMBER(BR182),ISNUMBER(BR144)),IFERROR(BR182/BR144,""),"")</f>
        <v>0.118233151535007</v>
      </c>
      <c r="BS183" s="215">
        <f>IF(AND(ISNUMBER(BS182),ISNUMBER(BS144)),IFERROR(BS182/BS144,""),"")</f>
        <v>0.114315869816699</v>
      </c>
      <c r="BT183" s="215">
        <f>IF(AND(ISNUMBER(BT182),ISNUMBER(BT144)),IFERROR(BT182/BT144,""),"")</f>
        <v>0.120564581032253</v>
      </c>
      <c r="BU183" s="215">
        <f>IF(AND(ISNUMBER(BU182),ISNUMBER(BU144)),IFERROR(BU182/BU144,""),"")</f>
        <v>0.128485467650174</v>
      </c>
      <c r="BV183" s="215">
        <f>IF(AND(ISNUMBER(BV182),ISNUMBER(BV144)),IFERROR(BV182/BV144,""),"")</f>
        <v>0.120954243406554</v>
      </c>
      <c r="BW183" s="215">
        <f>IF(AND(ISNUMBER(BW182),ISNUMBER(BW144)),IFERROR(BW182/BW144,""),"")</f>
        <v>0.131137787228885</v>
      </c>
      <c r="BX183" s="215">
        <f>IF(AND(ISNUMBER(BX182),ISNUMBER(BX144)),IFERROR(BX182/BX144,""),"")</f>
        <v>0.134143545058473</v>
      </c>
      <c r="BY183" s="256">
        <f>IF(AND(ISNUMBER(BY182),ISNUMBER(BY144)),IFERROR(BY182/BY144,""),"")</f>
        <v>0.12280701754386</v>
      </c>
      <c r="BZ183" s="256">
        <f>IF(AND(ISNUMBER(BZ182),ISNUMBER(BZ144)),IFERROR(BZ182/BZ144,""),"")</f>
        <v>0.126859067069213</v>
      </c>
      <c r="CA183" s="256">
        <f>IF(AND(ISNUMBER(CA182),ISNUMBER(CA144)),IFERROR(CA182/CA144,""),"")</f>
        <v>0.12859081291609</v>
      </c>
      <c r="CB183" s="256">
        <f>IF(AND(ISNUMBER(CB182),ISNUMBER(CB144)),IFERROR(CB182/CB144,""),"")</f>
        <v>0.141197899930862</v>
      </c>
      <c r="CC183" s="256">
        <f>IF(AND(ISNUMBER(CC182),ISNUMBER(CC144)),IFERROR(CC182/CC144,""),"")</f>
        <v>0.149964972315812</v>
      </c>
      <c r="CD183" s="256">
        <f>IF(AND(ISNUMBER(CD182),ISNUMBER(CD144)),IFERROR(CD182/CD144,""),"")</f>
        <v>0.157199710578401</v>
      </c>
      <c r="CE183" s="256">
        <f>IF(AND(ISNUMBER(CE182),ISNUMBER(CE144)),IFERROR(CE182/CE144,""),"")</f>
        <v>0.164702085203659</v>
      </c>
      <c r="CF183" s="153" t="n"/>
      <c r="CH183" s="37">
        <f>IFERROR(AVERAGE(CA183,CB183,CC183,CD183,CE183),"n/m")</f>
        <v>0.148331096188965</v>
      </c>
      <c r="CI183" s="37">
        <f>IFERROR(AVERAGE(BB183,BG183,BL183,BQ183,BV183),"n/m")</f>
        <v>0.0750989524150453</v>
      </c>
      <c r="CJ183" s="37">
        <f>IFERROR(AVERAGE(AC183,AH183,AM183,AR183,AW183,BB183,BG183,BL183,BQ183,BV183),"n/m")</f>
        <v>0.0593846296003054</v>
      </c>
      <c r="CK183" s="37">
        <f>IFERROR(AVERAGE(C183,D183,E183,F183,G183,H183,I183,N183,S183,X183,AC183,AH183,AM183,AR183,AW183,BB183,BG183,BL183,BQ183,BV183),"n/m")</f>
        <v>0.0433644396998454</v>
      </c>
    </row>
    <row r="184" ht="15" customHeight="1" s="251">
      <c r="B184" s="156" t="inlineStr">
        <is>
          <t xml:space="preserve">  Company-published operating income "without these charges" (Q3-25 $21.7bn; Q4-25 $27.4bn)</t>
        </is>
      </c>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c r="V184" s="34" t="n"/>
      <c r="W184" s="34" t="n"/>
      <c r="X184" s="34" t="n"/>
      <c r="Y184" s="34" t="n"/>
      <c r="Z184" s="34" t="n"/>
      <c r="AA184" s="34" t="n"/>
      <c r="AB184" s="34" t="n"/>
      <c r="AC184" s="34" t="n"/>
      <c r="AD184" s="34" t="n"/>
      <c r="AE184" s="34" t="n"/>
      <c r="AF184" s="34" t="n"/>
      <c r="AG184" s="34" t="n"/>
      <c r="AH184" s="34" t="n"/>
      <c r="AI184" s="34" t="n"/>
      <c r="AJ184" s="34" t="n"/>
      <c r="AK184" s="34" t="n"/>
      <c r="AL184" s="34" t="n"/>
      <c r="AM184" s="34" t="n"/>
      <c r="AN184" s="34" t="n"/>
      <c r="AO184" s="34" t="n"/>
      <c r="AP184" s="34" t="n"/>
      <c r="AQ184" s="34" t="n"/>
      <c r="AR184" s="34" t="n"/>
      <c r="AS184" s="34" t="n"/>
      <c r="AT184" s="34" t="n"/>
      <c r="AU184" s="34" t="n"/>
      <c r="AV184" s="34" t="n"/>
      <c r="AW184" s="34" t="n"/>
      <c r="AX184" s="34" t="n"/>
      <c r="AY184" s="34" t="n"/>
      <c r="AZ184" s="34" t="n"/>
      <c r="BA184" s="34" t="n"/>
      <c r="BB184" s="34" t="n"/>
      <c r="BC184" s="34" t="n"/>
      <c r="BD184" s="34" t="n"/>
      <c r="BE184" s="34" t="n"/>
      <c r="BF184" s="34" t="n"/>
      <c r="BG184" s="34" t="n"/>
      <c r="BH184" s="34" t="n"/>
      <c r="BI184" s="34" t="n"/>
      <c r="BJ184" s="34" t="n"/>
      <c r="BK184" s="34" t="n"/>
      <c r="BL184" s="34" t="n"/>
      <c r="BM184" s="34" t="n"/>
      <c r="BN184" s="34" t="n"/>
      <c r="BO184" s="34" t="n"/>
      <c r="BP184" s="34" t="n"/>
      <c r="BQ184" s="34" t="n"/>
      <c r="BR184" s="34" t="n"/>
      <c r="BS184" s="34" t="n"/>
      <c r="BT184" s="253" t="n">
        <v>21700</v>
      </c>
      <c r="BU184" s="253" t="n">
        <v>27400</v>
      </c>
      <c r="BV184" s="34" t="n"/>
      <c r="BW184" s="34" t="n"/>
      <c r="BX184" s="34" t="n"/>
      <c r="BY184" s="153" t="n"/>
      <c r="BZ184" s="153" t="n"/>
      <c r="CA184" s="153" t="n"/>
      <c r="CB184" s="153" t="n"/>
      <c r="CC184" s="153" t="n"/>
      <c r="CD184" s="153" t="n"/>
      <c r="CE184" s="153" t="n"/>
      <c r="CF184" s="153" t="n"/>
    </row>
    <row r="185" ht="15" customHeight="1" s="251">
      <c r="B185" s="57" t="inlineStr">
        <is>
          <t xml:space="preserve">  Check: model bridge vs company-published (should be 0; ±50, published to $0.1bn)</t>
        </is>
      </c>
      <c r="C185" s="211" t="str">
        <f>IF(ISNUMBER(C184),IF(ABS(C178+C179-C184)&lt;=50,0,ROUND(C178+C179-C184,0)),"n/p")</f>
        <v>n/p</v>
      </c>
      <c r="D185" s="211" t="str">
        <f>IF(ISNUMBER(D184),IF(ABS(D178+D179-D184)&lt;=50,0,ROUND(D178+D179-D184,0)),"n/p")</f>
        <v>n/p</v>
      </c>
      <c r="E185" s="211" t="str">
        <f>IF(ISNUMBER(E184),IF(ABS(E178+E179-E184)&lt;=50,0,ROUND(E178+E179-E184,0)),"n/p")</f>
        <v>n/p</v>
      </c>
      <c r="F185" s="211" t="str">
        <f>IF(ISNUMBER(F184),IF(ABS(F178+F179-F184)&lt;=50,0,ROUND(F178+F179-F184,0)),"n/p")</f>
        <v>n/p</v>
      </c>
      <c r="G185" s="211" t="str">
        <f>IF(ISNUMBER(G184),IF(ABS(G178+G179-G184)&lt;=50,0,ROUND(G178+G179-G184,0)),"n/p")</f>
        <v>n/p</v>
      </c>
      <c r="H185" s="211" t="str">
        <f>IF(ISNUMBER(H184),IF(ABS(H178+H179-H184)&lt;=50,0,ROUND(H178+H179-H184,0)),"n/p")</f>
        <v>n/p</v>
      </c>
      <c r="I185" s="211" t="str">
        <f>IF(ISNUMBER(I184),IF(ABS(I178+I179-I184)&lt;=50,0,ROUND(I178+I179-I184,0)),"n/p")</f>
        <v>n/p</v>
      </c>
      <c r="J185" s="211" t="str">
        <f>IF(ISNUMBER(J184),IF(ABS(J178+J179-J184)&lt;=50,0,ROUND(J178+J179-J184,0)),"n/p")</f>
        <v>n/p</v>
      </c>
      <c r="K185" s="211" t="str">
        <f>IF(ISNUMBER(K184),IF(ABS(K178+K179-K184)&lt;=50,0,ROUND(K178+K179-K184,0)),"n/p")</f>
        <v>n/p</v>
      </c>
      <c r="L185" s="211" t="str">
        <f>IF(ISNUMBER(L184),IF(ABS(L178+L179-L184)&lt;=50,0,ROUND(L178+L179-L184,0)),"n/p")</f>
        <v>n/p</v>
      </c>
      <c r="M185" s="211" t="str">
        <f>IF(ISNUMBER(M184),IF(ABS(M178+M179-M184)&lt;=50,0,ROUND(M178+M179-M184,0)),"n/p")</f>
        <v>n/p</v>
      </c>
      <c r="N185" s="211" t="str">
        <f>IF(ISNUMBER(N184),IF(ABS(N178+N179-N184)&lt;=50,0,ROUND(N178+N179-N184,0)),"n/p")</f>
        <v>n/p</v>
      </c>
      <c r="O185" s="211" t="str">
        <f>IF(ISNUMBER(O184),IF(ABS(O178+O179-O184)&lt;=50,0,ROUND(O178+O179-O184,0)),"n/p")</f>
        <v>n/p</v>
      </c>
      <c r="P185" s="211" t="str">
        <f>IF(ISNUMBER(P184),IF(ABS(P178+P179-P184)&lt;=50,0,ROUND(P178+P179-P184,0)),"n/p")</f>
        <v>n/p</v>
      </c>
      <c r="Q185" s="211" t="str">
        <f>IF(ISNUMBER(Q184),IF(ABS(Q178+Q179-Q184)&lt;=50,0,ROUND(Q178+Q179-Q184,0)),"n/p")</f>
        <v>n/p</v>
      </c>
      <c r="R185" s="211" t="str">
        <f>IF(ISNUMBER(R184),IF(ABS(R178+R179-R184)&lt;=50,0,ROUND(R178+R179-R184,0)),"n/p")</f>
        <v>n/p</v>
      </c>
      <c r="S185" s="211" t="str">
        <f>IF(ISNUMBER(S184),IF(ABS(S178+S179-S184)&lt;=50,0,ROUND(S178+S179-S184,0)),"n/p")</f>
        <v>n/p</v>
      </c>
      <c r="T185" s="211" t="str">
        <f>IF(ISNUMBER(T184),IF(ABS(T178+T179-T184)&lt;=50,0,ROUND(T178+T179-T184,0)),"n/p")</f>
        <v>n/p</v>
      </c>
      <c r="U185" s="211" t="str">
        <f>IF(ISNUMBER(U184),IF(ABS(U178+U179-U184)&lt;=50,0,ROUND(U178+U179-U184,0)),"n/p")</f>
        <v>n/p</v>
      </c>
      <c r="V185" s="211" t="str">
        <f>IF(ISNUMBER(V184),IF(ABS(V178+V179-V184)&lt;=50,0,ROUND(V178+V179-V184,0)),"n/p")</f>
        <v>n/p</v>
      </c>
      <c r="W185" s="211" t="str">
        <f>IF(ISNUMBER(W184),IF(ABS(W178+W179-W184)&lt;=50,0,ROUND(W178+W179-W184,0)),"n/p")</f>
        <v>n/p</v>
      </c>
      <c r="X185" s="211" t="str">
        <f>IF(ISNUMBER(X184),IF(ABS(X178+X179-X184)&lt;=50,0,ROUND(X178+X179-X184,0)),"n/p")</f>
        <v>n/p</v>
      </c>
      <c r="Y185" s="211" t="str">
        <f>IF(ISNUMBER(Y184),IF(ABS(Y178+Y179-Y184)&lt;=50,0,ROUND(Y178+Y179-Y184,0)),"n/p")</f>
        <v>n/p</v>
      </c>
      <c r="Z185" s="211" t="str">
        <f>IF(ISNUMBER(Z184),IF(ABS(Z178+Z179-Z184)&lt;=50,0,ROUND(Z178+Z179-Z184,0)),"n/p")</f>
        <v>n/p</v>
      </c>
      <c r="AA185" s="211" t="str">
        <f>IF(ISNUMBER(AA184),IF(ABS(AA178+AA179-AA184)&lt;=50,0,ROUND(AA178+AA179-AA184,0)),"n/p")</f>
        <v>n/p</v>
      </c>
      <c r="AB185" s="211" t="str">
        <f>IF(ISNUMBER(AB184),IF(ABS(AB178+AB179-AB184)&lt;=50,0,ROUND(AB178+AB179-AB184,0)),"n/p")</f>
        <v>n/p</v>
      </c>
      <c r="AC185" s="211" t="str">
        <f>IF(ISNUMBER(AC184),IF(ABS(AC178+AC179-AC184)&lt;=50,0,ROUND(AC178+AC179-AC184,0)),"n/p")</f>
        <v>n/p</v>
      </c>
      <c r="AD185" s="211" t="str">
        <f>IF(ISNUMBER(AD184),IF(ABS(AD178+AD179-AD184)&lt;=50,0,ROUND(AD178+AD179-AD184,0)),"n/p")</f>
        <v>n/p</v>
      </c>
      <c r="AE185" s="211" t="str">
        <f>IF(ISNUMBER(AE184),IF(ABS(AE178+AE179-AE184)&lt;=50,0,ROUND(AE178+AE179-AE184,0)),"n/p")</f>
        <v>n/p</v>
      </c>
      <c r="AF185" s="211" t="str">
        <f>IF(ISNUMBER(AF184),IF(ABS(AF178+AF179-AF184)&lt;=50,0,ROUND(AF178+AF179-AF184,0)),"n/p")</f>
        <v>n/p</v>
      </c>
      <c r="AG185" s="211" t="str">
        <f>IF(ISNUMBER(AG184),IF(ABS(AG178+AG179-AG184)&lt;=50,0,ROUND(AG178+AG179-AG184,0)),"n/p")</f>
        <v>n/p</v>
      </c>
      <c r="AH185" s="211" t="str">
        <f>IF(ISNUMBER(AH184),IF(ABS(AH178+AH179-AH184)&lt;=50,0,ROUND(AH178+AH179-AH184,0)),"n/p")</f>
        <v>n/p</v>
      </c>
      <c r="AI185" s="211" t="str">
        <f>IF(ISNUMBER(AI184),IF(ABS(AI178+AI179-AI184)&lt;=50,0,ROUND(AI178+AI179-AI184,0)),"n/p")</f>
        <v>n/p</v>
      </c>
      <c r="AJ185" s="211" t="str">
        <f>IF(ISNUMBER(AJ184),IF(ABS(AJ178+AJ179-AJ184)&lt;=50,0,ROUND(AJ178+AJ179-AJ184,0)),"n/p")</f>
        <v>n/p</v>
      </c>
      <c r="AK185" s="211" t="str">
        <f>IF(ISNUMBER(AK184),IF(ABS(AK178+AK179-AK184)&lt;=50,0,ROUND(AK178+AK179-AK184,0)),"n/p")</f>
        <v>n/p</v>
      </c>
      <c r="AL185" s="211" t="str">
        <f>IF(ISNUMBER(AL184),IF(ABS(AL178+AL179-AL184)&lt;=50,0,ROUND(AL178+AL179-AL184,0)),"n/p")</f>
        <v>n/p</v>
      </c>
      <c r="AM185" s="211" t="str">
        <f>IF(ISNUMBER(AM184),IF(ABS(AM178+AM179-AM184)&lt;=50,0,ROUND(AM178+AM179-AM184,0)),"n/p")</f>
        <v>n/p</v>
      </c>
      <c r="AN185" s="211" t="str">
        <f>IF(ISNUMBER(AN184),IF(ABS(AN178+AN179-AN184)&lt;=50,0,ROUND(AN178+AN179-AN184,0)),"n/p")</f>
        <v>n/p</v>
      </c>
      <c r="AO185" s="211" t="str">
        <f>IF(ISNUMBER(AO184),IF(ABS(AO178+AO179-AO184)&lt;=50,0,ROUND(AO178+AO179-AO184,0)),"n/p")</f>
        <v>n/p</v>
      </c>
      <c r="AP185" s="211" t="str">
        <f>IF(ISNUMBER(AP184),IF(ABS(AP178+AP179-AP184)&lt;=50,0,ROUND(AP178+AP179-AP184,0)),"n/p")</f>
        <v>n/p</v>
      </c>
      <c r="AQ185" s="211" t="str">
        <f>IF(ISNUMBER(AQ184),IF(ABS(AQ178+AQ179-AQ184)&lt;=50,0,ROUND(AQ178+AQ179-AQ184,0)),"n/p")</f>
        <v>n/p</v>
      </c>
      <c r="AR185" s="211" t="str">
        <f>IF(ISNUMBER(AR184),IF(ABS(AR178+AR179-AR184)&lt;=50,0,ROUND(AR178+AR179-AR184,0)),"n/p")</f>
        <v>n/p</v>
      </c>
      <c r="AS185" s="211" t="str">
        <f>IF(ISNUMBER(AS184),IF(ABS(AS178+AS179-AS184)&lt;=50,0,ROUND(AS178+AS179-AS184,0)),"n/p")</f>
        <v>n/p</v>
      </c>
      <c r="AT185" s="211" t="str">
        <f>IF(ISNUMBER(AT184),IF(ABS(AT178+AT179-AT184)&lt;=50,0,ROUND(AT178+AT179-AT184,0)),"n/p")</f>
        <v>n/p</v>
      </c>
      <c r="AU185" s="211" t="str">
        <f>IF(ISNUMBER(AU184),IF(ABS(AU178+AU179-AU184)&lt;=50,0,ROUND(AU178+AU179-AU184,0)),"n/p")</f>
        <v>n/p</v>
      </c>
      <c r="AV185" s="211" t="str">
        <f>IF(ISNUMBER(AV184),IF(ABS(AV178+AV179-AV184)&lt;=50,0,ROUND(AV178+AV179-AV184,0)),"n/p")</f>
        <v>n/p</v>
      </c>
      <c r="AW185" s="211" t="str">
        <f>IF(ISNUMBER(AW184),IF(ABS(AW178+AW179-AW184)&lt;=50,0,ROUND(AW178+AW179-AW184,0)),"n/p")</f>
        <v>n/p</v>
      </c>
      <c r="AX185" s="211" t="str">
        <f>IF(ISNUMBER(AX184),IF(ABS(AX178+AX179-AX184)&lt;=50,0,ROUND(AX178+AX179-AX184,0)),"n/p")</f>
        <v>n/p</v>
      </c>
      <c r="AY185" s="211" t="str">
        <f>IF(ISNUMBER(AY184),IF(ABS(AY178+AY179-AY184)&lt;=50,0,ROUND(AY178+AY179-AY184,0)),"n/p")</f>
        <v>n/p</v>
      </c>
      <c r="AZ185" s="211" t="str">
        <f>IF(ISNUMBER(AZ184),IF(ABS(AZ178+AZ179-AZ184)&lt;=50,0,ROUND(AZ178+AZ179-AZ184,0)),"n/p")</f>
        <v>n/p</v>
      </c>
      <c r="BA185" s="211" t="str">
        <f>IF(ISNUMBER(BA184),IF(ABS(BA178+BA179-BA184)&lt;=50,0,ROUND(BA178+BA179-BA184,0)),"n/p")</f>
        <v>n/p</v>
      </c>
      <c r="BB185" s="211" t="str">
        <f>IF(ISNUMBER(BB184),IF(ABS(BB178+BB179-BB184)&lt;=50,0,ROUND(BB178+BB179-BB184,0)),"n/p")</f>
        <v>n/p</v>
      </c>
      <c r="BC185" s="211" t="str">
        <f>IF(ISNUMBER(BC184),IF(ABS(BC178+BC179-BC184)&lt;=50,0,ROUND(BC178+BC179-BC184,0)),"n/p")</f>
        <v>n/p</v>
      </c>
      <c r="BD185" s="211" t="str">
        <f>IF(ISNUMBER(BD184),IF(ABS(BD178+BD179-BD184)&lt;=50,0,ROUND(BD178+BD179-BD184,0)),"n/p")</f>
        <v>n/p</v>
      </c>
      <c r="BE185" s="211" t="str">
        <f>IF(ISNUMBER(BE184),IF(ABS(BE178+BE179-BE184)&lt;=50,0,ROUND(BE178+BE179-BE184,0)),"n/p")</f>
        <v>n/p</v>
      </c>
      <c r="BF185" s="211" t="str">
        <f>IF(ISNUMBER(BF184),IF(ABS(BF178+BF179-BF184)&lt;=50,0,ROUND(BF178+BF179-BF184,0)),"n/p")</f>
        <v>n/p</v>
      </c>
      <c r="BG185" s="211" t="str">
        <f>IF(ISNUMBER(BG184),IF(ABS(BG178+BG179-BG184)&lt;=50,0,ROUND(BG178+BG179-BG184,0)),"n/p")</f>
        <v>n/p</v>
      </c>
      <c r="BH185" s="211" t="str">
        <f>IF(ISNUMBER(BH184),IF(ABS(BH178+BH179-BH184)&lt;=50,0,ROUND(BH178+BH179-BH184,0)),"n/p")</f>
        <v>n/p</v>
      </c>
      <c r="BI185" s="211" t="str">
        <f>IF(ISNUMBER(BI184),IF(ABS(BI178+BI179-BI184)&lt;=50,0,ROUND(BI178+BI179-BI184,0)),"n/p")</f>
        <v>n/p</v>
      </c>
      <c r="BJ185" s="211" t="str">
        <f>IF(ISNUMBER(BJ184),IF(ABS(BJ178+BJ179-BJ184)&lt;=50,0,ROUND(BJ178+BJ179-BJ184,0)),"n/p")</f>
        <v>n/p</v>
      </c>
      <c r="BK185" s="211" t="str">
        <f>IF(ISNUMBER(BK184),IF(ABS(BK178+BK179-BK184)&lt;=50,0,ROUND(BK178+BK179-BK184,0)),"n/p")</f>
        <v>n/p</v>
      </c>
      <c r="BL185" s="211" t="str">
        <f>IF(ISNUMBER(BL184),IF(ABS(BL178+BL179-BL184)&lt;=50,0,ROUND(BL178+BL179-BL184,0)),"n/p")</f>
        <v>n/p</v>
      </c>
      <c r="BM185" s="211" t="str">
        <f>IF(ISNUMBER(BM184),IF(ABS(BM178+BM179-BM184)&lt;=50,0,ROUND(BM178+BM179-BM184,0)),"n/p")</f>
        <v>n/p</v>
      </c>
      <c r="BN185" s="211" t="str">
        <f>IF(ISNUMBER(BN184),IF(ABS(BN178+BN179-BN184)&lt;=50,0,ROUND(BN178+BN179-BN184,0)),"n/p")</f>
        <v>n/p</v>
      </c>
      <c r="BO185" s="211" t="str">
        <f>IF(ISNUMBER(BO184),IF(ABS(BO178+BO179-BO184)&lt;=50,0,ROUND(BO178+BO179-BO184,0)),"n/p")</f>
        <v>n/p</v>
      </c>
      <c r="BP185" s="211" t="str">
        <f>IF(ISNUMBER(BP184),IF(ABS(BP178+BP179-BP184)&lt;=50,0,ROUND(BP178+BP179-BP184,0)),"n/p")</f>
        <v>n/p</v>
      </c>
      <c r="BQ185" s="211" t="str">
        <f>IF(ISNUMBER(BQ184),IF(ABS(BQ178+BQ179-BQ184)&lt;=50,0,ROUND(BQ178+BQ179-BQ184,0)),"n/p")</f>
        <v>n/p</v>
      </c>
      <c r="BR185" s="211" t="str">
        <f>IF(ISNUMBER(BR184),IF(ABS(BR178+BR179-BR184)&lt;=50,0,ROUND(BR178+BR179-BR184,0)),"n/p")</f>
        <v>n/p</v>
      </c>
      <c r="BS185" s="211" t="str">
        <f>IF(ISNUMBER(BS184),IF(ABS(BS178+BS179-BS184)&lt;=50,0,ROUND(BS178+BS179-BS184,0)),"n/p")</f>
        <v>n/p</v>
      </c>
      <c r="BT185" s="211">
        <f>IF(ISNUMBER(BT184),IF(ABS(BT178+BT179-BT184)&lt;=50,0,ROUND(BT178+BT179-BT184,0)),"n/p")</f>
        <v>0</v>
      </c>
      <c r="BU185" s="211">
        <f>IF(ISNUMBER(BU184),IF(ABS(BU178+BU179-BU184)&lt;=50,0,ROUND(BU178+BU179-BU184,0)),"n/p")</f>
        <v>0</v>
      </c>
      <c r="BV185" s="211" t="str">
        <f>IF(ISNUMBER(BV184),IF(ABS(BV178+BV179-BV184)&lt;=50,0,ROUND(BV178+BV179-BV184,0)),"n/p")</f>
        <v>n/p</v>
      </c>
      <c r="BW185" s="211" t="str">
        <f>IF(ISNUMBER(BW184),IF(ABS(BW178+BW179-BW184)&lt;=50,0,ROUND(BW178+BW179-BW184,0)),"n/p")</f>
        <v>n/p</v>
      </c>
      <c r="BX185" s="211" t="str">
        <f>IF(ISNUMBER(BX184),IF(ABS(BX178+BX179-BX184)&lt;=50,0,ROUND(BX178+BX179-BX184,0)),"n/p")</f>
        <v>n/p</v>
      </c>
      <c r="BY185" s="153" t="n"/>
      <c r="BZ185" s="153" t="n"/>
      <c r="CA185" s="153" t="n"/>
      <c r="CB185" s="153" t="n"/>
      <c r="CC185" s="153" t="n"/>
      <c r="CD185" s="153" t="n"/>
      <c r="CE185" s="153" t="n"/>
      <c r="CF185" s="153" t="n"/>
    </row>
    <row r="186" ht="15" customHeight="1" s="251">
      <c r="B186" s="158" t="inlineStr">
        <is>
          <t xml:space="preserve">  Definition / basis</t>
        </is>
      </c>
      <c r="C186" s="280" t="inlineStr">
        <is>
          <t>No adjusted operating income published — model adjusted OI = GAAP OI + items Amazon quantified (none before Q4-22)</t>
        </is>
      </c>
      <c r="J186" s="159" t="n"/>
      <c r="AJ186" s="159" t="n"/>
      <c r="AN186" s="159" t="n"/>
      <c r="BA186" s="159" t="n"/>
      <c r="BF186" s="280" t="inlineStr">
        <is>
          <t>Q4-22: ~$2.7bn charges (self-insurance estimates, impairments, severance) added back</t>
        </is>
      </c>
      <c r="BH186" s="280" t="inlineStr">
        <is>
          <t>Q1-23: ~$0.5bn severance added back</t>
        </is>
      </c>
      <c r="BM186" s="159" t="n"/>
      <c r="BT186" s="280" t="inlineStr">
        <is>
          <t>Q3-25: FTC settlement $2.5bn + severance $1.8bn; company-published OI ex charges $21.7bn</t>
        </is>
      </c>
      <c r="BU186" s="280" t="inlineStr">
        <is>
          <t>Q4-25: Italy tax disputes &amp; lawsuit $1.1bn, severance $0.73bn, impairments $0.61bn; ex charges $27.4bn</t>
        </is>
      </c>
      <c r="BW186" s="280" t="inlineStr">
        <is>
          <t>2026: energy-contract derivative remeasurements (gains) removed — excluded from Q3-26 guidance</t>
        </is>
      </c>
      <c r="BY186" s="153" t="n"/>
      <c r="BZ186" s="153" t="n"/>
      <c r="CA186" s="153" t="n"/>
      <c r="CB186" s="153" t="n"/>
      <c r="CC186" s="153" t="n"/>
      <c r="CD186" s="153" t="n"/>
      <c r="CE186" s="153" t="n"/>
      <c r="CF186" s="19" t="n"/>
    </row>
    <row r="187" ht="15" customHeight="1" s="251">
      <c r="B187" s="22" t="inlineStr">
        <is>
          <t xml:space="preserve">  Adjusted operating income y/y %</t>
        </is>
      </c>
      <c r="D187" s="255">
        <f>IF(AND(ISNUMBER(D182),ISNUMBER(C182)),IFERROR(D182/C182-1,""),"")</f>
        <v>0.683804627249357</v>
      </c>
      <c r="E187" s="255">
        <f>IF(AND(ISNUMBER(E182),ISNUMBER(D182)),IFERROR(E182/D182-1,""),"")</f>
        <v>0.285496183206107</v>
      </c>
      <c r="F187" s="255">
        <f>IF(AND(ISNUMBER(F182),ISNUMBER(E182)),IFERROR(F182/E182-1,""),"")</f>
        <v>0.340855106888361</v>
      </c>
      <c r="G187" s="255">
        <f>IF(AND(ISNUMBER(G182),ISNUMBER(F182)),IFERROR(G182/F182-1,""),"")</f>
        <v>0.245349867139061</v>
      </c>
      <c r="H187" s="255">
        <f>IF(AND(ISNUMBER(H182),ISNUMBER(G182)),IFERROR(H182/G182-1,""),"")</f>
        <v>-0.386913229018492</v>
      </c>
      <c r="I187" s="255">
        <f>IF(AND(ISNUMBER(I182),ISNUMBER(H182)),IFERROR(I182/H182-1,""),"")</f>
        <v>-0.215777262180974</v>
      </c>
      <c r="N187" s="255">
        <f>IF(AND(ISNUMBER(N182),ISNUMBER(I182)),IFERROR(N182/I182-1,""),"")</f>
        <v>0.10207100591716</v>
      </c>
      <c r="O187" s="255">
        <f>IF(AND(ISNUMBER(O182),ISNUMBER(J182)),IFERROR(O182/J182-1,""),"")</f>
        <v>-0.193370165745856</v>
      </c>
      <c r="P187" s="255">
        <f>IF(AND(ISNUMBER(P182),ISNUMBER(K182)),IFERROR(P182/K182-1,""),"")</f>
        <v>-1.18987341772152</v>
      </c>
      <c r="Q187" s="255">
        <f>IF(AND(ISNUMBER(Q182),ISNUMBER(L182)),IFERROR(Q182/L182-1,""),"")</f>
        <v>20.76</v>
      </c>
      <c r="R187" s="255">
        <f>IF(AND(ISNUMBER(R182),ISNUMBER(M182)),IFERROR(R182/M182-1,""),"")</f>
        <v>0.158823529411765</v>
      </c>
      <c r="S187" s="255">
        <f>IF(AND(ISNUMBER(S182),ISNUMBER(N182)),IFERROR(S182/N182-1,""),"")</f>
        <v>-0.761073825503356</v>
      </c>
      <c r="T187" s="255">
        <f>IF(AND(ISNUMBER(T182),ISNUMBER(O182)),IFERROR(T182/O182-1,""),"")</f>
        <v>0.746575342465754</v>
      </c>
      <c r="U187" s="255">
        <f>IF(AND(ISNUMBER(U182),ISNUMBER(P182)),IFERROR(U182/P182-1,""),"")</f>
        <v>-31.9333333333333</v>
      </c>
      <c r="V187" s="255">
        <f>IF(AND(ISNUMBER(V182),ISNUMBER(Q182)),IFERROR(V182/Q182-1,""),"")</f>
        <v>-1.74632352941176</v>
      </c>
      <c r="W187" s="255">
        <f>IF(AND(ISNUMBER(W182),ISNUMBER(R182)),IFERROR(W182/R182-1,""),"")</f>
        <v>0.874788494077834</v>
      </c>
      <c r="X187" s="255">
        <f>IF(AND(ISNUMBER(X182),ISNUMBER(S182)),IFERROR(X182/S182-1,""),"")</f>
        <v>11.5449438202247</v>
      </c>
      <c r="Y187" s="255">
        <f>IF(AND(ISNUMBER(Y182),ISNUMBER(T182)),IFERROR(Y182/T182-1,""),"")</f>
        <v>3.2</v>
      </c>
      <c r="Z187" s="255">
        <f>IF(AND(ISNUMBER(Z182),ISNUMBER(U182)),IFERROR(Z182/U182-1,""),"")</f>
        <v>1.76939655172414</v>
      </c>
      <c r="AA187" s="255">
        <f>IF(AND(ISNUMBER(AA182),ISNUMBER(V182)),IFERROR(AA182/V182-1,""),"")</f>
        <v>0.416256157635468</v>
      </c>
      <c r="AB187" s="255">
        <f>IF(AND(ISNUMBER(AB182),ISNUMBER(W182)),IFERROR(AB182/W182-1,""),"")</f>
        <v>0.132671480144404</v>
      </c>
      <c r="AC187" s="255">
        <f>IF(AND(ISNUMBER(AC182),ISNUMBER(X182)),IFERROR(AC182/X182-1,""),"")</f>
        <v>0.874608150470219</v>
      </c>
      <c r="AD187" s="255">
        <f>IF(AND(ISNUMBER(AD182),ISNUMBER(Y182)),IFERROR(AD182/Y182-1,""),"")</f>
        <v>-0.061624649859944</v>
      </c>
      <c r="AE187" s="255">
        <f>IF(AND(ISNUMBER(AE182),ISNUMBER(Z182)),IFERROR(AE182/Z182-1,""),"")</f>
        <v>-0.511284046692607</v>
      </c>
      <c r="AF187" s="255">
        <f>IF(AND(ISNUMBER(AF182),ISNUMBER(AA182)),IFERROR(AF182/AA182-1,""),"")</f>
        <v>-0.396521739130435</v>
      </c>
      <c r="AG187" s="255">
        <f>IF(AND(ISNUMBER(AG182),ISNUMBER(AB182)),IFERROR(AG182/AB182-1,""),"")</f>
        <v>0.694820717131474</v>
      </c>
      <c r="AH187" s="255">
        <f>IF(AND(ISNUMBER(AH182),ISNUMBER(AC182)),IFERROR(AH182/AC182-1,""),"")</f>
        <v>-0.0191113234591496</v>
      </c>
      <c r="AI187" s="255">
        <f>IF(AND(ISNUMBER(AI182),ISNUMBER(AD182)),IFERROR(AI182/AD182-1,""),"")</f>
        <v>0.917412935323383</v>
      </c>
      <c r="AJ187" s="255">
        <f>IF(AND(ISNUMBER(AJ182),ISNUMBER(AE182)),IFERROR(AJ182/AE182-1,""),"")</f>
        <v>3.75</v>
      </c>
      <c r="AK187" s="255">
        <f>IF(AND(ISNUMBER(AK182),ISNUMBER(AF182)),IFERROR(AK182/AF182-1,""),"")</f>
        <v>9.73198847262248</v>
      </c>
      <c r="AL187" s="255">
        <f>IF(AND(ISNUMBER(AL182),ISNUMBER(AG182)),IFERROR(AL182/AG182-1,""),"")</f>
        <v>0.779971791255289</v>
      </c>
      <c r="AM187" s="255">
        <f>IF(AND(ISNUMBER(AM182),ISNUMBER(AH182)),IFERROR(AM182/AH182-1,""),"")</f>
        <v>2.02508524111057</v>
      </c>
      <c r="AN187" s="255">
        <f>IF(AND(ISNUMBER(AN182),ISNUMBER(AI182)),IFERROR(AN182/AI182-1,""),"")</f>
        <v>1.29372080954852</v>
      </c>
      <c r="AO187" s="255">
        <f>IF(AND(ISNUMBER(AO182),ISNUMBER(AJ182)),IFERROR(AO182/AJ182-1,""),"")</f>
        <v>0.0338585316795172</v>
      </c>
      <c r="AP187" s="255">
        <f>IF(AND(ISNUMBER(AP182),ISNUMBER(AK182)),IFERROR(AP182/AK182-1,""),"")</f>
        <v>-0.152255639097744</v>
      </c>
      <c r="AQ187" s="255">
        <f>IF(AND(ISNUMBER(AQ182),ISNUMBER(AL182)),IFERROR(AQ182/AL182-1,""),"")</f>
        <v>0.0245641838351822</v>
      </c>
      <c r="AR187" s="255">
        <f>IF(AND(ISNUMBER(AR182),ISNUMBER(AM182)),IFERROR(AR182/AM182-1,""),"")</f>
        <v>0.17067868931648</v>
      </c>
      <c r="AS187" s="255">
        <f>IF(AND(ISNUMBER(AS182),ISNUMBER(AN182)),IFERROR(AS182/AN182-1,""),"")</f>
        <v>-0.0975113122171946</v>
      </c>
      <c r="AT187" s="255">
        <f>IF(AND(ISNUMBER(AT182),ISNUMBER(AO182)),IFERROR(AT182/AO182-1,""),"")</f>
        <v>0.89461738002594</v>
      </c>
      <c r="AU187" s="255">
        <f>IF(AND(ISNUMBER(AU182),ISNUMBER(AP182)),IFERROR(AU182/AP182-1,""),"")</f>
        <v>0.961989230281913</v>
      </c>
      <c r="AV187" s="255">
        <f>IF(AND(ISNUMBER(AV182),ISNUMBER(AQ182)),IFERROR(AV182/AQ182-1,""),"")</f>
        <v>0.77184841453983</v>
      </c>
      <c r="AW187" s="255">
        <f>IF(AND(ISNUMBER(AW182),ISNUMBER(AR182)),IFERROR(AW182/AR182-1,""),"")</f>
        <v>0.574788528987002</v>
      </c>
      <c r="AX187" s="255">
        <f>IF(AND(ISNUMBER(AX182),ISNUMBER(AS182)),IFERROR(AX182/AS182-1,""),"")</f>
        <v>1.2223614941088</v>
      </c>
      <c r="AY187" s="255">
        <f>IF(AND(ISNUMBER(AY182),ISNUMBER(AT182)),IFERROR(AY182/AT182-1,""),"")</f>
        <v>0.318158480232757</v>
      </c>
      <c r="AZ187" s="255">
        <f>IF(AND(ISNUMBER(AZ182),ISNUMBER(AU182)),IFERROR(AZ182/AU182-1,""),"")</f>
        <v>-0.216661285114627</v>
      </c>
      <c r="BA187" s="255">
        <f>IF(AND(ISNUMBER(BA182),ISNUMBER(AV182)),IFERROR(BA182/AV182-1,""),"")</f>
        <v>-0.496580823512295</v>
      </c>
      <c r="BB187" s="255">
        <f>IF(AND(ISNUMBER(BB182),ISNUMBER(AW182)),IFERROR(BB182/AW182-1,""),"")</f>
        <v>0.0864666579326607</v>
      </c>
      <c r="BC187" s="255">
        <f>IF(AND(ISNUMBER(BC182),ISNUMBER(AX182)),IFERROR(BC182/AX182-1,""),"")</f>
        <v>-0.586125211505922</v>
      </c>
      <c r="BD187" s="255">
        <f>IF(AND(ISNUMBER(BD182),ISNUMBER(AY182)),IFERROR(BD182/AY182-1,""),"")</f>
        <v>-0.569332640872501</v>
      </c>
      <c r="BE187" s="255">
        <f>IF(AND(ISNUMBER(BE182),ISNUMBER(AZ182)),IFERROR(BE182/AZ182-1,""),"")</f>
        <v>-0.47959604286892</v>
      </c>
      <c r="BF187" s="255">
        <f>IF(AND(ISNUMBER(BF182),ISNUMBER(BA182)),IFERROR(BF182/BA182-1,""),"")</f>
        <v>0.571387283236994</v>
      </c>
      <c r="BG187" s="255">
        <f>IF(AND(ISNUMBER(BG182),ISNUMBER(BB182)),IFERROR(BG182/BB182-1,""),"")</f>
        <v>-0.399171992443426</v>
      </c>
      <c r="BH187" s="255">
        <f>IF(AND(ISNUMBER(BH182),ISNUMBER(BC182)),IFERROR(BH182/BC182-1,""),"")</f>
        <v>0.437448896156991</v>
      </c>
      <c r="BI187" s="255">
        <f>IF(AND(ISNUMBER(BI182),ISNUMBER(BD182)),IFERROR(BI182/BD182-1,""),"")</f>
        <v>1.31564666867652</v>
      </c>
      <c r="BJ187" s="255">
        <f>IF(AND(ISNUMBER(BJ182),ISNUMBER(BE182)),IFERROR(BJ182/BE182-1,""),"")</f>
        <v>3.43089108910891</v>
      </c>
      <c r="BK187" s="255">
        <f>IF(AND(ISNUMBER(BK182),ISNUMBER(BF182)),IFERROR(BK182/BF182-1,""),"")</f>
        <v>1.42946477837042</v>
      </c>
      <c r="BL187" s="255">
        <f>IF(AND(ISNUMBER(BL182),ISNUMBER(BG182)),IFERROR(BL182/BG182-1,""),"")</f>
        <v>1.4987958255285</v>
      </c>
      <c r="BM187" s="255">
        <f>IF(AND(ISNUMBER(BM182),ISNUMBER(BH182)),IFERROR(BM182/BH182-1,""),"")</f>
        <v>1.90235115661737</v>
      </c>
      <c r="BN187" s="255">
        <f>IF(AND(ISNUMBER(BN182),ISNUMBER(BI182)),IFERROR(BN182/BI182-1,""),"")</f>
        <v>0.910167946881916</v>
      </c>
      <c r="BO187" s="255">
        <f>IF(AND(ISNUMBER(BO182),ISNUMBER(BJ182)),IFERROR(BO182/BJ182-1,""),"")</f>
        <v>0.556220951018949</v>
      </c>
      <c r="BP187" s="255">
        <f>IF(AND(ISNUMBER(BP182),ISNUMBER(BK182)),IFERROR(BP182/BK182-1,""),"")</f>
        <v>0.60519342872284</v>
      </c>
      <c r="BQ187" s="255">
        <f>IF(AND(ISNUMBER(BQ182),ISNUMBER(BL182)),IFERROR(BQ182/BL182-1,""),"")</f>
        <v>0.836394302848576</v>
      </c>
      <c r="BR187" s="255">
        <f>IF(AND(ISNUMBER(BR182),ISNUMBER(BM182)),IFERROR(BR182/BM182-1,""),"")</f>
        <v>0.202391062912393</v>
      </c>
      <c r="BS187" s="255">
        <f>IF(AND(ISNUMBER(BS182),ISNUMBER(BN182)),IFERROR(BS182/BN182-1,""),"")</f>
        <v>0.306638495092694</v>
      </c>
      <c r="BT187" s="255">
        <f>IF(AND(ISNUMBER(BT182),ISNUMBER(BO182)),IFERROR(BT182/BO182-1,""),"")</f>
        <v>0.247602090632359</v>
      </c>
      <c r="BU187" s="255">
        <f>IF(AND(ISNUMBER(BU182),ISNUMBER(BP182)),IFERROR(BU182/BP182-1,""),"")</f>
        <v>0.293071735131821</v>
      </c>
      <c r="BV187" s="255">
        <f>IF(AND(ISNUMBER(BV182),ISNUMBER(BQ182)),IFERROR(BV182/BQ182-1,""),"")</f>
        <v>0.264196054991034</v>
      </c>
      <c r="BW187" s="255">
        <f>IF(AND(ISNUMBER(BW182),ISNUMBER(BR182)),IFERROR(BW182/BR182-1,""),"")</f>
        <v>0.293344199945667</v>
      </c>
      <c r="BX187" s="255">
        <f>IF(AND(ISNUMBER(BX182),ISNUMBER(BS182)),IFERROR(BX182/BS182-1,""),"")</f>
        <v>0.40368264566272</v>
      </c>
      <c r="BY187" s="256">
        <f>IF(AND(ISNUMBER(BY182),ISNUMBER(BT182)),IFERROR(BY182/BT182-1,""),"")</f>
        <v>0.127888776355768</v>
      </c>
      <c r="BZ187" s="256">
        <f>IF(AND(ISNUMBER(BZ182),ISNUMBER(BU182)),IFERROR(BZ182/BU182-1,""),"")</f>
        <v>0.128519021530807</v>
      </c>
      <c r="CA187" s="256">
        <f>IF(AND(ISNUMBER(CA182),ISNUMBER(BV182)),IFERROR(CA182/BV182-1,""),"")</f>
        <v>0.224178123892177</v>
      </c>
      <c r="CB187" s="256">
        <f>IF(AND(ISNUMBER(CB182),ISNUMBER(CA182)),IFERROR(CB182/CA182-1,""),"")</f>
        <v>0.255578221095377</v>
      </c>
      <c r="CC187" s="256">
        <f>IF(AND(ISNUMBER(CC182),ISNUMBER(CB182)),IFERROR(CC182/CB182-1,""),"")</f>
        <v>0.203253186253327</v>
      </c>
      <c r="CD187" s="256">
        <f>IF(AND(ISNUMBER(CD182),ISNUMBER(CC182)),IFERROR(CD182/CC182-1,""),"")</f>
        <v>0.174970145218785</v>
      </c>
      <c r="CE187" s="256">
        <f>IF(AND(ISNUMBER(CE182),ISNUMBER(CD182)),IFERROR(CE182/CD182-1,""),"")</f>
        <v>0.162671686962761</v>
      </c>
      <c r="CF187" s="153" t="n"/>
    </row>
    <row r="188" ht="15" customHeight="1" s="251">
      <c r="B188" s="25" t="inlineStr">
        <is>
          <t xml:space="preserve">  Incremental adjusted operating margin (Δ adjusted OI / Δ net sales)</t>
        </is>
      </c>
      <c r="C188" s="36" t="n"/>
      <c r="D188" s="215">
        <f>IFERROR((D182-C182)/(D144-C144),"")</f>
        <v>0.0645004849660524</v>
      </c>
      <c r="E188" s="215">
        <f>IFERROR((E182-D182)/(E144-D144),"")</f>
        <v>0.0431770953590395</v>
      </c>
      <c r="F188" s="215">
        <f>IFERROR((F182-E182)/(F144-E144),"")</f>
        <v>0.0537151413063822</v>
      </c>
      <c r="G188" s="215">
        <f>IFERROR((G182-F182)/(G144-F144),"")</f>
        <v>0.0285714285714286</v>
      </c>
      <c r="H188" s="215">
        <f>IFERROR((H182-G182)/(H144-G144),"")</f>
        <v>-0.0392128595112809</v>
      </c>
      <c r="I188" s="215">
        <f>IFERROR((I182-H182)/(I144-H144),"")</f>
        <v>-0.0142901044867855</v>
      </c>
      <c r="J188" s="36" t="n"/>
      <c r="K188" s="36" t="n"/>
      <c r="L188" s="36" t="n"/>
      <c r="M188" s="36" t="n"/>
      <c r="N188" s="215">
        <f>IFERROR((N182-I182)/(N144-I144),"")</f>
        <v>0.00516505726476533</v>
      </c>
      <c r="O188" s="215">
        <f>IFERROR((O182-J182)/(O144-J144),"")</f>
        <v>-0.00953418687006265</v>
      </c>
      <c r="P188" s="215">
        <f>IFERROR((P182-K182)/(P144-K144),"")</f>
        <v>-0.0258525852585259</v>
      </c>
      <c r="Q188" s="215">
        <f>IFERROR((Q182-L182)/(Q144-L144),"")</f>
        <v>-0.14883854316031</v>
      </c>
      <c r="R188" s="215">
        <f>IFERROR((R182-M182)/(R144-M144),"")</f>
        <v>0.0216519647153168</v>
      </c>
      <c r="S188" s="215">
        <f>IFERROR((S182-N182)/(S144-N144),"")</f>
        <v>-0.0390066042927903</v>
      </c>
      <c r="T188" s="215">
        <f>IFERROR((T182-O182)/(T144-O144),"")</f>
        <v>0.0366263440860215</v>
      </c>
      <c r="U188" s="215">
        <f>IFERROR((U182-P182)/(U144-P144),"")</f>
        <v>0.124577373211964</v>
      </c>
      <c r="V188" s="215">
        <f>IFERROR((V182-Q182)/(V144-Q144),"")</f>
        <v>0.198786356978447</v>
      </c>
      <c r="W188" s="215">
        <f>IFERROR((W182-R182)/(W144-R144),"")</f>
        <v>0.0805421405203303</v>
      </c>
      <c r="X188" s="215">
        <f>IFERROR((X182-S182)/(X144-S144),"")</f>
        <v>0.114052614052614</v>
      </c>
      <c r="Y188" s="215">
        <f>IFERROR((Y182-T182)/(Y144-T144),"")</f>
        <v>0.127281235376696</v>
      </c>
      <c r="Z188" s="215">
        <f>IFERROR((Z182-U182)/(Z144-U144),"")</f>
        <v>0.113727663111234</v>
      </c>
      <c r="AA188" s="215">
        <f>IFERROR((AA182-V182)/(AA144-V144),"")</f>
        <v>0.0229744426318651</v>
      </c>
      <c r="AB188" s="215">
        <f>IFERROR((AB182-W182)/(AB144-W144),"")</f>
        <v>0.0183887915936953</v>
      </c>
      <c r="AC188" s="215">
        <f>IFERROR((AC182-X182)/(AC144-X144),"")</f>
        <v>0.0673889789862324</v>
      </c>
      <c r="AD188" s="215">
        <f>IFERROR((AD182-Y182)/(AD144-Y144),"")</f>
        <v>-0.0100212572122684</v>
      </c>
      <c r="AE188" s="215">
        <f>IFERROR((AE182-Z182)/(AE144-Z144),"")</f>
        <v>-0.0870083432657926</v>
      </c>
      <c r="AF188" s="215">
        <f>IFERROR((AF182-AA182)/(AF144-AA144),"")</f>
        <v>-0.0206708975521306</v>
      </c>
      <c r="AG188" s="215">
        <f>IFERROR((AG182-AB182)/(AG144-AB144),"")</f>
        <v>0.0521780756342748</v>
      </c>
      <c r="AH188" s="215">
        <f>IFERROR((AH182-AC182)/(AH144-AC144),"")</f>
        <v>-0.00191026528809188</v>
      </c>
      <c r="AI188" s="215">
        <f>IFERROR((AI182-AD182)/(AI144-AD144),"")</f>
        <v>0.060151356993737</v>
      </c>
      <c r="AJ188" s="215">
        <f>IFERROR((AJ182-AE182)/(AJ144-AE144),"")</f>
        <v>0.157725537472373</v>
      </c>
      <c r="AK188" s="215">
        <f>IFERROR((AK182-AF182)/(AK144-AF144),"")</f>
        <v>0.263170199501247</v>
      </c>
      <c r="AL188" s="215">
        <f>IFERROR((AL182-AG182)/(AL144-AG144),"")</f>
        <v>0.139061190276614</v>
      </c>
      <c r="AM188" s="215">
        <f>IFERROR((AM182-AH182)/(AM144-AH144),"")</f>
        <v>0.151124116246524</v>
      </c>
      <c r="AN188" s="215">
        <f>IFERROR((AN182-AI182)/(AN144-AI144),"")</f>
        <v>0.287941787941788</v>
      </c>
      <c r="AO188" s="215">
        <f>IFERROR((AO182-AJ182)/(AO144-AJ144),"")</f>
        <v>0.00960258604297395</v>
      </c>
      <c r="AP188" s="215">
        <f>IFERROR((AP182-AK182)/(AP144-AK144),"")</f>
        <v>-0.0422976501305483</v>
      </c>
      <c r="AQ188" s="215">
        <f>IFERROR((AQ182-AL182)/(AQ144-AL144),"")</f>
        <v>0.00617776006377043</v>
      </c>
      <c r="AR188" s="215">
        <f>IFERROR((AR182-AM182)/(AR144-AM144),"")</f>
        <v>0.0445050907945838</v>
      </c>
      <c r="AS188" s="215">
        <f>IFERROR((AS182-AN182)/(AS144-AN144),"")</f>
        <v>-0.0273616048755714</v>
      </c>
      <c r="AT188" s="215">
        <f>IFERROR((AT182-AO182)/(AT144-AO144),"")</f>
        <v>0.108162145209346</v>
      </c>
      <c r="AU188" s="215">
        <f>IFERROR((AU182-AP182)/(AU144-AP144),"")</f>
        <v>0.116075523620242</v>
      </c>
      <c r="AV188" s="215">
        <f>IFERROR((AV182-AQ182)/(AV144-AQ144),"")</f>
        <v>0.0785455690225091</v>
      </c>
      <c r="AW188" s="215">
        <f>IFERROR((AW182-AR182)/(AW144-AR144),"")</f>
        <v>0.0791912224517254</v>
      </c>
      <c r="AX188" s="215">
        <f>IFERROR((AX182-AS182)/(AX144-AS144),"")</f>
        <v>0.147462650456662</v>
      </c>
      <c r="AY188" s="215">
        <f>IFERROR((AY182-AT182)/(AY144-AT144),"")</f>
        <v>0.0769198940748097</v>
      </c>
      <c r="AZ188" s="215">
        <f>IFERROR((AZ182-AU182)/(AZ144-AU144),"")</f>
        <v>-0.0914979205018068</v>
      </c>
      <c r="BA188" s="215">
        <f>IFERROR((BA182-AV182)/(BA144-AV144),"")</f>
        <v>-0.287846841528211</v>
      </c>
      <c r="BB188" s="215">
        <f>IFERROR((BB182-AW182)/(BB144-AW144),"")</f>
        <v>0.0236395329401371</v>
      </c>
      <c r="BC188" s="215">
        <f>IFERROR((BC182-AX182)/(BC144-AX144),"")</f>
        <v>-0.6555639666919</v>
      </c>
      <c r="BD188" s="215">
        <f>IFERROR((BD182-AY182)/(BD144-AY144),"")</f>
        <v>-0.537772872209958</v>
      </c>
      <c r="BE188" s="215">
        <f>IFERROR((BE182-AZ182)/(BE144-AZ144),"")</f>
        <v>-0.142857142857143</v>
      </c>
      <c r="BF188" s="215">
        <f>IFERROR((BF182-BA182)/(BF144-BA144),"")</f>
        <v>0.167656037991859</v>
      </c>
      <c r="BG188" s="215">
        <f>IFERROR((BG182-BB182)/(BG144-BB144),"")</f>
        <v>-0.224881682932905</v>
      </c>
      <c r="BH188" s="215">
        <f>IFERROR((BH182-BC182)/(BH144-BC144),"")</f>
        <v>0.147058823529412</v>
      </c>
      <c r="BI188" s="215">
        <f>IFERROR((BI182-BD182)/(BI144-BD144),"")</f>
        <v>0.331888356529014</v>
      </c>
      <c r="BJ188" s="215">
        <f>IFERROR((BJ182-BE182)/(BJ144-BE144),"")</f>
        <v>0.542047303216118</v>
      </c>
      <c r="BK188" s="215">
        <f>IFERROR((BK182-BF182)/(BK144-BF144),"")</f>
        <v>0.374427903839669</v>
      </c>
      <c r="BL188" s="215">
        <f>IFERROR((BL182-BG182)/(BL144-BG144),"")</f>
        <v>0.368474721226275</v>
      </c>
      <c r="BM188" s="215">
        <f>IFERROR((BM182-BH182)/(BM144-BH144),"")</f>
        <v>0.628831087433406</v>
      </c>
      <c r="BN188" s="215">
        <f>IFERROR((BN182-BI182)/(BN144-BI144),"")</f>
        <v>0.514271001912609</v>
      </c>
      <c r="BO188" s="215">
        <f>IFERROR((BO182-BJ182)/(BO144-BJ144),"")</f>
        <v>0.394010383690009</v>
      </c>
      <c r="BP188" s="215">
        <f>IFERROR((BP182-BK182)/(BP144-BK144),"")</f>
        <v>0.448320340979194</v>
      </c>
      <c r="BQ188" s="215">
        <f>IFERROR((BQ182-BL182)/(BQ144-BL144),"")</f>
        <v>0.494523063285529</v>
      </c>
      <c r="BR188" s="215">
        <f>IFERROR((BR182-BM182)/(BR144-BM144),"")</f>
        <v>0.25076898170633</v>
      </c>
      <c r="BS188" s="215">
        <f>IFERROR((BS182-BN182)/(BS144-BN144),"")</f>
        <v>0.22808618504436</v>
      </c>
      <c r="BT188" s="215">
        <f>IFERROR((BT182-BO182)/(BT144-BO144),"")</f>
        <v>0.20247041142213</v>
      </c>
      <c r="BU188" s="215">
        <f>IFERROR((BU182-BP182)/(BU144-BP144),"")</f>
        <v>0.242791279206064</v>
      </c>
      <c r="BV188" s="215">
        <f>IFERROR((BV182-BQ182)/(BV144-BQ144),"")</f>
        <v>0.229494079655544</v>
      </c>
      <c r="BW188" s="215">
        <f>IFERROR((BW182-BR182)/(BW144-BR144),"")</f>
        <v>0.208842642735572</v>
      </c>
      <c r="BX188" s="215">
        <f>IFERROR((BX182-BS182)/(BX144-BS144),"")</f>
        <v>0.235199367858011</v>
      </c>
      <c r="BY188" s="256">
        <f>IFERROR((BY182-BT182)/(BY144-BT144),"")</f>
        <v>0.143706999120583</v>
      </c>
      <c r="BZ188" s="256">
        <f>IFERROR((BZ182-BU182)/(BZ144-BU144),"")</f>
        <v>0.115484621040569</v>
      </c>
      <c r="CA188" s="256">
        <f>IFERROR((CA182-BV182)/(CA144-BV144),"")</f>
        <v>0.179004412269293</v>
      </c>
      <c r="CB188" s="256">
        <f>IFERROR((CB182-CA182)/(CB144-CA144),"")</f>
        <v>0.229069401136917</v>
      </c>
      <c r="CC188" s="256">
        <f>IFERROR((CC182-CB182)/(CC144-CB144),"")</f>
        <v>0.215927425546125</v>
      </c>
      <c r="CD188" s="256">
        <f>IFERROR((CD182-CC182)/(CD144-CC144),"")</f>
        <v>0.2170428794058</v>
      </c>
      <c r="CE188" s="256">
        <f>IFERROR((CE182-CD182)/(CE144-CD144),"")</f>
        <v>0.233085390217064</v>
      </c>
      <c r="CF188" s="153" t="n"/>
    </row>
    <row r="189" ht="15" customHeight="1" s="251">
      <c r="CN189" s="11" t="n"/>
      <c r="CO189" s="12" t="n"/>
      <c r="CP189" s="12" t="n"/>
      <c r="CQ189" s="12" t="n"/>
      <c r="CR189" s="13" t="n"/>
    </row>
    <row r="190" ht="15" customHeight="1" s="251">
      <c r="B190" s="10" t="inlineStr">
        <is>
          <t>RECONCILIATION: NET INCOME → EBITDA → ADJUSTED EBITDA (model definitions — Amazon publishes no EBITDA)</t>
        </is>
      </c>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0" t="n"/>
      <c r="AZ190" s="10" t="n"/>
      <c r="BA190" s="10" t="n"/>
      <c r="BB190" s="10" t="n"/>
      <c r="BC190" s="10" t="n"/>
      <c r="BD190" s="10" t="n"/>
      <c r="BE190" s="10" t="n"/>
      <c r="BF190" s="10" t="n"/>
      <c r="BG190" s="10" t="n"/>
      <c r="BH190" s="10" t="n"/>
      <c r="BI190" s="10" t="n"/>
      <c r="BJ190" s="10" t="n"/>
      <c r="BK190" s="10" t="n"/>
      <c r="BL190" s="10" t="n"/>
      <c r="BM190" s="10" t="n"/>
      <c r="BN190" s="10" t="n"/>
      <c r="BO190" s="10" t="n"/>
      <c r="BP190" s="10" t="n"/>
      <c r="BQ190" s="10" t="n"/>
      <c r="BR190" s="10" t="n"/>
      <c r="BS190" s="10" t="n"/>
      <c r="BT190" s="10" t="n"/>
      <c r="BU190" s="10" t="n"/>
      <c r="BV190" s="10" t="n"/>
      <c r="BW190" s="10" t="n"/>
      <c r="BX190" s="10" t="n"/>
      <c r="BY190" s="10" t="n"/>
      <c r="BZ190" s="10" t="n"/>
      <c r="CA190" s="10" t="n"/>
      <c r="CB190" s="10" t="n"/>
      <c r="CC190" s="10" t="n"/>
      <c r="CD190" s="10" t="n"/>
      <c r="CE190" s="10" t="n"/>
      <c r="CF190" s="10" t="inlineStr">
        <is>
          <t>EBITDA — net income − equity-method activity + taxes − other income (expense) + interest expense − interest income = operating income; + total D&amp;A (as presented, incl. operating-lease ROU amortization) = EBITDA; + special items = adjusted EBITDA</t>
        </is>
      </c>
    </row>
    <row r="191" ht="15" customHeight="1" s="251">
      <c r="B191" s="16" t="inlineStr">
        <is>
          <t>Net income (GAAP)</t>
        </is>
      </c>
      <c r="C191" s="275">
        <f>C163</f>
        <v>190</v>
      </c>
      <c r="D191" s="275">
        <f>D163</f>
        <v>476</v>
      </c>
      <c r="E191" s="275">
        <f>E163</f>
        <v>645</v>
      </c>
      <c r="F191" s="275">
        <f>F163</f>
        <v>902</v>
      </c>
      <c r="G191" s="275">
        <f>G163</f>
        <v>1152</v>
      </c>
      <c r="H191" s="275">
        <f>H163</f>
        <v>631</v>
      </c>
      <c r="I191" s="275">
        <f>I163</f>
        <v>-39</v>
      </c>
      <c r="J191" s="275">
        <f>J163</f>
        <v>82</v>
      </c>
      <c r="K191" s="275">
        <f>K163</f>
        <v>-7</v>
      </c>
      <c r="L191" s="275">
        <f>L163</f>
        <v>-41</v>
      </c>
      <c r="M191" s="275">
        <f>M163</f>
        <v>239</v>
      </c>
      <c r="N191" s="275">
        <f>N163</f>
        <v>274</v>
      </c>
      <c r="O191" s="275">
        <f>O163</f>
        <v>108</v>
      </c>
      <c r="P191" s="275">
        <f>P163</f>
        <v>-126</v>
      </c>
      <c r="Q191" s="275">
        <f>Q163</f>
        <v>-437</v>
      </c>
      <c r="R191" s="275">
        <f>R163</f>
        <v>214</v>
      </c>
      <c r="S191" s="275">
        <f>S163</f>
        <v>-241</v>
      </c>
      <c r="T191" s="275">
        <f>T163</f>
        <v>-57</v>
      </c>
      <c r="U191" s="275">
        <f>U163</f>
        <v>92</v>
      </c>
      <c r="V191" s="275">
        <f>V163</f>
        <v>79</v>
      </c>
      <c r="W191" s="275">
        <f>W163</f>
        <v>482</v>
      </c>
      <c r="X191" s="275">
        <f>X163</f>
        <v>596</v>
      </c>
      <c r="Y191" s="275">
        <f>Y163</f>
        <v>513</v>
      </c>
      <c r="Z191" s="275">
        <f>Z163</f>
        <v>857</v>
      </c>
      <c r="AA191" s="275">
        <f>AA163</f>
        <v>252</v>
      </c>
      <c r="AB191" s="275">
        <f>AB163</f>
        <v>749</v>
      </c>
      <c r="AC191" s="275">
        <f>AC163</f>
        <v>2371</v>
      </c>
      <c r="AD191" s="275">
        <f>AD163</f>
        <v>724</v>
      </c>
      <c r="AE191" s="275">
        <f>AE163</f>
        <v>197</v>
      </c>
      <c r="AF191" s="275">
        <f>AF163</f>
        <v>256</v>
      </c>
      <c r="AG191" s="275">
        <f>AG163</f>
        <v>1856</v>
      </c>
      <c r="AH191" s="275">
        <f>AH163</f>
        <v>3033</v>
      </c>
      <c r="AI191" s="275">
        <f>AI163</f>
        <v>1629</v>
      </c>
      <c r="AJ191" s="275">
        <f>AJ163</f>
        <v>2534</v>
      </c>
      <c r="AK191" s="275">
        <f>AK163</f>
        <v>2883</v>
      </c>
      <c r="AL191" s="275">
        <f>AL163</f>
        <v>3027</v>
      </c>
      <c r="AM191" s="275">
        <f>AM163</f>
        <v>10073</v>
      </c>
      <c r="AN191" s="275">
        <f>AN163</f>
        <v>3561</v>
      </c>
      <c r="AO191" s="275">
        <f>AO163</f>
        <v>2625</v>
      </c>
      <c r="AP191" s="275">
        <f>AP163</f>
        <v>2134</v>
      </c>
      <c r="AQ191" s="275">
        <f>AQ163</f>
        <v>3268</v>
      </c>
      <c r="AR191" s="275">
        <f>AR163</f>
        <v>11588</v>
      </c>
      <c r="AS191" s="275">
        <f>AS163</f>
        <v>2535</v>
      </c>
      <c r="AT191" s="275">
        <f>AT163</f>
        <v>5243</v>
      </c>
      <c r="AU191" s="275">
        <f>AU163</f>
        <v>6331</v>
      </c>
      <c r="AV191" s="275">
        <f>AV163</f>
        <v>7222</v>
      </c>
      <c r="AW191" s="275">
        <f>AW163</f>
        <v>21331</v>
      </c>
      <c r="AX191" s="275">
        <f>AX163</f>
        <v>8107</v>
      </c>
      <c r="AY191" s="275">
        <f>AY163</f>
        <v>7778</v>
      </c>
      <c r="AZ191" s="275">
        <f>AZ163</f>
        <v>3156</v>
      </c>
      <c r="BA191" s="275">
        <f>BA163</f>
        <v>14323</v>
      </c>
      <c r="BB191" s="275">
        <f>BB163</f>
        <v>33364</v>
      </c>
      <c r="BC191" s="275">
        <f>BC163</f>
        <v>-3844</v>
      </c>
      <c r="BD191" s="275">
        <f>BD163</f>
        <v>-2028</v>
      </c>
      <c r="BE191" s="275">
        <f>BE163</f>
        <v>2872</v>
      </c>
      <c r="BF191" s="275">
        <f>BF163</f>
        <v>278</v>
      </c>
      <c r="BG191" s="275">
        <f>BG163</f>
        <v>-2722</v>
      </c>
      <c r="BH191" s="275">
        <f>BH163</f>
        <v>3172</v>
      </c>
      <c r="BI191" s="275">
        <f>BI163</f>
        <v>6750</v>
      </c>
      <c r="BJ191" s="275">
        <f>BJ163</f>
        <v>9879</v>
      </c>
      <c r="BK191" s="275">
        <f>BK163</f>
        <v>10624</v>
      </c>
      <c r="BL191" s="275">
        <f>BL163</f>
        <v>30425</v>
      </c>
      <c r="BM191" s="275">
        <f>BM163</f>
        <v>10431</v>
      </c>
      <c r="BN191" s="275">
        <f>BN163</f>
        <v>13485</v>
      </c>
      <c r="BO191" s="275">
        <f>BO163</f>
        <v>15328</v>
      </c>
      <c r="BP191" s="275">
        <f>BP163</f>
        <v>20004</v>
      </c>
      <c r="BQ191" s="275">
        <f>BQ163</f>
        <v>59248</v>
      </c>
      <c r="BR191" s="275">
        <f>BR163</f>
        <v>17127</v>
      </c>
      <c r="BS191" s="275">
        <f>BS163</f>
        <v>18164</v>
      </c>
      <c r="BT191" s="275">
        <f>BT163</f>
        <v>21187</v>
      </c>
      <c r="BU191" s="275">
        <f>BU163</f>
        <v>21192</v>
      </c>
      <c r="BV191" s="275">
        <f>BV163</f>
        <v>77670</v>
      </c>
      <c r="BW191" s="275">
        <f>BW163</f>
        <v>30255</v>
      </c>
      <c r="BX191" s="275">
        <f>BX163</f>
        <v>62647</v>
      </c>
      <c r="BY191" s="265">
        <f>BY163</f>
        <v>19324.08252</v>
      </c>
      <c r="BZ191" s="265">
        <f>BZ163</f>
        <v>24378.9733907812</v>
      </c>
      <c r="CA191" s="265">
        <f>CA163</f>
        <v>136605.055910781</v>
      </c>
      <c r="CB191" s="265">
        <f>CB163</f>
        <v>105559.404381086</v>
      </c>
      <c r="CC191" s="265">
        <f>CC163</f>
        <v>127702.653102788</v>
      </c>
      <c r="CD191" s="265">
        <f>CD163</f>
        <v>150300.087610364</v>
      </c>
      <c r="CE191" s="265">
        <f>CE163</f>
        <v>175129.32943124</v>
      </c>
      <c r="CF191" s="153" t="n"/>
    </row>
    <row r="192" ht="15" customHeight="1" s="251">
      <c r="B192" s="25" t="inlineStr">
        <is>
          <t xml:space="preserve">  (−) Equity-method investment activity, net of tax</t>
        </is>
      </c>
      <c r="C192" s="211">
        <f>-C162</f>
        <v>0</v>
      </c>
      <c r="D192" s="211">
        <f>-D162</f>
        <v>0</v>
      </c>
      <c r="E192" s="211">
        <f>-E162</f>
        <v>9</v>
      </c>
      <c r="F192" s="211">
        <f>-F162</f>
        <v>6</v>
      </c>
      <c r="G192" s="211">
        <f>-G162</f>
        <v>-7</v>
      </c>
      <c r="H192" s="211">
        <f>-H162</f>
        <v>12</v>
      </c>
      <c r="I192" s="211">
        <f>-I162</f>
        <v>155</v>
      </c>
      <c r="J192" s="211">
        <f>-J162</f>
        <v>17</v>
      </c>
      <c r="K192" s="211">
        <f>-K162</f>
        <v>11</v>
      </c>
      <c r="L192" s="211">
        <f>-L162</f>
        <v>10</v>
      </c>
      <c r="M192" s="211">
        <f>-M162</f>
        <v>33</v>
      </c>
      <c r="N192" s="211">
        <f>-N162</f>
        <v>71</v>
      </c>
      <c r="O192" s="211">
        <f>-O162</f>
        <v>-61</v>
      </c>
      <c r="P192" s="211">
        <f>-P162</f>
        <v>5</v>
      </c>
      <c r="Q192" s="211">
        <f>-Q162</f>
        <v>8</v>
      </c>
      <c r="R192" s="211">
        <f>-R162</f>
        <v>10</v>
      </c>
      <c r="S192" s="211">
        <f>-S162</f>
        <v>-37</v>
      </c>
      <c r="T192" s="211">
        <f>-T162</f>
        <v>7</v>
      </c>
      <c r="U192" s="211">
        <f>-U162</f>
        <v>4</v>
      </c>
      <c r="V192" s="211">
        <f>-V162</f>
        <v>7</v>
      </c>
      <c r="W192" s="211">
        <f>-W162</f>
        <v>3</v>
      </c>
      <c r="X192" s="211">
        <f>-X162</f>
        <v>22</v>
      </c>
      <c r="Y192" s="211">
        <f>-Y162</f>
        <v>68</v>
      </c>
      <c r="Z192" s="211">
        <f>-Z162</f>
        <v>15</v>
      </c>
      <c r="AA192" s="211">
        <f>-AA162</f>
        <v>10</v>
      </c>
      <c r="AB192" s="211">
        <f>-AB162</f>
        <v>3</v>
      </c>
      <c r="AC192" s="211">
        <f>-AC162</f>
        <v>96</v>
      </c>
      <c r="AD192" s="211">
        <f>-AD162</f>
        <v>0</v>
      </c>
      <c r="AE192" s="211">
        <f>-AE162</f>
        <v>2</v>
      </c>
      <c r="AF192" s="211">
        <f>-AF162</f>
        <v>2</v>
      </c>
      <c r="AG192" s="211">
        <f>-AG162</f>
        <v>0</v>
      </c>
      <c r="AH192" s="211">
        <f>-AH162</f>
        <v>4</v>
      </c>
      <c r="AI192" s="211">
        <f>-AI162</f>
        <v>0</v>
      </c>
      <c r="AJ192" s="211">
        <f>-AJ162</f>
        <v>-3</v>
      </c>
      <c r="AK192" s="211">
        <f>-AK162</f>
        <v>-1</v>
      </c>
      <c r="AL192" s="211">
        <f>-AL162</f>
        <v>-4</v>
      </c>
      <c r="AM192" s="211">
        <f>-AM162</f>
        <v>-9</v>
      </c>
      <c r="AN192" s="211">
        <f>-AN162</f>
        <v>4</v>
      </c>
      <c r="AO192" s="211">
        <f>-AO162</f>
        <v>7</v>
      </c>
      <c r="AP192" s="211">
        <f>-AP162</f>
        <v>4</v>
      </c>
      <c r="AQ192" s="211">
        <f>-AQ162</f>
        <v>-1</v>
      </c>
      <c r="AR192" s="211">
        <f>-AR162</f>
        <v>14</v>
      </c>
      <c r="AS192" s="211">
        <f>-AS162</f>
        <v>104</v>
      </c>
      <c r="AT192" s="211">
        <f>-AT162</f>
        <v>-6</v>
      </c>
      <c r="AU192" s="211">
        <f>-AU162</f>
        <v>-91</v>
      </c>
      <c r="AV192" s="211">
        <f>-AV162</f>
        <v>-23</v>
      </c>
      <c r="AW192" s="211">
        <f>-AW162</f>
        <v>-16</v>
      </c>
      <c r="AX192" s="211">
        <f>-AX162</f>
        <v>5</v>
      </c>
      <c r="AY192" s="211">
        <f>-AY162</f>
        <v>-12</v>
      </c>
      <c r="AZ192" s="211">
        <f>-AZ162</f>
        <v>4</v>
      </c>
      <c r="BA192" s="211">
        <f>-BA162</f>
        <v>-1</v>
      </c>
      <c r="BB192" s="211">
        <f>-BB162</f>
        <v>-4</v>
      </c>
      <c r="BC192" s="211">
        <f>-BC162</f>
        <v>1</v>
      </c>
      <c r="BD192" s="211">
        <f>-BD162</f>
        <v>12</v>
      </c>
      <c r="BE192" s="211">
        <f>-BE162</f>
        <v>3</v>
      </c>
      <c r="BF192" s="211">
        <f>-BF162</f>
        <v>-13</v>
      </c>
      <c r="BG192" s="211">
        <f>-BG162</f>
        <v>3</v>
      </c>
      <c r="BH192" s="211">
        <f>-BH162</f>
        <v>-1</v>
      </c>
      <c r="BI192" s="211">
        <f>-BI162</f>
        <v>9</v>
      </c>
      <c r="BJ192" s="211">
        <f>-BJ162</f>
        <v>4</v>
      </c>
      <c r="BK192" s="211">
        <f>-BK162</f>
        <v>0</v>
      </c>
      <c r="BL192" s="211">
        <f>-BL162</f>
        <v>12</v>
      </c>
      <c r="BM192" s="211">
        <f>-BM162</f>
        <v>85</v>
      </c>
      <c r="BN192" s="211">
        <f>-BN162</f>
        <v>-7</v>
      </c>
      <c r="BO192" s="211">
        <f>-BO162</f>
        <v>3</v>
      </c>
      <c r="BP192" s="211">
        <f>-BP162</f>
        <v>20</v>
      </c>
      <c r="BQ192" s="211">
        <f>-BQ162</f>
        <v>101</v>
      </c>
      <c r="BR192" s="211">
        <f>-BR162</f>
        <v>-1</v>
      </c>
      <c r="BS192" s="211">
        <f>-BS162</f>
        <v>15</v>
      </c>
      <c r="BT192" s="211">
        <f>-BT162</f>
        <v>73</v>
      </c>
      <c r="BU192" s="211">
        <f>-BU162</f>
        <v>467</v>
      </c>
      <c r="BV192" s="211">
        <f>-BV162</f>
        <v>554</v>
      </c>
      <c r="BW192" s="211">
        <f>-BW162</f>
        <v>19</v>
      </c>
      <c r="BX192" s="211">
        <f>-BX162</f>
        <v>11</v>
      </c>
      <c r="BY192" s="254">
        <f>-BY162</f>
        <v>0</v>
      </c>
      <c r="BZ192" s="254">
        <f>-BZ162</f>
        <v>0</v>
      </c>
      <c r="CA192" s="254">
        <f>-CA162</f>
        <v>30</v>
      </c>
      <c r="CB192" s="254">
        <f>-CB162</f>
        <v>0</v>
      </c>
      <c r="CC192" s="254">
        <f>-CC162</f>
        <v>0</v>
      </c>
      <c r="CD192" s="254">
        <f>-CD162</f>
        <v>0</v>
      </c>
      <c r="CE192" s="254">
        <f>-CE162</f>
        <v>0</v>
      </c>
      <c r="CF192" s="19" t="n"/>
    </row>
    <row r="193" ht="15" customHeight="1" s="251">
      <c r="B193" s="25" t="inlineStr">
        <is>
          <t xml:space="preserve">  (+) Provision for income taxes</t>
        </is>
      </c>
      <c r="C193" s="211">
        <f>C160</f>
        <v>187</v>
      </c>
      <c r="D193" s="211">
        <f>D160</f>
        <v>184</v>
      </c>
      <c r="E193" s="211">
        <f>E160</f>
        <v>247</v>
      </c>
      <c r="F193" s="211">
        <f>F160</f>
        <v>253</v>
      </c>
      <c r="G193" s="211">
        <f>G160</f>
        <v>352</v>
      </c>
      <c r="H193" s="211">
        <f>H160</f>
        <v>291</v>
      </c>
      <c r="I193" s="211">
        <f>I160</f>
        <v>428</v>
      </c>
      <c r="J193" s="211">
        <f>J160</f>
        <v>-18</v>
      </c>
      <c r="K193" s="211">
        <f>K160</f>
        <v>13</v>
      </c>
      <c r="L193" s="211">
        <f>L160</f>
        <v>-12</v>
      </c>
      <c r="M193" s="211">
        <f>M160</f>
        <v>179</v>
      </c>
      <c r="N193" s="211">
        <f>N160</f>
        <v>161</v>
      </c>
      <c r="O193" s="211">
        <f>O160</f>
        <v>73</v>
      </c>
      <c r="P193" s="211">
        <f>P160</f>
        <v>94</v>
      </c>
      <c r="Q193" s="211">
        <f>Q160</f>
        <v>-205</v>
      </c>
      <c r="R193" s="211">
        <f>R160</f>
        <v>205</v>
      </c>
      <c r="S193" s="211">
        <f>S160</f>
        <v>167</v>
      </c>
      <c r="T193" s="211">
        <f>T160</f>
        <v>71</v>
      </c>
      <c r="U193" s="211">
        <f>U160</f>
        <v>266</v>
      </c>
      <c r="V193" s="211">
        <f>V160</f>
        <v>161</v>
      </c>
      <c r="W193" s="211">
        <f>W160</f>
        <v>453</v>
      </c>
      <c r="X193" s="211">
        <f>X160</f>
        <v>950</v>
      </c>
      <c r="Y193" s="211">
        <f>Y160</f>
        <v>475</v>
      </c>
      <c r="Z193" s="211">
        <f>Z160</f>
        <v>307</v>
      </c>
      <c r="AA193" s="211">
        <f>AA160</f>
        <v>229</v>
      </c>
      <c r="AB193" s="211">
        <f>AB160</f>
        <v>414</v>
      </c>
      <c r="AC193" s="211">
        <f>AC160</f>
        <v>1425</v>
      </c>
      <c r="AD193" s="211">
        <f>AD160</f>
        <v>229</v>
      </c>
      <c r="AE193" s="211">
        <f>AE160</f>
        <v>467</v>
      </c>
      <c r="AF193" s="211">
        <f>AF160</f>
        <v>58</v>
      </c>
      <c r="AG193" s="211">
        <f>AG160</f>
        <v>16</v>
      </c>
      <c r="AH193" s="211">
        <f>AH160</f>
        <v>769</v>
      </c>
      <c r="AI193" s="211">
        <f>AI160</f>
        <v>287</v>
      </c>
      <c r="AJ193" s="211">
        <f>AJ160</f>
        <v>74</v>
      </c>
      <c r="AK193" s="211">
        <f>AK160</f>
        <v>508</v>
      </c>
      <c r="AL193" s="211">
        <f>AL160</f>
        <v>327</v>
      </c>
      <c r="AM193" s="211">
        <f>AM160</f>
        <v>1197</v>
      </c>
      <c r="AN193" s="211">
        <f>AN160</f>
        <v>836</v>
      </c>
      <c r="AO193" s="211">
        <f>AO160</f>
        <v>257</v>
      </c>
      <c r="AP193" s="211">
        <f>AP160</f>
        <v>494</v>
      </c>
      <c r="AQ193" s="211">
        <f>AQ160</f>
        <v>786</v>
      </c>
      <c r="AR193" s="211">
        <f>AR160</f>
        <v>2374</v>
      </c>
      <c r="AS193" s="211">
        <f>AS160</f>
        <v>744</v>
      </c>
      <c r="AT193" s="211">
        <f>AT160</f>
        <v>984</v>
      </c>
      <c r="AU193" s="211">
        <f>AU160</f>
        <v>569</v>
      </c>
      <c r="AV193" s="211">
        <f>AV160</f>
        <v>566</v>
      </c>
      <c r="AW193" s="211">
        <f>AW160</f>
        <v>2863</v>
      </c>
      <c r="AX193" s="211">
        <f>AX160</f>
        <v>2156</v>
      </c>
      <c r="AY193" s="211">
        <f>AY160</f>
        <v>868</v>
      </c>
      <c r="AZ193" s="211">
        <f>AZ160</f>
        <v>1155</v>
      </c>
      <c r="BA193" s="211">
        <f>BA160</f>
        <v>612</v>
      </c>
      <c r="BB193" s="211">
        <f>BB160</f>
        <v>4791</v>
      </c>
      <c r="BC193" s="211">
        <f>BC160</f>
        <v>-1422</v>
      </c>
      <c r="BD193" s="211">
        <f>BD160</f>
        <v>-637</v>
      </c>
      <c r="BE193" s="211">
        <f>BE160</f>
        <v>69</v>
      </c>
      <c r="BF193" s="211">
        <f>BF160</f>
        <v>-1227</v>
      </c>
      <c r="BG193" s="211">
        <f>BG160</f>
        <v>-3217</v>
      </c>
      <c r="BH193" s="211">
        <f>BH160</f>
        <v>948</v>
      </c>
      <c r="BI193" s="211">
        <f>BI160</f>
        <v>804</v>
      </c>
      <c r="BJ193" s="211">
        <f>BJ160</f>
        <v>2306</v>
      </c>
      <c r="BK193" s="211">
        <f>BK160</f>
        <v>3062</v>
      </c>
      <c r="BL193" s="211">
        <f>BL160</f>
        <v>7120</v>
      </c>
      <c r="BM193" s="211">
        <f>BM160</f>
        <v>2467</v>
      </c>
      <c r="BN193" s="211">
        <f>BN160</f>
        <v>1767</v>
      </c>
      <c r="BO193" s="211">
        <f>BO160</f>
        <v>2706</v>
      </c>
      <c r="BP193" s="211">
        <f>BP160</f>
        <v>2325</v>
      </c>
      <c r="BQ193" s="211">
        <f>BQ160</f>
        <v>9265</v>
      </c>
      <c r="BR193" s="211">
        <f>BR160</f>
        <v>4553</v>
      </c>
      <c r="BS193" s="211">
        <f>BS160</f>
        <v>2678</v>
      </c>
      <c r="BT193" s="211">
        <f>BT160</f>
        <v>6910</v>
      </c>
      <c r="BU193" s="211">
        <f>BU160</f>
        <v>4946</v>
      </c>
      <c r="BV193" s="211">
        <f>BV160</f>
        <v>19087</v>
      </c>
      <c r="BW193" s="211">
        <f>BW160</f>
        <v>9560</v>
      </c>
      <c r="BX193" s="211">
        <f>BX160</f>
        <v>18199</v>
      </c>
      <c r="BY193" s="254">
        <f>BY160</f>
        <v>4532.80948</v>
      </c>
      <c r="BZ193" s="254">
        <f>BZ160</f>
        <v>5718.52462252893</v>
      </c>
      <c r="CA193" s="254">
        <f>CA160</f>
        <v>38010.3341025289</v>
      </c>
      <c r="CB193" s="254">
        <f>CB160</f>
        <v>24760.8479412425</v>
      </c>
      <c r="CC193" s="254">
        <f>CC160</f>
        <v>29954.9433204071</v>
      </c>
      <c r="CD193" s="254">
        <f>CD160</f>
        <v>35255.5761061347</v>
      </c>
      <c r="CE193" s="254">
        <f>CE160</f>
        <v>41079.7192493032</v>
      </c>
      <c r="CF193" s="19" t="n"/>
    </row>
    <row r="194" ht="15" customHeight="1" s="251">
      <c r="B194" s="25" t="inlineStr">
        <is>
          <t xml:space="preserve">  (−) Other income (expense), net</t>
        </is>
      </c>
      <c r="C194" s="211">
        <f>-C158</f>
        <v>-7</v>
      </c>
      <c r="D194" s="211">
        <f>-D158</f>
        <v>8</v>
      </c>
      <c r="E194" s="211">
        <f>-E158</f>
        <v>-47</v>
      </c>
      <c r="F194" s="211">
        <f>-F158</f>
        <v>-29</v>
      </c>
      <c r="G194" s="211">
        <f>-G158</f>
        <v>-79</v>
      </c>
      <c r="H194" s="211">
        <f>-H158</f>
        <v>-76</v>
      </c>
      <c r="I194" s="211">
        <f>-I158</f>
        <v>80</v>
      </c>
      <c r="J194" s="211">
        <f>-J158</f>
        <v>77</v>
      </c>
      <c r="K194" s="211">
        <f>-K158</f>
        <v>38</v>
      </c>
      <c r="L194" s="211">
        <f>-L158</f>
        <v>-9</v>
      </c>
      <c r="M194" s="211">
        <f>-M158</f>
        <v>30</v>
      </c>
      <c r="N194" s="211">
        <f>-N158</f>
        <v>136</v>
      </c>
      <c r="O194" s="211">
        <f>-O158</f>
        <v>-5</v>
      </c>
      <c r="P194" s="211">
        <f>-P158</f>
        <v>-22</v>
      </c>
      <c r="Q194" s="211">
        <f>-Q158</f>
        <v>50</v>
      </c>
      <c r="R194" s="211">
        <f>-R158</f>
        <v>96</v>
      </c>
      <c r="S194" s="211">
        <f>-S158</f>
        <v>118</v>
      </c>
      <c r="T194" s="211">
        <f>-T158</f>
        <v>130</v>
      </c>
      <c r="U194" s="211">
        <f>-U158</f>
        <v>0</v>
      </c>
      <c r="V194" s="211">
        <f>-V158</f>
        <v>56</v>
      </c>
      <c r="W194" s="211">
        <f>-W158</f>
        <v>68</v>
      </c>
      <c r="X194" s="211">
        <f>-X158</f>
        <v>256</v>
      </c>
      <c r="Y194" s="211">
        <f>-Y158</f>
        <v>-81</v>
      </c>
      <c r="Z194" s="211">
        <f>-Z158</f>
        <v>14</v>
      </c>
      <c r="AA194" s="211">
        <f>-AA158</f>
        <v>-8</v>
      </c>
      <c r="AB194" s="211">
        <f>-AB158</f>
        <v>-14</v>
      </c>
      <c r="AC194" s="211">
        <f>-AC158</f>
        <v>-90</v>
      </c>
      <c r="AD194" s="211">
        <f>-AD158</f>
        <v>-48</v>
      </c>
      <c r="AE194" s="211">
        <f>-AE158</f>
        <v>-137</v>
      </c>
      <c r="AF194" s="211">
        <f>-AF158</f>
        <v>-143</v>
      </c>
      <c r="AG194" s="211">
        <f>-AG158</f>
        <v>-18</v>
      </c>
      <c r="AH194" s="211">
        <f>-AH158</f>
        <v>-346</v>
      </c>
      <c r="AI194" s="211">
        <f>-AI158</f>
        <v>-239</v>
      </c>
      <c r="AJ194" s="211">
        <f>-AJ158</f>
        <v>129</v>
      </c>
      <c r="AK194" s="211">
        <f>-AK158</f>
        <v>93</v>
      </c>
      <c r="AL194" s="211">
        <f>-AL158</f>
        <v>199</v>
      </c>
      <c r="AM194" s="211">
        <f>-AM158</f>
        <v>183</v>
      </c>
      <c r="AN194" s="211">
        <f>-AN158</f>
        <v>-164</v>
      </c>
      <c r="AO194" s="211">
        <f>-AO158</f>
        <v>27</v>
      </c>
      <c r="AP194" s="211">
        <f>-AP158</f>
        <v>353</v>
      </c>
      <c r="AQ194" s="211">
        <f>-AQ158</f>
        <v>-418</v>
      </c>
      <c r="AR194" s="211">
        <f>-AR158</f>
        <v>-203</v>
      </c>
      <c r="AS194" s="211">
        <f>-AS158</f>
        <v>406</v>
      </c>
      <c r="AT194" s="211">
        <f>-AT158</f>
        <v>-646</v>
      </c>
      <c r="AU194" s="211">
        <f>-AU158</f>
        <v>-925</v>
      </c>
      <c r="AV194" s="211">
        <f>-AV158</f>
        <v>-1206</v>
      </c>
      <c r="AW194" s="211">
        <f>-AW158</f>
        <v>-2371</v>
      </c>
      <c r="AX194" s="211">
        <f>-AX158</f>
        <v>-1697</v>
      </c>
      <c r="AY194" s="211">
        <f>-AY158</f>
        <v>-1261</v>
      </c>
      <c r="AZ194" s="211">
        <f>-AZ158</f>
        <v>163</v>
      </c>
      <c r="BA194" s="211">
        <f>-BA158</f>
        <v>-11838</v>
      </c>
      <c r="BB194" s="211">
        <f>-BB158</f>
        <v>-14633</v>
      </c>
      <c r="BC194" s="211">
        <f>-BC158</f>
        <v>8570</v>
      </c>
      <c r="BD194" s="211">
        <f>-BD158</f>
        <v>5545</v>
      </c>
      <c r="BE194" s="211">
        <f>-BE158</f>
        <v>-759</v>
      </c>
      <c r="BF194" s="211">
        <f>-BF158</f>
        <v>3450</v>
      </c>
      <c r="BG194" s="211">
        <f>-BG158</f>
        <v>16806</v>
      </c>
      <c r="BH194" s="211">
        <f>-BH158</f>
        <v>443</v>
      </c>
      <c r="BI194" s="211">
        <f>-BI158</f>
        <v>-61</v>
      </c>
      <c r="BJ194" s="211">
        <f>-BJ158</f>
        <v>-1031</v>
      </c>
      <c r="BK194" s="211">
        <f>-BK158</f>
        <v>-289</v>
      </c>
      <c r="BL194" s="211">
        <f>-BL158</f>
        <v>-938</v>
      </c>
      <c r="BM194" s="211">
        <f>-BM158</f>
        <v>2673</v>
      </c>
      <c r="BN194" s="211">
        <f>-BN158</f>
        <v>18</v>
      </c>
      <c r="BO194" s="211">
        <f>-BO158</f>
        <v>27</v>
      </c>
      <c r="BP194" s="211">
        <f>-BP158</f>
        <v>-468</v>
      </c>
      <c r="BQ194" s="211">
        <f>-BQ158</f>
        <v>2250</v>
      </c>
      <c r="BR194" s="211">
        <f>-BR158</f>
        <v>-2749</v>
      </c>
      <c r="BS194" s="211">
        <f>-BS158</f>
        <v>-1117</v>
      </c>
      <c r="BT194" s="211">
        <f>-BT158</f>
        <v>-10186</v>
      </c>
      <c r="BU194" s="211">
        <f>-BU158</f>
        <v>-1177</v>
      </c>
      <c r="BV194" s="211">
        <f>-BV158</f>
        <v>-15229</v>
      </c>
      <c r="BW194" s="211">
        <f>-BW158</f>
        <v>-15647</v>
      </c>
      <c r="BX194" s="211">
        <f>-BX158</f>
        <v>-53415</v>
      </c>
      <c r="BY194" s="254">
        <f>-BY158</f>
        <v>0</v>
      </c>
      <c r="BZ194" s="254">
        <f>-BZ158</f>
        <v>0</v>
      </c>
      <c r="CA194" s="254">
        <f>-CA158</f>
        <v>-69062</v>
      </c>
      <c r="CB194" s="254">
        <f>-CB158</f>
        <v>0</v>
      </c>
      <c r="CC194" s="254">
        <f>-CC158</f>
        <v>0</v>
      </c>
      <c r="CD194" s="254">
        <f>-CD158</f>
        <v>0</v>
      </c>
      <c r="CE194" s="254">
        <f>-CE158</f>
        <v>0</v>
      </c>
      <c r="CF194" s="19" t="n"/>
    </row>
    <row r="195" ht="15" customHeight="1" s="251">
      <c r="B195" s="25" t="inlineStr">
        <is>
          <t xml:space="preserve">  (+) Interest expense</t>
        </is>
      </c>
      <c r="C195" s="211">
        <f>C157</f>
        <v>78</v>
      </c>
      <c r="D195" s="211">
        <f>D157</f>
        <v>77</v>
      </c>
      <c r="E195" s="211">
        <f>E157</f>
        <v>71</v>
      </c>
      <c r="F195" s="211">
        <f>F157</f>
        <v>34</v>
      </c>
      <c r="G195" s="211">
        <f>G157</f>
        <v>39</v>
      </c>
      <c r="H195" s="211">
        <f>H157</f>
        <v>65</v>
      </c>
      <c r="I195" s="211">
        <f>I157</f>
        <v>92</v>
      </c>
      <c r="J195" s="211">
        <f>J157</f>
        <v>33</v>
      </c>
      <c r="K195" s="211">
        <f>K157</f>
        <v>33</v>
      </c>
      <c r="L195" s="211">
        <f>L157</f>
        <v>36</v>
      </c>
      <c r="M195" s="211">
        <f>M157</f>
        <v>39</v>
      </c>
      <c r="N195" s="211">
        <f>N157</f>
        <v>141</v>
      </c>
      <c r="O195" s="211">
        <f>O157</f>
        <v>42</v>
      </c>
      <c r="P195" s="211">
        <f>P157</f>
        <v>45</v>
      </c>
      <c r="Q195" s="211">
        <f>Q157</f>
        <v>49</v>
      </c>
      <c r="R195" s="211">
        <f>R157</f>
        <v>74</v>
      </c>
      <c r="S195" s="211">
        <f>S157</f>
        <v>210</v>
      </c>
      <c r="T195" s="211">
        <f>T157</f>
        <v>115</v>
      </c>
      <c r="U195" s="211">
        <f>U157</f>
        <v>114</v>
      </c>
      <c r="V195" s="211">
        <f>V157</f>
        <v>116</v>
      </c>
      <c r="W195" s="211">
        <f>W157</f>
        <v>115</v>
      </c>
      <c r="X195" s="211">
        <f>X157</f>
        <v>459</v>
      </c>
      <c r="Y195" s="211">
        <f>Y157</f>
        <v>117</v>
      </c>
      <c r="Z195" s="211">
        <f>Z157</f>
        <v>116</v>
      </c>
      <c r="AA195" s="211">
        <f>AA157</f>
        <v>118</v>
      </c>
      <c r="AB195" s="211">
        <f>AB157</f>
        <v>133</v>
      </c>
      <c r="AC195" s="211">
        <f>AC157</f>
        <v>484</v>
      </c>
      <c r="AD195" s="211">
        <f>AD157</f>
        <v>139</v>
      </c>
      <c r="AE195" s="211">
        <f>AE157</f>
        <v>143</v>
      </c>
      <c r="AF195" s="211">
        <f>AF157</f>
        <v>228</v>
      </c>
      <c r="AG195" s="211">
        <f>AG157</f>
        <v>339</v>
      </c>
      <c r="AH195" s="211">
        <f>AH157</f>
        <v>848</v>
      </c>
      <c r="AI195" s="211">
        <f>AI157</f>
        <v>330</v>
      </c>
      <c r="AJ195" s="211">
        <f>AJ157</f>
        <v>343</v>
      </c>
      <c r="AK195" s="211">
        <f>AK157</f>
        <v>358</v>
      </c>
      <c r="AL195" s="211">
        <f>AL157</f>
        <v>387</v>
      </c>
      <c r="AM195" s="211">
        <f>AM157</f>
        <v>1417</v>
      </c>
      <c r="AN195" s="211">
        <f>AN157</f>
        <v>366</v>
      </c>
      <c r="AO195" s="211">
        <f>AO157</f>
        <v>383</v>
      </c>
      <c r="AP195" s="211">
        <f>AP157</f>
        <v>396</v>
      </c>
      <c r="AQ195" s="211">
        <f>AQ157</f>
        <v>455</v>
      </c>
      <c r="AR195" s="211">
        <f>AR157</f>
        <v>1600</v>
      </c>
      <c r="AS195" s="211">
        <f>AS157</f>
        <v>402</v>
      </c>
      <c r="AT195" s="211">
        <f>AT157</f>
        <v>403</v>
      </c>
      <c r="AU195" s="211">
        <f>AU157</f>
        <v>428</v>
      </c>
      <c r="AV195" s="211">
        <f>AV157</f>
        <v>414</v>
      </c>
      <c r="AW195" s="211">
        <f>AW157</f>
        <v>1647</v>
      </c>
      <c r="AX195" s="211">
        <f>AX157</f>
        <v>399</v>
      </c>
      <c r="AY195" s="211">
        <f>AY157</f>
        <v>435</v>
      </c>
      <c r="AZ195" s="211">
        <f>AZ157</f>
        <v>493</v>
      </c>
      <c r="BA195" s="211">
        <f>BA157</f>
        <v>482</v>
      </c>
      <c r="BB195" s="211">
        <f>BB157</f>
        <v>1809</v>
      </c>
      <c r="BC195" s="211">
        <f>BC157</f>
        <v>472</v>
      </c>
      <c r="BD195" s="211">
        <f>BD157</f>
        <v>584</v>
      </c>
      <c r="BE195" s="211">
        <f>BE157</f>
        <v>617</v>
      </c>
      <c r="BF195" s="211">
        <f>BF157</f>
        <v>694</v>
      </c>
      <c r="BG195" s="211">
        <f>BG157</f>
        <v>2367</v>
      </c>
      <c r="BH195" s="211">
        <f>BH157</f>
        <v>823</v>
      </c>
      <c r="BI195" s="211">
        <f>BI157</f>
        <v>840</v>
      </c>
      <c r="BJ195" s="211">
        <f>BJ157</f>
        <v>806</v>
      </c>
      <c r="BK195" s="211">
        <f>BK157</f>
        <v>713</v>
      </c>
      <c r="BL195" s="211">
        <f>BL157</f>
        <v>3182</v>
      </c>
      <c r="BM195" s="211">
        <f>BM157</f>
        <v>644</v>
      </c>
      <c r="BN195" s="211">
        <f>BN157</f>
        <v>589</v>
      </c>
      <c r="BO195" s="211">
        <f>BO157</f>
        <v>603</v>
      </c>
      <c r="BP195" s="211">
        <f>BP157</f>
        <v>570</v>
      </c>
      <c r="BQ195" s="211">
        <f>BQ157</f>
        <v>2406</v>
      </c>
      <c r="BR195" s="211">
        <f>BR157</f>
        <v>541</v>
      </c>
      <c r="BS195" s="211">
        <f>BS157</f>
        <v>516</v>
      </c>
      <c r="BT195" s="211">
        <f>BT157</f>
        <v>538</v>
      </c>
      <c r="BU195" s="211">
        <f>BU157</f>
        <v>679</v>
      </c>
      <c r="BV195" s="211">
        <f>BV157</f>
        <v>2274</v>
      </c>
      <c r="BW195" s="211">
        <f>BW157</f>
        <v>800</v>
      </c>
      <c r="BX195" s="211">
        <f>BX157</f>
        <v>1314</v>
      </c>
      <c r="BY195" s="254">
        <f>BY157</f>
        <v>1750</v>
      </c>
      <c r="BZ195" s="254">
        <f>BZ157</f>
        <v>1950</v>
      </c>
      <c r="CA195" s="254">
        <f>CA157</f>
        <v>5814</v>
      </c>
      <c r="CB195" s="254">
        <f>CB157</f>
        <v>7933.2675</v>
      </c>
      <c r="CC195" s="254">
        <f>CC157</f>
        <v>8096.229</v>
      </c>
      <c r="CD195" s="254">
        <f>CD157</f>
        <v>8259.1905</v>
      </c>
      <c r="CE195" s="254">
        <f>CE157</f>
        <v>8259.1905</v>
      </c>
      <c r="CF195" s="19" t="n"/>
    </row>
    <row r="196" ht="15" customHeight="1" s="251">
      <c r="B196" s="25" t="inlineStr">
        <is>
          <t xml:space="preserve">  (−) Interest income</t>
        </is>
      </c>
      <c r="C196" s="211">
        <f>-C156</f>
        <v>-59</v>
      </c>
      <c r="D196" s="211">
        <f>-D156</f>
        <v>-90</v>
      </c>
      <c r="E196" s="211">
        <f>-E156</f>
        <v>-83</v>
      </c>
      <c r="F196" s="211">
        <f>-F156</f>
        <v>-37</v>
      </c>
      <c r="G196" s="211">
        <f>-G156</f>
        <v>-51</v>
      </c>
      <c r="H196" s="211">
        <f>-H156</f>
        <v>-61</v>
      </c>
      <c r="I196" s="211">
        <f>-I156</f>
        <v>-40</v>
      </c>
      <c r="J196" s="211">
        <f>-J156</f>
        <v>-10</v>
      </c>
      <c r="K196" s="211">
        <f>-K156</f>
        <v>-9</v>
      </c>
      <c r="L196" s="211">
        <f>-L156</f>
        <v>-9</v>
      </c>
      <c r="M196" s="211">
        <f>-M156</f>
        <v>-10</v>
      </c>
      <c r="N196" s="211">
        <f>-N156</f>
        <v>-38</v>
      </c>
      <c r="O196" s="211">
        <f>-O156</f>
        <v>-11</v>
      </c>
      <c r="P196" s="211">
        <f>-P156</f>
        <v>-11</v>
      </c>
      <c r="Q196" s="211">
        <f>-Q156</f>
        <v>-9</v>
      </c>
      <c r="R196" s="211">
        <f>-R156</f>
        <v>-8</v>
      </c>
      <c r="S196" s="211">
        <f>-S156</f>
        <v>-39</v>
      </c>
      <c r="T196" s="211">
        <f>-T156</f>
        <v>-11</v>
      </c>
      <c r="U196" s="211">
        <f>-U156</f>
        <v>-12</v>
      </c>
      <c r="V196" s="211">
        <f>-V156</f>
        <v>-13</v>
      </c>
      <c r="W196" s="211">
        <f>-W156</f>
        <v>-13</v>
      </c>
      <c r="X196" s="211">
        <f>-X156</f>
        <v>-50</v>
      </c>
      <c r="Y196" s="211">
        <f>-Y156</f>
        <v>-21</v>
      </c>
      <c r="Z196" s="211">
        <f>-Z156</f>
        <v>-24</v>
      </c>
      <c r="AA196" s="211">
        <f>-AA156</f>
        <v>-26</v>
      </c>
      <c r="AB196" s="211">
        <f>-AB156</f>
        <v>-30</v>
      </c>
      <c r="AC196" s="211">
        <f>-AC156</f>
        <v>-100</v>
      </c>
      <c r="AD196" s="211">
        <f>-AD156</f>
        <v>-39</v>
      </c>
      <c r="AE196" s="211">
        <f>-AE156</f>
        <v>-44</v>
      </c>
      <c r="AF196" s="211">
        <f>-AF156</f>
        <v>-54</v>
      </c>
      <c r="AG196" s="211">
        <f>-AG156</f>
        <v>-66</v>
      </c>
      <c r="AH196" s="211">
        <f>-AH156</f>
        <v>-202</v>
      </c>
      <c r="AI196" s="211">
        <f>-AI156</f>
        <v>-80</v>
      </c>
      <c r="AJ196" s="211">
        <f>-AJ156</f>
        <v>-94</v>
      </c>
      <c r="AK196" s="211">
        <f>-AK156</f>
        <v>-117</v>
      </c>
      <c r="AL196" s="211">
        <f>-AL156</f>
        <v>-150</v>
      </c>
      <c r="AM196" s="211">
        <f>-AM156</f>
        <v>-440</v>
      </c>
      <c r="AN196" s="211">
        <f>-AN156</f>
        <v>-183</v>
      </c>
      <c r="AO196" s="211">
        <f>-AO156</f>
        <v>-215</v>
      </c>
      <c r="AP196" s="211">
        <f>-AP156</f>
        <v>-224</v>
      </c>
      <c r="AQ196" s="211">
        <f>-AQ156</f>
        <v>-211</v>
      </c>
      <c r="AR196" s="211">
        <f>-AR156</f>
        <v>-832</v>
      </c>
      <c r="AS196" s="211">
        <f>-AS156</f>
        <v>-202</v>
      </c>
      <c r="AT196" s="211">
        <f>-AT156</f>
        <v>-135</v>
      </c>
      <c r="AU196" s="211">
        <f>-AU156</f>
        <v>-118</v>
      </c>
      <c r="AV196" s="211">
        <f>-AV156</f>
        <v>-100</v>
      </c>
      <c r="AW196" s="211">
        <f>-AW156</f>
        <v>-555</v>
      </c>
      <c r="AX196" s="211">
        <f>-AX156</f>
        <v>-105</v>
      </c>
      <c r="AY196" s="211">
        <f>-AY156</f>
        <v>-106</v>
      </c>
      <c r="AZ196" s="211">
        <f>-AZ156</f>
        <v>-119</v>
      </c>
      <c r="BA196" s="211">
        <f>-BA156</f>
        <v>-118</v>
      </c>
      <c r="BB196" s="211">
        <f>-BB156</f>
        <v>-448</v>
      </c>
      <c r="BC196" s="211">
        <f>-BC156</f>
        <v>-108</v>
      </c>
      <c r="BD196" s="211">
        <f>-BD156</f>
        <v>-159</v>
      </c>
      <c r="BE196" s="211">
        <f>-BE156</f>
        <v>-277</v>
      </c>
      <c r="BF196" s="211">
        <f>-BF156</f>
        <v>-445</v>
      </c>
      <c r="BG196" s="211">
        <f>-BG156</f>
        <v>-989</v>
      </c>
      <c r="BH196" s="211">
        <f>-BH156</f>
        <v>-611</v>
      </c>
      <c r="BI196" s="211">
        <f>-BI156</f>
        <v>-661</v>
      </c>
      <c r="BJ196" s="211">
        <f>-BJ156</f>
        <v>-776</v>
      </c>
      <c r="BK196" s="211">
        <f>-BK156</f>
        <v>-901</v>
      </c>
      <c r="BL196" s="211">
        <f>-BL156</f>
        <v>-2949</v>
      </c>
      <c r="BM196" s="211">
        <f>-BM156</f>
        <v>-993</v>
      </c>
      <c r="BN196" s="211">
        <f>-BN156</f>
        <v>-1180</v>
      </c>
      <c r="BO196" s="211">
        <f>-BO156</f>
        <v>-1256</v>
      </c>
      <c r="BP196" s="211">
        <f>-BP156</f>
        <v>-1248</v>
      </c>
      <c r="BQ196" s="211">
        <f>-BQ156</f>
        <v>-4677</v>
      </c>
      <c r="BR196" s="211">
        <f>-BR156</f>
        <v>-1066</v>
      </c>
      <c r="BS196" s="211">
        <f>-BS156</f>
        <v>-1085</v>
      </c>
      <c r="BT196" s="211">
        <f>-BT156</f>
        <v>-1100</v>
      </c>
      <c r="BU196" s="211">
        <f>-BU156</f>
        <v>-1130</v>
      </c>
      <c r="BV196" s="211">
        <f>-BV156</f>
        <v>-4381</v>
      </c>
      <c r="BW196" s="211">
        <f>-BW156</f>
        <v>-1135</v>
      </c>
      <c r="BX196" s="211">
        <f>-BX156</f>
        <v>-1295</v>
      </c>
      <c r="BY196" s="254">
        <f>-BY156</f>
        <v>-1106.892</v>
      </c>
      <c r="BZ196" s="254">
        <f>-BZ156</f>
        <v>-1106.892</v>
      </c>
      <c r="CA196" s="254">
        <f>-CA156</f>
        <v>-4643.784</v>
      </c>
      <c r="CB196" s="254">
        <f>-CB156</f>
        <v>-4968.10844305637</v>
      </c>
      <c r="CC196" s="254">
        <f>-CC156</f>
        <v>-5377.7295</v>
      </c>
      <c r="CD196" s="254">
        <f>-CD156</f>
        <v>-5377.7295</v>
      </c>
      <c r="CE196" s="254">
        <f>-CE156</f>
        <v>-5377.7295</v>
      </c>
      <c r="CF196" s="19" t="n"/>
    </row>
    <row r="197" ht="15" customHeight="1" s="251">
      <c r="B197" s="16" t="inlineStr">
        <is>
          <t xml:space="preserve">  = Operating income (EBIT)</t>
        </is>
      </c>
      <c r="C197" s="275">
        <f>IF(ISNUMBER(C191),SUM(C191:C196),"")</f>
        <v>389</v>
      </c>
      <c r="D197" s="275">
        <f>IF(ISNUMBER(D191),SUM(D191:D196),"")</f>
        <v>655</v>
      </c>
      <c r="E197" s="275">
        <f>IF(ISNUMBER(E191),SUM(E191:E196),"")</f>
        <v>842</v>
      </c>
      <c r="F197" s="275">
        <f>IF(ISNUMBER(F191),SUM(F191:F196),"")</f>
        <v>1129</v>
      </c>
      <c r="G197" s="275">
        <f>IF(ISNUMBER(G191),SUM(G191:G196),"")</f>
        <v>1406</v>
      </c>
      <c r="H197" s="275">
        <f>IF(ISNUMBER(H191),SUM(H191:H196),"")</f>
        <v>862</v>
      </c>
      <c r="I197" s="275">
        <f>IF(ISNUMBER(I191),SUM(I191:I196),"")</f>
        <v>676</v>
      </c>
      <c r="J197" s="275">
        <f>IF(ISNUMBER(J191),SUM(J191:J196),"")</f>
        <v>181</v>
      </c>
      <c r="K197" s="275">
        <f>IF(ISNUMBER(K191),SUM(K191:K196),"")</f>
        <v>79</v>
      </c>
      <c r="L197" s="275">
        <f>IF(ISNUMBER(L191),SUM(L191:L196),"")</f>
        <v>-25</v>
      </c>
      <c r="M197" s="275">
        <f>IF(ISNUMBER(M191),SUM(M191:M196),"")</f>
        <v>510</v>
      </c>
      <c r="N197" s="275">
        <f>IF(ISNUMBER(N191),SUM(N191:N196),"")</f>
        <v>745</v>
      </c>
      <c r="O197" s="275">
        <f>IF(ISNUMBER(O191),SUM(O191:O196),"")</f>
        <v>146</v>
      </c>
      <c r="P197" s="275">
        <f>IF(ISNUMBER(P191),SUM(P191:P196),"")</f>
        <v>-15</v>
      </c>
      <c r="Q197" s="275">
        <f>IF(ISNUMBER(Q191),SUM(Q191:Q196),"")</f>
        <v>-544</v>
      </c>
      <c r="R197" s="275">
        <f>IF(ISNUMBER(R191),SUM(R191:R196),"")</f>
        <v>591</v>
      </c>
      <c r="S197" s="275">
        <f>IF(ISNUMBER(S191),SUM(S191:S196),"")</f>
        <v>178</v>
      </c>
      <c r="T197" s="275">
        <f>IF(ISNUMBER(T191),SUM(T191:T196),"")</f>
        <v>255</v>
      </c>
      <c r="U197" s="275">
        <f>IF(ISNUMBER(U191),SUM(U191:U196),"")</f>
        <v>464</v>
      </c>
      <c r="V197" s="275">
        <f>IF(ISNUMBER(V191),SUM(V191:V196),"")</f>
        <v>406</v>
      </c>
      <c r="W197" s="275">
        <f>IF(ISNUMBER(W191),SUM(W191:W196),"")</f>
        <v>1108</v>
      </c>
      <c r="X197" s="275">
        <f>IF(ISNUMBER(X191),SUM(X191:X196),"")</f>
        <v>2233</v>
      </c>
      <c r="Y197" s="275">
        <f>IF(ISNUMBER(Y191),SUM(Y191:Y196),"")</f>
        <v>1071</v>
      </c>
      <c r="Z197" s="275">
        <f>IF(ISNUMBER(Z191),SUM(Z191:Z196),"")</f>
        <v>1285</v>
      </c>
      <c r="AA197" s="275">
        <f>IF(ISNUMBER(AA191),SUM(AA191:AA196),"")</f>
        <v>575</v>
      </c>
      <c r="AB197" s="275">
        <f>IF(ISNUMBER(AB191),SUM(AB191:AB196),"")</f>
        <v>1255</v>
      </c>
      <c r="AC197" s="275">
        <f>IF(ISNUMBER(AC191),SUM(AC191:AC196),"")</f>
        <v>4186</v>
      </c>
      <c r="AD197" s="275">
        <f>IF(ISNUMBER(AD191),SUM(AD191:AD196),"")</f>
        <v>1005</v>
      </c>
      <c r="AE197" s="275">
        <f>IF(ISNUMBER(AE191),SUM(AE191:AE196),"")</f>
        <v>628</v>
      </c>
      <c r="AF197" s="275">
        <f>IF(ISNUMBER(AF191),SUM(AF191:AF196),"")</f>
        <v>347</v>
      </c>
      <c r="AG197" s="275">
        <f>IF(ISNUMBER(AG191),SUM(AG191:AG196),"")</f>
        <v>2127</v>
      </c>
      <c r="AH197" s="275">
        <f>IF(ISNUMBER(AH191),SUM(AH191:AH196),"")</f>
        <v>4106</v>
      </c>
      <c r="AI197" s="275">
        <f>IF(ISNUMBER(AI191),SUM(AI191:AI196),"")</f>
        <v>1927</v>
      </c>
      <c r="AJ197" s="275">
        <f>IF(ISNUMBER(AJ191),SUM(AJ191:AJ196),"")</f>
        <v>2983</v>
      </c>
      <c r="AK197" s="275">
        <f>IF(ISNUMBER(AK191),SUM(AK191:AK196),"")</f>
        <v>3724</v>
      </c>
      <c r="AL197" s="275">
        <f>IF(ISNUMBER(AL191),SUM(AL191:AL196),"")</f>
        <v>3786</v>
      </c>
      <c r="AM197" s="275">
        <f>IF(ISNUMBER(AM191),SUM(AM191:AM196),"")</f>
        <v>12421</v>
      </c>
      <c r="AN197" s="275">
        <f>IF(ISNUMBER(AN191),SUM(AN191:AN196),"")</f>
        <v>4420</v>
      </c>
      <c r="AO197" s="275">
        <f>IF(ISNUMBER(AO191),SUM(AO191:AO196),"")</f>
        <v>3084</v>
      </c>
      <c r="AP197" s="275">
        <f>IF(ISNUMBER(AP191),SUM(AP191:AP196),"")</f>
        <v>3157</v>
      </c>
      <c r="AQ197" s="275">
        <f>IF(ISNUMBER(AQ191),SUM(AQ191:AQ196),"")</f>
        <v>3879</v>
      </c>
      <c r="AR197" s="275">
        <f>IF(ISNUMBER(AR191),SUM(AR191:AR196),"")</f>
        <v>14541</v>
      </c>
      <c r="AS197" s="275">
        <f>IF(ISNUMBER(AS191),SUM(AS191:AS196),"")</f>
        <v>3989</v>
      </c>
      <c r="AT197" s="275">
        <f>IF(ISNUMBER(AT191),SUM(AT191:AT196),"")</f>
        <v>5843</v>
      </c>
      <c r="AU197" s="275">
        <f>IF(ISNUMBER(AU191),SUM(AU191:AU196),"")</f>
        <v>6194</v>
      </c>
      <c r="AV197" s="275">
        <f>IF(ISNUMBER(AV191),SUM(AV191:AV196),"")</f>
        <v>6873</v>
      </c>
      <c r="AW197" s="275">
        <f>IF(ISNUMBER(AW191),SUM(AW191:AW196),"")</f>
        <v>22899</v>
      </c>
      <c r="AX197" s="275">
        <f>IF(ISNUMBER(AX191),SUM(AX191:AX196),"")</f>
        <v>8865</v>
      </c>
      <c r="AY197" s="275">
        <f>IF(ISNUMBER(AY191),SUM(AY191:AY196),"")</f>
        <v>7702</v>
      </c>
      <c r="AZ197" s="275">
        <f>IF(ISNUMBER(AZ191),SUM(AZ191:AZ196),"")</f>
        <v>4852</v>
      </c>
      <c r="BA197" s="275">
        <f>IF(ISNUMBER(BA191),SUM(BA191:BA196),"")</f>
        <v>3460</v>
      </c>
      <c r="BB197" s="275">
        <f>IF(ISNUMBER(BB191),SUM(BB191:BB196),"")</f>
        <v>24879</v>
      </c>
      <c r="BC197" s="275">
        <f>IF(ISNUMBER(BC191),SUM(BC191:BC196),"")</f>
        <v>3669</v>
      </c>
      <c r="BD197" s="275">
        <f>IF(ISNUMBER(BD191),SUM(BD191:BD196),"")</f>
        <v>3317</v>
      </c>
      <c r="BE197" s="275">
        <f>IF(ISNUMBER(BE191),SUM(BE191:BE196),"")</f>
        <v>2525</v>
      </c>
      <c r="BF197" s="275">
        <f>IF(ISNUMBER(BF191),SUM(BF191:BF196),"")</f>
        <v>2737</v>
      </c>
      <c r="BG197" s="275">
        <f>IF(ISNUMBER(BG191),SUM(BG191:BG196),"")</f>
        <v>12248</v>
      </c>
      <c r="BH197" s="275">
        <f>IF(ISNUMBER(BH191),SUM(BH191:BH196),"")</f>
        <v>4774</v>
      </c>
      <c r="BI197" s="275">
        <f>IF(ISNUMBER(BI191),SUM(BI191:BI196),"")</f>
        <v>7681</v>
      </c>
      <c r="BJ197" s="275">
        <f>IF(ISNUMBER(BJ191),SUM(BJ191:BJ196),"")</f>
        <v>11188</v>
      </c>
      <c r="BK197" s="275">
        <f>IF(ISNUMBER(BK191),SUM(BK191:BK196),"")</f>
        <v>13209</v>
      </c>
      <c r="BL197" s="275">
        <f>IF(ISNUMBER(BL191),SUM(BL191:BL196),"")</f>
        <v>36852</v>
      </c>
      <c r="BM197" s="275">
        <f>IF(ISNUMBER(BM191),SUM(BM191:BM196),"")</f>
        <v>15307</v>
      </c>
      <c r="BN197" s="275">
        <f>IF(ISNUMBER(BN191),SUM(BN191:BN196),"")</f>
        <v>14672</v>
      </c>
      <c r="BO197" s="275">
        <f>IF(ISNUMBER(BO191),SUM(BO191:BO196),"")</f>
        <v>17411</v>
      </c>
      <c r="BP197" s="275">
        <f>IF(ISNUMBER(BP191),SUM(BP191:BP196),"")</f>
        <v>21203</v>
      </c>
      <c r="BQ197" s="275">
        <f>IF(ISNUMBER(BQ191),SUM(BQ191:BQ196),"")</f>
        <v>68593</v>
      </c>
      <c r="BR197" s="275">
        <f>IF(ISNUMBER(BR191),SUM(BR191:BR196),"")</f>
        <v>18405</v>
      </c>
      <c r="BS197" s="275">
        <f>IF(ISNUMBER(BS191),SUM(BS191:BS196),"")</f>
        <v>19171</v>
      </c>
      <c r="BT197" s="275">
        <f>IF(ISNUMBER(BT191),SUM(BT191:BT196),"")</f>
        <v>17422</v>
      </c>
      <c r="BU197" s="275">
        <f>IF(ISNUMBER(BU191),SUM(BU191:BU196),"")</f>
        <v>24977</v>
      </c>
      <c r="BV197" s="275">
        <f>IF(ISNUMBER(BV191),SUM(BV191:BV196),"")</f>
        <v>79975</v>
      </c>
      <c r="BW197" s="275">
        <f>IF(ISNUMBER(BW191),SUM(BW191:BW196),"")</f>
        <v>23852</v>
      </c>
      <c r="BX197" s="275">
        <f>IF(ISNUMBER(BX191),SUM(BX191:BX196),"")</f>
        <v>27461</v>
      </c>
      <c r="BY197" s="265">
        <f>IF(ISNUMBER(BY191),SUM(BY191:BY196),"")</f>
        <v>24500</v>
      </c>
      <c r="BZ197" s="265">
        <f>IF(ISNUMBER(BZ191),SUM(BZ191:BZ196),"")</f>
        <v>30940.6060133102</v>
      </c>
      <c r="CA197" s="265">
        <f>IF(ISNUMBER(CA191),SUM(CA191:CA196),"")</f>
        <v>106753.60601331</v>
      </c>
      <c r="CB197" s="265">
        <f>IF(ISNUMBER(CB191),SUM(CB191:CB196),"")</f>
        <v>133285.411379273</v>
      </c>
      <c r="CC197" s="265">
        <f>IF(ISNUMBER(CC191),SUM(CC191:CC196),"")</f>
        <v>160376.095923195</v>
      </c>
      <c r="CD197" s="265">
        <f>IF(ISNUMBER(CD191),SUM(CD191:CD196),"")</f>
        <v>188437.124716498</v>
      </c>
      <c r="CE197" s="265">
        <f>IF(ISNUMBER(CE191),SUM(CE191:CE196),"")</f>
        <v>219090.509680543</v>
      </c>
      <c r="CF197" s="153" t="n"/>
    </row>
    <row r="198" ht="15" customHeight="1" s="251">
      <c r="B198" s="57" t="inlineStr">
        <is>
          <t xml:space="preserve">  Check: bridge vs reported operating income (should be 0)</t>
        </is>
      </c>
      <c r="C198" s="211">
        <f>IF(ISNUMBER(C197),IF(ABS(C197-C154)&lt;=1.01,0,ROUND(C197-C154,0)),"")</f>
        <v>0</v>
      </c>
      <c r="D198" s="211">
        <f>IF(ISNUMBER(D197),IF(ABS(D197-D154)&lt;=1.01,0,ROUND(D197-D154,0)),"")</f>
        <v>0</v>
      </c>
      <c r="E198" s="211">
        <f>IF(ISNUMBER(E197),IF(ABS(E197-E154)&lt;=1.01,0,ROUND(E197-E154,0)),"")</f>
        <v>0</v>
      </c>
      <c r="F198" s="211">
        <f>IF(ISNUMBER(F197),IF(ABS(F197-F154)&lt;=1.01,0,ROUND(F197-F154,0)),"")</f>
        <v>0</v>
      </c>
      <c r="G198" s="211">
        <f>IF(ISNUMBER(G197),IF(ABS(G197-G154)&lt;=1.01,0,ROUND(G197-G154,0)),"")</f>
        <v>0</v>
      </c>
      <c r="H198" s="211">
        <f>IF(ISNUMBER(H197),IF(ABS(H197-H154)&lt;=1.01,0,ROUND(H197-H154,0)),"")</f>
        <v>0</v>
      </c>
      <c r="I198" s="211">
        <f>IF(ISNUMBER(I197),IF(ABS(I197-I154)&lt;=1.01,0,ROUND(I197-I154,0)),"")</f>
        <v>0</v>
      </c>
      <c r="J198" s="211">
        <f>IF(ISNUMBER(J197),IF(ABS(J197-J154)&lt;=1.01,0,ROUND(J197-J154,0)),"")</f>
        <v>0</v>
      </c>
      <c r="K198" s="211">
        <f>IF(ISNUMBER(K197),IF(ABS(K197-K154)&lt;=1.01,0,ROUND(K197-K154,0)),"")</f>
        <v>0</v>
      </c>
      <c r="L198" s="211">
        <f>IF(ISNUMBER(L197),IF(ABS(L197-L154)&lt;=1.01,0,ROUND(L197-L154,0)),"")</f>
        <v>0</v>
      </c>
      <c r="M198" s="211">
        <f>IF(ISNUMBER(M197),IF(ABS(M197-M154)&lt;=1.01,0,ROUND(M197-M154,0)),"")</f>
        <v>0</v>
      </c>
      <c r="N198" s="211">
        <f>IF(ISNUMBER(N197),IF(ABS(N197-N154)&lt;=1.01,0,ROUND(N197-N154,0)),"")</f>
        <v>0</v>
      </c>
      <c r="O198" s="211">
        <f>IF(ISNUMBER(O197),IF(ABS(O197-O154)&lt;=1.01,0,ROUND(O197-O154,0)),"")</f>
        <v>0</v>
      </c>
      <c r="P198" s="211">
        <f>IF(ISNUMBER(P197),IF(ABS(P197-P154)&lt;=1.01,0,ROUND(P197-P154,0)),"")</f>
        <v>0</v>
      </c>
      <c r="Q198" s="211">
        <f>IF(ISNUMBER(Q197),IF(ABS(Q197-Q154)&lt;=1.01,0,ROUND(Q197-Q154,0)),"")</f>
        <v>0</v>
      </c>
      <c r="R198" s="211">
        <f>IF(ISNUMBER(R197),IF(ABS(R197-R154)&lt;=1.01,0,ROUND(R197-R154,0)),"")</f>
        <v>0</v>
      </c>
      <c r="S198" s="211">
        <f>IF(ISNUMBER(S197),IF(ABS(S197-S154)&lt;=1.01,0,ROUND(S197-S154,0)),"")</f>
        <v>0</v>
      </c>
      <c r="T198" s="211">
        <f>IF(ISNUMBER(T197),IF(ABS(T197-T154)&lt;=1.01,0,ROUND(T197-T154,0)),"")</f>
        <v>0</v>
      </c>
      <c r="U198" s="211">
        <f>IF(ISNUMBER(U197),IF(ABS(U197-U154)&lt;=1.01,0,ROUND(U197-U154,0)),"")</f>
        <v>0</v>
      </c>
      <c r="V198" s="211">
        <f>IF(ISNUMBER(V197),IF(ABS(V197-V154)&lt;=1.01,0,ROUND(V197-V154,0)),"")</f>
        <v>0</v>
      </c>
      <c r="W198" s="211">
        <f>IF(ISNUMBER(W197),IF(ABS(W197-W154)&lt;=1.01,0,ROUND(W197-W154,0)),"")</f>
        <v>0</v>
      </c>
      <c r="X198" s="211">
        <f>IF(ISNUMBER(X197),IF(ABS(X197-X154)&lt;=1.01,0,ROUND(X197-X154,0)),"")</f>
        <v>0</v>
      </c>
      <c r="Y198" s="211">
        <f>IF(ISNUMBER(Y197),IF(ABS(Y197-Y154)&lt;=1.01,0,ROUND(Y197-Y154,0)),"")</f>
        <v>0</v>
      </c>
      <c r="Z198" s="211">
        <f>IF(ISNUMBER(Z197),IF(ABS(Z197-Z154)&lt;=1.01,0,ROUND(Z197-Z154,0)),"")</f>
        <v>0</v>
      </c>
      <c r="AA198" s="211">
        <f>IF(ISNUMBER(AA197),IF(ABS(AA197-AA154)&lt;=1.01,0,ROUND(AA197-AA154,0)),"")</f>
        <v>0</v>
      </c>
      <c r="AB198" s="211">
        <f>IF(ISNUMBER(AB197),IF(ABS(AB197-AB154)&lt;=1.01,0,ROUND(AB197-AB154,0)),"")</f>
        <v>0</v>
      </c>
      <c r="AC198" s="211">
        <f>IF(ISNUMBER(AC197),IF(ABS(AC197-AC154)&lt;=1.01,0,ROUND(AC197-AC154,0)),"")</f>
        <v>0</v>
      </c>
      <c r="AD198" s="211">
        <f>IF(ISNUMBER(AD197),IF(ABS(AD197-AD154)&lt;=1.01,0,ROUND(AD197-AD154,0)),"")</f>
        <v>0</v>
      </c>
      <c r="AE198" s="211">
        <f>IF(ISNUMBER(AE197),IF(ABS(AE197-AE154)&lt;=1.01,0,ROUND(AE197-AE154,0)),"")</f>
        <v>0</v>
      </c>
      <c r="AF198" s="211">
        <f>IF(ISNUMBER(AF197),IF(ABS(AF197-AF154)&lt;=1.01,0,ROUND(AF197-AF154,0)),"")</f>
        <v>0</v>
      </c>
      <c r="AG198" s="211">
        <f>IF(ISNUMBER(AG197),IF(ABS(AG197-AG154)&lt;=1.01,0,ROUND(AG197-AG154,0)),"")</f>
        <v>0</v>
      </c>
      <c r="AH198" s="211">
        <f>IF(ISNUMBER(AH197),IF(ABS(AH197-AH154)&lt;=1.01,0,ROUND(AH197-AH154,0)),"")</f>
        <v>0</v>
      </c>
      <c r="AI198" s="211">
        <f>IF(ISNUMBER(AI197),IF(ABS(AI197-AI154)&lt;=1.01,0,ROUND(AI197-AI154,0)),"")</f>
        <v>0</v>
      </c>
      <c r="AJ198" s="211">
        <f>IF(ISNUMBER(AJ197),IF(ABS(AJ197-AJ154)&lt;=1.01,0,ROUND(AJ197-AJ154,0)),"")</f>
        <v>0</v>
      </c>
      <c r="AK198" s="211">
        <f>IF(ISNUMBER(AK197),IF(ABS(AK197-AK154)&lt;=1.01,0,ROUND(AK197-AK154,0)),"")</f>
        <v>0</v>
      </c>
      <c r="AL198" s="211">
        <f>IF(ISNUMBER(AL197),IF(ABS(AL197-AL154)&lt;=1.01,0,ROUND(AL197-AL154,0)),"")</f>
        <v>0</v>
      </c>
      <c r="AM198" s="211">
        <f>IF(ISNUMBER(AM197),IF(ABS(AM197-AM154)&lt;=1.01,0,ROUND(AM197-AM154,0)),"")</f>
        <v>0</v>
      </c>
      <c r="AN198" s="211">
        <f>IF(ISNUMBER(AN197),IF(ABS(AN197-AN154)&lt;=1.01,0,ROUND(AN197-AN154,0)),"")</f>
        <v>0</v>
      </c>
      <c r="AO198" s="211">
        <f>IF(ISNUMBER(AO197),IF(ABS(AO197-AO154)&lt;=1.01,0,ROUND(AO197-AO154,0)),"")</f>
        <v>0</v>
      </c>
      <c r="AP198" s="211">
        <f>IF(ISNUMBER(AP197),IF(ABS(AP197-AP154)&lt;=1.01,0,ROUND(AP197-AP154,0)),"")</f>
        <v>0</v>
      </c>
      <c r="AQ198" s="211">
        <f>IF(ISNUMBER(AQ197),IF(ABS(AQ197-AQ154)&lt;=1.01,0,ROUND(AQ197-AQ154,0)),"")</f>
        <v>0</v>
      </c>
      <c r="AR198" s="211">
        <f>IF(ISNUMBER(AR197),IF(ABS(AR197-AR154)&lt;=1.01,0,ROUND(AR197-AR154,0)),"")</f>
        <v>0</v>
      </c>
      <c r="AS198" s="211">
        <f>IF(ISNUMBER(AS197),IF(ABS(AS197-AS154)&lt;=1.01,0,ROUND(AS197-AS154,0)),"")</f>
        <v>0</v>
      </c>
      <c r="AT198" s="211">
        <f>IF(ISNUMBER(AT197),IF(ABS(AT197-AT154)&lt;=1.01,0,ROUND(AT197-AT154,0)),"")</f>
        <v>0</v>
      </c>
      <c r="AU198" s="211">
        <f>IF(ISNUMBER(AU197),IF(ABS(AU197-AU154)&lt;=1.01,0,ROUND(AU197-AU154,0)),"")</f>
        <v>0</v>
      </c>
      <c r="AV198" s="211">
        <f>IF(ISNUMBER(AV197),IF(ABS(AV197-AV154)&lt;=1.01,0,ROUND(AV197-AV154,0)),"")</f>
        <v>0</v>
      </c>
      <c r="AW198" s="211">
        <f>IF(ISNUMBER(AW197),IF(ABS(AW197-AW154)&lt;=1.01,0,ROUND(AW197-AW154,0)),"")</f>
        <v>0</v>
      </c>
      <c r="AX198" s="211">
        <f>IF(ISNUMBER(AX197),IF(ABS(AX197-AX154)&lt;=1.01,0,ROUND(AX197-AX154,0)),"")</f>
        <v>0</v>
      </c>
      <c r="AY198" s="211">
        <f>IF(ISNUMBER(AY197),IF(ABS(AY197-AY154)&lt;=1.01,0,ROUND(AY197-AY154,0)),"")</f>
        <v>0</v>
      </c>
      <c r="AZ198" s="211">
        <f>IF(ISNUMBER(AZ197),IF(ABS(AZ197-AZ154)&lt;=1.01,0,ROUND(AZ197-AZ154,0)),"")</f>
        <v>0</v>
      </c>
      <c r="BA198" s="211">
        <f>IF(ISNUMBER(BA197),IF(ABS(BA197-BA154)&lt;=1.01,0,ROUND(BA197-BA154,0)),"")</f>
        <v>0</v>
      </c>
      <c r="BB198" s="211">
        <f>IF(ISNUMBER(BB197),IF(ABS(BB197-BB154)&lt;=1.01,0,ROUND(BB197-BB154,0)),"")</f>
        <v>0</v>
      </c>
      <c r="BC198" s="211">
        <f>IF(ISNUMBER(BC197),IF(ABS(BC197-BC154)&lt;=1.01,0,ROUND(BC197-BC154,0)),"")</f>
        <v>0</v>
      </c>
      <c r="BD198" s="211">
        <f>IF(ISNUMBER(BD197),IF(ABS(BD197-BD154)&lt;=1.01,0,ROUND(BD197-BD154,0)),"")</f>
        <v>0</v>
      </c>
      <c r="BE198" s="211">
        <f>IF(ISNUMBER(BE197),IF(ABS(BE197-BE154)&lt;=1.01,0,ROUND(BE197-BE154,0)),"")</f>
        <v>0</v>
      </c>
      <c r="BF198" s="211">
        <f>IF(ISNUMBER(BF197),IF(ABS(BF197-BF154)&lt;=1.01,0,ROUND(BF197-BF154,0)),"")</f>
        <v>0</v>
      </c>
      <c r="BG198" s="211">
        <f>IF(ISNUMBER(BG197),IF(ABS(BG197-BG154)&lt;=1.01,0,ROUND(BG197-BG154,0)),"")</f>
        <v>0</v>
      </c>
      <c r="BH198" s="211">
        <f>IF(ISNUMBER(BH197),IF(ABS(BH197-BH154)&lt;=1.01,0,ROUND(BH197-BH154,0)),"")</f>
        <v>0</v>
      </c>
      <c r="BI198" s="211">
        <f>IF(ISNUMBER(BI197),IF(ABS(BI197-BI154)&lt;=1.01,0,ROUND(BI197-BI154,0)),"")</f>
        <v>0</v>
      </c>
      <c r="BJ198" s="211">
        <f>IF(ISNUMBER(BJ197),IF(ABS(BJ197-BJ154)&lt;=1.01,0,ROUND(BJ197-BJ154,0)),"")</f>
        <v>0</v>
      </c>
      <c r="BK198" s="211">
        <f>IF(ISNUMBER(BK197),IF(ABS(BK197-BK154)&lt;=1.01,0,ROUND(BK197-BK154,0)),"")</f>
        <v>0</v>
      </c>
      <c r="BL198" s="211">
        <f>IF(ISNUMBER(BL197),IF(ABS(BL197-BL154)&lt;=1.01,0,ROUND(BL197-BL154,0)),"")</f>
        <v>0</v>
      </c>
      <c r="BM198" s="211">
        <f>IF(ISNUMBER(BM197),IF(ABS(BM197-BM154)&lt;=1.01,0,ROUND(BM197-BM154,0)),"")</f>
        <v>0</v>
      </c>
      <c r="BN198" s="211">
        <f>IF(ISNUMBER(BN197),IF(ABS(BN197-BN154)&lt;=1.01,0,ROUND(BN197-BN154,0)),"")</f>
        <v>0</v>
      </c>
      <c r="BO198" s="211">
        <f>IF(ISNUMBER(BO197),IF(ABS(BO197-BO154)&lt;=1.01,0,ROUND(BO197-BO154,0)),"")</f>
        <v>0</v>
      </c>
      <c r="BP198" s="211">
        <f>IF(ISNUMBER(BP197),IF(ABS(BP197-BP154)&lt;=1.01,0,ROUND(BP197-BP154,0)),"")</f>
        <v>0</v>
      </c>
      <c r="BQ198" s="211">
        <f>IF(ISNUMBER(BQ197),IF(ABS(BQ197-BQ154)&lt;=1.01,0,ROUND(BQ197-BQ154,0)),"")</f>
        <v>0</v>
      </c>
      <c r="BR198" s="211">
        <f>IF(ISNUMBER(BR197),IF(ABS(BR197-BR154)&lt;=1.01,0,ROUND(BR197-BR154,0)),"")</f>
        <v>0</v>
      </c>
      <c r="BS198" s="211">
        <f>IF(ISNUMBER(BS197),IF(ABS(BS197-BS154)&lt;=1.01,0,ROUND(BS197-BS154,0)),"")</f>
        <v>0</v>
      </c>
      <c r="BT198" s="211">
        <f>IF(ISNUMBER(BT197),IF(ABS(BT197-BT154)&lt;=1.01,0,ROUND(BT197-BT154,0)),"")</f>
        <v>0</v>
      </c>
      <c r="BU198" s="211">
        <f>IF(ISNUMBER(BU197),IF(ABS(BU197-BU154)&lt;=1.01,0,ROUND(BU197-BU154,0)),"")</f>
        <v>0</v>
      </c>
      <c r="BV198" s="211">
        <f>IF(ISNUMBER(BV197),IF(ABS(BV197-BV154)&lt;=1.01,0,ROUND(BV197-BV154,0)),"")</f>
        <v>0</v>
      </c>
      <c r="BW198" s="211">
        <f>IF(ISNUMBER(BW197),IF(ABS(BW197-BW154)&lt;=1.01,0,ROUND(BW197-BW154,0)),"")</f>
        <v>0</v>
      </c>
      <c r="BX198" s="211">
        <f>IF(ISNUMBER(BX197),IF(ABS(BX197-BX154)&lt;=1.01,0,ROUND(BX197-BX154,0)),"")</f>
        <v>0</v>
      </c>
      <c r="BY198" s="266">
        <f>IF(ISNUMBER(BY197),IF(ABS(BY197-BY154)&lt;=1.01,0,ROUND(BY197-BY154,0)),"")</f>
        <v>0</v>
      </c>
      <c r="BZ198" s="266">
        <f>IF(ISNUMBER(BZ197),IF(ABS(BZ197-BZ154)&lt;=1.01,0,ROUND(BZ197-BZ154,0)),"")</f>
        <v>0</v>
      </c>
      <c r="CA198" s="266">
        <f>IF(ISNUMBER(CA197),IF(ABS(CA197-CA154)&lt;=1.01,0,ROUND(CA197-CA154,0)),"")</f>
        <v>0</v>
      </c>
      <c r="CB198" s="266">
        <f>IF(ISNUMBER(CB197),IF(ABS(CB197-CB154)&lt;=1.01,0,ROUND(CB197-CB154,0)),"")</f>
        <v>0</v>
      </c>
      <c r="CC198" s="266">
        <f>IF(ISNUMBER(CC197),IF(ABS(CC197-CC154)&lt;=1.01,0,ROUND(CC197-CC154,0)),"")</f>
        <v>0</v>
      </c>
      <c r="CD198" s="266">
        <f>IF(ISNUMBER(CD197),IF(ABS(CD197-CD154)&lt;=1.01,0,ROUND(CD197-CD154,0)),"")</f>
        <v>0</v>
      </c>
      <c r="CE198" s="266">
        <f>IF(ISNUMBER(CE197),IF(ABS(CE197-CE154)&lt;=1.01,0,ROUND(CE197-CE154,0)),"")</f>
        <v>0</v>
      </c>
      <c r="CF198" s="153" t="n"/>
    </row>
    <row r="199" ht="15" customHeight="1" s="251">
      <c r="B199" s="25" t="inlineStr">
        <is>
          <t xml:space="preserve">  (+) Depreciation &amp; amortization (total)</t>
        </is>
      </c>
      <c r="C199" s="211">
        <f>C126</f>
        <v>205</v>
      </c>
      <c r="D199" s="211">
        <f>D126</f>
        <v>246</v>
      </c>
      <c r="E199" s="211">
        <f>E126</f>
        <v>287</v>
      </c>
      <c r="F199" s="211">
        <f>F126</f>
        <v>378</v>
      </c>
      <c r="G199" s="211">
        <f>G126</f>
        <v>568</v>
      </c>
      <c r="H199" s="211">
        <f>H126</f>
        <v>1083</v>
      </c>
      <c r="I199" s="211">
        <f>I126</f>
        <v>2159</v>
      </c>
      <c r="J199" s="211">
        <f>J126</f>
        <v>700</v>
      </c>
      <c r="K199" s="211">
        <f>K126</f>
        <v>756</v>
      </c>
      <c r="L199" s="211">
        <f>L126</f>
        <v>834</v>
      </c>
      <c r="M199" s="211">
        <f>M126</f>
        <v>963</v>
      </c>
      <c r="N199" s="211">
        <f>N126</f>
        <v>3253</v>
      </c>
      <c r="O199" s="211">
        <f>O126</f>
        <v>1010</v>
      </c>
      <c r="P199" s="211">
        <f>P126</f>
        <v>1109</v>
      </c>
      <c r="Q199" s="211">
        <f>Q126</f>
        <v>1247</v>
      </c>
      <c r="R199" s="211">
        <f>R126</f>
        <v>1379</v>
      </c>
      <c r="S199" s="211">
        <f>S126</f>
        <v>4746</v>
      </c>
      <c r="T199" s="211">
        <f>T126</f>
        <v>1426</v>
      </c>
      <c r="U199" s="211">
        <f>U126</f>
        <v>1504</v>
      </c>
      <c r="V199" s="211">
        <f>V126</f>
        <v>1599</v>
      </c>
      <c r="W199" s="211">
        <f>W126</f>
        <v>1752</v>
      </c>
      <c r="X199" s="211">
        <f>X126</f>
        <v>6281</v>
      </c>
      <c r="Y199" s="211">
        <f>Y126</f>
        <v>1827</v>
      </c>
      <c r="Z199" s="211">
        <f>Z126</f>
        <v>1909</v>
      </c>
      <c r="AA199" s="211">
        <f>AA126</f>
        <v>2084</v>
      </c>
      <c r="AB199" s="211">
        <f>AB126</f>
        <v>2297</v>
      </c>
      <c r="AC199" s="211">
        <f>AC126</f>
        <v>8116</v>
      </c>
      <c r="AD199" s="211">
        <f>AD126</f>
        <v>2435</v>
      </c>
      <c r="AE199" s="211">
        <f>AE126</f>
        <v>2633</v>
      </c>
      <c r="AF199" s="211">
        <f>AF126</f>
        <v>2912</v>
      </c>
      <c r="AG199" s="211">
        <f>AG126</f>
        <v>3498</v>
      </c>
      <c r="AH199" s="211">
        <f>AH126</f>
        <v>11478</v>
      </c>
      <c r="AI199" s="211">
        <f>AI126</f>
        <v>3671</v>
      </c>
      <c r="AJ199" s="211">
        <f>AJ126</f>
        <v>3630</v>
      </c>
      <c r="AK199" s="211">
        <f>AK126</f>
        <v>3778</v>
      </c>
      <c r="AL199" s="211">
        <f>AL126</f>
        <v>4262</v>
      </c>
      <c r="AM199" s="211">
        <f>AM126</f>
        <v>15341</v>
      </c>
      <c r="AN199" s="211">
        <f>AN126</f>
        <v>4854</v>
      </c>
      <c r="AO199" s="211">
        <f>AO126</f>
        <v>5202</v>
      </c>
      <c r="AP199" s="211">
        <f>AP126</f>
        <v>5563</v>
      </c>
      <c r="AQ199" s="211">
        <f>AQ126</f>
        <v>6170</v>
      </c>
      <c r="AR199" s="211">
        <f>AR126</f>
        <v>21789</v>
      </c>
      <c r="AS199" s="211">
        <f>AS126</f>
        <v>5362</v>
      </c>
      <c r="AT199" s="211">
        <f>AT126</f>
        <v>5748</v>
      </c>
      <c r="AU199" s="211">
        <f>AU126</f>
        <v>6523</v>
      </c>
      <c r="AV199" s="211">
        <f>AV126</f>
        <v>7618</v>
      </c>
      <c r="AW199" s="211">
        <f>AW126</f>
        <v>25251</v>
      </c>
      <c r="AX199" s="211">
        <f>AX126</f>
        <v>7508</v>
      </c>
      <c r="AY199" s="211">
        <f>AY126</f>
        <v>8038</v>
      </c>
      <c r="AZ199" s="211">
        <f>AZ126</f>
        <v>8948</v>
      </c>
      <c r="BA199" s="211">
        <f>BA126</f>
        <v>9802</v>
      </c>
      <c r="BB199" s="211">
        <f>BB126</f>
        <v>34296</v>
      </c>
      <c r="BC199" s="211">
        <f>BC126</f>
        <v>8978</v>
      </c>
      <c r="BD199" s="211">
        <f>BD126</f>
        <v>9594</v>
      </c>
      <c r="BE199" s="211">
        <f>BE126</f>
        <v>10204</v>
      </c>
      <c r="BF199" s="211">
        <f>BF126</f>
        <v>12685</v>
      </c>
      <c r="BG199" s="211">
        <f>BG126</f>
        <v>41921</v>
      </c>
      <c r="BH199" s="211">
        <f>BH126</f>
        <v>11123</v>
      </c>
      <c r="BI199" s="211">
        <f>BI126</f>
        <v>11589</v>
      </c>
      <c r="BJ199" s="211">
        <f>BJ126</f>
        <v>12131</v>
      </c>
      <c r="BK199" s="211">
        <f>BK126</f>
        <v>13820</v>
      </c>
      <c r="BL199" s="211">
        <f>BL126</f>
        <v>48663</v>
      </c>
      <c r="BM199" s="211">
        <f>BM126</f>
        <v>11684</v>
      </c>
      <c r="BN199" s="211">
        <f>BN126</f>
        <v>12038</v>
      </c>
      <c r="BO199" s="211">
        <f>BO126</f>
        <v>13442</v>
      </c>
      <c r="BP199" s="211">
        <f>BP126</f>
        <v>15631</v>
      </c>
      <c r="BQ199" s="211">
        <f>BQ126</f>
        <v>52795</v>
      </c>
      <c r="BR199" s="211">
        <f>BR126</f>
        <v>14262</v>
      </c>
      <c r="BS199" s="211">
        <f>BS126</f>
        <v>15227</v>
      </c>
      <c r="BT199" s="211">
        <f>BT126</f>
        <v>16796</v>
      </c>
      <c r="BU199" s="211">
        <f>BU126</f>
        <v>19471</v>
      </c>
      <c r="BV199" s="211">
        <f>BV126</f>
        <v>65756</v>
      </c>
      <c r="BW199" s="211">
        <f>BW126</f>
        <v>18945</v>
      </c>
      <c r="BX199" s="211">
        <f>BX126</f>
        <v>19988</v>
      </c>
      <c r="BY199" s="254">
        <f>BY126</f>
        <v>21949.4861246213</v>
      </c>
      <c r="BZ199" s="254">
        <f>BZ126</f>
        <v>24681.0448011456</v>
      </c>
      <c r="CA199" s="254">
        <f>CA126</f>
        <v>85563.5309257669</v>
      </c>
      <c r="CB199" s="254">
        <f>CB126</f>
        <v>115153.995767509</v>
      </c>
      <c r="CC199" s="254">
        <f>CC126</f>
        <v>137323.709453689</v>
      </c>
      <c r="CD199" s="254">
        <f>CD126</f>
        <v>157869.040206443</v>
      </c>
      <c r="CE199" s="254">
        <f>CE126</f>
        <v>176373.54944682</v>
      </c>
      <c r="CF199" s="19" t="n"/>
    </row>
    <row r="200" ht="15" customHeight="1" s="251">
      <c r="B200" s="55" t="inlineStr">
        <is>
          <t xml:space="preserve">  = EBITDA (model)</t>
        </is>
      </c>
      <c r="C200" s="262">
        <f>IF(AND(ISNUMBER(C197),ISNUMBER(C199)),C197+C199,"")</f>
        <v>594</v>
      </c>
      <c r="D200" s="262">
        <f>IF(AND(ISNUMBER(D197),ISNUMBER(D199)),D197+D199,"")</f>
        <v>901</v>
      </c>
      <c r="E200" s="262">
        <f>IF(AND(ISNUMBER(E197),ISNUMBER(E199)),E197+E199,"")</f>
        <v>1129</v>
      </c>
      <c r="F200" s="262">
        <f>IF(AND(ISNUMBER(F197),ISNUMBER(F199)),F197+F199,"")</f>
        <v>1507</v>
      </c>
      <c r="G200" s="262">
        <f>IF(AND(ISNUMBER(G197),ISNUMBER(G199)),G197+G199,"")</f>
        <v>1974</v>
      </c>
      <c r="H200" s="262">
        <f>IF(AND(ISNUMBER(H197),ISNUMBER(H199)),H197+H199,"")</f>
        <v>1945</v>
      </c>
      <c r="I200" s="262">
        <f>IF(AND(ISNUMBER(I197),ISNUMBER(I199)),I197+I199,"")</f>
        <v>2835</v>
      </c>
      <c r="J200" s="262">
        <f>IF(AND(ISNUMBER(J197),ISNUMBER(J199)),J197+J199,"")</f>
        <v>881</v>
      </c>
      <c r="K200" s="262">
        <f>IF(AND(ISNUMBER(K197),ISNUMBER(K199)),K197+K199,"")</f>
        <v>835</v>
      </c>
      <c r="L200" s="262">
        <f>IF(AND(ISNUMBER(L197),ISNUMBER(L199)),L197+L199,"")</f>
        <v>809</v>
      </c>
      <c r="M200" s="262">
        <f>IF(AND(ISNUMBER(M197),ISNUMBER(M199)),M197+M199,"")</f>
        <v>1473</v>
      </c>
      <c r="N200" s="262">
        <f>IF(AND(ISNUMBER(N197),ISNUMBER(N199)),N197+N199,"")</f>
        <v>3998</v>
      </c>
      <c r="O200" s="262">
        <f>IF(AND(ISNUMBER(O197),ISNUMBER(O199)),O197+O199,"")</f>
        <v>1156</v>
      </c>
      <c r="P200" s="262">
        <f>IF(AND(ISNUMBER(P197),ISNUMBER(P199)),P197+P199,"")</f>
        <v>1094</v>
      </c>
      <c r="Q200" s="262">
        <f>IF(AND(ISNUMBER(Q197),ISNUMBER(Q199)),Q197+Q199,"")</f>
        <v>703</v>
      </c>
      <c r="R200" s="262">
        <f>IF(AND(ISNUMBER(R197),ISNUMBER(R199)),R197+R199,"")</f>
        <v>1970</v>
      </c>
      <c r="S200" s="262">
        <f>IF(AND(ISNUMBER(S197),ISNUMBER(S199)),S197+S199,"")</f>
        <v>4924</v>
      </c>
      <c r="T200" s="262">
        <f>IF(AND(ISNUMBER(T197),ISNUMBER(T199)),T197+T199,"")</f>
        <v>1681</v>
      </c>
      <c r="U200" s="262">
        <f>IF(AND(ISNUMBER(U197),ISNUMBER(U199)),U197+U199,"")</f>
        <v>1968</v>
      </c>
      <c r="V200" s="262">
        <f>IF(AND(ISNUMBER(V197),ISNUMBER(V199)),V197+V199,"")</f>
        <v>2005</v>
      </c>
      <c r="W200" s="262">
        <f>IF(AND(ISNUMBER(W197),ISNUMBER(W199)),W197+W199,"")</f>
        <v>2860</v>
      </c>
      <c r="X200" s="262">
        <f>IF(AND(ISNUMBER(X197),ISNUMBER(X199)),X197+X199,"")</f>
        <v>8514</v>
      </c>
      <c r="Y200" s="262">
        <f>IF(AND(ISNUMBER(Y197),ISNUMBER(Y199)),Y197+Y199,"")</f>
        <v>2898</v>
      </c>
      <c r="Z200" s="262">
        <f>IF(AND(ISNUMBER(Z197),ISNUMBER(Z199)),Z197+Z199,"")</f>
        <v>3194</v>
      </c>
      <c r="AA200" s="262">
        <f>IF(AND(ISNUMBER(AA197),ISNUMBER(AA199)),AA197+AA199,"")</f>
        <v>2659</v>
      </c>
      <c r="AB200" s="262">
        <f>IF(AND(ISNUMBER(AB197),ISNUMBER(AB199)),AB197+AB199,"")</f>
        <v>3552</v>
      </c>
      <c r="AC200" s="262">
        <f>IF(AND(ISNUMBER(AC197),ISNUMBER(AC199)),AC197+AC199,"")</f>
        <v>12302</v>
      </c>
      <c r="AD200" s="262">
        <f>IF(AND(ISNUMBER(AD197),ISNUMBER(AD199)),AD197+AD199,"")</f>
        <v>3440</v>
      </c>
      <c r="AE200" s="262">
        <f>IF(AND(ISNUMBER(AE197),ISNUMBER(AE199)),AE197+AE199,"")</f>
        <v>3261</v>
      </c>
      <c r="AF200" s="262">
        <f>IF(AND(ISNUMBER(AF197),ISNUMBER(AF199)),AF197+AF199,"")</f>
        <v>3259</v>
      </c>
      <c r="AG200" s="262">
        <f>IF(AND(ISNUMBER(AG197),ISNUMBER(AG199)),AG197+AG199,"")</f>
        <v>5625</v>
      </c>
      <c r="AH200" s="262">
        <f>IF(AND(ISNUMBER(AH197),ISNUMBER(AH199)),AH197+AH199,"")</f>
        <v>15584</v>
      </c>
      <c r="AI200" s="262">
        <f>IF(AND(ISNUMBER(AI197),ISNUMBER(AI199)),AI197+AI199,"")</f>
        <v>5598</v>
      </c>
      <c r="AJ200" s="262">
        <f>IF(AND(ISNUMBER(AJ197),ISNUMBER(AJ199)),AJ197+AJ199,"")</f>
        <v>6613</v>
      </c>
      <c r="AK200" s="262">
        <f>IF(AND(ISNUMBER(AK197),ISNUMBER(AK199)),AK197+AK199,"")</f>
        <v>7502</v>
      </c>
      <c r="AL200" s="262">
        <f>IF(AND(ISNUMBER(AL197),ISNUMBER(AL199)),AL197+AL199,"")</f>
        <v>8048</v>
      </c>
      <c r="AM200" s="262">
        <f>IF(AND(ISNUMBER(AM197),ISNUMBER(AM199)),AM197+AM199,"")</f>
        <v>27762</v>
      </c>
      <c r="AN200" s="262">
        <f>IF(AND(ISNUMBER(AN197),ISNUMBER(AN199)),AN197+AN199,"")</f>
        <v>9274</v>
      </c>
      <c r="AO200" s="262">
        <f>IF(AND(ISNUMBER(AO197),ISNUMBER(AO199)),AO197+AO199,"")</f>
        <v>8286</v>
      </c>
      <c r="AP200" s="262">
        <f>IF(AND(ISNUMBER(AP197),ISNUMBER(AP199)),AP197+AP199,"")</f>
        <v>8720</v>
      </c>
      <c r="AQ200" s="262">
        <f>IF(AND(ISNUMBER(AQ197),ISNUMBER(AQ199)),AQ197+AQ199,"")</f>
        <v>10049</v>
      </c>
      <c r="AR200" s="262">
        <f>IF(AND(ISNUMBER(AR197),ISNUMBER(AR199)),AR197+AR199,"")</f>
        <v>36330</v>
      </c>
      <c r="AS200" s="262">
        <f>IF(AND(ISNUMBER(AS197),ISNUMBER(AS199)),AS197+AS199,"")</f>
        <v>9351</v>
      </c>
      <c r="AT200" s="262">
        <f>IF(AND(ISNUMBER(AT197),ISNUMBER(AT199)),AT197+AT199,"")</f>
        <v>11591</v>
      </c>
      <c r="AU200" s="262">
        <f>IF(AND(ISNUMBER(AU197),ISNUMBER(AU199)),AU197+AU199,"")</f>
        <v>12717</v>
      </c>
      <c r="AV200" s="262">
        <f>IF(AND(ISNUMBER(AV197),ISNUMBER(AV199)),AV197+AV199,"")</f>
        <v>14491</v>
      </c>
      <c r="AW200" s="262">
        <f>IF(AND(ISNUMBER(AW197),ISNUMBER(AW199)),AW197+AW199,"")</f>
        <v>48150</v>
      </c>
      <c r="AX200" s="262">
        <f>IF(AND(ISNUMBER(AX197),ISNUMBER(AX199)),AX197+AX199,"")</f>
        <v>16373</v>
      </c>
      <c r="AY200" s="262">
        <f>IF(AND(ISNUMBER(AY197),ISNUMBER(AY199)),AY197+AY199,"")</f>
        <v>15740</v>
      </c>
      <c r="AZ200" s="262">
        <f>IF(AND(ISNUMBER(AZ197),ISNUMBER(AZ199)),AZ197+AZ199,"")</f>
        <v>13800</v>
      </c>
      <c r="BA200" s="262">
        <f>IF(AND(ISNUMBER(BA197),ISNUMBER(BA199)),BA197+BA199,"")</f>
        <v>13262</v>
      </c>
      <c r="BB200" s="262">
        <f>IF(AND(ISNUMBER(BB197),ISNUMBER(BB199)),BB197+BB199,"")</f>
        <v>59175</v>
      </c>
      <c r="BC200" s="262">
        <f>IF(AND(ISNUMBER(BC197),ISNUMBER(BC199)),BC197+BC199,"")</f>
        <v>12647</v>
      </c>
      <c r="BD200" s="262">
        <f>IF(AND(ISNUMBER(BD197),ISNUMBER(BD199)),BD197+BD199,"")</f>
        <v>12911</v>
      </c>
      <c r="BE200" s="262">
        <f>IF(AND(ISNUMBER(BE197),ISNUMBER(BE199)),BE197+BE199,"")</f>
        <v>12729</v>
      </c>
      <c r="BF200" s="262">
        <f>IF(AND(ISNUMBER(BF197),ISNUMBER(BF199)),BF197+BF199,"")</f>
        <v>15422</v>
      </c>
      <c r="BG200" s="262">
        <f>IF(AND(ISNUMBER(BG197),ISNUMBER(BG199)),BG197+BG199,"")</f>
        <v>54169</v>
      </c>
      <c r="BH200" s="262">
        <f>IF(AND(ISNUMBER(BH197),ISNUMBER(BH199)),BH197+BH199,"")</f>
        <v>15897</v>
      </c>
      <c r="BI200" s="262">
        <f>IF(AND(ISNUMBER(BI197),ISNUMBER(BI199)),BI197+BI199,"")</f>
        <v>19270</v>
      </c>
      <c r="BJ200" s="262">
        <f>IF(AND(ISNUMBER(BJ197),ISNUMBER(BJ199)),BJ197+BJ199,"")</f>
        <v>23319</v>
      </c>
      <c r="BK200" s="262">
        <f>IF(AND(ISNUMBER(BK197),ISNUMBER(BK199)),BK197+BK199,"")</f>
        <v>27029</v>
      </c>
      <c r="BL200" s="262">
        <f>IF(AND(ISNUMBER(BL197),ISNUMBER(BL199)),BL197+BL199,"")</f>
        <v>85515</v>
      </c>
      <c r="BM200" s="262">
        <f>IF(AND(ISNUMBER(BM197),ISNUMBER(BM199)),BM197+BM199,"")</f>
        <v>26991</v>
      </c>
      <c r="BN200" s="262">
        <f>IF(AND(ISNUMBER(BN197),ISNUMBER(BN199)),BN197+BN199,"")</f>
        <v>26710</v>
      </c>
      <c r="BO200" s="262">
        <f>IF(AND(ISNUMBER(BO197),ISNUMBER(BO199)),BO197+BO199,"")</f>
        <v>30853</v>
      </c>
      <c r="BP200" s="262">
        <f>IF(AND(ISNUMBER(BP197),ISNUMBER(BP199)),BP197+BP199,"")</f>
        <v>36834</v>
      </c>
      <c r="BQ200" s="262">
        <f>IF(AND(ISNUMBER(BQ197),ISNUMBER(BQ199)),BQ197+BQ199,"")</f>
        <v>121388</v>
      </c>
      <c r="BR200" s="262">
        <f>IF(AND(ISNUMBER(BR197),ISNUMBER(BR199)),BR197+BR199,"")</f>
        <v>32667</v>
      </c>
      <c r="BS200" s="262">
        <f>IF(AND(ISNUMBER(BS197),ISNUMBER(BS199)),BS197+BS199,"")</f>
        <v>34398</v>
      </c>
      <c r="BT200" s="262">
        <f>IF(AND(ISNUMBER(BT197),ISNUMBER(BT199)),BT197+BT199,"")</f>
        <v>34218</v>
      </c>
      <c r="BU200" s="262">
        <f>IF(AND(ISNUMBER(BU197),ISNUMBER(BU199)),BU197+BU199,"")</f>
        <v>44448</v>
      </c>
      <c r="BV200" s="262">
        <f>IF(AND(ISNUMBER(BV197),ISNUMBER(BV199)),BV197+BV199,"")</f>
        <v>145731</v>
      </c>
      <c r="BW200" s="262">
        <f>IF(AND(ISNUMBER(BW197),ISNUMBER(BW199)),BW197+BW199,"")</f>
        <v>42797</v>
      </c>
      <c r="BX200" s="262">
        <f>IF(AND(ISNUMBER(BX197),ISNUMBER(BX199)),BX197+BX199,"")</f>
        <v>47449</v>
      </c>
      <c r="BY200" s="262">
        <f>IF(AND(ISNUMBER(BY197),ISNUMBER(BY199)),BY197+BY199,"")</f>
        <v>46449.4861246213</v>
      </c>
      <c r="BZ200" s="262">
        <f>IF(AND(ISNUMBER(BZ197),ISNUMBER(BZ199)),BZ197+BZ199,"")</f>
        <v>55621.6508144557</v>
      </c>
      <c r="CA200" s="262">
        <f>IF(AND(ISNUMBER(CA197),ISNUMBER(CA199)),CA197+CA199,"")</f>
        <v>192317.136939077</v>
      </c>
      <c r="CB200" s="262">
        <f>IF(AND(ISNUMBER(CB197),ISNUMBER(CB199)),CB197+CB199,"")</f>
        <v>248439.407146781</v>
      </c>
      <c r="CC200" s="262">
        <f>IF(AND(ISNUMBER(CC197),ISNUMBER(CC199)),CC197+CC199,"")</f>
        <v>297699.805376884</v>
      </c>
      <c r="CD200" s="262">
        <f>IF(AND(ISNUMBER(CD197),ISNUMBER(CD199)),CD197+CD199,"")</f>
        <v>346306.164922942</v>
      </c>
      <c r="CE200" s="262">
        <f>IF(AND(ISNUMBER(CE197),ISNUMBER(CE199)),CE197+CE199,"")</f>
        <v>395464.059127364</v>
      </c>
      <c r="CF200" s="153" t="n"/>
      <c r="CH200" s="20">
        <f>IFERROR((CE200/BV200)^(1/5)-1,"n/m")</f>
        <v>0.220986929604017</v>
      </c>
      <c r="CI200" s="20">
        <f>IFERROR((BV200/AW200)^(1/5)-1,"n/m")</f>
        <v>0.247932601969263</v>
      </c>
      <c r="CJ200" s="20">
        <f>IFERROR((BV200/X200)^(1/10)-1,"n/m")</f>
        <v>0.328439651195245</v>
      </c>
      <c r="CK200" s="20">
        <f>IFERROR((BV200/C200)^(1/19)-1,"n/m")</f>
        <v>0.335909787112596</v>
      </c>
    </row>
    <row r="201" ht="15" customHeight="1" s="251">
      <c r="B201" s="25" t="inlineStr">
        <is>
          <t xml:space="preserve">  (+) Special items (bridge above)</t>
        </is>
      </c>
      <c r="C201" s="211">
        <f>C181</f>
        <v>0</v>
      </c>
      <c r="D201" s="211">
        <f>D181</f>
        <v>0</v>
      </c>
      <c r="E201" s="211">
        <f>E181</f>
        <v>0</v>
      </c>
      <c r="F201" s="211">
        <f>F181</f>
        <v>0</v>
      </c>
      <c r="G201" s="211">
        <f>G181</f>
        <v>0</v>
      </c>
      <c r="H201" s="211">
        <f>H181</f>
        <v>0</v>
      </c>
      <c r="I201" s="211">
        <f>I181</f>
        <v>0</v>
      </c>
      <c r="J201" s="211">
        <f>J181</f>
        <v>0</v>
      </c>
      <c r="K201" s="211">
        <f>K181</f>
        <v>0</v>
      </c>
      <c r="L201" s="211">
        <f>L181</f>
        <v>0</v>
      </c>
      <c r="M201" s="211">
        <f>M181</f>
        <v>0</v>
      </c>
      <c r="N201" s="211">
        <f>N181</f>
        <v>0</v>
      </c>
      <c r="O201" s="211">
        <f>O181</f>
        <v>0</v>
      </c>
      <c r="P201" s="211">
        <f>P181</f>
        <v>0</v>
      </c>
      <c r="Q201" s="211">
        <f>Q181</f>
        <v>0</v>
      </c>
      <c r="R201" s="211">
        <f>R181</f>
        <v>0</v>
      </c>
      <c r="S201" s="211">
        <f>S181</f>
        <v>0</v>
      </c>
      <c r="T201" s="211">
        <f>T181</f>
        <v>0</v>
      </c>
      <c r="U201" s="211">
        <f>U181</f>
        <v>0</v>
      </c>
      <c r="V201" s="211">
        <f>V181</f>
        <v>0</v>
      </c>
      <c r="W201" s="211">
        <f>W181</f>
        <v>0</v>
      </c>
      <c r="X201" s="211">
        <f>X181</f>
        <v>0</v>
      </c>
      <c r="Y201" s="211">
        <f>Y181</f>
        <v>0</v>
      </c>
      <c r="Z201" s="211">
        <f>Z181</f>
        <v>0</v>
      </c>
      <c r="AA201" s="211">
        <f>AA181</f>
        <v>0</v>
      </c>
      <c r="AB201" s="211">
        <f>AB181</f>
        <v>0</v>
      </c>
      <c r="AC201" s="211">
        <f>AC181</f>
        <v>0</v>
      </c>
      <c r="AD201" s="211">
        <f>AD181</f>
        <v>0</v>
      </c>
      <c r="AE201" s="211">
        <f>AE181</f>
        <v>0</v>
      </c>
      <c r="AF201" s="211">
        <f>AF181</f>
        <v>0</v>
      </c>
      <c r="AG201" s="211">
        <f>AG181</f>
        <v>0</v>
      </c>
      <c r="AH201" s="211">
        <f>AH181</f>
        <v>0</v>
      </c>
      <c r="AI201" s="211">
        <f>AI181</f>
        <v>0</v>
      </c>
      <c r="AJ201" s="211">
        <f>AJ181</f>
        <v>0</v>
      </c>
      <c r="AK201" s="211">
        <f>AK181</f>
        <v>0</v>
      </c>
      <c r="AL201" s="211">
        <f>AL181</f>
        <v>0</v>
      </c>
      <c r="AM201" s="211">
        <f>AM181</f>
        <v>0</v>
      </c>
      <c r="AN201" s="211">
        <f>AN181</f>
        <v>0</v>
      </c>
      <c r="AO201" s="211">
        <f>AO181</f>
        <v>0</v>
      </c>
      <c r="AP201" s="211">
        <f>AP181</f>
        <v>0</v>
      </c>
      <c r="AQ201" s="211">
        <f>AQ181</f>
        <v>0</v>
      </c>
      <c r="AR201" s="211">
        <f>AR181</f>
        <v>0</v>
      </c>
      <c r="AS201" s="211">
        <f>AS181</f>
        <v>0</v>
      </c>
      <c r="AT201" s="211">
        <f>AT181</f>
        <v>0</v>
      </c>
      <c r="AU201" s="211">
        <f>AU181</f>
        <v>0</v>
      </c>
      <c r="AV201" s="211">
        <f>AV181</f>
        <v>0</v>
      </c>
      <c r="AW201" s="211">
        <f>AW181</f>
        <v>0</v>
      </c>
      <c r="AX201" s="211">
        <f>AX181</f>
        <v>0</v>
      </c>
      <c r="AY201" s="211">
        <f>AY181</f>
        <v>0</v>
      </c>
      <c r="AZ201" s="211">
        <f>AZ181</f>
        <v>0</v>
      </c>
      <c r="BA201" s="211">
        <f>BA181</f>
        <v>0</v>
      </c>
      <c r="BB201" s="211">
        <f>BB181</f>
        <v>0</v>
      </c>
      <c r="BC201" s="211">
        <f>BC181</f>
        <v>0</v>
      </c>
      <c r="BD201" s="211">
        <f>BD181</f>
        <v>0</v>
      </c>
      <c r="BE201" s="211">
        <f>BE181</f>
        <v>0</v>
      </c>
      <c r="BF201" s="211">
        <f>BF181</f>
        <v>2700</v>
      </c>
      <c r="BG201" s="211">
        <f>BG181</f>
        <v>2700</v>
      </c>
      <c r="BH201" s="211">
        <f>BH181</f>
        <v>500</v>
      </c>
      <c r="BI201" s="211">
        <f>BI181</f>
        <v>0</v>
      </c>
      <c r="BJ201" s="211">
        <f>BJ181</f>
        <v>0</v>
      </c>
      <c r="BK201" s="211">
        <f>BK181</f>
        <v>0</v>
      </c>
      <c r="BL201" s="211">
        <f>BL181</f>
        <v>500</v>
      </c>
      <c r="BM201" s="211">
        <f>BM181</f>
        <v>0</v>
      </c>
      <c r="BN201" s="211">
        <f>BN181</f>
        <v>0</v>
      </c>
      <c r="BO201" s="211">
        <f>BO181</f>
        <v>0</v>
      </c>
      <c r="BP201" s="211">
        <f>BP181</f>
        <v>0</v>
      </c>
      <c r="BQ201" s="211">
        <f>BQ181</f>
        <v>0</v>
      </c>
      <c r="BR201" s="211">
        <f>BR181</f>
        <v>0</v>
      </c>
      <c r="BS201" s="211">
        <f>BS181</f>
        <v>0</v>
      </c>
      <c r="BT201" s="211">
        <f>BT181</f>
        <v>4300</v>
      </c>
      <c r="BU201" s="211">
        <f>BU181</f>
        <v>2440</v>
      </c>
      <c r="BV201" s="211">
        <f>BV181</f>
        <v>6740</v>
      </c>
      <c r="BW201" s="211">
        <f>BW181</f>
        <v>-48</v>
      </c>
      <c r="BX201" s="211">
        <f>BX181</f>
        <v>-551</v>
      </c>
      <c r="BY201" s="254">
        <f>BY181</f>
        <v>0</v>
      </c>
      <c r="BZ201" s="254">
        <f>BZ181</f>
        <v>0</v>
      </c>
      <c r="CA201" s="254">
        <f>CA181</f>
        <v>-599</v>
      </c>
      <c r="CB201" s="254">
        <f>CB181</f>
        <v>0</v>
      </c>
      <c r="CC201" s="254">
        <f>CC181</f>
        <v>0</v>
      </c>
      <c r="CD201" s="254">
        <f>CD181</f>
        <v>0</v>
      </c>
      <c r="CE201" s="254">
        <f>CE181</f>
        <v>0</v>
      </c>
      <c r="CF201" s="19" t="n"/>
    </row>
    <row r="202" ht="15" customHeight="1" s="251">
      <c r="B202" s="55" t="inlineStr">
        <is>
          <t xml:space="preserve">  = Adjusted EBITDA (model)</t>
        </is>
      </c>
      <c r="C202" s="262">
        <f>IF(AND(ISNUMBER(C200),ISNUMBER(C201)),C200+C201,"")</f>
        <v>594</v>
      </c>
      <c r="D202" s="262">
        <f>IF(AND(ISNUMBER(D200),ISNUMBER(D201)),D200+D201,"")</f>
        <v>901</v>
      </c>
      <c r="E202" s="262">
        <f>IF(AND(ISNUMBER(E200),ISNUMBER(E201)),E200+E201,"")</f>
        <v>1129</v>
      </c>
      <c r="F202" s="262">
        <f>IF(AND(ISNUMBER(F200),ISNUMBER(F201)),F200+F201,"")</f>
        <v>1507</v>
      </c>
      <c r="G202" s="262">
        <f>IF(AND(ISNUMBER(G200),ISNUMBER(G201)),G200+G201,"")</f>
        <v>1974</v>
      </c>
      <c r="H202" s="262">
        <f>IF(AND(ISNUMBER(H200),ISNUMBER(H201)),H200+H201,"")</f>
        <v>1945</v>
      </c>
      <c r="I202" s="262">
        <f>IF(AND(ISNUMBER(I200),ISNUMBER(I201)),I200+I201,"")</f>
        <v>2835</v>
      </c>
      <c r="J202" s="262">
        <f>IF(AND(ISNUMBER(J200),ISNUMBER(J201)),J200+J201,"")</f>
        <v>881</v>
      </c>
      <c r="K202" s="262">
        <f>IF(AND(ISNUMBER(K200),ISNUMBER(K201)),K200+K201,"")</f>
        <v>835</v>
      </c>
      <c r="L202" s="262">
        <f>IF(AND(ISNUMBER(L200),ISNUMBER(L201)),L200+L201,"")</f>
        <v>809</v>
      </c>
      <c r="M202" s="262">
        <f>IF(AND(ISNUMBER(M200),ISNUMBER(M201)),M200+M201,"")</f>
        <v>1473</v>
      </c>
      <c r="N202" s="262">
        <f>IF(AND(ISNUMBER(N200),ISNUMBER(N201)),N200+N201,"")</f>
        <v>3998</v>
      </c>
      <c r="O202" s="262">
        <f>IF(AND(ISNUMBER(O200),ISNUMBER(O201)),O200+O201,"")</f>
        <v>1156</v>
      </c>
      <c r="P202" s="262">
        <f>IF(AND(ISNUMBER(P200),ISNUMBER(P201)),P200+P201,"")</f>
        <v>1094</v>
      </c>
      <c r="Q202" s="262">
        <f>IF(AND(ISNUMBER(Q200),ISNUMBER(Q201)),Q200+Q201,"")</f>
        <v>703</v>
      </c>
      <c r="R202" s="262">
        <f>IF(AND(ISNUMBER(R200),ISNUMBER(R201)),R200+R201,"")</f>
        <v>1970</v>
      </c>
      <c r="S202" s="262">
        <f>IF(AND(ISNUMBER(S200),ISNUMBER(S201)),S200+S201,"")</f>
        <v>4924</v>
      </c>
      <c r="T202" s="262">
        <f>IF(AND(ISNUMBER(T200),ISNUMBER(T201)),T200+T201,"")</f>
        <v>1681</v>
      </c>
      <c r="U202" s="262">
        <f>IF(AND(ISNUMBER(U200),ISNUMBER(U201)),U200+U201,"")</f>
        <v>1968</v>
      </c>
      <c r="V202" s="262">
        <f>IF(AND(ISNUMBER(V200),ISNUMBER(V201)),V200+V201,"")</f>
        <v>2005</v>
      </c>
      <c r="W202" s="262">
        <f>IF(AND(ISNUMBER(W200),ISNUMBER(W201)),W200+W201,"")</f>
        <v>2860</v>
      </c>
      <c r="X202" s="262">
        <f>IF(AND(ISNUMBER(X200),ISNUMBER(X201)),X200+X201,"")</f>
        <v>8514</v>
      </c>
      <c r="Y202" s="262">
        <f>IF(AND(ISNUMBER(Y200),ISNUMBER(Y201)),Y200+Y201,"")</f>
        <v>2898</v>
      </c>
      <c r="Z202" s="262">
        <f>IF(AND(ISNUMBER(Z200),ISNUMBER(Z201)),Z200+Z201,"")</f>
        <v>3194</v>
      </c>
      <c r="AA202" s="262">
        <f>IF(AND(ISNUMBER(AA200),ISNUMBER(AA201)),AA200+AA201,"")</f>
        <v>2659</v>
      </c>
      <c r="AB202" s="262">
        <f>IF(AND(ISNUMBER(AB200),ISNUMBER(AB201)),AB200+AB201,"")</f>
        <v>3552</v>
      </c>
      <c r="AC202" s="262">
        <f>IF(AND(ISNUMBER(AC200),ISNUMBER(AC201)),AC200+AC201,"")</f>
        <v>12302</v>
      </c>
      <c r="AD202" s="262">
        <f>IF(AND(ISNUMBER(AD200),ISNUMBER(AD201)),AD200+AD201,"")</f>
        <v>3440</v>
      </c>
      <c r="AE202" s="262">
        <f>IF(AND(ISNUMBER(AE200),ISNUMBER(AE201)),AE200+AE201,"")</f>
        <v>3261</v>
      </c>
      <c r="AF202" s="262">
        <f>IF(AND(ISNUMBER(AF200),ISNUMBER(AF201)),AF200+AF201,"")</f>
        <v>3259</v>
      </c>
      <c r="AG202" s="262">
        <f>IF(AND(ISNUMBER(AG200),ISNUMBER(AG201)),AG200+AG201,"")</f>
        <v>5625</v>
      </c>
      <c r="AH202" s="262">
        <f>IF(AND(ISNUMBER(AH200),ISNUMBER(AH201)),AH200+AH201,"")</f>
        <v>15584</v>
      </c>
      <c r="AI202" s="262">
        <f>IF(AND(ISNUMBER(AI200),ISNUMBER(AI201)),AI200+AI201,"")</f>
        <v>5598</v>
      </c>
      <c r="AJ202" s="262">
        <f>IF(AND(ISNUMBER(AJ200),ISNUMBER(AJ201)),AJ200+AJ201,"")</f>
        <v>6613</v>
      </c>
      <c r="AK202" s="262">
        <f>IF(AND(ISNUMBER(AK200),ISNUMBER(AK201)),AK200+AK201,"")</f>
        <v>7502</v>
      </c>
      <c r="AL202" s="262">
        <f>IF(AND(ISNUMBER(AL200),ISNUMBER(AL201)),AL200+AL201,"")</f>
        <v>8048</v>
      </c>
      <c r="AM202" s="262">
        <f>IF(AND(ISNUMBER(AM200),ISNUMBER(AM201)),AM200+AM201,"")</f>
        <v>27762</v>
      </c>
      <c r="AN202" s="262">
        <f>IF(AND(ISNUMBER(AN200),ISNUMBER(AN201)),AN200+AN201,"")</f>
        <v>9274</v>
      </c>
      <c r="AO202" s="262">
        <f>IF(AND(ISNUMBER(AO200),ISNUMBER(AO201)),AO200+AO201,"")</f>
        <v>8286</v>
      </c>
      <c r="AP202" s="262">
        <f>IF(AND(ISNUMBER(AP200),ISNUMBER(AP201)),AP200+AP201,"")</f>
        <v>8720</v>
      </c>
      <c r="AQ202" s="262">
        <f>IF(AND(ISNUMBER(AQ200),ISNUMBER(AQ201)),AQ200+AQ201,"")</f>
        <v>10049</v>
      </c>
      <c r="AR202" s="262">
        <f>IF(AND(ISNUMBER(AR200),ISNUMBER(AR201)),AR200+AR201,"")</f>
        <v>36330</v>
      </c>
      <c r="AS202" s="262">
        <f>IF(AND(ISNUMBER(AS200),ISNUMBER(AS201)),AS200+AS201,"")</f>
        <v>9351</v>
      </c>
      <c r="AT202" s="262">
        <f>IF(AND(ISNUMBER(AT200),ISNUMBER(AT201)),AT200+AT201,"")</f>
        <v>11591</v>
      </c>
      <c r="AU202" s="262">
        <f>IF(AND(ISNUMBER(AU200),ISNUMBER(AU201)),AU200+AU201,"")</f>
        <v>12717</v>
      </c>
      <c r="AV202" s="262">
        <f>IF(AND(ISNUMBER(AV200),ISNUMBER(AV201)),AV200+AV201,"")</f>
        <v>14491</v>
      </c>
      <c r="AW202" s="262">
        <f>IF(AND(ISNUMBER(AW200),ISNUMBER(AW201)),AW200+AW201,"")</f>
        <v>48150</v>
      </c>
      <c r="AX202" s="262">
        <f>IF(AND(ISNUMBER(AX200),ISNUMBER(AX201)),AX200+AX201,"")</f>
        <v>16373</v>
      </c>
      <c r="AY202" s="262">
        <f>IF(AND(ISNUMBER(AY200),ISNUMBER(AY201)),AY200+AY201,"")</f>
        <v>15740</v>
      </c>
      <c r="AZ202" s="262">
        <f>IF(AND(ISNUMBER(AZ200),ISNUMBER(AZ201)),AZ200+AZ201,"")</f>
        <v>13800</v>
      </c>
      <c r="BA202" s="262">
        <f>IF(AND(ISNUMBER(BA200),ISNUMBER(BA201)),BA200+BA201,"")</f>
        <v>13262</v>
      </c>
      <c r="BB202" s="262">
        <f>IF(AND(ISNUMBER(BB200),ISNUMBER(BB201)),BB200+BB201,"")</f>
        <v>59175</v>
      </c>
      <c r="BC202" s="262">
        <f>IF(AND(ISNUMBER(BC200),ISNUMBER(BC201)),BC200+BC201,"")</f>
        <v>12647</v>
      </c>
      <c r="BD202" s="262">
        <f>IF(AND(ISNUMBER(BD200),ISNUMBER(BD201)),BD200+BD201,"")</f>
        <v>12911</v>
      </c>
      <c r="BE202" s="262">
        <f>IF(AND(ISNUMBER(BE200),ISNUMBER(BE201)),BE200+BE201,"")</f>
        <v>12729</v>
      </c>
      <c r="BF202" s="262">
        <f>IF(AND(ISNUMBER(BF200),ISNUMBER(BF201)),BF200+BF201,"")</f>
        <v>18122</v>
      </c>
      <c r="BG202" s="262">
        <f>IF(AND(ISNUMBER(BG200),ISNUMBER(BG201)),BG200+BG201,"")</f>
        <v>56869</v>
      </c>
      <c r="BH202" s="262">
        <f>IF(AND(ISNUMBER(BH200),ISNUMBER(BH201)),BH200+BH201,"")</f>
        <v>16397</v>
      </c>
      <c r="BI202" s="262">
        <f>IF(AND(ISNUMBER(BI200),ISNUMBER(BI201)),BI200+BI201,"")</f>
        <v>19270</v>
      </c>
      <c r="BJ202" s="262">
        <f>IF(AND(ISNUMBER(BJ200),ISNUMBER(BJ201)),BJ200+BJ201,"")</f>
        <v>23319</v>
      </c>
      <c r="BK202" s="262">
        <f>IF(AND(ISNUMBER(BK200),ISNUMBER(BK201)),BK200+BK201,"")</f>
        <v>27029</v>
      </c>
      <c r="BL202" s="262">
        <f>IF(AND(ISNUMBER(BL200),ISNUMBER(BL201)),BL200+BL201,"")</f>
        <v>86015</v>
      </c>
      <c r="BM202" s="262">
        <f>IF(AND(ISNUMBER(BM200),ISNUMBER(BM201)),BM200+BM201,"")</f>
        <v>26991</v>
      </c>
      <c r="BN202" s="262">
        <f>IF(AND(ISNUMBER(BN200),ISNUMBER(BN201)),BN200+BN201,"")</f>
        <v>26710</v>
      </c>
      <c r="BO202" s="262">
        <f>IF(AND(ISNUMBER(BO200),ISNUMBER(BO201)),BO200+BO201,"")</f>
        <v>30853</v>
      </c>
      <c r="BP202" s="262">
        <f>IF(AND(ISNUMBER(BP200),ISNUMBER(BP201)),BP200+BP201,"")</f>
        <v>36834</v>
      </c>
      <c r="BQ202" s="262">
        <f>IF(AND(ISNUMBER(BQ200),ISNUMBER(BQ201)),BQ200+BQ201,"")</f>
        <v>121388</v>
      </c>
      <c r="BR202" s="262">
        <f>IF(AND(ISNUMBER(BR200),ISNUMBER(BR201)),BR200+BR201,"")</f>
        <v>32667</v>
      </c>
      <c r="BS202" s="262">
        <f>IF(AND(ISNUMBER(BS200),ISNUMBER(BS201)),BS200+BS201,"")</f>
        <v>34398</v>
      </c>
      <c r="BT202" s="262">
        <f>IF(AND(ISNUMBER(BT200),ISNUMBER(BT201)),BT200+BT201,"")</f>
        <v>38518</v>
      </c>
      <c r="BU202" s="262">
        <f>IF(AND(ISNUMBER(BU200),ISNUMBER(BU201)),BU200+BU201,"")</f>
        <v>46888</v>
      </c>
      <c r="BV202" s="262">
        <f>IF(AND(ISNUMBER(BV200),ISNUMBER(BV201)),BV200+BV201,"")</f>
        <v>152471</v>
      </c>
      <c r="BW202" s="262">
        <f>IF(AND(ISNUMBER(BW200),ISNUMBER(BW201)),BW200+BW201,"")</f>
        <v>42749</v>
      </c>
      <c r="BX202" s="262">
        <f>IF(AND(ISNUMBER(BX200),ISNUMBER(BX201)),BX200+BX201,"")</f>
        <v>46898</v>
      </c>
      <c r="BY202" s="262">
        <f>IF(AND(ISNUMBER(BY200),ISNUMBER(BY201)),BY200+BY201,"")</f>
        <v>46449.4861246213</v>
      </c>
      <c r="BZ202" s="262">
        <f>IF(AND(ISNUMBER(BZ200),ISNUMBER(BZ201)),BZ200+BZ201,"")</f>
        <v>55621.6508144557</v>
      </c>
      <c r="CA202" s="262">
        <f>IF(AND(ISNUMBER(CA200),ISNUMBER(CA201)),CA200+CA201,"")</f>
        <v>191718.136939077</v>
      </c>
      <c r="CB202" s="262">
        <f>IF(AND(ISNUMBER(CB200),ISNUMBER(CB201)),CB200+CB201,"")</f>
        <v>248439.407146781</v>
      </c>
      <c r="CC202" s="262">
        <f>IF(AND(ISNUMBER(CC200),ISNUMBER(CC201)),CC200+CC201,"")</f>
        <v>297699.805376884</v>
      </c>
      <c r="CD202" s="262">
        <f>IF(AND(ISNUMBER(CD200),ISNUMBER(CD201)),CD200+CD201,"")</f>
        <v>346306.164922942</v>
      </c>
      <c r="CE202" s="262">
        <f>IF(AND(ISNUMBER(CE200),ISNUMBER(CE201)),CE200+CE201,"")</f>
        <v>395464.059127364</v>
      </c>
      <c r="CF202" s="153" t="inlineStr">
        <is>
          <t>Model definition (SBC not added back). Used for leverage (net debt / adjusted EBITDA) and EV / EBITDA.</t>
        </is>
      </c>
      <c r="CH202" s="20">
        <f>IFERROR((CE202/BV202)^(1/5)-1,"n/m")</f>
        <v>0.209996054555946</v>
      </c>
      <c r="CI202" s="20">
        <f>IFERROR((BV202/AW202)^(1/5)-1,"n/m")</f>
        <v>0.25926806975448</v>
      </c>
      <c r="CJ202" s="20">
        <f>IFERROR((BV202/X202)^(1/10)-1,"n/m")</f>
        <v>0.334459384843563</v>
      </c>
      <c r="CK202" s="20">
        <f>IFERROR((BV202/C202)^(1/19)-1,"n/m")</f>
        <v>0.339092472149341</v>
      </c>
    </row>
    <row r="203" ht="15" customHeight="1" s="251">
      <c r="B203" s="25" t="inlineStr">
        <is>
          <t xml:space="preserve">  Adjusted EBITDA margin %</t>
        </is>
      </c>
      <c r="C203" s="215">
        <f>IF(AND(ISNUMBER(C202),ISNUMBER(C144)),IFERROR(C202/C144,""),"")</f>
        <v>0.0554570068154234</v>
      </c>
      <c r="D203" s="215">
        <f>IF(AND(ISNUMBER(D202),ISNUMBER(D144)),IFERROR(D202/D144,""),"")</f>
        <v>0.0607347489046175</v>
      </c>
      <c r="E203" s="215">
        <f>IF(AND(ISNUMBER(E202),ISNUMBER(E144)),IFERROR(E202/E144,""),"")</f>
        <v>0.0589063967442346</v>
      </c>
      <c r="F203" s="215">
        <f>IF(AND(ISNUMBER(F202),ISNUMBER(F144)),IFERROR(F202/F144,""),"")</f>
        <v>0.0614876167938308</v>
      </c>
      <c r="G203" s="215">
        <f>IF(AND(ISNUMBER(G202),ISNUMBER(G144)),IFERROR(G202/G144,""),"")</f>
        <v>0.0577125482399719</v>
      </c>
      <c r="H203" s="215">
        <f>IF(AND(ISNUMBER(H202),ISNUMBER(H144)),IFERROR(H202/H144,""),"")</f>
        <v>0.0404559352705036</v>
      </c>
      <c r="I203" s="215">
        <f>IF(AND(ISNUMBER(I202),ISNUMBER(I144)),IFERROR(I202/I144,""),"")</f>
        <v>0.0464046617452081</v>
      </c>
      <c r="J203" s="215">
        <f>IF(AND(ISNUMBER(J202),ISNUMBER(J144)),IFERROR(J202/J144,""),"")</f>
        <v>0.0548226509023024</v>
      </c>
      <c r="K203" s="215">
        <f>IF(AND(ISNUMBER(K202),ISNUMBER(K144)),IFERROR(K202/K144,""),"")</f>
        <v>0.0531711665817626</v>
      </c>
      <c r="L203" s="215">
        <f>IF(AND(ISNUMBER(L202),ISNUMBER(L144)),IFERROR(L202/L144,""),"")</f>
        <v>0.047332085186052</v>
      </c>
      <c r="M203" s="215">
        <f>IF(AND(ISNUMBER(M202),ISNUMBER(M144)),IFERROR(M202/M144,""),"")</f>
        <v>0.0575682964005159</v>
      </c>
      <c r="N203" s="215">
        <f>IF(AND(ISNUMBER(N202),ISNUMBER(N144)),IFERROR(N202/N144,""),"")</f>
        <v>0.0536990275613818</v>
      </c>
      <c r="O203" s="215">
        <f>IF(AND(ISNUMBER(O202),ISNUMBER(O144)),IFERROR(O202/O144,""),"")</f>
        <v>0.0585583303784003</v>
      </c>
      <c r="P203" s="215">
        <f>IF(AND(ISNUMBER(P202),ISNUMBER(P144)),IFERROR(P202/P144,""),"")</f>
        <v>0.0565667011375388</v>
      </c>
      <c r="Q203" s="215">
        <f>IF(AND(ISNUMBER(Q202),ISNUMBER(Q144)),IFERROR(Q202/Q144,""),"")</f>
        <v>0.0341610379513096</v>
      </c>
      <c r="R203" s="215">
        <f>IF(AND(ISNUMBER(R202),ISNUMBER(R144)),IFERROR(R202/R144,""),"")</f>
        <v>0.0671713038734315</v>
      </c>
      <c r="S203" s="215">
        <f>IF(AND(ISNUMBER(S202),ISNUMBER(S144)),IFERROR(S202/S144,""),"")</f>
        <v>0.0553333033667461</v>
      </c>
      <c r="T203" s="215">
        <f>IF(AND(ISNUMBER(T202),ISNUMBER(T144)),IFERROR(T202/T144,""),"")</f>
        <v>0.0739974468459744</v>
      </c>
      <c r="U203" s="215">
        <f>IF(AND(ISNUMBER(U202),ISNUMBER(U144)),IFERROR(U202/U144,""),"")</f>
        <v>0.0848824671123571</v>
      </c>
      <c r="V203" s="215">
        <f>IF(AND(ISNUMBER(V202),ISNUMBER(V144)),IFERROR(V202/V144,""),"")</f>
        <v>0.0790677498225412</v>
      </c>
      <c r="W203" s="215">
        <f>IF(AND(ISNUMBER(W202),ISNUMBER(W144)),IFERROR(W202/W144,""),"")</f>
        <v>0.0800067138501133</v>
      </c>
      <c r="X203" s="215">
        <f>IF(AND(ISNUMBER(X202),ISNUMBER(X144)),IFERROR(X202/X144,""),"")</f>
        <v>0.0795656318337289</v>
      </c>
      <c r="Y203" s="215">
        <f>IF(AND(ISNUMBER(Y202),ISNUMBER(Y144)),IFERROR(Y202/Y144,""),"")</f>
        <v>0.0994918978302664</v>
      </c>
      <c r="Z203" s="215">
        <f>IF(AND(ISNUMBER(Z202),ISNUMBER(Z144)),IFERROR(Z202/Z144,""),"")</f>
        <v>0.105051966846468</v>
      </c>
      <c r="AA203" s="215">
        <f>IF(AND(ISNUMBER(AA202),ISNUMBER(AA144)),IFERROR(AA202/AA144,""),"")</f>
        <v>0.0812801858531516</v>
      </c>
      <c r="AB203" s="215">
        <f>IF(AND(ISNUMBER(AB202),ISNUMBER(AB144)),IFERROR(AB202/AB144,""),"")</f>
        <v>0.0812052765140258</v>
      </c>
      <c r="AC203" s="215">
        <f>IF(AND(ISNUMBER(AC202),ISNUMBER(AC144)),IFERROR(AC202/AC144,""),"")</f>
        <v>0.0904645296976917</v>
      </c>
      <c r="AD203" s="215">
        <f>IF(AND(ISNUMBER(AD202),ISNUMBER(AD144)),IFERROR(AD202/AD144,""),"")</f>
        <v>0.0963207705661645</v>
      </c>
      <c r="AE203" s="215">
        <f>IF(AND(ISNUMBER(AE202),ISNUMBER(AE144)),IFERROR(AE202/AE144,""),"")</f>
        <v>0.0859175339217494</v>
      </c>
      <c r="AF203" s="215">
        <f>IF(AND(ISNUMBER(AF202),ISNUMBER(AF144)),IFERROR(AF202/AF144,""),"")</f>
        <v>0.0745016459400146</v>
      </c>
      <c r="AG203" s="215">
        <f>IF(AND(ISNUMBER(AG202),ISNUMBER(AG144)),IFERROR(AG202/AG144,""),"")</f>
        <v>0.0930474914396308</v>
      </c>
      <c r="AH203" s="215">
        <f>IF(AND(ISNUMBER(AH202),ISNUMBER(AH144)),IFERROR(AH202/AH144,""),"")</f>
        <v>0.0876165203018002</v>
      </c>
      <c r="AI203" s="215">
        <f>IF(AND(ISNUMBER(AI202),ISNUMBER(AI144)),IFERROR(AI202/AI144,""),"")</f>
        <v>0.109674385799929</v>
      </c>
      <c r="AJ203" s="215">
        <f>IF(AND(ISNUMBER(AJ202),ISNUMBER(AJ144)),IFERROR(AJ202/AJ144,""),"")</f>
        <v>0.125042544340657</v>
      </c>
      <c r="AK203" s="215">
        <f>IF(AND(ISNUMBER(AK202),ISNUMBER(AK144)),IFERROR(AK202/AK144,""),"")</f>
        <v>0.132600395927602</v>
      </c>
      <c r="AL203" s="215">
        <f>IF(AND(ISNUMBER(AL202),ISNUMBER(AL144)),IFERROR(AL202/AL144,""),"")</f>
        <v>0.111186328281503</v>
      </c>
      <c r="AM203" s="215">
        <f>IF(AND(ISNUMBER(AM202),ISNUMBER(AM144)),IFERROR(AM202/AM144,""),"")</f>
        <v>0.119208027927707</v>
      </c>
      <c r="AN203" s="215">
        <f>IF(AND(ISNUMBER(AN202),ISNUMBER(AN144)),IFERROR(AN202/AN144,""),"")</f>
        <v>0.15534338358459</v>
      </c>
      <c r="AO203" s="215">
        <f>IF(AND(ISNUMBER(AO202),ISNUMBER(AO144)),IFERROR(AO202/AO144,""),"")</f>
        <v>0.130685761150716</v>
      </c>
      <c r="AP203" s="215">
        <f>IF(AND(ISNUMBER(AP202),ISNUMBER(AP144)),IFERROR(AP202/AP144,""),"")</f>
        <v>0.124605249996428</v>
      </c>
      <c r="AQ203" s="215">
        <f>IF(AND(ISNUMBER(AQ202),ISNUMBER(AQ144)),IFERROR(AQ202/AQ144,""),"")</f>
        <v>0.114928462778915</v>
      </c>
      <c r="AR203" s="215">
        <f>IF(AND(ISNUMBER(AR202),ISNUMBER(AR144)),IFERROR(AR202/AR144,""),"")</f>
        <v>0.129508559043497</v>
      </c>
      <c r="AS203" s="215">
        <f>IF(AND(ISNUMBER(AS202),ISNUMBER(AS144)),IFERROR(AS202/AS144,""),"")</f>
        <v>0.123933096538196</v>
      </c>
      <c r="AT203" s="215">
        <f>IF(AND(ISNUMBER(AT202),ISNUMBER(AT144)),IFERROR(AT202/AT144,""),"")</f>
        <v>0.130364855137664</v>
      </c>
      <c r="AU203" s="215">
        <f>IF(AND(ISNUMBER(AU202),ISNUMBER(AU144)),IFERROR(AU202/AU144,""),"")</f>
        <v>0.132268968745125</v>
      </c>
      <c r="AV203" s="215">
        <f>IF(AND(ISNUMBER(AV202),ISNUMBER(AV144)),IFERROR(AV202/AV144,""),"")</f>
        <v>0.115415554936084</v>
      </c>
      <c r="AW203" s="215">
        <f>IF(AND(ISNUMBER(AW202),ISNUMBER(AW144)),IFERROR(AW202/AW144,""),"")</f>
        <v>0.124720253636703</v>
      </c>
      <c r="AX203" s="215">
        <f>IF(AND(ISNUMBER(AX202),ISNUMBER(AX144)),IFERROR(AX202/AX144,""),"")</f>
        <v>0.150878195322435</v>
      </c>
      <c r="AY203" s="215">
        <f>IF(AND(ISNUMBER(AY202),ISNUMBER(AY144)),IFERROR(AY202/AY144,""),"")</f>
        <v>0.139193491333569</v>
      </c>
      <c r="AZ203" s="215">
        <f>IF(AND(ISNUMBER(AZ202),ISNUMBER(AZ144)),IFERROR(AZ202/AZ144,""),"")</f>
        <v>0.124535248890012</v>
      </c>
      <c r="BA203" s="215">
        <f>IF(AND(ISNUMBER(BA202),ISNUMBER(BA144)),IFERROR(BA202/BA144,""),"")</f>
        <v>0.0965126772043199</v>
      </c>
      <c r="BB203" s="215">
        <f>IF(AND(ISNUMBER(BB202),ISNUMBER(BB144)),IFERROR(BB202/BB144,""),"")</f>
        <v>0.125951956272801</v>
      </c>
      <c r="BC203" s="215">
        <f>IF(AND(ISNUMBER(BC202),ISNUMBER(BC144)),IFERROR(BC202/BC144,""),"")</f>
        <v>0.108610147366975</v>
      </c>
      <c r="BD203" s="215">
        <f>IF(AND(ISNUMBER(BD202),ISNUMBER(BD144)),IFERROR(BD202/BD144,""),"")</f>
        <v>0.106496527376808</v>
      </c>
      <c r="BE203" s="215">
        <f>IF(AND(ISNUMBER(BE202),ISNUMBER(BE144)),IFERROR(BE202/BE144,""),"")</f>
        <v>0.100148700639649</v>
      </c>
      <c r="BF203" s="215">
        <f>IF(AND(ISNUMBER(BF202),ISNUMBER(BF144)),IFERROR(BF202/BF144,""),"")</f>
        <v>0.121457869762205</v>
      </c>
      <c r="BG203" s="215">
        <f>IF(AND(ISNUMBER(BG202),ISNUMBER(BG144)),IFERROR(BG202/BG144,""),"")</f>
        <v>0.110643737244228</v>
      </c>
      <c r="BH203" s="215">
        <f>IF(AND(ISNUMBER(BH202),ISNUMBER(BH144)),IFERROR(BH202/BH144,""),"")</f>
        <v>0.128747310730382</v>
      </c>
      <c r="BI203" s="215">
        <f>IF(AND(ISNUMBER(BI202),ISNUMBER(BI144)),IFERROR(BI202/BI144,""),"")</f>
        <v>0.143396114091812</v>
      </c>
      <c r="BJ203" s="215">
        <f>IF(AND(ISNUMBER(BJ202),ISNUMBER(BJ144)),IFERROR(BJ202/BJ144,""),"")</f>
        <v>0.162975335993794</v>
      </c>
      <c r="BK203" s="215">
        <f>IF(AND(ISNUMBER(BK202),ISNUMBER(BK144)),IFERROR(BK202/BK144,""),"")</f>
        <v>0.159030601137908</v>
      </c>
      <c r="BL203" s="215">
        <f>IF(AND(ISNUMBER(BL202),ISNUMBER(BL144)),IFERROR(BL202/BL144,""),"")</f>
        <v>0.14964725941004</v>
      </c>
      <c r="BM203" s="215">
        <f>IF(AND(ISNUMBER(BM202),ISNUMBER(BM144)),IFERROR(BM202/BM144,""),"")</f>
        <v>0.188336019760943</v>
      </c>
      <c r="BN203" s="215">
        <f>IF(AND(ISNUMBER(BN202),ISNUMBER(BN144)),IFERROR(BN202/BN144,""),"")</f>
        <v>0.180501023807754</v>
      </c>
      <c r="BO203" s="215">
        <f>IF(AND(ISNUMBER(BO202),ISNUMBER(BO144)),IFERROR(BO202/BO144,""),"")</f>
        <v>0.194194250898494</v>
      </c>
      <c r="BP203" s="215">
        <f>IF(AND(ISNUMBER(BP202),ISNUMBER(BP144)),IFERROR(BP202/BP144,""),"")</f>
        <v>0.196142540683309</v>
      </c>
      <c r="BQ203" s="215">
        <f>IF(AND(ISNUMBER(BQ202),ISNUMBER(BQ144)),IFERROR(BQ202/BQ144,""),"")</f>
        <v>0.190275550623159</v>
      </c>
      <c r="BR203" s="215">
        <f>IF(AND(ISNUMBER(BR202),ISNUMBER(BR144)),IFERROR(BR202/BR144,""),"")</f>
        <v>0.20985179903255</v>
      </c>
      <c r="BS203" s="215">
        <f>IF(AND(ISNUMBER(BS202),ISNUMBER(BS144)),IFERROR(BS202/BS144,""),"")</f>
        <v>0.20511383287021</v>
      </c>
      <c r="BT203" s="215">
        <f>IF(AND(ISNUMBER(BT202),ISNUMBER(BT144)),IFERROR(BT202/BT144,""),"")</f>
        <v>0.213788165555673</v>
      </c>
      <c r="BU203" s="215">
        <f>IF(AND(ISNUMBER(BU202),ISNUMBER(BU144)),IFERROR(BU202/BU144,""),"")</f>
        <v>0.219733253353078</v>
      </c>
      <c r="BV203" s="215">
        <f>IF(AND(ISNUMBER(BV202),ISNUMBER(BV144)),IFERROR(BV202/BV144,""),"")</f>
        <v>0.212673867801887</v>
      </c>
      <c r="BW203" s="215">
        <f>IF(AND(ISNUMBER(BW202),ISNUMBER(BW144)),IFERROR(BW202/BW144,""),"")</f>
        <v>0.23550702681262</v>
      </c>
      <c r="BX203" s="215">
        <f>IF(AND(ISNUMBER(BX202),ISNUMBER(BX144)),IFERROR(BX202/BX144,""),"")</f>
        <v>0.233781641625874</v>
      </c>
      <c r="BY203" s="256">
        <f>IF(AND(ISNUMBER(BY202),ISNUMBER(BY144)),IFERROR(BY202/BY144,""),"")</f>
        <v>0.232829504384067</v>
      </c>
      <c r="BZ203" s="256">
        <f>IF(AND(ISNUMBER(BZ202),ISNUMBER(BZ144)),IFERROR(BZ202/BZ144,""),"")</f>
        <v>0.228053410722982</v>
      </c>
      <c r="CA203" s="256">
        <f>IF(AND(ISNUMBER(CA202),ISNUMBER(CA144)),IFERROR(CA202/CA144,""),"")</f>
        <v>0.23223854343789</v>
      </c>
      <c r="CB203" s="256">
        <f>IF(AND(ISNUMBER(CB202),ISNUMBER(CB144)),IFERROR(CB202/CB144,""),"")</f>
        <v>0.263188012747876</v>
      </c>
      <c r="CC203" s="256">
        <f>IF(AND(ISNUMBER(CC202),ISNUMBER(CC144)),IFERROR(CC202/CC144,""),"")</f>
        <v>0.278374048294251</v>
      </c>
      <c r="CD203" s="256">
        <f>IF(AND(ISNUMBER(CD202),ISNUMBER(CD144)),IFERROR(CD202/CD144,""),"")</f>
        <v>0.288898639157786</v>
      </c>
      <c r="CE203" s="256">
        <f>IF(AND(ISNUMBER(CE202),ISNUMBER(CE144)),IFERROR(CE202/CE144,""),"")</f>
        <v>0.297291540634743</v>
      </c>
      <c r="CF203" s="153" t="n"/>
      <c r="CH203" s="37">
        <f>IFERROR(AVERAGE(CA203,CB203,CC203,CD203,CE203),"n/m")</f>
        <v>0.271998156854509</v>
      </c>
      <c r="CI203" s="37">
        <f>IFERROR(AVERAGE(BB203,BG203,BL203,BQ203,BV203),"n/m")</f>
        <v>0.157838474270423</v>
      </c>
      <c r="CJ203" s="37">
        <f>IFERROR(AVERAGE(AC203,AH203,AM203,AR203,AW203,BB203,BG203,BL203,BQ203,BV203),"n/m")</f>
        <v>0.134071026195952</v>
      </c>
      <c r="CK203" s="37">
        <f>IFERROR(AVERAGE(C203,D203,E203,F203,G203,H203,I203,N203,S203,X203,AC203,AH203,AM203,AR203,AW203,BB203,BG203,BL203,BQ203,BV203),"n/m")</f>
        <v>0.0955233569617581</v>
      </c>
    </row>
    <row r="204" ht="15" customHeight="1" s="251">
      <c r="B204" s="156" t="inlineStr">
        <is>
          <t xml:space="preserve">  Company-published EBITDA — none (Amazon does not publish EBITDA)</t>
        </is>
      </c>
      <c r="C204" s="34" t="n"/>
      <c r="D204" s="34" t="n"/>
      <c r="E204" s="34" t="n"/>
      <c r="F204" s="34" t="n"/>
      <c r="G204" s="34" t="n"/>
      <c r="H204" s="34" t="n"/>
      <c r="I204" s="34" t="n"/>
      <c r="J204" s="34" t="n"/>
      <c r="K204" s="34" t="n"/>
      <c r="L204" s="34" t="n"/>
      <c r="M204" s="34" t="n"/>
      <c r="N204" s="34" t="n"/>
      <c r="O204" s="34" t="n"/>
      <c r="P204" s="34" t="n"/>
      <c r="Q204" s="34" t="n"/>
      <c r="R204" s="34" t="n"/>
      <c r="S204" s="34" t="n"/>
      <c r="T204" s="34" t="n"/>
      <c r="U204" s="34" t="n"/>
      <c r="V204" s="34" t="n"/>
      <c r="W204" s="34" t="n"/>
      <c r="X204" s="34" t="n"/>
      <c r="Y204" s="34" t="n"/>
      <c r="Z204" s="34" t="n"/>
      <c r="AA204" s="34" t="n"/>
      <c r="AB204" s="34" t="n"/>
      <c r="AC204" s="34" t="n"/>
      <c r="AD204" s="34" t="n"/>
      <c r="AE204" s="34" t="n"/>
      <c r="AF204" s="34" t="n"/>
      <c r="AG204" s="34" t="n"/>
      <c r="AH204" s="34" t="n"/>
      <c r="AI204" s="34" t="n"/>
      <c r="AJ204" s="34" t="n"/>
      <c r="AK204" s="34" t="n"/>
      <c r="AL204" s="34" t="n"/>
      <c r="AM204" s="34" t="n"/>
      <c r="AN204" s="34" t="n"/>
      <c r="AO204" s="34" t="n"/>
      <c r="AP204" s="34" t="n"/>
      <c r="AQ204" s="34" t="n"/>
      <c r="AR204" s="34" t="n"/>
      <c r="AS204" s="34" t="n"/>
      <c r="AT204" s="34" t="n"/>
      <c r="AU204" s="34" t="n"/>
      <c r="AV204" s="34" t="n"/>
      <c r="AW204" s="34" t="n"/>
      <c r="AX204" s="34" t="n"/>
      <c r="AY204" s="34" t="n"/>
      <c r="AZ204" s="34" t="n"/>
      <c r="BA204" s="34" t="n"/>
      <c r="BB204" s="34" t="n"/>
      <c r="BC204" s="34" t="n"/>
      <c r="BD204" s="34" t="n"/>
      <c r="BE204" s="34" t="n"/>
      <c r="BF204" s="34" t="n"/>
      <c r="BG204" s="34" t="n"/>
      <c r="BH204" s="34" t="n"/>
      <c r="BI204" s="34" t="n"/>
      <c r="BJ204" s="34" t="n"/>
      <c r="BK204" s="34" t="n"/>
      <c r="BL204" s="34" t="n"/>
      <c r="BM204" s="34" t="n"/>
      <c r="BN204" s="34" t="n"/>
      <c r="BO204" s="34" t="n"/>
      <c r="BP204" s="34" t="n"/>
      <c r="BQ204" s="34" t="n"/>
      <c r="BR204" s="34" t="n"/>
      <c r="BS204" s="34" t="n"/>
      <c r="BT204" s="34" t="n"/>
      <c r="BU204" s="34" t="n"/>
      <c r="BV204" s="34" t="n"/>
      <c r="BW204" s="34" t="n"/>
      <c r="BX204" s="34" t="n"/>
      <c r="BY204" s="153" t="n"/>
      <c r="BZ204" s="153" t="n"/>
      <c r="CA204" s="153" t="n"/>
      <c r="CB204" s="153" t="n"/>
      <c r="CC204" s="153" t="n"/>
      <c r="CD204" s="153" t="n"/>
      <c r="CE204" s="153" t="n"/>
      <c r="CF204" s="153" t="n"/>
    </row>
    <row r="205" ht="15" customHeight="1" s="251">
      <c r="B205" s="57" t="inlineStr">
        <is>
          <t xml:space="preserve">  Check: adjusted EBITDA − D&amp;A vs adjusted operating income (should be 0)</t>
        </is>
      </c>
      <c r="C205" s="211">
        <f>IF(AND(ISNUMBER(C202),ISNUMBER(C182)),IF(ABS(C202-C126-C182)&lt;=1.01,0,ROUND(C202-C126-C182,0)),"")</f>
        <v>0</v>
      </c>
      <c r="D205" s="211">
        <f>IF(AND(ISNUMBER(D202),ISNUMBER(D182)),IF(ABS(D202-D126-D182)&lt;=1.01,0,ROUND(D202-D126-D182,0)),"")</f>
        <v>0</v>
      </c>
      <c r="E205" s="211">
        <f>IF(AND(ISNUMBER(E202),ISNUMBER(E182)),IF(ABS(E202-E126-E182)&lt;=1.01,0,ROUND(E202-E126-E182,0)),"")</f>
        <v>0</v>
      </c>
      <c r="F205" s="211">
        <f>IF(AND(ISNUMBER(F202),ISNUMBER(F182)),IF(ABS(F202-F126-F182)&lt;=1.01,0,ROUND(F202-F126-F182,0)),"")</f>
        <v>0</v>
      </c>
      <c r="G205" s="211">
        <f>IF(AND(ISNUMBER(G202),ISNUMBER(G182)),IF(ABS(G202-G126-G182)&lt;=1.01,0,ROUND(G202-G126-G182,0)),"")</f>
        <v>0</v>
      </c>
      <c r="H205" s="211">
        <f>IF(AND(ISNUMBER(H202),ISNUMBER(H182)),IF(ABS(H202-H126-H182)&lt;=1.01,0,ROUND(H202-H126-H182,0)),"")</f>
        <v>0</v>
      </c>
      <c r="I205" s="211">
        <f>IF(AND(ISNUMBER(I202),ISNUMBER(I182)),IF(ABS(I202-I126-I182)&lt;=1.01,0,ROUND(I202-I126-I182,0)),"")</f>
        <v>0</v>
      </c>
      <c r="J205" s="211">
        <f>IF(AND(ISNUMBER(J202),ISNUMBER(J182)),IF(ABS(J202-J126-J182)&lt;=1.01,0,ROUND(J202-J126-J182,0)),"")</f>
        <v>0</v>
      </c>
      <c r="K205" s="211">
        <f>IF(AND(ISNUMBER(K202),ISNUMBER(K182)),IF(ABS(K202-K126-K182)&lt;=1.01,0,ROUND(K202-K126-K182,0)),"")</f>
        <v>0</v>
      </c>
      <c r="L205" s="211">
        <f>IF(AND(ISNUMBER(L202),ISNUMBER(L182)),IF(ABS(L202-L126-L182)&lt;=1.01,0,ROUND(L202-L126-L182,0)),"")</f>
        <v>0</v>
      </c>
      <c r="M205" s="211">
        <f>IF(AND(ISNUMBER(M202),ISNUMBER(M182)),IF(ABS(M202-M126-M182)&lt;=1.01,0,ROUND(M202-M126-M182,0)),"")</f>
        <v>0</v>
      </c>
      <c r="N205" s="211">
        <f>IF(AND(ISNUMBER(N202),ISNUMBER(N182)),IF(ABS(N202-N126-N182)&lt;=1.01,0,ROUND(N202-N126-N182,0)),"")</f>
        <v>0</v>
      </c>
      <c r="O205" s="211">
        <f>IF(AND(ISNUMBER(O202),ISNUMBER(O182)),IF(ABS(O202-O126-O182)&lt;=1.01,0,ROUND(O202-O126-O182,0)),"")</f>
        <v>0</v>
      </c>
      <c r="P205" s="211">
        <f>IF(AND(ISNUMBER(P202),ISNUMBER(P182)),IF(ABS(P202-P126-P182)&lt;=1.01,0,ROUND(P202-P126-P182,0)),"")</f>
        <v>0</v>
      </c>
      <c r="Q205" s="211">
        <f>IF(AND(ISNUMBER(Q202),ISNUMBER(Q182)),IF(ABS(Q202-Q126-Q182)&lt;=1.01,0,ROUND(Q202-Q126-Q182,0)),"")</f>
        <v>0</v>
      </c>
      <c r="R205" s="211">
        <f>IF(AND(ISNUMBER(R202),ISNUMBER(R182)),IF(ABS(R202-R126-R182)&lt;=1.01,0,ROUND(R202-R126-R182,0)),"")</f>
        <v>0</v>
      </c>
      <c r="S205" s="211">
        <f>IF(AND(ISNUMBER(S202),ISNUMBER(S182)),IF(ABS(S202-S126-S182)&lt;=1.01,0,ROUND(S202-S126-S182,0)),"")</f>
        <v>0</v>
      </c>
      <c r="T205" s="211">
        <f>IF(AND(ISNUMBER(T202),ISNUMBER(T182)),IF(ABS(T202-T126-T182)&lt;=1.01,0,ROUND(T202-T126-T182,0)),"")</f>
        <v>0</v>
      </c>
      <c r="U205" s="211">
        <f>IF(AND(ISNUMBER(U202),ISNUMBER(U182)),IF(ABS(U202-U126-U182)&lt;=1.01,0,ROUND(U202-U126-U182,0)),"")</f>
        <v>0</v>
      </c>
      <c r="V205" s="211">
        <f>IF(AND(ISNUMBER(V202),ISNUMBER(V182)),IF(ABS(V202-V126-V182)&lt;=1.01,0,ROUND(V202-V126-V182,0)),"")</f>
        <v>0</v>
      </c>
      <c r="W205" s="211">
        <f>IF(AND(ISNUMBER(W202),ISNUMBER(W182)),IF(ABS(W202-W126-W182)&lt;=1.01,0,ROUND(W202-W126-W182,0)),"")</f>
        <v>0</v>
      </c>
      <c r="X205" s="211">
        <f>IF(AND(ISNUMBER(X202),ISNUMBER(X182)),IF(ABS(X202-X126-X182)&lt;=1.01,0,ROUND(X202-X126-X182,0)),"")</f>
        <v>0</v>
      </c>
      <c r="Y205" s="211">
        <f>IF(AND(ISNUMBER(Y202),ISNUMBER(Y182)),IF(ABS(Y202-Y126-Y182)&lt;=1.01,0,ROUND(Y202-Y126-Y182,0)),"")</f>
        <v>0</v>
      </c>
      <c r="Z205" s="211">
        <f>IF(AND(ISNUMBER(Z202),ISNUMBER(Z182)),IF(ABS(Z202-Z126-Z182)&lt;=1.01,0,ROUND(Z202-Z126-Z182,0)),"")</f>
        <v>0</v>
      </c>
      <c r="AA205" s="211">
        <f>IF(AND(ISNUMBER(AA202),ISNUMBER(AA182)),IF(ABS(AA202-AA126-AA182)&lt;=1.01,0,ROUND(AA202-AA126-AA182,0)),"")</f>
        <v>0</v>
      </c>
      <c r="AB205" s="211">
        <f>IF(AND(ISNUMBER(AB202),ISNUMBER(AB182)),IF(ABS(AB202-AB126-AB182)&lt;=1.01,0,ROUND(AB202-AB126-AB182,0)),"")</f>
        <v>0</v>
      </c>
      <c r="AC205" s="211">
        <f>IF(AND(ISNUMBER(AC202),ISNUMBER(AC182)),IF(ABS(AC202-AC126-AC182)&lt;=1.01,0,ROUND(AC202-AC126-AC182,0)),"")</f>
        <v>0</v>
      </c>
      <c r="AD205" s="211">
        <f>IF(AND(ISNUMBER(AD202),ISNUMBER(AD182)),IF(ABS(AD202-AD126-AD182)&lt;=1.01,0,ROUND(AD202-AD126-AD182,0)),"")</f>
        <v>0</v>
      </c>
      <c r="AE205" s="211">
        <f>IF(AND(ISNUMBER(AE202),ISNUMBER(AE182)),IF(ABS(AE202-AE126-AE182)&lt;=1.01,0,ROUND(AE202-AE126-AE182,0)),"")</f>
        <v>0</v>
      </c>
      <c r="AF205" s="211">
        <f>IF(AND(ISNUMBER(AF202),ISNUMBER(AF182)),IF(ABS(AF202-AF126-AF182)&lt;=1.01,0,ROUND(AF202-AF126-AF182,0)),"")</f>
        <v>0</v>
      </c>
      <c r="AG205" s="211">
        <f>IF(AND(ISNUMBER(AG202),ISNUMBER(AG182)),IF(ABS(AG202-AG126-AG182)&lt;=1.01,0,ROUND(AG202-AG126-AG182,0)),"")</f>
        <v>0</v>
      </c>
      <c r="AH205" s="211">
        <f>IF(AND(ISNUMBER(AH202),ISNUMBER(AH182)),IF(ABS(AH202-AH126-AH182)&lt;=1.01,0,ROUND(AH202-AH126-AH182,0)),"")</f>
        <v>0</v>
      </c>
      <c r="AI205" s="211">
        <f>IF(AND(ISNUMBER(AI202),ISNUMBER(AI182)),IF(ABS(AI202-AI126-AI182)&lt;=1.01,0,ROUND(AI202-AI126-AI182,0)),"")</f>
        <v>0</v>
      </c>
      <c r="AJ205" s="211">
        <f>IF(AND(ISNUMBER(AJ202),ISNUMBER(AJ182)),IF(ABS(AJ202-AJ126-AJ182)&lt;=1.01,0,ROUND(AJ202-AJ126-AJ182,0)),"")</f>
        <v>0</v>
      </c>
      <c r="AK205" s="211">
        <f>IF(AND(ISNUMBER(AK202),ISNUMBER(AK182)),IF(ABS(AK202-AK126-AK182)&lt;=1.01,0,ROUND(AK202-AK126-AK182,0)),"")</f>
        <v>0</v>
      </c>
      <c r="AL205" s="211">
        <f>IF(AND(ISNUMBER(AL202),ISNUMBER(AL182)),IF(ABS(AL202-AL126-AL182)&lt;=1.01,0,ROUND(AL202-AL126-AL182,0)),"")</f>
        <v>0</v>
      </c>
      <c r="AM205" s="211">
        <f>IF(AND(ISNUMBER(AM202),ISNUMBER(AM182)),IF(ABS(AM202-AM126-AM182)&lt;=1.01,0,ROUND(AM202-AM126-AM182,0)),"")</f>
        <v>0</v>
      </c>
      <c r="AN205" s="211">
        <f>IF(AND(ISNUMBER(AN202),ISNUMBER(AN182)),IF(ABS(AN202-AN126-AN182)&lt;=1.01,0,ROUND(AN202-AN126-AN182,0)),"")</f>
        <v>0</v>
      </c>
      <c r="AO205" s="211">
        <f>IF(AND(ISNUMBER(AO202),ISNUMBER(AO182)),IF(ABS(AO202-AO126-AO182)&lt;=1.01,0,ROUND(AO202-AO126-AO182,0)),"")</f>
        <v>0</v>
      </c>
      <c r="AP205" s="211">
        <f>IF(AND(ISNUMBER(AP202),ISNUMBER(AP182)),IF(ABS(AP202-AP126-AP182)&lt;=1.01,0,ROUND(AP202-AP126-AP182,0)),"")</f>
        <v>0</v>
      </c>
      <c r="AQ205" s="211">
        <f>IF(AND(ISNUMBER(AQ202),ISNUMBER(AQ182)),IF(ABS(AQ202-AQ126-AQ182)&lt;=1.01,0,ROUND(AQ202-AQ126-AQ182,0)),"")</f>
        <v>0</v>
      </c>
      <c r="AR205" s="211">
        <f>IF(AND(ISNUMBER(AR202),ISNUMBER(AR182)),IF(ABS(AR202-AR126-AR182)&lt;=1.01,0,ROUND(AR202-AR126-AR182,0)),"")</f>
        <v>0</v>
      </c>
      <c r="AS205" s="211">
        <f>IF(AND(ISNUMBER(AS202),ISNUMBER(AS182)),IF(ABS(AS202-AS126-AS182)&lt;=1.01,0,ROUND(AS202-AS126-AS182,0)),"")</f>
        <v>0</v>
      </c>
      <c r="AT205" s="211">
        <f>IF(AND(ISNUMBER(AT202),ISNUMBER(AT182)),IF(ABS(AT202-AT126-AT182)&lt;=1.01,0,ROUND(AT202-AT126-AT182,0)),"")</f>
        <v>0</v>
      </c>
      <c r="AU205" s="211">
        <f>IF(AND(ISNUMBER(AU202),ISNUMBER(AU182)),IF(ABS(AU202-AU126-AU182)&lt;=1.01,0,ROUND(AU202-AU126-AU182,0)),"")</f>
        <v>0</v>
      </c>
      <c r="AV205" s="211">
        <f>IF(AND(ISNUMBER(AV202),ISNUMBER(AV182)),IF(ABS(AV202-AV126-AV182)&lt;=1.01,0,ROUND(AV202-AV126-AV182,0)),"")</f>
        <v>0</v>
      </c>
      <c r="AW205" s="211">
        <f>IF(AND(ISNUMBER(AW202),ISNUMBER(AW182)),IF(ABS(AW202-AW126-AW182)&lt;=1.01,0,ROUND(AW202-AW126-AW182,0)),"")</f>
        <v>0</v>
      </c>
      <c r="AX205" s="211">
        <f>IF(AND(ISNUMBER(AX202),ISNUMBER(AX182)),IF(ABS(AX202-AX126-AX182)&lt;=1.01,0,ROUND(AX202-AX126-AX182,0)),"")</f>
        <v>0</v>
      </c>
      <c r="AY205" s="211">
        <f>IF(AND(ISNUMBER(AY202),ISNUMBER(AY182)),IF(ABS(AY202-AY126-AY182)&lt;=1.01,0,ROUND(AY202-AY126-AY182,0)),"")</f>
        <v>0</v>
      </c>
      <c r="AZ205" s="211">
        <f>IF(AND(ISNUMBER(AZ202),ISNUMBER(AZ182)),IF(ABS(AZ202-AZ126-AZ182)&lt;=1.01,0,ROUND(AZ202-AZ126-AZ182,0)),"")</f>
        <v>0</v>
      </c>
      <c r="BA205" s="211">
        <f>IF(AND(ISNUMBER(BA202),ISNUMBER(BA182)),IF(ABS(BA202-BA126-BA182)&lt;=1.01,0,ROUND(BA202-BA126-BA182,0)),"")</f>
        <v>0</v>
      </c>
      <c r="BB205" s="211">
        <f>IF(AND(ISNUMBER(BB202),ISNUMBER(BB182)),IF(ABS(BB202-BB126-BB182)&lt;=1.01,0,ROUND(BB202-BB126-BB182,0)),"")</f>
        <v>0</v>
      </c>
      <c r="BC205" s="211">
        <f>IF(AND(ISNUMBER(BC202),ISNUMBER(BC182)),IF(ABS(BC202-BC126-BC182)&lt;=1.01,0,ROUND(BC202-BC126-BC182,0)),"")</f>
        <v>0</v>
      </c>
      <c r="BD205" s="211">
        <f>IF(AND(ISNUMBER(BD202),ISNUMBER(BD182)),IF(ABS(BD202-BD126-BD182)&lt;=1.01,0,ROUND(BD202-BD126-BD182,0)),"")</f>
        <v>0</v>
      </c>
      <c r="BE205" s="211">
        <f>IF(AND(ISNUMBER(BE202),ISNUMBER(BE182)),IF(ABS(BE202-BE126-BE182)&lt;=1.01,0,ROUND(BE202-BE126-BE182,0)),"")</f>
        <v>0</v>
      </c>
      <c r="BF205" s="211">
        <f>IF(AND(ISNUMBER(BF202),ISNUMBER(BF182)),IF(ABS(BF202-BF126-BF182)&lt;=1.01,0,ROUND(BF202-BF126-BF182,0)),"")</f>
        <v>0</v>
      </c>
      <c r="BG205" s="211">
        <f>IF(AND(ISNUMBER(BG202),ISNUMBER(BG182)),IF(ABS(BG202-BG126-BG182)&lt;=1.01,0,ROUND(BG202-BG126-BG182,0)),"")</f>
        <v>0</v>
      </c>
      <c r="BH205" s="211">
        <f>IF(AND(ISNUMBER(BH202),ISNUMBER(BH182)),IF(ABS(BH202-BH126-BH182)&lt;=1.01,0,ROUND(BH202-BH126-BH182,0)),"")</f>
        <v>0</v>
      </c>
      <c r="BI205" s="211">
        <f>IF(AND(ISNUMBER(BI202),ISNUMBER(BI182)),IF(ABS(BI202-BI126-BI182)&lt;=1.01,0,ROUND(BI202-BI126-BI182,0)),"")</f>
        <v>0</v>
      </c>
      <c r="BJ205" s="211">
        <f>IF(AND(ISNUMBER(BJ202),ISNUMBER(BJ182)),IF(ABS(BJ202-BJ126-BJ182)&lt;=1.01,0,ROUND(BJ202-BJ126-BJ182,0)),"")</f>
        <v>0</v>
      </c>
      <c r="BK205" s="211">
        <f>IF(AND(ISNUMBER(BK202),ISNUMBER(BK182)),IF(ABS(BK202-BK126-BK182)&lt;=1.01,0,ROUND(BK202-BK126-BK182,0)),"")</f>
        <v>0</v>
      </c>
      <c r="BL205" s="211">
        <f>IF(AND(ISNUMBER(BL202),ISNUMBER(BL182)),IF(ABS(BL202-BL126-BL182)&lt;=1.01,0,ROUND(BL202-BL126-BL182,0)),"")</f>
        <v>0</v>
      </c>
      <c r="BM205" s="211">
        <f>IF(AND(ISNUMBER(BM202),ISNUMBER(BM182)),IF(ABS(BM202-BM126-BM182)&lt;=1.01,0,ROUND(BM202-BM126-BM182,0)),"")</f>
        <v>0</v>
      </c>
      <c r="BN205" s="211">
        <f>IF(AND(ISNUMBER(BN202),ISNUMBER(BN182)),IF(ABS(BN202-BN126-BN182)&lt;=1.01,0,ROUND(BN202-BN126-BN182,0)),"")</f>
        <v>0</v>
      </c>
      <c r="BO205" s="211">
        <f>IF(AND(ISNUMBER(BO202),ISNUMBER(BO182)),IF(ABS(BO202-BO126-BO182)&lt;=1.01,0,ROUND(BO202-BO126-BO182,0)),"")</f>
        <v>0</v>
      </c>
      <c r="BP205" s="211">
        <f>IF(AND(ISNUMBER(BP202),ISNUMBER(BP182)),IF(ABS(BP202-BP126-BP182)&lt;=1.01,0,ROUND(BP202-BP126-BP182,0)),"")</f>
        <v>0</v>
      </c>
      <c r="BQ205" s="211">
        <f>IF(AND(ISNUMBER(BQ202),ISNUMBER(BQ182)),IF(ABS(BQ202-BQ126-BQ182)&lt;=1.01,0,ROUND(BQ202-BQ126-BQ182,0)),"")</f>
        <v>0</v>
      </c>
      <c r="BR205" s="211">
        <f>IF(AND(ISNUMBER(BR202),ISNUMBER(BR182)),IF(ABS(BR202-BR126-BR182)&lt;=1.01,0,ROUND(BR202-BR126-BR182,0)),"")</f>
        <v>0</v>
      </c>
      <c r="BS205" s="211">
        <f>IF(AND(ISNUMBER(BS202),ISNUMBER(BS182)),IF(ABS(BS202-BS126-BS182)&lt;=1.01,0,ROUND(BS202-BS126-BS182,0)),"")</f>
        <v>0</v>
      </c>
      <c r="BT205" s="211">
        <f>IF(AND(ISNUMBER(BT202),ISNUMBER(BT182)),IF(ABS(BT202-BT126-BT182)&lt;=1.01,0,ROUND(BT202-BT126-BT182,0)),"")</f>
        <v>0</v>
      </c>
      <c r="BU205" s="211">
        <f>IF(AND(ISNUMBER(BU202),ISNUMBER(BU182)),IF(ABS(BU202-BU126-BU182)&lt;=1.01,0,ROUND(BU202-BU126-BU182,0)),"")</f>
        <v>0</v>
      </c>
      <c r="BV205" s="211">
        <f>IF(AND(ISNUMBER(BV202),ISNUMBER(BV182)),IF(ABS(BV202-BV126-BV182)&lt;=1.01,0,ROUND(BV202-BV126-BV182,0)),"")</f>
        <v>0</v>
      </c>
      <c r="BW205" s="211">
        <f>IF(AND(ISNUMBER(BW202),ISNUMBER(BW182)),IF(ABS(BW202-BW126-BW182)&lt;=1.01,0,ROUND(BW202-BW126-BW182,0)),"")</f>
        <v>0</v>
      </c>
      <c r="BX205" s="211">
        <f>IF(AND(ISNUMBER(BX202),ISNUMBER(BX182)),IF(ABS(BX202-BX126-BX182)&lt;=1.01,0,ROUND(BX202-BX126-BX182,0)),"")</f>
        <v>0</v>
      </c>
      <c r="BY205" s="266">
        <f>IF(AND(ISNUMBER(BY202),ISNUMBER(BY182)),IF(ABS(BY202-BY126-BY182)&lt;=1.01,0,ROUND(BY202-BY126-BY182,0)),"")</f>
        <v>0</v>
      </c>
      <c r="BZ205" s="266">
        <f>IF(AND(ISNUMBER(BZ202),ISNUMBER(BZ182)),IF(ABS(BZ202-BZ126-BZ182)&lt;=1.01,0,ROUND(BZ202-BZ126-BZ182,0)),"")</f>
        <v>0</v>
      </c>
      <c r="CA205" s="266">
        <f>IF(AND(ISNUMBER(CA202),ISNUMBER(CA182)),IF(ABS(CA202-CA126-CA182)&lt;=1.01,0,ROUND(CA202-CA126-CA182,0)),"")</f>
        <v>0</v>
      </c>
      <c r="CB205" s="266">
        <f>IF(AND(ISNUMBER(CB202),ISNUMBER(CB182)),IF(ABS(CB202-CB126-CB182)&lt;=1.01,0,ROUND(CB202-CB126-CB182,0)),"")</f>
        <v>0</v>
      </c>
      <c r="CC205" s="266">
        <f>IF(AND(ISNUMBER(CC202),ISNUMBER(CC182)),IF(ABS(CC202-CC126-CC182)&lt;=1.01,0,ROUND(CC202-CC126-CC182,0)),"")</f>
        <v>0</v>
      </c>
      <c r="CD205" s="266">
        <f>IF(AND(ISNUMBER(CD202),ISNUMBER(CD182)),IF(ABS(CD202-CD126-CD182)&lt;=1.01,0,ROUND(CD202-CD126-CD182,0)),"")</f>
        <v>0</v>
      </c>
      <c r="CE205" s="266">
        <f>IF(AND(ISNUMBER(CE202),ISNUMBER(CE182)),IF(ABS(CE202-CE126-CE182)&lt;=1.01,0,ROUND(CE202-CE126-CE182,0)),"")</f>
        <v>0</v>
      </c>
      <c r="CF205" s="153" t="n"/>
    </row>
    <row r="206" ht="15" customHeight="1" s="251">
      <c r="B206" s="156" t="inlineStr">
        <is>
          <t xml:space="preserve">  Memo: adjusted EBITDA after other D&amp;A (operating-lease, content and other amortization; ≈ EBITDA after rent)</t>
        </is>
      </c>
      <c r="C206" s="211">
        <f>IF(AND(ISNUMBER(C202),ISNUMBER(C129)),C202-C129,"")</f>
      </c>
      <c r="D206" s="211">
        <f>IF(AND(ISNUMBER(D202),ISNUMBER(D129)),D202-D129,"")</f>
      </c>
      <c r="E206" s="211">
        <f>IF(AND(ISNUMBER(E202),ISNUMBER(E129)),E202-E129,"")</f>
      </c>
      <c r="F206" s="211">
        <f>IF(AND(ISNUMBER(F202),ISNUMBER(F129)),F202-F129,"")</f>
      </c>
      <c r="G206" s="211">
        <f>IF(AND(ISNUMBER(G202),ISNUMBER(G129)),G202-G129,"")</f>
      </c>
      <c r="H206" s="211">
        <f>IF(AND(ISNUMBER(H202),ISNUMBER(H129)),H202-H129,"")</f>
      </c>
      <c r="I206" s="211">
        <f>IF(AND(ISNUMBER(I202),ISNUMBER(I129)),I202-I129,"")</f>
      </c>
      <c r="J206" s="211">
        <f>IF(AND(ISNUMBER(J202),ISNUMBER(J129)),J202-J129,"")</f>
      </c>
      <c r="K206" s="211">
        <f>IF(AND(ISNUMBER(K202),ISNUMBER(K129)),K202-K129,"")</f>
      </c>
      <c r="L206" s="211">
        <f>IF(AND(ISNUMBER(L202),ISNUMBER(L129)),L202-L129,"")</f>
      </c>
      <c r="M206" s="211">
        <f>IF(AND(ISNUMBER(M202),ISNUMBER(M129)),M202-M129,"")</f>
      </c>
      <c r="N206" s="211">
        <f>IF(AND(ISNUMBER(N202),ISNUMBER(N129)),N202-N129,"")</f>
      </c>
      <c r="O206" s="211">
        <f>IF(AND(ISNUMBER(O202),ISNUMBER(O129)),O202-O129,"")</f>
      </c>
      <c r="P206" s="211">
        <f>IF(AND(ISNUMBER(P202),ISNUMBER(P129)),P202-P129,"")</f>
      </c>
      <c r="Q206" s="211">
        <f>IF(AND(ISNUMBER(Q202),ISNUMBER(Q129)),Q202-Q129,"")</f>
      </c>
      <c r="R206" s="211">
        <f>IF(AND(ISNUMBER(R202),ISNUMBER(R129)),R202-R129,"")</f>
      </c>
      <c r="S206" s="211">
        <f>IF(AND(ISNUMBER(S202),ISNUMBER(S129)),S202-S129,"")</f>
        <v>3778</v>
      </c>
      <c r="T206" s="211">
        <f>IF(AND(ISNUMBER(T202),ISNUMBER(T129)),T202-T129,"")</f>
      </c>
      <c r="U206" s="211">
        <f>IF(AND(ISNUMBER(U202),ISNUMBER(U129)),U202-U129,"")</f>
      </c>
      <c r="V206" s="211">
        <f>IF(AND(ISNUMBER(V202),ISNUMBER(V129)),V202-V129,"")</f>
      </c>
      <c r="W206" s="211">
        <f>IF(AND(ISNUMBER(W202),ISNUMBER(W129)),W202-W129,"")</f>
      </c>
      <c r="X206" s="211">
        <f>IF(AND(ISNUMBER(X202),ISNUMBER(X129)),X202-X129,"")</f>
        <v>7133</v>
      </c>
      <c r="Y206" s="211">
        <f>IF(AND(ISNUMBER(Y202),ISNUMBER(Y129)),Y202-Y129,"")</f>
      </c>
      <c r="Z206" s="211">
        <f>IF(AND(ISNUMBER(Z202),ISNUMBER(Z129)),Z202-Z129,"")</f>
      </c>
      <c r="AA206" s="211">
        <f>IF(AND(ISNUMBER(AA202),ISNUMBER(AA129)),AA202-AA129,"")</f>
      </c>
      <c r="AB206" s="211">
        <f>IF(AND(ISNUMBER(AB202),ISNUMBER(AB129)),AB202-AB129,"")</f>
      </c>
      <c r="AC206" s="211">
        <f>IF(AND(ISNUMBER(AC202),ISNUMBER(AC129)),AC202-AC129,"")</f>
        <v>10586</v>
      </c>
      <c r="AD206" s="211">
        <f>IF(AND(ISNUMBER(AD202),ISNUMBER(AD129)),AD202-AD129,"")</f>
      </c>
      <c r="AE206" s="211">
        <f>IF(AND(ISNUMBER(AE202),ISNUMBER(AE129)),AE202-AE129,"")</f>
      </c>
      <c r="AF206" s="211">
        <f>IF(AND(ISNUMBER(AF202),ISNUMBER(AF129)),AF202-AF129,"")</f>
      </c>
      <c r="AG206" s="211">
        <f>IF(AND(ISNUMBER(AG202),ISNUMBER(AG129)),AG202-AG129,"")</f>
      </c>
      <c r="AH206" s="211">
        <f>IF(AND(ISNUMBER(AH202),ISNUMBER(AH129)),AH202-AH129,"")</f>
        <v>12937</v>
      </c>
      <c r="AI206" s="211">
        <f>IF(AND(ISNUMBER(AI202),ISNUMBER(AI129)),AI202-AI129,"")</f>
      </c>
      <c r="AJ206" s="211">
        <f>IF(AND(ISNUMBER(AJ202),ISNUMBER(AJ129)),AJ202-AJ129,"")</f>
      </c>
      <c r="AK206" s="211">
        <f>IF(AND(ISNUMBER(AK202),ISNUMBER(AK129)),AK202-AK129,"")</f>
      </c>
      <c r="AL206" s="211">
        <f>IF(AND(ISNUMBER(AL202),ISNUMBER(AL129)),AL202-AL129,"")</f>
      </c>
      <c r="AM206" s="211">
        <f>IF(AND(ISNUMBER(AM202),ISNUMBER(AM129)),AM202-AM129,"")</f>
        <v>24559</v>
      </c>
      <c r="AN206" s="211">
        <f>IF(AND(ISNUMBER(AN202),ISNUMBER(AN129)),AN202-AN129,"")</f>
      </c>
      <c r="AO206" s="211">
        <f>IF(AND(ISNUMBER(AO202),ISNUMBER(AO129)),AO202-AO129,"")</f>
      </c>
      <c r="AP206" s="211">
        <f>IF(AND(ISNUMBER(AP202),ISNUMBER(AP129)),AP202-AP129,"")</f>
      </c>
      <c r="AQ206" s="211">
        <f>IF(AND(ISNUMBER(AQ202),ISNUMBER(AQ129)),AQ202-AQ129,"")</f>
      </c>
      <c r="AR206" s="211">
        <f>IF(AND(ISNUMBER(AR202),ISNUMBER(AR129)),AR202-AR129,"")</f>
        <v>29691</v>
      </c>
      <c r="AS206" s="211">
        <f>IF(AND(ISNUMBER(AS202),ISNUMBER(AS129)),AS202-AS129,"")</f>
      </c>
      <c r="AT206" s="211">
        <f>IF(AND(ISNUMBER(AT202),ISNUMBER(AT129)),AT202-AT129,"")</f>
      </c>
      <c r="AU206" s="211">
        <f>IF(AND(ISNUMBER(AU202),ISNUMBER(AU129)),AU202-AU129,"")</f>
      </c>
      <c r="AV206" s="211">
        <f>IF(AND(ISNUMBER(AV202),ISNUMBER(AV129)),AV202-AV129,"")</f>
      </c>
      <c r="AW206" s="211">
        <f>IF(AND(ISNUMBER(AW202),ISNUMBER(AW129)),AW202-AW129,"")</f>
        <v>39138</v>
      </c>
      <c r="AX206" s="211">
        <f>IF(AND(ISNUMBER(AX202),ISNUMBER(AX129)),AX202-AX129,"")</f>
      </c>
      <c r="AY206" s="211">
        <f>IF(AND(ISNUMBER(AY202),ISNUMBER(AY129)),AY202-AY129,"")</f>
      </c>
      <c r="AZ206" s="211">
        <f>IF(AND(ISNUMBER(AZ202),ISNUMBER(AZ129)),AZ202-AZ129,"")</f>
      </c>
      <c r="BA206" s="211">
        <f>IF(AND(ISNUMBER(BA202),ISNUMBER(BA129)),BA202-BA129,"")</f>
      </c>
      <c r="BB206" s="211">
        <f>IF(AND(ISNUMBER(BB202),ISNUMBER(BB129)),BB202-BB129,"")</f>
        <v>47788</v>
      </c>
      <c r="BC206" s="211">
        <f>IF(AND(ISNUMBER(BC202),ISNUMBER(BC129)),BC202-BC129,"")</f>
      </c>
      <c r="BD206" s="211">
        <f>IF(AND(ISNUMBER(BD202),ISNUMBER(BD129)),BD202-BD129,"")</f>
      </c>
      <c r="BE206" s="211">
        <f>IF(AND(ISNUMBER(BE202),ISNUMBER(BE129)),BE202-BE129,"")</f>
      </c>
      <c r="BF206" s="211">
        <f>IF(AND(ISNUMBER(BF202),ISNUMBER(BF129)),BF202-BF129,"")</f>
      </c>
      <c r="BG206" s="211">
        <f>IF(AND(ISNUMBER(BG202),ISNUMBER(BG129)),BG202-BG129,"")</f>
        <v>39872</v>
      </c>
      <c r="BH206" s="211">
        <f>IF(AND(ISNUMBER(BH202),ISNUMBER(BH129)),BH202-BH129,"")</f>
      </c>
      <c r="BI206" s="211">
        <f>IF(AND(ISNUMBER(BI202),ISNUMBER(BI129)),BI202-BI129,"")</f>
      </c>
      <c r="BJ206" s="211">
        <f>IF(AND(ISNUMBER(BJ202),ISNUMBER(BJ129)),BJ202-BJ129,"")</f>
      </c>
      <c r="BK206" s="211">
        <f>IF(AND(ISNUMBER(BK202),ISNUMBER(BK129)),BK202-BK129,"")</f>
      </c>
      <c r="BL206" s="211">
        <f>IF(AND(ISNUMBER(BL202),ISNUMBER(BL129)),BL202-BL129,"")</f>
        <v>67577</v>
      </c>
      <c r="BM206" s="211">
        <f>IF(AND(ISNUMBER(BM202),ISNUMBER(BM129)),BM202-BM129,"")</f>
        <v>22573</v>
      </c>
      <c r="BN206" s="211">
        <f>IF(AND(ISNUMBER(BN202),ISNUMBER(BN129)),BN202-BN129,"")</f>
        <v>22316</v>
      </c>
      <c r="BO206" s="211">
        <f>IF(AND(ISNUMBER(BO202),ISNUMBER(BO129)),BO202-BO129,"")</f>
        <v>25727</v>
      </c>
      <c r="BP206" s="211">
        <f>IF(AND(ISNUMBER(BP202),ISNUMBER(BP129)),BP202-BP129,"")</f>
        <v>30044</v>
      </c>
      <c r="BQ206" s="211">
        <f>IF(AND(ISNUMBER(BQ202),ISNUMBER(BQ129)),BQ202-BQ129,"")</f>
        <v>100660</v>
      </c>
      <c r="BR206" s="211">
        <f>IF(AND(ISNUMBER(BR202),ISNUMBER(BR129)),BR202-BR129,"")</f>
        <v>27461</v>
      </c>
      <c r="BS206" s="211">
        <f>IF(AND(ISNUMBER(BS202),ISNUMBER(BS129)),BS202-BS129,"")</f>
        <v>28937</v>
      </c>
      <c r="BT206" s="211">
        <f>IF(AND(ISNUMBER(BT202),ISNUMBER(BT129)),BT202-BT129,"")</f>
        <v>32647</v>
      </c>
      <c r="BU206" s="211">
        <f>IF(AND(ISNUMBER(BU202),ISNUMBER(BU129)),BU202-BU129,"")</f>
        <v>39530</v>
      </c>
      <c r="BV206" s="211">
        <f>IF(AND(ISNUMBER(BV202),ISNUMBER(BV129)),BV202-BV129,"")</f>
        <v>128575</v>
      </c>
      <c r="BW206" s="211">
        <f>IF(AND(ISNUMBER(BW202),ISNUMBER(BW129)),BW202-BW129,"")</f>
        <v>36638</v>
      </c>
      <c r="BX206" s="211">
        <f>IF(AND(ISNUMBER(BX202),ISNUMBER(BX129)),BX202-BX129,"")</f>
        <v>40779</v>
      </c>
      <c r="BY206" s="254">
        <f>IF(AND(ISNUMBER(BY202),ISNUMBER(BY129)),BY202-BY129,"")</f>
        <v>40064.4419636792</v>
      </c>
      <c r="BZ206" s="254">
        <f>IF(AND(ISNUMBER(BZ202),ISNUMBER(BZ129)),BZ202-BZ129,"")</f>
        <v>47815.6551137578</v>
      </c>
      <c r="CA206" s="254">
        <f>IF(AND(ISNUMBER(CA202),ISNUMBER(CA129)),CA202-CA129,"")</f>
        <v>165297.097077437</v>
      </c>
      <c r="CB206" s="254">
        <f>IF(AND(ISNUMBER(CB202),ISNUMBER(CB129)),CB202-CB129,"")</f>
        <v>218232.632356043</v>
      </c>
      <c r="CC206" s="254">
        <f>IF(AND(ISNUMBER(CC202),ISNUMBER(CC129)),CC202-CC129,"")</f>
        <v>263478.246900318</v>
      </c>
      <c r="CD206" s="254">
        <f>IF(AND(ISNUMBER(CD202),ISNUMBER(CD129)),CD202-CD129,"")</f>
        <v>307947.392068073</v>
      </c>
      <c r="CE206" s="254">
        <f>IF(AND(ISNUMBER(CE202),ISNUMBER(CE129)),CE202-CE129,"")</f>
        <v>352896.921612935</v>
      </c>
      <c r="CF206" s="153" t="n"/>
    </row>
    <row r="207" ht="15" customHeight="1" s="251">
      <c r="B207" s="25" t="inlineStr">
        <is>
          <t>To adjusted EBIT, full-cost (for NOPAT, ROIC and the DCF):</t>
        </is>
      </c>
      <c r="CF207" s="153" t="n"/>
    </row>
    <row r="208" ht="15" customHeight="1" s="251">
      <c r="B208" s="25" t="inlineStr">
        <is>
          <t xml:space="preserve">  (−) Depreciation &amp; amortization (total)</t>
        </is>
      </c>
      <c r="C208" s="211">
        <f>IF(ISNUMBER(C126),-C126,"")</f>
        <v>-205</v>
      </c>
      <c r="D208" s="211">
        <f>IF(ISNUMBER(D126),-D126,"")</f>
        <v>-246</v>
      </c>
      <c r="E208" s="211">
        <f>IF(ISNUMBER(E126),-E126,"")</f>
        <v>-287</v>
      </c>
      <c r="F208" s="211">
        <f>IF(ISNUMBER(F126),-F126,"")</f>
        <v>-378</v>
      </c>
      <c r="G208" s="211">
        <f>IF(ISNUMBER(G126),-G126,"")</f>
        <v>-568</v>
      </c>
      <c r="H208" s="211">
        <f>IF(ISNUMBER(H126),-H126,"")</f>
        <v>-1083</v>
      </c>
      <c r="I208" s="211">
        <f>IF(ISNUMBER(I126),-I126,"")</f>
        <v>-2159</v>
      </c>
      <c r="J208" s="211">
        <f>IF(ISNUMBER(J126),-J126,"")</f>
        <v>-700</v>
      </c>
      <c r="K208" s="211">
        <f>IF(ISNUMBER(K126),-K126,"")</f>
        <v>-756</v>
      </c>
      <c r="L208" s="211">
        <f>IF(ISNUMBER(L126),-L126,"")</f>
        <v>-834</v>
      </c>
      <c r="M208" s="211">
        <f>IF(ISNUMBER(M126),-M126,"")</f>
        <v>-963</v>
      </c>
      <c r="N208" s="211">
        <f>IF(ISNUMBER(N126),-N126,"")</f>
        <v>-3253</v>
      </c>
      <c r="O208" s="211">
        <f>IF(ISNUMBER(O126),-O126,"")</f>
        <v>-1010</v>
      </c>
      <c r="P208" s="211">
        <f>IF(ISNUMBER(P126),-P126,"")</f>
        <v>-1109</v>
      </c>
      <c r="Q208" s="211">
        <f>IF(ISNUMBER(Q126),-Q126,"")</f>
        <v>-1247</v>
      </c>
      <c r="R208" s="211">
        <f>IF(ISNUMBER(R126),-R126,"")</f>
        <v>-1379</v>
      </c>
      <c r="S208" s="211">
        <f>IF(ISNUMBER(S126),-S126,"")</f>
        <v>-4746</v>
      </c>
      <c r="T208" s="211">
        <f>IF(ISNUMBER(T126),-T126,"")</f>
        <v>-1426</v>
      </c>
      <c r="U208" s="211">
        <f>IF(ISNUMBER(U126),-U126,"")</f>
        <v>-1504</v>
      </c>
      <c r="V208" s="211">
        <f>IF(ISNUMBER(V126),-V126,"")</f>
        <v>-1599</v>
      </c>
      <c r="W208" s="211">
        <f>IF(ISNUMBER(W126),-W126,"")</f>
        <v>-1752</v>
      </c>
      <c r="X208" s="211">
        <f>IF(ISNUMBER(X126),-X126,"")</f>
        <v>-6281</v>
      </c>
      <c r="Y208" s="211">
        <f>IF(ISNUMBER(Y126),-Y126,"")</f>
        <v>-1827</v>
      </c>
      <c r="Z208" s="211">
        <f>IF(ISNUMBER(Z126),-Z126,"")</f>
        <v>-1909</v>
      </c>
      <c r="AA208" s="211">
        <f>IF(ISNUMBER(AA126),-AA126,"")</f>
        <v>-2084</v>
      </c>
      <c r="AB208" s="211">
        <f>IF(ISNUMBER(AB126),-AB126,"")</f>
        <v>-2297</v>
      </c>
      <c r="AC208" s="211">
        <f>IF(ISNUMBER(AC126),-AC126,"")</f>
        <v>-8116</v>
      </c>
      <c r="AD208" s="211">
        <f>IF(ISNUMBER(AD126),-AD126,"")</f>
        <v>-2435</v>
      </c>
      <c r="AE208" s="211">
        <f>IF(ISNUMBER(AE126),-AE126,"")</f>
        <v>-2633</v>
      </c>
      <c r="AF208" s="211">
        <f>IF(ISNUMBER(AF126),-AF126,"")</f>
        <v>-2912</v>
      </c>
      <c r="AG208" s="211">
        <f>IF(ISNUMBER(AG126),-AG126,"")</f>
        <v>-3498</v>
      </c>
      <c r="AH208" s="211">
        <f>IF(ISNUMBER(AH126),-AH126,"")</f>
        <v>-11478</v>
      </c>
      <c r="AI208" s="211">
        <f>IF(ISNUMBER(AI126),-AI126,"")</f>
        <v>-3671</v>
      </c>
      <c r="AJ208" s="211">
        <f>IF(ISNUMBER(AJ126),-AJ126,"")</f>
        <v>-3630</v>
      </c>
      <c r="AK208" s="211">
        <f>IF(ISNUMBER(AK126),-AK126,"")</f>
        <v>-3778</v>
      </c>
      <c r="AL208" s="211">
        <f>IF(ISNUMBER(AL126),-AL126,"")</f>
        <v>-4262</v>
      </c>
      <c r="AM208" s="211">
        <f>IF(ISNUMBER(AM126),-AM126,"")</f>
        <v>-15341</v>
      </c>
      <c r="AN208" s="211">
        <f>IF(ISNUMBER(AN126),-AN126,"")</f>
        <v>-4854</v>
      </c>
      <c r="AO208" s="211">
        <f>IF(ISNUMBER(AO126),-AO126,"")</f>
        <v>-5202</v>
      </c>
      <c r="AP208" s="211">
        <f>IF(ISNUMBER(AP126),-AP126,"")</f>
        <v>-5563</v>
      </c>
      <c r="AQ208" s="211">
        <f>IF(ISNUMBER(AQ126),-AQ126,"")</f>
        <v>-6170</v>
      </c>
      <c r="AR208" s="211">
        <f>IF(ISNUMBER(AR126),-AR126,"")</f>
        <v>-21789</v>
      </c>
      <c r="AS208" s="211">
        <f>IF(ISNUMBER(AS126),-AS126,"")</f>
        <v>-5362</v>
      </c>
      <c r="AT208" s="211">
        <f>IF(ISNUMBER(AT126),-AT126,"")</f>
        <v>-5748</v>
      </c>
      <c r="AU208" s="211">
        <f>IF(ISNUMBER(AU126),-AU126,"")</f>
        <v>-6523</v>
      </c>
      <c r="AV208" s="211">
        <f>IF(ISNUMBER(AV126),-AV126,"")</f>
        <v>-7618</v>
      </c>
      <c r="AW208" s="211">
        <f>IF(ISNUMBER(AW126),-AW126,"")</f>
        <v>-25251</v>
      </c>
      <c r="AX208" s="211">
        <f>IF(ISNUMBER(AX126),-AX126,"")</f>
        <v>-7508</v>
      </c>
      <c r="AY208" s="211">
        <f>IF(ISNUMBER(AY126),-AY126,"")</f>
        <v>-8038</v>
      </c>
      <c r="AZ208" s="211">
        <f>IF(ISNUMBER(AZ126),-AZ126,"")</f>
        <v>-8948</v>
      </c>
      <c r="BA208" s="211">
        <f>IF(ISNUMBER(BA126),-BA126,"")</f>
        <v>-9802</v>
      </c>
      <c r="BB208" s="211">
        <f>IF(ISNUMBER(BB126),-BB126,"")</f>
        <v>-34296</v>
      </c>
      <c r="BC208" s="211">
        <f>IF(ISNUMBER(BC126),-BC126,"")</f>
        <v>-8978</v>
      </c>
      <c r="BD208" s="211">
        <f>IF(ISNUMBER(BD126),-BD126,"")</f>
        <v>-9594</v>
      </c>
      <c r="BE208" s="211">
        <f>IF(ISNUMBER(BE126),-BE126,"")</f>
        <v>-10204</v>
      </c>
      <c r="BF208" s="211">
        <f>IF(ISNUMBER(BF126),-BF126,"")</f>
        <v>-12685</v>
      </c>
      <c r="BG208" s="211">
        <f>IF(ISNUMBER(BG126),-BG126,"")</f>
        <v>-41921</v>
      </c>
      <c r="BH208" s="211">
        <f>IF(ISNUMBER(BH126),-BH126,"")</f>
        <v>-11123</v>
      </c>
      <c r="BI208" s="211">
        <f>IF(ISNUMBER(BI126),-BI126,"")</f>
        <v>-11589</v>
      </c>
      <c r="BJ208" s="211">
        <f>IF(ISNUMBER(BJ126),-BJ126,"")</f>
        <v>-12131</v>
      </c>
      <c r="BK208" s="211">
        <f>IF(ISNUMBER(BK126),-BK126,"")</f>
        <v>-13820</v>
      </c>
      <c r="BL208" s="211">
        <f>IF(ISNUMBER(BL126),-BL126,"")</f>
        <v>-48663</v>
      </c>
      <c r="BM208" s="211">
        <f>IF(ISNUMBER(BM126),-BM126,"")</f>
        <v>-11684</v>
      </c>
      <c r="BN208" s="211">
        <f>IF(ISNUMBER(BN126),-BN126,"")</f>
        <v>-12038</v>
      </c>
      <c r="BO208" s="211">
        <f>IF(ISNUMBER(BO126),-BO126,"")</f>
        <v>-13442</v>
      </c>
      <c r="BP208" s="211">
        <f>IF(ISNUMBER(BP126),-BP126,"")</f>
        <v>-15631</v>
      </c>
      <c r="BQ208" s="211">
        <f>IF(ISNUMBER(BQ126),-BQ126,"")</f>
        <v>-52795</v>
      </c>
      <c r="BR208" s="211">
        <f>IF(ISNUMBER(BR126),-BR126,"")</f>
        <v>-14262</v>
      </c>
      <c r="BS208" s="211">
        <f>IF(ISNUMBER(BS126),-BS126,"")</f>
        <v>-15227</v>
      </c>
      <c r="BT208" s="211">
        <f>IF(ISNUMBER(BT126),-BT126,"")</f>
        <v>-16796</v>
      </c>
      <c r="BU208" s="211">
        <f>IF(ISNUMBER(BU126),-BU126,"")</f>
        <v>-19471</v>
      </c>
      <c r="BV208" s="211">
        <f>IF(ISNUMBER(BV126),-BV126,"")</f>
        <v>-65756</v>
      </c>
      <c r="BW208" s="211">
        <f>IF(ISNUMBER(BW126),-BW126,"")</f>
        <v>-18945</v>
      </c>
      <c r="BX208" s="211">
        <f>IF(ISNUMBER(BX126),-BX126,"")</f>
        <v>-19988</v>
      </c>
      <c r="BY208" s="254">
        <f>IF(ISNUMBER(BY126),-BY126,"")</f>
        <v>-21949.4861246213</v>
      </c>
      <c r="BZ208" s="254">
        <f>IF(ISNUMBER(BZ126),-BZ126,"")</f>
        <v>-24681.0448011456</v>
      </c>
      <c r="CA208" s="254">
        <f>IF(ISNUMBER(CA126),-CA126,"")</f>
        <v>-85563.5309257669</v>
      </c>
      <c r="CB208" s="254">
        <f>IF(ISNUMBER(CB126),-CB126,"")</f>
        <v>-115153.995767509</v>
      </c>
      <c r="CC208" s="254">
        <f>IF(ISNUMBER(CC126),-CC126,"")</f>
        <v>-137323.709453689</v>
      </c>
      <c r="CD208" s="254">
        <f>IF(ISNUMBER(CD126),-CD126,"")</f>
        <v>-157869.040206443</v>
      </c>
      <c r="CE208" s="254">
        <f>IF(ISNUMBER(CE126),-CE126,"")</f>
        <v>-176373.54944682</v>
      </c>
      <c r="CF208" s="19" t="n"/>
    </row>
    <row r="209" ht="15" customHeight="1" s="251">
      <c r="B209" s="55" t="inlineStr">
        <is>
          <t xml:space="preserve">  = Adjusted EBIT, full-cost (= adjusted operating income: after SBC and all D&amp;A)</t>
        </is>
      </c>
      <c r="C209" s="262">
        <f>IF(ISNUMBER(C202),C202+C208,"")</f>
        <v>389</v>
      </c>
      <c r="D209" s="262">
        <f>IF(ISNUMBER(D202),D202+D208,"")</f>
        <v>655</v>
      </c>
      <c r="E209" s="262">
        <f>IF(ISNUMBER(E202),E202+E208,"")</f>
        <v>842</v>
      </c>
      <c r="F209" s="262">
        <f>IF(ISNUMBER(F202),F202+F208,"")</f>
        <v>1129</v>
      </c>
      <c r="G209" s="262">
        <f>IF(ISNUMBER(G202),G202+G208,"")</f>
        <v>1406</v>
      </c>
      <c r="H209" s="262">
        <f>IF(ISNUMBER(H202),H202+H208,"")</f>
        <v>862</v>
      </c>
      <c r="I209" s="262">
        <f>IF(ISNUMBER(I202),I202+I208,"")</f>
        <v>676</v>
      </c>
      <c r="J209" s="262">
        <f>IF(ISNUMBER(J202),J202+J208,"")</f>
        <v>181</v>
      </c>
      <c r="K209" s="262">
        <f>IF(ISNUMBER(K202),K202+K208,"")</f>
        <v>79</v>
      </c>
      <c r="L209" s="262">
        <f>IF(ISNUMBER(L202),L202+L208,"")</f>
        <v>-25</v>
      </c>
      <c r="M209" s="262">
        <f>IF(ISNUMBER(M202),M202+M208,"")</f>
        <v>510</v>
      </c>
      <c r="N209" s="262">
        <f>IF(ISNUMBER(N202),N202+N208,"")</f>
        <v>745</v>
      </c>
      <c r="O209" s="262">
        <f>IF(ISNUMBER(O202),O202+O208,"")</f>
        <v>146</v>
      </c>
      <c r="P209" s="262">
        <f>IF(ISNUMBER(P202),P202+P208,"")</f>
        <v>-15</v>
      </c>
      <c r="Q209" s="262">
        <f>IF(ISNUMBER(Q202),Q202+Q208,"")</f>
        <v>-544</v>
      </c>
      <c r="R209" s="262">
        <f>IF(ISNUMBER(R202),R202+R208,"")</f>
        <v>591</v>
      </c>
      <c r="S209" s="262">
        <f>IF(ISNUMBER(S202),S202+S208,"")</f>
        <v>178</v>
      </c>
      <c r="T209" s="262">
        <f>IF(ISNUMBER(T202),T202+T208,"")</f>
        <v>255</v>
      </c>
      <c r="U209" s="262">
        <f>IF(ISNUMBER(U202),U202+U208,"")</f>
        <v>464</v>
      </c>
      <c r="V209" s="262">
        <f>IF(ISNUMBER(V202),V202+V208,"")</f>
        <v>406</v>
      </c>
      <c r="W209" s="262">
        <f>IF(ISNUMBER(W202),W202+W208,"")</f>
        <v>1108</v>
      </c>
      <c r="X209" s="262">
        <f>IF(ISNUMBER(X202),X202+X208,"")</f>
        <v>2233</v>
      </c>
      <c r="Y209" s="262">
        <f>IF(ISNUMBER(Y202),Y202+Y208,"")</f>
        <v>1071</v>
      </c>
      <c r="Z209" s="262">
        <f>IF(ISNUMBER(Z202),Z202+Z208,"")</f>
        <v>1285</v>
      </c>
      <c r="AA209" s="262">
        <f>IF(ISNUMBER(AA202),AA202+AA208,"")</f>
        <v>575</v>
      </c>
      <c r="AB209" s="262">
        <f>IF(ISNUMBER(AB202),AB202+AB208,"")</f>
        <v>1255</v>
      </c>
      <c r="AC209" s="262">
        <f>IF(ISNUMBER(AC202),AC202+AC208,"")</f>
        <v>4186</v>
      </c>
      <c r="AD209" s="262">
        <f>IF(ISNUMBER(AD202),AD202+AD208,"")</f>
        <v>1005</v>
      </c>
      <c r="AE209" s="262">
        <f>IF(ISNUMBER(AE202),AE202+AE208,"")</f>
        <v>628</v>
      </c>
      <c r="AF209" s="262">
        <f>IF(ISNUMBER(AF202),AF202+AF208,"")</f>
        <v>347</v>
      </c>
      <c r="AG209" s="262">
        <f>IF(ISNUMBER(AG202),AG202+AG208,"")</f>
        <v>2127</v>
      </c>
      <c r="AH209" s="262">
        <f>IF(ISNUMBER(AH202),AH202+AH208,"")</f>
        <v>4106</v>
      </c>
      <c r="AI209" s="262">
        <f>IF(ISNUMBER(AI202),AI202+AI208,"")</f>
        <v>1927</v>
      </c>
      <c r="AJ209" s="262">
        <f>IF(ISNUMBER(AJ202),AJ202+AJ208,"")</f>
        <v>2983</v>
      </c>
      <c r="AK209" s="262">
        <f>IF(ISNUMBER(AK202),AK202+AK208,"")</f>
        <v>3724</v>
      </c>
      <c r="AL209" s="262">
        <f>IF(ISNUMBER(AL202),AL202+AL208,"")</f>
        <v>3786</v>
      </c>
      <c r="AM209" s="262">
        <f>IF(ISNUMBER(AM202),AM202+AM208,"")</f>
        <v>12421</v>
      </c>
      <c r="AN209" s="262">
        <f>IF(ISNUMBER(AN202),AN202+AN208,"")</f>
        <v>4420</v>
      </c>
      <c r="AO209" s="262">
        <f>IF(ISNUMBER(AO202),AO202+AO208,"")</f>
        <v>3084</v>
      </c>
      <c r="AP209" s="262">
        <f>IF(ISNUMBER(AP202),AP202+AP208,"")</f>
        <v>3157</v>
      </c>
      <c r="AQ209" s="262">
        <f>IF(ISNUMBER(AQ202),AQ202+AQ208,"")</f>
        <v>3879</v>
      </c>
      <c r="AR209" s="262">
        <f>IF(ISNUMBER(AR202),AR202+AR208,"")</f>
        <v>14541</v>
      </c>
      <c r="AS209" s="262">
        <f>IF(ISNUMBER(AS202),AS202+AS208,"")</f>
        <v>3989</v>
      </c>
      <c r="AT209" s="262">
        <f>IF(ISNUMBER(AT202),AT202+AT208,"")</f>
        <v>5843</v>
      </c>
      <c r="AU209" s="262">
        <f>IF(ISNUMBER(AU202),AU202+AU208,"")</f>
        <v>6194</v>
      </c>
      <c r="AV209" s="262">
        <f>IF(ISNUMBER(AV202),AV202+AV208,"")</f>
        <v>6873</v>
      </c>
      <c r="AW209" s="262">
        <f>IF(ISNUMBER(AW202),AW202+AW208,"")</f>
        <v>22899</v>
      </c>
      <c r="AX209" s="262">
        <f>IF(ISNUMBER(AX202),AX202+AX208,"")</f>
        <v>8865</v>
      </c>
      <c r="AY209" s="262">
        <f>IF(ISNUMBER(AY202),AY202+AY208,"")</f>
        <v>7702</v>
      </c>
      <c r="AZ209" s="262">
        <f>IF(ISNUMBER(AZ202),AZ202+AZ208,"")</f>
        <v>4852</v>
      </c>
      <c r="BA209" s="262">
        <f>IF(ISNUMBER(BA202),BA202+BA208,"")</f>
        <v>3460</v>
      </c>
      <c r="BB209" s="262">
        <f>IF(ISNUMBER(BB202),BB202+BB208,"")</f>
        <v>24879</v>
      </c>
      <c r="BC209" s="262">
        <f>IF(ISNUMBER(BC202),BC202+BC208,"")</f>
        <v>3669</v>
      </c>
      <c r="BD209" s="262">
        <f>IF(ISNUMBER(BD202),BD202+BD208,"")</f>
        <v>3317</v>
      </c>
      <c r="BE209" s="262">
        <f>IF(ISNUMBER(BE202),BE202+BE208,"")</f>
        <v>2525</v>
      </c>
      <c r="BF209" s="262">
        <f>IF(ISNUMBER(BF202),BF202+BF208,"")</f>
        <v>5437</v>
      </c>
      <c r="BG209" s="262">
        <f>IF(ISNUMBER(BG202),BG202+BG208,"")</f>
        <v>14948</v>
      </c>
      <c r="BH209" s="262">
        <f>IF(ISNUMBER(BH202),BH202+BH208,"")</f>
        <v>5274</v>
      </c>
      <c r="BI209" s="262">
        <f>IF(ISNUMBER(BI202),BI202+BI208,"")</f>
        <v>7681</v>
      </c>
      <c r="BJ209" s="262">
        <f>IF(ISNUMBER(BJ202),BJ202+BJ208,"")</f>
        <v>11188</v>
      </c>
      <c r="BK209" s="262">
        <f>IF(ISNUMBER(BK202),BK202+BK208,"")</f>
        <v>13209</v>
      </c>
      <c r="BL209" s="262">
        <f>IF(ISNUMBER(BL202),BL202+BL208,"")</f>
        <v>37352</v>
      </c>
      <c r="BM209" s="262">
        <f>IF(ISNUMBER(BM202),BM202+BM208,"")</f>
        <v>15307</v>
      </c>
      <c r="BN209" s="262">
        <f>IF(ISNUMBER(BN202),BN202+BN208,"")</f>
        <v>14672</v>
      </c>
      <c r="BO209" s="262">
        <f>IF(ISNUMBER(BO202),BO202+BO208,"")</f>
        <v>17411</v>
      </c>
      <c r="BP209" s="262">
        <f>IF(ISNUMBER(BP202),BP202+BP208,"")</f>
        <v>21203</v>
      </c>
      <c r="BQ209" s="262">
        <f>IF(ISNUMBER(BQ202),BQ202+BQ208,"")</f>
        <v>68593</v>
      </c>
      <c r="BR209" s="262">
        <f>IF(ISNUMBER(BR202),BR202+BR208,"")</f>
        <v>18405</v>
      </c>
      <c r="BS209" s="262">
        <f>IF(ISNUMBER(BS202),BS202+BS208,"")</f>
        <v>19171</v>
      </c>
      <c r="BT209" s="262">
        <f>IF(ISNUMBER(BT202),BT202+BT208,"")</f>
        <v>21722</v>
      </c>
      <c r="BU209" s="262">
        <f>IF(ISNUMBER(BU202),BU202+BU208,"")</f>
        <v>27417</v>
      </c>
      <c r="BV209" s="262">
        <f>IF(ISNUMBER(BV202),BV202+BV208,"")</f>
        <v>86715</v>
      </c>
      <c r="BW209" s="262">
        <f>IF(ISNUMBER(BW202),BW202+BW208,"")</f>
        <v>23804</v>
      </c>
      <c r="BX209" s="262">
        <f>IF(ISNUMBER(BX202),BX202+BX208,"")</f>
        <v>26910</v>
      </c>
      <c r="BY209" s="262">
        <f>IF(ISNUMBER(BY202),BY202+BY208,"")</f>
        <v>24500</v>
      </c>
      <c r="BZ209" s="262">
        <f>IF(ISNUMBER(BZ202),BZ202+BZ208,"")</f>
        <v>30940.6060133102</v>
      </c>
      <c r="CA209" s="262">
        <f>IF(ISNUMBER(CA202),CA202+CA208,"")</f>
        <v>106154.60601331</v>
      </c>
      <c r="CB209" s="262">
        <f>IF(ISNUMBER(CB202),CB202+CB208,"")</f>
        <v>133285.411379273</v>
      </c>
      <c r="CC209" s="262">
        <f>IF(ISNUMBER(CC202),CC202+CC208,"")</f>
        <v>160376.095923195</v>
      </c>
      <c r="CD209" s="262">
        <f>IF(ISNUMBER(CD202),CD202+CD208,"")</f>
        <v>188437.124716498</v>
      </c>
      <c r="CE209" s="262">
        <f>IF(ISNUMBER(CE202),CE202+CE208,"")</f>
        <v>219090.509680543</v>
      </c>
      <c r="CF209" s="153" t="n"/>
    </row>
    <row r="210" ht="15" customHeight="1" s="251">
      <c r="B210" s="25" t="inlineStr">
        <is>
          <t xml:space="preserve">  Adjusted EBIT (full-cost) margin %</t>
        </is>
      </c>
      <c r="C210" s="215">
        <f>IF(AND(ISNUMBER(C209),ISNUMBER(C144)),IFERROR(C209/C144,""),"")</f>
        <v>0.0363178041265988</v>
      </c>
      <c r="D210" s="215">
        <f>IF(AND(ISNUMBER(D209),ISNUMBER(D144)),IFERROR(D209/D144,""),"")</f>
        <v>0.0441523424334344</v>
      </c>
      <c r="E210" s="215">
        <f>IF(AND(ISNUMBER(E209),ISNUMBER(E144)),IFERROR(E209/E144,""),"")</f>
        <v>0.0439319628508818</v>
      </c>
      <c r="F210" s="215">
        <f>IF(AND(ISNUMBER(F209),ISNUMBER(F144)),IFERROR(F209/F144,""),"")</f>
        <v>0.0460647109225183</v>
      </c>
      <c r="G210" s="215">
        <f>IF(AND(ISNUMBER(G209),ISNUMBER(G144)),IFERROR(G209/G144,""),"")</f>
        <v>0.0411063033563326</v>
      </c>
      <c r="H210" s="215">
        <f>IF(AND(ISNUMBER(H209),ISNUMBER(H144)),IFERROR(H209/H144,""),"")</f>
        <v>0.0179295713126859</v>
      </c>
      <c r="I210" s="215">
        <f>IF(AND(ISNUMBER(I209),ISNUMBER(I144)),IFERROR(I209/I144,""),"")</f>
        <v>0.0110650974743424</v>
      </c>
      <c r="J210" s="215">
        <f>IF(AND(ISNUMBER(J209),ISNUMBER(J144)),IFERROR(J209/J144,""),"")</f>
        <v>0.0112632233976353</v>
      </c>
      <c r="K210" s="215">
        <f>IF(AND(ISNUMBER(K209),ISNUMBER(K144)),IFERROR(K209/K144,""),"")</f>
        <v>0.00503056546102904</v>
      </c>
      <c r="L210" s="215">
        <f>IF(AND(ISNUMBER(L209),ISNUMBER(L144)),IFERROR(L209/L144,""),"")</f>
        <v>-0.00146267259536625</v>
      </c>
      <c r="M210" s="215">
        <f>IF(AND(ISNUMBER(M209),ISNUMBER(M144)),IFERROR(M209/M144,""),"")</f>
        <v>0.0199319967170829</v>
      </c>
      <c r="N210" s="215">
        <f>IF(AND(ISNUMBER(N209),ISNUMBER(N144)),IFERROR(N209/N144,""),"")</f>
        <v>0.0100064471068608</v>
      </c>
      <c r="O210" s="215">
        <f>IF(AND(ISNUMBER(O209),ISNUMBER(O144)),IFERROR(O209/O144,""),"")</f>
        <v>0.00739577529000557</v>
      </c>
      <c r="P210" s="215">
        <f>IF(AND(ISNUMBER(P209),ISNUMBER(P144)),IFERROR(P209/P144,""),"")</f>
        <v>-0.00077559462254395</v>
      </c>
      <c r="Q210" s="215">
        <f>IF(AND(ISNUMBER(Q209),ISNUMBER(Q144)),IFERROR(Q209/Q144,""),"")</f>
        <v>-0.0264347150007289</v>
      </c>
      <c r="R210" s="215">
        <f>IF(AND(ISNUMBER(R209),ISNUMBER(R144)),IFERROR(R209/R144,""),"")</f>
        <v>0.0201513911620295</v>
      </c>
      <c r="S210" s="215">
        <f>IF(AND(ISNUMBER(S209),ISNUMBER(S144)),IFERROR(S209/S144,""),"")</f>
        <v>0.0020002696992853</v>
      </c>
      <c r="T210" s="215">
        <f>IF(AND(ISNUMBER(T209),ISNUMBER(T144)),IFERROR(T209/T144,""),"")</f>
        <v>0.0112250737333275</v>
      </c>
      <c r="U210" s="215">
        <f>IF(AND(ISNUMBER(U209),ISNUMBER(U144)),IFERROR(U209/U144,""),"")</f>
        <v>0.0200129394004744</v>
      </c>
      <c r="V210" s="215">
        <f>IF(AND(ISNUMBER(V209),ISNUMBER(V144)),IFERROR(V209/V144,""),"")</f>
        <v>0.0160107263979809</v>
      </c>
      <c r="W210" s="215">
        <f>IF(AND(ISNUMBER(W209),ISNUMBER(W144)),IFERROR(W209/W144,""),"")</f>
        <v>0.0309956080230509</v>
      </c>
      <c r="X210" s="215">
        <f>IF(AND(ISNUMBER(X209),ISNUMBER(X144)),IFERROR(X209/X144,""),"")</f>
        <v>0.0208679887109134</v>
      </c>
      <c r="Y210" s="215">
        <f>IF(AND(ISNUMBER(Y209),ISNUMBER(Y144)),IFERROR(Y209/Y144,""),"")</f>
        <v>0.0367687448503158</v>
      </c>
      <c r="Z210" s="215">
        <f>IF(AND(ISNUMBER(Z209),ISNUMBER(Z144)),IFERROR(Z209/Z144,""),"")</f>
        <v>0.0422641757663465</v>
      </c>
      <c r="AA210" s="215">
        <f>IF(AND(ISNUMBER(AA209),ISNUMBER(AA144)),IFERROR(AA209/AA144,""),"")</f>
        <v>0.0175765727211591</v>
      </c>
      <c r="AB210" s="215">
        <f>IF(AND(ISNUMBER(AB209),ISNUMBER(AB144)),IFERROR(AB209/AB144,""),"")</f>
        <v>0.0286916165611211</v>
      </c>
      <c r="AC210" s="215">
        <f>IF(AND(ISNUMBER(AC209),ISNUMBER(AC144)),IFERROR(AC209/AC144,""),"")</f>
        <v>0.0307823541956216</v>
      </c>
      <c r="AD210" s="215">
        <f>IF(AND(ISNUMBER(AD209),ISNUMBER(AD144)),IFERROR(AD209/AD144,""),"")</f>
        <v>0.028140225121801</v>
      </c>
      <c r="AE210" s="215">
        <f>IF(AND(ISNUMBER(AE209),ISNUMBER(AE144)),IFERROR(AE209/AE144,""),"")</f>
        <v>0.0165459096298248</v>
      </c>
      <c r="AF210" s="215">
        <f>IF(AND(ISNUMBER(AF209),ISNUMBER(AF144)),IFERROR(AF209/AF144,""),"")</f>
        <v>0.00793251645940015</v>
      </c>
      <c r="AG210" s="215">
        <f>IF(AND(ISNUMBER(AG209),ISNUMBER(AG144)),IFERROR(AG209/AG144,""),"")</f>
        <v>0.0351843580963724</v>
      </c>
      <c r="AH210" s="215">
        <f>IF(AND(ISNUMBER(AH209),ISNUMBER(AH144)),IFERROR(AH209/AH144,""),"")</f>
        <v>0.0230847941708927</v>
      </c>
      <c r="AI210" s="215">
        <f>IF(AND(ISNUMBER(AI209),ISNUMBER(AI144)),IFERROR(AI209/AI144,""),"")</f>
        <v>0.0377532228360958</v>
      </c>
      <c r="AJ210" s="215">
        <f>IF(AND(ISNUMBER(AJ209),ISNUMBER(AJ144)),IFERROR(AJ209/AJ144,""),"")</f>
        <v>0.0564043414136066</v>
      </c>
      <c r="AK210" s="215">
        <f>IF(AND(ISNUMBER(AK209),ISNUMBER(AK144)),IFERROR(AK209/AK144,""),"")</f>
        <v>0.065822963800905</v>
      </c>
      <c r="AL210" s="215">
        <f>IF(AND(ISNUMBER(AL209),ISNUMBER(AL144)),IFERROR(AL209/AL144,""),"")</f>
        <v>0.0523050992636393</v>
      </c>
      <c r="AM210" s="215">
        <f>IF(AND(ISNUMBER(AM209),ISNUMBER(AM144)),IFERROR(AM209/AM144,""),"")</f>
        <v>0.0533348791473977</v>
      </c>
      <c r="AN210" s="215">
        <f>IF(AND(ISNUMBER(AN209),ISNUMBER(AN144)),IFERROR(AN209/AN144,""),"")</f>
        <v>0.074036850921273</v>
      </c>
      <c r="AO210" s="215">
        <f>IF(AND(ISNUMBER(AO209),ISNUMBER(AO144)),IFERROR(AO209/AO144,""),"")</f>
        <v>0.0486404643240174</v>
      </c>
      <c r="AP210" s="215">
        <f>IF(AND(ISNUMBER(AP209),ISNUMBER(AP144)),IFERROR(AP209/AP144,""),"")</f>
        <v>0.045112244752147</v>
      </c>
      <c r="AQ210" s="215">
        <f>IF(AND(ISNUMBER(AQ209),ISNUMBER(AQ144)),IFERROR(AQ209/AQ144,""),"")</f>
        <v>0.0443633701979711</v>
      </c>
      <c r="AR210" s="215">
        <f>IF(AND(ISNUMBER(AR209),ISNUMBER(AR144)),IFERROR(AR209/AR144,""),"")</f>
        <v>0.0518355066625791</v>
      </c>
      <c r="AS210" s="215">
        <f>IF(AND(ISNUMBER(AS209),ISNUMBER(AS144)),IFERROR(AS209/AS144,""),"")</f>
        <v>0.0528680485606743</v>
      </c>
      <c r="AT210" s="215">
        <f>IF(AND(ISNUMBER(AT209),ISNUMBER(AT144)),IFERROR(AT209/AT144,""),"")</f>
        <v>0.0657166636674465</v>
      </c>
      <c r="AU210" s="215">
        <f>IF(AND(ISNUMBER(AU209),ISNUMBER(AU144)),IFERROR(AU209/AU144,""),"")</f>
        <v>0.0644235269644807</v>
      </c>
      <c r="AV210" s="215">
        <f>IF(AND(ISNUMBER(AV209),ISNUMBER(AV144)),IFERROR(AV209/AV144,""),"")</f>
        <v>0.0547409501811955</v>
      </c>
      <c r="AW210" s="215">
        <f>IF(AND(ISNUMBER(AW209),ISNUMBER(AW144)),IFERROR(AW209/AW144,""),"")</f>
        <v>0.0593139997513366</v>
      </c>
      <c r="AX210" s="215">
        <f>IF(AND(ISNUMBER(AX209),ISNUMBER(AX144)),IFERROR(AX209/AX144,""),"")</f>
        <v>0.0816915166147552</v>
      </c>
      <c r="AY210" s="215">
        <f>IF(AND(ISNUMBER(AY209),ISNUMBER(AY144)),IFERROR(AY209/AY144,""),"")</f>
        <v>0.0681110718075699</v>
      </c>
      <c r="AZ210" s="215">
        <f>IF(AND(ISNUMBER(AZ209),ISNUMBER(AZ144)),IFERROR(AZ209/AZ144,""),"")</f>
        <v>0.0437858715662564</v>
      </c>
      <c r="BA210" s="215">
        <f>IF(AND(ISNUMBER(BA209),ISNUMBER(BA144)),IFERROR(BA209/BA144,""),"")</f>
        <v>0.0251797514045353</v>
      </c>
      <c r="BB210" s="215">
        <f>IF(AND(ISNUMBER(BB209),ISNUMBER(BB144)),IFERROR(BB209/BB144,""),"")</f>
        <v>0.0529540975092695</v>
      </c>
      <c r="BC210" s="215">
        <f>IF(AND(ISNUMBER(BC209),ISNUMBER(BC144)),IFERROR(BC209/BC144,""),"")</f>
        <v>0.031508708048504</v>
      </c>
      <c r="BD210" s="215">
        <f>IF(AND(ISNUMBER(BD209),ISNUMBER(BD144)),IFERROR(BD209/BD144,""),"")</f>
        <v>0.0273603114637808</v>
      </c>
      <c r="BE210" s="215">
        <f>IF(AND(ISNUMBER(BE209),ISNUMBER(BE144)),IFERROR(BE209/BE144,""),"")</f>
        <v>0.019866090746729</v>
      </c>
      <c r="BF210" s="215">
        <f>IF(AND(ISNUMBER(BF209),ISNUMBER(BF144)),IFERROR(BF209/BF144,""),"")</f>
        <v>0.0364400418219351</v>
      </c>
      <c r="BG210" s="215">
        <f>IF(AND(ISNUMBER(BG209),ISNUMBER(BG144)),IFERROR(BG209/BG144,""),"")</f>
        <v>0.0290826739405778</v>
      </c>
      <c r="BH210" s="215">
        <f>IF(AND(ISNUMBER(BH209),ISNUMBER(BH144)),IFERROR(BH209/BH144,""),"")</f>
        <v>0.0414108261750342</v>
      </c>
      <c r="BI210" s="215">
        <f>IF(AND(ISNUMBER(BI209),ISNUMBER(BI144)),IFERROR(BI209/BI144,""),"")</f>
        <v>0.0571575273658126</v>
      </c>
      <c r="BJ210" s="215">
        <f>IF(AND(ISNUMBER(BJ209),ISNUMBER(BJ144)),IFERROR(BJ209/BJ144,""),"")</f>
        <v>0.0781923778506182</v>
      </c>
      <c r="BK210" s="215">
        <f>IF(AND(ISNUMBER(BK209),ISNUMBER(BK144)),IFERROR(BK209/BK144,""),"")</f>
        <v>0.0777178293843882</v>
      </c>
      <c r="BL210" s="215">
        <f>IF(AND(ISNUMBER(BL209),ISNUMBER(BL144)),IFERROR(BL209/BL144,""),"")</f>
        <v>0.0649842984768218</v>
      </c>
      <c r="BM210" s="215">
        <f>IF(AND(ISNUMBER(BM209),ISNUMBER(BM144)),IFERROR(BM209/BM144,""),"")</f>
        <v>0.106808175113214</v>
      </c>
      <c r="BN210" s="215">
        <f>IF(AND(ISNUMBER(BN209),ISNUMBER(BN144)),IFERROR(BN209/BN144,""),"")</f>
        <v>0.0991505436655697</v>
      </c>
      <c r="BO210" s="215">
        <f>IF(AND(ISNUMBER(BO209),ISNUMBER(BO144)),IFERROR(BO209/BO144,""),"")</f>
        <v>0.109587920215009</v>
      </c>
      <c r="BP210" s="215">
        <f>IF(AND(ISNUMBER(BP209),ISNUMBER(BP144)),IFERROR(BP209/BP144,""),"")</f>
        <v>0.112906833091932</v>
      </c>
      <c r="BQ210" s="215">
        <f>IF(AND(ISNUMBER(BQ209),ISNUMBER(BQ144)),IFERROR(BQ209/BQ144,""),"")</f>
        <v>0.107519448742004</v>
      </c>
      <c r="BR210" s="215">
        <f>IF(AND(ISNUMBER(BR209),ISNUMBER(BR144)),IFERROR(BR209/BR144,""),"")</f>
        <v>0.118233151535007</v>
      </c>
      <c r="BS210" s="215">
        <f>IF(AND(ISNUMBER(BS209),ISNUMBER(BS144)),IFERROR(BS209/BS144,""),"")</f>
        <v>0.114315869816699</v>
      </c>
      <c r="BT210" s="215">
        <f>IF(AND(ISNUMBER(BT209),ISNUMBER(BT144)),IFERROR(BT209/BT144,""),"")</f>
        <v>0.120564581032253</v>
      </c>
      <c r="BU210" s="215">
        <f>IF(AND(ISNUMBER(BU209),ISNUMBER(BU144)),IFERROR(BU209/BU144,""),"")</f>
        <v>0.128485467650174</v>
      </c>
      <c r="BV210" s="215">
        <f>IF(AND(ISNUMBER(BV209),ISNUMBER(BV144)),IFERROR(BV209/BV144,""),"")</f>
        <v>0.120954243406554</v>
      </c>
      <c r="BW210" s="215">
        <f>IF(AND(ISNUMBER(BW209),ISNUMBER(BW144)),IFERROR(BW209/BW144,""),"")</f>
        <v>0.131137787228885</v>
      </c>
      <c r="BX210" s="215">
        <f>IF(AND(ISNUMBER(BX209),ISNUMBER(BX144)),IFERROR(BX209/BX144,""),"")</f>
        <v>0.134143545058473</v>
      </c>
      <c r="BY210" s="256">
        <f>IF(AND(ISNUMBER(BY209),ISNUMBER(BY144)),IFERROR(BY209/BY144,""),"")</f>
        <v>0.12280701754386</v>
      </c>
      <c r="BZ210" s="256">
        <f>IF(AND(ISNUMBER(BZ209),ISNUMBER(BZ144)),IFERROR(BZ209/BZ144,""),"")</f>
        <v>0.126859067069213</v>
      </c>
      <c r="CA210" s="256">
        <f>IF(AND(ISNUMBER(CA209),ISNUMBER(CA144)),IFERROR(CA209/CA144,""),"")</f>
        <v>0.12859081291609</v>
      </c>
      <c r="CB210" s="256">
        <f>IF(AND(ISNUMBER(CB209),ISNUMBER(CB144)),IFERROR(CB209/CB144,""),"")</f>
        <v>0.141197899930862</v>
      </c>
      <c r="CC210" s="256">
        <f>IF(AND(ISNUMBER(CC209),ISNUMBER(CC144)),IFERROR(CC209/CC144,""),"")</f>
        <v>0.149964972315812</v>
      </c>
      <c r="CD210" s="256">
        <f>IF(AND(ISNUMBER(CD209),ISNUMBER(CD144)),IFERROR(CD209/CD144,""),"")</f>
        <v>0.157199710578401</v>
      </c>
      <c r="CE210" s="256">
        <f>IF(AND(ISNUMBER(CE209),ISNUMBER(CE144)),IFERROR(CE209/CE144,""),"")</f>
        <v>0.164702085203659</v>
      </c>
      <c r="CF210" s="153" t="n"/>
      <c r="CH210" s="37">
        <f>IFERROR(AVERAGE(CA210,CB210,CC210,CD210,CE210),"n/m")</f>
        <v>0.148331096188965</v>
      </c>
      <c r="CI210" s="37">
        <f>IFERROR(AVERAGE(BB210,BG210,BL210,BQ210,BV210),"n/m")</f>
        <v>0.0750989524150453</v>
      </c>
      <c r="CJ210" s="37">
        <f>IFERROR(AVERAGE(AC210,AH210,AM210,AR210,AW210,BB210,BG210,BL210,BQ210,BV210),"n/m")</f>
        <v>0.0593846296003054</v>
      </c>
      <c r="CK210" s="37">
        <f>IFERROR(AVERAGE(C210,D210,E210,F210,G210,H210,I210,N210,S210,X210,AC210,AH210,AM210,AR210,AW210,BB210,BG210,BL210,BQ210,BV210),"n/m")</f>
        <v>0.0433644396998454</v>
      </c>
    </row>
    <row r="211" ht="15" customHeight="1" s="251">
      <c r="B211" s="156" t="inlineStr">
        <is>
          <t xml:space="preserve">  Memo: cash special charges (settlements, severance, tax disputes; deducted in the DCF)</t>
        </is>
      </c>
      <c r="C211" s="211">
        <f>C179</f>
        <v>0</v>
      </c>
      <c r="D211" s="211">
        <f>D179</f>
        <v>0</v>
      </c>
      <c r="E211" s="211">
        <f>E179</f>
        <v>0</v>
      </c>
      <c r="F211" s="211">
        <f>F179</f>
        <v>0</v>
      </c>
      <c r="G211" s="211">
        <f>G179</f>
        <v>0</v>
      </c>
      <c r="H211" s="211">
        <f>H179</f>
        <v>0</v>
      </c>
      <c r="I211" s="211">
        <f>I179</f>
        <v>0</v>
      </c>
      <c r="J211" s="211">
        <f>J179</f>
        <v>0</v>
      </c>
      <c r="K211" s="211">
        <f>K179</f>
        <v>0</v>
      </c>
      <c r="L211" s="211">
        <f>L179</f>
        <v>0</v>
      </c>
      <c r="M211" s="211">
        <f>M179</f>
        <v>0</v>
      </c>
      <c r="N211" s="211">
        <f>N179</f>
        <v>0</v>
      </c>
      <c r="O211" s="211">
        <f>O179</f>
        <v>0</v>
      </c>
      <c r="P211" s="211">
        <f>P179</f>
        <v>0</v>
      </c>
      <c r="Q211" s="211">
        <f>Q179</f>
        <v>0</v>
      </c>
      <c r="R211" s="211">
        <f>R179</f>
        <v>0</v>
      </c>
      <c r="S211" s="211">
        <f>S179</f>
        <v>0</v>
      </c>
      <c r="T211" s="211">
        <f>T179</f>
        <v>0</v>
      </c>
      <c r="U211" s="211">
        <f>U179</f>
        <v>0</v>
      </c>
      <c r="V211" s="211">
        <f>V179</f>
        <v>0</v>
      </c>
      <c r="W211" s="211">
        <f>W179</f>
        <v>0</v>
      </c>
      <c r="X211" s="211">
        <f>X179</f>
        <v>0</v>
      </c>
      <c r="Y211" s="211">
        <f>Y179</f>
        <v>0</v>
      </c>
      <c r="Z211" s="211">
        <f>Z179</f>
        <v>0</v>
      </c>
      <c r="AA211" s="211">
        <f>AA179</f>
        <v>0</v>
      </c>
      <c r="AB211" s="211">
        <f>AB179</f>
        <v>0</v>
      </c>
      <c r="AC211" s="211">
        <f>AC179</f>
        <v>0</v>
      </c>
      <c r="AD211" s="211">
        <f>AD179</f>
        <v>0</v>
      </c>
      <c r="AE211" s="211">
        <f>AE179</f>
        <v>0</v>
      </c>
      <c r="AF211" s="211">
        <f>AF179</f>
        <v>0</v>
      </c>
      <c r="AG211" s="211">
        <f>AG179</f>
        <v>0</v>
      </c>
      <c r="AH211" s="211">
        <f>AH179</f>
        <v>0</v>
      </c>
      <c r="AI211" s="211">
        <f>AI179</f>
        <v>0</v>
      </c>
      <c r="AJ211" s="211">
        <f>AJ179</f>
        <v>0</v>
      </c>
      <c r="AK211" s="211">
        <f>AK179</f>
        <v>0</v>
      </c>
      <c r="AL211" s="211">
        <f>AL179</f>
        <v>0</v>
      </c>
      <c r="AM211" s="211">
        <f>AM179</f>
        <v>0</v>
      </c>
      <c r="AN211" s="211">
        <f>AN179</f>
        <v>0</v>
      </c>
      <c r="AO211" s="211">
        <f>AO179</f>
        <v>0</v>
      </c>
      <c r="AP211" s="211">
        <f>AP179</f>
        <v>0</v>
      </c>
      <c r="AQ211" s="211">
        <f>AQ179</f>
        <v>0</v>
      </c>
      <c r="AR211" s="211">
        <f>AR179</f>
        <v>0</v>
      </c>
      <c r="AS211" s="211">
        <f>AS179</f>
        <v>0</v>
      </c>
      <c r="AT211" s="211">
        <f>AT179</f>
        <v>0</v>
      </c>
      <c r="AU211" s="211">
        <f>AU179</f>
        <v>0</v>
      </c>
      <c r="AV211" s="211">
        <f>AV179</f>
        <v>0</v>
      </c>
      <c r="AW211" s="211">
        <f>AW179</f>
        <v>0</v>
      </c>
      <c r="AX211" s="211">
        <f>AX179</f>
        <v>0</v>
      </c>
      <c r="AY211" s="211">
        <f>AY179</f>
        <v>0</v>
      </c>
      <c r="AZ211" s="211">
        <f>AZ179</f>
        <v>0</v>
      </c>
      <c r="BA211" s="211">
        <f>BA179</f>
        <v>0</v>
      </c>
      <c r="BB211" s="211">
        <f>BB179</f>
        <v>0</v>
      </c>
      <c r="BC211" s="211">
        <f>BC179</f>
        <v>0</v>
      </c>
      <c r="BD211" s="211">
        <f>BD179</f>
        <v>0</v>
      </c>
      <c r="BE211" s="211">
        <f>BE179</f>
        <v>0</v>
      </c>
      <c r="BF211" s="211">
        <f>BF179</f>
        <v>2700</v>
      </c>
      <c r="BG211" s="211">
        <f>BG179</f>
        <v>2700</v>
      </c>
      <c r="BH211" s="211">
        <f>BH179</f>
        <v>500</v>
      </c>
      <c r="BI211" s="211">
        <f>BI179</f>
        <v>0</v>
      </c>
      <c r="BJ211" s="211">
        <f>BJ179</f>
        <v>0</v>
      </c>
      <c r="BK211" s="211">
        <f>BK179</f>
        <v>0</v>
      </c>
      <c r="BL211" s="211">
        <f>BL179</f>
        <v>500</v>
      </c>
      <c r="BM211" s="211">
        <f>BM179</f>
        <v>0</v>
      </c>
      <c r="BN211" s="211">
        <f>BN179</f>
        <v>0</v>
      </c>
      <c r="BO211" s="211">
        <f>BO179</f>
        <v>0</v>
      </c>
      <c r="BP211" s="211">
        <f>BP179</f>
        <v>0</v>
      </c>
      <c r="BQ211" s="211">
        <f>BQ179</f>
        <v>0</v>
      </c>
      <c r="BR211" s="211">
        <f>BR179</f>
        <v>0</v>
      </c>
      <c r="BS211" s="211">
        <f>BS179</f>
        <v>0</v>
      </c>
      <c r="BT211" s="211">
        <f>BT179</f>
        <v>4300</v>
      </c>
      <c r="BU211" s="211">
        <f>BU179</f>
        <v>2440</v>
      </c>
      <c r="BV211" s="211">
        <f>BV179</f>
        <v>6740</v>
      </c>
      <c r="BW211" s="211">
        <f>BW179</f>
        <v>0</v>
      </c>
      <c r="BX211" s="211">
        <f>BX179</f>
        <v>0</v>
      </c>
      <c r="BY211" s="254">
        <f>BY179</f>
        <v>0</v>
      </c>
      <c r="BZ211" s="254">
        <f>BZ179</f>
        <v>0</v>
      </c>
      <c r="CA211" s="254">
        <f>CA179</f>
        <v>0</v>
      </c>
      <c r="CB211" s="254">
        <f>CB179</f>
        <v>0</v>
      </c>
      <c r="CC211" s="254">
        <f>CC179</f>
        <v>0</v>
      </c>
      <c r="CD211" s="254">
        <f>CD179</f>
        <v>0</v>
      </c>
      <c r="CE211" s="254">
        <f>CE179</f>
        <v>0</v>
      </c>
      <c r="CF211" s="153" t="n"/>
    </row>
    <row r="212" ht="15" customHeight="1" s="251">
      <c r="CN212" s="11" t="n"/>
      <c r="CO212" s="12" t="n"/>
      <c r="CP212" s="12" t="n"/>
      <c r="CQ212" s="12" t="n"/>
      <c r="CR212" s="13" t="n"/>
    </row>
    <row r="213" ht="15" customHeight="1" s="251">
      <c r="B213" s="10" t="inlineStr">
        <is>
          <t>RECONCILIATION: NET INCOME / DILUTED EPS → ADJUSTED NET INCOME → ADJUSTED EPS (model definition — Amazon publishes none)</t>
        </is>
      </c>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c r="AJ213" s="10" t="n"/>
      <c r="AK213" s="10" t="n"/>
      <c r="AL213" s="10" t="n"/>
      <c r="AM213" s="10" t="n"/>
      <c r="AN213" s="10" t="n"/>
      <c r="AO213" s="10" t="n"/>
      <c r="AP213" s="10" t="n"/>
      <c r="AQ213" s="10" t="n"/>
      <c r="AR213" s="10" t="n"/>
      <c r="AS213" s="10" t="n"/>
      <c r="AT213" s="10" t="n"/>
      <c r="AU213" s="10" t="n"/>
      <c r="AV213" s="10" t="n"/>
      <c r="AW213" s="10" t="n"/>
      <c r="AX213" s="10" t="n"/>
      <c r="AY213" s="10" t="n"/>
      <c r="AZ213" s="10" t="n"/>
      <c r="BA213" s="10" t="n"/>
      <c r="BB213" s="10" t="n"/>
      <c r="BC213" s="10" t="n"/>
      <c r="BD213" s="10" t="n"/>
      <c r="BE213" s="10" t="n"/>
      <c r="BF213" s="10" t="n"/>
      <c r="BG213" s="10" t="n"/>
      <c r="BH213" s="10" t="n"/>
      <c r="BI213" s="10" t="n"/>
      <c r="BJ213" s="10" t="n"/>
      <c r="BK213" s="10" t="n"/>
      <c r="BL213" s="10" t="n"/>
      <c r="BM213" s="10" t="n"/>
      <c r="BN213" s="10" t="n"/>
      <c r="BO213" s="10" t="n"/>
      <c r="BP213" s="10" t="n"/>
      <c r="BQ213" s="10" t="n"/>
      <c r="BR213" s="10" t="n"/>
      <c r="BS213" s="10" t="n"/>
      <c r="BT213" s="10" t="n"/>
      <c r="BU213" s="10" t="n"/>
      <c r="BV213" s="10" t="n"/>
      <c r="BW213" s="10" t="n"/>
      <c r="BX213" s="10" t="n"/>
      <c r="BY213" s="10" t="n"/>
      <c r="BZ213" s="10" t="n"/>
      <c r="CA213" s="10" t="n"/>
      <c r="CB213" s="10" t="n"/>
      <c r="CC213" s="10" t="n"/>
      <c r="CD213" s="10" t="n"/>
      <c r="CE213" s="10" t="n"/>
      <c r="CF213" s="10" t="inlineStr">
        <is>
          <t>ADJUSTED EPS — net income − other income (expense), net (investment marks: Rivian 2021–24, Anthropic 2025–26; FX) − equity-method activity + special items, tax-effected at the statutory rate (35% to 2017, 21% from 2018)</t>
        </is>
      </c>
    </row>
    <row r="214" ht="15" customHeight="1" s="251">
      <c r="B214" s="16" t="inlineStr">
        <is>
          <t>Net income (GAAP)</t>
        </is>
      </c>
      <c r="C214" s="275">
        <f>C163</f>
        <v>190</v>
      </c>
      <c r="D214" s="275">
        <f>D163</f>
        <v>476</v>
      </c>
      <c r="E214" s="275">
        <f>E163</f>
        <v>645</v>
      </c>
      <c r="F214" s="275">
        <f>F163</f>
        <v>902</v>
      </c>
      <c r="G214" s="275">
        <f>G163</f>
        <v>1152</v>
      </c>
      <c r="H214" s="275">
        <f>H163</f>
        <v>631</v>
      </c>
      <c r="I214" s="275">
        <f>I163</f>
        <v>-39</v>
      </c>
      <c r="J214" s="275">
        <f>J163</f>
        <v>82</v>
      </c>
      <c r="K214" s="275">
        <f>K163</f>
        <v>-7</v>
      </c>
      <c r="L214" s="275">
        <f>L163</f>
        <v>-41</v>
      </c>
      <c r="M214" s="275">
        <f>M163</f>
        <v>239</v>
      </c>
      <c r="N214" s="275">
        <f>N163</f>
        <v>274</v>
      </c>
      <c r="O214" s="275">
        <f>O163</f>
        <v>108</v>
      </c>
      <c r="P214" s="275">
        <f>P163</f>
        <v>-126</v>
      </c>
      <c r="Q214" s="275">
        <f>Q163</f>
        <v>-437</v>
      </c>
      <c r="R214" s="275">
        <f>R163</f>
        <v>214</v>
      </c>
      <c r="S214" s="275">
        <f>S163</f>
        <v>-241</v>
      </c>
      <c r="T214" s="275">
        <f>T163</f>
        <v>-57</v>
      </c>
      <c r="U214" s="275">
        <f>U163</f>
        <v>92</v>
      </c>
      <c r="V214" s="275">
        <f>V163</f>
        <v>79</v>
      </c>
      <c r="W214" s="275">
        <f>W163</f>
        <v>482</v>
      </c>
      <c r="X214" s="275">
        <f>X163</f>
        <v>596</v>
      </c>
      <c r="Y214" s="275">
        <f>Y163</f>
        <v>513</v>
      </c>
      <c r="Z214" s="275">
        <f>Z163</f>
        <v>857</v>
      </c>
      <c r="AA214" s="275">
        <f>AA163</f>
        <v>252</v>
      </c>
      <c r="AB214" s="275">
        <f>AB163</f>
        <v>749</v>
      </c>
      <c r="AC214" s="275">
        <f>AC163</f>
        <v>2371</v>
      </c>
      <c r="AD214" s="275">
        <f>AD163</f>
        <v>724</v>
      </c>
      <c r="AE214" s="275">
        <f>AE163</f>
        <v>197</v>
      </c>
      <c r="AF214" s="275">
        <f>AF163</f>
        <v>256</v>
      </c>
      <c r="AG214" s="275">
        <f>AG163</f>
        <v>1856</v>
      </c>
      <c r="AH214" s="275">
        <f>AH163</f>
        <v>3033</v>
      </c>
      <c r="AI214" s="275">
        <f>AI163</f>
        <v>1629</v>
      </c>
      <c r="AJ214" s="275">
        <f>AJ163</f>
        <v>2534</v>
      </c>
      <c r="AK214" s="275">
        <f>AK163</f>
        <v>2883</v>
      </c>
      <c r="AL214" s="275">
        <f>AL163</f>
        <v>3027</v>
      </c>
      <c r="AM214" s="275">
        <f>AM163</f>
        <v>10073</v>
      </c>
      <c r="AN214" s="275">
        <f>AN163</f>
        <v>3561</v>
      </c>
      <c r="AO214" s="275">
        <f>AO163</f>
        <v>2625</v>
      </c>
      <c r="AP214" s="275">
        <f>AP163</f>
        <v>2134</v>
      </c>
      <c r="AQ214" s="275">
        <f>AQ163</f>
        <v>3268</v>
      </c>
      <c r="AR214" s="275">
        <f>AR163</f>
        <v>11588</v>
      </c>
      <c r="AS214" s="275">
        <f>AS163</f>
        <v>2535</v>
      </c>
      <c r="AT214" s="275">
        <f>AT163</f>
        <v>5243</v>
      </c>
      <c r="AU214" s="275">
        <f>AU163</f>
        <v>6331</v>
      </c>
      <c r="AV214" s="275">
        <f>AV163</f>
        <v>7222</v>
      </c>
      <c r="AW214" s="275">
        <f>AW163</f>
        <v>21331</v>
      </c>
      <c r="AX214" s="275">
        <f>AX163</f>
        <v>8107</v>
      </c>
      <c r="AY214" s="275">
        <f>AY163</f>
        <v>7778</v>
      </c>
      <c r="AZ214" s="275">
        <f>AZ163</f>
        <v>3156</v>
      </c>
      <c r="BA214" s="275">
        <f>BA163</f>
        <v>14323</v>
      </c>
      <c r="BB214" s="275">
        <f>BB163</f>
        <v>33364</v>
      </c>
      <c r="BC214" s="275">
        <f>BC163</f>
        <v>-3844</v>
      </c>
      <c r="BD214" s="275">
        <f>BD163</f>
        <v>-2028</v>
      </c>
      <c r="BE214" s="275">
        <f>BE163</f>
        <v>2872</v>
      </c>
      <c r="BF214" s="275">
        <f>BF163</f>
        <v>278</v>
      </c>
      <c r="BG214" s="275">
        <f>BG163</f>
        <v>-2722</v>
      </c>
      <c r="BH214" s="275">
        <f>BH163</f>
        <v>3172</v>
      </c>
      <c r="BI214" s="275">
        <f>BI163</f>
        <v>6750</v>
      </c>
      <c r="BJ214" s="275">
        <f>BJ163</f>
        <v>9879</v>
      </c>
      <c r="BK214" s="275">
        <f>BK163</f>
        <v>10624</v>
      </c>
      <c r="BL214" s="275">
        <f>BL163</f>
        <v>30425</v>
      </c>
      <c r="BM214" s="275">
        <f>BM163</f>
        <v>10431</v>
      </c>
      <c r="BN214" s="275">
        <f>BN163</f>
        <v>13485</v>
      </c>
      <c r="BO214" s="275">
        <f>BO163</f>
        <v>15328</v>
      </c>
      <c r="BP214" s="275">
        <f>BP163</f>
        <v>20004</v>
      </c>
      <c r="BQ214" s="275">
        <f>BQ163</f>
        <v>59248</v>
      </c>
      <c r="BR214" s="275">
        <f>BR163</f>
        <v>17127</v>
      </c>
      <c r="BS214" s="275">
        <f>BS163</f>
        <v>18164</v>
      </c>
      <c r="BT214" s="275">
        <f>BT163</f>
        <v>21187</v>
      </c>
      <c r="BU214" s="275">
        <f>BU163</f>
        <v>21192</v>
      </c>
      <c r="BV214" s="275">
        <f>BV163</f>
        <v>77670</v>
      </c>
      <c r="BW214" s="275">
        <f>BW163</f>
        <v>30255</v>
      </c>
      <c r="BX214" s="275">
        <f>BX163</f>
        <v>62647</v>
      </c>
      <c r="BY214" s="265">
        <f>BY163</f>
        <v>19324.08252</v>
      </c>
      <c r="BZ214" s="265">
        <f>BZ163</f>
        <v>24378.9733907812</v>
      </c>
      <c r="CA214" s="265">
        <f>CA163</f>
        <v>136605.055910781</v>
      </c>
      <c r="CB214" s="265">
        <f>CB163</f>
        <v>105559.404381086</v>
      </c>
      <c r="CC214" s="265">
        <f>CC163</f>
        <v>127702.653102788</v>
      </c>
      <c r="CD214" s="265">
        <f>CD163</f>
        <v>150300.087610364</v>
      </c>
      <c r="CE214" s="265">
        <f>CE163</f>
        <v>175129.32943124</v>
      </c>
      <c r="CF214" s="153" t="n"/>
    </row>
    <row r="215" ht="15" customHeight="1" s="251">
      <c r="B215" s="25" t="inlineStr">
        <is>
          <t xml:space="preserve">  (−) Other income (expense), net (pre-tax)</t>
        </is>
      </c>
      <c r="C215" s="211">
        <f>-C158</f>
        <v>-7</v>
      </c>
      <c r="D215" s="211">
        <f>-D158</f>
        <v>8</v>
      </c>
      <c r="E215" s="211">
        <f>-E158</f>
        <v>-47</v>
      </c>
      <c r="F215" s="211">
        <f>-F158</f>
        <v>-29</v>
      </c>
      <c r="G215" s="211">
        <f>-G158</f>
        <v>-79</v>
      </c>
      <c r="H215" s="211">
        <f>-H158</f>
        <v>-76</v>
      </c>
      <c r="I215" s="211">
        <f>-I158</f>
        <v>80</v>
      </c>
      <c r="J215" s="211">
        <f>-J158</f>
        <v>77</v>
      </c>
      <c r="K215" s="211">
        <f>-K158</f>
        <v>38</v>
      </c>
      <c r="L215" s="211">
        <f>-L158</f>
        <v>-9</v>
      </c>
      <c r="M215" s="211">
        <f>-M158</f>
        <v>30</v>
      </c>
      <c r="N215" s="211">
        <f>-N158</f>
        <v>136</v>
      </c>
      <c r="O215" s="211">
        <f>-O158</f>
        <v>-5</v>
      </c>
      <c r="P215" s="211">
        <f>-P158</f>
        <v>-22</v>
      </c>
      <c r="Q215" s="211">
        <f>-Q158</f>
        <v>50</v>
      </c>
      <c r="R215" s="211">
        <f>-R158</f>
        <v>96</v>
      </c>
      <c r="S215" s="211">
        <f>-S158</f>
        <v>118</v>
      </c>
      <c r="T215" s="211">
        <f>-T158</f>
        <v>130</v>
      </c>
      <c r="U215" s="211">
        <f>-U158</f>
        <v>0</v>
      </c>
      <c r="V215" s="211">
        <f>-V158</f>
        <v>56</v>
      </c>
      <c r="W215" s="211">
        <f>-W158</f>
        <v>68</v>
      </c>
      <c r="X215" s="211">
        <f>-X158</f>
        <v>256</v>
      </c>
      <c r="Y215" s="211">
        <f>-Y158</f>
        <v>-81</v>
      </c>
      <c r="Z215" s="211">
        <f>-Z158</f>
        <v>14</v>
      </c>
      <c r="AA215" s="211">
        <f>-AA158</f>
        <v>-8</v>
      </c>
      <c r="AB215" s="211">
        <f>-AB158</f>
        <v>-14</v>
      </c>
      <c r="AC215" s="211">
        <f>-AC158</f>
        <v>-90</v>
      </c>
      <c r="AD215" s="211">
        <f>-AD158</f>
        <v>-48</v>
      </c>
      <c r="AE215" s="211">
        <f>-AE158</f>
        <v>-137</v>
      </c>
      <c r="AF215" s="211">
        <f>-AF158</f>
        <v>-143</v>
      </c>
      <c r="AG215" s="211">
        <f>-AG158</f>
        <v>-18</v>
      </c>
      <c r="AH215" s="211">
        <f>-AH158</f>
        <v>-346</v>
      </c>
      <c r="AI215" s="211">
        <f>-AI158</f>
        <v>-239</v>
      </c>
      <c r="AJ215" s="211">
        <f>-AJ158</f>
        <v>129</v>
      </c>
      <c r="AK215" s="211">
        <f>-AK158</f>
        <v>93</v>
      </c>
      <c r="AL215" s="211">
        <f>-AL158</f>
        <v>199</v>
      </c>
      <c r="AM215" s="211">
        <f>-AM158</f>
        <v>183</v>
      </c>
      <c r="AN215" s="211">
        <f>-AN158</f>
        <v>-164</v>
      </c>
      <c r="AO215" s="211">
        <f>-AO158</f>
        <v>27</v>
      </c>
      <c r="AP215" s="211">
        <f>-AP158</f>
        <v>353</v>
      </c>
      <c r="AQ215" s="211">
        <f>-AQ158</f>
        <v>-418</v>
      </c>
      <c r="AR215" s="211">
        <f>-AR158</f>
        <v>-203</v>
      </c>
      <c r="AS215" s="211">
        <f>-AS158</f>
        <v>406</v>
      </c>
      <c r="AT215" s="211">
        <f>-AT158</f>
        <v>-646</v>
      </c>
      <c r="AU215" s="211">
        <f>-AU158</f>
        <v>-925</v>
      </c>
      <c r="AV215" s="211">
        <f>-AV158</f>
        <v>-1206</v>
      </c>
      <c r="AW215" s="211">
        <f>-AW158</f>
        <v>-2371</v>
      </c>
      <c r="AX215" s="211">
        <f>-AX158</f>
        <v>-1697</v>
      </c>
      <c r="AY215" s="211">
        <f>-AY158</f>
        <v>-1261</v>
      </c>
      <c r="AZ215" s="211">
        <f>-AZ158</f>
        <v>163</v>
      </c>
      <c r="BA215" s="211">
        <f>-BA158</f>
        <v>-11838</v>
      </c>
      <c r="BB215" s="211">
        <f>-BB158</f>
        <v>-14633</v>
      </c>
      <c r="BC215" s="211">
        <f>-BC158</f>
        <v>8570</v>
      </c>
      <c r="BD215" s="211">
        <f>-BD158</f>
        <v>5545</v>
      </c>
      <c r="BE215" s="211">
        <f>-BE158</f>
        <v>-759</v>
      </c>
      <c r="BF215" s="211">
        <f>-BF158</f>
        <v>3450</v>
      </c>
      <c r="BG215" s="211">
        <f>-BG158</f>
        <v>16806</v>
      </c>
      <c r="BH215" s="211">
        <f>-BH158</f>
        <v>443</v>
      </c>
      <c r="BI215" s="211">
        <f>-BI158</f>
        <v>-61</v>
      </c>
      <c r="BJ215" s="211">
        <f>-BJ158</f>
        <v>-1031</v>
      </c>
      <c r="BK215" s="211">
        <f>-BK158</f>
        <v>-289</v>
      </c>
      <c r="BL215" s="211">
        <f>-BL158</f>
        <v>-938</v>
      </c>
      <c r="BM215" s="211">
        <f>-BM158</f>
        <v>2673</v>
      </c>
      <c r="BN215" s="211">
        <f>-BN158</f>
        <v>18</v>
      </c>
      <c r="BO215" s="211">
        <f>-BO158</f>
        <v>27</v>
      </c>
      <c r="BP215" s="211">
        <f>-BP158</f>
        <v>-468</v>
      </c>
      <c r="BQ215" s="211">
        <f>-BQ158</f>
        <v>2250</v>
      </c>
      <c r="BR215" s="211">
        <f>-BR158</f>
        <v>-2749</v>
      </c>
      <c r="BS215" s="211">
        <f>-BS158</f>
        <v>-1117</v>
      </c>
      <c r="BT215" s="211">
        <f>-BT158</f>
        <v>-10186</v>
      </c>
      <c r="BU215" s="211">
        <f>-BU158</f>
        <v>-1177</v>
      </c>
      <c r="BV215" s="211">
        <f>-BV158</f>
        <v>-15229</v>
      </c>
      <c r="BW215" s="211">
        <f>-BW158</f>
        <v>-15647</v>
      </c>
      <c r="BX215" s="211">
        <f>-BX158</f>
        <v>-53415</v>
      </c>
      <c r="BY215" s="254">
        <f>-BY158</f>
        <v>0</v>
      </c>
      <c r="BZ215" s="254">
        <f>-BZ158</f>
        <v>0</v>
      </c>
      <c r="CA215" s="254">
        <f>-CA158</f>
        <v>-69062</v>
      </c>
      <c r="CB215" s="254">
        <f>-CB158</f>
        <v>0</v>
      </c>
      <c r="CC215" s="254">
        <f>-CC158</f>
        <v>0</v>
      </c>
      <c r="CD215" s="254">
        <f>-CD158</f>
        <v>0</v>
      </c>
      <c r="CE215" s="254">
        <f>-CE158</f>
        <v>0</v>
      </c>
      <c r="CF215" s="19" t="n"/>
    </row>
    <row r="216" ht="15" customHeight="1" s="251">
      <c r="B216" s="25" t="inlineStr">
        <is>
          <t xml:space="preserve">  (−) Equity-method investment activity, net of tax</t>
        </is>
      </c>
      <c r="C216" s="211">
        <f>-C162</f>
        <v>0</v>
      </c>
      <c r="D216" s="211">
        <f>-D162</f>
        <v>0</v>
      </c>
      <c r="E216" s="211">
        <f>-E162</f>
        <v>9</v>
      </c>
      <c r="F216" s="211">
        <f>-F162</f>
        <v>6</v>
      </c>
      <c r="G216" s="211">
        <f>-G162</f>
        <v>-7</v>
      </c>
      <c r="H216" s="211">
        <f>-H162</f>
        <v>12</v>
      </c>
      <c r="I216" s="211">
        <f>-I162</f>
        <v>155</v>
      </c>
      <c r="J216" s="211">
        <f>-J162</f>
        <v>17</v>
      </c>
      <c r="K216" s="211">
        <f>-K162</f>
        <v>11</v>
      </c>
      <c r="L216" s="211">
        <f>-L162</f>
        <v>10</v>
      </c>
      <c r="M216" s="211">
        <f>-M162</f>
        <v>33</v>
      </c>
      <c r="N216" s="211">
        <f>-N162</f>
        <v>71</v>
      </c>
      <c r="O216" s="211">
        <f>-O162</f>
        <v>-61</v>
      </c>
      <c r="P216" s="211">
        <f>-P162</f>
        <v>5</v>
      </c>
      <c r="Q216" s="211">
        <f>-Q162</f>
        <v>8</v>
      </c>
      <c r="R216" s="211">
        <f>-R162</f>
        <v>10</v>
      </c>
      <c r="S216" s="211">
        <f>-S162</f>
        <v>-37</v>
      </c>
      <c r="T216" s="211">
        <f>-T162</f>
        <v>7</v>
      </c>
      <c r="U216" s="211">
        <f>-U162</f>
        <v>4</v>
      </c>
      <c r="V216" s="211">
        <f>-V162</f>
        <v>7</v>
      </c>
      <c r="W216" s="211">
        <f>-W162</f>
        <v>3</v>
      </c>
      <c r="X216" s="211">
        <f>-X162</f>
        <v>22</v>
      </c>
      <c r="Y216" s="211">
        <f>-Y162</f>
        <v>68</v>
      </c>
      <c r="Z216" s="211">
        <f>-Z162</f>
        <v>15</v>
      </c>
      <c r="AA216" s="211">
        <f>-AA162</f>
        <v>10</v>
      </c>
      <c r="AB216" s="211">
        <f>-AB162</f>
        <v>3</v>
      </c>
      <c r="AC216" s="211">
        <f>-AC162</f>
        <v>96</v>
      </c>
      <c r="AD216" s="211">
        <f>-AD162</f>
        <v>0</v>
      </c>
      <c r="AE216" s="211">
        <f>-AE162</f>
        <v>2</v>
      </c>
      <c r="AF216" s="211">
        <f>-AF162</f>
        <v>2</v>
      </c>
      <c r="AG216" s="211">
        <f>-AG162</f>
        <v>0</v>
      </c>
      <c r="AH216" s="211">
        <f>-AH162</f>
        <v>4</v>
      </c>
      <c r="AI216" s="211">
        <f>-AI162</f>
        <v>0</v>
      </c>
      <c r="AJ216" s="211">
        <f>-AJ162</f>
        <v>-3</v>
      </c>
      <c r="AK216" s="211">
        <f>-AK162</f>
        <v>-1</v>
      </c>
      <c r="AL216" s="211">
        <f>-AL162</f>
        <v>-4</v>
      </c>
      <c r="AM216" s="211">
        <f>-AM162</f>
        <v>-9</v>
      </c>
      <c r="AN216" s="211">
        <f>-AN162</f>
        <v>4</v>
      </c>
      <c r="AO216" s="211">
        <f>-AO162</f>
        <v>7</v>
      </c>
      <c r="AP216" s="211">
        <f>-AP162</f>
        <v>4</v>
      </c>
      <c r="AQ216" s="211">
        <f>-AQ162</f>
        <v>-1</v>
      </c>
      <c r="AR216" s="211">
        <f>-AR162</f>
        <v>14</v>
      </c>
      <c r="AS216" s="211">
        <f>-AS162</f>
        <v>104</v>
      </c>
      <c r="AT216" s="211">
        <f>-AT162</f>
        <v>-6</v>
      </c>
      <c r="AU216" s="211">
        <f>-AU162</f>
        <v>-91</v>
      </c>
      <c r="AV216" s="211">
        <f>-AV162</f>
        <v>-23</v>
      </c>
      <c r="AW216" s="211">
        <f>-AW162</f>
        <v>-16</v>
      </c>
      <c r="AX216" s="211">
        <f>-AX162</f>
        <v>5</v>
      </c>
      <c r="AY216" s="211">
        <f>-AY162</f>
        <v>-12</v>
      </c>
      <c r="AZ216" s="211">
        <f>-AZ162</f>
        <v>4</v>
      </c>
      <c r="BA216" s="211">
        <f>-BA162</f>
        <v>-1</v>
      </c>
      <c r="BB216" s="211">
        <f>-BB162</f>
        <v>-4</v>
      </c>
      <c r="BC216" s="211">
        <f>-BC162</f>
        <v>1</v>
      </c>
      <c r="BD216" s="211">
        <f>-BD162</f>
        <v>12</v>
      </c>
      <c r="BE216" s="211">
        <f>-BE162</f>
        <v>3</v>
      </c>
      <c r="BF216" s="211">
        <f>-BF162</f>
        <v>-13</v>
      </c>
      <c r="BG216" s="211">
        <f>-BG162</f>
        <v>3</v>
      </c>
      <c r="BH216" s="211">
        <f>-BH162</f>
        <v>-1</v>
      </c>
      <c r="BI216" s="211">
        <f>-BI162</f>
        <v>9</v>
      </c>
      <c r="BJ216" s="211">
        <f>-BJ162</f>
        <v>4</v>
      </c>
      <c r="BK216" s="211">
        <f>-BK162</f>
        <v>0</v>
      </c>
      <c r="BL216" s="211">
        <f>-BL162</f>
        <v>12</v>
      </c>
      <c r="BM216" s="211">
        <f>-BM162</f>
        <v>85</v>
      </c>
      <c r="BN216" s="211">
        <f>-BN162</f>
        <v>-7</v>
      </c>
      <c r="BO216" s="211">
        <f>-BO162</f>
        <v>3</v>
      </c>
      <c r="BP216" s="211">
        <f>-BP162</f>
        <v>20</v>
      </c>
      <c r="BQ216" s="211">
        <f>-BQ162</f>
        <v>101</v>
      </c>
      <c r="BR216" s="211">
        <f>-BR162</f>
        <v>-1</v>
      </c>
      <c r="BS216" s="211">
        <f>-BS162</f>
        <v>15</v>
      </c>
      <c r="BT216" s="211">
        <f>-BT162</f>
        <v>73</v>
      </c>
      <c r="BU216" s="211">
        <f>-BU162</f>
        <v>467</v>
      </c>
      <c r="BV216" s="211">
        <f>-BV162</f>
        <v>554</v>
      </c>
      <c r="BW216" s="211">
        <f>-BW162</f>
        <v>19</v>
      </c>
      <c r="BX216" s="211">
        <f>-BX162</f>
        <v>11</v>
      </c>
      <c r="BY216" s="254">
        <f>-BY162</f>
        <v>0</v>
      </c>
      <c r="BZ216" s="254">
        <f>-BZ162</f>
        <v>0</v>
      </c>
      <c r="CA216" s="254">
        <f>-CA162</f>
        <v>30</v>
      </c>
      <c r="CB216" s="254">
        <f>-CB162</f>
        <v>0</v>
      </c>
      <c r="CC216" s="254">
        <f>-CC162</f>
        <v>0</v>
      </c>
      <c r="CD216" s="254">
        <f>-CD162</f>
        <v>0</v>
      </c>
      <c r="CE216" s="254">
        <f>-CE162</f>
        <v>0</v>
      </c>
      <c r="CF216" s="19" t="n"/>
    </row>
    <row r="217" ht="15" customHeight="1" s="251">
      <c r="B217" s="25" t="inlineStr">
        <is>
          <t xml:space="preserve">  (+) Special items (pre-tax; bridge above)</t>
        </is>
      </c>
      <c r="C217" s="211">
        <f>C181</f>
        <v>0</v>
      </c>
      <c r="D217" s="211">
        <f>D181</f>
        <v>0</v>
      </c>
      <c r="E217" s="211">
        <f>E181</f>
        <v>0</v>
      </c>
      <c r="F217" s="211">
        <f>F181</f>
        <v>0</v>
      </c>
      <c r="G217" s="211">
        <f>G181</f>
        <v>0</v>
      </c>
      <c r="H217" s="211">
        <f>H181</f>
        <v>0</v>
      </c>
      <c r="I217" s="211">
        <f>I181</f>
        <v>0</v>
      </c>
      <c r="J217" s="211">
        <f>J181</f>
        <v>0</v>
      </c>
      <c r="K217" s="211">
        <f>K181</f>
        <v>0</v>
      </c>
      <c r="L217" s="211">
        <f>L181</f>
        <v>0</v>
      </c>
      <c r="M217" s="211">
        <f>M181</f>
        <v>0</v>
      </c>
      <c r="N217" s="211">
        <f>N181</f>
        <v>0</v>
      </c>
      <c r="O217" s="211">
        <f>O181</f>
        <v>0</v>
      </c>
      <c r="P217" s="211">
        <f>P181</f>
        <v>0</v>
      </c>
      <c r="Q217" s="211">
        <f>Q181</f>
        <v>0</v>
      </c>
      <c r="R217" s="211">
        <f>R181</f>
        <v>0</v>
      </c>
      <c r="S217" s="211">
        <f>S181</f>
        <v>0</v>
      </c>
      <c r="T217" s="211">
        <f>T181</f>
        <v>0</v>
      </c>
      <c r="U217" s="211">
        <f>U181</f>
        <v>0</v>
      </c>
      <c r="V217" s="211">
        <f>V181</f>
        <v>0</v>
      </c>
      <c r="W217" s="211">
        <f>W181</f>
        <v>0</v>
      </c>
      <c r="X217" s="211">
        <f>X181</f>
        <v>0</v>
      </c>
      <c r="Y217" s="211">
        <f>Y181</f>
        <v>0</v>
      </c>
      <c r="Z217" s="211">
        <f>Z181</f>
        <v>0</v>
      </c>
      <c r="AA217" s="211">
        <f>AA181</f>
        <v>0</v>
      </c>
      <c r="AB217" s="211">
        <f>AB181</f>
        <v>0</v>
      </c>
      <c r="AC217" s="211">
        <f>AC181</f>
        <v>0</v>
      </c>
      <c r="AD217" s="211">
        <f>AD181</f>
        <v>0</v>
      </c>
      <c r="AE217" s="211">
        <f>AE181</f>
        <v>0</v>
      </c>
      <c r="AF217" s="211">
        <f>AF181</f>
        <v>0</v>
      </c>
      <c r="AG217" s="211">
        <f>AG181</f>
        <v>0</v>
      </c>
      <c r="AH217" s="211">
        <f>AH181</f>
        <v>0</v>
      </c>
      <c r="AI217" s="211">
        <f>AI181</f>
        <v>0</v>
      </c>
      <c r="AJ217" s="211">
        <f>AJ181</f>
        <v>0</v>
      </c>
      <c r="AK217" s="211">
        <f>AK181</f>
        <v>0</v>
      </c>
      <c r="AL217" s="211">
        <f>AL181</f>
        <v>0</v>
      </c>
      <c r="AM217" s="211">
        <f>AM181</f>
        <v>0</v>
      </c>
      <c r="AN217" s="211">
        <f>AN181</f>
        <v>0</v>
      </c>
      <c r="AO217" s="211">
        <f>AO181</f>
        <v>0</v>
      </c>
      <c r="AP217" s="211">
        <f>AP181</f>
        <v>0</v>
      </c>
      <c r="AQ217" s="211">
        <f>AQ181</f>
        <v>0</v>
      </c>
      <c r="AR217" s="211">
        <f>AR181</f>
        <v>0</v>
      </c>
      <c r="AS217" s="211">
        <f>AS181</f>
        <v>0</v>
      </c>
      <c r="AT217" s="211">
        <f>AT181</f>
        <v>0</v>
      </c>
      <c r="AU217" s="211">
        <f>AU181</f>
        <v>0</v>
      </c>
      <c r="AV217" s="211">
        <f>AV181</f>
        <v>0</v>
      </c>
      <c r="AW217" s="211">
        <f>AW181</f>
        <v>0</v>
      </c>
      <c r="AX217" s="211">
        <f>AX181</f>
        <v>0</v>
      </c>
      <c r="AY217" s="211">
        <f>AY181</f>
        <v>0</v>
      </c>
      <c r="AZ217" s="211">
        <f>AZ181</f>
        <v>0</v>
      </c>
      <c r="BA217" s="211">
        <f>BA181</f>
        <v>0</v>
      </c>
      <c r="BB217" s="211">
        <f>BB181</f>
        <v>0</v>
      </c>
      <c r="BC217" s="211">
        <f>BC181</f>
        <v>0</v>
      </c>
      <c r="BD217" s="211">
        <f>BD181</f>
        <v>0</v>
      </c>
      <c r="BE217" s="211">
        <f>BE181</f>
        <v>0</v>
      </c>
      <c r="BF217" s="211">
        <f>BF181</f>
        <v>2700</v>
      </c>
      <c r="BG217" s="211">
        <f>BG181</f>
        <v>2700</v>
      </c>
      <c r="BH217" s="211">
        <f>BH181</f>
        <v>500</v>
      </c>
      <c r="BI217" s="211">
        <f>BI181</f>
        <v>0</v>
      </c>
      <c r="BJ217" s="211">
        <f>BJ181</f>
        <v>0</v>
      </c>
      <c r="BK217" s="211">
        <f>BK181</f>
        <v>0</v>
      </c>
      <c r="BL217" s="211">
        <f>BL181</f>
        <v>500</v>
      </c>
      <c r="BM217" s="211">
        <f>BM181</f>
        <v>0</v>
      </c>
      <c r="BN217" s="211">
        <f>BN181</f>
        <v>0</v>
      </c>
      <c r="BO217" s="211">
        <f>BO181</f>
        <v>0</v>
      </c>
      <c r="BP217" s="211">
        <f>BP181</f>
        <v>0</v>
      </c>
      <c r="BQ217" s="211">
        <f>BQ181</f>
        <v>0</v>
      </c>
      <c r="BR217" s="211">
        <f>BR181</f>
        <v>0</v>
      </c>
      <c r="BS217" s="211">
        <f>BS181</f>
        <v>0</v>
      </c>
      <c r="BT217" s="211">
        <f>BT181</f>
        <v>4300</v>
      </c>
      <c r="BU217" s="211">
        <f>BU181</f>
        <v>2440</v>
      </c>
      <c r="BV217" s="211">
        <f>BV181</f>
        <v>6740</v>
      </c>
      <c r="BW217" s="211">
        <f>BW181</f>
        <v>-48</v>
      </c>
      <c r="BX217" s="211">
        <f>BX181</f>
        <v>-551</v>
      </c>
      <c r="BY217" s="254">
        <f>BY181</f>
        <v>0</v>
      </c>
      <c r="BZ217" s="254">
        <f>BZ181</f>
        <v>0</v>
      </c>
      <c r="CA217" s="254">
        <f>CA181</f>
        <v>-599</v>
      </c>
      <c r="CB217" s="254">
        <f>CB181</f>
        <v>0</v>
      </c>
      <c r="CC217" s="254">
        <f>CC181</f>
        <v>0</v>
      </c>
      <c r="CD217" s="254">
        <f>CD181</f>
        <v>0</v>
      </c>
      <c r="CE217" s="254">
        <f>CE181</f>
        <v>0</v>
      </c>
      <c r="CF217" s="19" t="n"/>
    </row>
    <row r="218" ht="15" customHeight="1" s="251">
      <c r="B218" s="25" t="inlineStr">
        <is>
          <t xml:space="preserve">  Tax rate applied to the adjustments (US federal statutory rate)</t>
        </is>
      </c>
      <c r="C218" s="263" t="n">
        <v>0.35</v>
      </c>
      <c r="D218" s="263" t="n">
        <v>0.35</v>
      </c>
      <c r="E218" s="263" t="n">
        <v>0.35</v>
      </c>
      <c r="F218" s="263" t="n">
        <v>0.35</v>
      </c>
      <c r="G218" s="263" t="n">
        <v>0.35</v>
      </c>
      <c r="H218" s="263" t="n">
        <v>0.35</v>
      </c>
      <c r="I218" s="263" t="n">
        <v>0.35</v>
      </c>
      <c r="J218" s="263" t="n">
        <v>0.35</v>
      </c>
      <c r="K218" s="263" t="n">
        <v>0.35</v>
      </c>
      <c r="L218" s="263" t="n">
        <v>0.35</v>
      </c>
      <c r="M218" s="263" t="n">
        <v>0.35</v>
      </c>
      <c r="N218" s="263" t="n">
        <v>0.35</v>
      </c>
      <c r="O218" s="263" t="n">
        <v>0.35</v>
      </c>
      <c r="P218" s="263" t="n">
        <v>0.35</v>
      </c>
      <c r="Q218" s="263" t="n">
        <v>0.35</v>
      </c>
      <c r="R218" s="263" t="n">
        <v>0.35</v>
      </c>
      <c r="S218" s="263" t="n">
        <v>0.35</v>
      </c>
      <c r="T218" s="263" t="n">
        <v>0.35</v>
      </c>
      <c r="U218" s="263" t="n">
        <v>0.35</v>
      </c>
      <c r="V218" s="263" t="n">
        <v>0.35</v>
      </c>
      <c r="W218" s="263" t="n">
        <v>0.35</v>
      </c>
      <c r="X218" s="263" t="n">
        <v>0.35</v>
      </c>
      <c r="Y218" s="263" t="n">
        <v>0.35</v>
      </c>
      <c r="Z218" s="263" t="n">
        <v>0.35</v>
      </c>
      <c r="AA218" s="263" t="n">
        <v>0.35</v>
      </c>
      <c r="AB218" s="263" t="n">
        <v>0.35</v>
      </c>
      <c r="AC218" s="263" t="n">
        <v>0.35</v>
      </c>
      <c r="AD218" s="263" t="n">
        <v>0.35</v>
      </c>
      <c r="AE218" s="263" t="n">
        <v>0.35</v>
      </c>
      <c r="AF218" s="263" t="n">
        <v>0.35</v>
      </c>
      <c r="AG218" s="263" t="n">
        <v>0.35</v>
      </c>
      <c r="AH218" s="263" t="n">
        <v>0.35</v>
      </c>
      <c r="AI218" s="263" t="n">
        <v>0.21</v>
      </c>
      <c r="AJ218" s="263" t="n">
        <v>0.21</v>
      </c>
      <c r="AK218" s="263" t="n">
        <v>0.21</v>
      </c>
      <c r="AL218" s="263" t="n">
        <v>0.21</v>
      </c>
      <c r="AM218" s="263" t="n">
        <v>0.21</v>
      </c>
      <c r="AN218" s="263" t="n">
        <v>0.21</v>
      </c>
      <c r="AO218" s="263" t="n">
        <v>0.21</v>
      </c>
      <c r="AP218" s="263" t="n">
        <v>0.21</v>
      </c>
      <c r="AQ218" s="263" t="n">
        <v>0.21</v>
      </c>
      <c r="AR218" s="263" t="n">
        <v>0.21</v>
      </c>
      <c r="AS218" s="263" t="n">
        <v>0.21</v>
      </c>
      <c r="AT218" s="263" t="n">
        <v>0.21</v>
      </c>
      <c r="AU218" s="263" t="n">
        <v>0.21</v>
      </c>
      <c r="AV218" s="263" t="n">
        <v>0.21</v>
      </c>
      <c r="AW218" s="263" t="n">
        <v>0.21</v>
      </c>
      <c r="AX218" s="263" t="n">
        <v>0.21</v>
      </c>
      <c r="AY218" s="263" t="n">
        <v>0.21</v>
      </c>
      <c r="AZ218" s="263" t="n">
        <v>0.21</v>
      </c>
      <c r="BA218" s="263" t="n">
        <v>0.21</v>
      </c>
      <c r="BB218" s="263" t="n">
        <v>0.21</v>
      </c>
      <c r="BC218" s="263" t="n">
        <v>0.21</v>
      </c>
      <c r="BD218" s="263" t="n">
        <v>0.21</v>
      </c>
      <c r="BE218" s="263" t="n">
        <v>0.21</v>
      </c>
      <c r="BF218" s="263" t="n">
        <v>0.21</v>
      </c>
      <c r="BG218" s="263" t="n">
        <v>0.21</v>
      </c>
      <c r="BH218" s="263" t="n">
        <v>0.21</v>
      </c>
      <c r="BI218" s="263" t="n">
        <v>0.21</v>
      </c>
      <c r="BJ218" s="263" t="n">
        <v>0.21</v>
      </c>
      <c r="BK218" s="263" t="n">
        <v>0.21</v>
      </c>
      <c r="BL218" s="263" t="n">
        <v>0.21</v>
      </c>
      <c r="BM218" s="263" t="n">
        <v>0.21</v>
      </c>
      <c r="BN218" s="263" t="n">
        <v>0.21</v>
      </c>
      <c r="BO218" s="263" t="n">
        <v>0.21</v>
      </c>
      <c r="BP218" s="263" t="n">
        <v>0.21</v>
      </c>
      <c r="BQ218" s="263" t="n">
        <v>0.21</v>
      </c>
      <c r="BR218" s="263" t="n">
        <v>0.21</v>
      </c>
      <c r="BS218" s="263" t="n">
        <v>0.21</v>
      </c>
      <c r="BT218" s="263" t="n">
        <v>0.21</v>
      </c>
      <c r="BU218" s="263" t="n">
        <v>0.21</v>
      </c>
      <c r="BV218" s="263" t="n">
        <v>0.21</v>
      </c>
      <c r="BW218" s="263" t="n">
        <v>0.21</v>
      </c>
      <c r="BX218" s="263" t="n">
        <v>0.21</v>
      </c>
      <c r="BY218" s="269" t="n">
        <v>0.21</v>
      </c>
      <c r="BZ218" s="269" t="n">
        <v>0.21</v>
      </c>
      <c r="CA218" s="269" t="n">
        <v>0.21</v>
      </c>
      <c r="CB218" s="269" t="n">
        <v>0.21</v>
      </c>
      <c r="CC218" s="269" t="n">
        <v>0.21</v>
      </c>
      <c r="CD218" s="269" t="n">
        <v>0.21</v>
      </c>
      <c r="CE218" s="269" t="n">
        <v>0.21</v>
      </c>
      <c r="CF218" s="153" t="inlineStr">
        <is>
          <t>Amazon publishes no tax effect; statutory 35% to 2017, 21% from 2018 (TCJA). Assumption.</t>
        </is>
      </c>
    </row>
    <row r="219" ht="15" customHeight="1" s="251">
      <c r="B219" s="25" t="inlineStr">
        <is>
          <t xml:space="preserve">  (−) Tax effect of the adjustments</t>
        </is>
      </c>
      <c r="C219" s="211">
        <f>IF(ISNUMBER(C215),-(C215+C217)*C218,"")</f>
        <v>2.45</v>
      </c>
      <c r="D219" s="211">
        <f>IF(ISNUMBER(D215),-(D215+D217)*D218,"")</f>
        <v>-2.8</v>
      </c>
      <c r="E219" s="211">
        <f>IF(ISNUMBER(E215),-(E215+E217)*E218,"")</f>
        <v>16.45</v>
      </c>
      <c r="F219" s="211">
        <f>IF(ISNUMBER(F215),-(F215+F217)*F218,"")</f>
        <v>10.15</v>
      </c>
      <c r="G219" s="211">
        <f>IF(ISNUMBER(G215),-(G215+G217)*G218,"")</f>
        <v>27.65</v>
      </c>
      <c r="H219" s="211">
        <f>IF(ISNUMBER(H215),-(H215+H217)*H218,"")</f>
        <v>26.6</v>
      </c>
      <c r="I219" s="211">
        <f>IF(ISNUMBER(I215),-(I215+I217)*I218,"")</f>
        <v>-28</v>
      </c>
      <c r="J219" s="211">
        <f>IF(ISNUMBER(J215),-(J215+J217)*J218,"")</f>
        <v>-26.95</v>
      </c>
      <c r="K219" s="211">
        <f>IF(ISNUMBER(K215),-(K215+K217)*K218,"")</f>
        <v>-13.3</v>
      </c>
      <c r="L219" s="211">
        <f>IF(ISNUMBER(L215),-(L215+L217)*L218,"")</f>
        <v>3.15</v>
      </c>
      <c r="M219" s="211">
        <f>IF(ISNUMBER(M215),-(M215+M217)*M218,"")</f>
        <v>-10.5</v>
      </c>
      <c r="N219" s="211">
        <f>IF(ISNUMBER(N215),-(N215+N217)*N218,"")</f>
        <v>-47.6</v>
      </c>
      <c r="O219" s="211">
        <f>IF(ISNUMBER(O215),-(O215+O217)*O218,"")</f>
        <v>1.75</v>
      </c>
      <c r="P219" s="211">
        <f>IF(ISNUMBER(P215),-(P215+P217)*P218,"")</f>
        <v>7.7</v>
      </c>
      <c r="Q219" s="211">
        <f>IF(ISNUMBER(Q215),-(Q215+Q217)*Q218,"")</f>
        <v>-17.5</v>
      </c>
      <c r="R219" s="211">
        <f>IF(ISNUMBER(R215),-(R215+R217)*R218,"")</f>
        <v>-33.6</v>
      </c>
      <c r="S219" s="211">
        <f>IF(ISNUMBER(S215),-(S215+S217)*S218,"")</f>
        <v>-41.3</v>
      </c>
      <c r="T219" s="211">
        <f>IF(ISNUMBER(T215),-(T215+T217)*T218,"")</f>
        <v>-45.5</v>
      </c>
      <c r="U219" s="211">
        <f>IF(ISNUMBER(U215),-(U215+U217)*U218,"")</f>
        <v>0</v>
      </c>
      <c r="V219" s="211">
        <f>IF(ISNUMBER(V215),-(V215+V217)*V218,"")</f>
        <v>-19.6</v>
      </c>
      <c r="W219" s="211">
        <f>IF(ISNUMBER(W215),-(W215+W217)*W218,"")</f>
        <v>-23.8</v>
      </c>
      <c r="X219" s="211">
        <f>IF(ISNUMBER(X215),-(X215+X217)*X218,"")</f>
        <v>-89.6</v>
      </c>
      <c r="Y219" s="211">
        <f>IF(ISNUMBER(Y215),-(Y215+Y217)*Y218,"")</f>
        <v>28.35</v>
      </c>
      <c r="Z219" s="211">
        <f>IF(ISNUMBER(Z215),-(Z215+Z217)*Z218,"")</f>
        <v>-4.9</v>
      </c>
      <c r="AA219" s="211">
        <f>IF(ISNUMBER(AA215),-(AA215+AA217)*AA218,"")</f>
        <v>2.8</v>
      </c>
      <c r="AB219" s="211">
        <f>IF(ISNUMBER(AB215),-(AB215+AB217)*AB218,"")</f>
        <v>4.9</v>
      </c>
      <c r="AC219" s="211">
        <f>IF(ISNUMBER(AC215),-(AC215+AC217)*AC218,"")</f>
        <v>31.5</v>
      </c>
      <c r="AD219" s="211">
        <f>IF(ISNUMBER(AD215),-(AD215+AD217)*AD218,"")</f>
        <v>16.8</v>
      </c>
      <c r="AE219" s="211">
        <f>IF(ISNUMBER(AE215),-(AE215+AE217)*AE218,"")</f>
        <v>47.95</v>
      </c>
      <c r="AF219" s="211">
        <f>IF(ISNUMBER(AF215),-(AF215+AF217)*AF218,"")</f>
        <v>50.05</v>
      </c>
      <c r="AG219" s="211">
        <f>IF(ISNUMBER(AG215),-(AG215+AG217)*AG218,"")</f>
        <v>6.3</v>
      </c>
      <c r="AH219" s="211">
        <f>IF(ISNUMBER(AH215),-(AH215+AH217)*AH218,"")</f>
        <v>121.1</v>
      </c>
      <c r="AI219" s="211">
        <f>IF(ISNUMBER(AI215),-(AI215+AI217)*AI218,"")</f>
        <v>50.19</v>
      </c>
      <c r="AJ219" s="211">
        <f>IF(ISNUMBER(AJ215),-(AJ215+AJ217)*AJ218,"")</f>
        <v>-27.09</v>
      </c>
      <c r="AK219" s="211">
        <f>IF(ISNUMBER(AK215),-(AK215+AK217)*AK218,"")</f>
        <v>-19.53</v>
      </c>
      <c r="AL219" s="211">
        <f>IF(ISNUMBER(AL215),-(AL215+AL217)*AL218,"")</f>
        <v>-41.79</v>
      </c>
      <c r="AM219" s="211">
        <f>IF(ISNUMBER(AM215),-(AM215+AM217)*AM218,"")</f>
        <v>-38.43</v>
      </c>
      <c r="AN219" s="211">
        <f>IF(ISNUMBER(AN215),-(AN215+AN217)*AN218,"")</f>
        <v>34.44</v>
      </c>
      <c r="AO219" s="211">
        <f>IF(ISNUMBER(AO215),-(AO215+AO217)*AO218,"")</f>
        <v>-5.67</v>
      </c>
      <c r="AP219" s="211">
        <f>IF(ISNUMBER(AP215),-(AP215+AP217)*AP218,"")</f>
        <v>-74.13</v>
      </c>
      <c r="AQ219" s="211">
        <f>IF(ISNUMBER(AQ215),-(AQ215+AQ217)*AQ218,"")</f>
        <v>87.78</v>
      </c>
      <c r="AR219" s="211">
        <f>IF(ISNUMBER(AR215),-(AR215+AR217)*AR218,"")</f>
        <v>42.63</v>
      </c>
      <c r="AS219" s="211">
        <f>IF(ISNUMBER(AS215),-(AS215+AS217)*AS218,"")</f>
        <v>-85.26</v>
      </c>
      <c r="AT219" s="211">
        <f>IF(ISNUMBER(AT215),-(AT215+AT217)*AT218,"")</f>
        <v>135.66</v>
      </c>
      <c r="AU219" s="211">
        <f>IF(ISNUMBER(AU215),-(AU215+AU217)*AU218,"")</f>
        <v>194.25</v>
      </c>
      <c r="AV219" s="211">
        <f>IF(ISNUMBER(AV215),-(AV215+AV217)*AV218,"")</f>
        <v>253.26</v>
      </c>
      <c r="AW219" s="211">
        <f>IF(ISNUMBER(AW215),-(AW215+AW217)*AW218,"")</f>
        <v>497.91</v>
      </c>
      <c r="AX219" s="211">
        <f>IF(ISNUMBER(AX215),-(AX215+AX217)*AX218,"")</f>
        <v>356.37</v>
      </c>
      <c r="AY219" s="211">
        <f>IF(ISNUMBER(AY215),-(AY215+AY217)*AY218,"")</f>
        <v>264.81</v>
      </c>
      <c r="AZ219" s="211">
        <f>IF(ISNUMBER(AZ215),-(AZ215+AZ217)*AZ218,"")</f>
        <v>-34.23</v>
      </c>
      <c r="BA219" s="211">
        <f>IF(ISNUMBER(BA215),-(BA215+BA217)*BA218,"")</f>
        <v>2485.98</v>
      </c>
      <c r="BB219" s="211">
        <f>IF(ISNUMBER(BB215),-(BB215+BB217)*BB218,"")</f>
        <v>3072.93</v>
      </c>
      <c r="BC219" s="211">
        <f>IF(ISNUMBER(BC215),-(BC215+BC217)*BC218,"")</f>
        <v>-1799.7</v>
      </c>
      <c r="BD219" s="211">
        <f>IF(ISNUMBER(BD215),-(BD215+BD217)*BD218,"")</f>
        <v>-1164.45</v>
      </c>
      <c r="BE219" s="211">
        <f>IF(ISNUMBER(BE215),-(BE215+BE217)*BE218,"")</f>
        <v>159.39</v>
      </c>
      <c r="BF219" s="211">
        <f>IF(ISNUMBER(BF215),-(BF215+BF217)*BF218,"")</f>
        <v>-1291.5</v>
      </c>
      <c r="BG219" s="211">
        <f>IF(ISNUMBER(BG215),-(BG215+BG217)*BG218,"")</f>
        <v>-4096.26</v>
      </c>
      <c r="BH219" s="211">
        <f>IF(ISNUMBER(BH215),-(BH215+BH217)*BH218,"")</f>
        <v>-198.03</v>
      </c>
      <c r="BI219" s="211">
        <f>IF(ISNUMBER(BI215),-(BI215+BI217)*BI218,"")</f>
        <v>12.81</v>
      </c>
      <c r="BJ219" s="211">
        <f>IF(ISNUMBER(BJ215),-(BJ215+BJ217)*BJ218,"")</f>
        <v>216.51</v>
      </c>
      <c r="BK219" s="211">
        <f>IF(ISNUMBER(BK215),-(BK215+BK217)*BK218,"")</f>
        <v>60.69</v>
      </c>
      <c r="BL219" s="211">
        <f>IF(ISNUMBER(BL215),-(BL215+BL217)*BL218,"")</f>
        <v>91.98</v>
      </c>
      <c r="BM219" s="211">
        <f>IF(ISNUMBER(BM215),-(BM215+BM217)*BM218,"")</f>
        <v>-561.33</v>
      </c>
      <c r="BN219" s="211">
        <f>IF(ISNUMBER(BN215),-(BN215+BN217)*BN218,"")</f>
        <v>-3.78</v>
      </c>
      <c r="BO219" s="211">
        <f>IF(ISNUMBER(BO215),-(BO215+BO217)*BO218,"")</f>
        <v>-5.67</v>
      </c>
      <c r="BP219" s="211">
        <f>IF(ISNUMBER(BP215),-(BP215+BP217)*BP218,"")</f>
        <v>98.28</v>
      </c>
      <c r="BQ219" s="211">
        <f>IF(ISNUMBER(BQ215),-(BQ215+BQ217)*BQ218,"")</f>
        <v>-472.5</v>
      </c>
      <c r="BR219" s="211">
        <f>IF(ISNUMBER(BR215),-(BR215+BR217)*BR218,"")</f>
        <v>577.29</v>
      </c>
      <c r="BS219" s="211">
        <f>IF(ISNUMBER(BS215),-(BS215+BS217)*BS218,"")</f>
        <v>234.57</v>
      </c>
      <c r="BT219" s="211">
        <f>IF(ISNUMBER(BT215),-(BT215+BT217)*BT218,"")</f>
        <v>1236.06</v>
      </c>
      <c r="BU219" s="211">
        <f>IF(ISNUMBER(BU215),-(BU215+BU217)*BU218,"")</f>
        <v>-265.23</v>
      </c>
      <c r="BV219" s="211">
        <f>IF(ISNUMBER(BV215),-(BV215+BV217)*BV218,"")</f>
        <v>1782.69</v>
      </c>
      <c r="BW219" s="211">
        <f>IF(ISNUMBER(BW215),-(BW215+BW217)*BW218,"")</f>
        <v>3295.95</v>
      </c>
      <c r="BX219" s="211">
        <f>IF(ISNUMBER(BX215),-(BX215+BX217)*BX218,"")</f>
        <v>11332.86</v>
      </c>
      <c r="BY219" s="254">
        <f>IF(ISNUMBER(BY215),-(BY215+BY217)*BY218,"")</f>
        <v>0</v>
      </c>
      <c r="BZ219" s="254">
        <f>IF(ISNUMBER(BZ215),-(BZ215+BZ217)*BZ218,"")</f>
        <v>0</v>
      </c>
      <c r="CA219" s="254">
        <f>IF(ISNUMBER(CA215),-(CA215+CA217)*CA218,"")</f>
        <v>14628.81</v>
      </c>
      <c r="CB219" s="254">
        <f>IF(ISNUMBER(CB215),-(CB215+CB217)*CB218,"")</f>
        <v>0</v>
      </c>
      <c r="CC219" s="254">
        <f>IF(ISNUMBER(CC215),-(CC215+CC217)*CC218,"")</f>
        <v>0</v>
      </c>
      <c r="CD219" s="254">
        <f>IF(ISNUMBER(CD215),-(CD215+CD217)*CD218,"")</f>
        <v>0</v>
      </c>
      <c r="CE219" s="254">
        <f>IF(ISNUMBER(CE215),-(CE215+CE217)*CE218,"")</f>
        <v>0</v>
      </c>
      <c r="CF219" s="19" t="n"/>
    </row>
    <row r="220" ht="15" customHeight="1" s="251">
      <c r="B220" s="55" t="inlineStr">
        <is>
          <t xml:space="preserve">  = Adjusted net income (model bridge)</t>
        </is>
      </c>
      <c r="C220" s="262">
        <f>IF(ISNUMBER(C219),C214+C215+C216+C217+C219,"")</f>
        <v>185.45</v>
      </c>
      <c r="D220" s="262">
        <f>IF(ISNUMBER(D219),D214+D215+D216+D217+D219,"")</f>
        <v>481.2</v>
      </c>
      <c r="E220" s="262">
        <f>IF(ISNUMBER(E219),E214+E215+E216+E217+E219,"")</f>
        <v>623.45</v>
      </c>
      <c r="F220" s="262">
        <f>IF(ISNUMBER(F219),F214+F215+F216+F217+F219,"")</f>
        <v>889.15</v>
      </c>
      <c r="G220" s="262">
        <f>IF(ISNUMBER(G219),G214+G215+G216+G217+G219,"")</f>
        <v>1093.65</v>
      </c>
      <c r="H220" s="262">
        <f>IF(ISNUMBER(H219),H214+H215+H216+H217+H219,"")</f>
        <v>593.6</v>
      </c>
      <c r="I220" s="262">
        <f>IF(ISNUMBER(I219),I214+I215+I216+I217+I219,"")</f>
        <v>168</v>
      </c>
      <c r="J220" s="262">
        <f>IF(ISNUMBER(J219),J214+J215+J216+J217+J219,"")</f>
        <v>149.05</v>
      </c>
      <c r="K220" s="262">
        <f>IF(ISNUMBER(K219),K214+K215+K216+K217+K219,"")</f>
        <v>28.7</v>
      </c>
      <c r="L220" s="262">
        <f>IF(ISNUMBER(L219),L214+L215+L216+L217+L219,"")</f>
        <v>-36.85</v>
      </c>
      <c r="M220" s="262">
        <f>IF(ISNUMBER(M219),M214+M215+M216+M217+M219,"")</f>
        <v>291.5</v>
      </c>
      <c r="N220" s="262">
        <f>IF(ISNUMBER(N219),N214+N215+N216+N217+N219,"")</f>
        <v>433.4</v>
      </c>
      <c r="O220" s="262">
        <f>IF(ISNUMBER(O219),O214+O215+O216+O217+O219,"")</f>
        <v>43.75</v>
      </c>
      <c r="P220" s="262">
        <f>IF(ISNUMBER(P219),P214+P215+P216+P217+P219,"")</f>
        <v>-135.3</v>
      </c>
      <c r="Q220" s="262">
        <f>IF(ISNUMBER(Q219),Q214+Q215+Q216+Q217+Q219,"")</f>
        <v>-396.5</v>
      </c>
      <c r="R220" s="262">
        <f>IF(ISNUMBER(R219),R214+R215+R216+R217+R219,"")</f>
        <v>286.4</v>
      </c>
      <c r="S220" s="262">
        <f>IF(ISNUMBER(S219),S214+S215+S216+S217+S219,"")</f>
        <v>-201.3</v>
      </c>
      <c r="T220" s="262">
        <f>IF(ISNUMBER(T219),T214+T215+T216+T217+T219,"")</f>
        <v>34.5</v>
      </c>
      <c r="U220" s="262">
        <f>IF(ISNUMBER(U219),U214+U215+U216+U217+U219,"")</f>
        <v>96</v>
      </c>
      <c r="V220" s="262">
        <f>IF(ISNUMBER(V219),V214+V215+V216+V217+V219,"")</f>
        <v>122.4</v>
      </c>
      <c r="W220" s="262">
        <f>IF(ISNUMBER(W219),W214+W215+W216+W217+W219,"")</f>
        <v>529.2</v>
      </c>
      <c r="X220" s="262">
        <f>IF(ISNUMBER(X219),X214+X215+X216+X217+X219,"")</f>
        <v>784.4</v>
      </c>
      <c r="Y220" s="262">
        <f>IF(ISNUMBER(Y219),Y214+Y215+Y216+Y217+Y219,"")</f>
        <v>528.35</v>
      </c>
      <c r="Z220" s="262">
        <f>IF(ISNUMBER(Z219),Z214+Z215+Z216+Z217+Z219,"")</f>
        <v>881.1</v>
      </c>
      <c r="AA220" s="262">
        <f>IF(ISNUMBER(AA219),AA214+AA215+AA216+AA217+AA219,"")</f>
        <v>256.8</v>
      </c>
      <c r="AB220" s="262">
        <f>IF(ISNUMBER(AB219),AB214+AB215+AB216+AB217+AB219,"")</f>
        <v>742.9</v>
      </c>
      <c r="AC220" s="262">
        <f>IF(ISNUMBER(AC219),AC214+AC215+AC216+AC217+AC219,"")</f>
        <v>2408.5</v>
      </c>
      <c r="AD220" s="262">
        <f>IF(ISNUMBER(AD219),AD214+AD215+AD216+AD217+AD219,"")</f>
        <v>692.8</v>
      </c>
      <c r="AE220" s="262">
        <f>IF(ISNUMBER(AE219),AE214+AE215+AE216+AE217+AE219,"")</f>
        <v>109.95</v>
      </c>
      <c r="AF220" s="262">
        <f>IF(ISNUMBER(AF219),AF214+AF215+AF216+AF217+AF219,"")</f>
        <v>165.05</v>
      </c>
      <c r="AG220" s="262">
        <f>IF(ISNUMBER(AG219),AG214+AG215+AG216+AG217+AG219,"")</f>
        <v>1844.3</v>
      </c>
      <c r="AH220" s="262">
        <f>IF(ISNUMBER(AH219),AH214+AH215+AH216+AH217+AH219,"")</f>
        <v>2812.1</v>
      </c>
      <c r="AI220" s="262">
        <f>IF(ISNUMBER(AI219),AI214+AI215+AI216+AI217+AI219,"")</f>
        <v>1440.19</v>
      </c>
      <c r="AJ220" s="262">
        <f>IF(ISNUMBER(AJ219),AJ214+AJ215+AJ216+AJ217+AJ219,"")</f>
        <v>2632.91</v>
      </c>
      <c r="AK220" s="262">
        <f>IF(ISNUMBER(AK219),AK214+AK215+AK216+AK217+AK219,"")</f>
        <v>2955.47</v>
      </c>
      <c r="AL220" s="262">
        <f>IF(ISNUMBER(AL219),AL214+AL215+AL216+AL217+AL219,"")</f>
        <v>3180.21</v>
      </c>
      <c r="AM220" s="262">
        <f>IF(ISNUMBER(AM219),AM214+AM215+AM216+AM217+AM219,"")</f>
        <v>10208.57</v>
      </c>
      <c r="AN220" s="262">
        <f>IF(ISNUMBER(AN219),AN214+AN215+AN216+AN217+AN219,"")</f>
        <v>3435.44</v>
      </c>
      <c r="AO220" s="262">
        <f>IF(ISNUMBER(AO219),AO214+AO215+AO216+AO217+AO219,"")</f>
        <v>2653.33</v>
      </c>
      <c r="AP220" s="262">
        <f>IF(ISNUMBER(AP219),AP214+AP215+AP216+AP217+AP219,"")</f>
        <v>2416.87</v>
      </c>
      <c r="AQ220" s="262">
        <f>IF(ISNUMBER(AQ219),AQ214+AQ215+AQ216+AQ217+AQ219,"")</f>
        <v>2936.78</v>
      </c>
      <c r="AR220" s="262">
        <f>IF(ISNUMBER(AR219),AR214+AR215+AR216+AR217+AR219,"")</f>
        <v>11441.63</v>
      </c>
      <c r="AS220" s="262">
        <f>IF(ISNUMBER(AS219),AS214+AS215+AS216+AS217+AS219,"")</f>
        <v>2959.74</v>
      </c>
      <c r="AT220" s="262">
        <f>IF(ISNUMBER(AT219),AT214+AT215+AT216+AT217+AT219,"")</f>
        <v>4726.66</v>
      </c>
      <c r="AU220" s="262">
        <f>IF(ISNUMBER(AU219),AU214+AU215+AU216+AU217+AU219,"")</f>
        <v>5509.25</v>
      </c>
      <c r="AV220" s="262">
        <f>IF(ISNUMBER(AV219),AV214+AV215+AV216+AV217+AV219,"")</f>
        <v>6246.26</v>
      </c>
      <c r="AW220" s="262">
        <f>IF(ISNUMBER(AW219),AW214+AW215+AW216+AW217+AW219,"")</f>
        <v>19441.91</v>
      </c>
      <c r="AX220" s="262">
        <f>IF(ISNUMBER(AX219),AX214+AX215+AX216+AX217+AX219,"")</f>
        <v>6771.37</v>
      </c>
      <c r="AY220" s="262">
        <f>IF(ISNUMBER(AY219),AY214+AY215+AY216+AY217+AY219,"")</f>
        <v>6769.81</v>
      </c>
      <c r="AZ220" s="262">
        <f>IF(ISNUMBER(AZ219),AZ214+AZ215+AZ216+AZ217+AZ219,"")</f>
        <v>3288.77</v>
      </c>
      <c r="BA220" s="262">
        <f>IF(ISNUMBER(BA219),BA214+BA215+BA216+BA217+BA219,"")</f>
        <v>4969.98</v>
      </c>
      <c r="BB220" s="262">
        <f>IF(ISNUMBER(BB219),BB214+BB215+BB216+BB217+BB219,"")</f>
        <v>21799.93</v>
      </c>
      <c r="BC220" s="262">
        <f>IF(ISNUMBER(BC219),BC214+BC215+BC216+BC217+BC219,"")</f>
        <v>2927.3</v>
      </c>
      <c r="BD220" s="262">
        <f>IF(ISNUMBER(BD219),BD214+BD215+BD216+BD217+BD219,"")</f>
        <v>2364.55</v>
      </c>
      <c r="BE220" s="262">
        <f>IF(ISNUMBER(BE219),BE214+BE215+BE216+BE217+BE219,"")</f>
        <v>2275.39</v>
      </c>
      <c r="BF220" s="262">
        <f>IF(ISNUMBER(BF219),BF214+BF215+BF216+BF217+BF219,"")</f>
        <v>5123.5</v>
      </c>
      <c r="BG220" s="262">
        <f>IF(ISNUMBER(BG219),BG214+BG215+BG216+BG217+BG219,"")</f>
        <v>12690.74</v>
      </c>
      <c r="BH220" s="262">
        <f>IF(ISNUMBER(BH219),BH214+BH215+BH216+BH217+BH219,"")</f>
        <v>3915.97</v>
      </c>
      <c r="BI220" s="262">
        <f>IF(ISNUMBER(BI219),BI214+BI215+BI216+BI217+BI219,"")</f>
        <v>6710.81</v>
      </c>
      <c r="BJ220" s="262">
        <f>IF(ISNUMBER(BJ219),BJ214+BJ215+BJ216+BJ217+BJ219,"")</f>
        <v>9068.51</v>
      </c>
      <c r="BK220" s="262">
        <f>IF(ISNUMBER(BK219),BK214+BK215+BK216+BK217+BK219,"")</f>
        <v>10395.69</v>
      </c>
      <c r="BL220" s="262">
        <f>IF(ISNUMBER(BL219),BL214+BL215+BL216+BL217+BL219,"")</f>
        <v>30090.98</v>
      </c>
      <c r="BM220" s="262">
        <f>IF(ISNUMBER(BM219),BM214+BM215+BM216+BM217+BM219,"")</f>
        <v>12627.67</v>
      </c>
      <c r="BN220" s="262">
        <f>IF(ISNUMBER(BN219),BN214+BN215+BN216+BN217+BN219,"")</f>
        <v>13492.22</v>
      </c>
      <c r="BO220" s="262">
        <f>IF(ISNUMBER(BO219),BO214+BO215+BO216+BO217+BO219,"")</f>
        <v>15352.33</v>
      </c>
      <c r="BP220" s="262">
        <f>IF(ISNUMBER(BP219),BP214+BP215+BP216+BP217+BP219,"")</f>
        <v>19654.28</v>
      </c>
      <c r="BQ220" s="262">
        <f>IF(ISNUMBER(BQ219),BQ214+BQ215+BQ216+BQ217+BQ219,"")</f>
        <v>61126.5</v>
      </c>
      <c r="BR220" s="262">
        <f>IF(ISNUMBER(BR219),BR214+BR215+BR216+BR217+BR219,"")</f>
        <v>14954.29</v>
      </c>
      <c r="BS220" s="262">
        <f>IF(ISNUMBER(BS219),BS214+BS215+BS216+BS217+BS219,"")</f>
        <v>17296.57</v>
      </c>
      <c r="BT220" s="262">
        <f>IF(ISNUMBER(BT219),BT214+BT215+BT216+BT217+BT219,"")</f>
        <v>16610.06</v>
      </c>
      <c r="BU220" s="262">
        <f>IF(ISNUMBER(BU219),BU214+BU215+BU216+BU217+BU219,"")</f>
        <v>22656.77</v>
      </c>
      <c r="BV220" s="262">
        <f>IF(ISNUMBER(BV219),BV214+BV215+BV216+BV217+BV219,"")</f>
        <v>71517.69</v>
      </c>
      <c r="BW220" s="262">
        <f>IF(ISNUMBER(BW219),BW214+BW215+BW216+BW217+BW219,"")</f>
        <v>17874.95</v>
      </c>
      <c r="BX220" s="262">
        <f>IF(ISNUMBER(BX219),BX214+BX215+BX216+BX217+BX219,"")</f>
        <v>20024.86</v>
      </c>
      <c r="BY220" s="262">
        <f>IF(ISNUMBER(BY219),BY214+BY215+BY216+BY217+BY219,"")</f>
        <v>19324.08252</v>
      </c>
      <c r="BZ220" s="262">
        <f>IF(ISNUMBER(BZ219),BZ214+BZ215+BZ216+BZ217+BZ219,"")</f>
        <v>24378.9733907812</v>
      </c>
      <c r="CA220" s="262">
        <f>IF(ISNUMBER(CA219),CA214+CA215+CA216+CA217+CA219,"")</f>
        <v>81602.8659107812</v>
      </c>
      <c r="CB220" s="262">
        <f>IF(ISNUMBER(CB219),CB214+CB215+CB216+CB217+CB219,"")</f>
        <v>105559.404381086</v>
      </c>
      <c r="CC220" s="262">
        <f>IF(ISNUMBER(CC219),CC214+CC215+CC216+CC217+CC219,"")</f>
        <v>127702.653102788</v>
      </c>
      <c r="CD220" s="262">
        <f>IF(ISNUMBER(CD219),CD214+CD215+CD216+CD217+CD219,"")</f>
        <v>150300.087610364</v>
      </c>
      <c r="CE220" s="262">
        <f>IF(ISNUMBER(CE219),CE214+CE215+CE216+CE217+CE219,"")</f>
        <v>175129.32943124</v>
      </c>
      <c r="CF220" s="153" t="n"/>
      <c r="CH220" s="20">
        <f>IFERROR((CE220/BV220)^(1/5)-1,"n/m")</f>
        <v>0.196159465409704</v>
      </c>
      <c r="CI220" s="20">
        <f>IFERROR((BV220/AW220)^(1/5)-1,"n/m")</f>
        <v>0.29758229165843</v>
      </c>
      <c r="CJ220" s="20">
        <f>IFERROR((BV220/X220)^(1/10)-1,"n/m")</f>
        <v>0.570317929357205</v>
      </c>
      <c r="CK220" s="20">
        <f>IFERROR((BV220/C220)^(1/19)-1,"n/m")</f>
        <v>0.36809131646628</v>
      </c>
    </row>
    <row r="221" ht="15" customHeight="1" s="251">
      <c r="B221" s="25" t="inlineStr">
        <is>
          <t xml:space="preserve">  Weighted-average diluted shares (m)</t>
        </is>
      </c>
      <c r="C221" s="211">
        <f>IF(ISNUMBER(C170),C170,"")</f>
        <v>8480</v>
      </c>
      <c r="D221" s="211">
        <f>IF(ISNUMBER(D170),D170,"")</f>
        <v>8480</v>
      </c>
      <c r="E221" s="211">
        <f>IF(ISNUMBER(E170),E170,"")</f>
        <v>8640</v>
      </c>
      <c r="F221" s="211">
        <f>IF(ISNUMBER(F170),F170,"")</f>
        <v>8840</v>
      </c>
      <c r="G221" s="211">
        <f>IF(ISNUMBER(G170),G170,"")</f>
        <v>9120</v>
      </c>
      <c r="H221" s="211">
        <f>IF(ISNUMBER(H170),H170,"")</f>
        <v>9220</v>
      </c>
      <c r="I221" s="211">
        <f>IF(ISNUMBER(I170),I170,"")</f>
        <v>9060</v>
      </c>
      <c r="J221" s="211">
        <f>IF(ISNUMBER(J170),J170,"")</f>
        <v>9260</v>
      </c>
      <c r="K221" s="211">
        <f>IF(ISNUMBER(K170),K170,"")</f>
        <v>9120</v>
      </c>
      <c r="L221" s="211">
        <f>IF(ISNUMBER(L170),L170,"")</f>
        <v>9140</v>
      </c>
      <c r="M221" s="211">
        <f>IF(ISNUMBER(M170),M170,"")</f>
        <v>9340</v>
      </c>
      <c r="N221" s="211">
        <f>IF(ISNUMBER(N170),N170,"")</f>
        <v>9300</v>
      </c>
      <c r="O221" s="211">
        <f>IF(ISNUMBER(O170),O170,"")</f>
        <v>9360</v>
      </c>
      <c r="P221" s="211">
        <f>IF(ISNUMBER(P170),P170,"")</f>
        <v>9220</v>
      </c>
      <c r="Q221" s="211">
        <f>IF(ISNUMBER(Q170),Q170,"")</f>
        <v>9260</v>
      </c>
      <c r="R221" s="211">
        <f>IF(ISNUMBER(R170),R170,"")</f>
        <v>9440</v>
      </c>
      <c r="S221" s="211">
        <f>IF(ISNUMBER(S170),S170,"")</f>
        <v>9240</v>
      </c>
      <c r="T221" s="211">
        <f>IF(ISNUMBER(T170),T170,"")</f>
        <v>9300</v>
      </c>
      <c r="U221" s="211">
        <f>IF(ISNUMBER(U170),U170,"")</f>
        <v>9520</v>
      </c>
      <c r="V221" s="211">
        <f>IF(ISNUMBER(V170),V170,"")</f>
        <v>9560</v>
      </c>
      <c r="W221" s="211">
        <f>IF(ISNUMBER(W170),W170,"")</f>
        <v>9620</v>
      </c>
      <c r="X221" s="211">
        <f>IF(ISNUMBER(X170),X170,"")</f>
        <v>9540</v>
      </c>
      <c r="Y221" s="211">
        <f>IF(ISNUMBER(Y170),Y170,"")</f>
        <v>9620</v>
      </c>
      <c r="Z221" s="211">
        <f>IF(ISNUMBER(Z170),Z170,"")</f>
        <v>9660</v>
      </c>
      <c r="AA221" s="211">
        <f>IF(ISNUMBER(AA170),AA170,"")</f>
        <v>9700</v>
      </c>
      <c r="AB221" s="211">
        <f>IF(ISNUMBER(AB170),AB170,"")</f>
        <v>9720</v>
      </c>
      <c r="AC221" s="211">
        <f>IF(ISNUMBER(AC170),AC170,"")</f>
        <v>9680</v>
      </c>
      <c r="AD221" s="211">
        <f>IF(ISNUMBER(AD170),AD170,"")</f>
        <v>9800</v>
      </c>
      <c r="AE221" s="211">
        <f>IF(ISNUMBER(AE170),AE170,"")</f>
        <v>9840</v>
      </c>
      <c r="AF221" s="211">
        <f>IF(ISNUMBER(AF170),AF170,"")</f>
        <v>9880</v>
      </c>
      <c r="AG221" s="211">
        <f>IF(ISNUMBER(AG170),AG170,"")</f>
        <v>9920</v>
      </c>
      <c r="AH221" s="211">
        <f>IF(ISNUMBER(AH170),AH170,"")</f>
        <v>9860</v>
      </c>
      <c r="AI221" s="211">
        <f>IF(ISNUMBER(AI170),AI170,"")</f>
        <v>9960</v>
      </c>
      <c r="AJ221" s="211">
        <f>IF(ISNUMBER(AJ170),AJ170,"")</f>
        <v>10000</v>
      </c>
      <c r="AK221" s="211">
        <f>IF(ISNUMBER(AK170),AK170,"")</f>
        <v>10020</v>
      </c>
      <c r="AL221" s="211">
        <f>IF(ISNUMBER(AL170),AL170,"")</f>
        <v>10020</v>
      </c>
      <c r="AM221" s="211">
        <f>IF(ISNUMBER(AM170),AM170,"")</f>
        <v>10000</v>
      </c>
      <c r="AN221" s="211">
        <f>IF(ISNUMBER(AN170),AN170,"")</f>
        <v>10040</v>
      </c>
      <c r="AO221" s="211">
        <f>IF(ISNUMBER(AO170),AO170,"")</f>
        <v>10060</v>
      </c>
      <c r="AP221" s="211">
        <f>IF(ISNUMBER(AP170),AP170,"")</f>
        <v>10080</v>
      </c>
      <c r="AQ221" s="211">
        <f>IF(ISNUMBER(AQ170),AQ170,"")</f>
        <v>10100</v>
      </c>
      <c r="AR221" s="211">
        <f>IF(ISNUMBER(AR170),AR170,"")</f>
        <v>10080</v>
      </c>
      <c r="AS221" s="211">
        <f>IF(ISNUMBER(AS170),AS170,"")</f>
        <v>10120</v>
      </c>
      <c r="AT221" s="211">
        <f>IF(ISNUMBER(AT170),AT170,"")</f>
        <v>10180</v>
      </c>
      <c r="AU221" s="211">
        <f>IF(ISNUMBER(AU170),AU170,"")</f>
        <v>10240</v>
      </c>
      <c r="AV221" s="211">
        <f>IF(ISNUMBER(AV170),AV170,"")</f>
        <v>10260</v>
      </c>
      <c r="AW221" s="211">
        <f>IF(ISNUMBER(AW170),AW170,"")</f>
        <v>10200</v>
      </c>
      <c r="AX221" s="211">
        <f>IF(ISNUMBER(AX170),AX170,"")</f>
        <v>10260</v>
      </c>
      <c r="AY221" s="211">
        <f>IF(ISNUMBER(AY170),AY170,"")</f>
        <v>10280</v>
      </c>
      <c r="AZ221" s="211">
        <f>IF(ISNUMBER(AZ170),AZ170,"")</f>
        <v>10300</v>
      </c>
      <c r="BA221" s="211">
        <f>IF(ISNUMBER(BA170),BA170,"")</f>
        <v>10320</v>
      </c>
      <c r="BB221" s="211">
        <f>IF(ISNUMBER(BB170),BB170,"")</f>
        <v>10300</v>
      </c>
      <c r="BC221" s="211">
        <f>IF(ISNUMBER(BC170),BC170,"")</f>
        <v>10180</v>
      </c>
      <c r="BD221" s="211">
        <f>IF(ISNUMBER(BD170),BD170,"")</f>
        <v>10175</v>
      </c>
      <c r="BE221" s="211">
        <f>IF(ISNUMBER(BE170),BE170,"")</f>
        <v>10331</v>
      </c>
      <c r="BF221" s="211">
        <f>IF(ISNUMBER(BF170),BF170,"")</f>
        <v>10308</v>
      </c>
      <c r="BG221" s="211">
        <f>IF(ISNUMBER(BG170),BG170,"")</f>
        <v>10189</v>
      </c>
      <c r="BH221" s="211">
        <f>IF(ISNUMBER(BH170),BH170,"")</f>
        <v>10347</v>
      </c>
      <c r="BI221" s="211">
        <f>IF(ISNUMBER(BI170),BI170,"")</f>
        <v>10449</v>
      </c>
      <c r="BJ221" s="211">
        <f>IF(ISNUMBER(BJ170),BJ170,"")</f>
        <v>10558</v>
      </c>
      <c r="BK221" s="211">
        <f>IF(ISNUMBER(BK170),BK170,"")</f>
        <v>10610</v>
      </c>
      <c r="BL221" s="211">
        <f>IF(ISNUMBER(BL170),BL170,"")</f>
        <v>10492</v>
      </c>
      <c r="BM221" s="211">
        <f>IF(ISNUMBER(BM170),BM170,"")</f>
        <v>10670</v>
      </c>
      <c r="BN221" s="211">
        <f>IF(ISNUMBER(BN170),BN170,"")</f>
        <v>10708</v>
      </c>
      <c r="BO221" s="211">
        <f>IF(ISNUMBER(BO170),BO170,"")</f>
        <v>10735</v>
      </c>
      <c r="BP221" s="211">
        <f>IF(ISNUMBER(BP170),BP170,"")</f>
        <v>10771</v>
      </c>
      <c r="BQ221" s="211">
        <f>IF(ISNUMBER(BQ170),BQ170,"")</f>
        <v>10721</v>
      </c>
      <c r="BR221" s="211">
        <f>IF(ISNUMBER(BR170),BR170,"")</f>
        <v>10793</v>
      </c>
      <c r="BS221" s="211">
        <f>IF(ISNUMBER(BS170),BS170,"")</f>
        <v>10806</v>
      </c>
      <c r="BT221" s="211">
        <f>IF(ISNUMBER(BT170),BT170,"")</f>
        <v>10845</v>
      </c>
      <c r="BU221" s="211">
        <f>IF(ISNUMBER(BU170),BU170,"")</f>
        <v>10863</v>
      </c>
      <c r="BV221" s="211">
        <f>IF(ISNUMBER(BV170),BV170,"")</f>
        <v>10827</v>
      </c>
      <c r="BW221" s="211">
        <f>IF(ISNUMBER(BW170),BW170,"")</f>
        <v>10874</v>
      </c>
      <c r="BX221" s="211">
        <f>IF(ISNUMBER(BX170),BX170,"")</f>
        <v>10903</v>
      </c>
      <c r="BY221" s="254">
        <f>IF(ISNUMBER(BY170),BY170,"")</f>
        <v>10932</v>
      </c>
      <c r="BZ221" s="254">
        <f>IF(ISNUMBER(BZ170),BZ170,"")</f>
        <v>10962</v>
      </c>
      <c r="CA221" s="254">
        <f>IF(ISNUMBER(CA170),CA170,"")</f>
        <v>10917.75</v>
      </c>
      <c r="CB221" s="254">
        <f>IF(ISNUMBER(CB170),CB170,"")</f>
        <v>11034.7705602103</v>
      </c>
      <c r="CC221" s="254">
        <f>IF(ISNUMBER(CC170),CC170,"")</f>
        <v>11063.5328359844</v>
      </c>
      <c r="CD221" s="254">
        <f>IF(ISNUMBER(CD170),CD170,"")</f>
        <v>10952.7236164809</v>
      </c>
      <c r="CE221" s="254">
        <f>IF(ISNUMBER(CE170),CE170,"")</f>
        <v>10735.616633665</v>
      </c>
      <c r="CF221" s="19" t="n"/>
    </row>
    <row r="222" collapsed="1" ht="15" customHeight="1" s="251">
      <c r="B222" s="55" t="inlineStr">
        <is>
          <t>Adjusted EPS – diluted ($) (model bridge)</t>
        </is>
      </c>
      <c r="C222" s="276">
        <f>IF(AND(ISNUMBER(C220),ISNUMBER(C221)),IFERROR(C220/C221,""),"")</f>
        <v>0.0218691037735849</v>
      </c>
      <c r="D222" s="276">
        <f>IF(AND(ISNUMBER(D220),ISNUMBER(D221)),IFERROR(D220/D221,""),"")</f>
        <v>0.0567452830188679</v>
      </c>
      <c r="E222" s="276">
        <f>IF(AND(ISNUMBER(E220),ISNUMBER(E221)),IFERROR(E220/E221,""),"")</f>
        <v>0.0721585648148148</v>
      </c>
      <c r="F222" s="276">
        <f>IF(AND(ISNUMBER(F220),ISNUMBER(F221)),IFERROR(F220/F221,""),"")</f>
        <v>0.10058257918552</v>
      </c>
      <c r="G222" s="276">
        <f>IF(AND(ISNUMBER(G220),ISNUMBER(G221)),IFERROR(G220/G221,""),"")</f>
        <v>0.119917763157895</v>
      </c>
      <c r="H222" s="276">
        <f>IF(AND(ISNUMBER(H220),ISNUMBER(H221)),IFERROR(H220/H221,""),"")</f>
        <v>0.0643817787418655</v>
      </c>
      <c r="I222" s="276">
        <f>IF(AND(ISNUMBER(I220),ISNUMBER(I221)),IFERROR(I220/I221,""),"")</f>
        <v>0.0185430463576159</v>
      </c>
      <c r="J222" s="276">
        <f>IF(AND(ISNUMBER(J220),ISNUMBER(J221)),IFERROR(J220/J221,""),"")</f>
        <v>0.0160961123110151</v>
      </c>
      <c r="K222" s="276">
        <f>IF(AND(ISNUMBER(K220),ISNUMBER(K221)),IFERROR(K220/K221,""),"")</f>
        <v>0.0031469298245614</v>
      </c>
      <c r="L222" s="276">
        <f>IF(AND(ISNUMBER(L220),ISNUMBER(L221)),IFERROR(L220/L221,""),"")</f>
        <v>-0.00403172866520788</v>
      </c>
      <c r="M222" s="276">
        <f>IF(AND(ISNUMBER(M220),ISNUMBER(M221)),IFERROR(M220/M221,""),"")</f>
        <v>0.0312098501070664</v>
      </c>
      <c r="N222" s="276">
        <f>IF(AND(ISNUMBER(N220),ISNUMBER(N221)),IFERROR(N220/N221,""),"")</f>
        <v>0.0466021505376344</v>
      </c>
      <c r="O222" s="276">
        <f>IF(AND(ISNUMBER(O220),ISNUMBER(O221)),IFERROR(O220/O221,""),"")</f>
        <v>0.0046741452991453</v>
      </c>
      <c r="P222" s="276">
        <f>IF(AND(ISNUMBER(P220),ISNUMBER(P221)),IFERROR(P220/P221,""),"")</f>
        <v>-0.0146746203904555</v>
      </c>
      <c r="Q222" s="276">
        <f>IF(AND(ISNUMBER(Q220),ISNUMBER(Q221)),IFERROR(Q220/Q221,""),"")</f>
        <v>-0.0428185745140389</v>
      </c>
      <c r="R222" s="276">
        <f>IF(AND(ISNUMBER(R220),ISNUMBER(R221)),IFERROR(R220/R221,""),"")</f>
        <v>0.0303389830508475</v>
      </c>
      <c r="S222" s="276">
        <f>IF(AND(ISNUMBER(S220),ISNUMBER(S221)),IFERROR(S220/S221,""),"")</f>
        <v>-0.0217857142857143</v>
      </c>
      <c r="T222" s="276">
        <f>IF(AND(ISNUMBER(T220),ISNUMBER(T221)),IFERROR(T220/T221,""),"")</f>
        <v>0.00370967741935484</v>
      </c>
      <c r="U222" s="276">
        <f>IF(AND(ISNUMBER(U220),ISNUMBER(U221)),IFERROR(U220/U221,""),"")</f>
        <v>0.0100840336134454</v>
      </c>
      <c r="V222" s="276">
        <f>IF(AND(ISNUMBER(V220),ISNUMBER(V221)),IFERROR(V220/V221,""),"")</f>
        <v>0.0128033472803347</v>
      </c>
      <c r="W222" s="276">
        <f>IF(AND(ISNUMBER(W220),ISNUMBER(W221)),IFERROR(W220/W221,""),"")</f>
        <v>0.055010395010395</v>
      </c>
      <c r="X222" s="276">
        <f>IF(AND(ISNUMBER(X220),ISNUMBER(X221)),IFERROR(X220/X221,""),"")</f>
        <v>0.0822222222222222</v>
      </c>
      <c r="Y222" s="276">
        <f>IF(AND(ISNUMBER(Y220),ISNUMBER(Y221)),IFERROR(Y220/Y221,""),"")</f>
        <v>0.0549220374220374</v>
      </c>
      <c r="Z222" s="276">
        <f>IF(AND(ISNUMBER(Z220),ISNUMBER(Z221)),IFERROR(Z220/Z221,""),"")</f>
        <v>0.0912111801242236</v>
      </c>
      <c r="AA222" s="276">
        <f>IF(AND(ISNUMBER(AA220),ISNUMBER(AA221)),IFERROR(AA220/AA221,""),"")</f>
        <v>0.0264742268041237</v>
      </c>
      <c r="AB222" s="276">
        <f>IF(AND(ISNUMBER(AB220),ISNUMBER(AB221)),IFERROR(AB220/AB221,""),"")</f>
        <v>0.0764300411522634</v>
      </c>
      <c r="AC222" s="276">
        <f>IF(AND(ISNUMBER(AC220),ISNUMBER(AC221)),IFERROR(AC220/AC221,""),"")</f>
        <v>0.248811983471074</v>
      </c>
      <c r="AD222" s="276">
        <f>IF(AND(ISNUMBER(AD220),ISNUMBER(AD221)),IFERROR(AD220/AD221,""),"")</f>
        <v>0.0706938775510204</v>
      </c>
      <c r="AE222" s="276">
        <f>IF(AND(ISNUMBER(AE220),ISNUMBER(AE221)),IFERROR(AE220/AE221,""),"")</f>
        <v>0.0111737804878049</v>
      </c>
      <c r="AF222" s="276">
        <f>IF(AND(ISNUMBER(AF220),ISNUMBER(AF221)),IFERROR(AF220/AF221,""),"")</f>
        <v>0.0167054655870445</v>
      </c>
      <c r="AG222" s="276">
        <f>IF(AND(ISNUMBER(AG220),ISNUMBER(AG221)),IFERROR(AG220/AG221,""),"")</f>
        <v>0.185917338709677</v>
      </c>
      <c r="AH222" s="276">
        <f>IF(AND(ISNUMBER(AH220),ISNUMBER(AH221)),IFERROR(AH220/AH221,""),"")</f>
        <v>0.285202839756592</v>
      </c>
      <c r="AI222" s="276">
        <f>IF(AND(ISNUMBER(AI220),ISNUMBER(AI221)),IFERROR(AI220/AI221,""),"")</f>
        <v>0.144597389558233</v>
      </c>
      <c r="AJ222" s="276">
        <f>IF(AND(ISNUMBER(AJ220),ISNUMBER(AJ221)),IFERROR(AJ220/AJ221,""),"")</f>
        <v>0.263291</v>
      </c>
      <c r="AK222" s="276">
        <f>IF(AND(ISNUMBER(AK220),ISNUMBER(AK221)),IFERROR(AK220/AK221,""),"")</f>
        <v>0.294957085828343</v>
      </c>
      <c r="AL222" s="276">
        <f>IF(AND(ISNUMBER(AL220),ISNUMBER(AL221)),IFERROR(AL220/AL221,""),"")</f>
        <v>0.31738622754491</v>
      </c>
      <c r="AM222" s="276">
        <f>IF(AND(ISNUMBER(AM220),ISNUMBER(AM221)),IFERROR(AM220/AM221,""),"")</f>
        <v>1.020857</v>
      </c>
      <c r="AN222" s="276">
        <f>IF(AND(ISNUMBER(AN220),ISNUMBER(AN221)),IFERROR(AN220/AN221,""),"")</f>
        <v>0.342175298804781</v>
      </c>
      <c r="AO222" s="276">
        <f>IF(AND(ISNUMBER(AO220),ISNUMBER(AO221)),IFERROR(AO220/AO221,""),"")</f>
        <v>0.263750497017893</v>
      </c>
      <c r="AP222" s="276">
        <f>IF(AND(ISNUMBER(AP220),ISNUMBER(AP221)),IFERROR(AP220/AP221,""),"")</f>
        <v>0.239768849206349</v>
      </c>
      <c r="AQ222" s="276">
        <f>IF(AND(ISNUMBER(AQ220),ISNUMBER(AQ221)),IFERROR(AQ220/AQ221,""),"")</f>
        <v>0.290770297029703</v>
      </c>
      <c r="AR222" s="276">
        <f>IF(AND(ISNUMBER(AR220),ISNUMBER(AR221)),IFERROR(AR220/AR221,""),"")</f>
        <v>1.13508234126984</v>
      </c>
      <c r="AS222" s="276">
        <f>IF(AND(ISNUMBER(AS220),ISNUMBER(AS221)),IFERROR(AS220/AS221,""),"")</f>
        <v>0.29246442687747</v>
      </c>
      <c r="AT222" s="276">
        <f>IF(AND(ISNUMBER(AT220),ISNUMBER(AT221)),IFERROR(AT220/AT221,""),"")</f>
        <v>0.464308447937132</v>
      </c>
      <c r="AU222" s="276">
        <f>IF(AND(ISNUMBER(AU220),ISNUMBER(AU221)),IFERROR(AU220/AU221,""),"")</f>
        <v>0.5380126953125</v>
      </c>
      <c r="AV222" s="276">
        <f>IF(AND(ISNUMBER(AV220),ISNUMBER(AV221)),IFERROR(AV220/AV221,""),"")</f>
        <v>0.608797270955166</v>
      </c>
      <c r="AW222" s="276">
        <f>IF(AND(ISNUMBER(AW220),ISNUMBER(AW221)),IFERROR(AW220/AW221,""),"")</f>
        <v>1.90606960784314</v>
      </c>
      <c r="AX222" s="276">
        <f>IF(AND(ISNUMBER(AX220),ISNUMBER(AX221)),IFERROR(AX220/AX221,""),"")</f>
        <v>0.659977582846004</v>
      </c>
      <c r="AY222" s="276">
        <f>IF(AND(ISNUMBER(AY220),ISNUMBER(AY221)),IFERROR(AY220/AY221,""),"")</f>
        <v>0.658541828793774</v>
      </c>
      <c r="AZ222" s="276">
        <f>IF(AND(ISNUMBER(AZ220),ISNUMBER(AZ221)),IFERROR(AZ220/AZ221,""),"")</f>
        <v>0.319298058252427</v>
      </c>
      <c r="BA222" s="276">
        <f>IF(AND(ISNUMBER(BA220),ISNUMBER(BA221)),IFERROR(BA220/BA221,""),"")</f>
        <v>0.481587209302326</v>
      </c>
      <c r="BB222" s="276">
        <f>IF(AND(ISNUMBER(BB220),ISNUMBER(BB221)),IFERROR(BB220/BB221,""),"")</f>
        <v>2.11649805825243</v>
      </c>
      <c r="BC222" s="276">
        <f>IF(AND(ISNUMBER(BC220),ISNUMBER(BC221)),IFERROR(BC220/BC221,""),"")</f>
        <v>0.287554027504912</v>
      </c>
      <c r="BD222" s="276">
        <f>IF(AND(ISNUMBER(BD220),ISNUMBER(BD221)),IFERROR(BD220/BD221,""),"")</f>
        <v>0.232388206388206</v>
      </c>
      <c r="BE222" s="276">
        <f>IF(AND(ISNUMBER(BE220),ISNUMBER(BE221)),IFERROR(BE220/BE221,""),"")</f>
        <v>0.220248765850353</v>
      </c>
      <c r="BF222" s="276">
        <f>IF(AND(ISNUMBER(BF220),ISNUMBER(BF221)),IFERROR(BF220/BF221,""),"")</f>
        <v>0.497041133100504</v>
      </c>
      <c r="BG222" s="276">
        <f>IF(AND(ISNUMBER(BG220),ISNUMBER(BG221)),IFERROR(BG220/BG221,""),"")</f>
        <v>1.24553341839238</v>
      </c>
      <c r="BH222" s="276">
        <f>IF(AND(ISNUMBER(BH220),ISNUMBER(BH221)),IFERROR(BH220/BH221,""),"")</f>
        <v>0.378464289165942</v>
      </c>
      <c r="BI222" s="276">
        <f>IF(AND(ISNUMBER(BI220),ISNUMBER(BI221)),IFERROR(BI220/BI221,""),"")</f>
        <v>0.642244233897981</v>
      </c>
      <c r="BJ222" s="276">
        <f>IF(AND(ISNUMBER(BJ220),ISNUMBER(BJ221)),IFERROR(BJ220/BJ221,""),"")</f>
        <v>0.858923091494601</v>
      </c>
      <c r="BK222" s="276">
        <f>IF(AND(ISNUMBER(BK220),ISNUMBER(BK221)),IFERROR(BK220/BK221,""),"")</f>
        <v>0.979801131008483</v>
      </c>
      <c r="BL222" s="276">
        <f>IF(AND(ISNUMBER(BL220),ISNUMBER(BL221)),IFERROR(BL220/BL221,""),"")</f>
        <v>2.86799275638582</v>
      </c>
      <c r="BM222" s="276">
        <f>IF(AND(ISNUMBER(BM220),ISNUMBER(BM221)),IFERROR(BM220/BM221,""),"")</f>
        <v>1.18347422680412</v>
      </c>
      <c r="BN222" s="276">
        <f>IF(AND(ISNUMBER(BN220),ISNUMBER(BN221)),IFERROR(BN220/BN221,""),"")</f>
        <v>1.26001307433694</v>
      </c>
      <c r="BO222" s="276">
        <f>IF(AND(ISNUMBER(BO220),ISNUMBER(BO221)),IFERROR(BO220/BO221,""),"")</f>
        <v>1.43011923614346</v>
      </c>
      <c r="BP222" s="276">
        <f>IF(AND(ISNUMBER(BP220),ISNUMBER(BP221)),IFERROR(BP220/BP221,""),"")</f>
        <v>1.82474050691672</v>
      </c>
      <c r="BQ222" s="276">
        <f>IF(AND(ISNUMBER(BQ220),ISNUMBER(BQ221)),IFERROR(BQ220/BQ221,""),"")</f>
        <v>5.70156701800205</v>
      </c>
      <c r="BR222" s="276">
        <f>IF(AND(ISNUMBER(BR220),ISNUMBER(BR221)),IFERROR(BR220/BR221,""),"")</f>
        <v>1.38555452608172</v>
      </c>
      <c r="BS222" s="276">
        <f>IF(AND(ISNUMBER(BS220),ISNUMBER(BS221)),IFERROR(BS220/BS221,""),"")</f>
        <v>1.60064501203035</v>
      </c>
      <c r="BT222" s="276">
        <f>IF(AND(ISNUMBER(BT220),ISNUMBER(BT221)),IFERROR(BT220/BT221,""),"")</f>
        <v>1.53158690640848</v>
      </c>
      <c r="BU222" s="276">
        <f>IF(AND(ISNUMBER(BU220),ISNUMBER(BU221)),IFERROR(BU220/BU221,""),"")</f>
        <v>2.08568259228574</v>
      </c>
      <c r="BV222" s="276">
        <f>IF(AND(ISNUMBER(BV220),ISNUMBER(BV221)),IFERROR(BV220/BV221,""),"")</f>
        <v>6.60549459684123</v>
      </c>
      <c r="BW222" s="276">
        <f>IF(AND(ISNUMBER(BW220),ISNUMBER(BW221)),IFERROR(BW220/BW221,""),"")</f>
        <v>1.64382471951444</v>
      </c>
      <c r="BX222" s="276">
        <f>IF(AND(ISNUMBER(BX220),ISNUMBER(BX221)),IFERROR(BX220/BX221,""),"")</f>
        <v>1.83663762267266</v>
      </c>
      <c r="BY222" s="276">
        <f>IF(AND(ISNUMBER(BY220),ISNUMBER(BY221)),IFERROR(BY220/BY221,""),"")</f>
        <v>1.76766214050494</v>
      </c>
      <c r="BZ222" s="276">
        <f>IF(AND(ISNUMBER(BZ220),ISNUMBER(BZ221)),IFERROR(BZ220/BZ221,""),"")</f>
        <v>2.2239530551707</v>
      </c>
      <c r="CA222" s="276">
        <f>IF(AND(ISNUMBER(CA220),ISNUMBER(CA221)),IFERROR(CA220/CA221,""),"")</f>
        <v>7.47432995908326</v>
      </c>
      <c r="CB222" s="276">
        <f>IF(AND(ISNUMBER(CB220),ISNUMBER(CB221)),IFERROR(CB220/CB221,""),"")</f>
        <v>9.56607151957628</v>
      </c>
      <c r="CC222" s="276">
        <f>IF(AND(ISNUMBER(CC220),ISNUMBER(CC221)),IFERROR(CC220/CC221,""),"")</f>
        <v>11.5426649873929</v>
      </c>
      <c r="CD222" s="276">
        <f>IF(AND(ISNUMBER(CD220),ISNUMBER(CD221)),IFERROR(CD220/CD221,""),"")</f>
        <v>13.7226221416016</v>
      </c>
      <c r="CE222" s="276">
        <f>IF(AND(ISNUMBER(CE220),ISNUMBER(CE221)),IFERROR(CE220/CE221,""),"")</f>
        <v>16.3129269055738</v>
      </c>
      <c r="CF222" s="19" t="n"/>
      <c r="CH222" s="20">
        <f>IFERROR((CE222/BV222)^(1/5)-1,"n/m")</f>
        <v>0.198188948932903</v>
      </c>
      <c r="CI222" s="20">
        <f>IFERROR((BV222/AW222)^(1/5)-1,"n/m")</f>
        <v>0.282192750348223</v>
      </c>
      <c r="CJ222" s="20">
        <f>IFERROR((BV222/X222)^(1/10)-1,"n/m")</f>
        <v>0.55057084270647</v>
      </c>
      <c r="CK222" s="20">
        <f>IFERROR((BV222/C222)^(1/19)-1,"n/m")</f>
        <v>0.350610834499365</v>
      </c>
    </row>
    <row r="223" ht="15" customHeight="1" s="251">
      <c r="B223" s="156" t="inlineStr">
        <is>
          <t xml:space="preserve">  Company-published adjusted EPS — none (Amazon does not publish adjusted EPS)</t>
        </is>
      </c>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c r="AA223" s="27" t="n"/>
      <c r="AB223" s="27" t="n"/>
      <c r="AC223" s="27" t="n"/>
      <c r="AD223" s="27" t="n"/>
      <c r="AE223" s="27" t="n"/>
      <c r="AF223" s="27" t="n"/>
      <c r="AG223" s="27" t="n"/>
      <c r="AH223" s="27" t="n"/>
      <c r="AI223" s="27" t="n"/>
      <c r="AJ223" s="27" t="n"/>
      <c r="AK223" s="27" t="n"/>
      <c r="AL223" s="27" t="n"/>
      <c r="AM223" s="27" t="n"/>
      <c r="AN223" s="27" t="n"/>
      <c r="AO223" s="27" t="n"/>
      <c r="AP223" s="27" t="n"/>
      <c r="AQ223" s="27" t="n"/>
      <c r="AR223" s="27" t="n"/>
      <c r="AS223" s="27" t="n"/>
      <c r="AT223" s="27" t="n"/>
      <c r="AU223" s="27" t="n"/>
      <c r="AV223" s="27" t="n"/>
      <c r="AW223" s="27" t="n"/>
      <c r="AX223" s="27" t="n"/>
      <c r="AY223" s="27" t="n"/>
      <c r="AZ223" s="27" t="n"/>
      <c r="BA223" s="27" t="n"/>
      <c r="BB223" s="27" t="n"/>
      <c r="BC223" s="27" t="n"/>
      <c r="BD223" s="27" t="n"/>
      <c r="BE223" s="27" t="n"/>
      <c r="BF223" s="27" t="n"/>
      <c r="BG223" s="27" t="n"/>
      <c r="BH223" s="27" t="n"/>
      <c r="BI223" s="27" t="n"/>
      <c r="BJ223" s="27" t="n"/>
      <c r="BK223" s="27" t="n"/>
      <c r="BL223" s="27" t="n"/>
      <c r="BM223" s="27" t="n"/>
      <c r="BN223" s="27" t="n"/>
      <c r="BO223" s="27" t="n"/>
      <c r="BP223" s="27" t="n"/>
      <c r="BQ223" s="27" t="n"/>
      <c r="BR223" s="27" t="n"/>
      <c r="BS223" s="27" t="n"/>
      <c r="BT223" s="27" t="n"/>
      <c r="BU223" s="27" t="n"/>
      <c r="BV223" s="27" t="n"/>
      <c r="BW223" s="27" t="n"/>
      <c r="BX223" s="27" t="n"/>
      <c r="BY223" s="153" t="n"/>
      <c r="BZ223" s="153" t="n"/>
      <c r="CA223" s="153" t="n"/>
      <c r="CB223" s="153" t="n"/>
      <c r="CC223" s="153" t="n"/>
      <c r="CD223" s="153" t="n"/>
      <c r="CE223" s="153" t="n"/>
      <c r="CF223" s="153" t="n"/>
    </row>
    <row r="224" ht="15" customHeight="1" s="251">
      <c r="B224" s="22" t="inlineStr">
        <is>
          <t xml:space="preserve">  Adjusted EPS y/y %</t>
        </is>
      </c>
      <c r="D224" s="255">
        <f>IF(AND(ISNUMBER(D222),ISNUMBER(C222)),IFERROR(D222/C222-1,""),"")</f>
        <v>1.59476947964411</v>
      </c>
      <c r="E224" s="255">
        <f>IF(AND(ISNUMBER(E222),ISNUMBER(D222)),IFERROR(E222/D222-1,""),"")</f>
        <v>0.271622256088175</v>
      </c>
      <c r="F224" s="255">
        <f>IF(AND(ISNUMBER(F222),ISNUMBER(E222)),IFERROR(F222/E222-1,""),"")</f>
        <v>0.393910472632762</v>
      </c>
      <c r="G224" s="255">
        <f>IF(AND(ISNUMBER(G222),ISNUMBER(F222)),IFERROR(G222/F222-1,""),"")</f>
        <v>0.192231936473924</v>
      </c>
      <c r="H224" s="255">
        <f>IF(AND(ISNUMBER(H222),ISNUMBER(G222)),IFERROR(H222/G222-1,""),"")</f>
        <v>-0.463117247633326</v>
      </c>
      <c r="I224" s="255">
        <f>IF(AND(ISNUMBER(I222),ISNUMBER(H222)),IFERROR(I222/H222-1,""),"")</f>
        <v>-0.71198300637261</v>
      </c>
      <c r="N224" s="255">
        <f>IF(AND(ISNUMBER(N222),ISNUMBER(I222)),IFERROR(N222/I222-1,""),"")</f>
        <v>1.51318740399386</v>
      </c>
      <c r="O224" s="255">
        <f>IF(AND(ISNUMBER(O222),ISNUMBER(J222)),IFERROR(O222/J222-1,""),"")</f>
        <v>-0.709610295403653</v>
      </c>
      <c r="P224" s="255">
        <f>IF(AND(ISNUMBER(P222),ISNUMBER(K222)),IFERROR(P222/K222-1,""),"")</f>
        <v>-5.66315463278587</v>
      </c>
      <c r="Q224" s="255">
        <f>IF(AND(ISNUMBER(Q222),ISNUMBER(L222)),IFERROR(Q222/L222-1,""),"")</f>
        <v>9.62040084283081</v>
      </c>
      <c r="R224" s="255">
        <f>IF(AND(ISNUMBER(R222),ISNUMBER(M222)),IFERROR(R222/M222-1,""),"")</f>
        <v>-0.0279035962438585</v>
      </c>
      <c r="S224" s="255">
        <f>IF(AND(ISNUMBER(S222),ISNUMBER(N222)),IFERROR(S222/N222-1,""),"")</f>
        <v>-1.46748302458962</v>
      </c>
      <c r="T224" s="255">
        <f>IF(AND(ISNUMBER(T222),ISNUMBER(O222)),IFERROR(T222/O222-1,""),"")</f>
        <v>-0.206341013824885</v>
      </c>
      <c r="U224" s="255">
        <f>IF(AND(ISNUMBER(U222),ISNUMBER(P222)),IFERROR(U222/P222-1,""),"")</f>
        <v>-1.6871750917662</v>
      </c>
      <c r="V224" s="255">
        <f>IF(AND(ISNUMBER(V222),ISNUMBER(Q222)),IFERROR(V222/Q222-1,""),"")</f>
        <v>-1.29901386082194</v>
      </c>
      <c r="W224" s="255">
        <f>IF(AND(ISNUMBER(W222),ISNUMBER(R222)),IFERROR(W222/R222-1,""),"")</f>
        <v>0.813191790845423</v>
      </c>
      <c r="X224" s="255">
        <f>IF(AND(ISNUMBER(X222),ISNUMBER(S222)),IFERROR(X222/S222-1,""),"")</f>
        <v>-4.77413479052823</v>
      </c>
      <c r="Y224" s="255">
        <f>IF(AND(ISNUMBER(Y222),ISNUMBER(T222)),IFERROR(Y222/T222-1,""),"")</f>
        <v>13.8050709572449</v>
      </c>
      <c r="Z224" s="255">
        <f>IF(AND(ISNUMBER(Z222),ISNUMBER(U222)),IFERROR(Z222/U222-1,""),"")</f>
        <v>8.04510869565217</v>
      </c>
      <c r="AA224" s="255">
        <f>IF(AND(ISNUMBER(AA222),ISNUMBER(V222)),IFERROR(AA222/V222-1,""),"")</f>
        <v>1.06775823731554</v>
      </c>
      <c r="AB224" s="255">
        <f>IF(AND(ISNUMBER(AB222),ISNUMBER(W222)),IFERROR(AB222/W222-1,""),"")</f>
        <v>0.389374519812497</v>
      </c>
      <c r="AC224" s="255">
        <f>IF(AND(ISNUMBER(AC222),ISNUMBER(X222)),IFERROR(AC222/X222-1,""),"")</f>
        <v>2.02609169086442</v>
      </c>
      <c r="AD224" s="255">
        <f>IF(AND(ISNUMBER(AD222),ISNUMBER(Y222)),IFERROR(AD222/Y222-1,""),"")</f>
        <v>0.287167790367779</v>
      </c>
      <c r="AE224" s="255">
        <f>IF(AND(ISNUMBER(AE222),ISNUMBER(Z222)),IFERROR(AE222/Z222-1,""),"")</f>
        <v>-0.87749549482216</v>
      </c>
      <c r="AF224" s="255">
        <f>IF(AND(ISNUMBER(AF222),ISNUMBER(AA222)),IFERROR(AF222/AA222-1,""),"")</f>
        <v>-0.368991369959766</v>
      </c>
      <c r="AG224" s="255">
        <f>IF(AND(ISNUMBER(AG222),ISNUMBER(AB222)),IFERROR(AG222/AB222-1,""),"")</f>
        <v>1.43251653285511</v>
      </c>
      <c r="AH224" s="255">
        <f>IF(AND(ISNUMBER(AH222),ISNUMBER(AC222)),IFERROR(AH222/AC222-1,""),"")</f>
        <v>0.146258454990165</v>
      </c>
      <c r="AI224" s="255">
        <f>IF(AND(ISNUMBER(AI222),ISNUMBER(AD222)),IFERROR(AI222/AD222-1,""),"")</f>
        <v>1.04540187308124</v>
      </c>
      <c r="AJ224" s="255">
        <f>IF(AND(ISNUMBER(AJ222),ISNUMBER(AE222)),IFERROR(AJ222/AE222-1,""),"")</f>
        <v>22.5632873124147</v>
      </c>
      <c r="AK224" s="255">
        <f>IF(AND(ISNUMBER(AK222),ISNUMBER(AF222)),IFERROR(AK222/AF222-1,""),"")</f>
        <v>16.6563223749411</v>
      </c>
      <c r="AL224" s="255">
        <f>IF(AND(ISNUMBER(AL222),ISNUMBER(AG222)),IFERROR(AL222/AG222-1,""),"")</f>
        <v>0.707136245320994</v>
      </c>
      <c r="AM224" s="255">
        <f>IF(AND(ISNUMBER(AM222),ISNUMBER(AH222)),IFERROR(AM222/AH222-1,""),"")</f>
        <v>2.5794068560862</v>
      </c>
      <c r="AN224" s="255">
        <f>IF(AND(ISNUMBER(AN222),ISNUMBER(AI222)),IFERROR(AN222/AI222-1,""),"")</f>
        <v>1.36640025003341</v>
      </c>
      <c r="AO224" s="255">
        <f>IF(AND(ISNUMBER(AO222),ISNUMBER(AJ222)),IFERROR(AO222/AJ222-1,""),"")</f>
        <v>0.00174520594282623</v>
      </c>
      <c r="AP224" s="255">
        <f>IF(AND(ISNUMBER(AP222),ISNUMBER(AK222)),IFERROR(AP222/AK222-1,""),"")</f>
        <v>-0.187105986848921</v>
      </c>
      <c r="AQ224" s="255">
        <f>IF(AND(ISNUMBER(AQ222),ISNUMBER(AL222)),IFERROR(AQ222/AL222-1,""),"")</f>
        <v>-0.0838597525831238</v>
      </c>
      <c r="AR224" s="255">
        <f>IF(AND(ISNUMBER(AR222),ISNUMBER(AM222)),IFERROR(AR222/AM222-1,""),"")</f>
        <v>0.11189161779744</v>
      </c>
      <c r="AS224" s="255">
        <f>IF(AND(ISNUMBER(AS222),ISNUMBER(AN222)),IFERROR(AS222/AN222-1,""),"")</f>
        <v>-0.145278961108387</v>
      </c>
      <c r="AT224" s="255">
        <f>IF(AND(ISNUMBER(AT222),ISNUMBER(AO222)),IFERROR(AT222/AO222-1,""),"")</f>
        <v>0.760407859650908</v>
      </c>
      <c r="AU224" s="255">
        <f>IF(AND(ISNUMBER(AU222),ISNUMBER(AP222)),IFERROR(AU222/AP222-1,""),"")</f>
        <v>1.24388070883002</v>
      </c>
      <c r="AV224" s="255">
        <f>IF(AND(ISNUMBER(AV222),ISNUMBER(AQ222)),IFERROR(AV222/AQ222-1,""),"")</f>
        <v>1.09373955033989</v>
      </c>
      <c r="AW224" s="255">
        <f>IF(AND(ISNUMBER(AW222),ISNUMBER(AR222)),IFERROR(AW222/AR222-1,""),"")</f>
        <v>0.679234658615846</v>
      </c>
      <c r="AX224" s="255">
        <f>IF(AND(ISNUMBER(AX222),ISNUMBER(AS222)),IFERROR(AX222/AS222-1,""),"")</f>
        <v>1.25660805962739</v>
      </c>
      <c r="AY224" s="255">
        <f>IF(AND(ISNUMBER(AY222),ISNUMBER(AT222)),IFERROR(AY222/AT222-1,""),"")</f>
        <v>0.418328336948421</v>
      </c>
      <c r="AZ224" s="255">
        <f>IF(AND(ISNUMBER(AZ222),ISNUMBER(AU222)),IFERROR(AZ222/AU222-1,""),"")</f>
        <v>-0.406523189816245</v>
      </c>
      <c r="BA224" s="255">
        <f>IF(AND(ISNUMBER(BA222),ISNUMBER(AV222)),IFERROR(BA222/AV222-1,""),"")</f>
        <v>-0.20895307472922</v>
      </c>
      <c r="BB224" s="255">
        <f>IF(AND(ISNUMBER(BB222),ISNUMBER(AW222)),IFERROR(BB222/AW222-1,""),"")</f>
        <v>0.110399142582944</v>
      </c>
      <c r="BC224" s="255">
        <f>IF(AND(ISNUMBER(BC222),ISNUMBER(AX222)),IFERROR(BC222/AX222-1,""),"")</f>
        <v>-0.564297280727476</v>
      </c>
      <c r="BD224" s="255">
        <f>IF(AND(ISNUMBER(BD222),ISNUMBER(AY222)),IFERROR(BD222/AY222-1,""),"")</f>
        <v>-0.647117014854071</v>
      </c>
      <c r="BE224" s="255">
        <f>IF(AND(ISNUMBER(BE222),ISNUMBER(AZ222)),IFERROR(BE222/AZ222-1,""),"")</f>
        <v>-0.310209504386552</v>
      </c>
      <c r="BF224" s="255">
        <f>IF(AND(ISNUMBER(BF222),ISNUMBER(BA222)),IFERROR(BF222/BA222-1,""),"")</f>
        <v>0.0320895644644861</v>
      </c>
      <c r="BG224" s="255">
        <f>IF(AND(ISNUMBER(BG222),ISNUMBER(BB222)),IFERROR(BG222/BB222-1,""),"")</f>
        <v>-0.411512137449911</v>
      </c>
      <c r="BH224" s="255">
        <f>IF(AND(ISNUMBER(BH222),ISNUMBER(BC222)),IFERROR(BH222/BC222-1,""),"")</f>
        <v>0.31615019427776</v>
      </c>
      <c r="BI224" s="255">
        <f>IF(AND(ISNUMBER(BI222),ISNUMBER(BD222)),IFERROR(BI222/BD222-1,""),"")</f>
        <v>1.7636696538081</v>
      </c>
      <c r="BJ224" s="255">
        <f>IF(AND(ISNUMBER(BJ222),ISNUMBER(BE222)),IFERROR(BJ222/BE222-1,""),"")</f>
        <v>2.89978617214224</v>
      </c>
      <c r="BK224" s="255">
        <f>IF(AND(ISNUMBER(BK222),ISNUMBER(BF222)),IFERROR(BK222/BF222-1,""),"")</f>
        <v>0.97126769950921</v>
      </c>
      <c r="BL224" s="255">
        <f>IF(AND(ISNUMBER(BL222),ISNUMBER(BG222)),IFERROR(BL222/BG222-1,""),"")</f>
        <v>1.3026220846708</v>
      </c>
      <c r="BM224" s="255">
        <f>IF(AND(ISNUMBER(BM222),ISNUMBER(BH222)),IFERROR(BM222/BH222-1,""),"")</f>
        <v>2.12704331870322</v>
      </c>
      <c r="BN224" s="255">
        <f>IF(AND(ISNUMBER(BN222),ISNUMBER(BI222)),IFERROR(BN222/BI222-1,""),"")</f>
        <v>0.961890831918461</v>
      </c>
      <c r="BO224" s="255">
        <f>IF(AND(ISNUMBER(BO222),ISNUMBER(BJ222)),IFERROR(BO222/BJ222-1,""),"")</f>
        <v>0.665014307223856</v>
      </c>
      <c r="BP224" s="255">
        <f>IF(AND(ISNUMBER(BP222),ISNUMBER(BK222)),IFERROR(BP222/BK222-1,""),"")</f>
        <v>0.862358032837301</v>
      </c>
      <c r="BQ224" s="255">
        <f>IF(AND(ISNUMBER(BQ222),ISNUMBER(BL222)),IFERROR(BQ222/BL222-1,""),"")</f>
        <v>0.987999099825846</v>
      </c>
      <c r="BR224" s="255">
        <f>IF(AND(ISNUMBER(BR222),ISNUMBER(BM222)),IFERROR(BR222/BM222-1,""),"")</f>
        <v>0.170751753355286</v>
      </c>
      <c r="BS224" s="255">
        <f>IF(AND(ISNUMBER(BS222),ISNUMBER(BN222)),IFERROR(BS222/BN222-1,""),"")</f>
        <v>0.270340002521529</v>
      </c>
      <c r="BT224" s="255">
        <f>IF(AND(ISNUMBER(BT222),ISNUMBER(BO222)),IFERROR(BT222/BO222-1,""),"")</f>
        <v>0.0709504967842058</v>
      </c>
      <c r="BU224" s="255">
        <f>IF(AND(ISNUMBER(BU222),ISNUMBER(BP222)),IFERROR(BU222/BP222-1,""),"")</f>
        <v>0.143002297795173</v>
      </c>
      <c r="BV224" s="255">
        <f>IF(AND(ISNUMBER(BV222),ISNUMBER(BQ222)),IFERROR(BV222/BQ222-1,""),"")</f>
        <v>0.158540200612416</v>
      </c>
      <c r="BW224" s="255">
        <f>IF(AND(ISNUMBER(BW222),ISNUMBER(BR222)),IFERROR(BW222/BR222-1,""),"")</f>
        <v>0.186402042338308</v>
      </c>
      <c r="BX224" s="255">
        <f>IF(AND(ISNUMBER(BX222),ISNUMBER(BS222)),IFERROR(BX222/BS222-1,""),"")</f>
        <v>0.147435945427374</v>
      </c>
      <c r="BY224" s="256">
        <f>IF(AND(ISNUMBER(BY222),ISNUMBER(BT222)),IFERROR(BY222/BT222-1,""),"")</f>
        <v>0.154137668002167</v>
      </c>
      <c r="BZ224" s="256">
        <f>IF(AND(ISNUMBER(BZ222),ISNUMBER(BU222)),IFERROR(BZ222/BU222-1,""),"")</f>
        <v>0.0662950649328795</v>
      </c>
      <c r="CA224" s="256">
        <f>IF(AND(ISNUMBER(CA222),ISNUMBER(BV222)),IFERROR(CA222/BV222-1,""),"")</f>
        <v>0.131532219049502</v>
      </c>
      <c r="CB224" s="256">
        <f>IF(AND(ISNUMBER(CB222),ISNUMBER(CA222)),IFERROR(CB222/CA222-1,""),"")</f>
        <v>0.279856732569187</v>
      </c>
      <c r="CC224" s="256">
        <f>IF(AND(ISNUMBER(CC222),ISNUMBER(CB222)),IFERROR(CC222/CB222-1,""),"")</f>
        <v>0.20662541188111</v>
      </c>
      <c r="CD224" s="256">
        <f>IF(AND(ISNUMBER(CD222),ISNUMBER(CC222)),IFERROR(CD222/CC222-1,""),"")</f>
        <v>0.188860818241689</v>
      </c>
      <c r="CE224" s="256">
        <f>IF(AND(ISNUMBER(CE222),ISNUMBER(CD222)),IFERROR(CE222/CD222-1,""),"")</f>
        <v>0.188761647536694</v>
      </c>
      <c r="CF224" s="153" t="n"/>
    </row>
    <row r="225" ht="15" customHeight="1" s="251">
      <c r="B225" s="25" t="inlineStr">
        <is>
          <t xml:space="preserve">  Adjusted pre-tax income (adjusted operating income − interest expense + interest income)</t>
        </is>
      </c>
      <c r="C225" s="211">
        <f>IF(ISNUMBER(C182),C182-N(C157)+N(C156),"")</f>
        <v>370</v>
      </c>
      <c r="D225" s="211">
        <f>IF(ISNUMBER(D182),D182-N(D157)+N(D156),"")</f>
        <v>668</v>
      </c>
      <c r="E225" s="211">
        <f>IF(ISNUMBER(E182),E182-N(E157)+N(E156),"")</f>
        <v>854</v>
      </c>
      <c r="F225" s="211">
        <f>IF(ISNUMBER(F182),F182-N(F157)+N(F156),"")</f>
        <v>1132</v>
      </c>
      <c r="G225" s="211">
        <f>IF(ISNUMBER(G182),G182-N(G157)+N(G156),"")</f>
        <v>1418</v>
      </c>
      <c r="H225" s="211">
        <f>IF(ISNUMBER(H182),H182-N(H157)+N(H156),"")</f>
        <v>858</v>
      </c>
      <c r="I225" s="211">
        <f>IF(ISNUMBER(I182),I182-N(I157)+N(I156),"")</f>
        <v>624</v>
      </c>
      <c r="J225" s="211">
        <f>IF(ISNUMBER(J182),J182-N(J157)+N(J156),"")</f>
        <v>158</v>
      </c>
      <c r="K225" s="211">
        <f>IF(ISNUMBER(K182),K182-N(K157)+N(K156),"")</f>
        <v>55</v>
      </c>
      <c r="L225" s="211">
        <f>IF(ISNUMBER(L182),L182-N(L157)+N(L156),"")</f>
        <v>-52</v>
      </c>
      <c r="M225" s="211">
        <f>IF(ISNUMBER(M182),M182-N(M157)+N(M156),"")</f>
        <v>481</v>
      </c>
      <c r="N225" s="211">
        <f>IF(ISNUMBER(N182),N182-N(N157)+N(N156),"")</f>
        <v>642</v>
      </c>
      <c r="O225" s="211">
        <f>IF(ISNUMBER(O182),O182-N(O157)+N(O156),"")</f>
        <v>115</v>
      </c>
      <c r="P225" s="211">
        <f>IF(ISNUMBER(P182),P182-N(P157)+N(P156),"")</f>
        <v>-49</v>
      </c>
      <c r="Q225" s="211">
        <f>IF(ISNUMBER(Q182),Q182-N(Q157)+N(Q156),"")</f>
        <v>-584</v>
      </c>
      <c r="R225" s="211">
        <f>IF(ISNUMBER(R182),R182-N(R157)+N(R156),"")</f>
        <v>525</v>
      </c>
      <c r="S225" s="211">
        <f>IF(ISNUMBER(S182),S182-N(S157)+N(S156),"")</f>
        <v>7</v>
      </c>
      <c r="T225" s="211">
        <f>IF(ISNUMBER(T182),T182-N(T157)+N(T156),"")</f>
        <v>151</v>
      </c>
      <c r="U225" s="211">
        <f>IF(ISNUMBER(U182),U182-N(U157)+N(U156),"")</f>
        <v>362</v>
      </c>
      <c r="V225" s="211">
        <f>IF(ISNUMBER(V182),V182-N(V157)+N(V156),"")</f>
        <v>303</v>
      </c>
      <c r="W225" s="211">
        <f>IF(ISNUMBER(W182),W182-N(W157)+N(W156),"")</f>
        <v>1006</v>
      </c>
      <c r="X225" s="211">
        <f>IF(ISNUMBER(X182),X182-N(X157)+N(X156),"")</f>
        <v>1824</v>
      </c>
      <c r="Y225" s="211">
        <f>IF(ISNUMBER(Y182),Y182-N(Y157)+N(Y156),"")</f>
        <v>975</v>
      </c>
      <c r="Z225" s="211">
        <f>IF(ISNUMBER(Z182),Z182-N(Z157)+N(Z156),"")</f>
        <v>1193</v>
      </c>
      <c r="AA225" s="211">
        <f>IF(ISNUMBER(AA182),AA182-N(AA157)+N(AA156),"")</f>
        <v>483</v>
      </c>
      <c r="AB225" s="211">
        <f>IF(ISNUMBER(AB182),AB182-N(AB157)+N(AB156),"")</f>
        <v>1152</v>
      </c>
      <c r="AC225" s="211">
        <f>IF(ISNUMBER(AC182),AC182-N(AC157)+N(AC156),"")</f>
        <v>3802</v>
      </c>
      <c r="AD225" s="211">
        <f>IF(ISNUMBER(AD182),AD182-N(AD157)+N(AD156),"")</f>
        <v>905</v>
      </c>
      <c r="AE225" s="211">
        <f>IF(ISNUMBER(AE182),AE182-N(AE157)+N(AE156),"")</f>
        <v>529</v>
      </c>
      <c r="AF225" s="211">
        <f>IF(ISNUMBER(AF182),AF182-N(AF157)+N(AF156),"")</f>
        <v>173</v>
      </c>
      <c r="AG225" s="211">
        <f>IF(ISNUMBER(AG182),AG182-N(AG157)+N(AG156),"")</f>
        <v>1854</v>
      </c>
      <c r="AH225" s="211">
        <f>IF(ISNUMBER(AH182),AH182-N(AH157)+N(AH156),"")</f>
        <v>3460</v>
      </c>
      <c r="AI225" s="211">
        <f>IF(ISNUMBER(AI182),AI182-N(AI157)+N(AI156),"")</f>
        <v>1677</v>
      </c>
      <c r="AJ225" s="211">
        <f>IF(ISNUMBER(AJ182),AJ182-N(AJ157)+N(AJ156),"")</f>
        <v>2734</v>
      </c>
      <c r="AK225" s="211">
        <f>IF(ISNUMBER(AK182),AK182-N(AK157)+N(AK156),"")</f>
        <v>3483</v>
      </c>
      <c r="AL225" s="211">
        <f>IF(ISNUMBER(AL182),AL182-N(AL157)+N(AL156),"")</f>
        <v>3549</v>
      </c>
      <c r="AM225" s="211">
        <f>IF(ISNUMBER(AM182),AM182-N(AM157)+N(AM156),"")</f>
        <v>11444</v>
      </c>
      <c r="AN225" s="211">
        <f>IF(ISNUMBER(AN182),AN182-N(AN157)+N(AN156),"")</f>
        <v>4237</v>
      </c>
      <c r="AO225" s="211">
        <f>IF(ISNUMBER(AO182),AO182-N(AO157)+N(AO156),"")</f>
        <v>2916</v>
      </c>
      <c r="AP225" s="211">
        <f>IF(ISNUMBER(AP182),AP182-N(AP157)+N(AP156),"")</f>
        <v>2985</v>
      </c>
      <c r="AQ225" s="211">
        <f>IF(ISNUMBER(AQ182),AQ182-N(AQ157)+N(AQ156),"")</f>
        <v>3635</v>
      </c>
      <c r="AR225" s="211">
        <f>IF(ISNUMBER(AR182),AR182-N(AR157)+N(AR156),"")</f>
        <v>13773</v>
      </c>
      <c r="AS225" s="211">
        <f>IF(ISNUMBER(AS182),AS182-N(AS157)+N(AS156),"")</f>
        <v>3789</v>
      </c>
      <c r="AT225" s="211">
        <f>IF(ISNUMBER(AT182),AT182-N(AT157)+N(AT156),"")</f>
        <v>5575</v>
      </c>
      <c r="AU225" s="211">
        <f>IF(ISNUMBER(AU182),AU182-N(AU157)+N(AU156),"")</f>
        <v>5884</v>
      </c>
      <c r="AV225" s="211">
        <f>IF(ISNUMBER(AV182),AV182-N(AV157)+N(AV156),"")</f>
        <v>6559</v>
      </c>
      <c r="AW225" s="211">
        <f>IF(ISNUMBER(AW182),AW182-N(AW157)+N(AW156),"")</f>
        <v>21807</v>
      </c>
      <c r="AX225" s="211">
        <f>IF(ISNUMBER(AX182),AX182-N(AX157)+N(AX156),"")</f>
        <v>8571</v>
      </c>
      <c r="AY225" s="211">
        <f>IF(ISNUMBER(AY182),AY182-N(AY157)+N(AY156),"")</f>
        <v>7373</v>
      </c>
      <c r="AZ225" s="211">
        <f>IF(ISNUMBER(AZ182),AZ182-N(AZ157)+N(AZ156),"")</f>
        <v>4478</v>
      </c>
      <c r="BA225" s="211">
        <f>IF(ISNUMBER(BA182),BA182-N(BA157)+N(BA156),"")</f>
        <v>3096</v>
      </c>
      <c r="BB225" s="211">
        <f>IF(ISNUMBER(BB182),BB182-N(BB157)+N(BB156),"")</f>
        <v>23518</v>
      </c>
      <c r="BC225" s="211">
        <f>IF(ISNUMBER(BC182),BC182-N(BC157)+N(BC156),"")</f>
        <v>3305</v>
      </c>
      <c r="BD225" s="211">
        <f>IF(ISNUMBER(BD182),BD182-N(BD157)+N(BD156),"")</f>
        <v>2892</v>
      </c>
      <c r="BE225" s="211">
        <f>IF(ISNUMBER(BE182),BE182-N(BE157)+N(BE156),"")</f>
        <v>2185</v>
      </c>
      <c r="BF225" s="211">
        <f>IF(ISNUMBER(BF182),BF182-N(BF157)+N(BF156),"")</f>
        <v>5188</v>
      </c>
      <c r="BG225" s="211">
        <f>IF(ISNUMBER(BG182),BG182-N(BG157)+N(BG156),"")</f>
        <v>13570</v>
      </c>
      <c r="BH225" s="211">
        <f>IF(ISNUMBER(BH182),BH182-N(BH157)+N(BH156),"")</f>
        <v>5062</v>
      </c>
      <c r="BI225" s="211">
        <f>IF(ISNUMBER(BI182),BI182-N(BI157)+N(BI156),"")</f>
        <v>7502</v>
      </c>
      <c r="BJ225" s="211">
        <f>IF(ISNUMBER(BJ182),BJ182-N(BJ157)+N(BJ156),"")</f>
        <v>11158</v>
      </c>
      <c r="BK225" s="211">
        <f>IF(ISNUMBER(BK182),BK182-N(BK157)+N(BK156),"")</f>
        <v>13397</v>
      </c>
      <c r="BL225" s="211">
        <f>IF(ISNUMBER(BL182),BL182-N(BL157)+N(BL156),"")</f>
        <v>37119</v>
      </c>
      <c r="BM225" s="211">
        <f>IF(ISNUMBER(BM182),BM182-N(BM157)+N(BM156),"")</f>
        <v>15656</v>
      </c>
      <c r="BN225" s="211">
        <f>IF(ISNUMBER(BN182),BN182-N(BN157)+N(BN156),"")</f>
        <v>15263</v>
      </c>
      <c r="BO225" s="211">
        <f>IF(ISNUMBER(BO182),BO182-N(BO157)+N(BO156),"")</f>
        <v>18064</v>
      </c>
      <c r="BP225" s="211">
        <f>IF(ISNUMBER(BP182),BP182-N(BP157)+N(BP156),"")</f>
        <v>21881</v>
      </c>
      <c r="BQ225" s="211">
        <f>IF(ISNUMBER(BQ182),BQ182-N(BQ157)+N(BQ156),"")</f>
        <v>70864</v>
      </c>
      <c r="BR225" s="211">
        <f>IF(ISNUMBER(BR182),BR182-N(BR157)+N(BR156),"")</f>
        <v>18930</v>
      </c>
      <c r="BS225" s="211">
        <f>IF(ISNUMBER(BS182),BS182-N(BS157)+N(BS156),"")</f>
        <v>19740</v>
      </c>
      <c r="BT225" s="211">
        <f>IF(ISNUMBER(BT182),BT182-N(BT157)+N(BT156),"")</f>
        <v>22284</v>
      </c>
      <c r="BU225" s="211">
        <f>IF(ISNUMBER(BU182),BU182-N(BU157)+N(BU156),"")</f>
        <v>27868</v>
      </c>
      <c r="BV225" s="211">
        <f>IF(ISNUMBER(BV182),BV182-N(BV157)+N(BV156),"")</f>
        <v>88822</v>
      </c>
      <c r="BW225" s="211">
        <f>IF(ISNUMBER(BW182),BW182-N(BW157)+N(BW156),"")</f>
        <v>24139</v>
      </c>
      <c r="BX225" s="211">
        <f>IF(ISNUMBER(BX182),BX182-N(BX157)+N(BX156),"")</f>
        <v>26891</v>
      </c>
      <c r="BY225" s="254">
        <f>IF(ISNUMBER(BY182),BY182-N(BY157)+N(BY156),"")</f>
        <v>23856.892</v>
      </c>
      <c r="BZ225" s="254">
        <f>IF(ISNUMBER(BZ182),BZ182-N(BZ157)+N(BZ156),"")</f>
        <v>30097.4980133102</v>
      </c>
      <c r="CA225" s="254">
        <f>IF(ISNUMBER(CA182),CA182-N(CA157)+N(CA156),"")</f>
        <v>104984.39001331</v>
      </c>
      <c r="CB225" s="254">
        <f>IF(ISNUMBER(CB182),CB182-N(CB157)+N(CB156),"")</f>
        <v>130320.252322329</v>
      </c>
      <c r="CC225" s="254">
        <f>IF(ISNUMBER(CC182),CC182-N(CC157)+N(CC156),"")</f>
        <v>157657.596423195</v>
      </c>
      <c r="CD225" s="254">
        <f>IF(ISNUMBER(CD182),CD182-N(CD157)+N(CD156),"")</f>
        <v>185555.663716498</v>
      </c>
      <c r="CE225" s="254">
        <f>IF(ISNUMBER(CE182),CE182-N(CE157)+N(CE156),"")</f>
        <v>216209.048680543</v>
      </c>
      <c r="CF225" s="19" t="n"/>
    </row>
    <row r="226" ht="15" customHeight="1" s="251">
      <c r="B226" s="25" t="inlineStr">
        <is>
          <t xml:space="preserve">  Adjusted income tax (adjusted pre-tax income − adjusted net income)</t>
        </is>
      </c>
      <c r="C226" s="211">
        <f>IF(AND(ISNUMBER(C220),ISNUMBER(C225)),C225-C220,"")</f>
        <v>184.55</v>
      </c>
      <c r="D226" s="211">
        <f>IF(AND(ISNUMBER(D220),ISNUMBER(D225)),D225-D220,"")</f>
        <v>186.8</v>
      </c>
      <c r="E226" s="211">
        <f>IF(AND(ISNUMBER(E220),ISNUMBER(E225)),E225-E220,"")</f>
        <v>230.55</v>
      </c>
      <c r="F226" s="211">
        <f>IF(AND(ISNUMBER(F220),ISNUMBER(F225)),F225-F220,"")</f>
        <v>242.85</v>
      </c>
      <c r="G226" s="211">
        <f>IF(AND(ISNUMBER(G220),ISNUMBER(G225)),G225-G220,"")</f>
        <v>324.35</v>
      </c>
      <c r="H226" s="211">
        <f>IF(AND(ISNUMBER(H220),ISNUMBER(H225)),H225-H220,"")</f>
        <v>264.4</v>
      </c>
      <c r="I226" s="211">
        <f>IF(AND(ISNUMBER(I220),ISNUMBER(I225)),I225-I220,"")</f>
        <v>456</v>
      </c>
      <c r="J226" s="211">
        <f>IF(AND(ISNUMBER(J220),ISNUMBER(J225)),J225-J220,"")</f>
        <v>8.94999999999999</v>
      </c>
      <c r="K226" s="211">
        <f>IF(AND(ISNUMBER(K220),ISNUMBER(K225)),K225-K220,"")</f>
        <v>26.3</v>
      </c>
      <c r="L226" s="211">
        <f>IF(AND(ISNUMBER(L220),ISNUMBER(L225)),L225-L220,"")</f>
        <v>-15.15</v>
      </c>
      <c r="M226" s="211">
        <f>IF(AND(ISNUMBER(M220),ISNUMBER(M225)),M225-M220,"")</f>
        <v>189.5</v>
      </c>
      <c r="N226" s="211">
        <f>IF(AND(ISNUMBER(N220),ISNUMBER(N225)),N225-N220,"")</f>
        <v>208.6</v>
      </c>
      <c r="O226" s="211">
        <f>IF(AND(ISNUMBER(O220),ISNUMBER(O225)),O225-O220,"")</f>
        <v>71.25</v>
      </c>
      <c r="P226" s="211">
        <f>IF(AND(ISNUMBER(P220),ISNUMBER(P225)),P225-P220,"")</f>
        <v>86.3</v>
      </c>
      <c r="Q226" s="211">
        <f>IF(AND(ISNUMBER(Q220),ISNUMBER(Q225)),Q225-Q220,"")</f>
        <v>-187.5</v>
      </c>
      <c r="R226" s="211">
        <f>IF(AND(ISNUMBER(R220),ISNUMBER(R225)),R225-R220,"")</f>
        <v>238.6</v>
      </c>
      <c r="S226" s="211">
        <f>IF(AND(ISNUMBER(S220),ISNUMBER(S225)),S225-S220,"")</f>
        <v>208.3</v>
      </c>
      <c r="T226" s="211">
        <f>IF(AND(ISNUMBER(T220),ISNUMBER(T225)),T225-T220,"")</f>
        <v>116.5</v>
      </c>
      <c r="U226" s="211">
        <f>IF(AND(ISNUMBER(U220),ISNUMBER(U225)),U225-U220,"")</f>
        <v>266</v>
      </c>
      <c r="V226" s="211">
        <f>IF(AND(ISNUMBER(V220),ISNUMBER(V225)),V225-V220,"")</f>
        <v>180.6</v>
      </c>
      <c r="W226" s="211">
        <f>IF(AND(ISNUMBER(W220),ISNUMBER(W225)),W225-W220,"")</f>
        <v>476.8</v>
      </c>
      <c r="X226" s="211">
        <f>IF(AND(ISNUMBER(X220),ISNUMBER(X225)),X225-X220,"")</f>
        <v>1039.6</v>
      </c>
      <c r="Y226" s="211">
        <f>IF(AND(ISNUMBER(Y220),ISNUMBER(Y225)),Y225-Y220,"")</f>
        <v>446.65</v>
      </c>
      <c r="Z226" s="211">
        <f>IF(AND(ISNUMBER(Z220),ISNUMBER(Z225)),Z225-Z220,"")</f>
        <v>311.9</v>
      </c>
      <c r="AA226" s="211">
        <f>IF(AND(ISNUMBER(AA220),ISNUMBER(AA225)),AA225-AA220,"")</f>
        <v>226.2</v>
      </c>
      <c r="AB226" s="211">
        <f>IF(AND(ISNUMBER(AB220),ISNUMBER(AB225)),AB225-AB220,"")</f>
        <v>409.1</v>
      </c>
      <c r="AC226" s="211">
        <f>IF(AND(ISNUMBER(AC220),ISNUMBER(AC225)),AC225-AC220,"")</f>
        <v>1393.5</v>
      </c>
      <c r="AD226" s="211">
        <f>IF(AND(ISNUMBER(AD220),ISNUMBER(AD225)),AD225-AD220,"")</f>
        <v>212.2</v>
      </c>
      <c r="AE226" s="211">
        <f>IF(AND(ISNUMBER(AE220),ISNUMBER(AE225)),AE225-AE220,"")</f>
        <v>419.05</v>
      </c>
      <c r="AF226" s="211">
        <f>IF(AND(ISNUMBER(AF220),ISNUMBER(AF225)),AF225-AF220,"")</f>
        <v>7.94999999999999</v>
      </c>
      <c r="AG226" s="211">
        <f>IF(AND(ISNUMBER(AG220),ISNUMBER(AG225)),AG225-AG220,"")</f>
        <v>9.70000000000005</v>
      </c>
      <c r="AH226" s="211">
        <f>IF(AND(ISNUMBER(AH220),ISNUMBER(AH225)),AH225-AH220,"")</f>
        <v>647.9</v>
      </c>
      <c r="AI226" s="211">
        <f>IF(AND(ISNUMBER(AI220),ISNUMBER(AI225)),AI225-AI220,"")</f>
        <v>236.81</v>
      </c>
      <c r="AJ226" s="211">
        <f>IF(AND(ISNUMBER(AJ220),ISNUMBER(AJ225)),AJ225-AJ220,"")</f>
        <v>101.09</v>
      </c>
      <c r="AK226" s="211">
        <f>IF(AND(ISNUMBER(AK220),ISNUMBER(AK225)),AK225-AK220,"")</f>
        <v>527.53</v>
      </c>
      <c r="AL226" s="211">
        <f>IF(AND(ISNUMBER(AL220),ISNUMBER(AL225)),AL225-AL220,"")</f>
        <v>368.79</v>
      </c>
      <c r="AM226" s="211">
        <f>IF(AND(ISNUMBER(AM220),ISNUMBER(AM225)),AM225-AM220,"")</f>
        <v>1235.43</v>
      </c>
      <c r="AN226" s="211">
        <f>IF(AND(ISNUMBER(AN220),ISNUMBER(AN225)),AN225-AN220,"")</f>
        <v>801.56</v>
      </c>
      <c r="AO226" s="211">
        <f>IF(AND(ISNUMBER(AO220),ISNUMBER(AO225)),AO225-AO220,"")</f>
        <v>262.67</v>
      </c>
      <c r="AP226" s="211">
        <f>IF(AND(ISNUMBER(AP220),ISNUMBER(AP225)),AP225-AP220,"")</f>
        <v>568.13</v>
      </c>
      <c r="AQ226" s="211">
        <f>IF(AND(ISNUMBER(AQ220),ISNUMBER(AQ225)),AQ225-AQ220,"")</f>
        <v>698.22</v>
      </c>
      <c r="AR226" s="211">
        <f>IF(AND(ISNUMBER(AR220),ISNUMBER(AR225)),AR225-AR220,"")</f>
        <v>2331.37</v>
      </c>
      <c r="AS226" s="211">
        <f>IF(AND(ISNUMBER(AS220),ISNUMBER(AS225)),AS225-AS220,"")</f>
        <v>829.26</v>
      </c>
      <c r="AT226" s="211">
        <f>IF(AND(ISNUMBER(AT220),ISNUMBER(AT225)),AT225-AT220,"")</f>
        <v>848.34</v>
      </c>
      <c r="AU226" s="211">
        <f>IF(AND(ISNUMBER(AU220),ISNUMBER(AU225)),AU225-AU220,"")</f>
        <v>374.75</v>
      </c>
      <c r="AV226" s="211">
        <f>IF(AND(ISNUMBER(AV220),ISNUMBER(AV225)),AV225-AV220,"")</f>
        <v>312.74</v>
      </c>
      <c r="AW226" s="211">
        <f>IF(AND(ISNUMBER(AW220),ISNUMBER(AW225)),AW225-AW220,"")</f>
        <v>2365.09</v>
      </c>
      <c r="AX226" s="211">
        <f>IF(AND(ISNUMBER(AX220),ISNUMBER(AX225)),AX225-AX220,"")</f>
        <v>1799.63</v>
      </c>
      <c r="AY226" s="211">
        <f>IF(AND(ISNUMBER(AY220),ISNUMBER(AY225)),AY225-AY220,"")</f>
        <v>603.19</v>
      </c>
      <c r="AZ226" s="211">
        <f>IF(AND(ISNUMBER(AZ220),ISNUMBER(AZ225)),AZ225-AZ220,"")</f>
        <v>1189.23</v>
      </c>
      <c r="BA226" s="211">
        <f>IF(AND(ISNUMBER(BA220),ISNUMBER(BA225)),BA225-BA220,"")</f>
        <v>-1873.98</v>
      </c>
      <c r="BB226" s="211">
        <f>IF(AND(ISNUMBER(BB220),ISNUMBER(BB225)),BB225-BB220,"")</f>
        <v>1718.07</v>
      </c>
      <c r="BC226" s="211">
        <f>IF(AND(ISNUMBER(BC220),ISNUMBER(BC225)),BC225-BC220,"")</f>
        <v>377.7</v>
      </c>
      <c r="BD226" s="211">
        <f>IF(AND(ISNUMBER(BD220),ISNUMBER(BD225)),BD225-BD220,"")</f>
        <v>527.45</v>
      </c>
      <c r="BE226" s="211">
        <f>IF(AND(ISNUMBER(BE220),ISNUMBER(BE225)),BE225-BE220,"")</f>
        <v>-90.3899999999999</v>
      </c>
      <c r="BF226" s="211">
        <f>IF(AND(ISNUMBER(BF220),ISNUMBER(BF225)),BF225-BF220,"")</f>
        <v>64.5</v>
      </c>
      <c r="BG226" s="211">
        <f>IF(AND(ISNUMBER(BG220),ISNUMBER(BG225)),BG225-BG220,"")</f>
        <v>879.26</v>
      </c>
      <c r="BH226" s="211">
        <f>IF(AND(ISNUMBER(BH220),ISNUMBER(BH225)),BH225-BH220,"")</f>
        <v>1146.03</v>
      </c>
      <c r="BI226" s="211">
        <f>IF(AND(ISNUMBER(BI220),ISNUMBER(BI225)),BI225-BI220,"")</f>
        <v>791.19</v>
      </c>
      <c r="BJ226" s="211">
        <f>IF(AND(ISNUMBER(BJ220),ISNUMBER(BJ225)),BJ225-BJ220,"")</f>
        <v>2089.49</v>
      </c>
      <c r="BK226" s="211">
        <f>IF(AND(ISNUMBER(BK220),ISNUMBER(BK225)),BK225-BK220,"")</f>
        <v>3001.31</v>
      </c>
      <c r="BL226" s="211">
        <f>IF(AND(ISNUMBER(BL220),ISNUMBER(BL225)),BL225-BL220,"")</f>
        <v>7028.02</v>
      </c>
      <c r="BM226" s="211">
        <f>IF(AND(ISNUMBER(BM220),ISNUMBER(BM225)),BM225-BM220,"")</f>
        <v>3028.33</v>
      </c>
      <c r="BN226" s="211">
        <f>IF(AND(ISNUMBER(BN220),ISNUMBER(BN225)),BN225-BN220,"")</f>
        <v>1770.78</v>
      </c>
      <c r="BO226" s="211">
        <f>IF(AND(ISNUMBER(BO220),ISNUMBER(BO225)),BO225-BO220,"")</f>
        <v>2711.67</v>
      </c>
      <c r="BP226" s="211">
        <f>IF(AND(ISNUMBER(BP220),ISNUMBER(BP225)),BP225-BP220,"")</f>
        <v>2226.72</v>
      </c>
      <c r="BQ226" s="211">
        <f>IF(AND(ISNUMBER(BQ220),ISNUMBER(BQ225)),BQ225-BQ220,"")</f>
        <v>9737.5</v>
      </c>
      <c r="BR226" s="211">
        <f>IF(AND(ISNUMBER(BR220),ISNUMBER(BR225)),BR225-BR220,"")</f>
        <v>3975.71</v>
      </c>
      <c r="BS226" s="211">
        <f>IF(AND(ISNUMBER(BS220),ISNUMBER(BS225)),BS225-BS220,"")</f>
        <v>2443.43</v>
      </c>
      <c r="BT226" s="211">
        <f>IF(AND(ISNUMBER(BT220),ISNUMBER(BT225)),BT225-BT220,"")</f>
        <v>5673.94</v>
      </c>
      <c r="BU226" s="211">
        <f>IF(AND(ISNUMBER(BU220),ISNUMBER(BU225)),BU225-BU220,"")</f>
        <v>5211.23</v>
      </c>
      <c r="BV226" s="211">
        <f>IF(AND(ISNUMBER(BV220),ISNUMBER(BV225)),BV225-BV220,"")</f>
        <v>17304.31</v>
      </c>
      <c r="BW226" s="211">
        <f>IF(AND(ISNUMBER(BW220),ISNUMBER(BW225)),BW225-BW220,"")</f>
        <v>6264.05</v>
      </c>
      <c r="BX226" s="211">
        <f>IF(AND(ISNUMBER(BX220),ISNUMBER(BX225)),BX225-BX220,"")</f>
        <v>6866.14</v>
      </c>
      <c r="BY226" s="254">
        <f>IF(AND(ISNUMBER(BY220),ISNUMBER(BY225)),BY225-BY220,"")</f>
        <v>4532.80948</v>
      </c>
      <c r="BZ226" s="254">
        <f>IF(AND(ISNUMBER(BZ220),ISNUMBER(BZ225)),BZ225-BZ220,"")</f>
        <v>5718.52462252893</v>
      </c>
      <c r="CA226" s="254">
        <f>IF(AND(ISNUMBER(CA220),ISNUMBER(CA225)),CA225-CA220,"")</f>
        <v>23381.5241025289</v>
      </c>
      <c r="CB226" s="254">
        <f>IF(AND(ISNUMBER(CB220),ISNUMBER(CB225)),CB225-CB220,"")</f>
        <v>24760.8479412425</v>
      </c>
      <c r="CC226" s="254">
        <f>IF(AND(ISNUMBER(CC220),ISNUMBER(CC225)),CC225-CC220,"")</f>
        <v>29954.9433204071</v>
      </c>
      <c r="CD226" s="254">
        <f>IF(AND(ISNUMBER(CD220),ISNUMBER(CD225)),CD225-CD220,"")</f>
        <v>35255.5761061347</v>
      </c>
      <c r="CE226" s="254">
        <f>IF(AND(ISNUMBER(CE220),ISNUMBER(CE225)),CE225-CE220,"")</f>
        <v>41079.7192493033</v>
      </c>
      <c r="CF226" s="19" t="n"/>
    </row>
    <row r="227" ht="15" customHeight="1" s="251">
      <c r="B227" s="25" t="inlineStr">
        <is>
          <t xml:space="preserve">  Adjusted effective tax rate</t>
        </is>
      </c>
      <c r="C227" s="215">
        <f>IF(AND(ISNUMBER(C226),ISNUMBER(C225)),IFERROR(C226/C225,""),"")</f>
        <v>0.498783783783784</v>
      </c>
      <c r="D227" s="215">
        <f>IF(AND(ISNUMBER(D226),ISNUMBER(D225)),IFERROR(D226/D225,""),"")</f>
        <v>0.279640718562874</v>
      </c>
      <c r="E227" s="215">
        <f>IF(AND(ISNUMBER(E226),ISNUMBER(E225)),IFERROR(E226/E225,""),"")</f>
        <v>0.269964871194379</v>
      </c>
      <c r="F227" s="215">
        <f>IF(AND(ISNUMBER(F226),ISNUMBER(F225)),IFERROR(F226/F225,""),"")</f>
        <v>0.214531802120141</v>
      </c>
      <c r="G227" s="215">
        <f>IF(AND(ISNUMBER(G226),ISNUMBER(G225)),IFERROR(G226/G225,""),"")</f>
        <v>0.228737658674189</v>
      </c>
      <c r="H227" s="215">
        <f>IF(AND(ISNUMBER(H226),ISNUMBER(H225)),IFERROR(H226/H225,""),"")</f>
        <v>0.308158508158508</v>
      </c>
      <c r="I227" s="215">
        <f>IF(AND(ISNUMBER(I226),ISNUMBER(I225)),IFERROR(I226/I225,""),"")</f>
        <v>0.730769230769231</v>
      </c>
      <c r="J227" s="215">
        <f>IF(AND(ISNUMBER(J226),ISNUMBER(J225)),IFERROR(J226/J225,""),"")</f>
        <v>0.0566455696202531</v>
      </c>
      <c r="K227" s="215">
        <f>IF(AND(ISNUMBER(K226),ISNUMBER(K225)),IFERROR(K226/K225,""),"")</f>
        <v>0.478181818181818</v>
      </c>
      <c r="L227" s="215">
        <f>IF(AND(ISNUMBER(L226),ISNUMBER(L225)),IFERROR(L226/L225,""),"")</f>
        <v>0.291346153846154</v>
      </c>
      <c r="M227" s="215">
        <f>IF(AND(ISNUMBER(M226),ISNUMBER(M225)),IFERROR(M226/M225,""),"")</f>
        <v>0.393970893970894</v>
      </c>
      <c r="N227" s="215">
        <f>IF(AND(ISNUMBER(N226),ISNUMBER(N225)),IFERROR(N226/N225,""),"")</f>
        <v>0.324922118380062</v>
      </c>
      <c r="O227" s="215">
        <f>IF(AND(ISNUMBER(O226),ISNUMBER(O225)),IFERROR(O226/O225,""),"")</f>
        <v>0.619565217391304</v>
      </c>
      <c r="P227" s="215">
        <f>IF(AND(ISNUMBER(P226),ISNUMBER(P225)),IFERROR(P226/P225,""),"")</f>
        <v>-1.76122448979592</v>
      </c>
      <c r="Q227" s="215">
        <f>IF(AND(ISNUMBER(Q226),ISNUMBER(Q225)),IFERROR(Q226/Q225,""),"")</f>
        <v>0.321061643835616</v>
      </c>
      <c r="R227" s="215">
        <f>IF(AND(ISNUMBER(R226),ISNUMBER(R225)),IFERROR(R226/R225,""),"")</f>
        <v>0.454476190476191</v>
      </c>
      <c r="S227" s="215">
        <f>IF(AND(ISNUMBER(S226),ISNUMBER(S225)),IFERROR(S226/S225,""),"")</f>
        <v>29.7571428571429</v>
      </c>
      <c r="T227" s="215">
        <f>IF(AND(ISNUMBER(T226),ISNUMBER(T225)),IFERROR(T226/T225,""),"")</f>
        <v>0.771523178807947</v>
      </c>
      <c r="U227" s="215">
        <f>IF(AND(ISNUMBER(U226),ISNUMBER(U225)),IFERROR(U226/U225,""),"")</f>
        <v>0.734806629834254</v>
      </c>
      <c r="V227" s="215">
        <f>IF(AND(ISNUMBER(V226),ISNUMBER(V225)),IFERROR(V226/V225,""),"")</f>
        <v>0.596039603960396</v>
      </c>
      <c r="W227" s="215">
        <f>IF(AND(ISNUMBER(W226),ISNUMBER(W225)),IFERROR(W226/W225,""),"")</f>
        <v>0.473956262425447</v>
      </c>
      <c r="X227" s="215">
        <f>IF(AND(ISNUMBER(X226),ISNUMBER(X225)),IFERROR(X226/X225,""),"")</f>
        <v>0.569956140350877</v>
      </c>
      <c r="Y227" s="215">
        <f>IF(AND(ISNUMBER(Y226),ISNUMBER(Y225)),IFERROR(Y226/Y225,""),"")</f>
        <v>0.458102564102564</v>
      </c>
      <c r="Z227" s="215">
        <f>IF(AND(ISNUMBER(Z226),ISNUMBER(Z225)),IFERROR(Z226/Z225,""),"")</f>
        <v>0.261441743503772</v>
      </c>
      <c r="AA227" s="215">
        <f>IF(AND(ISNUMBER(AA226),ISNUMBER(AA225)),IFERROR(AA226/AA225,""),"")</f>
        <v>0.46832298136646</v>
      </c>
      <c r="AB227" s="215">
        <f>IF(AND(ISNUMBER(AB226),ISNUMBER(AB225)),IFERROR(AB226/AB225,""),"")</f>
        <v>0.355121527777778</v>
      </c>
      <c r="AC227" s="215">
        <f>IF(AND(ISNUMBER(AC226),ISNUMBER(AC225)),IFERROR(AC226/AC225,""),"")</f>
        <v>0.366517622304051</v>
      </c>
      <c r="AD227" s="215">
        <f>IF(AND(ISNUMBER(AD226),ISNUMBER(AD225)),IFERROR(AD226/AD225,""),"")</f>
        <v>0.234475138121547</v>
      </c>
      <c r="AE227" s="215">
        <f>IF(AND(ISNUMBER(AE226),ISNUMBER(AE225)),IFERROR(AE226/AE225,""),"")</f>
        <v>0.792155009451796</v>
      </c>
      <c r="AF227" s="215">
        <f>IF(AND(ISNUMBER(AF226),ISNUMBER(AF225)),IFERROR(AF226/AF225,""),"")</f>
        <v>0.0459537572254335</v>
      </c>
      <c r="AG227" s="215">
        <f>IF(AND(ISNUMBER(AG226),ISNUMBER(AG225)),IFERROR(AG226/AG225,""),"")</f>
        <v>0.00523193096008633</v>
      </c>
      <c r="AH227" s="215">
        <f>IF(AND(ISNUMBER(AH226),ISNUMBER(AH225)),IFERROR(AH226/AH225,""),"")</f>
        <v>0.187254335260116</v>
      </c>
      <c r="AI227" s="215">
        <f>IF(AND(ISNUMBER(AI226),ISNUMBER(AI225)),IFERROR(AI226/AI225,""),"")</f>
        <v>0.141210494931425</v>
      </c>
      <c r="AJ227" s="215">
        <f>IF(AND(ISNUMBER(AJ226),ISNUMBER(AJ225)),IFERROR(AJ226/AJ225,""),"")</f>
        <v>0.0369751280175567</v>
      </c>
      <c r="AK227" s="215">
        <f>IF(AND(ISNUMBER(AK226),ISNUMBER(AK225)),IFERROR(AK226/AK225,""),"")</f>
        <v>0.151458512776342</v>
      </c>
      <c r="AL227" s="215">
        <f>IF(AND(ISNUMBER(AL226),ISNUMBER(AL225)),IFERROR(AL226/AL225,""),"")</f>
        <v>0.103913778529163</v>
      </c>
      <c r="AM227" s="215">
        <f>IF(AND(ISNUMBER(AM226),ISNUMBER(AM225)),IFERROR(AM226/AM225,""),"")</f>
        <v>0.10795438657812</v>
      </c>
      <c r="AN227" s="215">
        <f>IF(AND(ISNUMBER(AN226),ISNUMBER(AN225)),IFERROR(AN226/AN225,""),"")</f>
        <v>0.189181024309653</v>
      </c>
      <c r="AO227" s="215">
        <f>IF(AND(ISNUMBER(AO226),ISNUMBER(AO225)),IFERROR(AO226/AO225,""),"")</f>
        <v>0.0900788751714678</v>
      </c>
      <c r="AP227" s="215">
        <f>IF(AND(ISNUMBER(AP226),ISNUMBER(AP225)),IFERROR(AP226/AP225,""),"")</f>
        <v>0.190328308207705</v>
      </c>
      <c r="AQ227" s="215">
        <f>IF(AND(ISNUMBER(AQ226),ISNUMBER(AQ225)),IFERROR(AQ226/AQ225,""),"")</f>
        <v>0.192082530949106</v>
      </c>
      <c r="AR227" s="215">
        <f>IF(AND(ISNUMBER(AR226),ISNUMBER(AR225)),IFERROR(AR226/AR225,""),"")</f>
        <v>0.169271037537211</v>
      </c>
      <c r="AS227" s="215">
        <f>IF(AND(ISNUMBER(AS226),ISNUMBER(AS225)),IFERROR(AS226/AS225,""),"")</f>
        <v>0.218859857482185</v>
      </c>
      <c r="AT227" s="215">
        <f>IF(AND(ISNUMBER(AT226),ISNUMBER(AT225)),IFERROR(AT226/AT225,""),"")</f>
        <v>0.152168609865471</v>
      </c>
      <c r="AU227" s="215">
        <f>IF(AND(ISNUMBER(AU226),ISNUMBER(AU225)),IFERROR(AU226/AU225,""),"")</f>
        <v>0.0636896668932699</v>
      </c>
      <c r="AV227" s="215">
        <f>IF(AND(ISNUMBER(AV226),ISNUMBER(AV225)),IFERROR(AV226/AV225,""),"")</f>
        <v>0.0476810489403872</v>
      </c>
      <c r="AW227" s="215">
        <f>IF(AND(ISNUMBER(AW226),ISNUMBER(AW225)),IFERROR(AW226/AW225,""),"")</f>
        <v>0.108455541798505</v>
      </c>
      <c r="AX227" s="215">
        <f>IF(AND(ISNUMBER(AX226),ISNUMBER(AX225)),IFERROR(AX226/AX225,""),"")</f>
        <v>0.209967331699918</v>
      </c>
      <c r="AY227" s="215">
        <f>IF(AND(ISNUMBER(AY226),ISNUMBER(AY225)),IFERROR(AY226/AY225,""),"")</f>
        <v>0.0818106605181066</v>
      </c>
      <c r="AZ227" s="215">
        <f>IF(AND(ISNUMBER(AZ226),ISNUMBER(AZ225)),IFERROR(AZ226/AZ225,""),"")</f>
        <v>0.265571683787405</v>
      </c>
      <c r="BA227" s="215">
        <f>IF(AND(ISNUMBER(BA226),ISNUMBER(BA225)),IFERROR(BA226/BA225,""),"")</f>
        <v>-0.605290697674419</v>
      </c>
      <c r="BB227" s="215">
        <f>IF(AND(ISNUMBER(BB226),ISNUMBER(BB225)),IFERROR(BB226/BB225,""),"")</f>
        <v>0.0730534059018624</v>
      </c>
      <c r="BC227" s="215">
        <f>IF(AND(ISNUMBER(BC226),ISNUMBER(BC225)),IFERROR(BC226/BC225,""),"")</f>
        <v>0.11428139183056</v>
      </c>
      <c r="BD227" s="215">
        <f>IF(AND(ISNUMBER(BD226),ISNUMBER(BD225)),IFERROR(BD226/BD225,""),"")</f>
        <v>0.182382434301521</v>
      </c>
      <c r="BE227" s="215">
        <f>IF(AND(ISNUMBER(BE226),ISNUMBER(BE225)),IFERROR(BE226/BE225,""),"")</f>
        <v>-0.0413684210526315</v>
      </c>
      <c r="BF227" s="215">
        <f>IF(AND(ISNUMBER(BF226),ISNUMBER(BF225)),IFERROR(BF226/BF225,""),"")</f>
        <v>0.0124325366229761</v>
      </c>
      <c r="BG227" s="215">
        <f>IF(AND(ISNUMBER(BG226),ISNUMBER(BG225)),IFERROR(BG226/BG225,""),"")</f>
        <v>0.0647943994104643</v>
      </c>
      <c r="BH227" s="215">
        <f>IF(AND(ISNUMBER(BH226),ISNUMBER(BH225)),IFERROR(BH226/BH225,""),"")</f>
        <v>0.226398656657448</v>
      </c>
      <c r="BI227" s="215">
        <f>IF(AND(ISNUMBER(BI226),ISNUMBER(BI225)),IFERROR(BI226/BI225,""),"")</f>
        <v>0.105463876299653</v>
      </c>
      <c r="BJ227" s="215">
        <f>IF(AND(ISNUMBER(BJ226),ISNUMBER(BJ225)),IFERROR(BJ226/BJ225,""),"")</f>
        <v>0.187263846567485</v>
      </c>
      <c r="BK227" s="215">
        <f>IF(AND(ISNUMBER(BK226),ISNUMBER(BK225)),IFERROR(BK226/BK225,""),"")</f>
        <v>0.224028513846383</v>
      </c>
      <c r="BL227" s="215">
        <f>IF(AND(ISNUMBER(BL226),ISNUMBER(BL225)),IFERROR(BL226/BL225,""),"")</f>
        <v>0.18933753603276</v>
      </c>
      <c r="BM227" s="215">
        <f>IF(AND(ISNUMBER(BM226),ISNUMBER(BM225)),IFERROR(BM226/BM225,""),"")</f>
        <v>0.193429356157384</v>
      </c>
      <c r="BN227" s="215">
        <f>IF(AND(ISNUMBER(BN226),ISNUMBER(BN225)),IFERROR(BN226/BN225,""),"")</f>
        <v>0.116017820874009</v>
      </c>
      <c r="BO227" s="215">
        <f>IF(AND(ISNUMBER(BO226),ISNUMBER(BO225)),IFERROR(BO226/BO225,""),"")</f>
        <v>0.150114592559787</v>
      </c>
      <c r="BP227" s="215">
        <f>IF(AND(ISNUMBER(BP226),ISNUMBER(BP225)),IFERROR(BP226/BP225,""),"")</f>
        <v>0.101765001599561</v>
      </c>
      <c r="BQ227" s="215">
        <f>IF(AND(ISNUMBER(BQ226),ISNUMBER(BQ225)),IFERROR(BQ226/BQ225,""),"")</f>
        <v>0.137411097313163</v>
      </c>
      <c r="BR227" s="215">
        <f>IF(AND(ISNUMBER(BR226),ISNUMBER(BR225)),IFERROR(BR226/BR225,""),"")</f>
        <v>0.210021658742736</v>
      </c>
      <c r="BS227" s="215">
        <f>IF(AND(ISNUMBER(BS226),ISNUMBER(BS225)),IFERROR(BS226/BS225,""),"")</f>
        <v>0.123780648429585</v>
      </c>
      <c r="BT227" s="215">
        <f>IF(AND(ISNUMBER(BT226),ISNUMBER(BT225)),IFERROR(BT226/BT225,""),"")</f>
        <v>0.254619457907018</v>
      </c>
      <c r="BU227" s="215">
        <f>IF(AND(ISNUMBER(BU226),ISNUMBER(BU225)),IFERROR(BU226/BU225,""),"")</f>
        <v>0.186996914023252</v>
      </c>
      <c r="BV227" s="215">
        <f>IF(AND(ISNUMBER(BV226),ISNUMBER(BV225)),IFERROR(BV226/BV225,""),"")</f>
        <v>0.194820089617437</v>
      </c>
      <c r="BW227" s="215">
        <f>IF(AND(ISNUMBER(BW226),ISNUMBER(BW225)),IFERROR(BW226/BW225,""),"")</f>
        <v>0.259499150751895</v>
      </c>
      <c r="BX227" s="215">
        <f>IF(AND(ISNUMBER(BX226),ISNUMBER(BX225)),IFERROR(BX226/BX225,""),"")</f>
        <v>0.255332267301328</v>
      </c>
      <c r="BY227" s="256">
        <f>IF(AND(ISNUMBER(BY226),ISNUMBER(BY225)),IFERROR(BY226/BY225,""),"")</f>
        <v>0.19</v>
      </c>
      <c r="BZ227" s="256">
        <f>IF(AND(ISNUMBER(BZ226),ISNUMBER(BZ225)),IFERROR(BZ226/BZ225,""),"")</f>
        <v>0.19</v>
      </c>
      <c r="CA227" s="256">
        <f>IF(AND(ISNUMBER(CA226),ISNUMBER(CA225)),IFERROR(CA226/CA225,""),"")</f>
        <v>0.222714292092039</v>
      </c>
      <c r="CB227" s="256">
        <f>IF(AND(ISNUMBER(CB226),ISNUMBER(CB225)),IFERROR(CB226/CB225,""),"")</f>
        <v>0.19</v>
      </c>
      <c r="CC227" s="256">
        <f>IF(AND(ISNUMBER(CC226),ISNUMBER(CC225)),IFERROR(CC226/CC225,""),"")</f>
        <v>0.19</v>
      </c>
      <c r="CD227" s="256">
        <f>IF(AND(ISNUMBER(CD226),ISNUMBER(CD225)),IFERROR(CD226/CD225,""),"")</f>
        <v>0.19</v>
      </c>
      <c r="CE227" s="256">
        <f>IF(AND(ISNUMBER(CE226),ISNUMBER(CE225)),IFERROR(CE226/CE225,""),"")</f>
        <v>0.19</v>
      </c>
      <c r="CF227" s="153" t="n"/>
      <c r="CH227" s="37">
        <f>IFERROR(AVERAGE(CA227,CB227,CC227,CD227,CE227),"n/m")</f>
        <v>0.196542858418408</v>
      </c>
      <c r="CI227" s="37">
        <f>IFERROR(AVERAGE(BB227,BG227,BL227,BQ227,BV227),"n/m")</f>
        <v>0.131883305655137</v>
      </c>
      <c r="CJ227" s="37">
        <f>IFERROR(AVERAGE(AC227,AH227,AM227,AR227,AW227,BB227,BG227,BL227,BQ227,BV227),"n/m")</f>
        <v>0.159886945175369</v>
      </c>
      <c r="CK227" s="37">
        <f>IFERROR(AVERAGE(C227,D227,E227,F227,G227,H227,I227,N227,S227,X227,AC227,AH227,AM227,AR227,AW227,BB227,BG227,BL227,BQ227,BV227),"n/m")</f>
        <v>1.73907385704453</v>
      </c>
    </row>
    <row r="228" ht="15" customHeight="1" s="251">
      <c r="B228" s="158" t="inlineStr">
        <is>
          <t xml:space="preserve">  Definition / basis</t>
        </is>
      </c>
      <c r="C228" s="280" t="inlineStr">
        <is>
          <t>Model definition (Amazon publishes no adjusted EPS): ex other income (expense), net and equity-method activity, + special items; statutory tax 35%</t>
        </is>
      </c>
      <c r="J228" s="159" t="n"/>
      <c r="AJ228" s="159" t="n"/>
      <c r="AM228" s="280" t="inlineStr">
        <is>
          <t>From 2018: adjustments tax-effected at the 21% US statutory rate</t>
        </is>
      </c>
      <c r="AN228" s="159" t="n"/>
      <c r="BA228" s="280" t="inlineStr">
        <is>
          <t>Q4-21–2024: excludes Rivian marks (in other income); 2025–26: excludes Anthropic gains</t>
        </is>
      </c>
      <c r="BM228" s="159" t="n"/>
      <c r="BT228" s="159" t="n"/>
      <c r="BY228" s="153" t="n"/>
      <c r="BZ228" s="153" t="n"/>
      <c r="CA228" s="153" t="n"/>
      <c r="CB228" s="153" t="n"/>
      <c r="CC228" s="153" t="n"/>
      <c r="CD228" s="153" t="n"/>
      <c r="CE228" s="153" t="n"/>
      <c r="CF228" s="19" t="n"/>
    </row>
    <row r="229" ht="15" customHeight="1" s="251">
      <c r="CN229" s="11" t="n"/>
      <c r="CO229" s="12" t="n"/>
      <c r="CP229" s="12" t="n"/>
      <c r="CQ229" s="12" t="n"/>
      <c r="CR229" s="13" t="n"/>
    </row>
    <row r="230" ht="15" customHeight="1" s="251">
      <c r="B230" s="10" t="inlineStr">
        <is>
          <t>GROWTH &amp; MARGINS</t>
        </is>
      </c>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c r="AJ230" s="10" t="n"/>
      <c r="AK230" s="10" t="n"/>
      <c r="AL230" s="10" t="n"/>
      <c r="AM230" s="10" t="n"/>
      <c r="AN230" s="10" t="n"/>
      <c r="AO230" s="10" t="n"/>
      <c r="AP230" s="10" t="n"/>
      <c r="AQ230" s="10" t="n"/>
      <c r="AR230" s="10" t="n"/>
      <c r="AS230" s="10" t="n"/>
      <c r="AT230" s="10" t="n"/>
      <c r="AU230" s="10" t="n"/>
      <c r="AV230" s="10" t="n"/>
      <c r="AW230" s="10" t="n"/>
      <c r="AX230" s="10" t="n"/>
      <c r="AY230" s="10" t="n"/>
      <c r="AZ230" s="10" t="n"/>
      <c r="BA230" s="10" t="n"/>
      <c r="BB230" s="10" t="n"/>
      <c r="BC230" s="10" t="n"/>
      <c r="BD230" s="10" t="n"/>
      <c r="BE230" s="10" t="n"/>
      <c r="BF230" s="10" t="n"/>
      <c r="BG230" s="10" t="n"/>
      <c r="BH230" s="10" t="n"/>
      <c r="BI230" s="10" t="n"/>
      <c r="BJ230" s="10" t="n"/>
      <c r="BK230" s="10" t="n"/>
      <c r="BL230" s="10" t="n"/>
      <c r="BM230" s="10" t="n"/>
      <c r="BN230" s="10" t="n"/>
      <c r="BO230" s="10" t="n"/>
      <c r="BP230" s="10" t="n"/>
      <c r="BQ230" s="10" t="n"/>
      <c r="BR230" s="10" t="n"/>
      <c r="BS230" s="10" t="n"/>
      <c r="BT230" s="10" t="n"/>
      <c r="BU230" s="10" t="n"/>
      <c r="BV230" s="10" t="n"/>
      <c r="BW230" s="10" t="n"/>
      <c r="BX230" s="10" t="n"/>
      <c r="BY230" s="10" t="n"/>
      <c r="BZ230" s="10" t="n"/>
      <c r="CA230" s="10" t="n"/>
      <c r="CB230" s="10" t="n"/>
      <c r="CC230" s="10" t="n"/>
      <c r="CD230" s="10" t="n"/>
      <c r="CE230" s="10" t="n"/>
      <c r="CF230" s="10" t="inlineStr">
        <is>
          <t>GROWTH &amp; MARGINS (consolidated) — forecast outputs</t>
        </is>
      </c>
    </row>
    <row r="231" ht="15" customHeight="1" s="251">
      <c r="B231" s="22" t="inlineStr">
        <is>
          <t xml:space="preserve">  Net sales y/y %</t>
        </is>
      </c>
      <c r="D231" s="255">
        <f>IF(AND(ISNUMBER(D144),ISNUMBER(C144)),IFERROR(D144/C144-1,""),"")</f>
        <v>0.385024740920549</v>
      </c>
      <c r="E231" s="255">
        <f>IF(AND(ISNUMBER(E144),ISNUMBER(D144)),IFERROR(E144/D144-1,""),"")</f>
        <v>0.291944725311763</v>
      </c>
      <c r="F231" s="255">
        <f>IF(AND(ISNUMBER(F144),ISNUMBER(E144)),IFERROR(F144/E144-1,""),"")</f>
        <v>0.278774913910049</v>
      </c>
      <c r="G231" s="255">
        <f>IF(AND(ISNUMBER(G144),ISNUMBER(F144)),IFERROR(G144/F144-1,""),"")</f>
        <v>0.395568974662369</v>
      </c>
      <c r="H231" s="255">
        <f>IF(AND(ISNUMBER(H144),ISNUMBER(G144)),IFERROR(H144/G144-1,""),"")</f>
        <v>0.405595836744241</v>
      </c>
      <c r="I231" s="255">
        <f>IF(AND(ISNUMBER(I144),ISNUMBER(H144)),IFERROR(I144/H144-1,""),"")</f>
        <v>0.270732366828213</v>
      </c>
      <c r="N231" s="255">
        <f>IF(AND(ISNUMBER(N144),ISNUMBER(I144)),IFERROR(N144/I144-1,""),"")</f>
        <v>0.218666623017367</v>
      </c>
      <c r="O231" s="255">
        <f>IF(AND(ISNUMBER(O144),ISNUMBER(J144)),IFERROR(O144/J144-1,""),"")</f>
        <v>0.22843808338519</v>
      </c>
      <c r="P231" s="255">
        <f>IF(AND(ISNUMBER(P144),ISNUMBER(K144)),IFERROR(P144/K144-1,""),"")</f>
        <v>0.231533367294957</v>
      </c>
      <c r="Q231" s="255">
        <f>IF(AND(ISNUMBER(Q144),ISNUMBER(L144)),IFERROR(Q144/L144-1,""),"")</f>
        <v>0.204013573601685</v>
      </c>
      <c r="R231" s="255">
        <f>IF(AND(ISNUMBER(R144),ISNUMBER(M144)),IFERROR(R144/M144-1,""),"")</f>
        <v>0.146207058271779</v>
      </c>
      <c r="S231" s="255">
        <f>IF(AND(ISNUMBER(S144),ISNUMBER(N144)),IFERROR(S144/N144-1,""),"")</f>
        <v>0.195239886101112</v>
      </c>
      <c r="T231" s="255">
        <f>IF(AND(ISNUMBER(T144),ISNUMBER(O144)),IFERROR(T144/O144-1,""),"")</f>
        <v>0.150752241527785</v>
      </c>
      <c r="U231" s="255">
        <f>IF(AND(ISNUMBER(U144),ISNUMBER(P144)),IFERROR(U144/P144-1,""),"")</f>
        <v>0.198810754912099</v>
      </c>
      <c r="V231" s="255">
        <f>IF(AND(ISNUMBER(V144),ISNUMBER(Q144)),IFERROR(V144/Q144-1,""),"")</f>
        <v>0.232227027552359</v>
      </c>
      <c r="W231" s="255">
        <f>IF(AND(ISNUMBER(W144),ISNUMBER(R144)),IFERROR(W144/R144-1,""),"")</f>
        <v>0.218869339879978</v>
      </c>
      <c r="X231" s="255">
        <f>IF(AND(ISNUMBER(X144),ISNUMBER(S144)),IFERROR(X144/S144-1,""),"")</f>
        <v>0.202476738436643</v>
      </c>
      <c r="Y231" s="255">
        <f>IF(AND(ISNUMBER(Y144),ISNUMBER(T144)),IFERROR(Y144/T144-1,""),"")</f>
        <v>0.28221155962495</v>
      </c>
      <c r="Z231" s="255">
        <f>IF(AND(ISNUMBER(Z144),ISNUMBER(U144)),IFERROR(Z144/U144-1,""),"")</f>
        <v>0.311365106750054</v>
      </c>
      <c r="AA231" s="255">
        <f>IF(AND(ISNUMBER(AA144),ISNUMBER(V144)),IFERROR(AA144/V144-1,""),"")</f>
        <v>0.290085968924994</v>
      </c>
      <c r="AB231" s="255">
        <f>IF(AND(ISNUMBER(AB144),ISNUMBER(W144)),IFERROR(AB144/W144-1,""),"")</f>
        <v>0.223627157523708</v>
      </c>
      <c r="AC231" s="255">
        <f>IF(AND(ISNUMBER(AC144),ISNUMBER(X144)),IFERROR(AC144/X144-1,""),"")</f>
        <v>0.270835280264658</v>
      </c>
      <c r="AD231" s="255">
        <f>IF(AND(ISNUMBER(AD144),ISNUMBER(Y144)),IFERROR(AD144/Y144-1,""),"")</f>
        <v>0.226105465531447</v>
      </c>
      <c r="AE231" s="255">
        <f>IF(AND(ISNUMBER(AE144),ISNUMBER(Z144)),IFERROR(AE144/Z144-1,""),"")</f>
        <v>0.248355479542165</v>
      </c>
      <c r="AF231" s="255">
        <f>IF(AND(ISNUMBER(AF144),ISNUMBER(AA144)),IFERROR(AF144/AA144-1,""),"")</f>
        <v>0.33716451672067</v>
      </c>
      <c r="AG231" s="255">
        <f>IF(AND(ISNUMBER(AG144),ISNUMBER(AB144)),IFERROR(AG144/AB144-1,""),"")</f>
        <v>0.382067168103153</v>
      </c>
      <c r="AH231" s="255">
        <f>IF(AND(ISNUMBER(AH144),ISNUMBER(AC144)),IFERROR(AH144/AC144-1,""),"")</f>
        <v>0.307963261194085</v>
      </c>
      <c r="AI231" s="255">
        <f>IF(AND(ISNUMBER(AI144),ISNUMBER(AD144)),IFERROR(AI144/AD144-1,""),"")</f>
        <v>0.429187433499468</v>
      </c>
      <c r="AJ231" s="255">
        <f>IF(AND(ISNUMBER(AJ144),ISNUMBER(AE144)),IFERROR(AJ144/AE144-1,""),"")</f>
        <v>0.393386905546041</v>
      </c>
      <c r="AK231" s="255">
        <f>IF(AND(ISNUMBER(AK144),ISNUMBER(AF144)),IFERROR(AK144/AF144-1,""),"")</f>
        <v>0.293343087051938</v>
      </c>
      <c r="AL231" s="255">
        <f>IF(AND(ISNUMBER(AL144),ISNUMBER(AG144)),IFERROR(AL144/AG144-1,""),"")</f>
        <v>0.197343390733297</v>
      </c>
      <c r="AM231" s="255">
        <f>IF(AND(ISNUMBER(AM144),ISNUMBER(AH144)),IFERROR(AM144/AH144-1,""),"")</f>
        <v>0.309339615215949</v>
      </c>
      <c r="AN231" s="255">
        <f>IF(AND(ISNUMBER(AN144),ISNUMBER(AI144)),IFERROR(AN144/AI144-1,""),"")</f>
        <v>0.169625014693782</v>
      </c>
      <c r="AO231" s="255">
        <f>IF(AND(ISNUMBER(AO144),ISNUMBER(AJ144)),IFERROR(AO144/AJ144-1,""),"")</f>
        <v>0.198880611125818</v>
      </c>
      <c r="AP231" s="255">
        <f>IF(AND(ISNUMBER(AP144),ISNUMBER(AK144)),IFERROR(AP144/AK144-1,""),"")</f>
        <v>0.236937924208145</v>
      </c>
      <c r="AQ231" s="255">
        <f>IF(AND(ISNUMBER(AQ144),ISNUMBER(AL144)),IFERROR(AQ144/AL144-1,""),"")</f>
        <v>0.207977011176657</v>
      </c>
      <c r="AR231" s="255">
        <f>IF(AND(ISNUMBER(AR144),ISNUMBER(AM144)),IFERROR(AR144/AM144-1,""),"")</f>
        <v>0.20454125820677</v>
      </c>
      <c r="AS231" s="255">
        <f>IF(AND(ISNUMBER(AS144),ISNUMBER(AN144)),IFERROR(AS144/AN144-1,""),"")</f>
        <v>0.263852596314908</v>
      </c>
      <c r="AT231" s="255">
        <f>IF(AND(ISNUMBER(AT144),ISNUMBER(AO144)),IFERROR(AT144/AO144-1,""),"")</f>
        <v>0.402309002586588</v>
      </c>
      <c r="AU231" s="255">
        <f>IF(AND(ISNUMBER(AU144),ISNUMBER(AP144)),IFERROR(AU144/AP144-1,""),"")</f>
        <v>0.373872908360841</v>
      </c>
      <c r="AV231" s="255">
        <f>IF(AND(ISNUMBER(AV144),ISNUMBER(AQ144)),IFERROR(AV144/AQ144-1,""),"")</f>
        <v>0.43594816839553</v>
      </c>
      <c r="AW231" s="255">
        <f>IF(AND(ISNUMBER(AW144),ISNUMBER(AR144)),IFERROR(AW144/AR144-1,""),"")</f>
        <v>0.376234306043733</v>
      </c>
      <c r="AX231" s="255">
        <f>IF(AND(ISNUMBER(AX144),ISNUMBER(AS144)),IFERROR(AX144/AS144-1,""),"")</f>
        <v>0.438238880347771</v>
      </c>
      <c r="AY231" s="255">
        <f>IF(AND(ISNUMBER(AY144),ISNUMBER(AT144)),IFERROR(AY144/AT144-1,""),"")</f>
        <v>0.271819326974986</v>
      </c>
      <c r="AZ231" s="255">
        <f>IF(AND(ISNUMBER(AZ144),ISNUMBER(AU144)),IFERROR(AZ144/AU144-1,""),"")</f>
        <v>0.15255083467679</v>
      </c>
      <c r="BA231" s="255">
        <f>IF(AND(ISNUMBER(BA144),ISNUMBER(AV144)),IFERROR(BA144/AV144-1,""),"")</f>
        <v>0.0944367010473497</v>
      </c>
      <c r="BB231" s="255">
        <f>IF(AND(ISNUMBER(BB144),ISNUMBER(AW144)),IFERROR(BB144/AW144-1,""),"")</f>
        <v>0.216953665713457</v>
      </c>
      <c r="BC231" s="255">
        <f>IF(AND(ISNUMBER(BC144),ISNUMBER(AX144)),IFERROR(BC144/AX144-1,""),"")</f>
        <v>0.0730385742457473</v>
      </c>
      <c r="BD231" s="255">
        <f>IF(AND(ISNUMBER(BD144),ISNUMBER(AY144)),IFERROR(BD144/AY144-1,""),"")</f>
        <v>0.0721082419526</v>
      </c>
      <c r="BE231" s="255">
        <f>IF(AND(ISNUMBER(BE144),ISNUMBER(AZ144)),IFERROR(BE144/AZ144-1,""),"")</f>
        <v>0.146996715157203</v>
      </c>
      <c r="BF231" s="255">
        <f>IF(AND(ISNUMBER(BF144),ISNUMBER(BA144)),IFERROR(BF144/BA144-1,""),"")</f>
        <v>0.0858149215497919</v>
      </c>
      <c r="BG231" s="255">
        <f>IF(AND(ISNUMBER(BG144),ISNUMBER(BB144)),IFERROR(BG144/BB144-1,""),"")</f>
        <v>0.0939951726398509</v>
      </c>
      <c r="BH231" s="255">
        <f>IF(AND(ISNUMBER(BH144),ISNUMBER(BC144)),IFERROR(BH144/BC144-1,""),"")</f>
        <v>0.0937274569750266</v>
      </c>
      <c r="BI231" s="255">
        <f>IF(AND(ISNUMBER(BI144),ISNUMBER(BD144)),IFERROR(BI144/BD144-1,""),"")</f>
        <v>0.108459673029018</v>
      </c>
      <c r="BJ231" s="255">
        <f>IF(AND(ISNUMBER(BJ144),ISNUMBER(BE144)),IFERROR(BJ144/BE144-1,""),"")</f>
        <v>0.125742519728405</v>
      </c>
      <c r="BK231" s="255">
        <f>IF(AND(ISNUMBER(BK144),ISNUMBER(BF144)),IFERROR(BK144/BF144-1,""),"")</f>
        <v>0.1391182542023</v>
      </c>
      <c r="BL231" s="255">
        <f>IF(AND(ISNUMBER(BL144),ISNUMBER(BG144)),IFERROR(BL144/BG144-1,""),"")</f>
        <v>0.118295741298837</v>
      </c>
      <c r="BM231" s="255">
        <f>IF(AND(ISNUMBER(BM144),ISNUMBER(BH144)),IFERROR(BM144/BH144-1,""),"")</f>
        <v>0.125276778843889</v>
      </c>
      <c r="BN231" s="255">
        <f>IF(AND(ISNUMBER(BN144),ISNUMBER(BI144)),IFERROR(BN144/BI144-1,""),"")</f>
        <v>0.101158628695594</v>
      </c>
      <c r="BO231" s="255">
        <f>IF(AND(ISNUMBER(BO144),ISNUMBER(BJ144)),IFERROR(BO144/BJ144-1,""),"")</f>
        <v>0.110383483712251</v>
      </c>
      <c r="BP231" s="255">
        <f>IF(AND(ISNUMBER(BP144),ISNUMBER(BK144)),IFERROR(BP144/BK144-1,""),"")</f>
        <v>0.104912303410782</v>
      </c>
      <c r="BQ231" s="255">
        <f>IF(AND(ISNUMBER(BQ144),ISNUMBER(BL144)),IFERROR(BQ144/BL144-1,""),"")</f>
        <v>0.109908922466661</v>
      </c>
      <c r="BR231" s="255">
        <f>IF(AND(ISNUMBER(BR144),ISNUMBER(BM144)),IFERROR(BR144/BM144-1,""),"")</f>
        <v>0.0862029264616608</v>
      </c>
      <c r="BS231" s="255">
        <f>IF(AND(ISNUMBER(BS144),ISNUMBER(BN144)),IFERROR(BS144/BN144-1,""),"")</f>
        <v>0.133297742216696</v>
      </c>
      <c r="BT231" s="255">
        <f>IF(AND(ISNUMBER(BT144),ISNUMBER(BO144)),IFERROR(BT144/BO144-1,""),"")</f>
        <v>0.134015622147951</v>
      </c>
      <c r="BU231" s="255">
        <f>IF(AND(ISNUMBER(BU144),ISNUMBER(BP144)),IFERROR(BU144/BP144-1,""),"")</f>
        <v>0.136289085797052</v>
      </c>
      <c r="BV231" s="255">
        <f>IF(AND(ISNUMBER(BV144),ISNUMBER(BQ144)),IFERROR(BV144/BQ144-1,""),"")</f>
        <v>0.123777546832947</v>
      </c>
      <c r="BW231" s="255">
        <f>IF(AND(ISNUMBER(BW144),ISNUMBER(BR144)),IFERROR(BW144/BR144-1,""),"")</f>
        <v>0.166072449523663</v>
      </c>
      <c r="BX231" s="255">
        <f>IF(AND(ISNUMBER(BX144),ISNUMBER(BS144)),IFERROR(BX144/BS144-1,""),"")</f>
        <v>0.196205173462451</v>
      </c>
      <c r="BY231" s="256">
        <f>IF(AND(ISNUMBER(BY144),ISNUMBER(BT144)),IFERROR(BY144/BT144-1,""),"")</f>
        <v>0.107293707574555</v>
      </c>
      <c r="BZ231" s="256">
        <f>IF(AND(ISNUMBER(BZ144),ISNUMBER(BU144)),IFERROR(BZ144/BU144-1,""),"")</f>
        <v>0.142987234443344</v>
      </c>
      <c r="CA231" s="256">
        <f>IF(AND(ISNUMBER(CA144),ISNUMBER(BV144)),IFERROR(CA144/BV144-1,""),"")</f>
        <v>0.15147836313044</v>
      </c>
      <c r="CB231" s="256">
        <f>IF(AND(ISNUMBER(CB144),ISNUMBER(CA144)),IFERROR(CB144/CA144-1,""),"")</f>
        <v>0.143471851985412</v>
      </c>
      <c r="CC231" s="256">
        <f>IF(AND(ISNUMBER(CC144),ISNUMBER(CB144)),IFERROR(CC144/CB144-1,""),"")</f>
        <v>0.132910041328194</v>
      </c>
      <c r="CD231" s="256">
        <f>IF(AND(ISNUMBER(CD144),ISNUMBER(CC144)),IFERROR(CD144/CC144-1,""),"")</f>
        <v>0.120894972715366</v>
      </c>
      <c r="CE231" s="256">
        <f>IF(AND(ISNUMBER(CE144),ISNUMBER(CD144)),IFERROR(CE144/CD144-1,""),"")</f>
        <v>0.109710617581103</v>
      </c>
      <c r="CF231" s="153" t="n"/>
      <c r="CH231" s="37">
        <f>IFERROR(AVERAGE(CA231,CB231,CC231,CD231,CE231),"n/m")</f>
        <v>0.131693169348103</v>
      </c>
      <c r="CI231" s="37">
        <f>IFERROR(AVERAGE(BB231,BG231,BL231,BQ231,BV231),"n/m")</f>
        <v>0.132586209790351</v>
      </c>
      <c r="CJ231" s="37">
        <f>IFERROR(AVERAGE(AC231,AH231,AM231,AR231,AW231,BB231,BG231,BL231,BQ231,BV231),"n/m")</f>
        <v>0.213184476987695</v>
      </c>
      <c r="CK231" s="37">
        <f>IFERROR(AVERAGE(C231,D231,E231,F231,G231,H231,I231,N231,S231,X231,AC231,AH231,AM231,AR231,AW231,BB231,BG231,BL231,BQ231,BV231),"n/m")</f>
        <v>0.25136155662154</v>
      </c>
    </row>
    <row r="232" ht="15" customHeight="1" s="251">
      <c r="B232" s="22" t="inlineStr">
        <is>
          <t xml:space="preserve">  AWS segment net sales y/y %</t>
        </is>
      </c>
      <c r="D232" s="255">
        <f>IF(AND(ISNUMBER(D56),ISNUMBER(C56)),IFERROR(D56/C56-1,""),"")</f>
      </c>
      <c r="E232" s="255">
        <f>IF(AND(ISNUMBER(E56),ISNUMBER(D56)),IFERROR(E56/D56-1,""),"")</f>
      </c>
      <c r="F232" s="255">
        <f>IF(AND(ISNUMBER(F56),ISNUMBER(E56)),IFERROR(F56/E56-1,""),"")</f>
      </c>
      <c r="G232" s="255">
        <f>IF(AND(ISNUMBER(G56),ISNUMBER(F56)),IFERROR(G56/F56-1,""),"")</f>
      </c>
      <c r="H232" s="255">
        <f>IF(AND(ISNUMBER(H56),ISNUMBER(G56)),IFERROR(H56/G56-1,""),"")</f>
      </c>
      <c r="I232" s="255">
        <f>IF(AND(ISNUMBER(I56),ISNUMBER(H56)),IFERROR(I56/H56-1,""),"")</f>
      </c>
      <c r="N232" s="255">
        <f>IF(AND(ISNUMBER(N56),ISNUMBER(I56)),IFERROR(N56/I56-1,""),"")</f>
      </c>
      <c r="O232" s="255">
        <f>IF(AND(ISNUMBER(O56),ISNUMBER(J56)),IFERROR(O56/J56-1,""),"")</f>
      </c>
      <c r="P232" s="255">
        <f>IF(AND(ISNUMBER(P56),ISNUMBER(K56)),IFERROR(P56/K56-1,""),"")</f>
      </c>
      <c r="Q232" s="255">
        <f>IF(AND(ISNUMBER(Q56),ISNUMBER(L56)),IFERROR(Q56/L56-1,""),"")</f>
      </c>
      <c r="R232" s="255">
        <f>IF(AND(ISNUMBER(R56),ISNUMBER(M56)),IFERROR(R56/M56-1,""),"")</f>
      </c>
      <c r="S232" s="255">
        <f>IF(AND(ISNUMBER(S56),ISNUMBER(N56)),IFERROR(S56/N56-1,""),"")</f>
        <v>0.494208494208494</v>
      </c>
      <c r="T232" s="255">
        <f>IF(AND(ISNUMBER(T56),ISNUMBER(O56)),IFERROR(T56/O56-1,""),"")</f>
        <v>0.491428571428571</v>
      </c>
      <c r="U232" s="255">
        <f>IF(AND(ISNUMBER(U56),ISNUMBER(P56)),IFERROR(U56/P56-1,""),"")</f>
        <v>0.814925373134328</v>
      </c>
      <c r="V232" s="255">
        <f>IF(AND(ISNUMBER(V56),ISNUMBER(Q56)),IFERROR(V56/Q56-1,""),"")</f>
        <v>0.783575705731394</v>
      </c>
      <c r="W232" s="255">
        <f>IF(AND(ISNUMBER(W56),ISNUMBER(R56)),IFERROR(W56/R56-1,""),"")</f>
        <v>0.693661971830986</v>
      </c>
      <c r="X232" s="255">
        <f>IF(AND(ISNUMBER(X56),ISNUMBER(S56)),IFERROR(X56/S56-1,""),"")</f>
        <v>0.696813092161929</v>
      </c>
      <c r="Y232" s="255">
        <f>IF(AND(ISNUMBER(Y56),ISNUMBER(T56)),IFERROR(Y56/T56-1,""),"")</f>
        <v>0.638569604086845</v>
      </c>
      <c r="Z232" s="255">
        <f>IF(AND(ISNUMBER(Z56),ISNUMBER(U56)),IFERROR(Z56/U56-1,""),"")</f>
        <v>0.582236842105263</v>
      </c>
      <c r="AA232" s="255">
        <f>IF(AND(ISNUMBER(AA56),ISNUMBER(V56)),IFERROR(AA56/V56-1,""),"")</f>
        <v>0.549640287769784</v>
      </c>
      <c r="AB232" s="255">
        <f>IF(AND(ISNUMBER(AB56),ISNUMBER(W56)),IFERROR(AB56/W56-1,""),"")</f>
        <v>0.47027027027027</v>
      </c>
      <c r="AC232" s="255">
        <f>IF(AND(ISNUMBER(AC56),ISNUMBER(X56)),IFERROR(AC56/X56-1,""),"")</f>
        <v>0.550634517766498</v>
      </c>
      <c r="AD232" s="255">
        <f>IF(AND(ISNUMBER(AD56),ISNUMBER(Y56)),IFERROR(AD56/Y56-1,""),"")</f>
        <v>0.426734216679657</v>
      </c>
      <c r="AE232" s="255">
        <f>IF(AND(ISNUMBER(AE56),ISNUMBER(Z56)),IFERROR(AE56/Z56-1,""),"")</f>
        <v>0.420651420651421</v>
      </c>
      <c r="AF232" s="255">
        <f>IF(AND(ISNUMBER(AF56),ISNUMBER(AA56)),IFERROR(AF56/AA56-1,""),"")</f>
        <v>0.418755803156917</v>
      </c>
      <c r="AG232" s="255">
        <f>IF(AND(ISNUMBER(AG56),ISNUMBER(AB56)),IFERROR(AG56/AB56-1,""),"")</f>
        <v>0.445984162895928</v>
      </c>
      <c r="AH232" s="255">
        <f>IF(AND(ISNUMBER(AH56),ISNUMBER(AC56)),IFERROR(AH56/AC56-1,""),"")</f>
        <v>0.428840330632621</v>
      </c>
      <c r="AI232" s="255">
        <f>IF(AND(ISNUMBER(AI56),ISNUMBER(AD56)),IFERROR(AI56/AD56-1,""),"")</f>
        <v>0.486479104069926</v>
      </c>
      <c r="AJ232" s="255">
        <f>IF(AND(ISNUMBER(AJ56),ISNUMBER(AE56)),IFERROR(AJ56/AE56-1,""),"")</f>
        <v>0.489024390243902</v>
      </c>
      <c r="AK232" s="255">
        <f>IF(AND(ISNUMBER(AK56),ISNUMBER(AF56)),IFERROR(AK56/AF56-1,""),"")</f>
        <v>0.457024432809773</v>
      </c>
      <c r="AL232" s="255">
        <f>IF(AND(ISNUMBER(AL56),ISNUMBER(AG56)),IFERROR(AL56/AG56-1,""),"")</f>
        <v>0.453158615294348</v>
      </c>
      <c r="AM232" s="255">
        <f>IF(AND(ISNUMBER(AM56),ISNUMBER(AH56)),IFERROR(AM56/AH56-1,""),"")</f>
        <v>0.469442694312389</v>
      </c>
      <c r="AN232" s="255">
        <f>IF(AND(ISNUMBER(AN56),ISNUMBER(AI56)),IFERROR(AN56/AI56-1,""),"")</f>
        <v>0.414185961043734</v>
      </c>
      <c r="AO232" s="255">
        <f>IF(AND(ISNUMBER(AO56),ISNUMBER(AJ56)),IFERROR(AO56/AJ56-1,""),"")</f>
        <v>0.372809172809173</v>
      </c>
      <c r="AP232" s="255">
        <f>IF(AND(ISNUMBER(AP56),ISNUMBER(AK56)),IFERROR(AP56/AK56-1,""),"")</f>
        <v>0.346758496780955</v>
      </c>
      <c r="AQ232" s="255">
        <f>IF(AND(ISNUMBER(AQ56),ISNUMBER(AL56)),IFERROR(AQ56/AL56-1,""),"")</f>
        <v>0.339703903095559</v>
      </c>
      <c r="AR232" s="255">
        <f>IF(AND(ISNUMBER(AR56),ISNUMBER(AM56)),IFERROR(AR56/AM56-1,""),"")</f>
        <v>0.3652699278893</v>
      </c>
      <c r="AS232" s="255">
        <f>IF(AND(ISNUMBER(AS56),ISNUMBER(AN56)),IFERROR(AS56/AN56-1,""),"")</f>
        <v>0.32783264033264</v>
      </c>
      <c r="AT232" s="255">
        <f>IF(AND(ISNUMBER(AT56),ISNUMBER(AO56)),IFERROR(AT56/AO56-1,""),"")</f>
        <v>0.289583581911467</v>
      </c>
      <c r="AU232" s="255">
        <f>IF(AND(ISNUMBER(AU56),ISNUMBER(AP56)),IFERROR(AU56/AP56-1,""),"")</f>
        <v>0.289716509171762</v>
      </c>
      <c r="AV232" s="255">
        <f>IF(AND(ISNUMBER(AV56),ISNUMBER(AQ56)),IFERROR(AV56/AQ56-1,""),"")</f>
        <v>0.280088406670685</v>
      </c>
      <c r="AW232" s="255">
        <f>IF(AND(ISNUMBER(AW56),ISNUMBER(AR56)),IFERROR(AW56/AR56-1,""),"")</f>
        <v>0.29532347399075</v>
      </c>
      <c r="AX232" s="255">
        <f>IF(AND(ISNUMBER(AX56),ISNUMBER(AS56)),IFERROR(AX56/AS56-1,""),"")</f>
        <v>0.321362168509639</v>
      </c>
      <c r="AY232" s="255">
        <f>IF(AND(ISNUMBER(AY56),ISNUMBER(AT56)),IFERROR(AY56/AT56-1,""),"")</f>
        <v>0.37018874907476</v>
      </c>
      <c r="AZ232" s="255">
        <f>IF(AND(ISNUMBER(AZ56),ISNUMBER(AU56)),IFERROR(AZ56/AU56-1,""),"")</f>
        <v>0.388673390224981</v>
      </c>
      <c r="BA232" s="255">
        <f>IF(AND(ISNUMBER(BA56),ISNUMBER(AV56)),IFERROR(BA56/AV56-1,""),"")</f>
        <v>0.395385339821064</v>
      </c>
      <c r="BB232" s="255">
        <f>IF(AND(ISNUMBER(BB56),ISNUMBER(AW56)),IFERROR(BB56/AW56-1,""),"")</f>
        <v>0.370994048931012</v>
      </c>
      <c r="BC232" s="255">
        <f>IF(AND(ISNUMBER(BC56),ISNUMBER(AX56)),IFERROR(BC56/AX56-1,""),"")</f>
        <v>0.365696511886247</v>
      </c>
      <c r="BD232" s="255">
        <f>IF(AND(ISNUMBER(BD56),ISNUMBER(AY56)),IFERROR(BD56/AY56-1,""),"")</f>
        <v>0.332905665473698</v>
      </c>
      <c r="BE232" s="255">
        <f>IF(AND(ISNUMBER(BE56),ISNUMBER(AZ56)),IFERROR(BE56/AZ56-1,""),"")</f>
        <v>0.274860335195531</v>
      </c>
      <c r="BF232" s="255">
        <f>IF(AND(ISNUMBER(BF56),ISNUMBER(BA56)),IFERROR(BF56/BA56-1,""),"")</f>
        <v>0.202362204724409</v>
      </c>
      <c r="BG232" s="255">
        <f>IF(AND(ISNUMBER(BG56),ISNUMBER(BB56)),IFERROR(BG56/BB56-1,""),"")</f>
        <v>0.287675637439311</v>
      </c>
      <c r="BH232" s="255">
        <f>IF(AND(ISNUMBER(BH56),ISNUMBER(BC56)),IFERROR(BH56/BC56-1,""),"")</f>
        <v>0.157963234097934</v>
      </c>
      <c r="BI232" s="255">
        <f>IF(AND(ISNUMBER(BI56),ISNUMBER(BD56)),IFERROR(BI56/BD56-1,""),"")</f>
        <v>0.121637367647804</v>
      </c>
      <c r="BJ232" s="255">
        <f>IF(AND(ISNUMBER(BJ56),ISNUMBER(BE56)),IFERROR(BJ56/BE56-1,""),"")</f>
        <v>0.122748076735807</v>
      </c>
      <c r="BK232" s="255">
        <f>IF(AND(ISNUMBER(BK56),ISNUMBER(BF56)),IFERROR(BK56/BF56-1,""),"")</f>
        <v>0.132191973056413</v>
      </c>
      <c r="BL232" s="255">
        <f>IF(AND(ISNUMBER(BL56),ISNUMBER(BG56)),IFERROR(BL56/BG56-1,""),"")</f>
        <v>0.133102776667998</v>
      </c>
      <c r="BM232" s="255">
        <f>IF(AND(ISNUMBER(BM56),ISNUMBER(BH56)),IFERROR(BM56/BH56-1,""),"")</f>
        <v>0.172473541256907</v>
      </c>
      <c r="BN232" s="255">
        <f>IF(AND(ISNUMBER(BN56),ISNUMBER(BI56)),IFERROR(BN56/BI56-1,""),"")</f>
        <v>0.187037037037037</v>
      </c>
      <c r="BO232" s="255">
        <f>IF(AND(ISNUMBER(BO56),ISNUMBER(BJ56)),IFERROR(BO56/BJ56-1,""),"")</f>
        <v>0.19051129710742</v>
      </c>
      <c r="BP232" s="255">
        <f>IF(AND(ISNUMBER(BP56),ISNUMBER(BK56)),IFERROR(BP56/BK56-1,""),"")</f>
        <v>0.189307552470666</v>
      </c>
      <c r="BQ232" s="255">
        <f>IF(AND(ISNUMBER(BQ56),ISNUMBER(BL56)),IFERROR(BQ56/BL56-1,""),"")</f>
        <v>0.185098670075035</v>
      </c>
      <c r="BR232" s="255">
        <f>IF(AND(ISNUMBER(BR56),ISNUMBER(BM56)),IFERROR(BR56/BM56-1,""),"")</f>
        <v>0.168949954067979</v>
      </c>
      <c r="BS232" s="255">
        <f>IF(AND(ISNUMBER(BS56),ISNUMBER(BN56)),IFERROR(BS56/BN56-1,""),"")</f>
        <v>0.174726989079563</v>
      </c>
      <c r="BT232" s="255">
        <f>IF(AND(ISNUMBER(BT56),ISNUMBER(BO56)),IFERROR(BT56/BO56-1,""),"")</f>
        <v>0.202316771091359</v>
      </c>
      <c r="BU232" s="255">
        <f>IF(AND(ISNUMBER(BU56),ISNUMBER(BP56)),IFERROR(BU56/BP56-1,""),"")</f>
        <v>0.235982769401793</v>
      </c>
      <c r="BV232" s="255">
        <f>IF(AND(ISNUMBER(BV56),ISNUMBER(BQ56)),IFERROR(BV56/BQ56-1,""),"")</f>
        <v>0.196818401576853</v>
      </c>
      <c r="BW232" s="255">
        <f>IF(AND(ISNUMBER(BW56),ISNUMBER(BR56)),IFERROR(BW56/BR56-1,""),"")</f>
        <v>0.28427922233232</v>
      </c>
      <c r="BX232" s="255">
        <f>IF(AND(ISNUMBER(BX56),ISNUMBER(BS56)),IFERROR(BX56/BS56-1,""),"")</f>
        <v>0.367926667314482</v>
      </c>
      <c r="BY232" s="256">
        <f>IF(AND(ISNUMBER(BY56),ISNUMBER(BT56)),IFERROR(BY56/BT56-1,""),"")</f>
        <v>0.367926667314482</v>
      </c>
      <c r="BZ232" s="256">
        <f>IF(AND(ISNUMBER(BZ56),ISNUMBER(BU56)),IFERROR(BZ56/BU56-1,""),"")</f>
        <v>0.367926667314482</v>
      </c>
      <c r="CA232" s="256">
        <f>IF(AND(ISNUMBER(CA56),ISNUMBER(BV56)),IFERROR(CA56/BV56-1,""),"")</f>
        <v>0.348908529638871</v>
      </c>
      <c r="CB232" s="256">
        <f>IF(AND(ISNUMBER(CB56),ISNUMBER(CA56)),IFERROR(CB56/CA56-1,""),"")</f>
        <v>0.28</v>
      </c>
      <c r="CC232" s="256">
        <f>IF(AND(ISNUMBER(CC56),ISNUMBER(CB56)),IFERROR(CC56/CB56-1,""),"")</f>
        <v>0.24</v>
      </c>
      <c r="CD232" s="256">
        <f>IF(AND(ISNUMBER(CD56),ISNUMBER(CC56)),IFERROR(CD56/CC56-1,""),"")</f>
        <v>0.2</v>
      </c>
      <c r="CE232" s="256">
        <f>IF(AND(ISNUMBER(CE56),ISNUMBER(CD56)),IFERROR(CE56/CD56-1,""),"")</f>
        <v>0.17</v>
      </c>
      <c r="CF232" s="153" t="n"/>
      <c r="CH232" s="37">
        <f>IFERROR(AVERAGE(CA232,CB232,CC232,CD232,CE232),"n/m")</f>
        <v>0.247781705927774</v>
      </c>
      <c r="CI232" s="37">
        <f>IFERROR(AVERAGE(BB232,BG232,BL232,BQ232,BV232),"n/m")</f>
        <v>0.234737906938042</v>
      </c>
      <c r="CJ232" s="37">
        <f>IFERROR(AVERAGE(AC232,AH232,AM232,AR232,AW232,BB232,BG232,BL232,BQ232,BV232),"n/m")</f>
        <v>0.328320047928177</v>
      </c>
      <c r="CK232" s="37">
        <f>IFERROR(AVERAGE(C232,D232,E232,F232,G232,H232,I232,N232,S232,X232,AC232,AH232,AM232,AR232,AW232,BB232,BG232,BL232,BQ232,BV232),"n/m")</f>
        <v>0.372851838804349</v>
      </c>
    </row>
    <row r="233" ht="15" customHeight="1" s="251">
      <c r="B233" s="22" t="inlineStr">
        <is>
          <t xml:space="preserve">  Advertising services y/y %</t>
        </is>
      </c>
      <c r="D233" s="255">
        <f>IF(AND(ISNUMBER(D23),ISNUMBER(C23)),IFERROR(D23/C23-1,""),"")</f>
      </c>
      <c r="E233" s="255">
        <f>IF(AND(ISNUMBER(E23),ISNUMBER(D23)),IFERROR(E23/D23-1,""),"")</f>
      </c>
      <c r="F233" s="255">
        <f>IF(AND(ISNUMBER(F23),ISNUMBER(E23)),IFERROR(F23/E23-1,""),"")</f>
      </c>
      <c r="G233" s="255">
        <f>IF(AND(ISNUMBER(G23),ISNUMBER(F23)),IFERROR(G23/F23-1,""),"")</f>
      </c>
      <c r="H233" s="255">
        <f>IF(AND(ISNUMBER(H23),ISNUMBER(G23)),IFERROR(H23/G23-1,""),"")</f>
      </c>
      <c r="I233" s="255">
        <f>IF(AND(ISNUMBER(I23),ISNUMBER(H23)),IFERROR(I23/H23-1,""),"")</f>
      </c>
      <c r="N233" s="255">
        <f>IF(AND(ISNUMBER(N23),ISNUMBER(I23)),IFERROR(N23/I23-1,""),"")</f>
      </c>
      <c r="O233" s="255">
        <f>IF(AND(ISNUMBER(O23),ISNUMBER(J23)),IFERROR(O23/J23-1,""),"")</f>
      </c>
      <c r="P233" s="255">
        <f>IF(AND(ISNUMBER(P23),ISNUMBER(K23)),IFERROR(P23/K23-1,""),"")</f>
      </c>
      <c r="Q233" s="255">
        <f>IF(AND(ISNUMBER(Q23),ISNUMBER(L23)),IFERROR(Q23/L23-1,""),"")</f>
      </c>
      <c r="R233" s="255">
        <f>IF(AND(ISNUMBER(R23),ISNUMBER(M23)),IFERROR(R23/M23-1,""),"")</f>
      </c>
      <c r="S233" s="255">
        <f>IF(AND(ISNUMBER(S23),ISNUMBER(N23)),IFERROR(S23/N23-1,""),"")</f>
      </c>
      <c r="T233" s="255">
        <f>IF(AND(ISNUMBER(T23),ISNUMBER(O23)),IFERROR(T23/O23-1,""),"")</f>
      </c>
      <c r="U233" s="255">
        <f>IF(AND(ISNUMBER(U23),ISNUMBER(P23)),IFERROR(U23/P23-1,""),"")</f>
      </c>
      <c r="V233" s="255">
        <f>IF(AND(ISNUMBER(V23),ISNUMBER(Q23)),IFERROR(V23/Q23-1,""),"")</f>
      </c>
      <c r="W233" s="255">
        <f>IF(AND(ISNUMBER(W23),ISNUMBER(R23)),IFERROR(W23/R23-1,""),"")</f>
      </c>
      <c r="X233" s="255">
        <f>IF(AND(ISNUMBER(X23),ISNUMBER(S23)),IFERROR(X23/S23-1,""),"")</f>
      </c>
      <c r="Y233" s="255">
        <f>IF(AND(ISNUMBER(Y23),ISNUMBER(T23)),IFERROR(Y23/T23-1,""),"")</f>
      </c>
      <c r="Z233" s="255">
        <f>IF(AND(ISNUMBER(Z23),ISNUMBER(U23)),IFERROR(Z23/U23-1,""),"")</f>
      </c>
      <c r="AA233" s="255">
        <f>IF(AND(ISNUMBER(AA23),ISNUMBER(V23)),IFERROR(AA23/V23-1,""),"")</f>
      </c>
      <c r="AB233" s="255">
        <f>IF(AND(ISNUMBER(AB23),ISNUMBER(W23)),IFERROR(AB23/W23-1,""),"")</f>
      </c>
      <c r="AC233" s="255">
        <f>IF(AND(ISNUMBER(AC23),ISNUMBER(X23)),IFERROR(AC23/X23-1,""),"")</f>
      </c>
      <c r="AD233" s="255">
        <f>IF(AND(ISNUMBER(AD23),ISNUMBER(Y23)),IFERROR(AD23/Y23-1,""),"")</f>
      </c>
      <c r="AE233" s="255">
        <f>IF(AND(ISNUMBER(AE23),ISNUMBER(Z23)),IFERROR(AE23/Z23-1,""),"")</f>
      </c>
      <c r="AF233" s="255">
        <f>IF(AND(ISNUMBER(AF23),ISNUMBER(AA23)),IFERROR(AF23/AA23-1,""),"")</f>
      </c>
      <c r="AG233" s="255">
        <f>IF(AND(ISNUMBER(AG23),ISNUMBER(AB23)),IFERROR(AG23/AB23-1,""),"")</f>
      </c>
      <c r="AH233" s="255">
        <f>IF(AND(ISNUMBER(AH23),ISNUMBER(AC23)),IFERROR(AH23/AC23-1,""),"")</f>
      </c>
      <c r="AI233" s="255">
        <f>IF(AND(ISNUMBER(AI23),ISNUMBER(AD23)),IFERROR(AI23/AD23-1,""),"")</f>
      </c>
      <c r="AJ233" s="255">
        <f>IF(AND(ISNUMBER(AJ23),ISNUMBER(AE23)),IFERROR(AJ23/AE23-1,""),"")</f>
      </c>
      <c r="AK233" s="255">
        <f>IF(AND(ISNUMBER(AK23),ISNUMBER(AF23)),IFERROR(AK23/AF23-1,""),"")</f>
      </c>
      <c r="AL233" s="255">
        <f>IF(AND(ISNUMBER(AL23),ISNUMBER(AG23)),IFERROR(AL23/AG23-1,""),"")</f>
      </c>
      <c r="AM233" s="255">
        <f>IF(AND(ISNUMBER(AM23),ISNUMBER(AH23)),IFERROR(AM23/AH23-1,""),"")</f>
      </c>
      <c r="AN233" s="255">
        <f>IF(AND(ISNUMBER(AN23),ISNUMBER(AI23)),IFERROR(AN23/AI23-1,""),"")</f>
      </c>
      <c r="AO233" s="255">
        <f>IF(AND(ISNUMBER(AO23),ISNUMBER(AJ23)),IFERROR(AO23/AJ23-1,""),"")</f>
      </c>
      <c r="AP233" s="255">
        <f>IF(AND(ISNUMBER(AP23),ISNUMBER(AK23)),IFERROR(AP23/AK23-1,""),"")</f>
      </c>
      <c r="AQ233" s="255">
        <f>IF(AND(ISNUMBER(AQ23),ISNUMBER(AL23)),IFERROR(AQ23/AL23-1,""),"")</f>
      </c>
      <c r="AR233" s="255">
        <f>IF(AND(ISNUMBER(AR23),ISNUMBER(AM23)),IFERROR(AR23/AM23-1,""),"")</f>
      </c>
      <c r="AS233" s="255">
        <f>IF(AND(ISNUMBER(AS23),ISNUMBER(AN23)),IFERROR(AS23/AN23-1,""),"")</f>
      </c>
      <c r="AT233" s="255">
        <f>IF(AND(ISNUMBER(AT23),ISNUMBER(AO23)),IFERROR(AT23/AO23-1,""),"")</f>
      </c>
      <c r="AU233" s="255">
        <f>IF(AND(ISNUMBER(AU23),ISNUMBER(AP23)),IFERROR(AU23/AP23-1,""),"")</f>
      </c>
      <c r="AV233" s="255">
        <f>IF(AND(ISNUMBER(AV23),ISNUMBER(AQ23)),IFERROR(AV23/AQ23-1,""),"")</f>
      </c>
      <c r="AW233" s="255">
        <f>IF(AND(ISNUMBER(AW23),ISNUMBER(AR23)),IFERROR(AW23/AR23-1,""),"")</f>
      </c>
      <c r="AX233" s="255">
        <f>IF(AND(ISNUMBER(AX23),ISNUMBER(AS23)),IFERROR(AX23/AS23-1,""),"")</f>
      </c>
      <c r="AY233" s="255">
        <f>IF(AND(ISNUMBER(AY23),ISNUMBER(AT23)),IFERROR(AY23/AT23-1,""),"")</f>
      </c>
      <c r="AZ233" s="255">
        <f>IF(AND(ISNUMBER(AZ23),ISNUMBER(AU23)),IFERROR(AZ23/AU23-1,""),"")</f>
        <v>0.527900441589723</v>
      </c>
      <c r="BA233" s="255">
        <f>IF(AND(ISNUMBER(BA23),ISNUMBER(AV23)),IFERROR(BA23/AV23-1,""),"")</f>
        <v>0.321904761904762</v>
      </c>
      <c r="BB233" s="255">
        <f>IF(AND(ISNUMBER(BB23),ISNUMBER(AW23)),IFERROR(BB23/AW23-1,""),"")</f>
      </c>
      <c r="BC233" s="255">
        <f>IF(AND(ISNUMBER(BC23),ISNUMBER(AX23)),IFERROR(BC23/AX23-1,""),"")</f>
        <v>0.234446011596928</v>
      </c>
      <c r="BD233" s="255">
        <f>IF(AND(ISNUMBER(BD23),ISNUMBER(AY23)),IFERROR(BD23/AY23-1,""),"")</f>
        <v>0.175278486109247</v>
      </c>
      <c r="BE233" s="255">
        <f>IF(AND(ISNUMBER(BE23),ISNUMBER(AZ23)),IFERROR(BE23/AZ23-1,""),"")</f>
        <v>0.254335260115607</v>
      </c>
      <c r="BF233" s="255">
        <f>IF(AND(ISNUMBER(BF23),ISNUMBER(BA23)),IFERROR(BF23/BA23-1,""),"")</f>
        <v>0.189481268011527</v>
      </c>
      <c r="BG233" s="255">
        <f>IF(AND(ISNUMBER(BG23),ISNUMBER(BB23)),IFERROR(BG23/BB23-1,""),"")</f>
        <v>0.211136071887035</v>
      </c>
      <c r="BH233" s="255">
        <f>IF(AND(ISNUMBER(BH23),ISNUMBER(BC23)),IFERROR(BH23/BC23-1,""),"")</f>
        <v>0.207185476704329</v>
      </c>
      <c r="BI233" s="255">
        <f>IF(AND(ISNUMBER(BI23),ISNUMBER(BD23)),IFERROR(BI23/BD23-1,""),"")</f>
        <v>0.219938335046249</v>
      </c>
      <c r="BJ233" s="255">
        <f>IF(AND(ISNUMBER(BJ23),ISNUMBER(BE23)),IFERROR(BJ23/BE23-1,""),"")</f>
        <v>0.263091746962715</v>
      </c>
      <c r="BK233" s="255">
        <f>IF(AND(ISNUMBER(BK23),ISNUMBER(BF23)),IFERROR(BK23/BF23-1,""),"")</f>
        <v>0.267976118369819</v>
      </c>
      <c r="BL233" s="255">
        <f>IF(AND(ISNUMBER(BL23),ISNUMBER(BG23)),IFERROR(BL23/BG23-1,""),"")</f>
        <v>0.242905217414346</v>
      </c>
      <c r="BM233" s="255">
        <f>IF(AND(ISNUMBER(BM23),ISNUMBER(BH23)),IFERROR(BM23/BH23-1,""),"")</f>
        <v>0.243453570301819</v>
      </c>
      <c r="BN233" s="255">
        <f>IF(AND(ISNUMBER(BN23),ISNUMBER(BI23)),IFERROR(BN23/BI23-1,""),"")</f>
        <v>0.195450716090986</v>
      </c>
      <c r="BO233" s="255">
        <f>IF(AND(ISNUMBER(BO23),ISNUMBER(BJ23)),IFERROR(BO23/BJ23-1,""),"")</f>
        <v>0.188308457711443</v>
      </c>
      <c r="BP233" s="255">
        <f>IF(AND(ISNUMBER(BP23),ISNUMBER(BK23)),IFERROR(BP23/BK23-1,""),"")</f>
        <v>0.179746144397434</v>
      </c>
      <c r="BQ233" s="255">
        <f>IF(AND(ISNUMBER(BQ23),ISNUMBER(BL23)),IFERROR(BQ23/BL23-1,""),"")</f>
        <v>0.198439432055601</v>
      </c>
      <c r="BR233" s="255">
        <f>IF(AND(ISNUMBER(BR23),ISNUMBER(BM23)),IFERROR(BR23/BM23-1,""),"")</f>
        <v>0.177351150202977</v>
      </c>
      <c r="BS233" s="255">
        <f>IF(AND(ISNUMBER(BS23),ISNUMBER(BN23)),IFERROR(BS23/BN23-1,""),"")</f>
        <v>0.228877926552345</v>
      </c>
      <c r="BT233" s="255">
        <f>IF(AND(ISNUMBER(BT23),ISNUMBER(BO23)),IFERROR(BT23/BO23-1,""),"")</f>
        <v>0.235294117647059</v>
      </c>
      <c r="BU233" s="255">
        <f>IF(AND(ISNUMBER(BU23),ISNUMBER(BP23)),IFERROR(BU23/BP23-1,""),"")</f>
        <v>0.233051827857473</v>
      </c>
      <c r="BV233" s="255">
        <f>IF(AND(ISNUMBER(BV23),ISNUMBER(BQ23)),IFERROR(BV23/BQ23-1,""),"")</f>
        <v>0.220959191660441</v>
      </c>
      <c r="BW233" s="255">
        <f>IF(AND(ISNUMBER(BW23),ISNUMBER(BR23)),IFERROR(BW23/BR23-1,""),"")</f>
        <v>0.238632282163638</v>
      </c>
      <c r="BX233" s="255">
        <f>IF(AND(ISNUMBER(BX23),ISNUMBER(BS23)),IFERROR(BX23/BS23-1,""),"")</f>
        <v>0.262202115458137</v>
      </c>
      <c r="BY233" s="256">
        <f>IF(AND(ISNUMBER(BY23),ISNUMBER(BT23)),IFERROR(BY23/BT23-1,""),"")</f>
        <v>0.139913297549953</v>
      </c>
      <c r="BZ233" s="256">
        <f>IF(AND(ISNUMBER(BZ23),ISNUMBER(BU23)),IFERROR(BZ23/BU23-1,""),"")</f>
        <v>0.19639437846158</v>
      </c>
      <c r="CA233" s="256">
        <f>IF(AND(ISNUMBER(CA23),ISNUMBER(BV23)),IFERROR(CA23/BV23-1,""),"")</f>
        <v>0.205440723715194</v>
      </c>
      <c r="CB233" s="256">
        <f>IF(AND(ISNUMBER(CB23),ISNUMBER(CA23)),IFERROR(CB23/CA23-1,""),"")</f>
        <v>0.19</v>
      </c>
      <c r="CC233" s="256">
        <f>IF(AND(ISNUMBER(CC23),ISNUMBER(CB23)),IFERROR(CC23/CB23-1,""),"")</f>
        <v>0.17</v>
      </c>
      <c r="CD233" s="256">
        <f>IF(AND(ISNUMBER(CD23),ISNUMBER(CC23)),IFERROR(CD23/CC23-1,""),"")</f>
        <v>0.15</v>
      </c>
      <c r="CE233" s="256">
        <f>IF(AND(ISNUMBER(CE23),ISNUMBER(CD23)),IFERROR(CE23/CD23-1,""),"")</f>
        <v>0.13</v>
      </c>
      <c r="CF233" s="153" t="n"/>
      <c r="CH233" s="37">
        <f>IFERROR(AVERAGE(CA233,CB233,CC233,CD233,CE233),"n/m")</f>
        <v>0.169088144743039</v>
      </c>
      <c r="CI233" s="37">
        <f>IFERROR(AVERAGE(BB233,BG233,BL233,BQ233,BV233),"n/m")</f>
        <v>0.218359978254356</v>
      </c>
      <c r="CJ233" s="37">
        <f>IFERROR(AVERAGE(AC233,AH233,AM233,AR233,AW233,BB233,BG233,BL233,BQ233,BV233),"n/m")</f>
        <v>0.218359978254356</v>
      </c>
      <c r="CK233" s="37">
        <f>IFERROR(AVERAGE(C233,D233,E233,F233,G233,H233,I233,N233,S233,X233,AC233,AH233,AM233,AR233,AW233,BB233,BG233,BL233,BQ233,BV233),"n/m")</f>
        <v>0.218359978254356</v>
      </c>
    </row>
    <row r="234" ht="15" customHeight="1" s="251">
      <c r="B234" s="22" t="inlineStr">
        <is>
          <t xml:space="preserve">  Adjusted operating income y/y %</t>
        </is>
      </c>
      <c r="D234" s="255">
        <f>IF(AND(ISNUMBER(D182),ISNUMBER(C182)),IFERROR(D182/C182-1,""),"")</f>
        <v>0.683804627249357</v>
      </c>
      <c r="E234" s="255">
        <f>IF(AND(ISNUMBER(E182),ISNUMBER(D182)),IFERROR(E182/D182-1,""),"")</f>
        <v>0.285496183206107</v>
      </c>
      <c r="F234" s="255">
        <f>IF(AND(ISNUMBER(F182),ISNUMBER(E182)),IFERROR(F182/E182-1,""),"")</f>
        <v>0.340855106888361</v>
      </c>
      <c r="G234" s="255">
        <f>IF(AND(ISNUMBER(G182),ISNUMBER(F182)),IFERROR(G182/F182-1,""),"")</f>
        <v>0.245349867139061</v>
      </c>
      <c r="H234" s="255">
        <f>IF(AND(ISNUMBER(H182),ISNUMBER(G182)),IFERROR(H182/G182-1,""),"")</f>
        <v>-0.386913229018492</v>
      </c>
      <c r="I234" s="255">
        <f>IF(AND(ISNUMBER(I182),ISNUMBER(H182)),IFERROR(I182/H182-1,""),"")</f>
        <v>-0.215777262180974</v>
      </c>
      <c r="N234" s="255">
        <f>IF(AND(ISNUMBER(N182),ISNUMBER(I182)),IFERROR(N182/I182-1,""),"")</f>
        <v>0.10207100591716</v>
      </c>
      <c r="O234" s="255">
        <f>IF(AND(ISNUMBER(O182),ISNUMBER(J182)),IFERROR(O182/J182-1,""),"")</f>
        <v>-0.193370165745856</v>
      </c>
      <c r="P234" s="255">
        <f>IF(AND(ISNUMBER(P182),ISNUMBER(K182)),IFERROR(P182/K182-1,""),"")</f>
        <v>-1.18987341772152</v>
      </c>
      <c r="Q234" s="255">
        <f>IF(AND(ISNUMBER(Q182),ISNUMBER(L182)),IFERROR(Q182/L182-1,""),"")</f>
        <v>20.76</v>
      </c>
      <c r="R234" s="255">
        <f>IF(AND(ISNUMBER(R182),ISNUMBER(M182)),IFERROR(R182/M182-1,""),"")</f>
        <v>0.158823529411765</v>
      </c>
      <c r="S234" s="255">
        <f>IF(AND(ISNUMBER(S182),ISNUMBER(N182)),IFERROR(S182/N182-1,""),"")</f>
        <v>-0.761073825503356</v>
      </c>
      <c r="T234" s="255">
        <f>IF(AND(ISNUMBER(T182),ISNUMBER(O182)),IFERROR(T182/O182-1,""),"")</f>
        <v>0.746575342465754</v>
      </c>
      <c r="U234" s="255">
        <f>IF(AND(ISNUMBER(U182),ISNUMBER(P182)),IFERROR(U182/P182-1,""),"")</f>
        <v>-31.9333333333333</v>
      </c>
      <c r="V234" s="255">
        <f>IF(AND(ISNUMBER(V182),ISNUMBER(Q182)),IFERROR(V182/Q182-1,""),"")</f>
        <v>-1.74632352941176</v>
      </c>
      <c r="W234" s="255">
        <f>IF(AND(ISNUMBER(W182),ISNUMBER(R182)),IFERROR(W182/R182-1,""),"")</f>
        <v>0.874788494077834</v>
      </c>
      <c r="X234" s="255">
        <f>IF(AND(ISNUMBER(X182),ISNUMBER(S182)),IFERROR(X182/S182-1,""),"")</f>
        <v>11.5449438202247</v>
      </c>
      <c r="Y234" s="255">
        <f>IF(AND(ISNUMBER(Y182),ISNUMBER(T182)),IFERROR(Y182/T182-1,""),"")</f>
        <v>3.2</v>
      </c>
      <c r="Z234" s="255">
        <f>IF(AND(ISNUMBER(Z182),ISNUMBER(U182)),IFERROR(Z182/U182-1,""),"")</f>
        <v>1.76939655172414</v>
      </c>
      <c r="AA234" s="255">
        <f>IF(AND(ISNUMBER(AA182),ISNUMBER(V182)),IFERROR(AA182/V182-1,""),"")</f>
        <v>0.416256157635468</v>
      </c>
      <c r="AB234" s="255">
        <f>IF(AND(ISNUMBER(AB182),ISNUMBER(W182)),IFERROR(AB182/W182-1,""),"")</f>
        <v>0.132671480144404</v>
      </c>
      <c r="AC234" s="255">
        <f>IF(AND(ISNUMBER(AC182),ISNUMBER(X182)),IFERROR(AC182/X182-1,""),"")</f>
        <v>0.874608150470219</v>
      </c>
      <c r="AD234" s="255">
        <f>IF(AND(ISNUMBER(AD182),ISNUMBER(Y182)),IFERROR(AD182/Y182-1,""),"")</f>
        <v>-0.061624649859944</v>
      </c>
      <c r="AE234" s="255">
        <f>IF(AND(ISNUMBER(AE182),ISNUMBER(Z182)),IFERROR(AE182/Z182-1,""),"")</f>
        <v>-0.511284046692607</v>
      </c>
      <c r="AF234" s="255">
        <f>IF(AND(ISNUMBER(AF182),ISNUMBER(AA182)),IFERROR(AF182/AA182-1,""),"")</f>
        <v>-0.396521739130435</v>
      </c>
      <c r="AG234" s="255">
        <f>IF(AND(ISNUMBER(AG182),ISNUMBER(AB182)),IFERROR(AG182/AB182-1,""),"")</f>
        <v>0.694820717131474</v>
      </c>
      <c r="AH234" s="255">
        <f>IF(AND(ISNUMBER(AH182),ISNUMBER(AC182)),IFERROR(AH182/AC182-1,""),"")</f>
        <v>-0.0191113234591496</v>
      </c>
      <c r="AI234" s="255">
        <f>IF(AND(ISNUMBER(AI182),ISNUMBER(AD182)),IFERROR(AI182/AD182-1,""),"")</f>
        <v>0.917412935323383</v>
      </c>
      <c r="AJ234" s="255">
        <f>IF(AND(ISNUMBER(AJ182),ISNUMBER(AE182)),IFERROR(AJ182/AE182-1,""),"")</f>
        <v>3.75</v>
      </c>
      <c r="AK234" s="255">
        <f>IF(AND(ISNUMBER(AK182),ISNUMBER(AF182)),IFERROR(AK182/AF182-1,""),"")</f>
        <v>9.73198847262248</v>
      </c>
      <c r="AL234" s="255">
        <f>IF(AND(ISNUMBER(AL182),ISNUMBER(AG182)),IFERROR(AL182/AG182-1,""),"")</f>
        <v>0.779971791255289</v>
      </c>
      <c r="AM234" s="255">
        <f>IF(AND(ISNUMBER(AM182),ISNUMBER(AH182)),IFERROR(AM182/AH182-1,""),"")</f>
        <v>2.02508524111057</v>
      </c>
      <c r="AN234" s="255">
        <f>IF(AND(ISNUMBER(AN182),ISNUMBER(AI182)),IFERROR(AN182/AI182-1,""),"")</f>
        <v>1.29372080954852</v>
      </c>
      <c r="AO234" s="255">
        <f>IF(AND(ISNUMBER(AO182),ISNUMBER(AJ182)),IFERROR(AO182/AJ182-1,""),"")</f>
        <v>0.0338585316795172</v>
      </c>
      <c r="AP234" s="255">
        <f>IF(AND(ISNUMBER(AP182),ISNUMBER(AK182)),IFERROR(AP182/AK182-1,""),"")</f>
        <v>-0.152255639097744</v>
      </c>
      <c r="AQ234" s="255">
        <f>IF(AND(ISNUMBER(AQ182),ISNUMBER(AL182)),IFERROR(AQ182/AL182-1,""),"")</f>
        <v>0.0245641838351822</v>
      </c>
      <c r="AR234" s="255">
        <f>IF(AND(ISNUMBER(AR182),ISNUMBER(AM182)),IFERROR(AR182/AM182-1,""),"")</f>
        <v>0.17067868931648</v>
      </c>
      <c r="AS234" s="255">
        <f>IF(AND(ISNUMBER(AS182),ISNUMBER(AN182)),IFERROR(AS182/AN182-1,""),"")</f>
        <v>-0.0975113122171946</v>
      </c>
      <c r="AT234" s="255">
        <f>IF(AND(ISNUMBER(AT182),ISNUMBER(AO182)),IFERROR(AT182/AO182-1,""),"")</f>
        <v>0.89461738002594</v>
      </c>
      <c r="AU234" s="255">
        <f>IF(AND(ISNUMBER(AU182),ISNUMBER(AP182)),IFERROR(AU182/AP182-1,""),"")</f>
        <v>0.961989230281913</v>
      </c>
      <c r="AV234" s="255">
        <f>IF(AND(ISNUMBER(AV182),ISNUMBER(AQ182)),IFERROR(AV182/AQ182-1,""),"")</f>
        <v>0.77184841453983</v>
      </c>
      <c r="AW234" s="255">
        <f>IF(AND(ISNUMBER(AW182),ISNUMBER(AR182)),IFERROR(AW182/AR182-1,""),"")</f>
        <v>0.574788528987002</v>
      </c>
      <c r="AX234" s="255">
        <f>IF(AND(ISNUMBER(AX182),ISNUMBER(AS182)),IFERROR(AX182/AS182-1,""),"")</f>
        <v>1.2223614941088</v>
      </c>
      <c r="AY234" s="255">
        <f>IF(AND(ISNUMBER(AY182),ISNUMBER(AT182)),IFERROR(AY182/AT182-1,""),"")</f>
        <v>0.318158480232757</v>
      </c>
      <c r="AZ234" s="255">
        <f>IF(AND(ISNUMBER(AZ182),ISNUMBER(AU182)),IFERROR(AZ182/AU182-1,""),"")</f>
        <v>-0.216661285114627</v>
      </c>
      <c r="BA234" s="255">
        <f>IF(AND(ISNUMBER(BA182),ISNUMBER(AV182)),IFERROR(BA182/AV182-1,""),"")</f>
        <v>-0.496580823512295</v>
      </c>
      <c r="BB234" s="255">
        <f>IF(AND(ISNUMBER(BB182),ISNUMBER(AW182)),IFERROR(BB182/AW182-1,""),"")</f>
        <v>0.0864666579326607</v>
      </c>
      <c r="BC234" s="255">
        <f>IF(AND(ISNUMBER(BC182),ISNUMBER(AX182)),IFERROR(BC182/AX182-1,""),"")</f>
        <v>-0.586125211505922</v>
      </c>
      <c r="BD234" s="255">
        <f>IF(AND(ISNUMBER(BD182),ISNUMBER(AY182)),IFERROR(BD182/AY182-1,""),"")</f>
        <v>-0.569332640872501</v>
      </c>
      <c r="BE234" s="255">
        <f>IF(AND(ISNUMBER(BE182),ISNUMBER(AZ182)),IFERROR(BE182/AZ182-1,""),"")</f>
        <v>-0.47959604286892</v>
      </c>
      <c r="BF234" s="255">
        <f>IF(AND(ISNUMBER(BF182),ISNUMBER(BA182)),IFERROR(BF182/BA182-1,""),"")</f>
        <v>0.571387283236994</v>
      </c>
      <c r="BG234" s="255">
        <f>IF(AND(ISNUMBER(BG182),ISNUMBER(BB182)),IFERROR(BG182/BB182-1,""),"")</f>
        <v>-0.399171992443426</v>
      </c>
      <c r="BH234" s="255">
        <f>IF(AND(ISNUMBER(BH182),ISNUMBER(BC182)),IFERROR(BH182/BC182-1,""),"")</f>
        <v>0.437448896156991</v>
      </c>
      <c r="BI234" s="255">
        <f>IF(AND(ISNUMBER(BI182),ISNUMBER(BD182)),IFERROR(BI182/BD182-1,""),"")</f>
        <v>1.31564666867652</v>
      </c>
      <c r="BJ234" s="255">
        <f>IF(AND(ISNUMBER(BJ182),ISNUMBER(BE182)),IFERROR(BJ182/BE182-1,""),"")</f>
        <v>3.43089108910891</v>
      </c>
      <c r="BK234" s="255">
        <f>IF(AND(ISNUMBER(BK182),ISNUMBER(BF182)),IFERROR(BK182/BF182-1,""),"")</f>
        <v>1.42946477837042</v>
      </c>
      <c r="BL234" s="255">
        <f>IF(AND(ISNUMBER(BL182),ISNUMBER(BG182)),IFERROR(BL182/BG182-1,""),"")</f>
        <v>1.4987958255285</v>
      </c>
      <c r="BM234" s="255">
        <f>IF(AND(ISNUMBER(BM182),ISNUMBER(BH182)),IFERROR(BM182/BH182-1,""),"")</f>
        <v>1.90235115661737</v>
      </c>
      <c r="BN234" s="255">
        <f>IF(AND(ISNUMBER(BN182),ISNUMBER(BI182)),IFERROR(BN182/BI182-1,""),"")</f>
        <v>0.910167946881916</v>
      </c>
      <c r="BO234" s="255">
        <f>IF(AND(ISNUMBER(BO182),ISNUMBER(BJ182)),IFERROR(BO182/BJ182-1,""),"")</f>
        <v>0.556220951018949</v>
      </c>
      <c r="BP234" s="255">
        <f>IF(AND(ISNUMBER(BP182),ISNUMBER(BK182)),IFERROR(BP182/BK182-1,""),"")</f>
        <v>0.60519342872284</v>
      </c>
      <c r="BQ234" s="255">
        <f>IF(AND(ISNUMBER(BQ182),ISNUMBER(BL182)),IFERROR(BQ182/BL182-1,""),"")</f>
        <v>0.836394302848576</v>
      </c>
      <c r="BR234" s="255">
        <f>IF(AND(ISNUMBER(BR182),ISNUMBER(BM182)),IFERROR(BR182/BM182-1,""),"")</f>
        <v>0.202391062912393</v>
      </c>
      <c r="BS234" s="255">
        <f>IF(AND(ISNUMBER(BS182),ISNUMBER(BN182)),IFERROR(BS182/BN182-1,""),"")</f>
        <v>0.306638495092694</v>
      </c>
      <c r="BT234" s="255">
        <f>IF(AND(ISNUMBER(BT182),ISNUMBER(BO182)),IFERROR(BT182/BO182-1,""),"")</f>
        <v>0.247602090632359</v>
      </c>
      <c r="BU234" s="255">
        <f>IF(AND(ISNUMBER(BU182),ISNUMBER(BP182)),IFERROR(BU182/BP182-1,""),"")</f>
        <v>0.293071735131821</v>
      </c>
      <c r="BV234" s="255">
        <f>IF(AND(ISNUMBER(BV182),ISNUMBER(BQ182)),IFERROR(BV182/BQ182-1,""),"")</f>
        <v>0.264196054991034</v>
      </c>
      <c r="BW234" s="255">
        <f>IF(AND(ISNUMBER(BW182),ISNUMBER(BR182)),IFERROR(BW182/BR182-1,""),"")</f>
        <v>0.293344199945667</v>
      </c>
      <c r="BX234" s="255">
        <f>IF(AND(ISNUMBER(BX182),ISNUMBER(BS182)),IFERROR(BX182/BS182-1,""),"")</f>
        <v>0.40368264566272</v>
      </c>
      <c r="BY234" s="256">
        <f>IF(AND(ISNUMBER(BY182),ISNUMBER(BT182)),IFERROR(BY182/BT182-1,""),"")</f>
        <v>0.127888776355768</v>
      </c>
      <c r="BZ234" s="256">
        <f>IF(AND(ISNUMBER(BZ182),ISNUMBER(BU182)),IFERROR(BZ182/BU182-1,""),"")</f>
        <v>0.128519021530807</v>
      </c>
      <c r="CA234" s="256">
        <f>IF(AND(ISNUMBER(CA182),ISNUMBER(BV182)),IFERROR(CA182/BV182-1,""),"")</f>
        <v>0.224178123892177</v>
      </c>
      <c r="CB234" s="256">
        <f>IF(AND(ISNUMBER(CB182),ISNUMBER(CA182)),IFERROR(CB182/CA182-1,""),"")</f>
        <v>0.255578221095377</v>
      </c>
      <c r="CC234" s="256">
        <f>IF(AND(ISNUMBER(CC182),ISNUMBER(CB182)),IFERROR(CC182/CB182-1,""),"")</f>
        <v>0.203253186253327</v>
      </c>
      <c r="CD234" s="256">
        <f>IF(AND(ISNUMBER(CD182),ISNUMBER(CC182)),IFERROR(CD182/CC182-1,""),"")</f>
        <v>0.174970145218785</v>
      </c>
      <c r="CE234" s="256">
        <f>IF(AND(ISNUMBER(CE182),ISNUMBER(CD182)),IFERROR(CE182/CD182-1,""),"")</f>
        <v>0.162671686962761</v>
      </c>
      <c r="CF234" s="153" t="n"/>
    </row>
    <row r="235" ht="15" customHeight="1" s="251">
      <c r="B235" s="22" t="inlineStr">
        <is>
          <t xml:space="preserve">  Adjusted EBITDA y/y %</t>
        </is>
      </c>
      <c r="D235" s="255">
        <f>IF(AND(ISNUMBER(D202),ISNUMBER(C202)),IFERROR(D202/C202-1,""),"")</f>
        <v>0.516835016835017</v>
      </c>
      <c r="E235" s="255">
        <f>IF(AND(ISNUMBER(E202),ISNUMBER(D202)),IFERROR(E202/D202-1,""),"")</f>
        <v>0.253052164261931</v>
      </c>
      <c r="F235" s="255">
        <f>IF(AND(ISNUMBER(F202),ISNUMBER(E202)),IFERROR(F202/E202-1,""),"")</f>
        <v>0.3348095659876</v>
      </c>
      <c r="G235" s="255">
        <f>IF(AND(ISNUMBER(G202),ISNUMBER(F202)),IFERROR(G202/F202-1,""),"")</f>
        <v>0.309887193098872</v>
      </c>
      <c r="H235" s="255">
        <f>IF(AND(ISNUMBER(H202),ISNUMBER(G202)),IFERROR(H202/G202-1,""),"")</f>
        <v>-0.0146909827760892</v>
      </c>
      <c r="I235" s="255">
        <f>IF(AND(ISNUMBER(I202),ISNUMBER(H202)),IFERROR(I202/H202-1,""),"")</f>
        <v>0.457583547557841</v>
      </c>
      <c r="N235" s="255">
        <f>IF(AND(ISNUMBER(N202),ISNUMBER(I202)),IFERROR(N202/I202-1,""),"")</f>
        <v>0.410229276895943</v>
      </c>
      <c r="O235" s="255">
        <f>IF(AND(ISNUMBER(O202),ISNUMBER(J202)),IFERROR(O202/J202-1,""),"")</f>
        <v>0.312145289443814</v>
      </c>
      <c r="P235" s="255">
        <f>IF(AND(ISNUMBER(P202),ISNUMBER(K202)),IFERROR(P202/K202-1,""),"")</f>
        <v>0.310179640718563</v>
      </c>
      <c r="Q235" s="255">
        <f>IF(AND(ISNUMBER(Q202),ISNUMBER(L202)),IFERROR(Q202/L202-1,""),"")</f>
        <v>-0.131025957972806</v>
      </c>
      <c r="R235" s="255">
        <f>IF(AND(ISNUMBER(R202),ISNUMBER(M202)),IFERROR(R202/M202-1,""),"")</f>
        <v>0.337406653088934</v>
      </c>
      <c r="S235" s="255">
        <f>IF(AND(ISNUMBER(S202),ISNUMBER(N202)),IFERROR(S202/N202-1,""),"")</f>
        <v>0.231615807903952</v>
      </c>
      <c r="T235" s="255">
        <f>IF(AND(ISNUMBER(T202),ISNUMBER(O202)),IFERROR(T202/O202-1,""),"")</f>
        <v>0.454152249134948</v>
      </c>
      <c r="U235" s="255">
        <f>IF(AND(ISNUMBER(U202),ISNUMBER(P202)),IFERROR(U202/P202-1,""),"")</f>
        <v>0.79890310786106</v>
      </c>
      <c r="V235" s="255">
        <f>IF(AND(ISNUMBER(V202),ISNUMBER(Q202)),IFERROR(V202/Q202-1,""),"")</f>
        <v>1.85206258890469</v>
      </c>
      <c r="W235" s="255">
        <f>IF(AND(ISNUMBER(W202),ISNUMBER(R202)),IFERROR(W202/R202-1,""),"")</f>
        <v>0.451776649746193</v>
      </c>
      <c r="X235" s="255">
        <f>IF(AND(ISNUMBER(X202),ISNUMBER(S202)),IFERROR(X202/S202-1,""),"")</f>
        <v>0.729082047116166</v>
      </c>
      <c r="Y235" s="255">
        <f>IF(AND(ISNUMBER(Y202),ISNUMBER(T202)),IFERROR(Y202/T202-1,""),"")</f>
        <v>0.723973825104105</v>
      </c>
      <c r="Z235" s="255">
        <f>IF(AND(ISNUMBER(Z202),ISNUMBER(U202)),IFERROR(Z202/U202-1,""),"")</f>
        <v>0.622967479674797</v>
      </c>
      <c r="AA235" s="255">
        <f>IF(AND(ISNUMBER(AA202),ISNUMBER(V202)),IFERROR(AA202/V202-1,""),"")</f>
        <v>0.326184538653367</v>
      </c>
      <c r="AB235" s="255">
        <f>IF(AND(ISNUMBER(AB202),ISNUMBER(W202)),IFERROR(AB202/W202-1,""),"")</f>
        <v>0.241958041958042</v>
      </c>
      <c r="AC235" s="255">
        <f>IF(AND(ISNUMBER(AC202),ISNUMBER(X202)),IFERROR(AC202/X202-1,""),"")</f>
        <v>0.444914258867747</v>
      </c>
      <c r="AD235" s="255">
        <f>IF(AND(ISNUMBER(AD202),ISNUMBER(Y202)),IFERROR(AD202/Y202-1,""),"")</f>
        <v>0.187025534851622</v>
      </c>
      <c r="AE235" s="255">
        <f>IF(AND(ISNUMBER(AE202),ISNUMBER(Z202)),IFERROR(AE202/Z202-1,""),"")</f>
        <v>0.0209768315591734</v>
      </c>
      <c r="AF235" s="255">
        <f>IF(AND(ISNUMBER(AF202),ISNUMBER(AA202)),IFERROR(AF202/AA202-1,""),"")</f>
        <v>0.225648740127868</v>
      </c>
      <c r="AG235" s="255">
        <f>IF(AND(ISNUMBER(AG202),ISNUMBER(AB202)),IFERROR(AG202/AB202-1,""),"")</f>
        <v>0.583614864864865</v>
      </c>
      <c r="AH235" s="255">
        <f>IF(AND(ISNUMBER(AH202),ISNUMBER(AC202)),IFERROR(AH202/AC202-1,""),"")</f>
        <v>0.266785888473419</v>
      </c>
      <c r="AI235" s="255">
        <f>IF(AND(ISNUMBER(AI202),ISNUMBER(AD202)),IFERROR(AI202/AD202-1,""),"")</f>
        <v>0.627325581395349</v>
      </c>
      <c r="AJ235" s="255">
        <f>IF(AND(ISNUMBER(AJ202),ISNUMBER(AE202)),IFERROR(AJ202/AE202-1,""),"")</f>
        <v>1.02790555044465</v>
      </c>
      <c r="AK235" s="255">
        <f>IF(AND(ISNUMBER(AK202),ISNUMBER(AF202)),IFERROR(AK202/AF202-1,""),"")</f>
        <v>1.30193310831543</v>
      </c>
      <c r="AL235" s="255">
        <f>IF(AND(ISNUMBER(AL202),ISNUMBER(AG202)),IFERROR(AL202/AG202-1,""),"")</f>
        <v>0.430755555555556</v>
      </c>
      <c r="AM235" s="255">
        <f>IF(AND(ISNUMBER(AM202),ISNUMBER(AH202)),IFERROR(AM202/AH202-1,""),"")</f>
        <v>0.78144250513347</v>
      </c>
      <c r="AN235" s="255">
        <f>IF(AND(ISNUMBER(AN202),ISNUMBER(AI202)),IFERROR(AN202/AI202-1,""),"")</f>
        <v>0.656663093962129</v>
      </c>
      <c r="AO235" s="255">
        <f>IF(AND(ISNUMBER(AO202),ISNUMBER(AJ202)),IFERROR(AO202/AJ202-1,""),"")</f>
        <v>0.252986541660366</v>
      </c>
      <c r="AP235" s="255">
        <f>IF(AND(ISNUMBER(AP202),ISNUMBER(AK202)),IFERROR(AP202/AK202-1,""),"")</f>
        <v>0.162356704878699</v>
      </c>
      <c r="AQ235" s="255">
        <f>IF(AND(ISNUMBER(AQ202),ISNUMBER(AL202)),IFERROR(AQ202/AL202-1,""),"")</f>
        <v>0.248633200795229</v>
      </c>
      <c r="AR235" s="255">
        <f>IF(AND(ISNUMBER(AR202),ISNUMBER(AM202)),IFERROR(AR202/AM202-1,""),"")</f>
        <v>0.308623298033283</v>
      </c>
      <c r="AS235" s="255">
        <f>IF(AND(ISNUMBER(AS202),ISNUMBER(AN202)),IFERROR(AS202/AN202-1,""),"")</f>
        <v>0.0083027819711019</v>
      </c>
      <c r="AT235" s="255">
        <f>IF(AND(ISNUMBER(AT202),ISNUMBER(AO202)),IFERROR(AT202/AO202-1,""),"")</f>
        <v>0.398865556360126</v>
      </c>
      <c r="AU235" s="255">
        <f>IF(AND(ISNUMBER(AU202),ISNUMBER(AP202)),IFERROR(AU202/AP202-1,""),"")</f>
        <v>0.458371559633028</v>
      </c>
      <c r="AV235" s="255">
        <f>IF(AND(ISNUMBER(AV202),ISNUMBER(AQ202)),IFERROR(AV202/AQ202-1,""),"")</f>
        <v>0.442034033237138</v>
      </c>
      <c r="AW235" s="255">
        <f>IF(AND(ISNUMBER(AW202),ISNUMBER(AR202)),IFERROR(AW202/AR202-1,""),"")</f>
        <v>0.325350949628406</v>
      </c>
      <c r="AX235" s="255">
        <f>IF(AND(ISNUMBER(AX202),ISNUMBER(AS202)),IFERROR(AX202/AS202-1,""),"")</f>
        <v>0.750935728799059</v>
      </c>
      <c r="AY235" s="255">
        <f>IF(AND(ISNUMBER(AY202),ISNUMBER(AT202)),IFERROR(AY202/AT202-1,""),"")</f>
        <v>0.357950133724441</v>
      </c>
      <c r="AZ235" s="255">
        <f>IF(AND(ISNUMBER(AZ202),ISNUMBER(AU202)),IFERROR(AZ202/AU202-1,""),"")</f>
        <v>0.0851615947157349</v>
      </c>
      <c r="BA235" s="255">
        <f>IF(AND(ISNUMBER(BA202),ISNUMBER(AV202)),IFERROR(BA202/AV202-1,""),"")</f>
        <v>-0.0848112621627217</v>
      </c>
      <c r="BB235" s="255">
        <f>IF(AND(ISNUMBER(BB202),ISNUMBER(AW202)),IFERROR(BB202/AW202-1,""),"")</f>
        <v>0.228971962616823</v>
      </c>
      <c r="BC235" s="255">
        <f>IF(AND(ISNUMBER(BC202),ISNUMBER(AX202)),IFERROR(BC202/AX202-1,""),"")</f>
        <v>-0.227569779515055</v>
      </c>
      <c r="BD235" s="255">
        <f>IF(AND(ISNUMBER(BD202),ISNUMBER(AY202)),IFERROR(BD202/AY202-1,""),"")</f>
        <v>-0.179733163913596</v>
      </c>
      <c r="BE235" s="255">
        <f>IF(AND(ISNUMBER(BE202),ISNUMBER(AZ202)),IFERROR(BE202/AZ202-1,""),"")</f>
        <v>-0.0776086956521739</v>
      </c>
      <c r="BF235" s="255">
        <f>IF(AND(ISNUMBER(BF202),ISNUMBER(BA202)),IFERROR(BF202/BA202-1,""),"")</f>
        <v>0.366460564017494</v>
      </c>
      <c r="BG235" s="255">
        <f>IF(AND(ISNUMBER(BG202),ISNUMBER(BB202)),IFERROR(BG202/BB202-1,""),"")</f>
        <v>-0.0389691592733418</v>
      </c>
      <c r="BH235" s="255">
        <f>IF(AND(ISNUMBER(BH202),ISNUMBER(BC202)),IFERROR(BH202/BC202-1,""),"")</f>
        <v>0.296513007037242</v>
      </c>
      <c r="BI235" s="255">
        <f>IF(AND(ISNUMBER(BI202),ISNUMBER(BD202)),IFERROR(BI202/BD202-1,""),"")</f>
        <v>0.492525753233677</v>
      </c>
      <c r="BJ235" s="255">
        <f>IF(AND(ISNUMBER(BJ202),ISNUMBER(BE202)),IFERROR(BJ202/BE202-1,""),"")</f>
        <v>0.831958519915155</v>
      </c>
      <c r="BK235" s="255">
        <f>IF(AND(ISNUMBER(BK202),ISNUMBER(BF202)),IFERROR(BK202/BF202-1,""),"")</f>
        <v>0.49150204171725</v>
      </c>
      <c r="BL235" s="255">
        <f>IF(AND(ISNUMBER(BL202),ISNUMBER(BG202)),IFERROR(BL202/BG202-1,""),"")</f>
        <v>0.512511209973799</v>
      </c>
      <c r="BM235" s="255">
        <f>IF(AND(ISNUMBER(BM202),ISNUMBER(BH202)),IFERROR(BM202/BH202-1,""),"")</f>
        <v>0.646093797645911</v>
      </c>
      <c r="BN235" s="255">
        <f>IF(AND(ISNUMBER(BN202),ISNUMBER(BI202)),IFERROR(BN202/BI202-1,""),"")</f>
        <v>0.386092371562014</v>
      </c>
      <c r="BO235" s="255">
        <f>IF(AND(ISNUMBER(BO202),ISNUMBER(BJ202)),IFERROR(BO202/BJ202-1,""),"")</f>
        <v>0.323084180282173</v>
      </c>
      <c r="BP235" s="255">
        <f>IF(AND(ISNUMBER(BP202),ISNUMBER(BK202)),IFERROR(BP202/BK202-1,""),"")</f>
        <v>0.36275851862814</v>
      </c>
      <c r="BQ235" s="255">
        <f>IF(AND(ISNUMBER(BQ202),ISNUMBER(BL202)),IFERROR(BQ202/BL202-1,""),"")</f>
        <v>0.41124222519328</v>
      </c>
      <c r="BR235" s="255">
        <f>IF(AND(ISNUMBER(BR202),ISNUMBER(BM202)),IFERROR(BR202/BM202-1,""),"")</f>
        <v>0.21029231966211</v>
      </c>
      <c r="BS235" s="255">
        <f>IF(AND(ISNUMBER(BS202),ISNUMBER(BN202)),IFERROR(BS202/BN202-1,""),"")</f>
        <v>0.287832272557095</v>
      </c>
      <c r="BT235" s="255">
        <f>IF(AND(ISNUMBER(BT202),ISNUMBER(BO202)),IFERROR(BT202/BO202-1,""),"")</f>
        <v>0.248436132628918</v>
      </c>
      <c r="BU235" s="255">
        <f>IF(AND(ISNUMBER(BU202),ISNUMBER(BP202)),IFERROR(BU202/BP202-1,""),"")</f>
        <v>0.272954335668133</v>
      </c>
      <c r="BV235" s="255">
        <f>IF(AND(ISNUMBER(BV202),ISNUMBER(BQ202)),IFERROR(BV202/BQ202-1,""),"")</f>
        <v>0.256063202293472</v>
      </c>
      <c r="BW235" s="255">
        <f>IF(AND(ISNUMBER(BW202),ISNUMBER(BR202)),IFERROR(BW202/BR202-1,""),"")</f>
        <v>0.308629503780574</v>
      </c>
      <c r="BX235" s="255">
        <f>IF(AND(ISNUMBER(BX202),ISNUMBER(BS202)),IFERROR(BX202/BS202-1,""),"")</f>
        <v>0.363393220536078</v>
      </c>
      <c r="BY235" s="256">
        <f>IF(AND(ISNUMBER(BY202),ISNUMBER(BT202)),IFERROR(BY202/BT202-1,""),"")</f>
        <v>0.205916354032434</v>
      </c>
      <c r="BZ235" s="256">
        <f>IF(AND(ISNUMBER(BZ202),ISNUMBER(BU202)),IFERROR(BZ202/BU202-1,""),"")</f>
        <v>0.18626622620832</v>
      </c>
      <c r="CA235" s="256">
        <f>IF(AND(ISNUMBER(CA202),ISNUMBER(BV202)),IFERROR(CA202/BV202-1,""),"")</f>
        <v>0.257407224580917</v>
      </c>
      <c r="CB235" s="256">
        <f>IF(AND(ISNUMBER(CB202),ISNUMBER(CA202)),IFERROR(CB202/CA202-1,""),"")</f>
        <v>0.295857612186836</v>
      </c>
      <c r="CC235" s="256">
        <f>IF(AND(ISNUMBER(CC202),ISNUMBER(CB202)),IFERROR(CC202/CB202-1,""),"")</f>
        <v>0.198279326117532</v>
      </c>
      <c r="CD235" s="256">
        <f>IF(AND(ISNUMBER(CD202),ISNUMBER(CC202)),IFERROR(CD202/CC202-1,""),"")</f>
        <v>0.163273064570943</v>
      </c>
      <c r="CE235" s="256">
        <f>IF(AND(ISNUMBER(CE202),ISNUMBER(CD202)),IFERROR(CE202/CD202-1,""),"")</f>
        <v>0.141949232163859</v>
      </c>
      <c r="CF235" s="153" t="n"/>
    </row>
    <row r="236" ht="15" customHeight="1" s="251">
      <c r="B236" s="22" t="inlineStr">
        <is>
          <t xml:space="preserve">  Operating income (GAAP) y/y %</t>
        </is>
      </c>
      <c r="D236" s="255">
        <f>IF(AND(ISNUMBER(D154),ISNUMBER(C154)),IFERROR(D154/C154-1,""),"")</f>
        <v>0.683804627249357</v>
      </c>
      <c r="E236" s="255">
        <f>IF(AND(ISNUMBER(E154),ISNUMBER(D154)),IFERROR(E154/D154-1,""),"")</f>
        <v>0.285496183206107</v>
      </c>
      <c r="F236" s="255">
        <f>IF(AND(ISNUMBER(F154),ISNUMBER(E154)),IFERROR(F154/E154-1,""),"")</f>
        <v>0.340855106888361</v>
      </c>
      <c r="G236" s="255">
        <f>IF(AND(ISNUMBER(G154),ISNUMBER(F154)),IFERROR(G154/F154-1,""),"")</f>
        <v>0.245349867139061</v>
      </c>
      <c r="H236" s="255">
        <f>IF(AND(ISNUMBER(H154),ISNUMBER(G154)),IFERROR(H154/G154-1,""),"")</f>
        <v>-0.386913229018492</v>
      </c>
      <c r="I236" s="255">
        <f>IF(AND(ISNUMBER(I154),ISNUMBER(H154)),IFERROR(I154/H154-1,""),"")</f>
        <v>-0.215777262180974</v>
      </c>
      <c r="N236" s="255">
        <f>IF(AND(ISNUMBER(N154),ISNUMBER(I154)),IFERROR(N154/I154-1,""),"")</f>
        <v>0.10207100591716</v>
      </c>
      <c r="O236" s="255">
        <f>IF(AND(ISNUMBER(O154),ISNUMBER(J154)),IFERROR(O154/J154-1,""),"")</f>
        <v>-0.193370165745856</v>
      </c>
      <c r="P236" s="255">
        <f>IF(AND(ISNUMBER(P154),ISNUMBER(K154)),IFERROR(P154/K154-1,""),"")</f>
        <v>-1.18987341772152</v>
      </c>
      <c r="Q236" s="255">
        <f>IF(AND(ISNUMBER(Q154),ISNUMBER(L154)),IFERROR(Q154/L154-1,""),"")</f>
        <v>20.76</v>
      </c>
      <c r="R236" s="255">
        <f>IF(AND(ISNUMBER(R154),ISNUMBER(M154)),IFERROR(R154/M154-1,""),"")</f>
        <v>0.158823529411765</v>
      </c>
      <c r="S236" s="255">
        <f>IF(AND(ISNUMBER(S154),ISNUMBER(N154)),IFERROR(S154/N154-1,""),"")</f>
        <v>-0.761073825503356</v>
      </c>
      <c r="T236" s="255">
        <f>IF(AND(ISNUMBER(T154),ISNUMBER(O154)),IFERROR(T154/O154-1,""),"")</f>
        <v>0.746575342465754</v>
      </c>
      <c r="U236" s="255">
        <f>IF(AND(ISNUMBER(U154),ISNUMBER(P154)),IFERROR(U154/P154-1,""),"")</f>
        <v>-31.9333333333333</v>
      </c>
      <c r="V236" s="255">
        <f>IF(AND(ISNUMBER(V154),ISNUMBER(Q154)),IFERROR(V154/Q154-1,""),"")</f>
        <v>-1.74632352941176</v>
      </c>
      <c r="W236" s="255">
        <f>IF(AND(ISNUMBER(W154),ISNUMBER(R154)),IFERROR(W154/R154-1,""),"")</f>
        <v>0.874788494077834</v>
      </c>
      <c r="X236" s="255">
        <f>IF(AND(ISNUMBER(X154),ISNUMBER(S154)),IFERROR(X154/S154-1,""),"")</f>
        <v>11.5449438202247</v>
      </c>
      <c r="Y236" s="255">
        <f>IF(AND(ISNUMBER(Y154),ISNUMBER(T154)),IFERROR(Y154/T154-1,""),"")</f>
        <v>3.2</v>
      </c>
      <c r="Z236" s="255">
        <f>IF(AND(ISNUMBER(Z154),ISNUMBER(U154)),IFERROR(Z154/U154-1,""),"")</f>
        <v>1.76939655172414</v>
      </c>
      <c r="AA236" s="255">
        <f>IF(AND(ISNUMBER(AA154),ISNUMBER(V154)),IFERROR(AA154/V154-1,""),"")</f>
        <v>0.416256157635468</v>
      </c>
      <c r="AB236" s="255">
        <f>IF(AND(ISNUMBER(AB154),ISNUMBER(W154)),IFERROR(AB154/W154-1,""),"")</f>
        <v>0.132671480144404</v>
      </c>
      <c r="AC236" s="255">
        <f>IF(AND(ISNUMBER(AC154),ISNUMBER(X154)),IFERROR(AC154/X154-1,""),"")</f>
        <v>0.874608150470219</v>
      </c>
      <c r="AD236" s="255">
        <f>IF(AND(ISNUMBER(AD154),ISNUMBER(Y154)),IFERROR(AD154/Y154-1,""),"")</f>
        <v>-0.061624649859944</v>
      </c>
      <c r="AE236" s="255">
        <f>IF(AND(ISNUMBER(AE154),ISNUMBER(Z154)),IFERROR(AE154/Z154-1,""),"")</f>
        <v>-0.511284046692607</v>
      </c>
      <c r="AF236" s="255">
        <f>IF(AND(ISNUMBER(AF154),ISNUMBER(AA154)),IFERROR(AF154/AA154-1,""),"")</f>
        <v>-0.396521739130435</v>
      </c>
      <c r="AG236" s="255">
        <f>IF(AND(ISNUMBER(AG154),ISNUMBER(AB154)),IFERROR(AG154/AB154-1,""),"")</f>
        <v>0.694820717131474</v>
      </c>
      <c r="AH236" s="255">
        <f>IF(AND(ISNUMBER(AH154),ISNUMBER(AC154)),IFERROR(AH154/AC154-1,""),"")</f>
        <v>-0.0191113234591496</v>
      </c>
      <c r="AI236" s="255">
        <f>IF(AND(ISNUMBER(AI154),ISNUMBER(AD154)),IFERROR(AI154/AD154-1,""),"")</f>
        <v>0.917412935323383</v>
      </c>
      <c r="AJ236" s="255">
        <f>IF(AND(ISNUMBER(AJ154),ISNUMBER(AE154)),IFERROR(AJ154/AE154-1,""),"")</f>
        <v>3.75</v>
      </c>
      <c r="AK236" s="255">
        <f>IF(AND(ISNUMBER(AK154),ISNUMBER(AF154)),IFERROR(AK154/AF154-1,""),"")</f>
        <v>9.73198847262248</v>
      </c>
      <c r="AL236" s="255">
        <f>IF(AND(ISNUMBER(AL154),ISNUMBER(AG154)),IFERROR(AL154/AG154-1,""),"")</f>
        <v>0.779971791255289</v>
      </c>
      <c r="AM236" s="255">
        <f>IF(AND(ISNUMBER(AM154),ISNUMBER(AH154)),IFERROR(AM154/AH154-1,""),"")</f>
        <v>2.02508524111057</v>
      </c>
      <c r="AN236" s="255">
        <f>IF(AND(ISNUMBER(AN154),ISNUMBER(AI154)),IFERROR(AN154/AI154-1,""),"")</f>
        <v>1.29372080954852</v>
      </c>
      <c r="AO236" s="255">
        <f>IF(AND(ISNUMBER(AO154),ISNUMBER(AJ154)),IFERROR(AO154/AJ154-1,""),"")</f>
        <v>0.0338585316795172</v>
      </c>
      <c r="AP236" s="255">
        <f>IF(AND(ISNUMBER(AP154),ISNUMBER(AK154)),IFERROR(AP154/AK154-1,""),"")</f>
        <v>-0.152255639097744</v>
      </c>
      <c r="AQ236" s="255">
        <f>IF(AND(ISNUMBER(AQ154),ISNUMBER(AL154)),IFERROR(AQ154/AL154-1,""),"")</f>
        <v>0.0245641838351822</v>
      </c>
      <c r="AR236" s="255">
        <f>IF(AND(ISNUMBER(AR154),ISNUMBER(AM154)),IFERROR(AR154/AM154-1,""),"")</f>
        <v>0.17067868931648</v>
      </c>
      <c r="AS236" s="255">
        <f>IF(AND(ISNUMBER(AS154),ISNUMBER(AN154)),IFERROR(AS154/AN154-1,""),"")</f>
        <v>-0.0975113122171946</v>
      </c>
      <c r="AT236" s="255">
        <f>IF(AND(ISNUMBER(AT154),ISNUMBER(AO154)),IFERROR(AT154/AO154-1,""),"")</f>
        <v>0.89461738002594</v>
      </c>
      <c r="AU236" s="255">
        <f>IF(AND(ISNUMBER(AU154),ISNUMBER(AP154)),IFERROR(AU154/AP154-1,""),"")</f>
        <v>0.961989230281913</v>
      </c>
      <c r="AV236" s="255">
        <f>IF(AND(ISNUMBER(AV154),ISNUMBER(AQ154)),IFERROR(AV154/AQ154-1,""),"")</f>
        <v>0.77184841453983</v>
      </c>
      <c r="AW236" s="255">
        <f>IF(AND(ISNUMBER(AW154),ISNUMBER(AR154)),IFERROR(AW154/AR154-1,""),"")</f>
        <v>0.574788528987002</v>
      </c>
      <c r="AX236" s="255">
        <f>IF(AND(ISNUMBER(AX154),ISNUMBER(AS154)),IFERROR(AX154/AS154-1,""),"")</f>
        <v>1.2223614941088</v>
      </c>
      <c r="AY236" s="255">
        <f>IF(AND(ISNUMBER(AY154),ISNUMBER(AT154)),IFERROR(AY154/AT154-1,""),"")</f>
        <v>0.318158480232757</v>
      </c>
      <c r="AZ236" s="255">
        <f>IF(AND(ISNUMBER(AZ154),ISNUMBER(AU154)),IFERROR(AZ154/AU154-1,""),"")</f>
        <v>-0.216661285114627</v>
      </c>
      <c r="BA236" s="255">
        <f>IF(AND(ISNUMBER(BA154),ISNUMBER(AV154)),IFERROR(BA154/AV154-1,""),"")</f>
        <v>-0.496580823512295</v>
      </c>
      <c r="BB236" s="255">
        <f>IF(AND(ISNUMBER(BB154),ISNUMBER(AW154)),IFERROR(BB154/AW154-1,""),"")</f>
        <v>0.0864666579326607</v>
      </c>
      <c r="BC236" s="255">
        <f>IF(AND(ISNUMBER(BC154),ISNUMBER(AX154)),IFERROR(BC154/AX154-1,""),"")</f>
        <v>-0.586125211505922</v>
      </c>
      <c r="BD236" s="255">
        <f>IF(AND(ISNUMBER(BD154),ISNUMBER(AY154)),IFERROR(BD154/AY154-1,""),"")</f>
        <v>-0.569332640872501</v>
      </c>
      <c r="BE236" s="255">
        <f>IF(AND(ISNUMBER(BE154),ISNUMBER(AZ154)),IFERROR(BE154/AZ154-1,""),"")</f>
        <v>-0.47959604286892</v>
      </c>
      <c r="BF236" s="255">
        <f>IF(AND(ISNUMBER(BF154),ISNUMBER(BA154)),IFERROR(BF154/BA154-1,""),"")</f>
        <v>-0.208959537572254</v>
      </c>
      <c r="BG236" s="255">
        <f>IF(AND(ISNUMBER(BG154),ISNUMBER(BB154)),IFERROR(BG154/BB154-1,""),"")</f>
        <v>-0.50769725471281</v>
      </c>
      <c r="BH236" s="255">
        <f>IF(AND(ISNUMBER(BH154),ISNUMBER(BC154)),IFERROR(BH154/BC154-1,""),"")</f>
        <v>0.30117198146634</v>
      </c>
      <c r="BI236" s="255">
        <f>IF(AND(ISNUMBER(BI154),ISNUMBER(BD154)),IFERROR(BI154/BD154-1,""),"")</f>
        <v>1.31564666867652</v>
      </c>
      <c r="BJ236" s="255">
        <f>IF(AND(ISNUMBER(BJ154),ISNUMBER(BE154)),IFERROR(BJ154/BE154-1,""),"")</f>
        <v>3.43089108910891</v>
      </c>
      <c r="BK236" s="255">
        <f>IF(AND(ISNUMBER(BK154),ISNUMBER(BF154)),IFERROR(BK154/BF154-1,""),"")</f>
        <v>3.82608695652174</v>
      </c>
      <c r="BL236" s="255">
        <f>IF(AND(ISNUMBER(BL154),ISNUMBER(BG154)),IFERROR(BL154/BG154-1,""),"")</f>
        <v>2.0088177661659</v>
      </c>
      <c r="BM236" s="255">
        <f>IF(AND(ISNUMBER(BM154),ISNUMBER(BH154)),IFERROR(BM154/BH154-1,""),"")</f>
        <v>2.20632593213238</v>
      </c>
      <c r="BN236" s="255">
        <f>IF(AND(ISNUMBER(BN154),ISNUMBER(BI154)),IFERROR(BN154/BI154-1,""),"")</f>
        <v>0.910167946881916</v>
      </c>
      <c r="BO236" s="255">
        <f>IF(AND(ISNUMBER(BO154),ISNUMBER(BJ154)),IFERROR(BO154/BJ154-1,""),"")</f>
        <v>0.556220951018949</v>
      </c>
      <c r="BP236" s="255">
        <f>IF(AND(ISNUMBER(BP154),ISNUMBER(BK154)),IFERROR(BP154/BK154-1,""),"")</f>
        <v>0.60519342872284</v>
      </c>
      <c r="BQ236" s="255">
        <f>IF(AND(ISNUMBER(BQ154),ISNUMBER(BL154)),IFERROR(BQ154/BL154-1,""),"")</f>
        <v>0.861310105286009</v>
      </c>
      <c r="BR236" s="255">
        <f>IF(AND(ISNUMBER(BR154),ISNUMBER(BM154)),IFERROR(BR154/BM154-1,""),"")</f>
        <v>0.202391062912393</v>
      </c>
      <c r="BS236" s="255">
        <f>IF(AND(ISNUMBER(BS154),ISNUMBER(BN154)),IFERROR(BS154/BN154-1,""),"")</f>
        <v>0.306638495092694</v>
      </c>
      <c r="BT236" s="255">
        <f>IF(AND(ISNUMBER(BT154),ISNUMBER(BO154)),IFERROR(BT154/BO154-1,""),"")</f>
        <v>0.000631784504049104</v>
      </c>
      <c r="BU236" s="255">
        <f>IF(AND(ISNUMBER(BU154),ISNUMBER(BP154)),IFERROR(BU154/BP154-1,""),"")</f>
        <v>0.177993680139603</v>
      </c>
      <c r="BV236" s="255">
        <f>IF(AND(ISNUMBER(BV154),ISNUMBER(BQ154)),IFERROR(BV154/BQ154-1,""),"")</f>
        <v>0.165935299520359</v>
      </c>
      <c r="BW236" s="255">
        <f>IF(AND(ISNUMBER(BW154),ISNUMBER(BR154)),IFERROR(BW154/BR154-1,""),"")</f>
        <v>0.295952186905732</v>
      </c>
      <c r="BX236" s="255">
        <f>IF(AND(ISNUMBER(BX154),ISNUMBER(BS154)),IFERROR(BX154/BS154-1,""),"")</f>
        <v>0.432423973710292</v>
      </c>
      <c r="BY236" s="256">
        <f>IF(AND(ISNUMBER(BY154),ISNUMBER(BT154)),IFERROR(BY154/BT154-1,""),"")</f>
        <v>0.406267937091034</v>
      </c>
      <c r="BZ236" s="256">
        <f>IF(AND(ISNUMBER(BZ154),ISNUMBER(BU154)),IFERROR(BZ154/BU154-1,""),"")</f>
        <v>0.238763903323464</v>
      </c>
      <c r="CA236" s="256">
        <f>IF(AND(ISNUMBER(CA154),ISNUMBER(BV154)),IFERROR(CA154/BV154-1,""),"")</f>
        <v>0.334837211795063</v>
      </c>
      <c r="CB236" s="256">
        <f>IF(AND(ISNUMBER(CB154),ISNUMBER(CA154)),IFERROR(CB154/CA154-1,""),"")</f>
        <v>0.248533106812845</v>
      </c>
      <c r="CC236" s="256">
        <f>IF(AND(ISNUMBER(CC154),ISNUMBER(CB154)),IFERROR(CC154/CB154-1,""),"")</f>
        <v>0.203253186253327</v>
      </c>
      <c r="CD236" s="256">
        <f>IF(AND(ISNUMBER(CD154),ISNUMBER(CC154)),IFERROR(CD154/CC154-1,""),"")</f>
        <v>0.174970145218785</v>
      </c>
      <c r="CE236" s="256">
        <f>IF(AND(ISNUMBER(CE154),ISNUMBER(CD154)),IFERROR(CE154/CD154-1,""),"")</f>
        <v>0.162671686962761</v>
      </c>
      <c r="CF236" s="153" t="n"/>
    </row>
    <row r="237" ht="15" customHeight="1" s="251">
      <c r="B237" s="22" t="inlineStr">
        <is>
          <t xml:space="preserve">  Net income y/y %</t>
        </is>
      </c>
      <c r="D237" s="255">
        <f>IF(AND(ISNUMBER(D163),ISNUMBER(C163)),IFERROR(D163/C163-1,""),"")</f>
        <v>1.50526315789474</v>
      </c>
      <c r="E237" s="255">
        <f>IF(AND(ISNUMBER(E163),ISNUMBER(D163)),IFERROR(E163/D163-1,""),"")</f>
        <v>0.355042016806723</v>
      </c>
      <c r="F237" s="255">
        <f>IF(AND(ISNUMBER(F163),ISNUMBER(E163)),IFERROR(F163/E163-1,""),"")</f>
        <v>0.398449612403101</v>
      </c>
      <c r="G237" s="255">
        <f>IF(AND(ISNUMBER(G163),ISNUMBER(F163)),IFERROR(G163/F163-1,""),"")</f>
        <v>0.277161862527716</v>
      </c>
      <c r="H237" s="255">
        <f>IF(AND(ISNUMBER(H163),ISNUMBER(G163)),IFERROR(H163/G163-1,""),"")</f>
        <v>-0.452256944444444</v>
      </c>
      <c r="I237" s="255">
        <f>IF(AND(ISNUMBER(I163),ISNUMBER(H163)),IFERROR(I163/H163-1,""),"")</f>
        <v>-1.06180665610143</v>
      </c>
      <c r="N237" s="255">
        <f>IF(AND(ISNUMBER(N163),ISNUMBER(I163)),IFERROR(N163/I163-1,""),"")</f>
        <v>-8.02564102564103</v>
      </c>
      <c r="O237" s="255">
        <f>IF(AND(ISNUMBER(O163),ISNUMBER(J163)),IFERROR(O163/J163-1,""),"")</f>
        <v>0.317073170731707</v>
      </c>
      <c r="P237" s="255">
        <f>IF(AND(ISNUMBER(P163),ISNUMBER(K163)),IFERROR(P163/K163-1,""),"")</f>
        <v>17</v>
      </c>
      <c r="Q237" s="255">
        <f>IF(AND(ISNUMBER(Q163),ISNUMBER(L163)),IFERROR(Q163/L163-1,""),"")</f>
        <v>9.65853658536585</v>
      </c>
      <c r="R237" s="255">
        <f>IF(AND(ISNUMBER(R163),ISNUMBER(M163)),IFERROR(R163/M163-1,""),"")</f>
        <v>-0.104602510460251</v>
      </c>
      <c r="S237" s="255">
        <f>IF(AND(ISNUMBER(S163),ISNUMBER(N163)),IFERROR(S163/N163-1,""),"")</f>
        <v>-1.87956204379562</v>
      </c>
      <c r="T237" s="255">
        <f>IF(AND(ISNUMBER(T163),ISNUMBER(O163)),IFERROR(T163/O163-1,""),"")</f>
        <v>-1.52777777777778</v>
      </c>
      <c r="U237" s="255">
        <f>IF(AND(ISNUMBER(U163),ISNUMBER(P163)),IFERROR(U163/P163-1,""),"")</f>
        <v>-1.73015873015873</v>
      </c>
      <c r="V237" s="255">
        <f>IF(AND(ISNUMBER(V163),ISNUMBER(Q163)),IFERROR(V163/Q163-1,""),"")</f>
        <v>-1.18077803203661</v>
      </c>
      <c r="W237" s="255">
        <f>IF(AND(ISNUMBER(W163),ISNUMBER(R163)),IFERROR(W163/R163-1,""),"")</f>
        <v>1.25233644859813</v>
      </c>
      <c r="X237" s="255">
        <f>IF(AND(ISNUMBER(X163),ISNUMBER(S163)),IFERROR(X163/S163-1,""),"")</f>
        <v>-3.47302904564315</v>
      </c>
      <c r="Y237" s="255">
        <f>IF(AND(ISNUMBER(Y163),ISNUMBER(T163)),IFERROR(Y163/T163-1,""),"")</f>
        <v>-10</v>
      </c>
      <c r="Z237" s="255">
        <f>IF(AND(ISNUMBER(Z163),ISNUMBER(U163)),IFERROR(Z163/U163-1,""),"")</f>
        <v>8.31521739130435</v>
      </c>
      <c r="AA237" s="255">
        <f>IF(AND(ISNUMBER(AA163),ISNUMBER(V163)),IFERROR(AA163/V163-1,""),"")</f>
        <v>2.18987341772152</v>
      </c>
      <c r="AB237" s="255">
        <f>IF(AND(ISNUMBER(AB163),ISNUMBER(W163)),IFERROR(AB163/W163-1,""),"")</f>
        <v>0.553941908713693</v>
      </c>
      <c r="AC237" s="255">
        <f>IF(AND(ISNUMBER(AC163),ISNUMBER(X163)),IFERROR(AC163/X163-1,""),"")</f>
        <v>2.97818791946309</v>
      </c>
      <c r="AD237" s="255">
        <f>IF(AND(ISNUMBER(AD163),ISNUMBER(Y163)),IFERROR(AD163/Y163-1,""),"")</f>
        <v>0.41130604288499</v>
      </c>
      <c r="AE237" s="255">
        <f>IF(AND(ISNUMBER(AE163),ISNUMBER(Z163)),IFERROR(AE163/Z163-1,""),"")</f>
        <v>-0.770128354725788</v>
      </c>
      <c r="AF237" s="255">
        <f>IF(AND(ISNUMBER(AF163),ISNUMBER(AA163)),IFERROR(AF163/AA163-1,""),"")</f>
        <v>0.0158730158730158</v>
      </c>
      <c r="AG237" s="255">
        <f>IF(AND(ISNUMBER(AG163),ISNUMBER(AB163)),IFERROR(AG163/AB163-1,""),"")</f>
        <v>1.47797062750334</v>
      </c>
      <c r="AH237" s="255">
        <f>IF(AND(ISNUMBER(AH163),ISNUMBER(AC163)),IFERROR(AH163/AC163-1,""),"")</f>
        <v>0.279207085617883</v>
      </c>
      <c r="AI237" s="255">
        <f>IF(AND(ISNUMBER(AI163),ISNUMBER(AD163)),IFERROR(AI163/AD163-1,""),"")</f>
        <v>1.25</v>
      </c>
      <c r="AJ237" s="255">
        <f>IF(AND(ISNUMBER(AJ163),ISNUMBER(AE163)),IFERROR(AJ163/AE163-1,""),"")</f>
        <v>11.8629441624365</v>
      </c>
      <c r="AK237" s="255">
        <f>IF(AND(ISNUMBER(AK163),ISNUMBER(AF163)),IFERROR(AK163/AF163-1,""),"")</f>
        <v>10.26171875</v>
      </c>
      <c r="AL237" s="255">
        <f>IF(AND(ISNUMBER(AL163),ISNUMBER(AG163)),IFERROR(AL163/AG163-1,""),"")</f>
        <v>0.630926724137931</v>
      </c>
      <c r="AM237" s="255">
        <f>IF(AND(ISNUMBER(AM163),ISNUMBER(AH163)),IFERROR(AM163/AH163-1,""),"")</f>
        <v>2.32113419057039</v>
      </c>
      <c r="AN237" s="255">
        <f>IF(AND(ISNUMBER(AN163),ISNUMBER(AI163)),IFERROR(AN163/AI163-1,""),"")</f>
        <v>1.18600368324125</v>
      </c>
      <c r="AO237" s="255">
        <f>IF(AND(ISNUMBER(AO163),ISNUMBER(AJ163)),IFERROR(AO163/AJ163-1,""),"")</f>
        <v>0.0359116022099448</v>
      </c>
      <c r="AP237" s="255">
        <f>IF(AND(ISNUMBER(AP163),ISNUMBER(AK163)),IFERROR(AP163/AK163-1,""),"")</f>
        <v>-0.25979882067291</v>
      </c>
      <c r="AQ237" s="255">
        <f>IF(AND(ISNUMBER(AQ163),ISNUMBER(AL163)),IFERROR(AQ163/AL163-1,""),"")</f>
        <v>0.079616782292699</v>
      </c>
      <c r="AR237" s="255">
        <f>IF(AND(ISNUMBER(AR163),ISNUMBER(AM163)),IFERROR(AR163/AM163-1,""),"")</f>
        <v>0.15040206492604</v>
      </c>
      <c r="AS237" s="255">
        <f>IF(AND(ISNUMBER(AS163),ISNUMBER(AN163)),IFERROR(AS163/AN163-1,""),"")</f>
        <v>-0.288121314237574</v>
      </c>
      <c r="AT237" s="255">
        <f>IF(AND(ISNUMBER(AT163),ISNUMBER(AO163)),IFERROR(AT163/AO163-1,""),"")</f>
        <v>0.997333333333333</v>
      </c>
      <c r="AU237" s="255">
        <f>IF(AND(ISNUMBER(AU163),ISNUMBER(AP163)),IFERROR(AU163/AP163-1,""),"")</f>
        <v>1.96672914714152</v>
      </c>
      <c r="AV237" s="255">
        <f>IF(AND(ISNUMBER(AV163),ISNUMBER(AQ163)),IFERROR(AV163/AQ163-1,""),"")</f>
        <v>1.20991432068543</v>
      </c>
      <c r="AW237" s="255">
        <f>IF(AND(ISNUMBER(AW163),ISNUMBER(AR163)),IFERROR(AW163/AR163-1,""),"")</f>
        <v>0.840783569209527</v>
      </c>
      <c r="AX237" s="255">
        <f>IF(AND(ISNUMBER(AX163),ISNUMBER(AS163)),IFERROR(AX163/AS163-1,""),"")</f>
        <v>2.19802761341223</v>
      </c>
      <c r="AY237" s="255">
        <f>IF(AND(ISNUMBER(AY163),ISNUMBER(AT163)),IFERROR(AY163/AT163-1,""),"")</f>
        <v>0.483501811939729</v>
      </c>
      <c r="AZ237" s="255">
        <f>IF(AND(ISNUMBER(AZ163),ISNUMBER(AU163)),IFERROR(AZ163/AU163-1,""),"")</f>
        <v>-0.501500552835255</v>
      </c>
      <c r="BA237" s="255">
        <f>IF(AND(ISNUMBER(BA163),ISNUMBER(AV163)),IFERROR(BA163/AV163-1,""),"")</f>
        <v>0.983245638327333</v>
      </c>
      <c r="BB237" s="255">
        <f>IF(AND(ISNUMBER(BB163),ISNUMBER(AW163)),IFERROR(BB163/AW163-1,""),"")</f>
        <v>0.564108574375322</v>
      </c>
      <c r="BC237" s="255">
        <f>IF(AND(ISNUMBER(BC163),ISNUMBER(AX163)),IFERROR(BC163/AX163-1,""),"")</f>
        <v>-1.47415813494511</v>
      </c>
      <c r="BD237" s="255">
        <f>IF(AND(ISNUMBER(BD163),ISNUMBER(AY163)),IFERROR(BD163/AY163-1,""),"")</f>
        <v>-1.26073540755978</v>
      </c>
      <c r="BE237" s="255">
        <f>IF(AND(ISNUMBER(BE163),ISNUMBER(AZ163)),IFERROR(BE163/AZ163-1,""),"")</f>
        <v>-0.0899873257287706</v>
      </c>
      <c r="BF237" s="255">
        <f>IF(AND(ISNUMBER(BF163),ISNUMBER(BA163)),IFERROR(BF163/BA163-1,""),"")</f>
        <v>-0.980590658381624</v>
      </c>
      <c r="BG237" s="255">
        <f>IF(AND(ISNUMBER(BG163),ISNUMBER(BB163)),IFERROR(BG163/BB163-1,""),"")</f>
        <v>-1.08158494185349</v>
      </c>
      <c r="BH237" s="255">
        <f>IF(AND(ISNUMBER(BH163),ISNUMBER(BC163)),IFERROR(BH163/BC163-1,""),"")</f>
        <v>-1.82518210197711</v>
      </c>
      <c r="BI237" s="255">
        <f>IF(AND(ISNUMBER(BI163),ISNUMBER(BD163)),IFERROR(BI163/BD163-1,""),"")</f>
        <v>-4.32840236686391</v>
      </c>
      <c r="BJ237" s="255">
        <f>IF(AND(ISNUMBER(BJ163),ISNUMBER(BE163)),IFERROR(BJ163/BE163-1,""),"")</f>
        <v>2.43976323119777</v>
      </c>
      <c r="BK237" s="255">
        <f>IF(AND(ISNUMBER(BK163),ISNUMBER(BF163)),IFERROR(BK163/BF163-1,""),"")</f>
        <v>37.2158273381295</v>
      </c>
      <c r="BL237" s="255">
        <f>IF(AND(ISNUMBER(BL163),ISNUMBER(BG163)),IFERROR(BL163/BG163-1,""),"")</f>
        <v>-12.177443056576</v>
      </c>
      <c r="BM237" s="255">
        <f>IF(AND(ISNUMBER(BM163),ISNUMBER(BH163)),IFERROR(BM163/BH163-1,""),"")</f>
        <v>2.28846153846154</v>
      </c>
      <c r="BN237" s="255">
        <f>IF(AND(ISNUMBER(BN163),ISNUMBER(BI163)),IFERROR(BN163/BI163-1,""),"")</f>
        <v>0.997777777777778</v>
      </c>
      <c r="BO237" s="255">
        <f>IF(AND(ISNUMBER(BO163),ISNUMBER(BJ163)),IFERROR(BO163/BJ163-1,""),"")</f>
        <v>0.551574045956069</v>
      </c>
      <c r="BP237" s="255">
        <f>IF(AND(ISNUMBER(BP163),ISNUMBER(BK163)),IFERROR(BP163/BK163-1,""),"")</f>
        <v>0.882906626506024</v>
      </c>
      <c r="BQ237" s="255">
        <f>IF(AND(ISNUMBER(BQ163),ISNUMBER(BL163)),IFERROR(BQ163/BL163-1,""),"")</f>
        <v>0.9473459326212</v>
      </c>
      <c r="BR237" s="255">
        <f>IF(AND(ISNUMBER(BR163),ISNUMBER(BM163)),IFERROR(BR163/BM163-1,""),"")</f>
        <v>0.641932700603969</v>
      </c>
      <c r="BS237" s="255">
        <f>IF(AND(ISNUMBER(BS163),ISNUMBER(BN163)),IFERROR(BS163/BN163-1,""),"")</f>
        <v>0.346978123841305</v>
      </c>
      <c r="BT237" s="255">
        <f>IF(AND(ISNUMBER(BT163),ISNUMBER(BO163)),IFERROR(BT163/BO163-1,""),"")</f>
        <v>0.382241649269311</v>
      </c>
      <c r="BU237" s="255">
        <f>IF(AND(ISNUMBER(BU163),ISNUMBER(BP163)),IFERROR(BU163/BP163-1,""),"")</f>
        <v>0.0593881223755248</v>
      </c>
      <c r="BV237" s="255">
        <f>IF(AND(ISNUMBER(BV163),ISNUMBER(BQ163)),IFERROR(BV163/BQ163-1,""),"")</f>
        <v>0.310930326762085</v>
      </c>
      <c r="BW237" s="255">
        <f>IF(AND(ISNUMBER(BW163),ISNUMBER(BR163)),IFERROR(BW163/BR163-1,""),"")</f>
        <v>0.766509020844281</v>
      </c>
      <c r="BX237" s="255">
        <f>IF(AND(ISNUMBER(BX163),ISNUMBER(BS163)),IFERROR(BX163/BS163-1,""),"")</f>
        <v>2.44896498568597</v>
      </c>
      <c r="BY237" s="256">
        <f>IF(AND(ISNUMBER(BY163),ISNUMBER(BT163)),IFERROR(BY163/BT163-1,""),"")</f>
        <v>-0.0879273837730684</v>
      </c>
      <c r="BZ237" s="256">
        <f>IF(AND(ISNUMBER(BZ163),ISNUMBER(BU163)),IFERROR(BZ163/BU163-1,""),"")</f>
        <v>0.150385682841696</v>
      </c>
      <c r="CA237" s="256">
        <f>IF(AND(ISNUMBER(CA163),ISNUMBER(BV163)),IFERROR(CA163/BV163-1,""),"")</f>
        <v>0.758787896366437</v>
      </c>
      <c r="CB237" s="256">
        <f>IF(AND(ISNUMBER(CB163),ISNUMBER(CA163)),IFERROR(CB163/CA163-1,""),"")</f>
        <v>-0.227265757644953</v>
      </c>
      <c r="CC237" s="256">
        <f>IF(AND(ISNUMBER(CC163),ISNUMBER(CB163)),IFERROR(CC163/CB163-1,""),"")</f>
        <v>0.209770497015699</v>
      </c>
      <c r="CD237" s="256">
        <f>IF(AND(ISNUMBER(CD163),ISNUMBER(CC163)),IFERROR(CD163/CC163-1,""),"")</f>
        <v>0.176953524132242</v>
      </c>
      <c r="CE237" s="256">
        <f>IF(AND(ISNUMBER(CE163),ISNUMBER(CD163)),IFERROR(CE163/CD163-1,""),"")</f>
        <v>0.165197786745431</v>
      </c>
      <c r="CF237" s="153" t="n"/>
    </row>
    <row r="238" ht="15" customHeight="1" s="251">
      <c r="B238" s="22" t="inlineStr">
        <is>
          <t xml:space="preserve">  Adjusted EPS y/y %</t>
        </is>
      </c>
      <c r="D238" s="255">
        <f>IF(AND(ISNUMBER(D222),ISNUMBER(C222)),IFERROR(D222/C222-1,""),"")</f>
        <v>1.59476947964411</v>
      </c>
      <c r="E238" s="255">
        <f>IF(AND(ISNUMBER(E222),ISNUMBER(D222)),IFERROR(E222/D222-1,""),"")</f>
        <v>0.271622256088175</v>
      </c>
      <c r="F238" s="255">
        <f>IF(AND(ISNUMBER(F222),ISNUMBER(E222)),IFERROR(F222/E222-1,""),"")</f>
        <v>0.393910472632762</v>
      </c>
      <c r="G238" s="255">
        <f>IF(AND(ISNUMBER(G222),ISNUMBER(F222)),IFERROR(G222/F222-1,""),"")</f>
        <v>0.192231936473924</v>
      </c>
      <c r="H238" s="255">
        <f>IF(AND(ISNUMBER(H222),ISNUMBER(G222)),IFERROR(H222/G222-1,""),"")</f>
        <v>-0.463117247633326</v>
      </c>
      <c r="I238" s="255">
        <f>IF(AND(ISNUMBER(I222),ISNUMBER(H222)),IFERROR(I222/H222-1,""),"")</f>
        <v>-0.71198300637261</v>
      </c>
      <c r="N238" s="255">
        <f>IF(AND(ISNUMBER(N222),ISNUMBER(I222)),IFERROR(N222/I222-1,""),"")</f>
        <v>1.51318740399386</v>
      </c>
      <c r="O238" s="255">
        <f>IF(AND(ISNUMBER(O222),ISNUMBER(J222)),IFERROR(O222/J222-1,""),"")</f>
        <v>-0.709610295403653</v>
      </c>
      <c r="P238" s="255">
        <f>IF(AND(ISNUMBER(P222),ISNUMBER(K222)),IFERROR(P222/K222-1,""),"")</f>
        <v>-5.66315463278587</v>
      </c>
      <c r="Q238" s="255">
        <f>IF(AND(ISNUMBER(Q222),ISNUMBER(L222)),IFERROR(Q222/L222-1,""),"")</f>
        <v>9.62040084283081</v>
      </c>
      <c r="R238" s="255">
        <f>IF(AND(ISNUMBER(R222),ISNUMBER(M222)),IFERROR(R222/M222-1,""),"")</f>
        <v>-0.0279035962438585</v>
      </c>
      <c r="S238" s="255">
        <f>IF(AND(ISNUMBER(S222),ISNUMBER(N222)),IFERROR(S222/N222-1,""),"")</f>
        <v>-1.46748302458962</v>
      </c>
      <c r="T238" s="255">
        <f>IF(AND(ISNUMBER(T222),ISNUMBER(O222)),IFERROR(T222/O222-1,""),"")</f>
        <v>-0.206341013824885</v>
      </c>
      <c r="U238" s="255">
        <f>IF(AND(ISNUMBER(U222),ISNUMBER(P222)),IFERROR(U222/P222-1,""),"")</f>
        <v>-1.6871750917662</v>
      </c>
      <c r="V238" s="255">
        <f>IF(AND(ISNUMBER(V222),ISNUMBER(Q222)),IFERROR(V222/Q222-1,""),"")</f>
        <v>-1.29901386082194</v>
      </c>
      <c r="W238" s="255">
        <f>IF(AND(ISNUMBER(W222),ISNUMBER(R222)),IFERROR(W222/R222-1,""),"")</f>
        <v>0.813191790845423</v>
      </c>
      <c r="X238" s="255">
        <f>IF(AND(ISNUMBER(X222),ISNUMBER(S222)),IFERROR(X222/S222-1,""),"")</f>
        <v>-4.77413479052823</v>
      </c>
      <c r="Y238" s="255">
        <f>IF(AND(ISNUMBER(Y222),ISNUMBER(T222)),IFERROR(Y222/T222-1,""),"")</f>
        <v>13.8050709572449</v>
      </c>
      <c r="Z238" s="255">
        <f>IF(AND(ISNUMBER(Z222),ISNUMBER(U222)),IFERROR(Z222/U222-1,""),"")</f>
        <v>8.04510869565217</v>
      </c>
      <c r="AA238" s="255">
        <f>IF(AND(ISNUMBER(AA222),ISNUMBER(V222)),IFERROR(AA222/V222-1,""),"")</f>
        <v>1.06775823731554</v>
      </c>
      <c r="AB238" s="255">
        <f>IF(AND(ISNUMBER(AB222),ISNUMBER(W222)),IFERROR(AB222/W222-1,""),"")</f>
        <v>0.389374519812497</v>
      </c>
      <c r="AC238" s="255">
        <f>IF(AND(ISNUMBER(AC222),ISNUMBER(X222)),IFERROR(AC222/X222-1,""),"")</f>
        <v>2.02609169086442</v>
      </c>
      <c r="AD238" s="255">
        <f>IF(AND(ISNUMBER(AD222),ISNUMBER(Y222)),IFERROR(AD222/Y222-1,""),"")</f>
        <v>0.287167790367779</v>
      </c>
      <c r="AE238" s="255">
        <f>IF(AND(ISNUMBER(AE222),ISNUMBER(Z222)),IFERROR(AE222/Z222-1,""),"")</f>
        <v>-0.87749549482216</v>
      </c>
      <c r="AF238" s="255">
        <f>IF(AND(ISNUMBER(AF222),ISNUMBER(AA222)),IFERROR(AF222/AA222-1,""),"")</f>
        <v>-0.368991369959766</v>
      </c>
      <c r="AG238" s="255">
        <f>IF(AND(ISNUMBER(AG222),ISNUMBER(AB222)),IFERROR(AG222/AB222-1,""),"")</f>
        <v>1.43251653285511</v>
      </c>
      <c r="AH238" s="255">
        <f>IF(AND(ISNUMBER(AH222),ISNUMBER(AC222)),IFERROR(AH222/AC222-1,""),"")</f>
        <v>0.146258454990165</v>
      </c>
      <c r="AI238" s="255">
        <f>IF(AND(ISNUMBER(AI222),ISNUMBER(AD222)),IFERROR(AI222/AD222-1,""),"")</f>
        <v>1.04540187308124</v>
      </c>
      <c r="AJ238" s="255">
        <f>IF(AND(ISNUMBER(AJ222),ISNUMBER(AE222)),IFERROR(AJ222/AE222-1,""),"")</f>
        <v>22.5632873124147</v>
      </c>
      <c r="AK238" s="255">
        <f>IF(AND(ISNUMBER(AK222),ISNUMBER(AF222)),IFERROR(AK222/AF222-1,""),"")</f>
        <v>16.6563223749411</v>
      </c>
      <c r="AL238" s="255">
        <f>IF(AND(ISNUMBER(AL222),ISNUMBER(AG222)),IFERROR(AL222/AG222-1,""),"")</f>
        <v>0.707136245320994</v>
      </c>
      <c r="AM238" s="255">
        <f>IF(AND(ISNUMBER(AM222),ISNUMBER(AH222)),IFERROR(AM222/AH222-1,""),"")</f>
        <v>2.5794068560862</v>
      </c>
      <c r="AN238" s="255">
        <f>IF(AND(ISNUMBER(AN222),ISNUMBER(AI222)),IFERROR(AN222/AI222-1,""),"")</f>
        <v>1.36640025003341</v>
      </c>
      <c r="AO238" s="255">
        <f>IF(AND(ISNUMBER(AO222),ISNUMBER(AJ222)),IFERROR(AO222/AJ222-1,""),"")</f>
        <v>0.00174520594282623</v>
      </c>
      <c r="AP238" s="255">
        <f>IF(AND(ISNUMBER(AP222),ISNUMBER(AK222)),IFERROR(AP222/AK222-1,""),"")</f>
        <v>-0.187105986848921</v>
      </c>
      <c r="AQ238" s="255">
        <f>IF(AND(ISNUMBER(AQ222),ISNUMBER(AL222)),IFERROR(AQ222/AL222-1,""),"")</f>
        <v>-0.0838597525831238</v>
      </c>
      <c r="AR238" s="255">
        <f>IF(AND(ISNUMBER(AR222),ISNUMBER(AM222)),IFERROR(AR222/AM222-1,""),"")</f>
        <v>0.11189161779744</v>
      </c>
      <c r="AS238" s="255">
        <f>IF(AND(ISNUMBER(AS222),ISNUMBER(AN222)),IFERROR(AS222/AN222-1,""),"")</f>
        <v>-0.145278961108387</v>
      </c>
      <c r="AT238" s="255">
        <f>IF(AND(ISNUMBER(AT222),ISNUMBER(AO222)),IFERROR(AT222/AO222-1,""),"")</f>
        <v>0.760407859650908</v>
      </c>
      <c r="AU238" s="255">
        <f>IF(AND(ISNUMBER(AU222),ISNUMBER(AP222)),IFERROR(AU222/AP222-1,""),"")</f>
        <v>1.24388070883002</v>
      </c>
      <c r="AV238" s="255">
        <f>IF(AND(ISNUMBER(AV222),ISNUMBER(AQ222)),IFERROR(AV222/AQ222-1,""),"")</f>
        <v>1.09373955033989</v>
      </c>
      <c r="AW238" s="255">
        <f>IF(AND(ISNUMBER(AW222),ISNUMBER(AR222)),IFERROR(AW222/AR222-1,""),"")</f>
        <v>0.679234658615846</v>
      </c>
      <c r="AX238" s="255">
        <f>IF(AND(ISNUMBER(AX222),ISNUMBER(AS222)),IFERROR(AX222/AS222-1,""),"")</f>
        <v>1.25660805962739</v>
      </c>
      <c r="AY238" s="255">
        <f>IF(AND(ISNUMBER(AY222),ISNUMBER(AT222)),IFERROR(AY222/AT222-1,""),"")</f>
        <v>0.418328336948421</v>
      </c>
      <c r="AZ238" s="255">
        <f>IF(AND(ISNUMBER(AZ222),ISNUMBER(AU222)),IFERROR(AZ222/AU222-1,""),"")</f>
        <v>-0.406523189816245</v>
      </c>
      <c r="BA238" s="255">
        <f>IF(AND(ISNUMBER(BA222),ISNUMBER(AV222)),IFERROR(BA222/AV222-1,""),"")</f>
        <v>-0.20895307472922</v>
      </c>
      <c r="BB238" s="255">
        <f>IF(AND(ISNUMBER(BB222),ISNUMBER(AW222)),IFERROR(BB222/AW222-1,""),"")</f>
        <v>0.110399142582944</v>
      </c>
      <c r="BC238" s="255">
        <f>IF(AND(ISNUMBER(BC222),ISNUMBER(AX222)),IFERROR(BC222/AX222-1,""),"")</f>
        <v>-0.564297280727476</v>
      </c>
      <c r="BD238" s="255">
        <f>IF(AND(ISNUMBER(BD222),ISNUMBER(AY222)),IFERROR(BD222/AY222-1,""),"")</f>
        <v>-0.647117014854071</v>
      </c>
      <c r="BE238" s="255">
        <f>IF(AND(ISNUMBER(BE222),ISNUMBER(AZ222)),IFERROR(BE222/AZ222-1,""),"")</f>
        <v>-0.310209504386552</v>
      </c>
      <c r="BF238" s="255">
        <f>IF(AND(ISNUMBER(BF222),ISNUMBER(BA222)),IFERROR(BF222/BA222-1,""),"")</f>
        <v>0.0320895644644861</v>
      </c>
      <c r="BG238" s="255">
        <f>IF(AND(ISNUMBER(BG222),ISNUMBER(BB222)),IFERROR(BG222/BB222-1,""),"")</f>
        <v>-0.411512137449911</v>
      </c>
      <c r="BH238" s="255">
        <f>IF(AND(ISNUMBER(BH222),ISNUMBER(BC222)),IFERROR(BH222/BC222-1,""),"")</f>
        <v>0.31615019427776</v>
      </c>
      <c r="BI238" s="255">
        <f>IF(AND(ISNUMBER(BI222),ISNUMBER(BD222)),IFERROR(BI222/BD222-1,""),"")</f>
        <v>1.7636696538081</v>
      </c>
      <c r="BJ238" s="255">
        <f>IF(AND(ISNUMBER(BJ222),ISNUMBER(BE222)),IFERROR(BJ222/BE222-1,""),"")</f>
        <v>2.89978617214224</v>
      </c>
      <c r="BK238" s="255">
        <f>IF(AND(ISNUMBER(BK222),ISNUMBER(BF222)),IFERROR(BK222/BF222-1,""),"")</f>
        <v>0.97126769950921</v>
      </c>
      <c r="BL238" s="255">
        <f>IF(AND(ISNUMBER(BL222),ISNUMBER(BG222)),IFERROR(BL222/BG222-1,""),"")</f>
        <v>1.3026220846708</v>
      </c>
      <c r="BM238" s="255">
        <f>IF(AND(ISNUMBER(BM222),ISNUMBER(BH222)),IFERROR(BM222/BH222-1,""),"")</f>
        <v>2.12704331870322</v>
      </c>
      <c r="BN238" s="255">
        <f>IF(AND(ISNUMBER(BN222),ISNUMBER(BI222)),IFERROR(BN222/BI222-1,""),"")</f>
        <v>0.961890831918461</v>
      </c>
      <c r="BO238" s="255">
        <f>IF(AND(ISNUMBER(BO222),ISNUMBER(BJ222)),IFERROR(BO222/BJ222-1,""),"")</f>
        <v>0.665014307223856</v>
      </c>
      <c r="BP238" s="255">
        <f>IF(AND(ISNUMBER(BP222),ISNUMBER(BK222)),IFERROR(BP222/BK222-1,""),"")</f>
        <v>0.862358032837301</v>
      </c>
      <c r="BQ238" s="255">
        <f>IF(AND(ISNUMBER(BQ222),ISNUMBER(BL222)),IFERROR(BQ222/BL222-1,""),"")</f>
        <v>0.987999099825846</v>
      </c>
      <c r="BR238" s="255">
        <f>IF(AND(ISNUMBER(BR222),ISNUMBER(BM222)),IFERROR(BR222/BM222-1,""),"")</f>
        <v>0.170751753355286</v>
      </c>
      <c r="BS238" s="255">
        <f>IF(AND(ISNUMBER(BS222),ISNUMBER(BN222)),IFERROR(BS222/BN222-1,""),"")</f>
        <v>0.270340002521529</v>
      </c>
      <c r="BT238" s="255">
        <f>IF(AND(ISNUMBER(BT222),ISNUMBER(BO222)),IFERROR(BT222/BO222-1,""),"")</f>
        <v>0.0709504967842058</v>
      </c>
      <c r="BU238" s="255">
        <f>IF(AND(ISNUMBER(BU222),ISNUMBER(BP222)),IFERROR(BU222/BP222-1,""),"")</f>
        <v>0.143002297795173</v>
      </c>
      <c r="BV238" s="255">
        <f>IF(AND(ISNUMBER(BV222),ISNUMBER(BQ222)),IFERROR(BV222/BQ222-1,""),"")</f>
        <v>0.158540200612416</v>
      </c>
      <c r="BW238" s="255">
        <f>IF(AND(ISNUMBER(BW222),ISNUMBER(BR222)),IFERROR(BW222/BR222-1,""),"")</f>
        <v>0.186402042338308</v>
      </c>
      <c r="BX238" s="255">
        <f>IF(AND(ISNUMBER(BX222),ISNUMBER(BS222)),IFERROR(BX222/BS222-1,""),"")</f>
        <v>0.147435945427374</v>
      </c>
      <c r="BY238" s="256">
        <f>IF(AND(ISNUMBER(BY222),ISNUMBER(BT222)),IFERROR(BY222/BT222-1,""),"")</f>
        <v>0.154137668002167</v>
      </c>
      <c r="BZ238" s="256">
        <f>IF(AND(ISNUMBER(BZ222),ISNUMBER(BU222)),IFERROR(BZ222/BU222-1,""),"")</f>
        <v>0.0662950649328795</v>
      </c>
      <c r="CA238" s="256">
        <f>IF(AND(ISNUMBER(CA222),ISNUMBER(BV222)),IFERROR(CA222/BV222-1,""),"")</f>
        <v>0.131532219049502</v>
      </c>
      <c r="CB238" s="256">
        <f>IF(AND(ISNUMBER(CB222),ISNUMBER(CA222)),IFERROR(CB222/CA222-1,""),"")</f>
        <v>0.279856732569187</v>
      </c>
      <c r="CC238" s="256">
        <f>IF(AND(ISNUMBER(CC222),ISNUMBER(CB222)),IFERROR(CC222/CB222-1,""),"")</f>
        <v>0.20662541188111</v>
      </c>
      <c r="CD238" s="256">
        <f>IF(AND(ISNUMBER(CD222),ISNUMBER(CC222)),IFERROR(CD222/CC222-1,""),"")</f>
        <v>0.188860818241689</v>
      </c>
      <c r="CE238" s="256">
        <f>IF(AND(ISNUMBER(CE222),ISNUMBER(CD222)),IFERROR(CE222/CD222-1,""),"")</f>
        <v>0.188761647536694</v>
      </c>
      <c r="CF238" s="153" t="n"/>
    </row>
    <row r="239" ht="15" customHeight="1" s="251">
      <c r="B239" s="25" t="inlineStr">
        <is>
          <t xml:space="preserve">  Gross margin %</t>
        </is>
      </c>
      <c r="C239" s="215">
        <f>C148</f>
        <v>0.229296984408552</v>
      </c>
      <c r="D239" s="215">
        <f>D148</f>
        <v>0.226019548365352</v>
      </c>
      <c r="E239" s="215">
        <f>E148</f>
        <v>0.222790357925493</v>
      </c>
      <c r="F239" s="215">
        <f>F148</f>
        <v>0.225672202048227</v>
      </c>
      <c r="G239" s="215">
        <f>G148</f>
        <v>0.223453397263478</v>
      </c>
      <c r="H239" s="215">
        <f>H148</f>
        <v>0.224410840942655</v>
      </c>
      <c r="I239" s="215">
        <f>I148</f>
        <v>0.247524266282553</v>
      </c>
      <c r="J239" s="215">
        <f>J148</f>
        <v>0.265650280024891</v>
      </c>
      <c r="K239" s="215">
        <f>K148</f>
        <v>0.286232806928171</v>
      </c>
      <c r="L239" s="215">
        <f>L148</f>
        <v>0.276503627428036</v>
      </c>
      <c r="M239" s="215">
        <f>M148</f>
        <v>0.265017391644194</v>
      </c>
      <c r="N239" s="215">
        <f>N148</f>
        <v>0.272269381615</v>
      </c>
      <c r="O239" s="215">
        <f>O148</f>
        <v>0.288029988349121</v>
      </c>
      <c r="P239" s="215">
        <f>P148</f>
        <v>0.307187176835574</v>
      </c>
      <c r="Q239" s="215">
        <f>Q148</f>
        <v>0.289226881772681</v>
      </c>
      <c r="R239" s="215">
        <f>R148</f>
        <v>0.295178668848882</v>
      </c>
      <c r="S239" s="215">
        <f>S148</f>
        <v>0.294826268710388</v>
      </c>
      <c r="T239" s="215">
        <f>T148</f>
        <v>0.322313685785975</v>
      </c>
      <c r="U239" s="215">
        <f>U148</f>
        <v>0.346128962691395</v>
      </c>
      <c r="V239" s="215">
        <f>V148</f>
        <v>0.339261771433078</v>
      </c>
      <c r="W239" s="215">
        <f>W148</f>
        <v>0.319075726634403</v>
      </c>
      <c r="X239" s="215">
        <f>X148</f>
        <v>0.33040203353083</v>
      </c>
      <c r="Y239" s="215">
        <f>Y148</f>
        <v>0.352307058500412</v>
      </c>
      <c r="Z239" s="215">
        <f>Z148</f>
        <v>0.369161952374688</v>
      </c>
      <c r="AA239" s="215">
        <f>AA148</f>
        <v>0.35012532860549</v>
      </c>
      <c r="AB239" s="215">
        <f>AB148</f>
        <v>0.337966667428728</v>
      </c>
      <c r="AC239" s="215">
        <f>AC148</f>
        <v>0.350930603660644</v>
      </c>
      <c r="AD239" s="215">
        <f>AD148</f>
        <v>0.371674973399787</v>
      </c>
      <c r="AE239" s="215">
        <f>AE148</f>
        <v>0.382136740877355</v>
      </c>
      <c r="AF239" s="215">
        <f>AF148</f>
        <v>0.370222201901975</v>
      </c>
      <c r="AG239" s="215">
        <f>AG148</f>
        <v>0.363240864804063</v>
      </c>
      <c r="AH239" s="215">
        <f>AH148</f>
        <v>0.370683548289162</v>
      </c>
      <c r="AI239" s="215">
        <f>AI148</f>
        <v>0.397848830374985</v>
      </c>
      <c r="AJ239" s="215">
        <f>AJ148</f>
        <v>0.420791891994101</v>
      </c>
      <c r="AK239" s="215">
        <f>AK148</f>
        <v>0.416660774886878</v>
      </c>
      <c r="AL239" s="215">
        <f>AL148</f>
        <v>0.381263556359919</v>
      </c>
      <c r="AM239" s="215">
        <f>AM148</f>
        <v>0.402474161288522</v>
      </c>
      <c r="AN239" s="215">
        <f>AN148</f>
        <v>0.431825795644891</v>
      </c>
      <c r="AO239" s="215">
        <f>AO148</f>
        <v>0.426897356633651</v>
      </c>
      <c r="AP239" s="215">
        <f>AP148</f>
        <v>0.40981123447793</v>
      </c>
      <c r="AQ239" s="215">
        <f>AQ148</f>
        <v>0.382675526378993</v>
      </c>
      <c r="AR239" s="215">
        <f>AR148</f>
        <v>0.409900114786006</v>
      </c>
      <c r="AS239" s="215">
        <f>AS148</f>
        <v>0.413441658272809</v>
      </c>
      <c r="AT239" s="215">
        <f>AT148</f>
        <v>0.40772899046248</v>
      </c>
      <c r="AU239" s="215">
        <f>AU148</f>
        <v>0.406042955951948</v>
      </c>
      <c r="AV239" s="215">
        <f>AV148</f>
        <v>0.368531719166899</v>
      </c>
      <c r="AW239" s="215">
        <f>AW148</f>
        <v>0.395677918687057</v>
      </c>
      <c r="AX239" s="215">
        <f>AX148</f>
        <v>0.424952542435356</v>
      </c>
      <c r="AY239" s="215">
        <f>AY148</f>
        <v>0.432472585779979</v>
      </c>
      <c r="AZ239" s="215">
        <f>AZ148</f>
        <v>0.43210121647475</v>
      </c>
      <c r="BA239" s="215">
        <f>BA148</f>
        <v>0.397177830174948</v>
      </c>
      <c r="BB239" s="215">
        <f>BB148</f>
        <v>0.420325144416396</v>
      </c>
      <c r="BC239" s="215">
        <f>BC148</f>
        <v>0.428918621826801</v>
      </c>
      <c r="BD239" s="215">
        <f>BD148</f>
        <v>0.45210089578831</v>
      </c>
      <c r="BE239" s="215">
        <f>BE148</f>
        <v>0.447148330854989</v>
      </c>
      <c r="BF239" s="215">
        <f>BF148</f>
        <v>0.426020750113938</v>
      </c>
      <c r="BG239" s="215">
        <f>BG148</f>
        <v>0.438053398653263</v>
      </c>
      <c r="BH239" s="215">
        <f>BH148</f>
        <v>0.467713060820679</v>
      </c>
      <c r="BI239" s="215">
        <f>BI148</f>
        <v>0.483766547852035</v>
      </c>
      <c r="BJ239" s="215">
        <f>BJ148</f>
        <v>0.475674957891573</v>
      </c>
      <c r="BK239" s="215">
        <f>BK148</f>
        <v>0.45544566106342</v>
      </c>
      <c r="BL239" s="215">
        <f>BL148</f>
        <v>0.469820889550006</v>
      </c>
      <c r="BM239" s="215">
        <f>BM148</f>
        <v>0.493186242699546</v>
      </c>
      <c r="BN239" s="215">
        <f>BN148</f>
        <v>0.501375213715645</v>
      </c>
      <c r="BO239" s="215">
        <f>BO148</f>
        <v>0.49031640829069</v>
      </c>
      <c r="BP239" s="215">
        <f>BP148</f>
        <v>0.473390772769873</v>
      </c>
      <c r="BQ239" s="215">
        <f>BQ148</f>
        <v>0.488543934641568</v>
      </c>
      <c r="BR239" s="215">
        <f>BR148</f>
        <v>0.505508553514875</v>
      </c>
      <c r="BS239" s="215">
        <f>BS148</f>
        <v>0.518139318553148</v>
      </c>
      <c r="BT239" s="215">
        <f>BT148</f>
        <v>0.507850962152202</v>
      </c>
      <c r="BU239" s="215">
        <f>BU148</f>
        <v>0.484694403569119</v>
      </c>
      <c r="BV239" s="215">
        <f>BV148</f>
        <v>0.502856648682427</v>
      </c>
      <c r="BW239" s="215">
        <f>BW148</f>
        <v>0.518160633322132</v>
      </c>
      <c r="BX239" s="215">
        <f>BX148</f>
        <v>0.522556653340379</v>
      </c>
      <c r="BY239" s="256">
        <f>BY148</f>
        <v>0.509996752455405</v>
      </c>
      <c r="BZ239" s="256">
        <f>BZ148</f>
        <v>0.480332325490816</v>
      </c>
      <c r="CA239" s="256">
        <f>CA148</f>
        <v>0.50607973270317</v>
      </c>
      <c r="CB239" s="256">
        <f>CB148</f>
        <v>0.529469137931808</v>
      </c>
      <c r="CC239" s="256">
        <f>CC148</f>
        <v>0.540087072001199</v>
      </c>
      <c r="CD239" s="256">
        <f>CD148</f>
        <v>0.547200785355879</v>
      </c>
      <c r="CE239" s="256">
        <f>CE148</f>
        <v>0.554604189555566</v>
      </c>
      <c r="CF239" s="153" t="n"/>
      <c r="CH239" s="37">
        <f>IFERROR(AVERAGE(CA239,CB239,CC239,CD239,CE239),"n/m")</f>
        <v>0.535488183509524</v>
      </c>
      <c r="CI239" s="37">
        <f>IFERROR(AVERAGE(BB239,BG239,BL239,BQ239,BV239),"n/m")</f>
        <v>0.463920003188732</v>
      </c>
      <c r="CJ239" s="37">
        <f>IFERROR(AVERAGE(AC239,AH239,AM239,AR239,AW239,BB239,BG239,BL239,BQ239,BV239),"n/m")</f>
        <v>0.424926636265505</v>
      </c>
      <c r="CK239" s="37">
        <f>IFERROR(AVERAGE(C239,D239,E239,F239,G239,H239,I239,N239,S239,X239,AC239,AH239,AM239,AR239,AW239,BB239,BG239,BL239,BQ239,BV239),"n/m")</f>
        <v>0.337296582187379</v>
      </c>
    </row>
    <row r="240" ht="15" customHeight="1" s="251">
      <c r="B240" s="25" t="inlineStr">
        <is>
          <t xml:space="preserve">  Adjusted operating margin %</t>
        </is>
      </c>
      <c r="C240" s="215">
        <f>IF(AND(ISNUMBER(C182),ISNUMBER(C144)),IFERROR(C182/C144,""),"")</f>
        <v>0.0363178041265988</v>
      </c>
      <c r="D240" s="215">
        <f>IF(AND(ISNUMBER(D182),ISNUMBER(D144)),IFERROR(D182/D144,""),"")</f>
        <v>0.0441523424334344</v>
      </c>
      <c r="E240" s="215">
        <f>IF(AND(ISNUMBER(E182),ISNUMBER(E144)),IFERROR(E182/E144,""),"")</f>
        <v>0.0439319628508818</v>
      </c>
      <c r="F240" s="215">
        <f>IF(AND(ISNUMBER(F182),ISNUMBER(F144)),IFERROR(F182/F144,""),"")</f>
        <v>0.0460647109225183</v>
      </c>
      <c r="G240" s="215">
        <f>IF(AND(ISNUMBER(G182),ISNUMBER(G144)),IFERROR(G182/G144,""),"")</f>
        <v>0.0411063033563326</v>
      </c>
      <c r="H240" s="215">
        <f>IF(AND(ISNUMBER(H182),ISNUMBER(H144)),IFERROR(H182/H144,""),"")</f>
        <v>0.0179295713126859</v>
      </c>
      <c r="I240" s="215">
        <f>IF(AND(ISNUMBER(I182),ISNUMBER(I144)),IFERROR(I182/I144,""),"")</f>
        <v>0.0110650974743424</v>
      </c>
      <c r="J240" s="215">
        <f>IF(AND(ISNUMBER(J182),ISNUMBER(J144)),IFERROR(J182/J144,""),"")</f>
        <v>0.0112632233976353</v>
      </c>
      <c r="K240" s="215">
        <f>IF(AND(ISNUMBER(K182),ISNUMBER(K144)),IFERROR(K182/K144,""),"")</f>
        <v>0.00503056546102904</v>
      </c>
      <c r="L240" s="215">
        <f>IF(AND(ISNUMBER(L182),ISNUMBER(L144)),IFERROR(L182/L144,""),"")</f>
        <v>-0.00146267259536625</v>
      </c>
      <c r="M240" s="215">
        <f>IF(AND(ISNUMBER(M182),ISNUMBER(M144)),IFERROR(M182/M144,""),"")</f>
        <v>0.0199319967170829</v>
      </c>
      <c r="N240" s="215">
        <f>IF(AND(ISNUMBER(N182),ISNUMBER(N144)),IFERROR(N182/N144,""),"")</f>
        <v>0.0100064471068608</v>
      </c>
      <c r="O240" s="215">
        <f>IF(AND(ISNUMBER(O182),ISNUMBER(O144)),IFERROR(O182/O144,""),"")</f>
        <v>0.00739577529000557</v>
      </c>
      <c r="P240" s="215">
        <f>IF(AND(ISNUMBER(P182),ISNUMBER(P144)),IFERROR(P182/P144,""),"")</f>
        <v>-0.00077559462254395</v>
      </c>
      <c r="Q240" s="215">
        <f>IF(AND(ISNUMBER(Q182),ISNUMBER(Q144)),IFERROR(Q182/Q144,""),"")</f>
        <v>-0.0264347150007289</v>
      </c>
      <c r="R240" s="215">
        <f>IF(AND(ISNUMBER(R182),ISNUMBER(R144)),IFERROR(R182/R144,""),"")</f>
        <v>0.0201513911620295</v>
      </c>
      <c r="S240" s="215">
        <f>IF(AND(ISNUMBER(S182),ISNUMBER(S144)),IFERROR(S182/S144,""),"")</f>
        <v>0.0020002696992853</v>
      </c>
      <c r="T240" s="215">
        <f>IF(AND(ISNUMBER(T182),ISNUMBER(T144)),IFERROR(T182/T144,""),"")</f>
        <v>0.0112250737333275</v>
      </c>
      <c r="U240" s="215">
        <f>IF(AND(ISNUMBER(U182),ISNUMBER(U144)),IFERROR(U182/U144,""),"")</f>
        <v>0.0200129394004744</v>
      </c>
      <c r="V240" s="215">
        <f>IF(AND(ISNUMBER(V182),ISNUMBER(V144)),IFERROR(V182/V144,""),"")</f>
        <v>0.0160107263979809</v>
      </c>
      <c r="W240" s="215">
        <f>IF(AND(ISNUMBER(W182),ISNUMBER(W144)),IFERROR(W182/W144,""),"")</f>
        <v>0.0309956080230509</v>
      </c>
      <c r="X240" s="215">
        <f>IF(AND(ISNUMBER(X182),ISNUMBER(X144)),IFERROR(X182/X144,""),"")</f>
        <v>0.0208679887109134</v>
      </c>
      <c r="Y240" s="215">
        <f>IF(AND(ISNUMBER(Y182),ISNUMBER(Y144)),IFERROR(Y182/Y144,""),"")</f>
        <v>0.0367687448503158</v>
      </c>
      <c r="Z240" s="215">
        <f>IF(AND(ISNUMBER(Z182),ISNUMBER(Z144)),IFERROR(Z182/Z144,""),"")</f>
        <v>0.0422641757663465</v>
      </c>
      <c r="AA240" s="215">
        <f>IF(AND(ISNUMBER(AA182),ISNUMBER(AA144)),IFERROR(AA182/AA144,""),"")</f>
        <v>0.0175765727211591</v>
      </c>
      <c r="AB240" s="215">
        <f>IF(AND(ISNUMBER(AB182),ISNUMBER(AB144)),IFERROR(AB182/AB144,""),"")</f>
        <v>0.0286916165611211</v>
      </c>
      <c r="AC240" s="215">
        <f>IF(AND(ISNUMBER(AC182),ISNUMBER(AC144)),IFERROR(AC182/AC144,""),"")</f>
        <v>0.0307823541956216</v>
      </c>
      <c r="AD240" s="215">
        <f>IF(AND(ISNUMBER(AD182),ISNUMBER(AD144)),IFERROR(AD182/AD144,""),"")</f>
        <v>0.028140225121801</v>
      </c>
      <c r="AE240" s="215">
        <f>IF(AND(ISNUMBER(AE182),ISNUMBER(AE144)),IFERROR(AE182/AE144,""),"")</f>
        <v>0.0165459096298248</v>
      </c>
      <c r="AF240" s="215">
        <f>IF(AND(ISNUMBER(AF182),ISNUMBER(AF144)),IFERROR(AF182/AF144,""),"")</f>
        <v>0.00793251645940015</v>
      </c>
      <c r="AG240" s="215">
        <f>IF(AND(ISNUMBER(AG182),ISNUMBER(AG144)),IFERROR(AG182/AG144,""),"")</f>
        <v>0.0351843580963724</v>
      </c>
      <c r="AH240" s="215">
        <f>IF(AND(ISNUMBER(AH182),ISNUMBER(AH144)),IFERROR(AH182/AH144,""),"")</f>
        <v>0.0230847941708927</v>
      </c>
      <c r="AI240" s="215">
        <f>IF(AND(ISNUMBER(AI182),ISNUMBER(AI144)),IFERROR(AI182/AI144,""),"")</f>
        <v>0.0377532228360958</v>
      </c>
      <c r="AJ240" s="215">
        <f>IF(AND(ISNUMBER(AJ182),ISNUMBER(AJ144)),IFERROR(AJ182/AJ144,""),"")</f>
        <v>0.0564043414136066</v>
      </c>
      <c r="AK240" s="215">
        <f>IF(AND(ISNUMBER(AK182),ISNUMBER(AK144)),IFERROR(AK182/AK144,""),"")</f>
        <v>0.065822963800905</v>
      </c>
      <c r="AL240" s="215">
        <f>IF(AND(ISNUMBER(AL182),ISNUMBER(AL144)),IFERROR(AL182/AL144,""),"")</f>
        <v>0.0523050992636393</v>
      </c>
      <c r="AM240" s="215">
        <f>IF(AND(ISNUMBER(AM182),ISNUMBER(AM144)),IFERROR(AM182/AM144,""),"")</f>
        <v>0.0533348791473977</v>
      </c>
      <c r="AN240" s="215">
        <f>IF(AND(ISNUMBER(AN182),ISNUMBER(AN144)),IFERROR(AN182/AN144,""),"")</f>
        <v>0.074036850921273</v>
      </c>
      <c r="AO240" s="215">
        <f>IF(AND(ISNUMBER(AO182),ISNUMBER(AO144)),IFERROR(AO182/AO144,""),"")</f>
        <v>0.0486404643240174</v>
      </c>
      <c r="AP240" s="215">
        <f>IF(AND(ISNUMBER(AP182),ISNUMBER(AP144)),IFERROR(AP182/AP144,""),"")</f>
        <v>0.045112244752147</v>
      </c>
      <c r="AQ240" s="215">
        <f>IF(AND(ISNUMBER(AQ182),ISNUMBER(AQ144)),IFERROR(AQ182/AQ144,""),"")</f>
        <v>0.0443633701979711</v>
      </c>
      <c r="AR240" s="215">
        <f>IF(AND(ISNUMBER(AR182),ISNUMBER(AR144)),IFERROR(AR182/AR144,""),"")</f>
        <v>0.0518355066625791</v>
      </c>
      <c r="AS240" s="215">
        <f>IF(AND(ISNUMBER(AS182),ISNUMBER(AS144)),IFERROR(AS182/AS144,""),"")</f>
        <v>0.0528680485606743</v>
      </c>
      <c r="AT240" s="215">
        <f>IF(AND(ISNUMBER(AT182),ISNUMBER(AT144)),IFERROR(AT182/AT144,""),"")</f>
        <v>0.0657166636674465</v>
      </c>
      <c r="AU240" s="215">
        <f>IF(AND(ISNUMBER(AU182),ISNUMBER(AU144)),IFERROR(AU182/AU144,""),"")</f>
        <v>0.0644235269644807</v>
      </c>
      <c r="AV240" s="215">
        <f>IF(AND(ISNUMBER(AV182),ISNUMBER(AV144)),IFERROR(AV182/AV144,""),"")</f>
        <v>0.0547409501811955</v>
      </c>
      <c r="AW240" s="215">
        <f>IF(AND(ISNUMBER(AW182),ISNUMBER(AW144)),IFERROR(AW182/AW144,""),"")</f>
        <v>0.0593139997513366</v>
      </c>
      <c r="AX240" s="215">
        <f>IF(AND(ISNUMBER(AX182),ISNUMBER(AX144)),IFERROR(AX182/AX144,""),"")</f>
        <v>0.0816915166147552</v>
      </c>
      <c r="AY240" s="215">
        <f>IF(AND(ISNUMBER(AY182),ISNUMBER(AY144)),IFERROR(AY182/AY144,""),"")</f>
        <v>0.0681110718075699</v>
      </c>
      <c r="AZ240" s="215">
        <f>IF(AND(ISNUMBER(AZ182),ISNUMBER(AZ144)),IFERROR(AZ182/AZ144,""),"")</f>
        <v>0.0437858715662564</v>
      </c>
      <c r="BA240" s="215">
        <f>IF(AND(ISNUMBER(BA182),ISNUMBER(BA144)),IFERROR(BA182/BA144,""),"")</f>
        <v>0.0251797514045353</v>
      </c>
      <c r="BB240" s="215">
        <f>IF(AND(ISNUMBER(BB182),ISNUMBER(BB144)),IFERROR(BB182/BB144,""),"")</f>
        <v>0.0529540975092695</v>
      </c>
      <c r="BC240" s="215">
        <f>IF(AND(ISNUMBER(BC182),ISNUMBER(BC144)),IFERROR(BC182/BC144,""),"")</f>
        <v>0.031508708048504</v>
      </c>
      <c r="BD240" s="215">
        <f>IF(AND(ISNUMBER(BD182),ISNUMBER(BD144)),IFERROR(BD182/BD144,""),"")</f>
        <v>0.0273603114637808</v>
      </c>
      <c r="BE240" s="215">
        <f>IF(AND(ISNUMBER(BE182),ISNUMBER(BE144)),IFERROR(BE182/BE144,""),"")</f>
        <v>0.019866090746729</v>
      </c>
      <c r="BF240" s="215">
        <f>IF(AND(ISNUMBER(BF182),ISNUMBER(BF144)),IFERROR(BF182/BF144,""),"")</f>
        <v>0.0364400418219351</v>
      </c>
      <c r="BG240" s="215">
        <f>IF(AND(ISNUMBER(BG182),ISNUMBER(BG144)),IFERROR(BG182/BG144,""),"")</f>
        <v>0.0290826739405778</v>
      </c>
      <c r="BH240" s="215">
        <f>IF(AND(ISNUMBER(BH182),ISNUMBER(BH144)),IFERROR(BH182/BH144,""),"")</f>
        <v>0.0414108261750342</v>
      </c>
      <c r="BI240" s="215">
        <f>IF(AND(ISNUMBER(BI182),ISNUMBER(BI144)),IFERROR(BI182/BI144,""),"")</f>
        <v>0.0571575273658126</v>
      </c>
      <c r="BJ240" s="215">
        <f>IF(AND(ISNUMBER(BJ182),ISNUMBER(BJ144)),IFERROR(BJ182/BJ144,""),"")</f>
        <v>0.0781923778506182</v>
      </c>
      <c r="BK240" s="215">
        <f>IF(AND(ISNUMBER(BK182),ISNUMBER(BK144)),IFERROR(BK182/BK144,""),"")</f>
        <v>0.0777178293843882</v>
      </c>
      <c r="BL240" s="215">
        <f>IF(AND(ISNUMBER(BL182),ISNUMBER(BL144)),IFERROR(BL182/BL144,""),"")</f>
        <v>0.0649842984768218</v>
      </c>
      <c r="BM240" s="215">
        <f>IF(AND(ISNUMBER(BM182),ISNUMBER(BM144)),IFERROR(BM182/BM144,""),"")</f>
        <v>0.106808175113214</v>
      </c>
      <c r="BN240" s="215">
        <f>IF(AND(ISNUMBER(BN182),ISNUMBER(BN144)),IFERROR(BN182/BN144,""),"")</f>
        <v>0.0991505436655697</v>
      </c>
      <c r="BO240" s="215">
        <f>IF(AND(ISNUMBER(BO182),ISNUMBER(BO144)),IFERROR(BO182/BO144,""),"")</f>
        <v>0.109587920215009</v>
      </c>
      <c r="BP240" s="215">
        <f>IF(AND(ISNUMBER(BP182),ISNUMBER(BP144)),IFERROR(BP182/BP144,""),"")</f>
        <v>0.112906833091932</v>
      </c>
      <c r="BQ240" s="215">
        <f>IF(AND(ISNUMBER(BQ182),ISNUMBER(BQ144)),IFERROR(BQ182/BQ144,""),"")</f>
        <v>0.107519448742004</v>
      </c>
      <c r="BR240" s="215">
        <f>IF(AND(ISNUMBER(BR182),ISNUMBER(BR144)),IFERROR(BR182/BR144,""),"")</f>
        <v>0.118233151535007</v>
      </c>
      <c r="BS240" s="215">
        <f>IF(AND(ISNUMBER(BS182),ISNUMBER(BS144)),IFERROR(BS182/BS144,""),"")</f>
        <v>0.114315869816699</v>
      </c>
      <c r="BT240" s="215">
        <f>IF(AND(ISNUMBER(BT182),ISNUMBER(BT144)),IFERROR(BT182/BT144,""),"")</f>
        <v>0.120564581032253</v>
      </c>
      <c r="BU240" s="215">
        <f>IF(AND(ISNUMBER(BU182),ISNUMBER(BU144)),IFERROR(BU182/BU144,""),"")</f>
        <v>0.128485467650174</v>
      </c>
      <c r="BV240" s="215">
        <f>IF(AND(ISNUMBER(BV182),ISNUMBER(BV144)),IFERROR(BV182/BV144,""),"")</f>
        <v>0.120954243406554</v>
      </c>
      <c r="BW240" s="215">
        <f>IF(AND(ISNUMBER(BW182),ISNUMBER(BW144)),IFERROR(BW182/BW144,""),"")</f>
        <v>0.131137787228885</v>
      </c>
      <c r="BX240" s="215">
        <f>IF(AND(ISNUMBER(BX182),ISNUMBER(BX144)),IFERROR(BX182/BX144,""),"")</f>
        <v>0.134143545058473</v>
      </c>
      <c r="BY240" s="256">
        <f>IF(AND(ISNUMBER(BY182),ISNUMBER(BY144)),IFERROR(BY182/BY144,""),"")</f>
        <v>0.12280701754386</v>
      </c>
      <c r="BZ240" s="256">
        <f>IF(AND(ISNUMBER(BZ182),ISNUMBER(BZ144)),IFERROR(BZ182/BZ144,""),"")</f>
        <v>0.126859067069213</v>
      </c>
      <c r="CA240" s="256">
        <f>IF(AND(ISNUMBER(CA182),ISNUMBER(CA144)),IFERROR(CA182/CA144,""),"")</f>
        <v>0.12859081291609</v>
      </c>
      <c r="CB240" s="256">
        <f>IF(AND(ISNUMBER(CB182),ISNUMBER(CB144)),IFERROR(CB182/CB144,""),"")</f>
        <v>0.141197899930862</v>
      </c>
      <c r="CC240" s="256">
        <f>IF(AND(ISNUMBER(CC182),ISNUMBER(CC144)),IFERROR(CC182/CC144,""),"")</f>
        <v>0.149964972315812</v>
      </c>
      <c r="CD240" s="256">
        <f>IF(AND(ISNUMBER(CD182),ISNUMBER(CD144)),IFERROR(CD182/CD144,""),"")</f>
        <v>0.157199710578401</v>
      </c>
      <c r="CE240" s="256">
        <f>IF(AND(ISNUMBER(CE182),ISNUMBER(CE144)),IFERROR(CE182/CE144,""),"")</f>
        <v>0.164702085203659</v>
      </c>
      <c r="CF240" s="153" t="n"/>
      <c r="CH240" s="37">
        <f>IFERROR(AVERAGE(CA240,CB240,CC240,CD240,CE240),"n/m")</f>
        <v>0.148331096188965</v>
      </c>
      <c r="CI240" s="37">
        <f>IFERROR(AVERAGE(BB240,BG240,BL240,BQ240,BV240),"n/m")</f>
        <v>0.0750989524150453</v>
      </c>
      <c r="CJ240" s="37">
        <f>IFERROR(AVERAGE(AC240,AH240,AM240,AR240,AW240,BB240,BG240,BL240,BQ240,BV240),"n/m")</f>
        <v>0.0593846296003054</v>
      </c>
      <c r="CK240" s="37">
        <f>IFERROR(AVERAGE(C240,D240,E240,F240,G240,H240,I240,N240,S240,X240,AC240,AH240,AM240,AR240,AW240,BB240,BG240,BL240,BQ240,BV240),"n/m")</f>
        <v>0.0433644396998454</v>
      </c>
    </row>
    <row r="241" ht="15" customHeight="1" s="251">
      <c r="B241" s="25" t="inlineStr">
        <is>
          <t xml:space="preserve">  Incremental adjusted operating margin (Δ adjusted OI / Δ net sales)</t>
        </is>
      </c>
      <c r="C241" s="36" t="n"/>
      <c r="D241" s="215">
        <f>IFERROR((D182-C182)/(D144-C144),"")</f>
        <v>0.0645004849660524</v>
      </c>
      <c r="E241" s="215">
        <f>IFERROR((E182-D182)/(E144-D144),"")</f>
        <v>0.0431770953590395</v>
      </c>
      <c r="F241" s="215">
        <f>IFERROR((F182-E182)/(F144-E144),"")</f>
        <v>0.0537151413063822</v>
      </c>
      <c r="G241" s="215">
        <f>IFERROR((G182-F182)/(G144-F144),"")</f>
        <v>0.0285714285714286</v>
      </c>
      <c r="H241" s="215">
        <f>IFERROR((H182-G182)/(H144-G144),"")</f>
        <v>-0.0392128595112809</v>
      </c>
      <c r="I241" s="215">
        <f>IFERROR((I182-H182)/(I144-H144),"")</f>
        <v>-0.0142901044867855</v>
      </c>
      <c r="J241" s="36" t="n"/>
      <c r="K241" s="36" t="n"/>
      <c r="L241" s="36" t="n"/>
      <c r="M241" s="36" t="n"/>
      <c r="N241" s="215">
        <f>IFERROR((N182-I182)/(N144-I144),"")</f>
        <v>0.00516505726476533</v>
      </c>
      <c r="O241" s="215">
        <f>IFERROR((O182-J182)/(O144-J144),"")</f>
        <v>-0.00953418687006265</v>
      </c>
      <c r="P241" s="215">
        <f>IFERROR((P182-K182)/(P144-K144),"")</f>
        <v>-0.0258525852585259</v>
      </c>
      <c r="Q241" s="215">
        <f>IFERROR((Q182-L182)/(Q144-L144),"")</f>
        <v>-0.14883854316031</v>
      </c>
      <c r="R241" s="215">
        <f>IFERROR((R182-M182)/(R144-M144),"")</f>
        <v>0.0216519647153168</v>
      </c>
      <c r="S241" s="215">
        <f>IFERROR((S182-N182)/(S144-N144),"")</f>
        <v>-0.0390066042927903</v>
      </c>
      <c r="T241" s="215">
        <f>IFERROR((T182-O182)/(T144-O144),"")</f>
        <v>0.0366263440860215</v>
      </c>
      <c r="U241" s="215">
        <f>IFERROR((U182-P182)/(U144-P144),"")</f>
        <v>0.124577373211964</v>
      </c>
      <c r="V241" s="215">
        <f>IFERROR((V182-Q182)/(V144-Q144),"")</f>
        <v>0.198786356978447</v>
      </c>
      <c r="W241" s="215">
        <f>IFERROR((W182-R182)/(W144-R144),"")</f>
        <v>0.0805421405203303</v>
      </c>
      <c r="X241" s="215">
        <f>IFERROR((X182-S182)/(X144-S144),"")</f>
        <v>0.114052614052614</v>
      </c>
      <c r="Y241" s="215">
        <f>IFERROR((Y182-T182)/(Y144-T144),"")</f>
        <v>0.127281235376696</v>
      </c>
      <c r="Z241" s="215">
        <f>IFERROR((Z182-U182)/(Z144-U144),"")</f>
        <v>0.113727663111234</v>
      </c>
      <c r="AA241" s="215">
        <f>IFERROR((AA182-V182)/(AA144-V144),"")</f>
        <v>0.0229744426318651</v>
      </c>
      <c r="AB241" s="215">
        <f>IFERROR((AB182-W182)/(AB144-W144),"")</f>
        <v>0.0183887915936953</v>
      </c>
      <c r="AC241" s="215">
        <f>IFERROR((AC182-X182)/(AC144-X144),"")</f>
        <v>0.0673889789862324</v>
      </c>
      <c r="AD241" s="215">
        <f>IFERROR((AD182-Y182)/(AD144-Y144),"")</f>
        <v>-0.0100212572122684</v>
      </c>
      <c r="AE241" s="215">
        <f>IFERROR((AE182-Z182)/(AE144-Z144),"")</f>
        <v>-0.0870083432657926</v>
      </c>
      <c r="AF241" s="215">
        <f>IFERROR((AF182-AA182)/(AF144-AA144),"")</f>
        <v>-0.0206708975521306</v>
      </c>
      <c r="AG241" s="215">
        <f>IFERROR((AG182-AB182)/(AG144-AB144),"")</f>
        <v>0.0521780756342748</v>
      </c>
      <c r="AH241" s="215">
        <f>IFERROR((AH182-AC182)/(AH144-AC144),"")</f>
        <v>-0.00191026528809188</v>
      </c>
      <c r="AI241" s="215">
        <f>IFERROR((AI182-AD182)/(AI144-AD144),"")</f>
        <v>0.060151356993737</v>
      </c>
      <c r="AJ241" s="215">
        <f>IFERROR((AJ182-AE182)/(AJ144-AE144),"")</f>
        <v>0.157725537472373</v>
      </c>
      <c r="AK241" s="215">
        <f>IFERROR((AK182-AF182)/(AK144-AF144),"")</f>
        <v>0.263170199501247</v>
      </c>
      <c r="AL241" s="215">
        <f>IFERROR((AL182-AG182)/(AL144-AG144),"")</f>
        <v>0.139061190276614</v>
      </c>
      <c r="AM241" s="215">
        <f>IFERROR((AM182-AH182)/(AM144-AH144),"")</f>
        <v>0.151124116246524</v>
      </c>
      <c r="AN241" s="215">
        <f>IFERROR((AN182-AI182)/(AN144-AI144),"")</f>
        <v>0.287941787941788</v>
      </c>
      <c r="AO241" s="215">
        <f>IFERROR((AO182-AJ182)/(AO144-AJ144),"")</f>
        <v>0.00960258604297395</v>
      </c>
      <c r="AP241" s="215">
        <f>IFERROR((AP182-AK182)/(AP144-AK144),"")</f>
        <v>-0.0422976501305483</v>
      </c>
      <c r="AQ241" s="215">
        <f>IFERROR((AQ182-AL182)/(AQ144-AL144),"")</f>
        <v>0.00617776006377043</v>
      </c>
      <c r="AR241" s="215">
        <f>IFERROR((AR182-AM182)/(AR144-AM144),"")</f>
        <v>0.0445050907945838</v>
      </c>
      <c r="AS241" s="215">
        <f>IFERROR((AS182-AN182)/(AS144-AN144),"")</f>
        <v>-0.0273616048755714</v>
      </c>
      <c r="AT241" s="215">
        <f>IFERROR((AT182-AO182)/(AT144-AO144),"")</f>
        <v>0.108162145209346</v>
      </c>
      <c r="AU241" s="215">
        <f>IFERROR((AU182-AP182)/(AU144-AP144),"")</f>
        <v>0.116075523620242</v>
      </c>
      <c r="AV241" s="215">
        <f>IFERROR((AV182-AQ182)/(AV144-AQ144),"")</f>
        <v>0.0785455690225091</v>
      </c>
      <c r="AW241" s="215">
        <f>IFERROR((AW182-AR182)/(AW144-AR144),"")</f>
        <v>0.0791912224517254</v>
      </c>
      <c r="AX241" s="215">
        <f>IFERROR((AX182-AS182)/(AX144-AS144),"")</f>
        <v>0.147462650456662</v>
      </c>
      <c r="AY241" s="215">
        <f>IFERROR((AY182-AT182)/(AY144-AT144),"")</f>
        <v>0.0769198940748097</v>
      </c>
      <c r="AZ241" s="215">
        <f>IFERROR((AZ182-AU182)/(AZ144-AU144),"")</f>
        <v>-0.0914979205018068</v>
      </c>
      <c r="BA241" s="215">
        <f>IFERROR((BA182-AV182)/(BA144-AV144),"")</f>
        <v>-0.287846841528211</v>
      </c>
      <c r="BB241" s="215">
        <f>IFERROR((BB182-AW182)/(BB144-AW144),"")</f>
        <v>0.0236395329401371</v>
      </c>
      <c r="BC241" s="215">
        <f>IFERROR((BC182-AX182)/(BC144-AX144),"")</f>
        <v>-0.6555639666919</v>
      </c>
      <c r="BD241" s="215">
        <f>IFERROR((BD182-AY182)/(BD144-AY144),"")</f>
        <v>-0.537772872209958</v>
      </c>
      <c r="BE241" s="215">
        <f>IFERROR((BE182-AZ182)/(BE144-AZ144),"")</f>
        <v>-0.142857142857143</v>
      </c>
      <c r="BF241" s="215">
        <f>IFERROR((BF182-BA182)/(BF144-BA144),"")</f>
        <v>0.167656037991859</v>
      </c>
      <c r="BG241" s="215">
        <f>IFERROR((BG182-BB182)/(BG144-BB144),"")</f>
        <v>-0.224881682932905</v>
      </c>
      <c r="BH241" s="215">
        <f>IFERROR((BH182-BC182)/(BH144-BC144),"")</f>
        <v>0.147058823529412</v>
      </c>
      <c r="BI241" s="215">
        <f>IFERROR((BI182-BD182)/(BI144-BD144),"")</f>
        <v>0.331888356529014</v>
      </c>
      <c r="BJ241" s="215">
        <f>IFERROR((BJ182-BE182)/(BJ144-BE144),"")</f>
        <v>0.542047303216118</v>
      </c>
      <c r="BK241" s="215">
        <f>IFERROR((BK182-BF182)/(BK144-BF144),"")</f>
        <v>0.374427903839669</v>
      </c>
      <c r="BL241" s="215">
        <f>IFERROR((BL182-BG182)/(BL144-BG144),"")</f>
        <v>0.368474721226275</v>
      </c>
      <c r="BM241" s="215">
        <f>IFERROR((BM182-BH182)/(BM144-BH144),"")</f>
        <v>0.628831087433406</v>
      </c>
      <c r="BN241" s="215">
        <f>IFERROR((BN182-BI182)/(BN144-BI144),"")</f>
        <v>0.514271001912609</v>
      </c>
      <c r="BO241" s="215">
        <f>IFERROR((BO182-BJ182)/(BO144-BJ144),"")</f>
        <v>0.394010383690009</v>
      </c>
      <c r="BP241" s="215">
        <f>IFERROR((BP182-BK182)/(BP144-BK144),"")</f>
        <v>0.448320340979194</v>
      </c>
      <c r="BQ241" s="215">
        <f>IFERROR((BQ182-BL182)/(BQ144-BL144),"")</f>
        <v>0.494523063285529</v>
      </c>
      <c r="BR241" s="215">
        <f>IFERROR((BR182-BM182)/(BR144-BM144),"")</f>
        <v>0.25076898170633</v>
      </c>
      <c r="BS241" s="215">
        <f>IFERROR((BS182-BN182)/(BS144-BN144),"")</f>
        <v>0.22808618504436</v>
      </c>
      <c r="BT241" s="215">
        <f>IFERROR((BT182-BO182)/(BT144-BO144),"")</f>
        <v>0.20247041142213</v>
      </c>
      <c r="BU241" s="215">
        <f>IFERROR((BU182-BP182)/(BU144-BP144),"")</f>
        <v>0.242791279206064</v>
      </c>
      <c r="BV241" s="215">
        <f>IFERROR((BV182-BQ182)/(BV144-BQ144),"")</f>
        <v>0.229494079655544</v>
      </c>
      <c r="BW241" s="215">
        <f>IFERROR((BW182-BR182)/(BW144-BR144),"")</f>
        <v>0.208842642735572</v>
      </c>
      <c r="BX241" s="215">
        <f>IFERROR((BX182-BS182)/(BX144-BS144),"")</f>
        <v>0.235199367858011</v>
      </c>
      <c r="BY241" s="256">
        <f>IFERROR((BY182-BT182)/(BY144-BT144),"")</f>
        <v>0.143706999120583</v>
      </c>
      <c r="BZ241" s="256">
        <f>IFERROR((BZ182-BU182)/(BZ144-BU144),"")</f>
        <v>0.115484621040569</v>
      </c>
      <c r="CA241" s="256">
        <f>IFERROR((CA182-BV182)/(CA144-BV144),"")</f>
        <v>0.179004412269293</v>
      </c>
      <c r="CB241" s="256">
        <f>IFERROR((CB182-CA182)/(CB144-CA144),"")</f>
        <v>0.229069401136917</v>
      </c>
      <c r="CC241" s="256">
        <f>IFERROR((CC182-CB182)/(CC144-CB144),"")</f>
        <v>0.215927425546125</v>
      </c>
      <c r="CD241" s="256">
        <f>IFERROR((CD182-CC182)/(CD144-CC144),"")</f>
        <v>0.2170428794058</v>
      </c>
      <c r="CE241" s="256">
        <f>IFERROR((CE182-CD182)/(CE144-CD144),"")</f>
        <v>0.233085390217064</v>
      </c>
      <c r="CF241" s="153" t="n"/>
    </row>
    <row r="242" ht="15" customHeight="1" s="251">
      <c r="B242" s="25" t="inlineStr">
        <is>
          <t xml:space="preserve">  Adjusted EBITDA margin %</t>
        </is>
      </c>
      <c r="C242" s="215">
        <f>IF(AND(ISNUMBER(C202),ISNUMBER(C144)),IFERROR(C202/C144,""),"")</f>
        <v>0.0554570068154234</v>
      </c>
      <c r="D242" s="215">
        <f>IF(AND(ISNUMBER(D202),ISNUMBER(D144)),IFERROR(D202/D144,""),"")</f>
        <v>0.0607347489046175</v>
      </c>
      <c r="E242" s="215">
        <f>IF(AND(ISNUMBER(E202),ISNUMBER(E144)),IFERROR(E202/E144,""),"")</f>
        <v>0.0589063967442346</v>
      </c>
      <c r="F242" s="215">
        <f>IF(AND(ISNUMBER(F202),ISNUMBER(F144)),IFERROR(F202/F144,""),"")</f>
        <v>0.0614876167938308</v>
      </c>
      <c r="G242" s="215">
        <f>IF(AND(ISNUMBER(G202),ISNUMBER(G144)),IFERROR(G202/G144,""),"")</f>
        <v>0.0577125482399719</v>
      </c>
      <c r="H242" s="215">
        <f>IF(AND(ISNUMBER(H202),ISNUMBER(H144)),IFERROR(H202/H144,""),"")</f>
        <v>0.0404559352705036</v>
      </c>
      <c r="I242" s="215">
        <f>IF(AND(ISNUMBER(I202),ISNUMBER(I144)),IFERROR(I202/I144,""),"")</f>
        <v>0.0464046617452081</v>
      </c>
      <c r="J242" s="215">
        <f>IF(AND(ISNUMBER(J202),ISNUMBER(J144)),IFERROR(J202/J144,""),"")</f>
        <v>0.0548226509023024</v>
      </c>
      <c r="K242" s="215">
        <f>IF(AND(ISNUMBER(K202),ISNUMBER(K144)),IFERROR(K202/K144,""),"")</f>
        <v>0.0531711665817626</v>
      </c>
      <c r="L242" s="215">
        <f>IF(AND(ISNUMBER(L202),ISNUMBER(L144)),IFERROR(L202/L144,""),"")</f>
        <v>0.047332085186052</v>
      </c>
      <c r="M242" s="215">
        <f>IF(AND(ISNUMBER(M202),ISNUMBER(M144)),IFERROR(M202/M144,""),"")</f>
        <v>0.0575682964005159</v>
      </c>
      <c r="N242" s="215">
        <f>IF(AND(ISNUMBER(N202),ISNUMBER(N144)),IFERROR(N202/N144,""),"")</f>
        <v>0.0536990275613818</v>
      </c>
      <c r="O242" s="215">
        <f>IF(AND(ISNUMBER(O202),ISNUMBER(O144)),IFERROR(O202/O144,""),"")</f>
        <v>0.0585583303784003</v>
      </c>
      <c r="P242" s="215">
        <f>IF(AND(ISNUMBER(P202),ISNUMBER(P144)),IFERROR(P202/P144,""),"")</f>
        <v>0.0565667011375388</v>
      </c>
      <c r="Q242" s="215">
        <f>IF(AND(ISNUMBER(Q202),ISNUMBER(Q144)),IFERROR(Q202/Q144,""),"")</f>
        <v>0.0341610379513096</v>
      </c>
      <c r="R242" s="215">
        <f>IF(AND(ISNUMBER(R202),ISNUMBER(R144)),IFERROR(R202/R144,""),"")</f>
        <v>0.0671713038734315</v>
      </c>
      <c r="S242" s="215">
        <f>IF(AND(ISNUMBER(S202),ISNUMBER(S144)),IFERROR(S202/S144,""),"")</f>
        <v>0.0553333033667461</v>
      </c>
      <c r="T242" s="215">
        <f>IF(AND(ISNUMBER(T202),ISNUMBER(T144)),IFERROR(T202/T144,""),"")</f>
        <v>0.0739974468459744</v>
      </c>
      <c r="U242" s="215">
        <f>IF(AND(ISNUMBER(U202),ISNUMBER(U144)),IFERROR(U202/U144,""),"")</f>
        <v>0.0848824671123571</v>
      </c>
      <c r="V242" s="215">
        <f>IF(AND(ISNUMBER(V202),ISNUMBER(V144)),IFERROR(V202/V144,""),"")</f>
        <v>0.0790677498225412</v>
      </c>
      <c r="W242" s="215">
        <f>IF(AND(ISNUMBER(W202),ISNUMBER(W144)),IFERROR(W202/W144,""),"")</f>
        <v>0.0800067138501133</v>
      </c>
      <c r="X242" s="215">
        <f>IF(AND(ISNUMBER(X202),ISNUMBER(X144)),IFERROR(X202/X144,""),"")</f>
        <v>0.0795656318337289</v>
      </c>
      <c r="Y242" s="215">
        <f>IF(AND(ISNUMBER(Y202),ISNUMBER(Y144)),IFERROR(Y202/Y144,""),"")</f>
        <v>0.0994918978302664</v>
      </c>
      <c r="Z242" s="215">
        <f>IF(AND(ISNUMBER(Z202),ISNUMBER(Z144)),IFERROR(Z202/Z144,""),"")</f>
        <v>0.105051966846468</v>
      </c>
      <c r="AA242" s="215">
        <f>IF(AND(ISNUMBER(AA202),ISNUMBER(AA144)),IFERROR(AA202/AA144,""),"")</f>
        <v>0.0812801858531516</v>
      </c>
      <c r="AB242" s="215">
        <f>IF(AND(ISNUMBER(AB202),ISNUMBER(AB144)),IFERROR(AB202/AB144,""),"")</f>
        <v>0.0812052765140258</v>
      </c>
      <c r="AC242" s="215">
        <f>IF(AND(ISNUMBER(AC202),ISNUMBER(AC144)),IFERROR(AC202/AC144,""),"")</f>
        <v>0.0904645296976917</v>
      </c>
      <c r="AD242" s="215">
        <f>IF(AND(ISNUMBER(AD202),ISNUMBER(AD144)),IFERROR(AD202/AD144,""),"")</f>
        <v>0.0963207705661645</v>
      </c>
      <c r="AE242" s="215">
        <f>IF(AND(ISNUMBER(AE202),ISNUMBER(AE144)),IFERROR(AE202/AE144,""),"")</f>
        <v>0.0859175339217494</v>
      </c>
      <c r="AF242" s="215">
        <f>IF(AND(ISNUMBER(AF202),ISNUMBER(AF144)),IFERROR(AF202/AF144,""),"")</f>
        <v>0.0745016459400146</v>
      </c>
      <c r="AG242" s="215">
        <f>IF(AND(ISNUMBER(AG202),ISNUMBER(AG144)),IFERROR(AG202/AG144,""),"")</f>
        <v>0.0930474914396308</v>
      </c>
      <c r="AH242" s="215">
        <f>IF(AND(ISNUMBER(AH202),ISNUMBER(AH144)),IFERROR(AH202/AH144,""),"")</f>
        <v>0.0876165203018002</v>
      </c>
      <c r="AI242" s="215">
        <f>IF(AND(ISNUMBER(AI202),ISNUMBER(AI144)),IFERROR(AI202/AI144,""),"")</f>
        <v>0.109674385799929</v>
      </c>
      <c r="AJ242" s="215">
        <f>IF(AND(ISNUMBER(AJ202),ISNUMBER(AJ144)),IFERROR(AJ202/AJ144,""),"")</f>
        <v>0.125042544340657</v>
      </c>
      <c r="AK242" s="215">
        <f>IF(AND(ISNUMBER(AK202),ISNUMBER(AK144)),IFERROR(AK202/AK144,""),"")</f>
        <v>0.132600395927602</v>
      </c>
      <c r="AL242" s="215">
        <f>IF(AND(ISNUMBER(AL202),ISNUMBER(AL144)),IFERROR(AL202/AL144,""),"")</f>
        <v>0.111186328281503</v>
      </c>
      <c r="AM242" s="215">
        <f>IF(AND(ISNUMBER(AM202),ISNUMBER(AM144)),IFERROR(AM202/AM144,""),"")</f>
        <v>0.119208027927707</v>
      </c>
      <c r="AN242" s="215">
        <f>IF(AND(ISNUMBER(AN202),ISNUMBER(AN144)),IFERROR(AN202/AN144,""),"")</f>
        <v>0.15534338358459</v>
      </c>
      <c r="AO242" s="215">
        <f>IF(AND(ISNUMBER(AO202),ISNUMBER(AO144)),IFERROR(AO202/AO144,""),"")</f>
        <v>0.130685761150716</v>
      </c>
      <c r="AP242" s="215">
        <f>IF(AND(ISNUMBER(AP202),ISNUMBER(AP144)),IFERROR(AP202/AP144,""),"")</f>
        <v>0.124605249996428</v>
      </c>
      <c r="AQ242" s="215">
        <f>IF(AND(ISNUMBER(AQ202),ISNUMBER(AQ144)),IFERROR(AQ202/AQ144,""),"")</f>
        <v>0.114928462778915</v>
      </c>
      <c r="AR242" s="215">
        <f>IF(AND(ISNUMBER(AR202),ISNUMBER(AR144)),IFERROR(AR202/AR144,""),"")</f>
        <v>0.129508559043497</v>
      </c>
      <c r="AS242" s="215">
        <f>IF(AND(ISNUMBER(AS202),ISNUMBER(AS144)),IFERROR(AS202/AS144,""),"")</f>
        <v>0.123933096538196</v>
      </c>
      <c r="AT242" s="215">
        <f>IF(AND(ISNUMBER(AT202),ISNUMBER(AT144)),IFERROR(AT202/AT144,""),"")</f>
        <v>0.130364855137664</v>
      </c>
      <c r="AU242" s="215">
        <f>IF(AND(ISNUMBER(AU202),ISNUMBER(AU144)),IFERROR(AU202/AU144,""),"")</f>
        <v>0.132268968745125</v>
      </c>
      <c r="AV242" s="215">
        <f>IF(AND(ISNUMBER(AV202),ISNUMBER(AV144)),IFERROR(AV202/AV144,""),"")</f>
        <v>0.115415554936084</v>
      </c>
      <c r="AW242" s="215">
        <f>IF(AND(ISNUMBER(AW202),ISNUMBER(AW144)),IFERROR(AW202/AW144,""),"")</f>
        <v>0.124720253636703</v>
      </c>
      <c r="AX242" s="215">
        <f>IF(AND(ISNUMBER(AX202),ISNUMBER(AX144)),IFERROR(AX202/AX144,""),"")</f>
        <v>0.150878195322435</v>
      </c>
      <c r="AY242" s="215">
        <f>IF(AND(ISNUMBER(AY202),ISNUMBER(AY144)),IFERROR(AY202/AY144,""),"")</f>
        <v>0.139193491333569</v>
      </c>
      <c r="AZ242" s="215">
        <f>IF(AND(ISNUMBER(AZ202),ISNUMBER(AZ144)),IFERROR(AZ202/AZ144,""),"")</f>
        <v>0.124535248890012</v>
      </c>
      <c r="BA242" s="215">
        <f>IF(AND(ISNUMBER(BA202),ISNUMBER(BA144)),IFERROR(BA202/BA144,""),"")</f>
        <v>0.0965126772043199</v>
      </c>
      <c r="BB242" s="215">
        <f>IF(AND(ISNUMBER(BB202),ISNUMBER(BB144)),IFERROR(BB202/BB144,""),"")</f>
        <v>0.125951956272801</v>
      </c>
      <c r="BC242" s="215">
        <f>IF(AND(ISNUMBER(BC202),ISNUMBER(BC144)),IFERROR(BC202/BC144,""),"")</f>
        <v>0.108610147366975</v>
      </c>
      <c r="BD242" s="215">
        <f>IF(AND(ISNUMBER(BD202),ISNUMBER(BD144)),IFERROR(BD202/BD144,""),"")</f>
        <v>0.106496527376808</v>
      </c>
      <c r="BE242" s="215">
        <f>IF(AND(ISNUMBER(BE202),ISNUMBER(BE144)),IFERROR(BE202/BE144,""),"")</f>
        <v>0.100148700639649</v>
      </c>
      <c r="BF242" s="215">
        <f>IF(AND(ISNUMBER(BF202),ISNUMBER(BF144)),IFERROR(BF202/BF144,""),"")</f>
        <v>0.121457869762205</v>
      </c>
      <c r="BG242" s="215">
        <f>IF(AND(ISNUMBER(BG202),ISNUMBER(BG144)),IFERROR(BG202/BG144,""),"")</f>
        <v>0.110643737244228</v>
      </c>
      <c r="BH242" s="215">
        <f>IF(AND(ISNUMBER(BH202),ISNUMBER(BH144)),IFERROR(BH202/BH144,""),"")</f>
        <v>0.128747310730382</v>
      </c>
      <c r="BI242" s="215">
        <f>IF(AND(ISNUMBER(BI202),ISNUMBER(BI144)),IFERROR(BI202/BI144,""),"")</f>
        <v>0.143396114091812</v>
      </c>
      <c r="BJ242" s="215">
        <f>IF(AND(ISNUMBER(BJ202),ISNUMBER(BJ144)),IFERROR(BJ202/BJ144,""),"")</f>
        <v>0.162975335993794</v>
      </c>
      <c r="BK242" s="215">
        <f>IF(AND(ISNUMBER(BK202),ISNUMBER(BK144)),IFERROR(BK202/BK144,""),"")</f>
        <v>0.159030601137908</v>
      </c>
      <c r="BL242" s="215">
        <f>IF(AND(ISNUMBER(BL202),ISNUMBER(BL144)),IFERROR(BL202/BL144,""),"")</f>
        <v>0.14964725941004</v>
      </c>
      <c r="BM242" s="215">
        <f>IF(AND(ISNUMBER(BM202),ISNUMBER(BM144)),IFERROR(BM202/BM144,""),"")</f>
        <v>0.188336019760943</v>
      </c>
      <c r="BN242" s="215">
        <f>IF(AND(ISNUMBER(BN202),ISNUMBER(BN144)),IFERROR(BN202/BN144,""),"")</f>
        <v>0.180501023807754</v>
      </c>
      <c r="BO242" s="215">
        <f>IF(AND(ISNUMBER(BO202),ISNUMBER(BO144)),IFERROR(BO202/BO144,""),"")</f>
        <v>0.194194250898494</v>
      </c>
      <c r="BP242" s="215">
        <f>IF(AND(ISNUMBER(BP202),ISNUMBER(BP144)),IFERROR(BP202/BP144,""),"")</f>
        <v>0.196142540683309</v>
      </c>
      <c r="BQ242" s="215">
        <f>IF(AND(ISNUMBER(BQ202),ISNUMBER(BQ144)),IFERROR(BQ202/BQ144,""),"")</f>
        <v>0.190275550623159</v>
      </c>
      <c r="BR242" s="215">
        <f>IF(AND(ISNUMBER(BR202),ISNUMBER(BR144)),IFERROR(BR202/BR144,""),"")</f>
        <v>0.20985179903255</v>
      </c>
      <c r="BS242" s="215">
        <f>IF(AND(ISNUMBER(BS202),ISNUMBER(BS144)),IFERROR(BS202/BS144,""),"")</f>
        <v>0.20511383287021</v>
      </c>
      <c r="BT242" s="215">
        <f>IF(AND(ISNUMBER(BT202),ISNUMBER(BT144)),IFERROR(BT202/BT144,""),"")</f>
        <v>0.213788165555673</v>
      </c>
      <c r="BU242" s="215">
        <f>IF(AND(ISNUMBER(BU202),ISNUMBER(BU144)),IFERROR(BU202/BU144,""),"")</f>
        <v>0.219733253353078</v>
      </c>
      <c r="BV242" s="215">
        <f>IF(AND(ISNUMBER(BV202),ISNUMBER(BV144)),IFERROR(BV202/BV144,""),"")</f>
        <v>0.212673867801887</v>
      </c>
      <c r="BW242" s="215">
        <f>IF(AND(ISNUMBER(BW202),ISNUMBER(BW144)),IFERROR(BW202/BW144,""),"")</f>
        <v>0.23550702681262</v>
      </c>
      <c r="BX242" s="215">
        <f>IF(AND(ISNUMBER(BX202),ISNUMBER(BX144)),IFERROR(BX202/BX144,""),"")</f>
        <v>0.233781641625874</v>
      </c>
      <c r="BY242" s="256">
        <f>IF(AND(ISNUMBER(BY202),ISNUMBER(BY144)),IFERROR(BY202/BY144,""),"")</f>
        <v>0.232829504384067</v>
      </c>
      <c r="BZ242" s="256">
        <f>IF(AND(ISNUMBER(BZ202),ISNUMBER(BZ144)),IFERROR(BZ202/BZ144,""),"")</f>
        <v>0.228053410722982</v>
      </c>
      <c r="CA242" s="256">
        <f>IF(AND(ISNUMBER(CA202),ISNUMBER(CA144)),IFERROR(CA202/CA144,""),"")</f>
        <v>0.23223854343789</v>
      </c>
      <c r="CB242" s="256">
        <f>IF(AND(ISNUMBER(CB202),ISNUMBER(CB144)),IFERROR(CB202/CB144,""),"")</f>
        <v>0.263188012747876</v>
      </c>
      <c r="CC242" s="256">
        <f>IF(AND(ISNUMBER(CC202),ISNUMBER(CC144)),IFERROR(CC202/CC144,""),"")</f>
        <v>0.278374048294251</v>
      </c>
      <c r="CD242" s="256">
        <f>IF(AND(ISNUMBER(CD202),ISNUMBER(CD144)),IFERROR(CD202/CD144,""),"")</f>
        <v>0.288898639157786</v>
      </c>
      <c r="CE242" s="256">
        <f>IF(AND(ISNUMBER(CE202),ISNUMBER(CE144)),IFERROR(CE202/CE144,""),"")</f>
        <v>0.297291540634743</v>
      </c>
      <c r="CF242" s="153" t="n"/>
      <c r="CH242" s="37">
        <f>IFERROR(AVERAGE(CA242,CB242,CC242,CD242,CE242),"n/m")</f>
        <v>0.271998156854509</v>
      </c>
      <c r="CI242" s="37">
        <f>IFERROR(AVERAGE(BB242,BG242,BL242,BQ242,BV242),"n/m")</f>
        <v>0.157838474270423</v>
      </c>
      <c r="CJ242" s="37">
        <f>IFERROR(AVERAGE(AC242,AH242,AM242,AR242,AW242,BB242,BG242,BL242,BQ242,BV242),"n/m")</f>
        <v>0.134071026195952</v>
      </c>
      <c r="CK242" s="37">
        <f>IFERROR(AVERAGE(C242,D242,E242,F242,G242,H242,I242,N242,S242,X242,AC242,AH242,AM242,AR242,AW242,BB242,BG242,BL242,BQ242,BV242),"n/m")</f>
        <v>0.0955233569617581</v>
      </c>
    </row>
    <row r="243" ht="15" customHeight="1" s="251">
      <c r="B243" s="25" t="inlineStr">
        <is>
          <t xml:space="preserve">  Operating margin (GAAP) %</t>
        </is>
      </c>
      <c r="C243" s="215">
        <f>IF(AND(ISNUMBER(C154),ISNUMBER(C144)),IFERROR(C154/C144,""),"")</f>
        <v>0.0363178041265988</v>
      </c>
      <c r="D243" s="215">
        <f>IF(AND(ISNUMBER(D154),ISNUMBER(D144)),IFERROR(D154/D144,""),"")</f>
        <v>0.0441523424334344</v>
      </c>
      <c r="E243" s="215">
        <f>IF(AND(ISNUMBER(E154),ISNUMBER(E144)),IFERROR(E154/E144,""),"")</f>
        <v>0.0439319628508818</v>
      </c>
      <c r="F243" s="215">
        <f>IF(AND(ISNUMBER(F154),ISNUMBER(F144)),IFERROR(F154/F144,""),"")</f>
        <v>0.0460647109225183</v>
      </c>
      <c r="G243" s="215">
        <f>IF(AND(ISNUMBER(G154),ISNUMBER(G144)),IFERROR(G154/G144,""),"")</f>
        <v>0.0411063033563326</v>
      </c>
      <c r="H243" s="215">
        <f>IF(AND(ISNUMBER(H154),ISNUMBER(H144)),IFERROR(H154/H144,""),"")</f>
        <v>0.0179295713126859</v>
      </c>
      <c r="I243" s="215">
        <f>IF(AND(ISNUMBER(I154),ISNUMBER(I144)),IFERROR(I154/I144,""),"")</f>
        <v>0.0110650974743424</v>
      </c>
      <c r="J243" s="215">
        <f>IF(AND(ISNUMBER(J154),ISNUMBER(J144)),IFERROR(J154/J144,""),"")</f>
        <v>0.0112632233976353</v>
      </c>
      <c r="K243" s="215">
        <f>IF(AND(ISNUMBER(K154),ISNUMBER(K144)),IFERROR(K154/K144,""),"")</f>
        <v>0.00503056546102904</v>
      </c>
      <c r="L243" s="215">
        <f>IF(AND(ISNUMBER(L154),ISNUMBER(L144)),IFERROR(L154/L144,""),"")</f>
        <v>-0.00146267259536625</v>
      </c>
      <c r="M243" s="215">
        <f>IF(AND(ISNUMBER(M154),ISNUMBER(M144)),IFERROR(M154/M144,""),"")</f>
        <v>0.0199319967170829</v>
      </c>
      <c r="N243" s="215">
        <f>IF(AND(ISNUMBER(N154),ISNUMBER(N144)),IFERROR(N154/N144,""),"")</f>
        <v>0.0100064471068608</v>
      </c>
      <c r="O243" s="215">
        <f>IF(AND(ISNUMBER(O154),ISNUMBER(O144)),IFERROR(O154/O144,""),"")</f>
        <v>0.00739577529000557</v>
      </c>
      <c r="P243" s="215">
        <f>IF(AND(ISNUMBER(P154),ISNUMBER(P144)),IFERROR(P154/P144,""),"")</f>
        <v>-0.00077559462254395</v>
      </c>
      <c r="Q243" s="215">
        <f>IF(AND(ISNUMBER(Q154),ISNUMBER(Q144)),IFERROR(Q154/Q144,""),"")</f>
        <v>-0.0264347150007289</v>
      </c>
      <c r="R243" s="215">
        <f>IF(AND(ISNUMBER(R154),ISNUMBER(R144)),IFERROR(R154/R144,""),"")</f>
        <v>0.0201513911620295</v>
      </c>
      <c r="S243" s="215">
        <f>IF(AND(ISNUMBER(S154),ISNUMBER(S144)),IFERROR(S154/S144,""),"")</f>
        <v>0.0020002696992853</v>
      </c>
      <c r="T243" s="215">
        <f>IF(AND(ISNUMBER(T154),ISNUMBER(T144)),IFERROR(T154/T144,""),"")</f>
        <v>0.0112250737333275</v>
      </c>
      <c r="U243" s="215">
        <f>IF(AND(ISNUMBER(U154),ISNUMBER(U144)),IFERROR(U154/U144,""),"")</f>
        <v>0.0200129394004744</v>
      </c>
      <c r="V243" s="215">
        <f>IF(AND(ISNUMBER(V154),ISNUMBER(V144)),IFERROR(V154/V144,""),"")</f>
        <v>0.0160107263979809</v>
      </c>
      <c r="W243" s="215">
        <f>IF(AND(ISNUMBER(W154),ISNUMBER(W144)),IFERROR(W154/W144,""),"")</f>
        <v>0.0309956080230509</v>
      </c>
      <c r="X243" s="215">
        <f>IF(AND(ISNUMBER(X154),ISNUMBER(X144)),IFERROR(X154/X144,""),"")</f>
        <v>0.0208679887109134</v>
      </c>
      <c r="Y243" s="215">
        <f>IF(AND(ISNUMBER(Y154),ISNUMBER(Y144)),IFERROR(Y154/Y144,""),"")</f>
        <v>0.0367687448503158</v>
      </c>
      <c r="Z243" s="215">
        <f>IF(AND(ISNUMBER(Z154),ISNUMBER(Z144)),IFERROR(Z154/Z144,""),"")</f>
        <v>0.0422641757663465</v>
      </c>
      <c r="AA243" s="215">
        <f>IF(AND(ISNUMBER(AA154),ISNUMBER(AA144)),IFERROR(AA154/AA144,""),"")</f>
        <v>0.0175765727211591</v>
      </c>
      <c r="AB243" s="215">
        <f>IF(AND(ISNUMBER(AB154),ISNUMBER(AB144)),IFERROR(AB154/AB144,""),"")</f>
        <v>0.0286916165611211</v>
      </c>
      <c r="AC243" s="215">
        <f>IF(AND(ISNUMBER(AC154),ISNUMBER(AC144)),IFERROR(AC154/AC144,""),"")</f>
        <v>0.0307823541956216</v>
      </c>
      <c r="AD243" s="215">
        <f>IF(AND(ISNUMBER(AD154),ISNUMBER(AD144)),IFERROR(AD154/AD144,""),"")</f>
        <v>0.028140225121801</v>
      </c>
      <c r="AE243" s="215">
        <f>IF(AND(ISNUMBER(AE154),ISNUMBER(AE144)),IFERROR(AE154/AE144,""),"")</f>
        <v>0.0165459096298248</v>
      </c>
      <c r="AF243" s="215">
        <f>IF(AND(ISNUMBER(AF154),ISNUMBER(AF144)),IFERROR(AF154/AF144,""),"")</f>
        <v>0.00793251645940015</v>
      </c>
      <c r="AG243" s="215">
        <f>IF(AND(ISNUMBER(AG154),ISNUMBER(AG144)),IFERROR(AG154/AG144,""),"")</f>
        <v>0.0351843580963724</v>
      </c>
      <c r="AH243" s="215">
        <f>IF(AND(ISNUMBER(AH154),ISNUMBER(AH144)),IFERROR(AH154/AH144,""),"")</f>
        <v>0.0230847941708927</v>
      </c>
      <c r="AI243" s="215">
        <f>IF(AND(ISNUMBER(AI154),ISNUMBER(AI144)),IFERROR(AI154/AI144,""),"")</f>
        <v>0.0377532228360958</v>
      </c>
      <c r="AJ243" s="215">
        <f>IF(AND(ISNUMBER(AJ154),ISNUMBER(AJ144)),IFERROR(AJ154/AJ144,""),"")</f>
        <v>0.0564043414136066</v>
      </c>
      <c r="AK243" s="215">
        <f>IF(AND(ISNUMBER(AK154),ISNUMBER(AK144)),IFERROR(AK154/AK144,""),"")</f>
        <v>0.065822963800905</v>
      </c>
      <c r="AL243" s="215">
        <f>IF(AND(ISNUMBER(AL154),ISNUMBER(AL144)),IFERROR(AL154/AL144,""),"")</f>
        <v>0.0523050992636393</v>
      </c>
      <c r="AM243" s="215">
        <f>IF(AND(ISNUMBER(AM154),ISNUMBER(AM144)),IFERROR(AM154/AM144,""),"")</f>
        <v>0.0533348791473977</v>
      </c>
      <c r="AN243" s="215">
        <f>IF(AND(ISNUMBER(AN154),ISNUMBER(AN144)),IFERROR(AN154/AN144,""),"")</f>
        <v>0.074036850921273</v>
      </c>
      <c r="AO243" s="215">
        <f>IF(AND(ISNUMBER(AO154),ISNUMBER(AO144)),IFERROR(AO154/AO144,""),"")</f>
        <v>0.0486404643240174</v>
      </c>
      <c r="AP243" s="215">
        <f>IF(AND(ISNUMBER(AP154),ISNUMBER(AP144)),IFERROR(AP154/AP144,""),"")</f>
        <v>0.045112244752147</v>
      </c>
      <c r="AQ243" s="215">
        <f>IF(AND(ISNUMBER(AQ154),ISNUMBER(AQ144)),IFERROR(AQ154/AQ144,""),"")</f>
        <v>0.0443633701979711</v>
      </c>
      <c r="AR243" s="215">
        <f>IF(AND(ISNUMBER(AR154),ISNUMBER(AR144)),IFERROR(AR154/AR144,""),"")</f>
        <v>0.0518355066625791</v>
      </c>
      <c r="AS243" s="215">
        <f>IF(AND(ISNUMBER(AS154),ISNUMBER(AS144)),IFERROR(AS154/AS144,""),"")</f>
        <v>0.0528680485606743</v>
      </c>
      <c r="AT243" s="215">
        <f>IF(AND(ISNUMBER(AT154),ISNUMBER(AT144)),IFERROR(AT154/AT144,""),"")</f>
        <v>0.0657166636674465</v>
      </c>
      <c r="AU243" s="215">
        <f>IF(AND(ISNUMBER(AU154),ISNUMBER(AU144)),IFERROR(AU154/AU144,""),"")</f>
        <v>0.0644235269644807</v>
      </c>
      <c r="AV243" s="215">
        <f>IF(AND(ISNUMBER(AV154),ISNUMBER(AV144)),IFERROR(AV154/AV144,""),"")</f>
        <v>0.0547409501811955</v>
      </c>
      <c r="AW243" s="215">
        <f>IF(AND(ISNUMBER(AW154),ISNUMBER(AW144)),IFERROR(AW154/AW144,""),"")</f>
        <v>0.0593139997513366</v>
      </c>
      <c r="AX243" s="215">
        <f>IF(AND(ISNUMBER(AX154),ISNUMBER(AX144)),IFERROR(AX154/AX144,""),"")</f>
        <v>0.0816915166147552</v>
      </c>
      <c r="AY243" s="215">
        <f>IF(AND(ISNUMBER(AY154),ISNUMBER(AY144)),IFERROR(AY154/AY144,""),"")</f>
        <v>0.0681110718075699</v>
      </c>
      <c r="AZ243" s="215">
        <f>IF(AND(ISNUMBER(AZ154),ISNUMBER(AZ144)),IFERROR(AZ154/AZ144,""),"")</f>
        <v>0.0437858715662564</v>
      </c>
      <c r="BA243" s="215">
        <f>IF(AND(ISNUMBER(BA154),ISNUMBER(BA144)),IFERROR(BA154/BA144,""),"")</f>
        <v>0.0251797514045353</v>
      </c>
      <c r="BB243" s="215">
        <f>IF(AND(ISNUMBER(BB154),ISNUMBER(BB144)),IFERROR(BB154/BB144,""),"")</f>
        <v>0.0529540975092695</v>
      </c>
      <c r="BC243" s="215">
        <f>IF(AND(ISNUMBER(BC154),ISNUMBER(BC144)),IFERROR(BC154/BC144,""),"")</f>
        <v>0.031508708048504</v>
      </c>
      <c r="BD243" s="215">
        <f>IF(AND(ISNUMBER(BD154),ISNUMBER(BD144)),IFERROR(BD154/BD144,""),"")</f>
        <v>0.0273603114637808</v>
      </c>
      <c r="BE243" s="215">
        <f>IF(AND(ISNUMBER(BE154),ISNUMBER(BE144)),IFERROR(BE154/BE144,""),"")</f>
        <v>0.019866090746729</v>
      </c>
      <c r="BF243" s="215">
        <f>IF(AND(ISNUMBER(BF154),ISNUMBER(BF144)),IFERROR(BF154/BF144,""),"")</f>
        <v>0.0183440122248733</v>
      </c>
      <c r="BG243" s="215">
        <f>IF(AND(ISNUMBER(BG154),ISNUMBER(BG144)),IFERROR(BG154/BG144,""),"")</f>
        <v>0.0238295819122422</v>
      </c>
      <c r="BH243" s="215">
        <f>IF(AND(ISNUMBER(BH154),ISNUMBER(BH144)),IFERROR(BH154/BH144,""),"")</f>
        <v>0.0374848851269649</v>
      </c>
      <c r="BI243" s="215">
        <f>IF(AND(ISNUMBER(BI154),ISNUMBER(BI144)),IFERROR(BI154/BI144,""),"")</f>
        <v>0.0571575273658126</v>
      </c>
      <c r="BJ243" s="215">
        <f>IF(AND(ISNUMBER(BJ154),ISNUMBER(BJ144)),IFERROR(BJ154/BJ144,""),"")</f>
        <v>0.0781923778506182</v>
      </c>
      <c r="BK243" s="215">
        <f>IF(AND(ISNUMBER(BK154),ISNUMBER(BK144)),IFERROR(BK154/BK144,""),"")</f>
        <v>0.0777178293843882</v>
      </c>
      <c r="BL243" s="215">
        <f>IF(AND(ISNUMBER(BL154),ISNUMBER(BL144)),IFERROR(BL154/BL144,""),"")</f>
        <v>0.0641144079960333</v>
      </c>
      <c r="BM243" s="215">
        <f>IF(AND(ISNUMBER(BM154),ISNUMBER(BM144)),IFERROR(BM154/BM144,""),"")</f>
        <v>0.106808175113214</v>
      </c>
      <c r="BN243" s="215">
        <f>IF(AND(ISNUMBER(BN154),ISNUMBER(BN144)),IFERROR(BN154/BN144,""),"")</f>
        <v>0.0991505436655697</v>
      </c>
      <c r="BO243" s="215">
        <f>IF(AND(ISNUMBER(BO154),ISNUMBER(BO144)),IFERROR(BO154/BO144,""),"")</f>
        <v>0.109587920215009</v>
      </c>
      <c r="BP243" s="215">
        <f>IF(AND(ISNUMBER(BP154),ISNUMBER(BP144)),IFERROR(BP154/BP144,""),"")</f>
        <v>0.112906833091932</v>
      </c>
      <c r="BQ243" s="215">
        <f>IF(AND(ISNUMBER(BQ154),ISNUMBER(BQ144)),IFERROR(BQ154/BQ144,""),"")</f>
        <v>0.107519448742004</v>
      </c>
      <c r="BR243" s="215">
        <f>IF(AND(ISNUMBER(BR154),ISNUMBER(BR144)),IFERROR(BR154/BR144,""),"")</f>
        <v>0.118233151535007</v>
      </c>
      <c r="BS243" s="215">
        <f>IF(AND(ISNUMBER(BS154),ISNUMBER(BS144)),IFERROR(BS154/BS144,""),"")</f>
        <v>0.114315869816699</v>
      </c>
      <c r="BT243" s="215">
        <f>IF(AND(ISNUMBER(BT154),ISNUMBER(BT144)),IFERROR(BT154/BT144,""),"")</f>
        <v>0.0966981001171123</v>
      </c>
      <c r="BU243" s="215">
        <f>IF(AND(ISNUMBER(BU154),ISNUMBER(BU144)),IFERROR(BU154/BU144,""),"")</f>
        <v>0.117050790586074</v>
      </c>
      <c r="BV243" s="215">
        <f>IF(AND(ISNUMBER(BV154),ISNUMBER(BV144)),IFERROR(BV154/BV144,""),"")</f>
        <v>0.111552967957552</v>
      </c>
      <c r="BW243" s="215">
        <f>IF(AND(ISNUMBER(BW154),ISNUMBER(BW144)),IFERROR(BW154/BW144,""),"")</f>
        <v>0.131402222356888</v>
      </c>
      <c r="BX243" s="215">
        <f>IF(AND(ISNUMBER(BX154),ISNUMBER(BX144)),IFERROR(BX154/BX144,""),"")</f>
        <v>0.136890222625445</v>
      </c>
      <c r="BY243" s="256">
        <f>IF(AND(ISNUMBER(BY154),ISNUMBER(BY144)),IFERROR(BY154/BY144,""),"")</f>
        <v>0.12280701754386</v>
      </c>
      <c r="BZ243" s="256">
        <f>IF(AND(ISNUMBER(BZ154),ISNUMBER(BZ144)),IFERROR(BZ154/BZ144,""),"")</f>
        <v>0.126859067069213</v>
      </c>
      <c r="CA243" s="256">
        <f>IF(AND(ISNUMBER(CA154),ISNUMBER(CA144)),IFERROR(CA154/CA144,""),"")</f>
        <v>0.129316413997659</v>
      </c>
      <c r="CB243" s="256">
        <f>IF(AND(ISNUMBER(CB154),ISNUMBER(CB144)),IFERROR(CB154/CB144,""),"")</f>
        <v>0.141197899930862</v>
      </c>
      <c r="CC243" s="256">
        <f>IF(AND(ISNUMBER(CC154),ISNUMBER(CC144)),IFERROR(CC154/CC144,""),"")</f>
        <v>0.149964972315812</v>
      </c>
      <c r="CD243" s="256">
        <f>IF(AND(ISNUMBER(CD154),ISNUMBER(CD144)),IFERROR(CD154/CD144,""),"")</f>
        <v>0.157199710578401</v>
      </c>
      <c r="CE243" s="256">
        <f>IF(AND(ISNUMBER(CE154),ISNUMBER(CE144)),IFERROR(CE154/CE144,""),"")</f>
        <v>0.164702085203659</v>
      </c>
      <c r="CF243" s="153" t="n"/>
      <c r="CH243" s="37">
        <f>IFERROR(AVERAGE(CA243,CB243,CC243,CD243,CE243),"n/m")</f>
        <v>0.148476216405278</v>
      </c>
      <c r="CI243" s="37">
        <f>IFERROR(AVERAGE(BB243,BG243,BL243,BQ243,BV243),"n/m")</f>
        <v>0.0719941008234202</v>
      </c>
      <c r="CJ243" s="37">
        <f>IFERROR(AVERAGE(AC243,AH243,AM243,AR243,AW243,BB243,BG243,BL243,BQ243,BV243),"n/m")</f>
        <v>0.0578322038044928</v>
      </c>
      <c r="CK243" s="37">
        <f>IFERROR(AVERAGE(C243,D243,E243,F243,G243,H243,I243,N243,S243,X243,AC243,AH243,AM243,AR243,AW243,BB243,BG243,BL243,BQ243,BV243),"n/m")</f>
        <v>0.0425882268019391</v>
      </c>
    </row>
    <row r="244" ht="15" customHeight="1" s="251">
      <c r="B244" s="25" t="inlineStr">
        <is>
          <t xml:space="preserve">  Net margin %</t>
        </is>
      </c>
      <c r="C244" s="215">
        <f>IF(AND(ISNUMBER(C163),ISNUMBER(C144)),IFERROR(C163/C144,""),"")</f>
        <v>0.0177387732237886</v>
      </c>
      <c r="D244" s="215">
        <f>IF(AND(ISNUMBER(D163),ISNUMBER(D144)),IFERROR(D163/D144,""),"")</f>
        <v>0.0320862824401753</v>
      </c>
      <c r="E244" s="215">
        <f>IF(AND(ISNUMBER(E163),ISNUMBER(E144)),IFERROR(E163/E144,""),"")</f>
        <v>0.0336533444641553</v>
      </c>
      <c r="F244" s="215">
        <f>IF(AND(ISNUMBER(F163),ISNUMBER(F144)),IFERROR(F163/F144,""),"")</f>
        <v>0.0368028071320739</v>
      </c>
      <c r="G244" s="215">
        <f>IF(AND(ISNUMBER(G163),ISNUMBER(G144)),IFERROR(G163/G144,""),"")</f>
        <v>0.0336802713132967</v>
      </c>
      <c r="H244" s="215">
        <f>IF(AND(ISNUMBER(H163),ISNUMBER(H144)),IFERROR(H163/H144,""),"")</f>
        <v>0.0131247790003536</v>
      </c>
      <c r="I244" s="215">
        <f>IF(AND(ISNUMBER(I163),ISNUMBER(I144)),IFERROR(I163/I144,""),"")</f>
        <v>-0.000638371008135138</v>
      </c>
      <c r="J244" s="215">
        <f>IF(AND(ISNUMBER(J163),ISNUMBER(J144)),IFERROR(J163/J144,""),"")</f>
        <v>0.00510267579340386</v>
      </c>
      <c r="K244" s="215">
        <f>IF(AND(ISNUMBER(K163),ISNUMBER(K144)),IFERROR(K163/K144,""),"")</f>
        <v>-0.000445746306673459</v>
      </c>
      <c r="L244" s="215">
        <f>IF(AND(ISNUMBER(L163),ISNUMBER(L144)),IFERROR(L163/L144,""),"")</f>
        <v>-0.00239878305640066</v>
      </c>
      <c r="M244" s="215">
        <f>IF(AND(ISNUMBER(M163),ISNUMBER(M144)),IFERROR(M163/M144,""),"")</f>
        <v>0.0093406808144761</v>
      </c>
      <c r="N244" s="215">
        <f>IF(AND(ISNUMBER(N163),ISNUMBER(N144)),IFERROR(N163/N144,""),"")</f>
        <v>0.00368022349970451</v>
      </c>
      <c r="O244" s="215">
        <f>IF(AND(ISNUMBER(O163),ISNUMBER(O144)),IFERROR(O163/O144,""),"")</f>
        <v>0.00547084747479864</v>
      </c>
      <c r="P244" s="215">
        <f>IF(AND(ISNUMBER(P163),ISNUMBER(P144)),IFERROR(P163/P144,""),"")</f>
        <v>-0.00651499482936918</v>
      </c>
      <c r="Q244" s="215">
        <f>IF(AND(ISNUMBER(Q163),ISNUMBER(Q144)),IFERROR(Q163/Q144,""),"")</f>
        <v>-0.0212352398075708</v>
      </c>
      <c r="R244" s="215">
        <f>IF(AND(ISNUMBER(R163),ISNUMBER(R144)),IFERROR(R163/R144,""),"")</f>
        <v>0.00729678123295145</v>
      </c>
      <c r="S244" s="215">
        <f>IF(AND(ISNUMBER(S163),ISNUMBER(S144)),IFERROR(S163/S144,""),"")</f>
        <v>-0.00270823032318964</v>
      </c>
      <c r="T244" s="215">
        <f>IF(AND(ISNUMBER(T163),ISNUMBER(T144)),IFERROR(T163/T144,""),"")</f>
        <v>-0.00250913412862614</v>
      </c>
      <c r="U244" s="215">
        <f>IF(AND(ISNUMBER(U163),ISNUMBER(U144)),IFERROR(U163/U144,""),"")</f>
        <v>0.00396808281216304</v>
      </c>
      <c r="V244" s="215">
        <f>IF(AND(ISNUMBER(V163),ISNUMBER(V144)),IFERROR(V163/V144,""),"")</f>
        <v>0.00311538764886821</v>
      </c>
      <c r="W244" s="215">
        <f>IF(AND(ISNUMBER(W163),ISNUMBER(W144)),IFERROR(W163/W144,""),"")</f>
        <v>0.0134836489775366</v>
      </c>
      <c r="X244" s="215">
        <f>IF(AND(ISNUMBER(X163),ISNUMBER(X144)),IFERROR(X163/X144,""),"")</f>
        <v>0.0055697811337682</v>
      </c>
      <c r="Y244" s="215">
        <f>IF(AND(ISNUMBER(Y163),ISNUMBER(Y144)),IFERROR(Y163/Y144,""),"")</f>
        <v>0.0176119198022521</v>
      </c>
      <c r="Z244" s="215">
        <f>IF(AND(ISNUMBER(Z163),ISNUMBER(Z144)),IFERROR(Z163/Z144,""),"")</f>
        <v>0.0281870806472833</v>
      </c>
      <c r="AA244" s="215">
        <f>IF(AND(ISNUMBER(AA163),ISNUMBER(AA144)),IFERROR(AA163/AA144,""),"")</f>
        <v>0.00770312404475148</v>
      </c>
      <c r="AB244" s="215">
        <f>IF(AND(ISNUMBER(AB163),ISNUMBER(AB144)),IFERROR(AB163/AB144,""),"")</f>
        <v>0.0171235225532109</v>
      </c>
      <c r="AC244" s="215">
        <f>IF(AND(ISNUMBER(AC163),ISNUMBER(AC144)),IFERROR(AC163/AC144,""),"")</f>
        <v>0.0174354901571474</v>
      </c>
      <c r="AD244" s="215">
        <f>IF(AND(ISNUMBER(AD163),ISNUMBER(AD144)),IFERROR(AD163/AD144,""),"")</f>
        <v>0.0202721621772974</v>
      </c>
      <c r="AE244" s="215">
        <f>IF(AND(ISNUMBER(AE163),ISNUMBER(AE144)),IFERROR(AE163/AE144,""),"")</f>
        <v>0.00519035700171255</v>
      </c>
      <c r="AF244" s="215">
        <f>IF(AND(ISNUMBER(AF163),ISNUMBER(AF144)),IFERROR(AF163/AF144,""),"")</f>
        <v>0.00585223116313094</v>
      </c>
      <c r="AG244" s="215">
        <f>IF(AND(ISNUMBER(AG163),ISNUMBER(AG144)),IFERROR(AG163/AG144,""),"")</f>
        <v>0.0307015367310142</v>
      </c>
      <c r="AH244" s="215">
        <f>IF(AND(ISNUMBER(AH163),ISNUMBER(AH144)),IFERROR(AH163/AH144,""),"")</f>
        <v>0.0170521628641787</v>
      </c>
      <c r="AI244" s="215">
        <f>IF(AND(ISNUMBER(AI163),ISNUMBER(AI144)),IFERROR(AI163/AI144,""),"")</f>
        <v>0.0319148936170213</v>
      </c>
      <c r="AJ244" s="215">
        <f>IF(AND(ISNUMBER(AJ163),ISNUMBER(AJ144)),IFERROR(AJ163/AJ144,""),"")</f>
        <v>0.0479143818780017</v>
      </c>
      <c r="AK244" s="215">
        <f>IF(AND(ISNUMBER(AK163),ISNUMBER(AK144)),IFERROR(AK163/AK144,""),"")</f>
        <v>0.0509580033936652</v>
      </c>
      <c r="AL244" s="215">
        <f>IF(AND(ISNUMBER(AL163),ISNUMBER(AL144)),IFERROR(AL163/AL144,""),"")</f>
        <v>0.0418192116933534</v>
      </c>
      <c r="AM244" s="215">
        <f>IF(AND(ISNUMBER(AM163),ISNUMBER(AM144)),IFERROR(AM163/AM144,""),"")</f>
        <v>0.0432527363055903</v>
      </c>
      <c r="AN244" s="215">
        <f>IF(AND(ISNUMBER(AN163),ISNUMBER(AN144)),IFERROR(AN163/AN144,""),"")</f>
        <v>0.0596482412060302</v>
      </c>
      <c r="AO244" s="215">
        <f>IF(AND(ISNUMBER(AO163),ISNUMBER(AO144)),IFERROR(AO163/AO144,""),"")</f>
        <v>0.041401173427544</v>
      </c>
      <c r="AP244" s="215">
        <f>IF(AND(ISNUMBER(AP163),ISNUMBER(AP144)),IFERROR(AP163/AP144,""),"")</f>
        <v>0.03049399122619</v>
      </c>
      <c r="AQ244" s="215">
        <f>IF(AND(ISNUMBER(AQ163),ISNUMBER(AQ144)),IFERROR(AQ163/AQ144,""),"")</f>
        <v>0.0373754817754498</v>
      </c>
      <c r="AR244" s="215">
        <f>IF(AND(ISNUMBER(AR163),ISNUMBER(AR144)),IFERROR(AR163/AR144,""),"")</f>
        <v>0.0413087030607225</v>
      </c>
      <c r="AS244" s="215">
        <f>IF(AND(ISNUMBER(AS163),ISNUMBER(AS144)),IFERROR(AS163/AS144,""),"")</f>
        <v>0.0335975189524466</v>
      </c>
      <c r="AT244" s="215">
        <f>IF(AND(ISNUMBER(AT163),ISNUMBER(AT144)),IFERROR(AT163/AT144,""),"")</f>
        <v>0.0589684182112651</v>
      </c>
      <c r="AU244" s="215">
        <f>IF(AND(ISNUMBER(AU163),ISNUMBER(AU144)),IFERROR(AU163/AU144,""),"")</f>
        <v>0.0658484580581414</v>
      </c>
      <c r="AV244" s="215">
        <f>IF(AND(ISNUMBER(AV163),ISNUMBER(AV144)),IFERROR(AV163/AV144,""),"")</f>
        <v>0.0575206084982677</v>
      </c>
      <c r="AW244" s="215">
        <f>IF(AND(ISNUMBER(AW163),ISNUMBER(AW144)),IFERROR(AW163/AW144,""),"")</f>
        <v>0.0552524969953168</v>
      </c>
      <c r="AX244" s="215">
        <f>IF(AND(ISNUMBER(AX163),ISNUMBER(AX144)),IFERROR(AX163/AX144,""),"")</f>
        <v>0.074706500304097</v>
      </c>
      <c r="AY244" s="215">
        <f>IF(AND(ISNUMBER(AY163),ISNUMBER(AY144)),IFERROR(AY163/AY144,""),"")</f>
        <v>0.0687831623629289</v>
      </c>
      <c r="AZ244" s="215">
        <f>IF(AND(ISNUMBER(AZ163),ISNUMBER(AZ144)),IFERROR(AZ163/AZ144,""),"")</f>
        <v>0.0284806699635419</v>
      </c>
      <c r="BA244" s="215">
        <f>IF(AND(ISNUMBER(BA163),ISNUMBER(BA144)),IFERROR(BA163/BA144,""),"")</f>
        <v>0.104233982476057</v>
      </c>
      <c r="BB244" s="215">
        <f>IF(AND(ISNUMBER(BB163),ISNUMBER(BB144)),IFERROR(BB163/BB144,""),"")</f>
        <v>0.0710141287551456</v>
      </c>
      <c r="BC244" s="215">
        <f>IF(AND(ISNUMBER(BC163),ISNUMBER(BC144)),IFERROR(BC163/BC144,""),"")</f>
        <v>-0.0330115763800625</v>
      </c>
      <c r="BD244" s="215">
        <f>IF(AND(ISNUMBER(BD163),ISNUMBER(BD144)),IFERROR(BD163/BD144,""),"")</f>
        <v>-0.0167279805995018</v>
      </c>
      <c r="BE244" s="215">
        <f>IF(AND(ISNUMBER(BE163),ISNUMBER(BE144)),IFERROR(BE163/BE144,""),"")</f>
        <v>0.0225962030196458</v>
      </c>
      <c r="BF244" s="215">
        <f>IF(AND(ISNUMBER(BF163),ISNUMBER(BF144)),IFERROR(BF163/BF144,""),"")</f>
        <v>0.00186322082517895</v>
      </c>
      <c r="BG244" s="215">
        <f>IF(AND(ISNUMBER(BG163),ISNUMBER(BG144)),IFERROR(BG163/BG144,""),"")</f>
        <v>-0.0052958950004183</v>
      </c>
      <c r="BH244" s="215">
        <f>IF(AND(ISNUMBER(BH163),ISNUMBER(BH144)),IFERROR(BH163/BH144,""),"")</f>
        <v>0.0249061700089511</v>
      </c>
      <c r="BI244" s="215">
        <f>IF(AND(ISNUMBER(BI163),ISNUMBER(BI144)),IFERROR(BI163/BI144,""),"")</f>
        <v>0.0502295677280608</v>
      </c>
      <c r="BJ244" s="215">
        <f>IF(AND(ISNUMBER(BJ163),ISNUMBER(BJ144)),IFERROR(BJ163/BJ144,""),"")</f>
        <v>0.069043841686294</v>
      </c>
      <c r="BK244" s="215">
        <f>IF(AND(ISNUMBER(BK163),ISNUMBER(BK144)),IFERROR(BK163/BK144,""),"")</f>
        <v>0.062508457822677</v>
      </c>
      <c r="BL244" s="215">
        <f>IF(AND(ISNUMBER(BL163),ISNUMBER(BL144)),IFERROR(BL163/BL144,""),"")</f>
        <v>0.0529328357559783</v>
      </c>
      <c r="BM244" s="215">
        <f>IF(AND(ISNUMBER(BM163),ISNUMBER(BM144)),IFERROR(BM163/BM144,""),"")</f>
        <v>0.0727847438822717</v>
      </c>
      <c r="BN244" s="215">
        <f>IF(AND(ISNUMBER(BN163),ISNUMBER(BN144)),IFERROR(BN163/BN144,""),"")</f>
        <v>0.0911290268082202</v>
      </c>
      <c r="BO244" s="215">
        <f>IF(AND(ISNUMBER(BO163),ISNUMBER(BO144)),IFERROR(BO163/BO144,""),"")</f>
        <v>0.0964771489894698</v>
      </c>
      <c r="BP244" s="215">
        <f>IF(AND(ISNUMBER(BP163),ISNUMBER(BP144)),IFERROR(BP163/BP144,""),"")</f>
        <v>0.106522109568033</v>
      </c>
      <c r="BQ244" s="215">
        <f>IF(AND(ISNUMBER(BQ163),ISNUMBER(BQ144)),IFERROR(BQ163/BQ144,""),"")</f>
        <v>0.0928711719718665</v>
      </c>
      <c r="BR244" s="215">
        <f>IF(AND(ISNUMBER(BR163),ISNUMBER(BR144)),IFERROR(BR163/BR144,""),"")</f>
        <v>0.110023319007882</v>
      </c>
      <c r="BS244" s="215">
        <f>IF(AND(ISNUMBER(BS163),ISNUMBER(BS144)),IFERROR(BS163/BS144,""),"")</f>
        <v>0.108311171005713</v>
      </c>
      <c r="BT244" s="215">
        <f>IF(AND(ISNUMBER(BT163),ISNUMBER(BT144)),IFERROR(BT163/BT144,""),"")</f>
        <v>0.117595146778858</v>
      </c>
      <c r="BU244" s="215">
        <f>IF(AND(ISNUMBER(BU163),ISNUMBER(BU144)),IFERROR(BU163/BU144,""),"")</f>
        <v>0.0993129821075422</v>
      </c>
      <c r="BV244" s="215">
        <f>IF(AND(ISNUMBER(BV163),ISNUMBER(BV144)),IFERROR(BV163/BV144,""),"")</f>
        <v>0.108337843341833</v>
      </c>
      <c r="BW244" s="215">
        <f>IF(AND(ISNUMBER(BW163),ISNUMBER(BW144)),IFERROR(BW163/BW144,""),"")</f>
        <v>0.166676766619472</v>
      </c>
      <c r="BX244" s="215">
        <f>IF(AND(ISNUMBER(BX163),ISNUMBER(BX144)),IFERROR(BX163/BX144,""),"")</f>
        <v>0.312288765041923</v>
      </c>
      <c r="BY244" s="256">
        <f>IF(AND(ISNUMBER(BY163),ISNUMBER(BY144)),IFERROR(BY163/BY144,""),"")</f>
        <v>0.0968625690225564</v>
      </c>
      <c r="BZ244" s="256">
        <f>IF(AND(ISNUMBER(BZ163),ISNUMBER(BZ144)),IFERROR(BZ163/BZ144,""),"")</f>
        <v>0.099955825659305</v>
      </c>
      <c r="CA244" s="256">
        <f>IF(AND(ISNUMBER(CA163),ISNUMBER(CA144)),IFERROR(CA163/CA144,""),"")</f>
        <v>0.165477089009334</v>
      </c>
      <c r="CB244" s="256">
        <f>IF(AND(ISNUMBER(CB163),ISNUMBER(CB144)),IFERROR(CB163/CB144,""),"")</f>
        <v>0.111825938505374</v>
      </c>
      <c r="CC244" s="256">
        <f>IF(AND(ISNUMBER(CC163),ISNUMBER(CC144)),IFERROR(CC163/CC144,""),"")</f>
        <v>0.119412589058077</v>
      </c>
      <c r="CD244" s="256">
        <f>IF(AND(ISNUMBER(CD163),ISNUMBER(CD144)),IFERROR(CD163/CD144,""),"")</f>
        <v>0.12538468896617</v>
      </c>
      <c r="CE244" s="256">
        <f>IF(AND(ISNUMBER(CE163),ISNUMBER(CE144)),IFERROR(CE163/CE144,""),"")</f>
        <v>0.131654108522097</v>
      </c>
      <c r="CF244" s="153" t="n"/>
      <c r="CH244" s="37">
        <f>IFERROR(AVERAGE(CA244,CB244,CC244,CD244,CE244),"n/m")</f>
        <v>0.13075088281221</v>
      </c>
      <c r="CI244" s="37">
        <f>IFERROR(AVERAGE(BB244,BG244,BL244,BQ244,BV244),"n/m")</f>
        <v>0.063972016964881</v>
      </c>
      <c r="CJ244" s="37">
        <f>IFERROR(AVERAGE(AC244,AH244,AM244,AR244,AW244,BB244,BG244,BL244,BQ244,BV244),"n/m")</f>
        <v>0.049416167420736</v>
      </c>
      <c r="CK244" s="37">
        <f>IFERROR(AVERAGE(C244,D244,E244,F244,G244,H244,I244,N244,S244,X244,AC244,AH244,AM244,AR244,AW244,BB244,BG244,BL244,BQ244,BV244),"n/m")</f>
        <v>0.0333575667541676</v>
      </c>
    </row>
    <row r="245" ht="15" customHeight="1" s="251">
      <c r="B245" s="25" t="inlineStr">
        <is>
          <t xml:space="preserve">  Fulfillment % of net sales</t>
        </is>
      </c>
      <c r="C245" s="215">
        <f>IF(AND(ISNUMBER(C149),ISNUMBER(C144)),IFERROR(C149/C144,""),"")</f>
        <v>0.0874801605825787</v>
      </c>
      <c r="D245" s="215">
        <f>IF(AND(ISNUMBER(D149),ISNUMBER(D144)),IFERROR(D149/D144,""),"")</f>
        <v>0.0870913380519043</v>
      </c>
      <c r="E245" s="215">
        <f>IF(AND(ISNUMBER(E149),ISNUMBER(E144)),IFERROR(E149/E144,""),"")</f>
        <v>0.0865073567776271</v>
      </c>
      <c r="F245" s="215">
        <f>IF(AND(ISNUMBER(F149),ISNUMBER(F144)),IFERROR(F149/F144,""),"")</f>
        <v>0.083724346158554</v>
      </c>
      <c r="G245" s="215">
        <f>IF(AND(ISNUMBER(G149),ISNUMBER(G144)),IFERROR(G149/G144,""),"")</f>
        <v>0.084726932522512</v>
      </c>
      <c r="H245" s="215">
        <f>IF(AND(ISNUMBER(H149),ISNUMBER(H144)),IFERROR(H149/H144,""),"")</f>
        <v>0.0951806477109637</v>
      </c>
      <c r="I245" s="215">
        <f>IF(AND(ISNUMBER(I149),ISNUMBER(I144)),IFERROR(I149/I144,""),"")</f>
        <v>0.105069320544089</v>
      </c>
      <c r="J245" s="215">
        <f>IF(AND(ISNUMBER(J149),ISNUMBER(J144)),IFERROR(J149/J144,""),"")</f>
        <v>0.11176104542626</v>
      </c>
      <c r="K245" s="215">
        <f>IF(AND(ISNUMBER(K149),ISNUMBER(K144)),IFERROR(K149/K144,""),"")</f>
        <v>0.116976566479878</v>
      </c>
      <c r="L245" s="215">
        <f>IF(AND(ISNUMBER(L149),ISNUMBER(L144)),IFERROR(L149/L144,""),"")</f>
        <v>0.119003042358998</v>
      </c>
      <c r="M245" s="215">
        <f>IF(AND(ISNUMBER(M149),ISNUMBER(M144)),IFERROR(M149/M144,""),"")</f>
        <v>0.114042287098917</v>
      </c>
      <c r="N245" s="215">
        <f>IF(AND(ISNUMBER(N149),ISNUMBER(N144)),IFERROR(N149/N144,""),"")</f>
        <v>0.115309192499866</v>
      </c>
      <c r="O245" s="215">
        <f>IF(AND(ISNUMBER(O149),ISNUMBER(O144)),IFERROR(O149/O144,""),"")</f>
        <v>0.117369940732486</v>
      </c>
      <c r="P245" s="215">
        <f>IF(AND(ISNUMBER(P149),ISNUMBER(P144)),IFERROR(P149/P144,""),"")</f>
        <v>0.123164426059979</v>
      </c>
      <c r="Q245" s="215">
        <f>IF(AND(ISNUMBER(Q149),ISNUMBER(Q144)),IFERROR(Q149/Q144,""),"")</f>
        <v>0.128431896593615</v>
      </c>
      <c r="R245" s="215">
        <f>IF(AND(ISNUMBER(R149),ISNUMBER(R144)),IFERROR(R149/R144,""),"")</f>
        <v>0.116748499727223</v>
      </c>
      <c r="S245" s="215">
        <f>IF(AND(ISNUMBER(S149),ISNUMBER(S144)),IFERROR(S149/S144,""),"")</f>
        <v>0.120982604396098</v>
      </c>
      <c r="T245" s="215">
        <f>IF(AND(ISNUMBER(T149),ISNUMBER(T144)),IFERROR(T149/T144,""),"")</f>
        <v>0.121450895804904</v>
      </c>
      <c r="U245" s="215">
        <f>IF(AND(ISNUMBER(U149),ISNUMBER(U144)),IFERROR(U149/U144,""),"")</f>
        <v>0.12404571921501</v>
      </c>
      <c r="V245" s="215">
        <f>IF(AND(ISNUMBER(V149),ISNUMBER(V144)),IFERROR(V149/V144,""),"")</f>
        <v>0.127375976023346</v>
      </c>
      <c r="W245" s="215">
        <f>IF(AND(ISNUMBER(W149),ISNUMBER(W144)),IFERROR(W149/W144,""),"")</f>
        <v>0.127171510896019</v>
      </c>
      <c r="X245" s="215">
        <f>IF(AND(ISNUMBER(X149),ISNUMBER(X144)),IFERROR(X149/X144,""),"")</f>
        <v>0.125320075509785</v>
      </c>
      <c r="Y245" s="215">
        <f>IF(AND(ISNUMBER(Y149),ISNUMBER(Y144)),IFERROR(Y149/Y144,""),"")</f>
        <v>0.126579236473496</v>
      </c>
      <c r="Z245" s="215">
        <f>IF(AND(ISNUMBER(Z149),ISNUMBER(Z144)),IFERROR(Z149/Z144,""),"")</f>
        <v>0.127549006709643</v>
      </c>
      <c r="AA245" s="215">
        <f>IF(AND(ISNUMBER(AA149),ISNUMBER(AA144)),IFERROR(AA149/AA144,""),"")</f>
        <v>0.132512074341261</v>
      </c>
      <c r="AB245" s="215">
        <f>IF(AND(ISNUMBER(AB149),ISNUMBER(AB144)),IFERROR(AB149/AB144,""),"")</f>
        <v>0.130746896504424</v>
      </c>
      <c r="AC245" s="215">
        <f>IF(AND(ISNUMBER(AC149),ISNUMBER(AC144)),IFERROR(AC149/AC144,""),"")</f>
        <v>0.129563855368528</v>
      </c>
      <c r="AD245" s="215">
        <f>IF(AND(ISNUMBER(AD149),ISNUMBER(AD144)),IFERROR(AD149/AD144,""),"")</f>
        <v>0.131517052136417</v>
      </c>
      <c r="AE245" s="215">
        <f>IF(AND(ISNUMBER(AE149),ISNUMBER(AE144)),IFERROR(AE149/AE144,""),"")</f>
        <v>0.135897773679357</v>
      </c>
      <c r="AF245" s="215">
        <f>IF(AND(ISNUMBER(AF149),ISNUMBER(AF144)),IFERROR(AF149/AF144,""),"")</f>
        <v>0.146762984637893</v>
      </c>
      <c r="AG245" s="215">
        <f>IF(AND(ISNUMBER(AG149),ISNUMBER(AG144)),IFERROR(AG149/AG144,""),"")</f>
        <v>0.148445900120755</v>
      </c>
      <c r="AH245" s="215">
        <f>IF(AND(ISNUMBER(AH149),ISNUMBER(AH144)),IFERROR(AH149/AH144,""),"")</f>
        <v>0.141955179742053</v>
      </c>
      <c r="AI245" s="215">
        <f>IF(AND(ISNUMBER(AI149),ISNUMBER(AI144)),IFERROR(AI149/AI144,""),"")</f>
        <v>0.152658594882646</v>
      </c>
      <c r="AJ245" s="215">
        <f>IF(AND(ISNUMBER(AJ149),ISNUMBER(AJ144)),IFERROR(AJ149/AJ144,""),"")</f>
        <v>0.149982982263737</v>
      </c>
      <c r="AK245" s="215">
        <f>IF(AND(ISNUMBER(AK149),ISNUMBER(AK144)),IFERROR(AK149/AK144,""),"")</f>
        <v>0.146263433257919</v>
      </c>
      <c r="AL245" s="215">
        <f>IF(AND(ISNUMBER(AL149),ISNUMBER(AL144)),IFERROR(AL149/AL144,""),"")</f>
        <v>0.138540817595292</v>
      </c>
      <c r="AM245" s="215">
        <f>IF(AND(ISNUMBER(AM149),ISNUMBER(AM144)),IFERROR(AM149/AM144,""),"")</f>
        <v>0.146109486575034</v>
      </c>
      <c r="AN245" s="215">
        <f>IF(AND(ISNUMBER(AN149),ISNUMBER(AN144)),IFERROR(AN149/AN144,""),"")</f>
        <v>0.144070351758794</v>
      </c>
      <c r="AO245" s="215">
        <f>IF(AND(ISNUMBER(AO149),ISNUMBER(AO144)),IFERROR(AO149/AO144,""),"")</f>
        <v>0.14622105860829</v>
      </c>
      <c r="AP245" s="215">
        <f>IF(AND(ISNUMBER(AP149),ISNUMBER(AP144)),IFERROR(AP149/AP144,""),"")</f>
        <v>0.145282290907532</v>
      </c>
      <c r="AQ245" s="215">
        <f>IF(AND(ISNUMBER(AQ149),ISNUMBER(AQ144)),IFERROR(AQ149/AQ144,""),"")</f>
        <v>0.13943753788442</v>
      </c>
      <c r="AR245" s="215">
        <f>IF(AND(ISNUMBER(AR149),ISNUMBER(AR144)),IFERROR(AR149/AR144,""),"")</f>
        <v>0.143418341520451</v>
      </c>
      <c r="AS245" s="215">
        <f>IF(AND(ISNUMBER(AS149),ISNUMBER(AS144)),IFERROR(AS149/AS144,""),"")</f>
        <v>0.152825637491385</v>
      </c>
      <c r="AT245" s="215">
        <f>IF(AND(ISNUMBER(AT149),ISNUMBER(AT144)),IFERROR(AT149/AT144,""),"")</f>
        <v>0.155277127946734</v>
      </c>
      <c r="AU245" s="215">
        <f>IF(AND(ISNUMBER(AU149),ISNUMBER(AU144)),IFERROR(AU149/AU144,""),"")</f>
        <v>0.152946071038536</v>
      </c>
      <c r="AV245" s="215">
        <f>IF(AND(ISNUMBER(AV149),ISNUMBER(AV144)),IFERROR(AV149/AV144,""),"")</f>
        <v>0.147138704153558</v>
      </c>
      <c r="AW245" s="215">
        <f>IF(AND(ISNUMBER(AW149),ISNUMBER(AW144)),IFERROR(AW149/AW144,""),"")</f>
        <v>0.151573314269137</v>
      </c>
      <c r="AX245" s="215">
        <f>IF(AND(ISNUMBER(AX149),ISNUMBER(AX144)),IFERROR(AX149/AX144,""),"")</f>
        <v>0.152324959914484</v>
      </c>
      <c r="AY245" s="215">
        <f>IF(AND(ISNUMBER(AY149),ISNUMBER(AY144)),IFERROR(AY149/AY144,""),"")</f>
        <v>0.155978068623983</v>
      </c>
      <c r="AZ245" s="215">
        <f>IF(AND(ISNUMBER(AZ149),ISNUMBER(AZ144)),IFERROR(AZ149/AZ144,""),"")</f>
        <v>0.166931379273003</v>
      </c>
      <c r="BA245" s="215">
        <f>IF(AND(ISNUMBER(BA149),ISNUMBER(BA144)),IFERROR(BA149/BA144,""),"")</f>
        <v>0.163340901813524</v>
      </c>
      <c r="BB245" s="215">
        <f>IF(AND(ISNUMBER(BB149),ISNUMBER(BB144)),IFERROR(BB149/BB144,""),"")</f>
        <v>0.159871185257395</v>
      </c>
      <c r="BC245" s="215">
        <f>IF(AND(ISNUMBER(BC149),ISNUMBER(BC144)),IFERROR(BC149/BC144,""),"")</f>
        <v>0.174083679708701</v>
      </c>
      <c r="BD245" s="215">
        <f>IF(AND(ISNUMBER(BD149),ISNUMBER(BD144)),IFERROR(BD149/BD144,""),"")</f>
        <v>0.16779121368593</v>
      </c>
      <c r="BE245" s="215">
        <f>IF(AND(ISNUMBER(BE149),ISNUMBER(BE144)),IFERROR(BE149/BE144,""),"")</f>
        <v>0.161942077560365</v>
      </c>
      <c r="BF245" s="215">
        <f>IF(AND(ISNUMBER(BF149),ISNUMBER(BF144)),IFERROR(BF149/BF144,""),"")</f>
        <v>0.154841693252192</v>
      </c>
      <c r="BG245" s="215">
        <f>IF(AND(ISNUMBER(BG149),ISNUMBER(BG144)),IFERROR(BG149/BG144,""),"")</f>
        <v>0.164011261072837</v>
      </c>
      <c r="BH245" s="215">
        <f>IF(AND(ISNUMBER(BH149),ISNUMBER(BH144)),IFERROR(BH149/BH144,""),"")</f>
        <v>0.164143595219774</v>
      </c>
      <c r="BI245" s="215">
        <f>IF(AND(ISNUMBER(BI149),ISNUMBER(BI144)),IFERROR(BI149/BI144,""),"")</f>
        <v>0.158539398584642</v>
      </c>
      <c r="BJ245" s="215">
        <f>IF(AND(ISNUMBER(BJ149),ISNUMBER(BJ144)),IFERROR(BJ149/BJ144,""),"")</f>
        <v>0.155951440772139</v>
      </c>
      <c r="BK245" s="215">
        <f>IF(AND(ISNUMBER(BK149),ISNUMBER(BK144)),IFERROR(BK149/BK144,""),"")</f>
        <v>0.153535222786404</v>
      </c>
      <c r="BL245" s="215">
        <f>IF(AND(ISNUMBER(BL149),ISNUMBER(BL144)),IFERROR(BL149/BL144,""),"")</f>
        <v>0.157657210957141</v>
      </c>
      <c r="BM245" s="215">
        <f>IF(AND(ISNUMBER(BM149),ISNUMBER(BM144)),IFERROR(BM149/BM144,""),"")</f>
        <v>0.155722090808231</v>
      </c>
      <c r="BN245" s="215">
        <f>IF(AND(ISNUMBER(BN149),ISNUMBER(BN144)),IFERROR(BN149/BN144,""),"")</f>
        <v>0.15925447873656</v>
      </c>
      <c r="BO245" s="215">
        <f>IF(AND(ISNUMBER(BO149),ISNUMBER(BO144)),IFERROR(BO149/BO144,""),"")</f>
        <v>0.155214411148247</v>
      </c>
      <c r="BP245" s="215">
        <f>IF(AND(ISNUMBER(BP149),ISNUMBER(BP144)),IFERROR(BP149/BP144,""),"")</f>
        <v>0.14889878163074</v>
      </c>
      <c r="BQ245" s="215">
        <f>IF(AND(ISNUMBER(BQ149),ISNUMBER(BQ144)),IFERROR(BQ149/BQ144,""),"")</f>
        <v>0.154406474397258</v>
      </c>
      <c r="BR245" s="215">
        <f>IF(AND(ISNUMBER(BR149),ISNUMBER(BR144)),IFERROR(BR149/BR144,""),"")</f>
        <v>0.157984672409695</v>
      </c>
      <c r="BS245" s="215">
        <f>IF(AND(ISNUMBER(BS149),ISNUMBER(BS144)),IFERROR(BS149/BS144,""),"")</f>
        <v>0.154893799716163</v>
      </c>
      <c r="BT245" s="215">
        <f>IF(AND(ISNUMBER(BT149),ISNUMBER(BT144)),IFERROR(BT149/BT144,""),"")</f>
        <v>0.153627982616321</v>
      </c>
      <c r="BU245" s="215">
        <f>IF(AND(ISNUMBER(BU149),ISNUMBER(BU144)),IFERROR(BU149/BU144,""),"")</f>
        <v>0.1444612111385</v>
      </c>
      <c r="BV245" s="215">
        <f>IF(AND(ISNUMBER(BV149),ISNUMBER(BV144)),IFERROR(BV149/BV144,""),"")</f>
        <v>0.152141649603026</v>
      </c>
      <c r="BW245" s="215">
        <f>IF(AND(ISNUMBER(BW149),ISNUMBER(BW144)),IFERROR(BW149/BW144,""),"")</f>
        <v>0.150336879334946</v>
      </c>
      <c r="BX245" s="215">
        <f>IF(AND(ISNUMBER(BX149),ISNUMBER(BX144)),IFERROR(BX149/BX144,""),"")</f>
        <v>0.147717416228827</v>
      </c>
      <c r="BY245" s="256">
        <f>IF(AND(ISNUMBER(BY149),ISNUMBER(BY144)),IFERROR(BY149/BY144,""),"")</f>
        <v>0.146207991082209</v>
      </c>
      <c r="BZ245" s="256">
        <f>IF(AND(ISNUMBER(BZ149),ISNUMBER(BZ144)),IFERROR(BZ149/BZ144,""),"")</f>
        <v>0.137041219604387</v>
      </c>
      <c r="CA245" s="256">
        <f>IF(AND(ISNUMBER(CA149),ISNUMBER(CA144)),IFERROR(CA149/CA144,""),"")</f>
        <v>0.144774376567998</v>
      </c>
      <c r="CB245" s="256">
        <f>IF(AND(ISNUMBER(CB149),ISNUMBER(CB144)),IFERROR(CB149/CB144,""),"")</f>
        <v>0.145</v>
      </c>
      <c r="CC245" s="256">
        <f>IF(AND(ISNUMBER(CC149),ISNUMBER(CC144)),IFERROR(CC149/CC144,""),"")</f>
        <v>0.145</v>
      </c>
      <c r="CD245" s="256">
        <f>IF(AND(ISNUMBER(CD149),ISNUMBER(CD144)),IFERROR(CD149/CD144,""),"")</f>
        <v>0.145</v>
      </c>
      <c r="CE245" s="256">
        <f>IF(AND(ISNUMBER(CE149),ISNUMBER(CE144)),IFERROR(CE149/CE144,""),"")</f>
        <v>0.145</v>
      </c>
      <c r="CF245" s="153" t="n"/>
      <c r="CH245" s="37">
        <f>IFERROR(AVERAGE(CA245,CB245,CC245,CD245,CE245),"n/m")</f>
        <v>0.1449548753136</v>
      </c>
      <c r="CI245" s="37">
        <f>IFERROR(AVERAGE(BB245,BG245,BL245,BQ245,BV245),"n/m")</f>
        <v>0.157617556257531</v>
      </c>
      <c r="CJ245" s="37">
        <f>IFERROR(AVERAGE(AC245,AH245,AM245,AR245,AW245,BB245,BG245,BL245,BQ245,BV245),"n/m")</f>
        <v>0.150070795876286</v>
      </c>
      <c r="CK245" s="37">
        <f>IFERROR(AVERAGE(C245,D245,E245,F245,G245,H245,I245,N245,S245,X245,AC245,AH245,AM245,AR245,AW245,BB245,BG245,BL245,BQ245,BV245),"n/m")</f>
        <v>0.124604996675842</v>
      </c>
    </row>
    <row r="246" ht="15" customHeight="1" s="251">
      <c r="B246" s="25" t="inlineStr">
        <is>
          <t xml:space="preserve">  Technology and infrastructure % of net sales</t>
        </is>
      </c>
      <c r="C246" s="215">
        <f>IF(AND(ISNUMBER(C150),ISNUMBER(C144)),IFERROR(C150/C144,""),"")</f>
        <v>0.061805620390253</v>
      </c>
      <c r="D246" s="215">
        <f>IF(AND(ISNUMBER(D150),ISNUMBER(D144)),IFERROR(D150/D144,""),"")</f>
        <v>0.0551398719245029</v>
      </c>
      <c r="E246" s="215">
        <f>IF(AND(ISNUMBER(E150),ISNUMBER(E144)),IFERROR(E150/E144,""),"")</f>
        <v>0.0538975268704998</v>
      </c>
      <c r="F246" s="215">
        <f>IF(AND(ISNUMBER(F150),ISNUMBER(F144)),IFERROR(F150/F144,""),"")</f>
        <v>0.0505936594720307</v>
      </c>
      <c r="G246" s="215">
        <f>IF(AND(ISNUMBER(G150),ISNUMBER(G144)),IFERROR(G150/G144,""),"")</f>
        <v>0.0506958250497018</v>
      </c>
      <c r="H246" s="215">
        <f>IF(AND(ISNUMBER(H150),ISNUMBER(H144)),IFERROR(H150/H144,""),"")</f>
        <v>0.0605071031886349</v>
      </c>
      <c r="I246" s="215">
        <f>IF(AND(ISNUMBER(I150),ISNUMBER(I144)),IFERROR(I150/I144,""),"")</f>
        <v>0.0747057764391993</v>
      </c>
      <c r="J246" s="215">
        <f>IF(AND(ISNUMBER(J150),ISNUMBER(J144)),IFERROR(J150/J144,""),"")</f>
        <v>0.0860609831985065</v>
      </c>
      <c r="K246" s="215">
        <f>IF(AND(ISNUMBER(K150),ISNUMBER(K144)),IFERROR(K150/K144,""),"")</f>
        <v>0.100993377483444</v>
      </c>
      <c r="L246" s="215">
        <f>IF(AND(ISNUMBER(L150),ISNUMBER(L144)),IFERROR(L150/L144,""),"")</f>
        <v>0.101450971214603</v>
      </c>
      <c r="M246" s="215">
        <f>IF(AND(ISNUMBER(M150),ISNUMBER(M144)),IFERROR(M150/M144,""),"")</f>
        <v>0.0727713291906046</v>
      </c>
      <c r="N246" s="215">
        <f>IF(AND(ISNUMBER(N150),ISNUMBER(N144)),IFERROR(N150/N144,""),"")</f>
        <v>0.0881776177940149</v>
      </c>
      <c r="O246" s="215">
        <f>IF(AND(ISNUMBER(O150),ISNUMBER(O144)),IFERROR(O150/O144,""),"")</f>
        <v>0.100856086317816</v>
      </c>
      <c r="P246" s="215">
        <f>IF(AND(ISNUMBER(P150),ISNUMBER(P144)),IFERROR(P150/P144,""),"")</f>
        <v>0.115098241985522</v>
      </c>
      <c r="Q246" s="215">
        <f>IF(AND(ISNUMBER(Q150),ISNUMBER(Q144)),IFERROR(Q150/Q144,""),"")</f>
        <v>0.117741386850673</v>
      </c>
      <c r="R246" s="215">
        <f>IF(AND(ISNUMBER(R150),ISNUMBER(R144)),IFERROR(R150/R144,""),"")</f>
        <v>0.0898458810692853</v>
      </c>
      <c r="S246" s="215">
        <f>IF(AND(ISNUMBER(S150),ISNUMBER(S144)),IFERROR(S150/S144,""),"")</f>
        <v>0.104227536297029</v>
      </c>
      <c r="T246" s="215">
        <f>IF(AND(ISNUMBER(T150),ISNUMBER(T144)),IFERROR(T150/T144,""),"")</f>
        <v>0.121230796319937</v>
      </c>
      <c r="U246" s="215">
        <f>IF(AND(ISNUMBER(U150),ISNUMBER(U144)),IFERROR(U150/U144,""),"")</f>
        <v>0.130256631442743</v>
      </c>
      <c r="V246" s="215">
        <f>IF(AND(ISNUMBER(V150),ISNUMBER(V144)),IFERROR(V150/V144,""),"")</f>
        <v>0.126074611562426</v>
      </c>
      <c r="W246" s="215">
        <f>IF(AND(ISNUMBER(W150),ISNUMBER(W144)),IFERROR(W150/W144,""),"")</f>
        <v>0.0998964948107534</v>
      </c>
      <c r="X246" s="215">
        <f>IF(AND(ISNUMBER(X150),ISNUMBER(X144)),IFERROR(X150/X144,""),"")</f>
        <v>0.11718969029774</v>
      </c>
      <c r="Y246" s="215">
        <f>IF(AND(ISNUMBER(Y150),ISNUMBER(Y144)),IFERROR(Y150/Y144,""),"")</f>
        <v>0.121051908816259</v>
      </c>
      <c r="Z246" s="215">
        <f>IF(AND(ISNUMBER(Z150),ISNUMBER(Z144)),IFERROR(Z150/Z144,""),"")</f>
        <v>0.127614787527957</v>
      </c>
      <c r="AA246" s="215">
        <f>IF(AND(ISNUMBER(AA150),ISNUMBER(AA144)),IFERROR(AA150/AA144,""),"")</f>
        <v>0.126398483829553</v>
      </c>
      <c r="AB246" s="215">
        <f>IF(AND(ISNUMBER(AB150),ISNUMBER(AB144)),IFERROR(AB150/AB144,""),"")</f>
        <v>0.103907089458403</v>
      </c>
      <c r="AC246" s="215">
        <f>IF(AND(ISNUMBER(AC150),ISNUMBER(AC144)),IFERROR(AC150/AC144,""),"")</f>
        <v>0.118283365321685</v>
      </c>
      <c r="AD246" s="215">
        <f>IF(AND(ISNUMBER(AD150),ISNUMBER(AD144)),IFERROR(AD150/AD144,""),"")</f>
        <v>0.134765078120625</v>
      </c>
      <c r="AE246" s="215">
        <f>IF(AND(ISNUMBER(AE150),ISNUMBER(AE144)),IFERROR(AE150/AE144,""),"")</f>
        <v>0.146199446713213</v>
      </c>
      <c r="AF246" s="215">
        <f>IF(AND(ISNUMBER(AF150),ISNUMBER(AF144)),IFERROR(AF150/AF144,""),"")</f>
        <v>0.135881492318947</v>
      </c>
      <c r="AG246" s="215">
        <f>IF(AND(ISNUMBER(AG150),ISNUMBER(AG144)),IFERROR(AG150/AG144,""),"")</f>
        <v>0.10444477527997</v>
      </c>
      <c r="AH246" s="215">
        <f>IF(AND(ISNUMBER(AH150),ISNUMBER(AH144)),IFERROR(AH150/AH144,""),"")</f>
        <v>0.127174389709107</v>
      </c>
      <c r="AI246" s="215">
        <f>IF(AND(ISNUMBER(AI150),ISNUMBER(AI144)),IFERROR(AI150/AI144,""),"")</f>
        <v>0.132420359703773</v>
      </c>
      <c r="AJ246" s="215">
        <f>IF(AND(ISNUMBER(AJ150),ISNUMBER(AJ144)),IFERROR(AJ150/AJ144,""),"")</f>
        <v>0.137030594108082</v>
      </c>
      <c r="AK246" s="215">
        <f>IF(AND(ISNUMBER(AK150),ISNUMBER(AK144)),IFERROR(AK150/AK144,""),"")</f>
        <v>0.126590780542986</v>
      </c>
      <c r="AL246" s="215">
        <f>IF(AND(ISNUMBER(AL150),ISNUMBER(AL144)),IFERROR(AL150/AL144,""),"")</f>
        <v>0.105950292195681</v>
      </c>
      <c r="AM246" s="215">
        <f>IF(AND(ISNUMBER(AM150),ISNUMBER(AM144)),IFERROR(AM150/AM144,""),"")</f>
        <v>0.12382400048092</v>
      </c>
      <c r="AN246" s="215">
        <f>IF(AND(ISNUMBER(AN150),ISNUMBER(AN144)),IFERROR(AN150/AN144,""),"")</f>
        <v>0.132780569514238</v>
      </c>
      <c r="AO246" s="215">
        <f>IF(AND(ISNUMBER(AO150),ISNUMBER(AO144)),IFERROR(AO150/AO144,""),"")</f>
        <v>0.142972052236452</v>
      </c>
      <c r="AP246" s="215">
        <f>IF(AND(ISNUMBER(AP150),ISNUMBER(AP144)),IFERROR(AP150/AP144,""),"")</f>
        <v>0.131464254583387</v>
      </c>
      <c r="AQ246" s="215">
        <f>IF(AND(ISNUMBER(AQ150),ISNUMBER(AQ144)),IFERROR(AQ150/AQ144,""),"")</f>
        <v>0.111394489746903</v>
      </c>
      <c r="AR246" s="215">
        <f>IF(AND(ISNUMBER(AR150),ISNUMBER(AR144)),IFERROR(AR150/AR144,""),"")</f>
        <v>0.128086210707182</v>
      </c>
      <c r="AS246" s="215">
        <f>IF(AND(ISNUMBER(AS150),ISNUMBER(AS144)),IFERROR(AS150/AS144,""),"")</f>
        <v>0.123588506600223</v>
      </c>
      <c r="AT246" s="215">
        <f>IF(AND(ISNUMBER(AT150),ISNUMBER(AT144)),IFERROR(AT150/AT144,""),"")</f>
        <v>0.116834622998021</v>
      </c>
      <c r="AU246" s="215">
        <f>IF(AND(ISNUMBER(AU150),ISNUMBER(AU144)),IFERROR(AU150/AU144,""),"")</f>
        <v>0.114160902803058</v>
      </c>
      <c r="AV246" s="215">
        <f>IF(AND(ISNUMBER(AV150),ISNUMBER(AV144)),IFERROR(AV150/AV144,""),"")</f>
        <v>0.0959659113535901</v>
      </c>
      <c r="AW246" s="215">
        <f>IF(AND(ISNUMBER(AW150),ISNUMBER(AW144)),IFERROR(AW150/AW144,""),"")</f>
        <v>0.110707033030793</v>
      </c>
      <c r="AX246" s="215">
        <f>IF(AND(ISNUMBER(AX150),ISNUMBER(AX144)),IFERROR(AX150/AX144,""),"")</f>
        <v>0.115077682965038</v>
      </c>
      <c r="AY246" s="215">
        <f>IF(AND(ISNUMBER(AY150),ISNUMBER(AY144)),IFERROR(AY150/AY144,""),"")</f>
        <v>0.122665369649805</v>
      </c>
      <c r="AZ246" s="215">
        <f>IF(AND(ISNUMBER(AZ150),ISNUMBER(AZ144)),IFERROR(AZ150/AZ144,""),"")</f>
        <v>0.129769339060752</v>
      </c>
      <c r="BA246" s="215">
        <f>IF(AND(ISNUMBER(BA150),ISNUMBER(BA144)),IFERROR(BA150/BA144,""),"")</f>
        <v>0.111438593427066</v>
      </c>
      <c r="BB246" s="215">
        <f>IF(AND(ISNUMBER(BB150),ISNUMBER(BB144)),IFERROR(BB150/BB144,""),"")</f>
        <v>0.119304757972168</v>
      </c>
      <c r="BC246" s="215">
        <f>IF(AND(ISNUMBER(BC150),ISNUMBER(BC144)),IFERROR(BC150/BC144,""),"")</f>
        <v>0.127460410154237</v>
      </c>
      <c r="BD246" s="215">
        <f>IF(AND(ISNUMBER(BD150),ISNUMBER(BD144)),IFERROR(BD150/BD144,""),"")</f>
        <v>0.149067093389643</v>
      </c>
      <c r="BE246" s="215">
        <f>IF(AND(ISNUMBER(BE150),ISNUMBER(BE144)),IFERROR(BE150/BE144,""),"")</f>
        <v>0.153303278495055</v>
      </c>
      <c r="BF246" s="215">
        <f>IF(AND(ISNUMBER(BF150),ISNUMBER(BF144)),IFERROR(BF150/BF144,""),"")</f>
        <v>0.139500281493794</v>
      </c>
      <c r="BG246" s="215">
        <f>IF(AND(ISNUMBER(BG150),ISNUMBER(BG144)),IFERROR(BG150/BG144,""),"")</f>
        <v>0.142442454322419</v>
      </c>
      <c r="BH246" s="215">
        <f>IF(AND(ISNUMBER(BH150),ISNUMBER(BH144)),IFERROR(BH150/BH144,""),"")</f>
        <v>0.160570988866031</v>
      </c>
      <c r="BI246" s="215">
        <f>IF(AND(ISNUMBER(BI150),ISNUMBER(BI144)),IFERROR(BI150/BI144,""),"")</f>
        <v>0.16319772590283</v>
      </c>
      <c r="BJ246" s="215">
        <f>IF(AND(ISNUMBER(BJ150),ISNUMBER(BJ144)),IFERROR(BJ150/BJ144,""),"")</f>
        <v>0.148186716800738</v>
      </c>
      <c r="BK246" s="215">
        <f>IF(AND(ISNUMBER(BK150),ISNUMBER(BK144)),IFERROR(BK150/BK144,""),"")</f>
        <v>0.129665040803478</v>
      </c>
      <c r="BL246" s="215">
        <f>IF(AND(ISNUMBER(BL150),ISNUMBER(BL144)),IFERROR(BL150/BL144,""),"")</f>
        <v>0.148963525492141</v>
      </c>
      <c r="BM246" s="215">
        <f>IF(AND(ISNUMBER(BM150),ISNUMBER(BM144)),IFERROR(BM150/BM144,""),"")</f>
        <v>0.142513240250361</v>
      </c>
      <c r="BN246" s="215">
        <f>IF(AND(ISNUMBER(BN150),ISNUMBER(BN144)),IFERROR(BN150/BN144,""),"")</f>
        <v>0.150726126357474</v>
      </c>
      <c r="BO246" s="215">
        <f>IF(AND(ISNUMBER(BO150),ISNUMBER(BO144)),IFERROR(BO150/BO144,""),"")</f>
        <v>0.14001397307351</v>
      </c>
      <c r="BP246" s="215">
        <f>IF(AND(ISNUMBER(BP150),ISNUMBER(BP144)),IFERROR(BP150/BP144,""),"")</f>
        <v>0.12551652892562</v>
      </c>
      <c r="BQ246" s="215">
        <f>IF(AND(ISNUMBER(BQ150),ISNUMBER(BQ144)),IFERROR(BQ150/BQ144,""),"")</f>
        <v>0.138792618334407</v>
      </c>
      <c r="BR246" s="215">
        <f>IF(AND(ISNUMBER(BR150),ISNUMBER(BR144)),IFERROR(BR150/BR144,""),"")</f>
        <v>0.147712745797118</v>
      </c>
      <c r="BS246" s="215">
        <f>IF(AND(ISNUMBER(BS150),ISNUMBER(BS144)),IFERROR(BS150/BS144,""),"")</f>
        <v>0.161989719860228</v>
      </c>
      <c r="BT246" s="215">
        <f>IF(AND(ISNUMBER(BT150),ISNUMBER(BT144)),IFERROR(BT150/BT144,""),"")</f>
        <v>0.160749074480072</v>
      </c>
      <c r="BU246" s="215">
        <f>IF(AND(ISNUMBER(BU150),ISNUMBER(BU144)),IFERROR(BU150/BU144,""),"")</f>
        <v>0.137773799593225</v>
      </c>
      <c r="BV246" s="215">
        <f>IF(AND(ISNUMBER(BV150),ISNUMBER(BV144)),IFERROR(BV150/BV144,""),"")</f>
        <v>0.151370298664852</v>
      </c>
      <c r="BW246" s="215">
        <f>IF(AND(ISNUMBER(BW150),ISNUMBER(BW144)),IFERROR(BW150/BW144,""),"")</f>
        <v>0.162886529784761</v>
      </c>
      <c r="BX246" s="215">
        <f>IF(AND(ISNUMBER(BX150),ISNUMBER(BX144)),IFERROR(BX150/BX144,""),"")</f>
        <v>0.165289173803376</v>
      </c>
      <c r="BY246" s="256">
        <f>IF(AND(ISNUMBER(BY150),ISNUMBER(BY144)),IFERROR(BY150/BY144,""),"")</f>
        <v>0.169780022072406</v>
      </c>
      <c r="BZ246" s="256">
        <f>IF(AND(ISNUMBER(BZ150),ISNUMBER(BZ144)),IFERROR(BZ150/BZ144,""),"")</f>
        <v>0.14680474718556</v>
      </c>
      <c r="CA246" s="256">
        <f>IF(AND(ISNUMBER(CA150),ISNUMBER(CA144)),IFERROR(CA150/CA144,""),"")</f>
        <v>0.160384999298142</v>
      </c>
      <c r="CB246" s="256">
        <f>IF(AND(ISNUMBER(CB150),ISNUMBER(CB144)),IFERROR(CB150/CB144,""),"")</f>
        <v>0.17</v>
      </c>
      <c r="CC246" s="256">
        <f>IF(AND(ISNUMBER(CC150),ISNUMBER(CC144)),IFERROR(CC150/CC144,""),"")</f>
        <v>0.172</v>
      </c>
      <c r="CD246" s="256">
        <f>IF(AND(ISNUMBER(CD150),ISNUMBER(CD144)),IFERROR(CD150/CD144,""),"")</f>
        <v>0.172</v>
      </c>
      <c r="CE246" s="256">
        <f>IF(AND(ISNUMBER(CE150),ISNUMBER(CE144)),IFERROR(CE150/CE144,""),"")</f>
        <v>0.172</v>
      </c>
      <c r="CF246" s="153" t="n"/>
      <c r="CH246" s="37">
        <f>IFERROR(AVERAGE(CA246,CB246,CC246,CD246,CE246),"n/m")</f>
        <v>0.169276999859628</v>
      </c>
      <c r="CI246" s="37">
        <f>IFERROR(AVERAGE(BB246,BG246,BL246,BQ246,BV246),"n/m")</f>
        <v>0.140174730957197</v>
      </c>
      <c r="CJ246" s="37">
        <f>IFERROR(AVERAGE(AC246,AH246,AM246,AR246,AW246,BB246,BG246,BL246,BQ246,BV246),"n/m")</f>
        <v>0.130894865403567</v>
      </c>
      <c r="CK246" s="37">
        <f>IFERROR(AVERAGE(C246,D246,E246,F246,G246,H246,I246,N246,S246,X246,AC246,AH246,AM246,AR246,AW246,BB246,BG246,BL246,BQ246,BV246),"n/m")</f>
        <v>0.101294444087964</v>
      </c>
    </row>
    <row r="247" ht="15" customHeight="1" s="251">
      <c r="CN247" s="11" t="n"/>
      <c r="CO247" s="12" t="n"/>
      <c r="CP247" s="12" t="n"/>
      <c r="CQ247" s="12" t="n"/>
      <c r="CR247" s="13" t="n"/>
    </row>
    <row r="248" ht="15" customHeight="1" s="251">
      <c r="B248" s="10" t="inlineStr">
        <is>
          <t>CONSOLIDATED STATEMENT OF CASH FLOWS</t>
        </is>
      </c>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c r="AH248" s="10" t="n"/>
      <c r="AI248" s="10" t="n"/>
      <c r="AJ248" s="10" t="n"/>
      <c r="AK248" s="10" t="n"/>
      <c r="AL248" s="10" t="n"/>
      <c r="AM248" s="10" t="n"/>
      <c r="AN248" s="10" t="n"/>
      <c r="AO248" s="10" t="n"/>
      <c r="AP248" s="10" t="n"/>
      <c r="AQ248" s="10" t="n"/>
      <c r="AR248" s="10" t="n"/>
      <c r="AS248" s="10" t="n"/>
      <c r="AT248" s="10" t="n"/>
      <c r="AU248" s="10" t="n"/>
      <c r="AV248" s="10" t="n"/>
      <c r="AW248" s="10" t="n"/>
      <c r="AX248" s="10" t="n"/>
      <c r="AY248" s="10" t="n"/>
      <c r="AZ248" s="10" t="n"/>
      <c r="BA248" s="10" t="n"/>
      <c r="BB248" s="10" t="n"/>
      <c r="BC248" s="10" t="n"/>
      <c r="BD248" s="10" t="n"/>
      <c r="BE248" s="10" t="n"/>
      <c r="BF248" s="10" t="n"/>
      <c r="BG248" s="10" t="n"/>
      <c r="BH248" s="10" t="n"/>
      <c r="BI248" s="10" t="n"/>
      <c r="BJ248" s="10" t="n"/>
      <c r="BK248" s="10" t="n"/>
      <c r="BL248" s="10" t="n"/>
      <c r="BM248" s="10" t="n"/>
      <c r="BN248" s="10" t="n"/>
      <c r="BO248" s="10" t="n"/>
      <c r="BP248" s="10" t="n"/>
      <c r="BQ248" s="10" t="n"/>
      <c r="BR248" s="10" t="n"/>
      <c r="BS248" s="10" t="n"/>
      <c r="BT248" s="10" t="n"/>
      <c r="BU248" s="10" t="n"/>
      <c r="BV248" s="10" t="n"/>
      <c r="BW248" s="10" t="n"/>
      <c r="BX248" s="10" t="n"/>
      <c r="BY248" s="10" t="n"/>
      <c r="BZ248" s="10" t="n"/>
      <c r="CA248" s="10" t="n"/>
      <c r="CB248" s="10" t="n"/>
      <c r="CC248" s="10" t="n"/>
      <c r="CD248" s="10" t="n"/>
      <c r="CE248" s="10" t="n"/>
      <c r="CF248" s="10" t="inlineStr">
        <is>
          <t>CASH FLOW — forecast logic (annual; 2026E = 1H-26 actual + Q3/Q4 estimates; quarters = discrete three-month columns as published)</t>
        </is>
      </c>
    </row>
    <row r="249" ht="15" customHeight="1" s="251">
      <c r="B249" s="25" t="inlineStr">
        <is>
          <t>Net income</t>
        </is>
      </c>
      <c r="C249" s="253" t="n">
        <v>190</v>
      </c>
      <c r="D249" s="253" t="n">
        <v>476</v>
      </c>
      <c r="E249" s="253" t="n">
        <v>645</v>
      </c>
      <c r="F249" s="253" t="n">
        <v>902</v>
      </c>
      <c r="G249" s="253" t="n">
        <v>1152</v>
      </c>
      <c r="H249" s="253" t="n">
        <v>631</v>
      </c>
      <c r="I249" s="253" t="n">
        <v>-39</v>
      </c>
      <c r="J249" s="253" t="n">
        <v>82</v>
      </c>
      <c r="K249" s="253" t="n">
        <v>-7</v>
      </c>
      <c r="L249" s="253" t="n">
        <v>-41</v>
      </c>
      <c r="M249" s="253" t="n">
        <v>239</v>
      </c>
      <c r="N249" s="253" t="n">
        <v>274</v>
      </c>
      <c r="O249" s="253" t="n">
        <v>108</v>
      </c>
      <c r="P249" s="253" t="n">
        <v>-126</v>
      </c>
      <c r="Q249" s="253" t="n">
        <v>-437</v>
      </c>
      <c r="R249" s="253" t="n">
        <v>214</v>
      </c>
      <c r="S249" s="253" t="n">
        <v>-241</v>
      </c>
      <c r="T249" s="253" t="n">
        <v>-57</v>
      </c>
      <c r="U249" s="253" t="n">
        <v>92</v>
      </c>
      <c r="V249" s="253" t="n">
        <v>79</v>
      </c>
      <c r="W249" s="253" t="n">
        <v>482</v>
      </c>
      <c r="X249" s="253" t="n">
        <v>596</v>
      </c>
      <c r="Y249" s="253" t="n">
        <v>513</v>
      </c>
      <c r="Z249" s="253" t="n">
        <v>857</v>
      </c>
      <c r="AA249" s="253" t="n">
        <v>252</v>
      </c>
      <c r="AB249" s="253" t="n">
        <v>749</v>
      </c>
      <c r="AC249" s="253" t="n">
        <v>2371</v>
      </c>
      <c r="AD249" s="253" t="n">
        <v>724</v>
      </c>
      <c r="AE249" s="253" t="n">
        <v>197</v>
      </c>
      <c r="AF249" s="253" t="n">
        <v>256</v>
      </c>
      <c r="AG249" s="253" t="n">
        <v>1856</v>
      </c>
      <c r="AH249" s="253" t="n">
        <v>3033</v>
      </c>
      <c r="AI249" s="253" t="n">
        <v>1629</v>
      </c>
      <c r="AJ249" s="253" t="n">
        <v>2534</v>
      </c>
      <c r="AK249" s="253" t="n">
        <v>2883</v>
      </c>
      <c r="AL249" s="253" t="n">
        <v>3027</v>
      </c>
      <c r="AM249" s="253" t="n">
        <v>10073</v>
      </c>
      <c r="AN249" s="253" t="n">
        <v>3561</v>
      </c>
      <c r="AO249" s="253" t="n">
        <v>2625</v>
      </c>
      <c r="AP249" s="253" t="n">
        <v>2134</v>
      </c>
      <c r="AQ249" s="253" t="n">
        <v>3268</v>
      </c>
      <c r="AR249" s="253" t="n">
        <v>11588</v>
      </c>
      <c r="AS249" s="253" t="n">
        <v>2535</v>
      </c>
      <c r="AT249" s="253" t="n">
        <v>5243</v>
      </c>
      <c r="AU249" s="253" t="n">
        <v>6331</v>
      </c>
      <c r="AV249" s="253" t="n">
        <v>7222</v>
      </c>
      <c r="AW249" s="253" t="n">
        <v>21331</v>
      </c>
      <c r="AX249" s="253" t="n">
        <v>8107</v>
      </c>
      <c r="AY249" s="253" t="n">
        <v>7778</v>
      </c>
      <c r="AZ249" s="253" t="n">
        <v>3156</v>
      </c>
      <c r="BA249" s="253" t="n">
        <v>14323</v>
      </c>
      <c r="BB249" s="253" t="n">
        <v>33364</v>
      </c>
      <c r="BC249" s="253" t="n">
        <v>-3844</v>
      </c>
      <c r="BD249" s="253" t="n">
        <v>-2028</v>
      </c>
      <c r="BE249" s="253" t="n">
        <v>2872</v>
      </c>
      <c r="BF249" s="253" t="n">
        <v>278</v>
      </c>
      <c r="BG249" s="253" t="n">
        <v>-2722</v>
      </c>
      <c r="BH249" s="253" t="n">
        <v>3172</v>
      </c>
      <c r="BI249" s="253" t="n">
        <v>6750</v>
      </c>
      <c r="BJ249" s="253" t="n">
        <v>9879</v>
      </c>
      <c r="BK249" s="253" t="n">
        <v>10624</v>
      </c>
      <c r="BL249" s="253" t="n">
        <v>30425</v>
      </c>
      <c r="BM249" s="253" t="n">
        <v>10431</v>
      </c>
      <c r="BN249" s="253" t="n">
        <v>13485</v>
      </c>
      <c r="BO249" s="253" t="n">
        <v>15328</v>
      </c>
      <c r="BP249" s="253" t="n">
        <v>20004</v>
      </c>
      <c r="BQ249" s="253" t="n">
        <v>59248</v>
      </c>
      <c r="BR249" s="253" t="n">
        <v>17127</v>
      </c>
      <c r="BS249" s="253" t="n">
        <v>18164</v>
      </c>
      <c r="BT249" s="253" t="n">
        <v>21187</v>
      </c>
      <c r="BU249" s="253" t="n">
        <v>21192</v>
      </c>
      <c r="BV249" s="253" t="n">
        <v>77670</v>
      </c>
      <c r="BW249" s="253" t="n">
        <v>30255</v>
      </c>
      <c r="BX249" s="253" t="n">
        <v>62647</v>
      </c>
      <c r="BY249" s="35" t="n"/>
      <c r="BZ249" s="35" t="n"/>
      <c r="CA249" s="254">
        <f>SUM(BW249:BX249)+(BY163+BZ163)</f>
        <v>136605.055910781</v>
      </c>
      <c r="CB249" s="254">
        <f>CB163</f>
        <v>105559.404381086</v>
      </c>
      <c r="CC249" s="254">
        <f>CC163</f>
        <v>127702.653102788</v>
      </c>
      <c r="CD249" s="254">
        <f>CD163</f>
        <v>150300.087610364</v>
      </c>
      <c r="CE249" s="254">
        <f>CE163</f>
        <v>175129.32943124</v>
      </c>
      <c r="CF249" s="19" t="n"/>
    </row>
    <row r="250" ht="15" customHeight="1" s="251">
      <c r="B250" s="25" t="inlineStr">
        <is>
          <t>Adjustments to reconcile net income to operating cash flow:</t>
        </is>
      </c>
      <c r="CF250" s="153" t="n"/>
    </row>
    <row r="251" ht="15" customHeight="1" s="251">
      <c r="B251" s="25" t="inlineStr">
        <is>
          <t xml:space="preserve">  Depreciation &amp; amortization (P&amp;E, capitalized content, operating-lease assets, other)</t>
        </is>
      </c>
      <c r="C251" s="253" t="n">
        <v>205</v>
      </c>
      <c r="D251" s="253" t="n">
        <v>246</v>
      </c>
      <c r="E251" s="253" t="n">
        <v>287</v>
      </c>
      <c r="F251" s="253" t="n">
        <v>378</v>
      </c>
      <c r="G251" s="253" t="n">
        <v>568</v>
      </c>
      <c r="H251" s="253" t="n">
        <v>1083</v>
      </c>
      <c r="I251" s="253" t="n">
        <v>2159</v>
      </c>
      <c r="J251" s="253" t="n">
        <v>700</v>
      </c>
      <c r="K251" s="253" t="n">
        <v>756</v>
      </c>
      <c r="L251" s="253" t="n">
        <v>834</v>
      </c>
      <c r="M251" s="253" t="n">
        <v>963</v>
      </c>
      <c r="N251" s="253" t="n">
        <v>3253</v>
      </c>
      <c r="O251" s="253" t="n">
        <v>1010</v>
      </c>
      <c r="P251" s="253" t="n">
        <v>1109</v>
      </c>
      <c r="Q251" s="253" t="n">
        <v>1247</v>
      </c>
      <c r="R251" s="253" t="n">
        <v>1379</v>
      </c>
      <c r="S251" s="253" t="n">
        <v>4746</v>
      </c>
      <c r="T251" s="253" t="n">
        <v>1426</v>
      </c>
      <c r="U251" s="253" t="n">
        <v>1504</v>
      </c>
      <c r="V251" s="253" t="n">
        <v>1599</v>
      </c>
      <c r="W251" s="253" t="n">
        <v>1752</v>
      </c>
      <c r="X251" s="253" t="n">
        <v>6281</v>
      </c>
      <c r="Y251" s="253" t="n">
        <v>1827</v>
      </c>
      <c r="Z251" s="253" t="n">
        <v>1909</v>
      </c>
      <c r="AA251" s="253" t="n">
        <v>2084</v>
      </c>
      <c r="AB251" s="253" t="n">
        <v>2297</v>
      </c>
      <c r="AC251" s="253" t="n">
        <v>8116</v>
      </c>
      <c r="AD251" s="253" t="n">
        <v>2435</v>
      </c>
      <c r="AE251" s="253" t="n">
        <v>2633</v>
      </c>
      <c r="AF251" s="253" t="n">
        <v>2912</v>
      </c>
      <c r="AG251" s="253" t="n">
        <v>3498</v>
      </c>
      <c r="AH251" s="253" t="n">
        <v>11478</v>
      </c>
      <c r="AI251" s="253" t="n">
        <v>3671</v>
      </c>
      <c r="AJ251" s="253" t="n">
        <v>3630</v>
      </c>
      <c r="AK251" s="253" t="n">
        <v>3778</v>
      </c>
      <c r="AL251" s="253" t="n">
        <v>4262</v>
      </c>
      <c r="AM251" s="253" t="n">
        <v>15341</v>
      </c>
      <c r="AN251" s="253" t="n">
        <v>4854</v>
      </c>
      <c r="AO251" s="253" t="n">
        <v>5202</v>
      </c>
      <c r="AP251" s="253" t="n">
        <v>5563</v>
      </c>
      <c r="AQ251" s="253" t="n">
        <v>6170</v>
      </c>
      <c r="AR251" s="253" t="n">
        <v>21789</v>
      </c>
      <c r="AS251" s="253" t="n">
        <v>5362</v>
      </c>
      <c r="AT251" s="253" t="n">
        <v>5748</v>
      </c>
      <c r="AU251" s="253" t="n">
        <v>6523</v>
      </c>
      <c r="AV251" s="253" t="n">
        <v>7618</v>
      </c>
      <c r="AW251" s="253" t="n">
        <v>25251</v>
      </c>
      <c r="AX251" s="253" t="n">
        <v>7508</v>
      </c>
      <c r="AY251" s="253" t="n">
        <v>8038</v>
      </c>
      <c r="AZ251" s="253" t="n">
        <v>8948</v>
      </c>
      <c r="BA251" s="253" t="n">
        <v>9802</v>
      </c>
      <c r="BB251" s="253" t="n">
        <v>34296</v>
      </c>
      <c r="BC251" s="253" t="n">
        <v>8978</v>
      </c>
      <c r="BD251" s="253" t="n">
        <v>9594</v>
      </c>
      <c r="BE251" s="253" t="n">
        <v>10204</v>
      </c>
      <c r="BF251" s="253" t="n">
        <v>12685</v>
      </c>
      <c r="BG251" s="253" t="n">
        <v>41921</v>
      </c>
      <c r="BH251" s="253" t="n">
        <v>11123</v>
      </c>
      <c r="BI251" s="253" t="n">
        <v>11589</v>
      </c>
      <c r="BJ251" s="253" t="n">
        <v>12131</v>
      </c>
      <c r="BK251" s="253" t="n">
        <v>13820</v>
      </c>
      <c r="BL251" s="253" t="n">
        <v>48663</v>
      </c>
      <c r="BM251" s="253" t="n">
        <v>11684</v>
      </c>
      <c r="BN251" s="253" t="n">
        <v>12038</v>
      </c>
      <c r="BO251" s="253" t="n">
        <v>13442</v>
      </c>
      <c r="BP251" s="253" t="n">
        <v>15631</v>
      </c>
      <c r="BQ251" s="253" t="n">
        <v>52795</v>
      </c>
      <c r="BR251" s="253" t="n">
        <v>14262</v>
      </c>
      <c r="BS251" s="253" t="n">
        <v>15227</v>
      </c>
      <c r="BT251" s="253" t="n">
        <v>16796</v>
      </c>
      <c r="BU251" s="253" t="n">
        <v>19471</v>
      </c>
      <c r="BV251" s="253" t="n">
        <v>65756</v>
      </c>
      <c r="BW251" s="253" t="n">
        <v>18945</v>
      </c>
      <c r="BX251" s="253" t="n">
        <v>19988</v>
      </c>
      <c r="BY251" s="35" t="n"/>
      <c r="BZ251" s="35" t="n"/>
      <c r="CA251" s="254">
        <f>SUM(BW251:BX251)+(BY126+BZ126)</f>
        <v>85563.5309257669</v>
      </c>
      <c r="CB251" s="254">
        <f>CB126</f>
        <v>115153.995767509</v>
      </c>
      <c r="CC251" s="254">
        <f>CC126</f>
        <v>137323.709453689</v>
      </c>
      <c r="CD251" s="254">
        <f>CD126</f>
        <v>157869.040206443</v>
      </c>
      <c r="CE251" s="254">
        <f>CE126</f>
        <v>176373.54944682</v>
      </c>
      <c r="CF251" s="19" t="n"/>
    </row>
    <row r="252" ht="15" customHeight="1" s="251">
      <c r="B252" s="25" t="inlineStr">
        <is>
          <t xml:space="preserve">  Stock-based compensation</t>
        </is>
      </c>
      <c r="C252" s="253" t="n">
        <v>101</v>
      </c>
      <c r="D252" s="253" t="n">
        <v>185</v>
      </c>
      <c r="E252" s="253" t="n">
        <v>275</v>
      </c>
      <c r="F252" s="253" t="n">
        <v>341</v>
      </c>
      <c r="G252" s="253" t="n">
        <v>424</v>
      </c>
      <c r="H252" s="253" t="n">
        <v>557</v>
      </c>
      <c r="I252" s="253" t="n">
        <v>833</v>
      </c>
      <c r="J252" s="253" t="n">
        <v>229</v>
      </c>
      <c r="K252" s="253" t="n">
        <v>298</v>
      </c>
      <c r="L252" s="253" t="n">
        <v>281</v>
      </c>
      <c r="M252" s="253" t="n">
        <v>326</v>
      </c>
      <c r="N252" s="253" t="n">
        <v>1134</v>
      </c>
      <c r="O252" s="253" t="n">
        <v>321</v>
      </c>
      <c r="P252" s="253" t="n">
        <v>391</v>
      </c>
      <c r="Q252" s="253" t="n">
        <v>377</v>
      </c>
      <c r="R252" s="253" t="n">
        <v>408</v>
      </c>
      <c r="S252" s="253" t="n">
        <v>1497</v>
      </c>
      <c r="T252" s="253" t="n">
        <v>407</v>
      </c>
      <c r="U252" s="253" t="n">
        <v>563</v>
      </c>
      <c r="V252" s="253" t="n">
        <v>544</v>
      </c>
      <c r="W252" s="253" t="n">
        <v>606</v>
      </c>
      <c r="X252" s="253" t="n">
        <v>2119</v>
      </c>
      <c r="Y252" s="253" t="n">
        <v>544</v>
      </c>
      <c r="Z252" s="253" t="n">
        <v>768</v>
      </c>
      <c r="AA252" s="253" t="n">
        <v>776</v>
      </c>
      <c r="AB252" s="253" t="n">
        <v>887</v>
      </c>
      <c r="AC252" s="253" t="n">
        <v>2975</v>
      </c>
      <c r="AD252" s="253" t="n">
        <v>792</v>
      </c>
      <c r="AE252" s="253" t="n">
        <v>1158</v>
      </c>
      <c r="AF252" s="253" t="n">
        <v>1085</v>
      </c>
      <c r="AG252" s="253" t="n">
        <v>1179</v>
      </c>
      <c r="AH252" s="253" t="n">
        <v>4215</v>
      </c>
      <c r="AI252" s="253" t="n">
        <v>1182</v>
      </c>
      <c r="AJ252" s="253" t="n">
        <v>1468</v>
      </c>
      <c r="AK252" s="253" t="n">
        <v>1350</v>
      </c>
      <c r="AL252" s="253" t="n">
        <v>1417</v>
      </c>
      <c r="AM252" s="253" t="n">
        <v>5418</v>
      </c>
      <c r="AN252" s="253" t="n">
        <v>1274</v>
      </c>
      <c r="AO252" s="253" t="n">
        <v>1971</v>
      </c>
      <c r="AP252" s="253" t="n">
        <v>1779</v>
      </c>
      <c r="AQ252" s="253" t="n">
        <v>1840</v>
      </c>
      <c r="AR252" s="253" t="n">
        <v>6864</v>
      </c>
      <c r="AS252" s="253" t="n">
        <v>1757</v>
      </c>
      <c r="AT252" s="253" t="n">
        <v>2601</v>
      </c>
      <c r="AU252" s="253" t="n">
        <v>2288</v>
      </c>
      <c r="AV252" s="253" t="n">
        <v>2562</v>
      </c>
      <c r="AW252" s="253" t="n">
        <v>9208</v>
      </c>
      <c r="AX252" s="253" t="n">
        <v>2306</v>
      </c>
      <c r="AY252" s="253" t="n">
        <v>3591</v>
      </c>
      <c r="AZ252" s="253" t="n">
        <v>3180</v>
      </c>
      <c r="BA252" s="253" t="n">
        <v>3680</v>
      </c>
      <c r="BB252" s="253" t="n">
        <v>12757</v>
      </c>
      <c r="BC252" s="253" t="n">
        <v>3250</v>
      </c>
      <c r="BD252" s="253" t="n">
        <v>5209</v>
      </c>
      <c r="BE252" s="253" t="n">
        <v>5556</v>
      </c>
      <c r="BF252" s="253" t="n">
        <v>5606</v>
      </c>
      <c r="BG252" s="253" t="n">
        <v>19621</v>
      </c>
      <c r="BH252" s="253" t="n">
        <v>4748</v>
      </c>
      <c r="BI252" s="253" t="n">
        <v>7127</v>
      </c>
      <c r="BJ252" s="253" t="n">
        <v>5829</v>
      </c>
      <c r="BK252" s="253" t="n">
        <v>6319</v>
      </c>
      <c r="BL252" s="253" t="n">
        <v>24023</v>
      </c>
      <c r="BM252" s="253" t="n">
        <v>4961</v>
      </c>
      <c r="BN252" s="253" t="n">
        <v>6722</v>
      </c>
      <c r="BO252" s="253" t="n">
        <v>5333</v>
      </c>
      <c r="BP252" s="253" t="n">
        <v>4995</v>
      </c>
      <c r="BQ252" s="253" t="n">
        <v>22011</v>
      </c>
      <c r="BR252" s="253" t="n">
        <v>3689</v>
      </c>
      <c r="BS252" s="253" t="n">
        <v>6534</v>
      </c>
      <c r="BT252" s="253" t="n">
        <v>4847</v>
      </c>
      <c r="BU252" s="253" t="n">
        <v>4397</v>
      </c>
      <c r="BV252" s="253" t="n">
        <v>19467</v>
      </c>
      <c r="BW252" s="253" t="n">
        <v>4032</v>
      </c>
      <c r="BX252" s="253" t="n">
        <v>6038</v>
      </c>
      <c r="BY252" s="35" t="n"/>
      <c r="BZ252" s="35" t="n"/>
      <c r="CA252" s="254">
        <f>SUM(BW252:BX252)+(BY132+BZ132)</f>
        <v>19175.6519612638</v>
      </c>
      <c r="CB252" s="254">
        <f>CB132</f>
        <v>24543.0045174748</v>
      </c>
      <c r="CC252" s="254">
        <f>CC132</f>
        <v>27805.0162622104</v>
      </c>
      <c r="CD252" s="254">
        <f>CD132</f>
        <v>31166.5029445806</v>
      </c>
      <c r="CE252" s="254">
        <f>CE132</f>
        <v>34585.7992304738</v>
      </c>
      <c r="CF252" s="19" t="n"/>
    </row>
    <row r="253" ht="15" customHeight="1" s="251">
      <c r="B253" s="25" t="inlineStr">
        <is>
          <t xml:space="preserve">  Deferred income taxes</t>
        </is>
      </c>
      <c r="C253" s="253" t="n">
        <v>22</v>
      </c>
      <c r="D253" s="253" t="n">
        <v>-99</v>
      </c>
      <c r="E253" s="253" t="n">
        <v>-5</v>
      </c>
      <c r="F253" s="253" t="n">
        <v>81</v>
      </c>
      <c r="G253" s="253" t="n">
        <v>4</v>
      </c>
      <c r="H253" s="253" t="n">
        <v>136</v>
      </c>
      <c r="I253" s="253" t="n">
        <v>-265</v>
      </c>
      <c r="J253" s="253" t="n">
        <v>-80</v>
      </c>
      <c r="K253" s="253" t="n">
        <v>21</v>
      </c>
      <c r="L253" s="253" t="n">
        <v>11</v>
      </c>
      <c r="M253" s="253" t="n">
        <v>-109</v>
      </c>
      <c r="N253" s="253" t="n">
        <v>-156</v>
      </c>
      <c r="O253" s="253" t="n">
        <v>-185</v>
      </c>
      <c r="P253" s="253" t="n">
        <v>-49</v>
      </c>
      <c r="Q253" s="253" t="n">
        <v>-270</v>
      </c>
      <c r="R253" s="253" t="n">
        <v>185</v>
      </c>
      <c r="S253" s="253" t="n">
        <v>-316</v>
      </c>
      <c r="T253" s="253" t="n">
        <v>-2</v>
      </c>
      <c r="U253" s="253" t="n">
        <v>-43</v>
      </c>
      <c r="V253" s="253" t="n">
        <v>-63</v>
      </c>
      <c r="W253" s="253" t="n">
        <v>190</v>
      </c>
      <c r="X253" s="253" t="n">
        <v>81</v>
      </c>
      <c r="Y253" s="253" t="n">
        <v>11</v>
      </c>
      <c r="Z253" s="253" t="n">
        <v>106</v>
      </c>
      <c r="AA253" s="253" t="n">
        <v>-81</v>
      </c>
      <c r="AB253" s="253" t="n">
        <v>-282</v>
      </c>
      <c r="AC253" s="253" t="n">
        <v>-246</v>
      </c>
      <c r="AD253" s="253" t="n">
        <v>-22</v>
      </c>
      <c r="AE253" s="253" t="n">
        <v>376</v>
      </c>
      <c r="AF253" s="253" t="n">
        <v>-74</v>
      </c>
      <c r="AG253" s="253" t="n">
        <v>-308</v>
      </c>
      <c r="AH253" s="253" t="n">
        <v>-29</v>
      </c>
      <c r="AI253" s="253" t="n">
        <v>141</v>
      </c>
      <c r="AJ253" s="253" t="n">
        <v>-139</v>
      </c>
      <c r="AK253" s="253" t="n">
        <v>266</v>
      </c>
      <c r="AL253" s="253" t="n">
        <v>173</v>
      </c>
      <c r="AM253" s="253" t="n">
        <v>441</v>
      </c>
      <c r="AN253" s="253" t="n">
        <v>415</v>
      </c>
      <c r="AO253" s="253" t="n">
        <v>105</v>
      </c>
      <c r="AP253" s="253" t="n">
        <v>92</v>
      </c>
      <c r="AQ253" s="253" t="n">
        <v>185</v>
      </c>
      <c r="AR253" s="253" t="n">
        <v>796</v>
      </c>
      <c r="AS253" s="253" t="n">
        <v>322</v>
      </c>
      <c r="AT253" s="253" t="n">
        <v>465</v>
      </c>
      <c r="AU253" s="253" t="n">
        <v>295</v>
      </c>
      <c r="AV253" s="253" t="n">
        <v>-1636</v>
      </c>
      <c r="AW253" s="253" t="n">
        <v>-554</v>
      </c>
      <c r="AX253" s="253" t="n">
        <v>1703</v>
      </c>
      <c r="AY253" s="253" t="n">
        <v>701</v>
      </c>
      <c r="AZ253" s="253" t="n">
        <v>909</v>
      </c>
      <c r="BA253" s="253" t="n">
        <v>-3623</v>
      </c>
      <c r="BB253" s="253" t="n">
        <v>-310</v>
      </c>
      <c r="BC253" s="253" t="n">
        <v>-2001</v>
      </c>
      <c r="BD253" s="253" t="n">
        <v>-1955</v>
      </c>
      <c r="BE253" s="253" t="n">
        <v>-825</v>
      </c>
      <c r="BF253" s="253" t="n">
        <v>-3367</v>
      </c>
      <c r="BG253" s="253" t="n">
        <v>-8148</v>
      </c>
      <c r="BH253" s="253" t="n">
        <v>-472</v>
      </c>
      <c r="BI253" s="253" t="n">
        <v>-2744</v>
      </c>
      <c r="BJ253" s="253" t="n">
        <v>-1196</v>
      </c>
      <c r="BK253" s="253" t="n">
        <v>-1464</v>
      </c>
      <c r="BL253" s="253" t="n">
        <v>-5876</v>
      </c>
      <c r="BM253" s="253" t="n">
        <v>-938</v>
      </c>
      <c r="BN253" s="253" t="n">
        <v>-785</v>
      </c>
      <c r="BO253" s="253" t="n">
        <v>-1317</v>
      </c>
      <c r="BP253" s="253" t="n">
        <v>-1608</v>
      </c>
      <c r="BQ253" s="253" t="n">
        <v>-4648</v>
      </c>
      <c r="BR253" s="253" t="n">
        <v>507</v>
      </c>
      <c r="BS253" s="253" t="n">
        <v>11</v>
      </c>
      <c r="BT253" s="253" t="n">
        <v>10130</v>
      </c>
      <c r="BU253" s="253" t="n">
        <v>822</v>
      </c>
      <c r="BV253" s="253" t="n">
        <v>11470</v>
      </c>
      <c r="BW253" s="253" t="n">
        <v>12798</v>
      </c>
      <c r="BX253" s="253" t="n">
        <v>17691</v>
      </c>
      <c r="BY253" s="35" t="n"/>
      <c r="BZ253" s="35" t="n"/>
      <c r="CA253" s="254">
        <f>SUM(BW253:BX253)+$CP$25</f>
        <v>34489</v>
      </c>
      <c r="CB253" s="268" t="n">
        <v>6000</v>
      </c>
      <c r="CC253" s="268" t="n">
        <v>6000</v>
      </c>
      <c r="CD253" s="268" t="n">
        <v>6000</v>
      </c>
      <c r="CE253" s="268" t="n">
        <v>6000</v>
      </c>
      <c r="CF253" s="19" t="inlineStr">
        <is>
          <t>2H-26E and 2027E+ inputs (assumption: 100% bonus depreciation made permanent in 2025 keeps deferred taxes positive).</t>
        </is>
      </c>
    </row>
    <row r="254" ht="15" customHeight="1" s="251">
      <c r="B254" s="25" t="inlineStr">
        <is>
          <t xml:space="preserve">  Non-operating (income) expense, other operating expense &amp; other non-cash items (derived)</t>
        </is>
      </c>
      <c r="C254" s="253" t="n">
        <v>-100</v>
      </c>
      <c r="D254" s="253" t="n">
        <v>-235</v>
      </c>
      <c r="E254" s="253" t="n">
        <v>-219</v>
      </c>
      <c r="F254" s="253" t="n">
        <v>-21</v>
      </c>
      <c r="G254" s="253" t="n">
        <v>-234</v>
      </c>
      <c r="H254" s="253" t="n">
        <v>32</v>
      </c>
      <c r="I254" s="253" t="n">
        <v>-31</v>
      </c>
      <c r="J254" s="253" t="n">
        <v>99</v>
      </c>
      <c r="K254" s="253" t="n">
        <v>74</v>
      </c>
      <c r="L254" s="253" t="n">
        <v>17</v>
      </c>
      <c r="M254" s="253" t="n">
        <v>13</v>
      </c>
      <c r="N254" s="253" t="n">
        <v>203</v>
      </c>
      <c r="O254" s="253" t="n">
        <v>-136</v>
      </c>
      <c r="P254" s="253" t="n">
        <v>19</v>
      </c>
      <c r="Q254" s="253" t="n">
        <v>70</v>
      </c>
      <c r="R254" s="253" t="n">
        <v>229</v>
      </c>
      <c r="S254" s="253" t="n">
        <v>182</v>
      </c>
      <c r="T254" s="253" t="n">
        <v>114</v>
      </c>
      <c r="U254" s="253" t="n">
        <v>-34</v>
      </c>
      <c r="V254" s="253" t="n">
        <v>-3</v>
      </c>
      <c r="W254" s="253" t="n">
        <v>208</v>
      </c>
      <c r="X254" s="253" t="n">
        <v>286</v>
      </c>
      <c r="Y254" s="253" t="n">
        <v>-214</v>
      </c>
      <c r="Z254" s="253" t="n">
        <v>-28</v>
      </c>
      <c r="AA254" s="253" t="n">
        <v>-165</v>
      </c>
      <c r="AB254" s="253" t="n">
        <v>-284</v>
      </c>
      <c r="AC254" s="253" t="n">
        <v>-689</v>
      </c>
      <c r="AD254" s="253" t="n">
        <v>2</v>
      </c>
      <c r="AE254" s="253" t="n">
        <v>-60</v>
      </c>
      <c r="AF254" s="253" t="n">
        <v>-85</v>
      </c>
      <c r="AG254" s="253" t="n">
        <v>51</v>
      </c>
      <c r="AH254" s="253" t="n">
        <v>-90</v>
      </c>
      <c r="AI254" s="253" t="n">
        <v>-128</v>
      </c>
      <c r="AJ254" s="253" t="n">
        <v>195</v>
      </c>
      <c r="AK254" s="253" t="n">
        <v>158</v>
      </c>
      <c r="AL254" s="253" t="n">
        <v>269</v>
      </c>
      <c r="AM254" s="253" t="n">
        <v>493</v>
      </c>
      <c r="AN254" s="253" t="n">
        <v>-148</v>
      </c>
      <c r="AO254" s="253" t="n">
        <v>73</v>
      </c>
      <c r="AP254" s="253" t="n">
        <v>435</v>
      </c>
      <c r="AQ254" s="253" t="n">
        <v>-444</v>
      </c>
      <c r="AR254" s="253" t="n">
        <v>-85</v>
      </c>
      <c r="AS254" s="253" t="n">
        <v>632</v>
      </c>
      <c r="AT254" s="253" t="n">
        <v>-487</v>
      </c>
      <c r="AU254" s="253" t="n">
        <v>-984</v>
      </c>
      <c r="AV254" s="253" t="n">
        <v>-1814</v>
      </c>
      <c r="AW254" s="253" t="n">
        <v>-2653</v>
      </c>
      <c r="AX254" s="253" t="n">
        <v>-1426</v>
      </c>
      <c r="AY254" s="253" t="n">
        <v>-1240</v>
      </c>
      <c r="AZ254" s="253" t="n">
        <v>364</v>
      </c>
      <c r="BA254" s="253" t="n">
        <v>-11867</v>
      </c>
      <c r="BB254" s="253" t="n">
        <v>-14169</v>
      </c>
      <c r="BC254" s="253" t="n">
        <v>8904</v>
      </c>
      <c r="BD254" s="253" t="n">
        <v>6226</v>
      </c>
      <c r="BE254" s="253" t="n">
        <v>-1149</v>
      </c>
      <c r="BF254" s="253" t="n">
        <v>3445</v>
      </c>
      <c r="BG254" s="253" t="n">
        <v>16966</v>
      </c>
      <c r="BH254" s="253" t="n">
        <v>534</v>
      </c>
      <c r="BI254" s="253" t="n">
        <v>47</v>
      </c>
      <c r="BJ254" s="253" t="n">
        <v>-990</v>
      </c>
      <c r="BK254" s="253" t="n">
        <v>-339</v>
      </c>
      <c r="BL254" s="253" t="n">
        <v>-748</v>
      </c>
      <c r="BM254" s="253" t="n">
        <v>2734</v>
      </c>
      <c r="BN254" s="253" t="n">
        <v>-95</v>
      </c>
      <c r="BO254" s="253" t="n">
        <v>-141</v>
      </c>
      <c r="BP254" s="253" t="n">
        <v>-486</v>
      </c>
      <c r="BQ254" s="253" t="n">
        <v>2012</v>
      </c>
      <c r="BR254" s="253" t="n">
        <v>-2817</v>
      </c>
      <c r="BS254" s="253" t="n">
        <v>-1258</v>
      </c>
      <c r="BT254" s="253" t="n">
        <v>-10112</v>
      </c>
      <c r="BU254" s="253" t="n">
        <v>-693</v>
      </c>
      <c r="BV254" s="253" t="n">
        <v>-14880</v>
      </c>
      <c r="BW254" s="253" t="n">
        <v>-15632</v>
      </c>
      <c r="BX254" s="253" t="n">
        <v>-53381</v>
      </c>
      <c r="BY254" s="35" t="n"/>
      <c r="BZ254" s="35" t="n"/>
      <c r="CA254" s="254">
        <f>SUM(BW254:BX254)</f>
        <v>-69013</v>
      </c>
      <c r="CB254" s="268" t="n">
        <v>0</v>
      </c>
      <c r="CC254" s="268" t="n">
        <v>0</v>
      </c>
      <c r="CD254" s="268" t="n">
        <v>0</v>
      </c>
      <c r="CE254" s="268" t="n">
        <v>0</v>
      </c>
      <c r="CF254" s="19" t="inlineStr">
        <is>
          <t>History: CFO − net income − D&amp;A − SBC − deferred taxes − working-capital lines (mainly reverses investment marks in other income).</t>
        </is>
      </c>
    </row>
    <row r="255" ht="15" customHeight="1" s="251">
      <c r="B255" s="25" t="inlineStr">
        <is>
          <t xml:space="preserve">  Operating-lease payments &amp; content / other asset reinvestment (offsets other D&amp;A; forecast)</t>
        </is>
      </c>
      <c r="C255" s="34" t="n"/>
      <c r="D255" s="34" t="n"/>
      <c r="E255" s="34" t="n"/>
      <c r="F255" s="34" t="n"/>
      <c r="G255" s="34" t="n"/>
      <c r="H255" s="34" t="n"/>
      <c r="I255" s="34" t="n"/>
      <c r="J255" s="34" t="n"/>
      <c r="K255" s="34" t="n"/>
      <c r="L255" s="34" t="n"/>
      <c r="M255" s="34" t="n"/>
      <c r="N255" s="34" t="n"/>
      <c r="O255" s="34" t="n"/>
      <c r="P255" s="34" t="n"/>
      <c r="Q255" s="34" t="n"/>
      <c r="R255" s="34" t="n"/>
      <c r="S255" s="34" t="n"/>
      <c r="T255" s="34" t="n"/>
      <c r="U255" s="34" t="n"/>
      <c r="V255" s="34" t="n"/>
      <c r="W255" s="34" t="n"/>
      <c r="X255" s="34" t="n"/>
      <c r="Y255" s="34" t="n"/>
      <c r="Z255" s="34" t="n"/>
      <c r="AA255" s="34" t="n"/>
      <c r="AB255" s="34" t="n"/>
      <c r="AC255" s="34" t="n"/>
      <c r="AD255" s="34" t="n"/>
      <c r="AE255" s="34" t="n"/>
      <c r="AF255" s="34" t="n"/>
      <c r="AG255" s="34" t="n"/>
      <c r="AH255" s="34" t="n"/>
      <c r="AI255" s="34" t="n"/>
      <c r="AJ255" s="34" t="n"/>
      <c r="AK255" s="34" t="n"/>
      <c r="AL255" s="34" t="n"/>
      <c r="AM255" s="34" t="n"/>
      <c r="AN255" s="34" t="n"/>
      <c r="AO255" s="34" t="n"/>
      <c r="AP255" s="34" t="n"/>
      <c r="AQ255" s="34" t="n"/>
      <c r="AR255" s="34" t="n"/>
      <c r="AS255" s="34" t="n"/>
      <c r="AT255" s="34" t="n"/>
      <c r="AU255" s="34" t="n"/>
      <c r="AV255" s="34" t="n"/>
      <c r="AW255" s="34" t="n"/>
      <c r="AX255" s="34" t="n"/>
      <c r="AY255" s="34" t="n"/>
      <c r="AZ255" s="34" t="n"/>
      <c r="BA255" s="34" t="n"/>
      <c r="BB255" s="34" t="n"/>
      <c r="BC255" s="34" t="n"/>
      <c r="BD255" s="34" t="n"/>
      <c r="BE255" s="34" t="n"/>
      <c r="BF255" s="34" t="n"/>
      <c r="BG255" s="34" t="n"/>
      <c r="BH255" s="34" t="n"/>
      <c r="BI255" s="34" t="n"/>
      <c r="BJ255" s="34" t="n"/>
      <c r="BK255" s="34" t="n"/>
      <c r="BL255" s="34" t="n"/>
      <c r="BM255" s="34" t="n"/>
      <c r="BN255" s="34" t="n"/>
      <c r="BO255" s="34" t="n"/>
      <c r="BP255" s="34" t="n"/>
      <c r="BQ255" s="34" t="n"/>
      <c r="BR255" s="34" t="n"/>
      <c r="BS255" s="34" t="n"/>
      <c r="BT255" s="34" t="n"/>
      <c r="BU255" s="34" t="n"/>
      <c r="BV255" s="34" t="n"/>
      <c r="BW255" s="34" t="n"/>
      <c r="BX255" s="34" t="n"/>
      <c r="BY255" s="35" t="n"/>
      <c r="BZ255" s="35" t="n"/>
      <c r="CA255" s="254">
        <f>-(BY129+BZ129)</f>
        <v>-14191.03986164</v>
      </c>
      <c r="CB255" s="254">
        <f>-CB129</f>
        <v>-30206.7747907382</v>
      </c>
      <c r="CC255" s="254">
        <f>-CC129</f>
        <v>-34221.5584765666</v>
      </c>
      <c r="CD255" s="254">
        <f>-CD129</f>
        <v>-38358.7728548684</v>
      </c>
      <c r="CE255" s="254">
        <f>-CE129</f>
        <v>-42567.1375144293</v>
      </c>
      <c r="CF255" s="19" t="inlineStr">
        <is>
          <t>Forecast assumption: operating-lease liability payments and capitalized-content spending ≈ the non-P&amp;E amortization in D&amp;A, so operating-lease assets / liabilities and other assets are held flat (in the history these flows sit in the working-capital lines).</t>
        </is>
      </c>
    </row>
    <row r="256" ht="15" customHeight="1" s="251">
      <c r="B256" s="25" t="inlineStr">
        <is>
          <t xml:space="preserve">  Changes in operating assets &amp; liabilities (inventories, receivables, payables, accrued, unearned revenue)</t>
        </is>
      </c>
      <c r="C256" s="253" t="n">
        <v>284</v>
      </c>
      <c r="D256" s="253" t="n">
        <v>832</v>
      </c>
      <c r="E256" s="253" t="n">
        <v>714</v>
      </c>
      <c r="F256" s="253" t="n">
        <v>1612</v>
      </c>
      <c r="G256" s="253" t="n">
        <v>1581</v>
      </c>
      <c r="H256" s="253" t="n">
        <v>1464</v>
      </c>
      <c r="I256" s="253" t="n">
        <v>1523</v>
      </c>
      <c r="J256" s="253" t="n">
        <v>-3402</v>
      </c>
      <c r="K256" s="253" t="n">
        <v>-262</v>
      </c>
      <c r="L256" s="253" t="n">
        <v>286</v>
      </c>
      <c r="M256" s="253" t="n">
        <v>4146</v>
      </c>
      <c r="N256" s="253" t="n">
        <v>767</v>
      </c>
      <c r="O256" s="253" t="n">
        <v>-3620</v>
      </c>
      <c r="P256" s="253" t="n">
        <v>-482</v>
      </c>
      <c r="Q256" s="253" t="n">
        <v>779</v>
      </c>
      <c r="R256" s="253" t="n">
        <v>4300</v>
      </c>
      <c r="S256" s="253" t="n">
        <v>974</v>
      </c>
      <c r="T256" s="253" t="n">
        <v>-3387</v>
      </c>
      <c r="U256" s="253" t="n">
        <v>-85</v>
      </c>
      <c r="V256" s="253" t="n">
        <v>454</v>
      </c>
      <c r="W256" s="253" t="n">
        <v>5574</v>
      </c>
      <c r="X256" s="253" t="n">
        <v>2557</v>
      </c>
      <c r="Y256" s="253" t="n">
        <v>-4841</v>
      </c>
      <c r="Z256" s="253" t="n">
        <v>-147</v>
      </c>
      <c r="AA256" s="253" t="n">
        <v>1620</v>
      </c>
      <c r="AB256" s="253" t="n">
        <v>7284</v>
      </c>
      <c r="AC256" s="253" t="n">
        <v>3916</v>
      </c>
      <c r="AD256" s="253" t="n">
        <v>-5521</v>
      </c>
      <c r="AE256" s="253" t="n">
        <v>-475</v>
      </c>
      <c r="AF256" s="253" t="n">
        <v>-243</v>
      </c>
      <c r="AG256" s="253" t="n">
        <v>6068</v>
      </c>
      <c r="AH256" s="253" t="n">
        <v>-173</v>
      </c>
      <c r="AI256" s="253" t="n">
        <v>-8286</v>
      </c>
      <c r="AJ256" s="253" t="n">
        <v>-239</v>
      </c>
      <c r="AK256" s="253" t="n">
        <v>153</v>
      </c>
      <c r="AL256" s="253" t="n">
        <v>7330</v>
      </c>
      <c r="AM256" s="253" t="n">
        <v>-1043</v>
      </c>
      <c r="AN256" s="253" t="n">
        <v>-8110</v>
      </c>
      <c r="AO256" s="253" t="n">
        <v>-858</v>
      </c>
      <c r="AP256" s="253" t="n">
        <v>-2111</v>
      </c>
      <c r="AQ256" s="253" t="n">
        <v>8640</v>
      </c>
      <c r="AR256" s="253" t="n">
        <v>-2438</v>
      </c>
      <c r="AS256" s="253" t="n">
        <v>-7544</v>
      </c>
      <c r="AT256" s="253" t="n">
        <v>7036</v>
      </c>
      <c r="AU256" s="253" t="n">
        <v>-2489</v>
      </c>
      <c r="AV256" s="253" t="n">
        <v>16478</v>
      </c>
      <c r="AW256" s="253" t="n">
        <v>13481</v>
      </c>
      <c r="AX256" s="253" t="n">
        <v>-13985</v>
      </c>
      <c r="AY256" s="253" t="n">
        <v>-6153</v>
      </c>
      <c r="AZ256" s="253" t="n">
        <v>-9244</v>
      </c>
      <c r="BA256" s="253" t="n">
        <v>9771</v>
      </c>
      <c r="BB256" s="253" t="n">
        <v>-19611</v>
      </c>
      <c r="BC256" s="253" t="n">
        <v>-18077</v>
      </c>
      <c r="BD256" s="253" t="n">
        <v>-8081</v>
      </c>
      <c r="BE256" s="253" t="n">
        <v>-5254</v>
      </c>
      <c r="BF256" s="253" t="n">
        <v>10526</v>
      </c>
      <c r="BG256" s="253" t="n">
        <v>-20886</v>
      </c>
      <c r="BH256" s="253" t="n">
        <v>-14317</v>
      </c>
      <c r="BI256" s="253" t="n">
        <v>-6293</v>
      </c>
      <c r="BJ256" s="253" t="n">
        <v>-4436</v>
      </c>
      <c r="BK256" s="253" t="n">
        <v>13505</v>
      </c>
      <c r="BL256" s="253" t="n">
        <v>-11541</v>
      </c>
      <c r="BM256" s="253" t="n">
        <v>-9883</v>
      </c>
      <c r="BN256" s="253" t="n">
        <v>-6084</v>
      </c>
      <c r="BO256" s="253" t="n">
        <v>-6674</v>
      </c>
      <c r="BP256" s="253" t="n">
        <v>7100</v>
      </c>
      <c r="BQ256" s="253" t="n">
        <v>-15541</v>
      </c>
      <c r="BR256" s="253" t="n">
        <v>-15753</v>
      </c>
      <c r="BS256" s="253" t="n">
        <v>-6163</v>
      </c>
      <c r="BT256" s="253" t="n">
        <v>-7323</v>
      </c>
      <c r="BU256" s="253" t="n">
        <v>9270</v>
      </c>
      <c r="BV256" s="253" t="n">
        <v>-19969</v>
      </c>
      <c r="BW256" s="253" t="n">
        <v>-24366</v>
      </c>
      <c r="BX256" s="253" t="n">
        <v>-7596</v>
      </c>
      <c r="BY256" s="35" t="n"/>
      <c r="BZ256" s="35" t="n"/>
      <c r="CA256" s="254">
        <f>SUM(BW256:BX256)-(CA314-BX314)-(CA313-BX313)-(CA315-BX315)+(CA323-BX323)+(CA324-BX324)+(CA326-BX326)</f>
        <v>-16814.2782374941</v>
      </c>
      <c r="CB256" s="254">
        <f>-(CB314-CA314)-(CB313-CA313)-(CB315-CA315)+(CB323-CA323)+(CB324-CA324)+(CB326-CA326)</f>
        <v>12945.7527441554</v>
      </c>
      <c r="CC256" s="254">
        <f>-(CC314-CB314)-(CC313-CB313)-(CC315-CB315)+(CC323-CB323)+(CC324-CB324)+(CC326-CB326)</f>
        <v>15857.0663528299</v>
      </c>
      <c r="CD256" s="254">
        <f>-(CD314-CC314)-(CD313-CC313)-(CD315-CC315)+(CD323-CC323)+(CD324-CC324)+(CD326-CC326)</f>
        <v>16765.0384307566</v>
      </c>
      <c r="CE256" s="254">
        <f>-(CE314-CD314)-(CE313-CD313)-(CE315-CD315)+(CE323-CD323)+(CE324-CD324)+(CE326-CD326)</f>
        <v>16556.2601585039</v>
      </c>
      <c r="CF256" s="19" t="inlineStr">
        <is>
          <t>Forecast linked to the balance sheet (year-end working-capital days).</t>
        </is>
      </c>
    </row>
    <row r="257" ht="15" customHeight="1" s="251">
      <c r="B257" s="16" t="inlineStr">
        <is>
          <t>Net cash provided by (used in) operating activities</t>
        </is>
      </c>
      <c r="C257" s="264" t="n">
        <v>702</v>
      </c>
      <c r="D257" s="264" t="n">
        <v>1405</v>
      </c>
      <c r="E257" s="264" t="n">
        <v>1697</v>
      </c>
      <c r="F257" s="264" t="n">
        <v>3293</v>
      </c>
      <c r="G257" s="264" t="n">
        <v>3495</v>
      </c>
      <c r="H257" s="264" t="n">
        <v>3903</v>
      </c>
      <c r="I257" s="264" t="n">
        <v>4180</v>
      </c>
      <c r="J257" s="264" t="n">
        <v>-2372</v>
      </c>
      <c r="K257" s="264" t="n">
        <v>880</v>
      </c>
      <c r="L257" s="264" t="n">
        <v>1388</v>
      </c>
      <c r="M257" s="264" t="n">
        <v>5578</v>
      </c>
      <c r="N257" s="264" t="n">
        <v>5475</v>
      </c>
      <c r="O257" s="264" t="n">
        <v>-2502</v>
      </c>
      <c r="P257" s="264" t="n">
        <v>862</v>
      </c>
      <c r="Q257" s="264" t="n">
        <v>1766</v>
      </c>
      <c r="R257" s="264" t="n">
        <v>6715</v>
      </c>
      <c r="S257" s="264" t="n">
        <v>6842</v>
      </c>
      <c r="T257" s="264" t="n">
        <v>-1499</v>
      </c>
      <c r="U257" s="264" t="n">
        <v>1997</v>
      </c>
      <c r="V257" s="264" t="n">
        <v>2610</v>
      </c>
      <c r="W257" s="264" t="n">
        <v>8812</v>
      </c>
      <c r="X257" s="264" t="n">
        <v>11920</v>
      </c>
      <c r="Y257" s="264" t="n">
        <v>-2160</v>
      </c>
      <c r="Z257" s="264" t="n">
        <v>3465</v>
      </c>
      <c r="AA257" s="264" t="n">
        <v>4486</v>
      </c>
      <c r="AB257" s="264" t="n">
        <v>10651</v>
      </c>
      <c r="AC257" s="264" t="n">
        <v>16443</v>
      </c>
      <c r="AD257" s="264" t="n">
        <v>-1590</v>
      </c>
      <c r="AE257" s="264" t="n">
        <v>3829</v>
      </c>
      <c r="AF257" s="264" t="n">
        <v>3851</v>
      </c>
      <c r="AG257" s="264" t="n">
        <v>12344</v>
      </c>
      <c r="AH257" s="264" t="n">
        <v>18434</v>
      </c>
      <c r="AI257" s="264" t="n">
        <v>-1791</v>
      </c>
      <c r="AJ257" s="264" t="n">
        <v>7449</v>
      </c>
      <c r="AK257" s="264" t="n">
        <v>8588</v>
      </c>
      <c r="AL257" s="264" t="n">
        <v>16478</v>
      </c>
      <c r="AM257" s="264" t="n">
        <v>30723</v>
      </c>
      <c r="AN257" s="264" t="n">
        <v>1846</v>
      </c>
      <c r="AO257" s="264" t="n">
        <v>9118</v>
      </c>
      <c r="AP257" s="264" t="n">
        <v>7892</v>
      </c>
      <c r="AQ257" s="264" t="n">
        <v>19659</v>
      </c>
      <c r="AR257" s="264" t="n">
        <v>38514</v>
      </c>
      <c r="AS257" s="264" t="n">
        <v>3064</v>
      </c>
      <c r="AT257" s="264" t="n">
        <v>20606</v>
      </c>
      <c r="AU257" s="264" t="n">
        <v>11964</v>
      </c>
      <c r="AV257" s="264" t="n">
        <v>30430</v>
      </c>
      <c r="AW257" s="264" t="n">
        <v>66064</v>
      </c>
      <c r="AX257" s="264" t="n">
        <v>4213</v>
      </c>
      <c r="AY257" s="264" t="n">
        <v>12715</v>
      </c>
      <c r="AZ257" s="264" t="n">
        <v>7313</v>
      </c>
      <c r="BA257" s="264" t="n">
        <v>22086</v>
      </c>
      <c r="BB257" s="264" t="n">
        <v>46327</v>
      </c>
      <c r="BC257" s="264" t="n">
        <v>-2790</v>
      </c>
      <c r="BD257" s="264" t="n">
        <v>8965</v>
      </c>
      <c r="BE257" s="264" t="n">
        <v>11404</v>
      </c>
      <c r="BF257" s="264" t="n">
        <v>29173</v>
      </c>
      <c r="BG257" s="264" t="n">
        <v>46752</v>
      </c>
      <c r="BH257" s="264" t="n">
        <v>4788</v>
      </c>
      <c r="BI257" s="264" t="n">
        <v>16476</v>
      </c>
      <c r="BJ257" s="264" t="n">
        <v>21217</v>
      </c>
      <c r="BK257" s="264" t="n">
        <v>42465</v>
      </c>
      <c r="BL257" s="264" t="n">
        <v>84946</v>
      </c>
      <c r="BM257" s="264" t="n">
        <v>18989</v>
      </c>
      <c r="BN257" s="264" t="n">
        <v>25281</v>
      </c>
      <c r="BO257" s="264" t="n">
        <v>25971</v>
      </c>
      <c r="BP257" s="264" t="n">
        <v>45636</v>
      </c>
      <c r="BQ257" s="264" t="n">
        <v>115877</v>
      </c>
      <c r="BR257" s="264" t="n">
        <v>17015</v>
      </c>
      <c r="BS257" s="264" t="n">
        <v>32515</v>
      </c>
      <c r="BT257" s="264" t="n">
        <v>35525</v>
      </c>
      <c r="BU257" s="264" t="n">
        <v>54459</v>
      </c>
      <c r="BV257" s="264" t="n">
        <v>139514</v>
      </c>
      <c r="BW257" s="264" t="n">
        <v>26032</v>
      </c>
      <c r="BX257" s="264" t="n">
        <v>45387</v>
      </c>
      <c r="BY257" s="32" t="n"/>
      <c r="BZ257" s="32" t="n"/>
      <c r="CA257" s="265">
        <f>SUM(CA249:CA256)</f>
        <v>175814.920698678</v>
      </c>
      <c r="CB257" s="265">
        <f>SUM(CB249:CB256)</f>
        <v>233995.382619487</v>
      </c>
      <c r="CC257" s="265">
        <f>SUM(CC249:CC256)</f>
        <v>280466.886694951</v>
      </c>
      <c r="CD257" s="265">
        <f>SUM(CD249:CD256)</f>
        <v>323741.896337276</v>
      </c>
      <c r="CE257" s="265">
        <f>SUM(CE249:CE256)</f>
        <v>366077.800752609</v>
      </c>
      <c r="CF257" s="153" t="n"/>
      <c r="CH257" s="20">
        <f>IFERROR((CE257/BV257)^(1/5)-1,"n/m")</f>
        <v>0.212805396243153</v>
      </c>
      <c r="CI257" s="20">
        <f>IFERROR((BV257/AW257)^(1/5)-1,"n/m")</f>
        <v>0.161262989763011</v>
      </c>
      <c r="CJ257" s="20">
        <f>IFERROR((BV257/X257)^(1/10)-1,"n/m")</f>
        <v>0.278892832865002</v>
      </c>
      <c r="CK257" s="20">
        <f>IFERROR((BV257/C257)^(1/19)-1,"n/m")</f>
        <v>0.321180457054944</v>
      </c>
    </row>
    <row r="258" ht="15" customHeight="1" s="251">
      <c r="B258" s="25" t="inlineStr">
        <is>
          <t>Purchases of property and equipment</t>
        </is>
      </c>
      <c r="C258" s="253" t="n">
        <v>-216</v>
      </c>
      <c r="D258" s="253" t="n">
        <v>-224</v>
      </c>
      <c r="E258" s="253" t="n">
        <v>-333</v>
      </c>
      <c r="F258" s="253" t="n">
        <v>-373</v>
      </c>
      <c r="G258" s="253" t="n">
        <v>-979</v>
      </c>
      <c r="H258" s="253" t="n">
        <v>-1811</v>
      </c>
      <c r="I258" s="253" t="n">
        <v>-3785</v>
      </c>
      <c r="J258" s="253" t="n">
        <v>-670</v>
      </c>
      <c r="K258" s="253" t="n">
        <v>-855</v>
      </c>
      <c r="L258" s="253" t="n">
        <v>-1038</v>
      </c>
      <c r="M258" s="253" t="n">
        <v>-880</v>
      </c>
      <c r="N258" s="253" t="n">
        <v>-3444</v>
      </c>
      <c r="O258" s="253" t="n">
        <v>-1080</v>
      </c>
      <c r="P258" s="253" t="n">
        <v>-1290</v>
      </c>
      <c r="Q258" s="253" t="n">
        <v>-1378</v>
      </c>
      <c r="R258" s="253" t="n">
        <v>-1144</v>
      </c>
      <c r="S258" s="253" t="n">
        <v>-4893</v>
      </c>
      <c r="T258" s="253" t="n">
        <v>-871</v>
      </c>
      <c r="U258" s="253" t="n">
        <v>-1213</v>
      </c>
      <c r="V258" s="253" t="n">
        <v>-1195</v>
      </c>
      <c r="W258" s="253" t="n">
        <v>-1309</v>
      </c>
      <c r="X258" s="253" t="n">
        <v>-4589</v>
      </c>
      <c r="Y258" s="253" t="n">
        <v>-1179</v>
      </c>
      <c r="Z258" s="253" t="n">
        <v>-1711</v>
      </c>
      <c r="AA258" s="253" t="n">
        <v>-1841</v>
      </c>
      <c r="AB258" s="253" t="n">
        <v>-2005</v>
      </c>
      <c r="AC258" s="253" t="n">
        <v>-6737</v>
      </c>
      <c r="AD258" s="253" t="n">
        <v>-1861</v>
      </c>
      <c r="AE258" s="253" t="n">
        <v>-2501</v>
      </c>
      <c r="AF258" s="253" t="n">
        <v>-2659</v>
      </c>
      <c r="AG258" s="253" t="n">
        <v>-3619</v>
      </c>
      <c r="AH258" s="253" t="n">
        <v>-11955</v>
      </c>
      <c r="AI258" s="253" t="n">
        <v>-3098</v>
      </c>
      <c r="AJ258" s="253" t="n">
        <v>-3243</v>
      </c>
      <c r="AK258" s="253" t="n">
        <v>-3352</v>
      </c>
      <c r="AL258" s="253" t="n">
        <v>-3733</v>
      </c>
      <c r="AM258" s="253" t="n">
        <v>-13427</v>
      </c>
      <c r="AN258" s="253" t="n">
        <v>-3290</v>
      </c>
      <c r="AO258" s="253" t="n">
        <v>-3562</v>
      </c>
      <c r="AP258" s="253" t="n">
        <v>-4697</v>
      </c>
      <c r="AQ258" s="253" t="n">
        <v>-5312</v>
      </c>
      <c r="AR258" s="253" t="n">
        <v>-16861</v>
      </c>
      <c r="AS258" s="253" t="n">
        <v>-6795</v>
      </c>
      <c r="AT258" s="253" t="n">
        <v>-7459</v>
      </c>
      <c r="AU258" s="253" t="n">
        <v>-11063</v>
      </c>
      <c r="AV258" s="253" t="n">
        <v>-14824</v>
      </c>
      <c r="AW258" s="253" t="n">
        <v>-40140</v>
      </c>
      <c r="AX258" s="253" t="n">
        <v>-12082</v>
      </c>
      <c r="AY258" s="253" t="n">
        <v>-14288</v>
      </c>
      <c r="AZ258" s="253" t="n">
        <v>-15748</v>
      </c>
      <c r="BA258" s="253" t="n">
        <v>-18935</v>
      </c>
      <c r="BB258" s="253" t="n">
        <v>-61053</v>
      </c>
      <c r="BC258" s="253" t="n">
        <v>-14951</v>
      </c>
      <c r="BD258" s="253" t="n">
        <v>-15724</v>
      </c>
      <c r="BE258" s="253" t="n">
        <v>-16378</v>
      </c>
      <c r="BF258" s="253" t="n">
        <v>-16592</v>
      </c>
      <c r="BG258" s="253" t="n">
        <v>-63645</v>
      </c>
      <c r="BH258" s="253" t="n">
        <v>-14207</v>
      </c>
      <c r="BI258" s="253" t="n">
        <v>-11455</v>
      </c>
      <c r="BJ258" s="253" t="n">
        <v>-12479</v>
      </c>
      <c r="BK258" s="253" t="n">
        <v>-14588</v>
      </c>
      <c r="BL258" s="253" t="n">
        <v>-52729</v>
      </c>
      <c r="BM258" s="253" t="n">
        <v>-14925</v>
      </c>
      <c r="BN258" s="253" t="n">
        <v>-17620</v>
      </c>
      <c r="BO258" s="253" t="n">
        <v>-22620</v>
      </c>
      <c r="BP258" s="253" t="n">
        <v>-27834</v>
      </c>
      <c r="BQ258" s="253" t="n">
        <v>-82999</v>
      </c>
      <c r="BR258" s="253" t="n">
        <v>-25019</v>
      </c>
      <c r="BS258" s="253" t="n">
        <v>-32183</v>
      </c>
      <c r="BT258" s="253" t="n">
        <v>-35095</v>
      </c>
      <c r="BU258" s="253" t="n">
        <v>-39522</v>
      </c>
      <c r="BV258" s="253" t="n">
        <v>-131819</v>
      </c>
      <c r="BW258" s="253" t="n">
        <v>-44203</v>
      </c>
      <c r="BX258" s="253" t="n">
        <v>-54208</v>
      </c>
      <c r="BY258" s="35" t="n"/>
      <c r="BZ258" s="35" t="n"/>
      <c r="CA258" s="254">
        <f>SUM(BW258:BX258)-(BY131+BZ131)</f>
        <v>-206827</v>
      </c>
      <c r="CB258" s="254">
        <f>-CB144*CB295</f>
        <v>-217111.193808431</v>
      </c>
      <c r="CC258" s="254">
        <f>-CC144*CC295</f>
        <v>-224578.977502468</v>
      </c>
      <c r="CD258" s="254">
        <f>-CD144*CD295</f>
        <v>-227755.213825781</v>
      </c>
      <c r="CE258" s="254">
        <f>-CE144*CE295</f>
        <v>-226137.918045406</v>
      </c>
      <c r="CF258" s="19" t="inlineStr">
        <is>
          <t>Q4-15–Q3-17 releases showed purchases net of proceeds and incentives (proceeds line from Q4-17). 2026E: 1H actual + Q3/Q4 point estimates. 2027E+: net sales × capex % (scenario lever).</t>
        </is>
      </c>
      <c r="CH258" s="20">
        <f>IFERROR((CE258/BV258)^(1/5)-1,"n/m")</f>
        <v>0.113984313422018</v>
      </c>
      <c r="CI258" s="20">
        <f>IFERROR((BV258/AW258)^(1/5)-1,"n/m")</f>
        <v>0.268469791245153</v>
      </c>
      <c r="CJ258" s="20">
        <f>IFERROR((BV258/X258)^(1/10)-1,"n/m")</f>
        <v>0.399026676001236</v>
      </c>
      <c r="CK258" s="20">
        <f>IFERROR((BV258/C258)^(1/19)-1,"n/m")</f>
        <v>0.401543366028498</v>
      </c>
    </row>
    <row r="259" ht="15" customHeight="1" s="251">
      <c r="B259" s="25" t="inlineStr">
        <is>
          <t>Proceeds from property and equipment sales and incentives</t>
        </is>
      </c>
      <c r="C259" s="253" t="n">
        <v>0</v>
      </c>
      <c r="D259" s="253" t="n">
        <v>0</v>
      </c>
      <c r="E259" s="253" t="n">
        <v>0</v>
      </c>
      <c r="F259" s="253" t="n">
        <v>0</v>
      </c>
      <c r="G259" s="253" t="n">
        <v>0</v>
      </c>
      <c r="H259" s="253" t="n">
        <v>0</v>
      </c>
      <c r="I259" s="253" t="n">
        <v>0</v>
      </c>
      <c r="J259" s="253" t="n">
        <v>0</v>
      </c>
      <c r="K259" s="253" t="n">
        <v>0</v>
      </c>
      <c r="L259" s="253" t="n">
        <v>0</v>
      </c>
      <c r="M259" s="253" t="n">
        <v>0</v>
      </c>
      <c r="N259" s="253" t="n">
        <v>0</v>
      </c>
      <c r="O259" s="253" t="n">
        <v>0</v>
      </c>
      <c r="P259" s="253" t="n">
        <v>0</v>
      </c>
      <c r="Q259" s="253" t="n">
        <v>0</v>
      </c>
      <c r="R259" s="253" t="n">
        <v>0</v>
      </c>
      <c r="S259" s="253" t="n">
        <v>0</v>
      </c>
      <c r="T259" s="253" t="n">
        <v>0</v>
      </c>
      <c r="U259" s="253" t="n">
        <v>0</v>
      </c>
      <c r="V259" s="253" t="n">
        <v>0</v>
      </c>
      <c r="W259" s="253" t="n">
        <v>0</v>
      </c>
      <c r="X259" s="253" t="n">
        <v>0</v>
      </c>
      <c r="Y259" s="253" t="n">
        <v>0</v>
      </c>
      <c r="Z259" s="253" t="n">
        <v>0</v>
      </c>
      <c r="AA259" s="253" t="n">
        <v>0</v>
      </c>
      <c r="AB259" s="253" t="n">
        <v>0</v>
      </c>
      <c r="AC259" s="253" t="n">
        <v>0</v>
      </c>
      <c r="AD259" s="253" t="n">
        <v>0</v>
      </c>
      <c r="AE259" s="253" t="n">
        <v>0</v>
      </c>
      <c r="AF259" s="253" t="n">
        <v>0</v>
      </c>
      <c r="AG259" s="253" t="n">
        <v>583</v>
      </c>
      <c r="AH259" s="253" t="n">
        <v>1897</v>
      </c>
      <c r="AI259" s="253" t="n">
        <v>371</v>
      </c>
      <c r="AJ259" s="253" t="n">
        <v>294</v>
      </c>
      <c r="AK259" s="253" t="n">
        <v>825</v>
      </c>
      <c r="AL259" s="253" t="n">
        <v>614</v>
      </c>
      <c r="AM259" s="253" t="n">
        <v>2104</v>
      </c>
      <c r="AN259" s="253" t="n">
        <v>569</v>
      </c>
      <c r="AO259" s="253" t="n">
        <v>919</v>
      </c>
      <c r="AP259" s="253" t="n">
        <v>1312</v>
      </c>
      <c r="AQ259" s="253" t="n">
        <v>1371</v>
      </c>
      <c r="AR259" s="253" t="n">
        <v>4172</v>
      </c>
      <c r="AS259" s="253" t="n">
        <v>1367</v>
      </c>
      <c r="AT259" s="253" t="n">
        <v>844</v>
      </c>
      <c r="AU259" s="253" t="n">
        <v>1255</v>
      </c>
      <c r="AV259" s="253" t="n">
        <v>1629</v>
      </c>
      <c r="AW259" s="253" t="n">
        <v>5096</v>
      </c>
      <c r="AX259" s="253" t="n">
        <v>895</v>
      </c>
      <c r="AY259" s="253" t="n">
        <v>1300</v>
      </c>
      <c r="AZ259" s="253" t="n">
        <v>997</v>
      </c>
      <c r="BA259" s="253" t="n">
        <v>2465</v>
      </c>
      <c r="BB259" s="253" t="n">
        <v>5657</v>
      </c>
      <c r="BC259" s="253" t="n">
        <v>1209</v>
      </c>
      <c r="BD259" s="253" t="n">
        <v>1626</v>
      </c>
      <c r="BE259" s="253" t="n">
        <v>1337</v>
      </c>
      <c r="BF259" s="253" t="n">
        <v>1152</v>
      </c>
      <c r="BG259" s="253" t="n">
        <v>5324</v>
      </c>
      <c r="BH259" s="253" t="n">
        <v>1137</v>
      </c>
      <c r="BI259" s="253" t="n">
        <v>1043</v>
      </c>
      <c r="BJ259" s="253" t="n">
        <v>1181</v>
      </c>
      <c r="BK259" s="253" t="n">
        <v>1235</v>
      </c>
      <c r="BL259" s="253" t="n">
        <v>4596</v>
      </c>
      <c r="BM259" s="253" t="n">
        <v>990</v>
      </c>
      <c r="BN259" s="253" t="n">
        <v>1227</v>
      </c>
      <c r="BO259" s="253" t="n">
        <v>1342</v>
      </c>
      <c r="BP259" s="253" t="n">
        <v>1782</v>
      </c>
      <c r="BQ259" s="253" t="n">
        <v>5341</v>
      </c>
      <c r="BR259" s="253" t="n">
        <v>764</v>
      </c>
      <c r="BS259" s="253" t="n">
        <v>815</v>
      </c>
      <c r="BT259" s="253" t="n">
        <v>867</v>
      </c>
      <c r="BU259" s="253" t="n">
        <v>1053</v>
      </c>
      <c r="BV259" s="253" t="n">
        <v>3499</v>
      </c>
      <c r="BW259" s="253" t="n">
        <v>969</v>
      </c>
      <c r="BX259" s="253" t="n">
        <v>1132</v>
      </c>
      <c r="BY259" s="35" t="n"/>
      <c r="BZ259" s="35" t="n"/>
      <c r="CA259" s="254">
        <f>SUM(BW259:BX259)+(BY131+BZ131)*$CP$18</f>
        <v>4269.32</v>
      </c>
      <c r="CB259" s="254">
        <f>-CB258*CB296</f>
        <v>4342.22387616861</v>
      </c>
      <c r="CC259" s="254">
        <f>-CC258*CC296</f>
        <v>4491.57955004937</v>
      </c>
      <c r="CD259" s="254">
        <f>-CD258*CD296</f>
        <v>4555.10427651563</v>
      </c>
      <c r="CE259" s="254">
        <f>-CE258*CE296</f>
        <v>4522.75836090811</v>
      </c>
      <c r="CF259" s="19" t="n"/>
    </row>
    <row r="260" ht="15" customHeight="1" s="251">
      <c r="B260" s="25" t="inlineStr">
        <is>
          <t>Acquisitions, net of cash acquired, non-marketable investments, and other</t>
        </is>
      </c>
      <c r="C260" s="253" t="n">
        <v>-32</v>
      </c>
      <c r="D260" s="253" t="n">
        <v>-75</v>
      </c>
      <c r="E260" s="253" t="n">
        <v>-494</v>
      </c>
      <c r="F260" s="253" t="n">
        <v>-40</v>
      </c>
      <c r="G260" s="253" t="n">
        <v>-352</v>
      </c>
      <c r="H260" s="253" t="n">
        <v>-705</v>
      </c>
      <c r="I260" s="253" t="n">
        <v>-745</v>
      </c>
      <c r="J260" s="253" t="n">
        <v>-103</v>
      </c>
      <c r="K260" s="253" t="n">
        <v>-148</v>
      </c>
      <c r="L260" s="253" t="n">
        <v>-1</v>
      </c>
      <c r="M260" s="253" t="n">
        <v>-59</v>
      </c>
      <c r="N260" s="253" t="n">
        <v>-312</v>
      </c>
      <c r="O260" s="253" t="n">
        <v>0</v>
      </c>
      <c r="P260" s="253" t="n">
        <v>-67</v>
      </c>
      <c r="Q260" s="253" t="n">
        <v>-860</v>
      </c>
      <c r="R260" s="253" t="n">
        <v>-53</v>
      </c>
      <c r="S260" s="253" t="n">
        <v>-979</v>
      </c>
      <c r="T260" s="253" t="n">
        <v>-365</v>
      </c>
      <c r="U260" s="253" t="n">
        <v>-8</v>
      </c>
      <c r="V260" s="253" t="n">
        <v>-105</v>
      </c>
      <c r="W260" s="253" t="n">
        <v>-317</v>
      </c>
      <c r="X260" s="253" t="n">
        <v>-795</v>
      </c>
      <c r="Y260" s="253" t="n">
        <v>-16</v>
      </c>
      <c r="Z260" s="253" t="n">
        <v>-14</v>
      </c>
      <c r="AA260" s="253" t="n">
        <v>-84</v>
      </c>
      <c r="AB260" s="253" t="n">
        <v>-3</v>
      </c>
      <c r="AC260" s="253" t="n">
        <v>-116</v>
      </c>
      <c r="AD260" s="253" t="n">
        <v>-45</v>
      </c>
      <c r="AE260" s="253" t="n">
        <v>-633</v>
      </c>
      <c r="AF260" s="253" t="n">
        <v>-13213</v>
      </c>
      <c r="AG260" s="253" t="n">
        <v>-81</v>
      </c>
      <c r="AH260" s="253" t="n">
        <v>-13972</v>
      </c>
      <c r="AI260" s="253" t="n">
        <v>-13</v>
      </c>
      <c r="AJ260" s="253" t="n">
        <v>-866</v>
      </c>
      <c r="AK260" s="253" t="n">
        <v>-976</v>
      </c>
      <c r="AL260" s="253" t="n">
        <v>-331</v>
      </c>
      <c r="AM260" s="253" t="n">
        <v>-2186</v>
      </c>
      <c r="AN260" s="253" t="n">
        <v>-1169</v>
      </c>
      <c r="AO260" s="253" t="n">
        <v>-117</v>
      </c>
      <c r="AP260" s="253" t="n">
        <v>-398</v>
      </c>
      <c r="AQ260" s="253" t="n">
        <v>-777</v>
      </c>
      <c r="AR260" s="253" t="n">
        <v>-2461</v>
      </c>
      <c r="AS260" s="253" t="n">
        <v>-91</v>
      </c>
      <c r="AT260" s="253" t="n">
        <v>-118</v>
      </c>
      <c r="AU260" s="253" t="n">
        <v>-1735</v>
      </c>
      <c r="AV260" s="253" t="n">
        <v>-380</v>
      </c>
      <c r="AW260" s="253" t="n">
        <v>-2325</v>
      </c>
      <c r="AX260" s="253" t="n">
        <v>-630</v>
      </c>
      <c r="AY260" s="253" t="n">
        <v>-320</v>
      </c>
      <c r="AZ260" s="253" t="n">
        <v>-654</v>
      </c>
      <c r="BA260" s="253" t="n">
        <v>-381</v>
      </c>
      <c r="BB260" s="253" t="n">
        <v>-1985</v>
      </c>
      <c r="BC260" s="253" t="n">
        <v>-6341</v>
      </c>
      <c r="BD260" s="253" t="n">
        <v>-259</v>
      </c>
      <c r="BE260" s="253" t="n">
        <v>-885</v>
      </c>
      <c r="BF260" s="253" t="n">
        <v>-831</v>
      </c>
      <c r="BG260" s="253" t="n">
        <v>-8316</v>
      </c>
      <c r="BH260" s="253" t="n">
        <v>-3513</v>
      </c>
      <c r="BI260" s="253" t="n">
        <v>-316</v>
      </c>
      <c r="BJ260" s="253" t="n">
        <v>-1629</v>
      </c>
      <c r="BK260" s="253" t="n">
        <v>-381</v>
      </c>
      <c r="BL260" s="253" t="n">
        <v>-5839</v>
      </c>
      <c r="BM260" s="253" t="n">
        <v>-3354</v>
      </c>
      <c r="BN260" s="253" t="n">
        <v>-571</v>
      </c>
      <c r="BO260" s="253" t="n">
        <v>-622</v>
      </c>
      <c r="BP260" s="253" t="n">
        <v>-2535</v>
      </c>
      <c r="BQ260" s="253" t="n">
        <v>-7082</v>
      </c>
      <c r="BR260" s="253" t="n">
        <v>48</v>
      </c>
      <c r="BS260" s="253" t="n">
        <v>-1700</v>
      </c>
      <c r="BT260" s="253" t="n">
        <v>-786</v>
      </c>
      <c r="BU260" s="253" t="n">
        <v>-1403</v>
      </c>
      <c r="BV260" s="253" t="n">
        <v>-3841</v>
      </c>
      <c r="BW260" s="253" t="n">
        <v>-15408</v>
      </c>
      <c r="BX260" s="253" t="n">
        <v>-24359</v>
      </c>
      <c r="BY260" s="35" t="n"/>
      <c r="BZ260" s="35" t="n"/>
      <c r="CA260" s="254">
        <f>SUM(BW260:BX260)</f>
        <v>-39767</v>
      </c>
      <c r="CB260" s="254">
        <f>-CB90</f>
        <v>-5000</v>
      </c>
      <c r="CC260" s="254">
        <f>-CC90</f>
        <v>-5000</v>
      </c>
      <c r="CD260" s="254">
        <f>-CD90</f>
        <v>-5000</v>
      </c>
      <c r="CE260" s="254">
        <f>-CE90</f>
        <v>-5000</v>
      </c>
      <c r="CF260" s="19" t="inlineStr">
        <is>
          <t>Includes strategic investments (e.g. Anthropic). 2027E+: M&amp;A lever.</t>
        </is>
      </c>
    </row>
    <row r="261" ht="15" customHeight="1" s="251">
      <c r="B261" s="25" t="inlineStr">
        <is>
          <t>Sales and maturities, net of purchases, of marketable securities</t>
        </is>
      </c>
      <c r="C261" s="253" t="n">
        <v>-85</v>
      </c>
      <c r="D261" s="253" t="n">
        <v>341</v>
      </c>
      <c r="E261" s="253" t="n">
        <v>-372</v>
      </c>
      <c r="F261" s="253" t="n">
        <v>-1924</v>
      </c>
      <c r="G261" s="253" t="n">
        <v>-2029</v>
      </c>
      <c r="H261" s="253" t="n">
        <v>586</v>
      </c>
      <c r="I261" s="253" t="n">
        <v>935</v>
      </c>
      <c r="J261" s="253" t="n">
        <v>-177</v>
      </c>
      <c r="K261" s="253" t="n">
        <v>-417</v>
      </c>
      <c r="L261" s="253" t="n">
        <v>-24</v>
      </c>
      <c r="M261" s="253" t="n">
        <v>96</v>
      </c>
      <c r="N261" s="253" t="n">
        <v>-520</v>
      </c>
      <c r="O261" s="253" t="n">
        <v>156</v>
      </c>
      <c r="P261" s="253" t="n">
        <v>626</v>
      </c>
      <c r="Q261" s="253" t="n">
        <v>1292</v>
      </c>
      <c r="R261" s="253" t="n">
        <v>-1268</v>
      </c>
      <c r="S261" s="253" t="n">
        <v>807</v>
      </c>
      <c r="T261" s="253" t="n">
        <v>-611</v>
      </c>
      <c r="U261" s="253" t="n">
        <v>-155</v>
      </c>
      <c r="V261" s="253" t="n">
        <v>-77</v>
      </c>
      <c r="W261" s="253" t="n">
        <v>-224</v>
      </c>
      <c r="X261" s="253" t="n">
        <v>-1066</v>
      </c>
      <c r="Y261" s="253" t="n">
        <v>502</v>
      </c>
      <c r="Z261" s="253" t="n">
        <v>-714</v>
      </c>
      <c r="AA261" s="253" t="n">
        <v>-645</v>
      </c>
      <c r="AB261" s="253" t="n">
        <v>-2166</v>
      </c>
      <c r="AC261" s="253" t="n">
        <v>-3023</v>
      </c>
      <c r="AD261" s="253" t="n">
        <v>290</v>
      </c>
      <c r="AE261" s="253" t="n">
        <v>-1917</v>
      </c>
      <c r="AF261" s="253" t="n">
        <v>-3248</v>
      </c>
      <c r="AG261" s="253" t="n">
        <v>1085</v>
      </c>
      <c r="AH261" s="253" t="n">
        <v>-3789</v>
      </c>
      <c r="AI261" s="253" t="n">
        <v>2207</v>
      </c>
      <c r="AJ261" s="253" t="n">
        <v>1123</v>
      </c>
      <c r="AK261" s="253" t="n">
        <v>-2069</v>
      </c>
      <c r="AL261" s="253" t="n">
        <v>-122</v>
      </c>
      <c r="AM261" s="253" t="n">
        <v>1140</v>
      </c>
      <c r="AN261" s="253" t="n">
        <v>-4233</v>
      </c>
      <c r="AO261" s="253" t="n">
        <v>-4789</v>
      </c>
      <c r="AP261" s="253" t="n">
        <v>-1291</v>
      </c>
      <c r="AQ261" s="253" t="n">
        <v>1182</v>
      </c>
      <c r="AR261" s="253" t="n">
        <v>-9131</v>
      </c>
      <c r="AS261" s="253" t="n">
        <v>-3375</v>
      </c>
      <c r="AT261" s="253" t="n">
        <v>-11071</v>
      </c>
      <c r="AU261" s="253" t="n">
        <v>-4333</v>
      </c>
      <c r="AV261" s="253" t="n">
        <v>-3463</v>
      </c>
      <c r="AW261" s="253" t="n">
        <v>-22242</v>
      </c>
      <c r="AX261" s="253" t="n">
        <v>3151</v>
      </c>
      <c r="AY261" s="253" t="n">
        <v>-8772</v>
      </c>
      <c r="AZ261" s="253" t="n">
        <v>577</v>
      </c>
      <c r="BA261" s="253" t="n">
        <v>4271</v>
      </c>
      <c r="BB261" s="253" t="n">
        <v>-773</v>
      </c>
      <c r="BC261" s="253" t="n">
        <v>20989</v>
      </c>
      <c r="BD261" s="253" t="n">
        <v>2279</v>
      </c>
      <c r="BE261" s="253" t="n">
        <v>318</v>
      </c>
      <c r="BF261" s="253" t="n">
        <v>5450</v>
      </c>
      <c r="BG261" s="253" t="n">
        <v>29036</v>
      </c>
      <c r="BH261" s="253" t="n">
        <v>777</v>
      </c>
      <c r="BI261" s="253" t="n">
        <v>1055</v>
      </c>
      <c r="BJ261" s="253" t="n">
        <v>1174</v>
      </c>
      <c r="BK261" s="253" t="n">
        <v>1133</v>
      </c>
      <c r="BL261" s="253" t="n">
        <v>4139</v>
      </c>
      <c r="BM261" s="253" t="n">
        <v>-573</v>
      </c>
      <c r="BN261" s="253" t="n">
        <v>-5174</v>
      </c>
      <c r="BO261" s="253" t="n">
        <v>5001</v>
      </c>
      <c r="BP261" s="253" t="n">
        <v>-8856</v>
      </c>
      <c r="BQ261" s="253" t="n">
        <v>-9602</v>
      </c>
      <c r="BR261" s="253" t="n">
        <v>-5596</v>
      </c>
      <c r="BS261" s="253" t="n">
        <v>-6356</v>
      </c>
      <c r="BT261" s="253" t="n">
        <v>8941</v>
      </c>
      <c r="BU261" s="253" t="n">
        <v>-7373</v>
      </c>
      <c r="BV261" s="253" t="n">
        <v>-10384</v>
      </c>
      <c r="BW261" s="253" t="n">
        <v>-5570</v>
      </c>
      <c r="BX261" s="253" t="n">
        <v>-1810</v>
      </c>
      <c r="BY261" s="35" t="n"/>
      <c r="BZ261" s="35" t="n"/>
      <c r="CA261" s="254">
        <f>SUM(BW261:BX261)</f>
        <v>-7380</v>
      </c>
      <c r="CB261" s="268" t="n">
        <v>0</v>
      </c>
      <c r="CC261" s="268" t="n">
        <v>0</v>
      </c>
      <c r="CD261" s="268" t="n">
        <v>0</v>
      </c>
      <c r="CE261" s="268" t="n">
        <v>0</v>
      </c>
      <c r="CF261" s="19" t="n"/>
    </row>
    <row r="262" ht="15" customHeight="1" s="251">
      <c r="B262" s="25" t="inlineStr">
        <is>
          <t>Other investing activities (derived)</t>
        </is>
      </c>
      <c r="C262" s="253" t="n">
        <v>0</v>
      </c>
      <c r="D262" s="253" t="n">
        <v>0</v>
      </c>
      <c r="E262" s="253" t="n">
        <v>0</v>
      </c>
      <c r="F262" s="253" t="n">
        <v>0</v>
      </c>
      <c r="G262" s="253" t="n">
        <v>0</v>
      </c>
      <c r="H262" s="253" t="n">
        <v>0</v>
      </c>
      <c r="I262" s="253" t="n">
        <v>0</v>
      </c>
      <c r="J262" s="253" t="n">
        <v>0</v>
      </c>
      <c r="K262" s="253" t="n">
        <v>0</v>
      </c>
      <c r="L262" s="253" t="n">
        <v>0</v>
      </c>
      <c r="M262" s="253" t="n">
        <v>0</v>
      </c>
      <c r="N262" s="253" t="n">
        <v>0</v>
      </c>
      <c r="O262" s="253" t="n">
        <v>0</v>
      </c>
      <c r="P262" s="253" t="n">
        <v>0</v>
      </c>
      <c r="Q262" s="253" t="n">
        <v>0</v>
      </c>
      <c r="R262" s="253" t="n">
        <v>0</v>
      </c>
      <c r="S262" s="253" t="n">
        <v>0</v>
      </c>
      <c r="T262" s="253" t="n">
        <v>0</v>
      </c>
      <c r="U262" s="253" t="n">
        <v>0</v>
      </c>
      <c r="V262" s="253" t="n">
        <v>0</v>
      </c>
      <c r="W262" s="253" t="n">
        <v>0</v>
      </c>
      <c r="X262" s="253" t="n">
        <v>0</v>
      </c>
      <c r="Y262" s="253" t="n">
        <v>0</v>
      </c>
      <c r="Z262" s="253" t="n">
        <v>0</v>
      </c>
      <c r="AA262" s="253" t="n">
        <v>0</v>
      </c>
      <c r="AB262" s="253" t="n">
        <v>0</v>
      </c>
      <c r="AC262" s="253" t="n">
        <v>0</v>
      </c>
      <c r="AD262" s="253" t="n">
        <v>0</v>
      </c>
      <c r="AE262" s="253" t="n">
        <v>0</v>
      </c>
      <c r="AF262" s="253" t="n">
        <v>0</v>
      </c>
      <c r="AG262" s="253" t="n">
        <v>0</v>
      </c>
      <c r="AH262" s="253" t="n">
        <v>0</v>
      </c>
      <c r="AI262" s="253" t="n">
        <v>0</v>
      </c>
      <c r="AJ262" s="253" t="n">
        <v>0</v>
      </c>
      <c r="AK262" s="253" t="n">
        <v>0</v>
      </c>
      <c r="AL262" s="253" t="n">
        <v>0</v>
      </c>
      <c r="AM262" s="253" t="n">
        <v>0</v>
      </c>
      <c r="AN262" s="253" t="n">
        <v>0</v>
      </c>
      <c r="AO262" s="253" t="n">
        <v>0</v>
      </c>
      <c r="AP262" s="253" t="n">
        <v>0</v>
      </c>
      <c r="AQ262" s="253" t="n">
        <v>0</v>
      </c>
      <c r="AR262" s="253" t="n">
        <v>0</v>
      </c>
      <c r="AS262" s="253" t="n">
        <v>0</v>
      </c>
      <c r="AT262" s="253" t="n">
        <v>0</v>
      </c>
      <c r="AU262" s="253" t="n">
        <v>0</v>
      </c>
      <c r="AV262" s="253" t="n">
        <v>0</v>
      </c>
      <c r="AW262" s="253" t="n">
        <v>0</v>
      </c>
      <c r="AX262" s="253" t="n">
        <v>0</v>
      </c>
      <c r="AY262" s="253" t="n">
        <v>0</v>
      </c>
      <c r="AZ262" s="253" t="n">
        <v>0</v>
      </c>
      <c r="BA262" s="253" t="n">
        <v>0</v>
      </c>
      <c r="BB262" s="253" t="n">
        <v>0</v>
      </c>
      <c r="BC262" s="253" t="n">
        <v>0</v>
      </c>
      <c r="BD262" s="253" t="n">
        <v>0</v>
      </c>
      <c r="BE262" s="253" t="n">
        <v>0</v>
      </c>
      <c r="BF262" s="253" t="n">
        <v>0</v>
      </c>
      <c r="BG262" s="253" t="n">
        <v>0</v>
      </c>
      <c r="BH262" s="253" t="n">
        <v>0</v>
      </c>
      <c r="BI262" s="253" t="n">
        <v>0</v>
      </c>
      <c r="BJ262" s="253" t="n">
        <v>0</v>
      </c>
      <c r="BK262" s="253" t="n">
        <v>0</v>
      </c>
      <c r="BL262" s="253" t="n">
        <v>0</v>
      </c>
      <c r="BM262" s="253" t="n">
        <v>0</v>
      </c>
      <c r="BN262" s="253" t="n">
        <v>0</v>
      </c>
      <c r="BO262" s="253" t="n">
        <v>0</v>
      </c>
      <c r="BP262" s="253" t="n">
        <v>0</v>
      </c>
      <c r="BQ262" s="253" t="n">
        <v>0</v>
      </c>
      <c r="BR262" s="253" t="n">
        <v>0</v>
      </c>
      <c r="BS262" s="253" t="n">
        <v>0</v>
      </c>
      <c r="BT262" s="253" t="n">
        <v>0</v>
      </c>
      <c r="BU262" s="253" t="n">
        <v>0</v>
      </c>
      <c r="BV262" s="253" t="n">
        <v>0</v>
      </c>
      <c r="BW262" s="253" t="n">
        <v>0</v>
      </c>
      <c r="BX262" s="253" t="n">
        <v>0</v>
      </c>
      <c r="BY262" s="35" t="n"/>
      <c r="BZ262" s="35" t="n"/>
      <c r="CA262" s="254">
        <f>SUM(BW262:BX262)</f>
        <v>0</v>
      </c>
      <c r="CB262" s="268" t="n">
        <v>0</v>
      </c>
      <c r="CC262" s="268" t="n">
        <v>0</v>
      </c>
      <c r="CD262" s="268" t="n">
        <v>0</v>
      </c>
      <c r="CE262" s="268" t="n">
        <v>0</v>
      </c>
      <c r="CF262" s="19" t="n"/>
    </row>
    <row r="263" ht="15" customHeight="1" s="251">
      <c r="B263" s="16" t="inlineStr">
        <is>
          <t>Net cash provided by (used in) investing activities</t>
        </is>
      </c>
      <c r="C263" s="264" t="n">
        <v>-333</v>
      </c>
      <c r="D263" s="264" t="n">
        <v>42</v>
      </c>
      <c r="E263" s="264" t="n">
        <v>-1199</v>
      </c>
      <c r="F263" s="264" t="n">
        <v>-2337</v>
      </c>
      <c r="G263" s="264" t="n">
        <v>-3360</v>
      </c>
      <c r="H263" s="264" t="n">
        <v>-1930</v>
      </c>
      <c r="I263" s="264" t="n">
        <v>-3595</v>
      </c>
      <c r="J263" s="264" t="n">
        <v>-950</v>
      </c>
      <c r="K263" s="264" t="n">
        <v>-1420</v>
      </c>
      <c r="L263" s="264" t="n">
        <v>-1063</v>
      </c>
      <c r="M263" s="264" t="n">
        <v>-843</v>
      </c>
      <c r="N263" s="264" t="n">
        <v>-4276</v>
      </c>
      <c r="O263" s="264" t="n">
        <v>-924</v>
      </c>
      <c r="P263" s="264" t="n">
        <v>-731</v>
      </c>
      <c r="Q263" s="264" t="n">
        <v>-946</v>
      </c>
      <c r="R263" s="264" t="n">
        <v>-2465</v>
      </c>
      <c r="S263" s="264" t="n">
        <v>-5065</v>
      </c>
      <c r="T263" s="264" t="n">
        <v>-1847</v>
      </c>
      <c r="U263" s="264" t="n">
        <v>-1376</v>
      </c>
      <c r="V263" s="264" t="n">
        <v>-1377</v>
      </c>
      <c r="W263" s="264" t="n">
        <v>-1850</v>
      </c>
      <c r="X263" s="264" t="n">
        <v>-6450</v>
      </c>
      <c r="Y263" s="264" t="n">
        <v>-693</v>
      </c>
      <c r="Z263" s="264" t="n">
        <v>-2439</v>
      </c>
      <c r="AA263" s="264" t="n">
        <v>-2570</v>
      </c>
      <c r="AB263" s="264" t="n">
        <v>-4174</v>
      </c>
      <c r="AC263" s="264" t="n">
        <v>-9876</v>
      </c>
      <c r="AD263" s="264" t="n">
        <v>-1616</v>
      </c>
      <c r="AE263" s="264" t="n">
        <v>-5051</v>
      </c>
      <c r="AF263" s="264" t="n">
        <v>-19120</v>
      </c>
      <c r="AG263" s="264" t="n">
        <v>-2032</v>
      </c>
      <c r="AH263" s="264" t="n">
        <v>-27819</v>
      </c>
      <c r="AI263" s="264" t="n">
        <v>-533</v>
      </c>
      <c r="AJ263" s="264" t="n">
        <v>-2692</v>
      </c>
      <c r="AK263" s="264" t="n">
        <v>-5572</v>
      </c>
      <c r="AL263" s="264" t="n">
        <v>-3572</v>
      </c>
      <c r="AM263" s="264" t="n">
        <v>-12369</v>
      </c>
      <c r="AN263" s="264" t="n">
        <v>-8123</v>
      </c>
      <c r="AO263" s="264" t="n">
        <v>-7549</v>
      </c>
      <c r="AP263" s="264" t="n">
        <v>-5074</v>
      </c>
      <c r="AQ263" s="264" t="n">
        <v>-3536</v>
      </c>
      <c r="AR263" s="264" t="n">
        <v>-24281</v>
      </c>
      <c r="AS263" s="264" t="n">
        <v>-8894</v>
      </c>
      <c r="AT263" s="264" t="n">
        <v>-17804</v>
      </c>
      <c r="AU263" s="264" t="n">
        <v>-15876</v>
      </c>
      <c r="AV263" s="264" t="n">
        <v>-17038</v>
      </c>
      <c r="AW263" s="264" t="n">
        <v>-59611</v>
      </c>
      <c r="AX263" s="264" t="n">
        <v>-8666</v>
      </c>
      <c r="AY263" s="264" t="n">
        <v>-22080</v>
      </c>
      <c r="AZ263" s="264" t="n">
        <v>-14828</v>
      </c>
      <c r="BA263" s="264" t="n">
        <v>-12580</v>
      </c>
      <c r="BB263" s="264" t="n">
        <v>-58154</v>
      </c>
      <c r="BC263" s="264" t="n">
        <v>906</v>
      </c>
      <c r="BD263" s="264" t="n">
        <v>-12078</v>
      </c>
      <c r="BE263" s="264" t="n">
        <v>-15608</v>
      </c>
      <c r="BF263" s="264" t="n">
        <v>-10821</v>
      </c>
      <c r="BG263" s="264" t="n">
        <v>-37601</v>
      </c>
      <c r="BH263" s="264" t="n">
        <v>-15806</v>
      </c>
      <c r="BI263" s="264" t="n">
        <v>-9673</v>
      </c>
      <c r="BJ263" s="264" t="n">
        <v>-11753</v>
      </c>
      <c r="BK263" s="264" t="n">
        <v>-12601</v>
      </c>
      <c r="BL263" s="264" t="n">
        <v>-49833</v>
      </c>
      <c r="BM263" s="264" t="n">
        <v>-17862</v>
      </c>
      <c r="BN263" s="264" t="n">
        <v>-22138</v>
      </c>
      <c r="BO263" s="264" t="n">
        <v>-16899</v>
      </c>
      <c r="BP263" s="264" t="n">
        <v>-37443</v>
      </c>
      <c r="BQ263" s="264" t="n">
        <v>-94342</v>
      </c>
      <c r="BR263" s="264" t="n">
        <v>-29803</v>
      </c>
      <c r="BS263" s="264" t="n">
        <v>-39424</v>
      </c>
      <c r="BT263" s="264" t="n">
        <v>-26073</v>
      </c>
      <c r="BU263" s="264" t="n">
        <v>-47245</v>
      </c>
      <c r="BV263" s="264" t="n">
        <v>-142545</v>
      </c>
      <c r="BW263" s="264" t="n">
        <v>-64212</v>
      </c>
      <c r="BX263" s="264" t="n">
        <v>-79245</v>
      </c>
      <c r="BY263" s="32" t="n"/>
      <c r="BZ263" s="32" t="n"/>
      <c r="CA263" s="265">
        <f>SUM(CA258:CA262)</f>
        <v>-249704.68</v>
      </c>
      <c r="CB263" s="265">
        <f>SUM(CB258:CB262)</f>
        <v>-217768.969932262</v>
      </c>
      <c r="CC263" s="265">
        <f>SUM(CC258:CC262)</f>
        <v>-225087.397952419</v>
      </c>
      <c r="CD263" s="265">
        <f>SUM(CD258:CD262)</f>
        <v>-228200.109549266</v>
      </c>
      <c r="CE263" s="265">
        <f>SUM(CE258:CE262)</f>
        <v>-226615.159684497</v>
      </c>
      <c r="CF263" s="153" t="n"/>
    </row>
    <row r="264" ht="15" customHeight="1" s="251">
      <c r="B264" s="25" t="inlineStr">
        <is>
          <t>Common stock repurchased</t>
        </is>
      </c>
      <c r="C264" s="253" t="n">
        <v>-252</v>
      </c>
      <c r="D264" s="253" t="n">
        <v>-248</v>
      </c>
      <c r="E264" s="253" t="n">
        <v>-100</v>
      </c>
      <c r="F264" s="253" t="n">
        <v>0</v>
      </c>
      <c r="G264" s="253" t="n">
        <v>0</v>
      </c>
      <c r="H264" s="253" t="n">
        <v>-277</v>
      </c>
      <c r="I264" s="253" t="n">
        <v>-960</v>
      </c>
      <c r="J264" s="253" t="n">
        <v>0</v>
      </c>
      <c r="K264" s="253" t="n">
        <v>0</v>
      </c>
      <c r="L264" s="253" t="n">
        <v>0</v>
      </c>
      <c r="M264" s="253" t="n">
        <v>0</v>
      </c>
      <c r="N264" s="253" t="n">
        <v>0</v>
      </c>
      <c r="O264" s="253" t="n">
        <v>0</v>
      </c>
      <c r="P264" s="253" t="n">
        <v>0</v>
      </c>
      <c r="Q264" s="253" t="n">
        <v>0</v>
      </c>
      <c r="R264" s="253" t="n">
        <v>0</v>
      </c>
      <c r="S264" s="253" t="n">
        <v>0</v>
      </c>
      <c r="T264" s="253" t="n">
        <v>0</v>
      </c>
      <c r="U264" s="253" t="n">
        <v>0</v>
      </c>
      <c r="V264" s="253" t="n">
        <v>0</v>
      </c>
      <c r="W264" s="253" t="n">
        <v>0</v>
      </c>
      <c r="X264" s="253" t="n">
        <v>0</v>
      </c>
      <c r="Y264" s="253" t="n">
        <v>0</v>
      </c>
      <c r="Z264" s="253" t="n">
        <v>0</v>
      </c>
      <c r="AA264" s="253" t="n">
        <v>0</v>
      </c>
      <c r="AB264" s="253" t="n">
        <v>0</v>
      </c>
      <c r="AC264" s="253" t="n">
        <v>0</v>
      </c>
      <c r="AD264" s="253" t="n">
        <v>0</v>
      </c>
      <c r="AE264" s="253" t="n">
        <v>0</v>
      </c>
      <c r="AF264" s="253" t="n">
        <v>0</v>
      </c>
      <c r="AG264" s="253" t="n">
        <v>0</v>
      </c>
      <c r="AH264" s="253" t="n">
        <v>0</v>
      </c>
      <c r="AI264" s="253" t="n">
        <v>0</v>
      </c>
      <c r="AJ264" s="253" t="n">
        <v>0</v>
      </c>
      <c r="AK264" s="253" t="n">
        <v>0</v>
      </c>
      <c r="AL264" s="253" t="n">
        <v>0</v>
      </c>
      <c r="AM264" s="253" t="n">
        <v>0</v>
      </c>
      <c r="AN264" s="253" t="n">
        <v>0</v>
      </c>
      <c r="AO264" s="253" t="n">
        <v>0</v>
      </c>
      <c r="AP264" s="253" t="n">
        <v>0</v>
      </c>
      <c r="AQ264" s="253" t="n">
        <v>0</v>
      </c>
      <c r="AR264" s="253" t="n">
        <v>0</v>
      </c>
      <c r="AS264" s="253" t="n">
        <v>0</v>
      </c>
      <c r="AT264" s="253" t="n">
        <v>0</v>
      </c>
      <c r="AU264" s="253" t="n">
        <v>0</v>
      </c>
      <c r="AV264" s="253" t="n">
        <v>0</v>
      </c>
      <c r="AW264" s="253" t="n">
        <v>0</v>
      </c>
      <c r="AX264" s="253" t="n">
        <v>0</v>
      </c>
      <c r="AY264" s="253" t="n">
        <v>0</v>
      </c>
      <c r="AZ264" s="253" t="n">
        <v>0</v>
      </c>
      <c r="BA264" s="253" t="n">
        <v>0</v>
      </c>
      <c r="BB264" s="253" t="n">
        <v>0</v>
      </c>
      <c r="BC264" s="253" t="n">
        <v>-2666</v>
      </c>
      <c r="BD264" s="253" t="n">
        <v>-3334</v>
      </c>
      <c r="BE264" s="253" t="n">
        <v>0</v>
      </c>
      <c r="BF264" s="253" t="n">
        <v>0</v>
      </c>
      <c r="BG264" s="253" t="n">
        <v>-6000</v>
      </c>
      <c r="BH264" s="253" t="n">
        <v>0</v>
      </c>
      <c r="BI264" s="253" t="n">
        <v>0</v>
      </c>
      <c r="BJ264" s="253" t="n">
        <v>0</v>
      </c>
      <c r="BK264" s="253" t="n">
        <v>0</v>
      </c>
      <c r="BL264" s="253" t="n">
        <v>0</v>
      </c>
      <c r="BM264" s="253" t="n">
        <v>0</v>
      </c>
      <c r="BN264" s="253" t="n">
        <v>0</v>
      </c>
      <c r="BO264" s="253" t="n">
        <v>0</v>
      </c>
      <c r="BP264" s="253" t="n">
        <v>0</v>
      </c>
      <c r="BQ264" s="253" t="n">
        <v>0</v>
      </c>
      <c r="BR264" s="253" t="n">
        <v>0</v>
      </c>
      <c r="BS264" s="253" t="n">
        <v>0</v>
      </c>
      <c r="BT264" s="253" t="n">
        <v>0</v>
      </c>
      <c r="BU264" s="253" t="n">
        <v>0</v>
      </c>
      <c r="BV264" s="253" t="n">
        <v>0</v>
      </c>
      <c r="BW264" s="253" t="n">
        <v>0</v>
      </c>
      <c r="BX264" s="253" t="n">
        <v>0</v>
      </c>
      <c r="BY264" s="35" t="n"/>
      <c r="BZ264" s="35" t="n"/>
      <c r="CA264" s="254">
        <f>SUM(BW264:BX264)</f>
        <v>0</v>
      </c>
      <c r="CB264" s="254">
        <f>-CB378</f>
        <v>-1813.65338590299</v>
      </c>
      <c r="CC264" s="254">
        <f>-CC378</f>
        <v>-53379.4887425318</v>
      </c>
      <c r="CD264" s="254">
        <f>-CD378</f>
        <v>-93541.7867880099</v>
      </c>
      <c r="CE264" s="254">
        <f>-CE378</f>
        <v>-137462.641068111</v>
      </c>
      <c r="CF264" s="19" t="inlineStr">
        <is>
          <t>No repurchases since 2022 ($10bn authorization of Mar-2022, $6bn used). 2027E+ = leverage plug (surplus cash returned once net debt / adjusted EBITDA is below the scenario target).</t>
        </is>
      </c>
    </row>
    <row r="265" ht="15" customHeight="1" s="251">
      <c r="B265" s="25" t="inlineStr">
        <is>
          <t>Proceeds from (repayments of) short- and long-term debt, net</t>
        </is>
      </c>
      <c r="C265" s="253" t="n">
        <v>-285</v>
      </c>
      <c r="D265" s="253" t="n">
        <v>-50</v>
      </c>
      <c r="E265" s="253" t="n">
        <v>-268</v>
      </c>
      <c r="F265" s="253" t="n">
        <v>-385</v>
      </c>
      <c r="G265" s="253" t="n">
        <v>-78</v>
      </c>
      <c r="H265" s="253" t="n">
        <v>-267</v>
      </c>
      <c r="I265" s="253" t="n">
        <v>2790</v>
      </c>
      <c r="J265" s="253" t="n">
        <v>-157</v>
      </c>
      <c r="K265" s="253" t="n">
        <v>-209</v>
      </c>
      <c r="L265" s="253" t="n">
        <v>-230</v>
      </c>
      <c r="M265" s="253" t="n">
        <v>-21</v>
      </c>
      <c r="N265" s="253" t="n">
        <v>-617</v>
      </c>
      <c r="O265" s="253" t="n">
        <v>-296</v>
      </c>
      <c r="P265" s="253" t="n">
        <v>-189</v>
      </c>
      <c r="Q265" s="253" t="n">
        <v>-412</v>
      </c>
      <c r="R265" s="253" t="n">
        <v>5798</v>
      </c>
      <c r="S265" s="253" t="n">
        <v>5846</v>
      </c>
      <c r="T265" s="253" t="n">
        <v>-133</v>
      </c>
      <c r="U265" s="253" t="n">
        <v>-171</v>
      </c>
      <c r="V265" s="253" t="n">
        <v>-148</v>
      </c>
      <c r="W265" s="253" t="n">
        <v>-847</v>
      </c>
      <c r="X265" s="253" t="n">
        <v>-1299</v>
      </c>
      <c r="Y265" s="253" t="n">
        <v>-166</v>
      </c>
      <c r="Z265" s="253" t="n">
        <v>-4</v>
      </c>
      <c r="AA265" s="253" t="n">
        <v>-18</v>
      </c>
      <c r="AB265" s="253" t="n">
        <v>453</v>
      </c>
      <c r="AC265" s="253" t="n">
        <v>267</v>
      </c>
      <c r="AD265" s="253" t="n">
        <v>-45</v>
      </c>
      <c r="AE265" s="253" t="n">
        <v>12</v>
      </c>
      <c r="AF265" s="253" t="n">
        <v>16001</v>
      </c>
      <c r="AG265" s="253" t="n">
        <v>-1109</v>
      </c>
      <c r="AH265" s="253" t="n">
        <v>14859</v>
      </c>
      <c r="AI265" s="253" t="n">
        <v>-77</v>
      </c>
      <c r="AJ265" s="253" t="n">
        <v>-53</v>
      </c>
      <c r="AK265" s="253" t="n">
        <v>-40</v>
      </c>
      <c r="AL265" s="253" t="n">
        <v>272</v>
      </c>
      <c r="AM265" s="253" t="n">
        <v>100</v>
      </c>
      <c r="AN265" s="253" t="n">
        <v>-161</v>
      </c>
      <c r="AO265" s="253" t="n">
        <v>171</v>
      </c>
      <c r="AP265" s="253" t="n">
        <v>347</v>
      </c>
      <c r="AQ265" s="253" t="n">
        <v>-767</v>
      </c>
      <c r="AR265" s="253" t="n">
        <v>-411</v>
      </c>
      <c r="AS265" s="253" t="n">
        <v>26</v>
      </c>
      <c r="AT265" s="253" t="n">
        <v>10240</v>
      </c>
      <c r="AU265" s="253" t="n">
        <v>-1236</v>
      </c>
      <c r="AV265" s="253" t="n">
        <v>561</v>
      </c>
      <c r="AW265" s="253" t="n">
        <v>9591</v>
      </c>
      <c r="AX265" s="253" t="n">
        <v>-3</v>
      </c>
      <c r="AY265" s="253" t="n">
        <v>18475</v>
      </c>
      <c r="AZ265" s="253" t="n">
        <v>-63</v>
      </c>
      <c r="BA265" s="253" t="n">
        <v>-793</v>
      </c>
      <c r="BB265" s="253" t="n">
        <v>17616</v>
      </c>
      <c r="BC265" s="253" t="n">
        <v>7512</v>
      </c>
      <c r="BD265" s="253" t="n">
        <v>10078</v>
      </c>
      <c r="BE265" s="253" t="n">
        <v>4529</v>
      </c>
      <c r="BF265" s="253" t="n">
        <v>1788</v>
      </c>
      <c r="BG265" s="253" t="n">
        <v>23907</v>
      </c>
      <c r="BH265" s="253" t="n">
        <v>7791</v>
      </c>
      <c r="BI265" s="253" t="n">
        <v>-5242</v>
      </c>
      <c r="BJ265" s="253" t="n">
        <v>-7879</v>
      </c>
      <c r="BK265" s="253" t="n">
        <v>-5894</v>
      </c>
      <c r="BL265" s="253" t="n">
        <v>-11224</v>
      </c>
      <c r="BM265" s="253" t="n">
        <v>-396</v>
      </c>
      <c r="BN265" s="253" t="n">
        <v>-3873</v>
      </c>
      <c r="BO265" s="253" t="n">
        <v>-2278</v>
      </c>
      <c r="BP265" s="253" t="n">
        <v>-2553</v>
      </c>
      <c r="BQ265" s="253" t="n">
        <v>-9100</v>
      </c>
      <c r="BR265" s="253" t="n">
        <v>479</v>
      </c>
      <c r="BS265" s="253" t="n">
        <v>-2050</v>
      </c>
      <c r="BT265" s="253" t="n">
        <v>389</v>
      </c>
      <c r="BU265" s="253" t="n">
        <v>12728</v>
      </c>
      <c r="BV265" s="253" t="n">
        <v>11546</v>
      </c>
      <c r="BW265" s="253" t="n">
        <v>53350</v>
      </c>
      <c r="BX265" s="253" t="n">
        <v>10600</v>
      </c>
      <c r="BY265" s="35" t="n"/>
      <c r="BZ265" s="35" t="n"/>
      <c r="CA265" s="254">
        <f>SUM(BW265:BX265)+CA359-BX359</f>
        <v>94362.5</v>
      </c>
      <c r="CB265" s="254">
        <f>CB369</f>
        <v>0</v>
      </c>
      <c r="CC265" s="254">
        <f>CC369</f>
        <v>0</v>
      </c>
      <c r="CD265" s="254">
        <f>CD369</f>
        <v>0</v>
      </c>
      <c r="CE265" s="254">
        <f>CE369</f>
        <v>0</v>
      </c>
      <c r="CF265" s="19" t="inlineStr">
        <is>
          <t>Includes capital-lease repayments until Q3-14 (combined line). Forecast per the debt schedule.</t>
        </is>
      </c>
    </row>
    <row r="266" ht="15" customHeight="1" s="251">
      <c r="B266" s="25" t="inlineStr">
        <is>
          <t>Principal repayments of finance leases and financing obligations</t>
        </is>
      </c>
      <c r="C266" s="253" t="n">
        <v>0</v>
      </c>
      <c r="D266" s="253" t="n">
        <v>0</v>
      </c>
      <c r="E266" s="253" t="n">
        <v>0</v>
      </c>
      <c r="F266" s="253" t="n">
        <v>0</v>
      </c>
      <c r="G266" s="253" t="n">
        <v>0</v>
      </c>
      <c r="H266" s="253" t="n">
        <v>0</v>
      </c>
      <c r="I266" s="253" t="n">
        <v>0</v>
      </c>
      <c r="J266" s="253" t="n">
        <v>0</v>
      </c>
      <c r="K266" s="253" t="n">
        <v>0</v>
      </c>
      <c r="L266" s="253" t="n">
        <v>0</v>
      </c>
      <c r="M266" s="253" t="n">
        <v>0</v>
      </c>
      <c r="N266" s="253" t="n">
        <v>0</v>
      </c>
      <c r="O266" s="253" t="n">
        <v>0</v>
      </c>
      <c r="P266" s="253" t="n">
        <v>0</v>
      </c>
      <c r="Q266" s="253" t="n">
        <v>0</v>
      </c>
      <c r="R266" s="253" t="n">
        <v>-474</v>
      </c>
      <c r="S266" s="253" t="n">
        <v>-1420</v>
      </c>
      <c r="T266" s="253" t="n">
        <v>-541</v>
      </c>
      <c r="U266" s="253" t="n">
        <v>-615</v>
      </c>
      <c r="V266" s="253" t="n">
        <v>-677</v>
      </c>
      <c r="W266" s="253" t="n">
        <v>-750</v>
      </c>
      <c r="X266" s="253" t="n">
        <v>-2583</v>
      </c>
      <c r="Y266" s="253" t="n">
        <v>-830</v>
      </c>
      <c r="Z266" s="253" t="n">
        <v>-1148</v>
      </c>
      <c r="AA266" s="253" t="n">
        <v>-982</v>
      </c>
      <c r="AB266" s="253" t="n">
        <v>-1045</v>
      </c>
      <c r="AC266" s="253" t="n">
        <v>-4007</v>
      </c>
      <c r="AD266" s="253" t="n">
        <v>-869</v>
      </c>
      <c r="AE266" s="253" t="n">
        <v>-1275</v>
      </c>
      <c r="AF266" s="253" t="n">
        <v>-1316</v>
      </c>
      <c r="AG266" s="253" t="n">
        <v>-1538</v>
      </c>
      <c r="AH266" s="253" t="n">
        <v>-4999</v>
      </c>
      <c r="AI266" s="253" t="n">
        <v>-2087</v>
      </c>
      <c r="AJ266" s="253" t="n">
        <v>-1341</v>
      </c>
      <c r="AK266" s="253" t="n">
        <v>-2329</v>
      </c>
      <c r="AL266" s="253" t="n">
        <v>-2032</v>
      </c>
      <c r="AM266" s="253" t="n">
        <v>-7786</v>
      </c>
      <c r="AN266" s="253" t="n">
        <v>-2216</v>
      </c>
      <c r="AO266" s="253" t="n">
        <v>-2329</v>
      </c>
      <c r="AP266" s="253" t="n">
        <v>-2307</v>
      </c>
      <c r="AQ266" s="253" t="n">
        <v>-2804</v>
      </c>
      <c r="AR266" s="253" t="n">
        <v>-9655</v>
      </c>
      <c r="AS266" s="253" t="n">
        <v>-2617</v>
      </c>
      <c r="AT266" s="253" t="n">
        <v>-2832</v>
      </c>
      <c r="AU266" s="253" t="n">
        <v>-2869</v>
      </c>
      <c r="AV266" s="253" t="n">
        <v>-2377</v>
      </c>
      <c r="AW266" s="253" t="n">
        <v>-10695</v>
      </c>
      <c r="AX266" s="253" t="n">
        <v>-3473</v>
      </c>
      <c r="AY266" s="253" t="n">
        <v>-2832</v>
      </c>
      <c r="AZ266" s="253" t="n">
        <v>-2713</v>
      </c>
      <c r="BA266" s="253" t="n">
        <v>-2307</v>
      </c>
      <c r="BB266" s="253" t="n">
        <v>-11325</v>
      </c>
      <c r="BC266" s="253" t="n">
        <v>-2856</v>
      </c>
      <c r="BD266" s="253" t="n">
        <v>-2118</v>
      </c>
      <c r="BE266" s="253" t="n">
        <v>-1513</v>
      </c>
      <c r="BF266" s="253" t="n">
        <v>-1702</v>
      </c>
      <c r="BG266" s="253" t="n">
        <v>-8189</v>
      </c>
      <c r="BH266" s="253" t="n">
        <v>-1437</v>
      </c>
      <c r="BI266" s="253" t="n">
        <v>-1297</v>
      </c>
      <c r="BJ266" s="253" t="n">
        <v>-1069</v>
      </c>
      <c r="BK266" s="253" t="n">
        <v>-852</v>
      </c>
      <c r="BL266" s="253" t="n">
        <v>-4655</v>
      </c>
      <c r="BM266" s="253" t="n">
        <v>-860</v>
      </c>
      <c r="BN266" s="253" t="n">
        <v>-617</v>
      </c>
      <c r="BO266" s="253" t="n">
        <v>-480</v>
      </c>
      <c r="BP266" s="253" t="n">
        <v>-755</v>
      </c>
      <c r="BQ266" s="253" t="n">
        <v>-2712</v>
      </c>
      <c r="BR266" s="253" t="n">
        <v>-526</v>
      </c>
      <c r="BS266" s="253" t="n">
        <v>-489</v>
      </c>
      <c r="BT266" s="253" t="n">
        <v>-433</v>
      </c>
      <c r="BU266" s="253" t="n">
        <v>-437</v>
      </c>
      <c r="BV266" s="253" t="n">
        <v>-1885</v>
      </c>
      <c r="BW266" s="253" t="n">
        <v>-583</v>
      </c>
      <c r="BX266" s="253" t="n">
        <v>-454</v>
      </c>
      <c r="BY266" s="35" t="n"/>
      <c r="BZ266" s="35" t="n"/>
      <c r="CA266" s="254">
        <f>SUM(BW266:BX266)+$CP$26</f>
        <v>-2037</v>
      </c>
      <c r="CB266" s="268" t="n">
        <v>-2000</v>
      </c>
      <c r="CC266" s="268" t="n">
        <v>-2000</v>
      </c>
      <c r="CD266" s="268" t="n">
        <v>-2000</v>
      </c>
      <c r="CE266" s="268" t="n">
        <v>-2000</v>
      </c>
      <c r="CF266" s="19" t="n"/>
    </row>
    <row r="267" ht="15" customHeight="1" s="251">
      <c r="B267" s="25" t="inlineStr">
        <is>
          <t>Other financing activities (stock-plan proceeds, excess tax benefits; derived)</t>
        </is>
      </c>
      <c r="C267" s="253" t="n">
        <v>137</v>
      </c>
      <c r="D267" s="253" t="n">
        <v>348</v>
      </c>
      <c r="E267" s="253" t="n">
        <v>170</v>
      </c>
      <c r="F267" s="253" t="n">
        <v>105</v>
      </c>
      <c r="G267" s="253" t="n">
        <v>259</v>
      </c>
      <c r="H267" s="253" t="n">
        <v>62</v>
      </c>
      <c r="I267" s="253" t="n">
        <v>429</v>
      </c>
      <c r="J267" s="253" t="n">
        <v>0</v>
      </c>
      <c r="K267" s="253" t="n">
        <v>0</v>
      </c>
      <c r="L267" s="253" t="n">
        <v>0</v>
      </c>
      <c r="M267" s="253" t="n">
        <v>78</v>
      </c>
      <c r="N267" s="253" t="n">
        <v>78</v>
      </c>
      <c r="O267" s="253" t="n">
        <v>121</v>
      </c>
      <c r="P267" s="253" t="n">
        <v>0</v>
      </c>
      <c r="Q267" s="253" t="n">
        <v>0</v>
      </c>
      <c r="R267" s="253" t="n">
        <v>-115</v>
      </c>
      <c r="S267" s="253" t="n">
        <v>6</v>
      </c>
      <c r="T267" s="253" t="n">
        <v>22</v>
      </c>
      <c r="U267" s="253" t="n">
        <v>95</v>
      </c>
      <c r="V267" s="253" t="n">
        <v>95</v>
      </c>
      <c r="W267" s="253" t="n">
        <v>-93</v>
      </c>
      <c r="X267" s="253" t="n">
        <v>119</v>
      </c>
      <c r="Y267" s="253" t="n">
        <v>207</v>
      </c>
      <c r="Z267" s="253" t="n">
        <v>113</v>
      </c>
      <c r="AA267" s="253" t="n">
        <v>173</v>
      </c>
      <c r="AB267" s="253" t="n">
        <v>336</v>
      </c>
      <c r="AC267" s="253" t="n">
        <v>829</v>
      </c>
      <c r="AD267" s="253" t="n">
        <v>0</v>
      </c>
      <c r="AE267" s="253" t="n">
        <v>0</v>
      </c>
      <c r="AF267" s="253" t="n">
        <v>0</v>
      </c>
      <c r="AG267" s="253" t="n">
        <v>0</v>
      </c>
      <c r="AH267" s="253" t="n">
        <v>0</v>
      </c>
      <c r="AI267" s="253" t="n">
        <v>0</v>
      </c>
      <c r="AJ267" s="253" t="n">
        <v>0</v>
      </c>
      <c r="AK267" s="253" t="n">
        <v>0</v>
      </c>
      <c r="AL267" s="253" t="n">
        <v>0</v>
      </c>
      <c r="AM267" s="253" t="n">
        <v>0</v>
      </c>
      <c r="AN267" s="253" t="n">
        <v>0</v>
      </c>
      <c r="AO267" s="253" t="n">
        <v>0</v>
      </c>
      <c r="AP267" s="253" t="n">
        <v>0</v>
      </c>
      <c r="AQ267" s="253" t="n">
        <v>0</v>
      </c>
      <c r="AR267" s="253" t="n">
        <v>0</v>
      </c>
      <c r="AS267" s="253" t="n">
        <v>0</v>
      </c>
      <c r="AT267" s="253" t="n">
        <v>0</v>
      </c>
      <c r="AU267" s="253" t="n">
        <v>0</v>
      </c>
      <c r="AV267" s="253" t="n">
        <v>0</v>
      </c>
      <c r="AW267" s="253" t="n">
        <v>0</v>
      </c>
      <c r="AX267" s="253" t="n">
        <v>0</v>
      </c>
      <c r="AY267" s="253" t="n">
        <v>0</v>
      </c>
      <c r="AZ267" s="253" t="n">
        <v>0</v>
      </c>
      <c r="BA267" s="253" t="n">
        <v>0</v>
      </c>
      <c r="BB267" s="253" t="n">
        <v>0</v>
      </c>
      <c r="BC267" s="253" t="n">
        <v>0</v>
      </c>
      <c r="BD267" s="253" t="n">
        <v>0</v>
      </c>
      <c r="BE267" s="253" t="n">
        <v>0</v>
      </c>
      <c r="BF267" s="253" t="n">
        <v>0</v>
      </c>
      <c r="BG267" s="253" t="n">
        <v>0</v>
      </c>
      <c r="BH267" s="253" t="n">
        <v>0</v>
      </c>
      <c r="BI267" s="253" t="n">
        <v>0</v>
      </c>
      <c r="BJ267" s="253" t="n">
        <v>0</v>
      </c>
      <c r="BK267" s="253" t="n">
        <v>0</v>
      </c>
      <c r="BL267" s="253" t="n">
        <v>0</v>
      </c>
      <c r="BM267" s="253" t="n">
        <v>0</v>
      </c>
      <c r="BN267" s="253" t="n">
        <v>0</v>
      </c>
      <c r="BO267" s="253" t="n">
        <v>0</v>
      </c>
      <c r="BP267" s="253" t="n">
        <v>0</v>
      </c>
      <c r="BQ267" s="253" t="n">
        <v>0</v>
      </c>
      <c r="BR267" s="253" t="n">
        <v>0</v>
      </c>
      <c r="BS267" s="253" t="n">
        <v>0</v>
      </c>
      <c r="BT267" s="253" t="n">
        <v>0</v>
      </c>
      <c r="BU267" s="253" t="n">
        <v>0</v>
      </c>
      <c r="BV267" s="253" t="n">
        <v>0</v>
      </c>
      <c r="BW267" s="253" t="n">
        <v>0</v>
      </c>
      <c r="BX267" s="253" t="n">
        <v>0</v>
      </c>
      <c r="BY267" s="35" t="n"/>
      <c r="BZ267" s="35" t="n"/>
      <c r="CA267" s="254">
        <f>SUM(BW267:BX267)</f>
        <v>0</v>
      </c>
      <c r="CB267" s="268" t="n">
        <v>0</v>
      </c>
      <c r="CC267" s="268" t="n">
        <v>0</v>
      </c>
      <c r="CD267" s="268" t="n">
        <v>0</v>
      </c>
      <c r="CE267" s="268" t="n">
        <v>0</v>
      </c>
      <c r="CF267" s="19" t="n"/>
    </row>
    <row r="268" ht="15" customHeight="1" s="251">
      <c r="B268" s="16" t="inlineStr">
        <is>
          <t>Net cash provided by (used in) financing activities</t>
        </is>
      </c>
      <c r="C268" s="264" t="n">
        <v>-400</v>
      </c>
      <c r="D268" s="264" t="n">
        <v>50</v>
      </c>
      <c r="E268" s="264" t="n">
        <v>-198</v>
      </c>
      <c r="F268" s="264" t="n">
        <v>-280</v>
      </c>
      <c r="G268" s="264" t="n">
        <v>181</v>
      </c>
      <c r="H268" s="264" t="n">
        <v>-482</v>
      </c>
      <c r="I268" s="264" t="n">
        <v>2259</v>
      </c>
      <c r="J268" s="264" t="n">
        <v>-157</v>
      </c>
      <c r="K268" s="264" t="n">
        <v>-209</v>
      </c>
      <c r="L268" s="264" t="n">
        <v>-230</v>
      </c>
      <c r="M268" s="264" t="n">
        <v>57</v>
      </c>
      <c r="N268" s="264" t="n">
        <v>-539</v>
      </c>
      <c r="O268" s="264" t="n">
        <v>-175</v>
      </c>
      <c r="P268" s="264" t="n">
        <v>-189</v>
      </c>
      <c r="Q268" s="264" t="n">
        <v>-412</v>
      </c>
      <c r="R268" s="264" t="n">
        <v>5209</v>
      </c>
      <c r="S268" s="264" t="n">
        <v>4432</v>
      </c>
      <c r="T268" s="264" t="n">
        <v>-652</v>
      </c>
      <c r="U268" s="264" t="n">
        <v>-691</v>
      </c>
      <c r="V268" s="264" t="n">
        <v>-730</v>
      </c>
      <c r="W268" s="264" t="n">
        <v>-1690</v>
      </c>
      <c r="X268" s="264" t="n">
        <v>-3763</v>
      </c>
      <c r="Y268" s="264" t="n">
        <v>-789</v>
      </c>
      <c r="Z268" s="264" t="n">
        <v>-1039</v>
      </c>
      <c r="AA268" s="264" t="n">
        <v>-827</v>
      </c>
      <c r="AB268" s="264" t="n">
        <v>-256</v>
      </c>
      <c r="AC268" s="264" t="n">
        <v>-2911</v>
      </c>
      <c r="AD268" s="264" t="n">
        <v>-914</v>
      </c>
      <c r="AE268" s="264" t="n">
        <v>-1263</v>
      </c>
      <c r="AF268" s="264" t="n">
        <v>14685</v>
      </c>
      <c r="AG268" s="264" t="n">
        <v>-2647</v>
      </c>
      <c r="AH268" s="264" t="n">
        <v>9860</v>
      </c>
      <c r="AI268" s="264" t="n">
        <v>-2164</v>
      </c>
      <c r="AJ268" s="264" t="n">
        <v>-1394</v>
      </c>
      <c r="AK268" s="264" t="n">
        <v>-2369</v>
      </c>
      <c r="AL268" s="264" t="n">
        <v>-1760</v>
      </c>
      <c r="AM268" s="264" t="n">
        <v>-7686</v>
      </c>
      <c r="AN268" s="264" t="n">
        <v>-2377</v>
      </c>
      <c r="AO268" s="264" t="n">
        <v>-2158</v>
      </c>
      <c r="AP268" s="264" t="n">
        <v>-1960</v>
      </c>
      <c r="AQ268" s="264" t="n">
        <v>-3571</v>
      </c>
      <c r="AR268" s="264" t="n">
        <v>-10066</v>
      </c>
      <c r="AS268" s="264" t="n">
        <v>-2591</v>
      </c>
      <c r="AT268" s="264" t="n">
        <v>7408</v>
      </c>
      <c r="AU268" s="264" t="n">
        <v>-4105</v>
      </c>
      <c r="AV268" s="264" t="n">
        <v>-1816</v>
      </c>
      <c r="AW268" s="264" t="n">
        <v>-1104</v>
      </c>
      <c r="AX268" s="264" t="n">
        <v>-3476</v>
      </c>
      <c r="AY268" s="264" t="n">
        <v>15643</v>
      </c>
      <c r="AZ268" s="264" t="n">
        <v>-2776</v>
      </c>
      <c r="BA268" s="264" t="n">
        <v>-3100</v>
      </c>
      <c r="BB268" s="264" t="n">
        <v>6291</v>
      </c>
      <c r="BC268" s="264" t="n">
        <v>1990</v>
      </c>
      <c r="BD268" s="264" t="n">
        <v>4626</v>
      </c>
      <c r="BE268" s="264" t="n">
        <v>3016</v>
      </c>
      <c r="BF268" s="264" t="n">
        <v>86</v>
      </c>
      <c r="BG268" s="264" t="n">
        <v>9718</v>
      </c>
      <c r="BH268" s="264" t="n">
        <v>6354</v>
      </c>
      <c r="BI268" s="264" t="n">
        <v>-6539</v>
      </c>
      <c r="BJ268" s="264" t="n">
        <v>-8948</v>
      </c>
      <c r="BK268" s="264" t="n">
        <v>-6746</v>
      </c>
      <c r="BL268" s="264" t="n">
        <v>-15879</v>
      </c>
      <c r="BM268" s="264" t="n">
        <v>-1256</v>
      </c>
      <c r="BN268" s="264" t="n">
        <v>-4490</v>
      </c>
      <c r="BO268" s="264" t="n">
        <v>-2758</v>
      </c>
      <c r="BP268" s="264" t="n">
        <v>-3308</v>
      </c>
      <c r="BQ268" s="264" t="n">
        <v>-11812</v>
      </c>
      <c r="BR268" s="264" t="n">
        <v>-47</v>
      </c>
      <c r="BS268" s="264" t="n">
        <v>-2539</v>
      </c>
      <c r="BT268" s="264" t="n">
        <v>-44</v>
      </c>
      <c r="BU268" s="264" t="n">
        <v>12291</v>
      </c>
      <c r="BV268" s="264" t="n">
        <v>9661</v>
      </c>
      <c r="BW268" s="264" t="n">
        <v>52767</v>
      </c>
      <c r="BX268" s="264" t="n">
        <v>10146</v>
      </c>
      <c r="BY268" s="32" t="n"/>
      <c r="BZ268" s="32" t="n"/>
      <c r="CA268" s="265">
        <f>SUM(CA264:CA267)</f>
        <v>92325.5</v>
      </c>
      <c r="CB268" s="265">
        <f>SUM(CB264:CB267)</f>
        <v>-3813.65338590299</v>
      </c>
      <c r="CC268" s="265">
        <f>SUM(CC264:CC267)</f>
        <v>-55379.4887425318</v>
      </c>
      <c r="CD268" s="265">
        <f>SUM(CD264:CD267)</f>
        <v>-95541.7867880099</v>
      </c>
      <c r="CE268" s="265">
        <f>SUM(CE264:CE267)</f>
        <v>-139462.641068111</v>
      </c>
      <c r="CF268" s="153" t="n"/>
    </row>
    <row r="269" ht="15" customHeight="1" s="251">
      <c r="B269" s="25" t="inlineStr">
        <is>
          <t>Foreign currency effect on cash, cash equivalents, and restricted cash</t>
        </is>
      </c>
      <c r="C269" s="253" t="n">
        <v>40</v>
      </c>
      <c r="D269" s="253" t="n">
        <v>20</v>
      </c>
      <c r="E269" s="253" t="n">
        <v>-70</v>
      </c>
      <c r="F269" s="253" t="n">
        <v>-1</v>
      </c>
      <c r="G269" s="253" t="n">
        <v>17</v>
      </c>
      <c r="H269" s="253" t="n">
        <v>1</v>
      </c>
      <c r="I269" s="253" t="n">
        <v>-29</v>
      </c>
      <c r="J269" s="253" t="n">
        <v>-124</v>
      </c>
      <c r="K269" s="253" t="n">
        <v>-28</v>
      </c>
      <c r="L269" s="253" t="n">
        <v>73</v>
      </c>
      <c r="M269" s="253" t="n">
        <v>-6</v>
      </c>
      <c r="N269" s="253" t="n">
        <v>-86</v>
      </c>
      <c r="O269" s="253" t="n">
        <v>17</v>
      </c>
      <c r="P269" s="253" t="n">
        <v>41</v>
      </c>
      <c r="Q269" s="253" t="n">
        <v>-207</v>
      </c>
      <c r="R269" s="253" t="n">
        <v>-160</v>
      </c>
      <c r="S269" s="253" t="n">
        <v>-310</v>
      </c>
      <c r="T269" s="253" t="n">
        <v>-322</v>
      </c>
      <c r="U269" s="253" t="n">
        <v>102</v>
      </c>
      <c r="V269" s="253" t="n">
        <v>-63</v>
      </c>
      <c r="W269" s="253" t="n">
        <v>-91</v>
      </c>
      <c r="X269" s="253" t="n">
        <v>-374</v>
      </c>
      <c r="Y269" s="253" t="n">
        <v>222</v>
      </c>
      <c r="Z269" s="253" t="n">
        <v>64</v>
      </c>
      <c r="AA269" s="253" t="n">
        <v>46</v>
      </c>
      <c r="AB269" s="253" t="n">
        <v>-543</v>
      </c>
      <c r="AC269" s="253" t="n">
        <v>-212</v>
      </c>
      <c r="AD269" s="253" t="n">
        <v>226</v>
      </c>
      <c r="AE269" s="253" t="n">
        <v>248</v>
      </c>
      <c r="AF269" s="253" t="n">
        <v>148</v>
      </c>
      <c r="AG269" s="253" t="n">
        <v>90</v>
      </c>
      <c r="AH269" s="253" t="n">
        <v>713</v>
      </c>
      <c r="AI269" s="253" t="n">
        <v>248</v>
      </c>
      <c r="AJ269" s="253" t="n">
        <v>-443</v>
      </c>
      <c r="AK269" s="253" t="n">
        <v>-151</v>
      </c>
      <c r="AL269" s="253" t="n">
        <v>-5</v>
      </c>
      <c r="AM269" s="253" t="n">
        <v>-351</v>
      </c>
      <c r="AN269" s="253" t="n">
        <v>-12</v>
      </c>
      <c r="AO269" s="253" t="n">
        <v>47</v>
      </c>
      <c r="AP269" s="253" t="n">
        <v>-269</v>
      </c>
      <c r="AQ269" s="253" t="n">
        <v>304</v>
      </c>
      <c r="AR269" s="253" t="n">
        <v>70</v>
      </c>
      <c r="AS269" s="253" t="n">
        <v>-484</v>
      </c>
      <c r="AT269" s="253" t="n">
        <v>127</v>
      </c>
      <c r="AU269" s="253" t="n">
        <v>377</v>
      </c>
      <c r="AV269" s="253" t="n">
        <v>599</v>
      </c>
      <c r="AW269" s="253" t="n">
        <v>618</v>
      </c>
      <c r="AX269" s="253" t="n">
        <v>-293</v>
      </c>
      <c r="AY269" s="253" t="n">
        <v>234</v>
      </c>
      <c r="AZ269" s="253" t="n">
        <v>-199</v>
      </c>
      <c r="BA269" s="253" t="n">
        <v>-106</v>
      </c>
      <c r="BB269" s="253" t="n">
        <v>-364</v>
      </c>
      <c r="BC269" s="253" t="n">
        <v>16</v>
      </c>
      <c r="BD269" s="253" t="n">
        <v>-412</v>
      </c>
      <c r="BE269" s="253" t="n">
        <v>-1334</v>
      </c>
      <c r="BF269" s="253" t="n">
        <v>637</v>
      </c>
      <c r="BG269" s="253" t="n">
        <v>-1093</v>
      </c>
      <c r="BH269" s="253" t="n">
        <v>145</v>
      </c>
      <c r="BI269" s="253" t="n">
        <v>69</v>
      </c>
      <c r="BJ269" s="253" t="n">
        <v>-502</v>
      </c>
      <c r="BK269" s="253" t="n">
        <v>691</v>
      </c>
      <c r="BL269" s="253" t="n">
        <v>403</v>
      </c>
      <c r="BM269" s="253" t="n">
        <v>-429</v>
      </c>
      <c r="BN269" s="253" t="n">
        <v>-312</v>
      </c>
      <c r="BO269" s="253" t="n">
        <v>690</v>
      </c>
      <c r="BP269" s="253" t="n">
        <v>-1250</v>
      </c>
      <c r="BQ269" s="253" t="n">
        <v>-1301</v>
      </c>
      <c r="BR269" s="253" t="n">
        <v>416</v>
      </c>
      <c r="BS269" s="253" t="n">
        <v>1008</v>
      </c>
      <c r="BT269" s="253" t="n">
        <v>-397</v>
      </c>
      <c r="BU269" s="253" t="n">
        <v>137</v>
      </c>
      <c r="BV269" s="253" t="n">
        <v>1164</v>
      </c>
      <c r="BW269" s="253" t="n">
        <v>-1</v>
      </c>
      <c r="BX269" s="253" t="n">
        <v>-53</v>
      </c>
      <c r="BY269" s="35" t="n"/>
      <c r="BZ269" s="35" t="n"/>
      <c r="CA269" s="254">
        <f>SUM(BW269:BX269)</f>
        <v>-54</v>
      </c>
      <c r="CB269" s="268" t="n">
        <v>0</v>
      </c>
      <c r="CC269" s="268" t="n">
        <v>0</v>
      </c>
      <c r="CD269" s="268" t="n">
        <v>0</v>
      </c>
      <c r="CE269" s="268" t="n">
        <v>0</v>
      </c>
      <c r="CF269" s="19" t="n"/>
    </row>
    <row r="270" ht="15" customHeight="1" s="251">
      <c r="B270" s="25" t="inlineStr">
        <is>
          <t>Net increase (decrease) in cash, cash equivalents, and restricted cash</t>
        </is>
      </c>
      <c r="C270" s="253" t="n">
        <v>9</v>
      </c>
      <c r="D270" s="253" t="n">
        <v>1517</v>
      </c>
      <c r="E270" s="253" t="n">
        <v>230</v>
      </c>
      <c r="F270" s="253" t="n">
        <v>675</v>
      </c>
      <c r="G270" s="253" t="n">
        <v>333</v>
      </c>
      <c r="H270" s="253" t="n">
        <v>1492</v>
      </c>
      <c r="I270" s="253" t="n">
        <v>2815</v>
      </c>
      <c r="J270" s="253" t="n">
        <v>-3603</v>
      </c>
      <c r="K270" s="253" t="n">
        <v>-777</v>
      </c>
      <c r="L270" s="253" t="n">
        <v>168</v>
      </c>
      <c r="M270" s="253" t="n">
        <v>4786</v>
      </c>
      <c r="N270" s="253" t="n">
        <v>574</v>
      </c>
      <c r="O270" s="253" t="n">
        <v>-3584</v>
      </c>
      <c r="P270" s="253" t="n">
        <v>-17</v>
      </c>
      <c r="Q270" s="253" t="n">
        <v>201</v>
      </c>
      <c r="R270" s="253" t="n">
        <v>9299</v>
      </c>
      <c r="S270" s="253" t="n">
        <v>5899</v>
      </c>
      <c r="T270" s="253" t="n">
        <v>-4320</v>
      </c>
      <c r="U270" s="253" t="n">
        <v>32</v>
      </c>
      <c r="V270" s="253" t="n">
        <v>440</v>
      </c>
      <c r="W270" s="253" t="n">
        <v>5181</v>
      </c>
      <c r="X270" s="253" t="n">
        <v>1333</v>
      </c>
      <c r="Y270" s="253" t="n">
        <v>-3420</v>
      </c>
      <c r="Z270" s="253" t="n">
        <v>51</v>
      </c>
      <c r="AA270" s="253" t="n">
        <v>1135</v>
      </c>
      <c r="AB270" s="253" t="n">
        <v>5678</v>
      </c>
      <c r="AC270" s="253" t="n">
        <v>3444</v>
      </c>
      <c r="AD270" s="253" t="n">
        <v>-3894</v>
      </c>
      <c r="AE270" s="253" t="n">
        <v>-2237</v>
      </c>
      <c r="AF270" s="253" t="n">
        <v>-436</v>
      </c>
      <c r="AG270" s="253" t="n">
        <v>7755</v>
      </c>
      <c r="AH270" s="253" t="n">
        <v>1188</v>
      </c>
      <c r="AI270" s="253" t="n">
        <v>-4240</v>
      </c>
      <c r="AJ270" s="253" t="n">
        <v>2920</v>
      </c>
      <c r="AK270" s="253" t="n">
        <v>496</v>
      </c>
      <c r="AL270" s="253" t="n">
        <v>11141</v>
      </c>
      <c r="AM270" s="253" t="n">
        <v>10317</v>
      </c>
      <c r="AN270" s="253" t="n">
        <v>-8666</v>
      </c>
      <c r="AO270" s="253" t="n">
        <v>-542</v>
      </c>
      <c r="AP270" s="253" t="n">
        <v>589</v>
      </c>
      <c r="AQ270" s="253" t="n">
        <v>12856</v>
      </c>
      <c r="AR270" s="253" t="n">
        <v>4237</v>
      </c>
      <c r="AS270" s="253" t="n">
        <v>-8905</v>
      </c>
      <c r="AT270" s="253" t="n">
        <v>10337</v>
      </c>
      <c r="AU270" s="253" t="n">
        <v>-7640</v>
      </c>
      <c r="AV270" s="253" t="n">
        <v>12175</v>
      </c>
      <c r="AW270" s="253" t="n">
        <v>5967</v>
      </c>
      <c r="AX270" s="253" t="n">
        <v>-8222</v>
      </c>
      <c r="AY270" s="253" t="n">
        <v>6512</v>
      </c>
      <c r="AZ270" s="253" t="n">
        <v>-10490</v>
      </c>
      <c r="BA270" s="253" t="n">
        <v>6300</v>
      </c>
      <c r="BB270" s="253" t="n">
        <v>-5900</v>
      </c>
      <c r="BC270" s="253" t="n">
        <v>122</v>
      </c>
      <c r="BD270" s="253" t="n">
        <v>1101</v>
      </c>
      <c r="BE270" s="253" t="n">
        <v>-2522</v>
      </c>
      <c r="BF270" s="253" t="n">
        <v>19075</v>
      </c>
      <c r="BG270" s="253" t="n">
        <v>17776</v>
      </c>
      <c r="BH270" s="253" t="n">
        <v>-4519</v>
      </c>
      <c r="BI270" s="253" t="n">
        <v>333</v>
      </c>
      <c r="BJ270" s="253" t="n">
        <v>14</v>
      </c>
      <c r="BK270" s="253" t="n">
        <v>23809</v>
      </c>
      <c r="BL270" s="253" t="n">
        <v>19637</v>
      </c>
      <c r="BM270" s="253" t="n">
        <v>-558</v>
      </c>
      <c r="BN270" s="253" t="n">
        <v>-1659</v>
      </c>
      <c r="BO270" s="253" t="n">
        <v>7004</v>
      </c>
      <c r="BP270" s="253" t="n">
        <v>3635</v>
      </c>
      <c r="BQ270" s="253" t="n">
        <v>8422</v>
      </c>
      <c r="BR270" s="253" t="n">
        <v>-12419</v>
      </c>
      <c r="BS270" s="253" t="n">
        <v>-8440</v>
      </c>
      <c r="BT270" s="253" t="n">
        <v>9011</v>
      </c>
      <c r="BU270" s="253" t="n">
        <v>19642</v>
      </c>
      <c r="BV270" s="253" t="n">
        <v>7794</v>
      </c>
      <c r="BW270" s="253" t="n">
        <v>14586</v>
      </c>
      <c r="BX270" s="253" t="n">
        <v>-23765</v>
      </c>
      <c r="BY270" s="35" t="n"/>
      <c r="BZ270" s="35" t="n"/>
      <c r="CA270" s="254">
        <f>CA257+CA263+CA268+CA269</f>
        <v>18381.7406986778</v>
      </c>
      <c r="CB270" s="254">
        <f>CB257+CB263+CB268+CB269</f>
        <v>12412.7593013222</v>
      </c>
      <c r="CC270" s="254">
        <f>CC257+CC263+CC268+CC269</f>
        <v>0</v>
      </c>
      <c r="CD270" s="254">
        <f>CD257+CD263+CD268+CD269</f>
        <v>0</v>
      </c>
      <c r="CE270" s="254">
        <f>CE257+CE263+CE268+CE269</f>
        <v>0</v>
      </c>
      <c r="CF270" s="19" t="n"/>
    </row>
    <row r="271" ht="15" customHeight="1" s="251">
      <c r="B271" s="25" t="inlineStr">
        <is>
          <t>Cash, cash equivalents and restricted cash — beginning of period (restricted cash included from 2018)</t>
        </is>
      </c>
      <c r="C271" s="253" t="n">
        <v>1013</v>
      </c>
      <c r="D271" s="253" t="n">
        <v>1022</v>
      </c>
      <c r="E271" s="253" t="n">
        <v>2539</v>
      </c>
      <c r="F271" s="253" t="n">
        <v>2769</v>
      </c>
      <c r="G271" s="253" t="n">
        <v>3444</v>
      </c>
      <c r="H271" s="253" t="n">
        <v>3777</v>
      </c>
      <c r="I271" s="253" t="n">
        <v>5269</v>
      </c>
      <c r="J271" s="253" t="n">
        <v>8084</v>
      </c>
      <c r="K271" s="253" t="n">
        <v>4481</v>
      </c>
      <c r="L271" s="253" t="n">
        <v>3704</v>
      </c>
      <c r="M271" s="253" t="n">
        <v>3872</v>
      </c>
      <c r="N271" s="253" t="n">
        <v>8084</v>
      </c>
      <c r="O271" s="253" t="n">
        <v>8658</v>
      </c>
      <c r="P271" s="253" t="n">
        <v>5074</v>
      </c>
      <c r="Q271" s="253" t="n">
        <v>5057</v>
      </c>
      <c r="R271" s="253" t="n">
        <v>5258</v>
      </c>
      <c r="S271" s="253" t="n">
        <v>8658</v>
      </c>
      <c r="T271" s="253" t="n">
        <v>14557</v>
      </c>
      <c r="U271" s="253" t="n">
        <v>10237</v>
      </c>
      <c r="V271" s="253" t="n">
        <v>10269</v>
      </c>
      <c r="W271" s="253" t="n">
        <v>10709</v>
      </c>
      <c r="X271" s="253" t="n">
        <v>14557</v>
      </c>
      <c r="Y271" s="253" t="n">
        <v>15890</v>
      </c>
      <c r="Z271" s="253" t="n">
        <v>12470</v>
      </c>
      <c r="AA271" s="253" t="n">
        <v>12521</v>
      </c>
      <c r="AB271" s="253" t="n">
        <v>13656</v>
      </c>
      <c r="AC271" s="253" t="n">
        <v>15890</v>
      </c>
      <c r="AD271" s="253" t="n">
        <v>19334</v>
      </c>
      <c r="AE271" s="253" t="n">
        <v>15440</v>
      </c>
      <c r="AF271" s="253" t="n">
        <v>13203</v>
      </c>
      <c r="AG271" s="253" t="n">
        <v>12767</v>
      </c>
      <c r="AH271" s="253" t="n">
        <v>19334</v>
      </c>
      <c r="AI271" s="253" t="n">
        <v>21856</v>
      </c>
      <c r="AJ271" s="253" t="n">
        <v>17616</v>
      </c>
      <c r="AK271" s="253" t="n">
        <v>20536</v>
      </c>
      <c r="AL271" s="253" t="n">
        <v>21032</v>
      </c>
      <c r="AM271" s="253" t="n">
        <v>21856</v>
      </c>
      <c r="AN271" s="253" t="n">
        <v>32173</v>
      </c>
      <c r="AO271" s="253" t="n">
        <v>23507</v>
      </c>
      <c r="AP271" s="253" t="n">
        <v>22965</v>
      </c>
      <c r="AQ271" s="253" t="n">
        <v>23554</v>
      </c>
      <c r="AR271" s="253" t="n">
        <v>32173</v>
      </c>
      <c r="AS271" s="253" t="n">
        <v>36410</v>
      </c>
      <c r="AT271" s="253" t="n">
        <v>27505</v>
      </c>
      <c r="AU271" s="253" t="n">
        <v>37842</v>
      </c>
      <c r="AV271" s="253" t="n">
        <v>30202</v>
      </c>
      <c r="AW271" s="253" t="n">
        <v>36410</v>
      </c>
      <c r="AX271" s="253" t="n">
        <v>42377</v>
      </c>
      <c r="AY271" s="253" t="n">
        <v>34155</v>
      </c>
      <c r="AZ271" s="253" t="n">
        <v>40667</v>
      </c>
      <c r="BA271" s="253" t="n">
        <v>30177</v>
      </c>
      <c r="BB271" s="253" t="n">
        <v>42377</v>
      </c>
      <c r="BC271" s="253" t="n">
        <v>36477</v>
      </c>
      <c r="BD271" s="253" t="n">
        <v>36599</v>
      </c>
      <c r="BE271" s="253" t="n">
        <v>37700</v>
      </c>
      <c r="BF271" s="253" t="n">
        <v>35178</v>
      </c>
      <c r="BG271" s="253" t="n">
        <v>36477</v>
      </c>
      <c r="BH271" s="253" t="n">
        <v>54253</v>
      </c>
      <c r="BI271" s="253" t="n">
        <v>49734</v>
      </c>
      <c r="BJ271" s="253" t="n">
        <v>50067</v>
      </c>
      <c r="BK271" s="253" t="n">
        <v>50081</v>
      </c>
      <c r="BL271" s="253" t="n">
        <v>54253</v>
      </c>
      <c r="BM271" s="253" t="n">
        <v>73890</v>
      </c>
      <c r="BN271" s="253" t="n">
        <v>73332</v>
      </c>
      <c r="BO271" s="253" t="n">
        <v>71673</v>
      </c>
      <c r="BP271" s="253" t="n">
        <v>78677</v>
      </c>
      <c r="BQ271" s="253" t="n">
        <v>73890</v>
      </c>
      <c r="BR271" s="253" t="n">
        <v>82312</v>
      </c>
      <c r="BS271" s="253" t="n">
        <v>69893</v>
      </c>
      <c r="BT271" s="253" t="n">
        <v>61453</v>
      </c>
      <c r="BU271" s="253" t="n">
        <v>70464</v>
      </c>
      <c r="BV271" s="253" t="n">
        <v>82312</v>
      </c>
      <c r="BW271" s="253" t="n">
        <v>90106</v>
      </c>
      <c r="BX271" s="253" t="n">
        <v>104692</v>
      </c>
      <c r="BY271" s="35" t="n"/>
      <c r="BZ271" s="35" t="n"/>
      <c r="CA271" s="254">
        <f>BV272</f>
        <v>90106</v>
      </c>
      <c r="CB271" s="254">
        <f>CA272</f>
        <v>108487.740698678</v>
      </c>
      <c r="CC271" s="254">
        <f>CB272</f>
        <v>120900.5</v>
      </c>
      <c r="CD271" s="254">
        <f>CC272</f>
        <v>120900.5</v>
      </c>
      <c r="CE271" s="254">
        <f>CD272</f>
        <v>120900.5</v>
      </c>
      <c r="CF271" s="19" t="n"/>
    </row>
    <row r="272" ht="15" customHeight="1" s="251">
      <c r="B272" s="16" t="inlineStr">
        <is>
          <t>Cash, cash equivalents and restricted cash — end of period</t>
        </is>
      </c>
      <c r="C272" s="264" t="n">
        <v>1022</v>
      </c>
      <c r="D272" s="264" t="n">
        <v>2539</v>
      </c>
      <c r="E272" s="264" t="n">
        <v>2769</v>
      </c>
      <c r="F272" s="264" t="n">
        <v>3444</v>
      </c>
      <c r="G272" s="264" t="n">
        <v>3777</v>
      </c>
      <c r="H272" s="264" t="n">
        <v>5269</v>
      </c>
      <c r="I272" s="264" t="n">
        <v>8084</v>
      </c>
      <c r="J272" s="264" t="n">
        <v>4481</v>
      </c>
      <c r="K272" s="264" t="n">
        <v>3704</v>
      </c>
      <c r="L272" s="264" t="n">
        <v>3872</v>
      </c>
      <c r="M272" s="264" t="n">
        <v>8658</v>
      </c>
      <c r="N272" s="264" t="n">
        <v>8658</v>
      </c>
      <c r="O272" s="264" t="n">
        <v>5074</v>
      </c>
      <c r="P272" s="264" t="n">
        <v>5057</v>
      </c>
      <c r="Q272" s="264" t="n">
        <v>5258</v>
      </c>
      <c r="R272" s="264" t="n">
        <v>14557</v>
      </c>
      <c r="S272" s="264" t="n">
        <v>14557</v>
      </c>
      <c r="T272" s="264" t="n">
        <v>10237</v>
      </c>
      <c r="U272" s="264" t="n">
        <v>10269</v>
      </c>
      <c r="V272" s="264" t="n">
        <v>10709</v>
      </c>
      <c r="W272" s="264" t="n">
        <v>15890</v>
      </c>
      <c r="X272" s="264" t="n">
        <v>15890</v>
      </c>
      <c r="Y272" s="264" t="n">
        <v>12470</v>
      </c>
      <c r="Z272" s="264" t="n">
        <v>12521</v>
      </c>
      <c r="AA272" s="264" t="n">
        <v>13656</v>
      </c>
      <c r="AB272" s="264" t="n">
        <v>19334</v>
      </c>
      <c r="AC272" s="264" t="n">
        <v>19334</v>
      </c>
      <c r="AD272" s="264" t="n">
        <v>15440</v>
      </c>
      <c r="AE272" s="264" t="n">
        <v>13203</v>
      </c>
      <c r="AF272" s="264" t="n">
        <v>12767</v>
      </c>
      <c r="AG272" s="264" t="n">
        <v>20522</v>
      </c>
      <c r="AH272" s="264" t="n">
        <v>20522</v>
      </c>
      <c r="AI272" s="264" t="n">
        <v>17616</v>
      </c>
      <c r="AJ272" s="264" t="n">
        <v>20536</v>
      </c>
      <c r="AK272" s="264" t="n">
        <v>21032</v>
      </c>
      <c r="AL272" s="264" t="n">
        <v>32173</v>
      </c>
      <c r="AM272" s="264" t="n">
        <v>32173</v>
      </c>
      <c r="AN272" s="264" t="n">
        <v>23507</v>
      </c>
      <c r="AO272" s="264" t="n">
        <v>22965</v>
      </c>
      <c r="AP272" s="264" t="n">
        <v>23554</v>
      </c>
      <c r="AQ272" s="264" t="n">
        <v>36410</v>
      </c>
      <c r="AR272" s="264" t="n">
        <v>36410</v>
      </c>
      <c r="AS272" s="264" t="n">
        <v>27505</v>
      </c>
      <c r="AT272" s="264" t="n">
        <v>37842</v>
      </c>
      <c r="AU272" s="264" t="n">
        <v>30202</v>
      </c>
      <c r="AV272" s="264" t="n">
        <v>42377</v>
      </c>
      <c r="AW272" s="264" t="n">
        <v>42377</v>
      </c>
      <c r="AX272" s="264" t="n">
        <v>34155</v>
      </c>
      <c r="AY272" s="264" t="n">
        <v>40667</v>
      </c>
      <c r="AZ272" s="264" t="n">
        <v>30177</v>
      </c>
      <c r="BA272" s="264" t="n">
        <v>36477</v>
      </c>
      <c r="BB272" s="264" t="n">
        <v>36477</v>
      </c>
      <c r="BC272" s="264" t="n">
        <v>36599</v>
      </c>
      <c r="BD272" s="264" t="n">
        <v>37700</v>
      </c>
      <c r="BE272" s="264" t="n">
        <v>35178</v>
      </c>
      <c r="BF272" s="264" t="n">
        <v>54253</v>
      </c>
      <c r="BG272" s="264" t="n">
        <v>54253</v>
      </c>
      <c r="BH272" s="264" t="n">
        <v>49734</v>
      </c>
      <c r="BI272" s="264" t="n">
        <v>50067</v>
      </c>
      <c r="BJ272" s="264" t="n">
        <v>50081</v>
      </c>
      <c r="BK272" s="264" t="n">
        <v>73890</v>
      </c>
      <c r="BL272" s="264" t="n">
        <v>73890</v>
      </c>
      <c r="BM272" s="264" t="n">
        <v>73332</v>
      </c>
      <c r="BN272" s="264" t="n">
        <v>71673</v>
      </c>
      <c r="BO272" s="264" t="n">
        <v>78677</v>
      </c>
      <c r="BP272" s="264" t="n">
        <v>82312</v>
      </c>
      <c r="BQ272" s="264" t="n">
        <v>82312</v>
      </c>
      <c r="BR272" s="264" t="n">
        <v>69893</v>
      </c>
      <c r="BS272" s="264" t="n">
        <v>61453</v>
      </c>
      <c r="BT272" s="264" t="n">
        <v>70464</v>
      </c>
      <c r="BU272" s="264" t="n">
        <v>90106</v>
      </c>
      <c r="BV272" s="264" t="n">
        <v>90106</v>
      </c>
      <c r="BW272" s="264" t="n">
        <v>104692</v>
      </c>
      <c r="BX272" s="264" t="n">
        <v>80927</v>
      </c>
      <c r="BY272" s="32" t="n"/>
      <c r="BZ272" s="32" t="n"/>
      <c r="CA272" s="265">
        <f>CA271+CA270</f>
        <v>108487.740698678</v>
      </c>
      <c r="CB272" s="265">
        <f>CB271+CB270</f>
        <v>120900.5</v>
      </c>
      <c r="CC272" s="265">
        <f>CC271+CC270</f>
        <v>120900.5</v>
      </c>
      <c r="CD272" s="265">
        <f>CD271+CD270</f>
        <v>120900.5</v>
      </c>
      <c r="CE272" s="265">
        <f>CE271+CE270</f>
        <v>120900.5</v>
      </c>
      <c r="CF272" s="153" t="n"/>
    </row>
    <row r="273" ht="15" customHeight="1" s="251">
      <c r="B273" s="57" t="inlineStr">
        <is>
          <t xml:space="preserve">  Check: beginning cash + net change = ending cash (should be 0)</t>
        </is>
      </c>
      <c r="C273" s="211">
        <f>IF(AND(ISNUMBER(C271),ISNUMBER(C257)),IF(ABS(C271+C270-C272)&lt;=1.01,0,ROUND(C271+C270-C272,0)),"")</f>
        <v>0</v>
      </c>
      <c r="D273" s="211">
        <f>IF(AND(ISNUMBER(D271),ISNUMBER(D257)),IF(ABS(D271+D270-D272)&lt;=1.01,0,ROUND(D271+D270-D272,0)),"")</f>
        <v>0</v>
      </c>
      <c r="E273" s="211">
        <f>IF(AND(ISNUMBER(E271),ISNUMBER(E257)),IF(ABS(E271+E270-E272)&lt;=1.01,0,ROUND(E271+E270-E272,0)),"")</f>
        <v>0</v>
      </c>
      <c r="F273" s="211">
        <f>IF(AND(ISNUMBER(F271),ISNUMBER(F257)),IF(ABS(F271+F270-F272)&lt;=1.01,0,ROUND(F271+F270-F272,0)),"")</f>
        <v>0</v>
      </c>
      <c r="G273" s="211">
        <f>IF(AND(ISNUMBER(G271),ISNUMBER(G257)),IF(ABS(G271+G270-G272)&lt;=1.01,0,ROUND(G271+G270-G272,0)),"")</f>
        <v>0</v>
      </c>
      <c r="H273" s="211">
        <f>IF(AND(ISNUMBER(H271),ISNUMBER(H257)),IF(ABS(H271+H270-H272)&lt;=1.01,0,ROUND(H271+H270-H272,0)),"")</f>
        <v>0</v>
      </c>
      <c r="I273" s="211">
        <f>IF(AND(ISNUMBER(I271),ISNUMBER(I257)),IF(ABS(I271+I270-I272)&lt;=1.01,0,ROUND(I271+I270-I272,0)),"")</f>
        <v>0</v>
      </c>
      <c r="J273" s="211">
        <f>IF(AND(ISNUMBER(J271),ISNUMBER(J257)),IF(ABS(J271+J270-J272)&lt;=1.01,0,ROUND(J271+J270-J272,0)),"")</f>
        <v>0</v>
      </c>
      <c r="K273" s="211">
        <f>IF(AND(ISNUMBER(K271),ISNUMBER(K257)),IF(ABS(K271+K270-K272)&lt;=1.01,0,ROUND(K271+K270-K272,0)),"")</f>
        <v>0</v>
      </c>
      <c r="L273" s="211">
        <f>IF(AND(ISNUMBER(L271),ISNUMBER(L257)),IF(ABS(L271+L270-L272)&lt;=1.01,0,ROUND(L271+L270-L272,0)),"")</f>
        <v>0</v>
      </c>
      <c r="M273" s="211">
        <f>IF(AND(ISNUMBER(M271),ISNUMBER(M257)),IF(ABS(M271+M270-M272)&lt;=1.01,0,ROUND(M271+M270-M272,0)),"")</f>
        <v>0</v>
      </c>
      <c r="N273" s="211">
        <f>IF(AND(ISNUMBER(N271),ISNUMBER(N257)),IF(ABS(N271+N270-N272)&lt;=1.01,0,ROUND(N271+N270-N272,0)),"")</f>
        <v>0</v>
      </c>
      <c r="O273" s="211">
        <f>IF(AND(ISNUMBER(O271),ISNUMBER(O257)),IF(ABS(O271+O270-O272)&lt;=1.01,0,ROUND(O271+O270-O272,0)),"")</f>
        <v>0</v>
      </c>
      <c r="P273" s="211">
        <f>IF(AND(ISNUMBER(P271),ISNUMBER(P257)),IF(ABS(P271+P270-P272)&lt;=1.01,0,ROUND(P271+P270-P272,0)),"")</f>
        <v>0</v>
      </c>
      <c r="Q273" s="211">
        <f>IF(AND(ISNUMBER(Q271),ISNUMBER(Q257)),IF(ABS(Q271+Q270-Q272)&lt;=1.01,0,ROUND(Q271+Q270-Q272,0)),"")</f>
        <v>0</v>
      </c>
      <c r="R273" s="211">
        <f>IF(AND(ISNUMBER(R271),ISNUMBER(R257)),IF(ABS(R271+R270-R272)&lt;=1.01,0,ROUND(R271+R270-R272,0)),"")</f>
        <v>0</v>
      </c>
      <c r="S273" s="211">
        <f>IF(AND(ISNUMBER(S271),ISNUMBER(S257)),IF(ABS(S271+S270-S272)&lt;=1.01,0,ROUND(S271+S270-S272,0)),"")</f>
        <v>0</v>
      </c>
      <c r="T273" s="211">
        <f>IF(AND(ISNUMBER(T271),ISNUMBER(T257)),IF(ABS(T271+T270-T272)&lt;=1.01,0,ROUND(T271+T270-T272,0)),"")</f>
        <v>0</v>
      </c>
      <c r="U273" s="211">
        <f>IF(AND(ISNUMBER(U271),ISNUMBER(U257)),IF(ABS(U271+U270-U272)&lt;=1.01,0,ROUND(U271+U270-U272,0)),"")</f>
        <v>0</v>
      </c>
      <c r="V273" s="211">
        <f>IF(AND(ISNUMBER(V271),ISNUMBER(V257)),IF(ABS(V271+V270-V272)&lt;=1.01,0,ROUND(V271+V270-V272,0)),"")</f>
        <v>0</v>
      </c>
      <c r="W273" s="211">
        <f>IF(AND(ISNUMBER(W271),ISNUMBER(W257)),IF(ABS(W271+W270-W272)&lt;=1.01,0,ROUND(W271+W270-W272,0)),"")</f>
        <v>0</v>
      </c>
      <c r="X273" s="211">
        <f>IF(AND(ISNUMBER(X271),ISNUMBER(X257)),IF(ABS(X271+X270-X272)&lt;=1.01,0,ROUND(X271+X270-X272,0)),"")</f>
        <v>0</v>
      </c>
      <c r="Y273" s="211">
        <f>IF(AND(ISNUMBER(Y271),ISNUMBER(Y257)),IF(ABS(Y271+Y270-Y272)&lt;=1.01,0,ROUND(Y271+Y270-Y272,0)),"")</f>
        <v>0</v>
      </c>
      <c r="Z273" s="211">
        <f>IF(AND(ISNUMBER(Z271),ISNUMBER(Z257)),IF(ABS(Z271+Z270-Z272)&lt;=1.01,0,ROUND(Z271+Z270-Z272,0)),"")</f>
        <v>0</v>
      </c>
      <c r="AA273" s="211">
        <f>IF(AND(ISNUMBER(AA271),ISNUMBER(AA257)),IF(ABS(AA271+AA270-AA272)&lt;=1.01,0,ROUND(AA271+AA270-AA272,0)),"")</f>
        <v>0</v>
      </c>
      <c r="AB273" s="211">
        <f>IF(AND(ISNUMBER(AB271),ISNUMBER(AB257)),IF(ABS(AB271+AB270-AB272)&lt;=1.01,0,ROUND(AB271+AB270-AB272,0)),"")</f>
        <v>0</v>
      </c>
      <c r="AC273" s="211">
        <f>IF(AND(ISNUMBER(AC271),ISNUMBER(AC257)),IF(ABS(AC271+AC270-AC272)&lt;=1.01,0,ROUND(AC271+AC270-AC272,0)),"")</f>
        <v>0</v>
      </c>
      <c r="AD273" s="211">
        <f>IF(AND(ISNUMBER(AD271),ISNUMBER(AD257)),IF(ABS(AD271+AD270-AD272)&lt;=1.01,0,ROUND(AD271+AD270-AD272,0)),"")</f>
        <v>0</v>
      </c>
      <c r="AE273" s="211">
        <f>IF(AND(ISNUMBER(AE271),ISNUMBER(AE257)),IF(ABS(AE271+AE270-AE272)&lt;=1.01,0,ROUND(AE271+AE270-AE272,0)),"")</f>
        <v>0</v>
      </c>
      <c r="AF273" s="211">
        <f>IF(AND(ISNUMBER(AF271),ISNUMBER(AF257)),IF(ABS(AF271+AF270-AF272)&lt;=1.01,0,ROUND(AF271+AF270-AF272,0)),"")</f>
        <v>0</v>
      </c>
      <c r="AG273" s="211">
        <f>IF(AND(ISNUMBER(AG271),ISNUMBER(AG257)),IF(ABS(AG271+AG270-AG272)&lt;=1.01,0,ROUND(AG271+AG270-AG272,0)),"")</f>
        <v>0</v>
      </c>
      <c r="AH273" s="211">
        <f>IF(AND(ISNUMBER(AH271),ISNUMBER(AH257)),IF(ABS(AH271+AH270-AH272)&lt;=1.01,0,ROUND(AH271+AH270-AH272,0)),"")</f>
        <v>0</v>
      </c>
      <c r="AI273" s="211">
        <f>IF(AND(ISNUMBER(AI271),ISNUMBER(AI257)),IF(ABS(AI271+AI270-AI272)&lt;=1.01,0,ROUND(AI271+AI270-AI272,0)),"")</f>
        <v>0</v>
      </c>
      <c r="AJ273" s="211">
        <f>IF(AND(ISNUMBER(AJ271),ISNUMBER(AJ257)),IF(ABS(AJ271+AJ270-AJ272)&lt;=1.01,0,ROUND(AJ271+AJ270-AJ272,0)),"")</f>
        <v>0</v>
      </c>
      <c r="AK273" s="211">
        <f>IF(AND(ISNUMBER(AK271),ISNUMBER(AK257)),IF(ABS(AK271+AK270-AK272)&lt;=1.01,0,ROUND(AK271+AK270-AK272,0)),"")</f>
        <v>0</v>
      </c>
      <c r="AL273" s="211">
        <f>IF(AND(ISNUMBER(AL271),ISNUMBER(AL257)),IF(ABS(AL271+AL270-AL272)&lt;=1.01,0,ROUND(AL271+AL270-AL272,0)),"")</f>
        <v>0</v>
      </c>
      <c r="AM273" s="211">
        <f>IF(AND(ISNUMBER(AM271),ISNUMBER(AM257)),IF(ABS(AM271+AM270-AM272)&lt;=1.01,0,ROUND(AM271+AM270-AM272,0)),"")</f>
        <v>0</v>
      </c>
      <c r="AN273" s="211">
        <f>IF(AND(ISNUMBER(AN271),ISNUMBER(AN257)),IF(ABS(AN271+AN270-AN272)&lt;=1.01,0,ROUND(AN271+AN270-AN272,0)),"")</f>
        <v>0</v>
      </c>
      <c r="AO273" s="211">
        <f>IF(AND(ISNUMBER(AO271),ISNUMBER(AO257)),IF(ABS(AO271+AO270-AO272)&lt;=1.01,0,ROUND(AO271+AO270-AO272,0)),"")</f>
        <v>0</v>
      </c>
      <c r="AP273" s="211">
        <f>IF(AND(ISNUMBER(AP271),ISNUMBER(AP257)),IF(ABS(AP271+AP270-AP272)&lt;=1.01,0,ROUND(AP271+AP270-AP272,0)),"")</f>
        <v>0</v>
      </c>
      <c r="AQ273" s="211">
        <f>IF(AND(ISNUMBER(AQ271),ISNUMBER(AQ257)),IF(ABS(AQ271+AQ270-AQ272)&lt;=1.01,0,ROUND(AQ271+AQ270-AQ272,0)),"")</f>
        <v>0</v>
      </c>
      <c r="AR273" s="211">
        <f>IF(AND(ISNUMBER(AR271),ISNUMBER(AR257)),IF(ABS(AR271+AR270-AR272)&lt;=1.01,0,ROUND(AR271+AR270-AR272,0)),"")</f>
        <v>0</v>
      </c>
      <c r="AS273" s="211">
        <f>IF(AND(ISNUMBER(AS271),ISNUMBER(AS257)),IF(ABS(AS271+AS270-AS272)&lt;=1.01,0,ROUND(AS271+AS270-AS272,0)),"")</f>
        <v>0</v>
      </c>
      <c r="AT273" s="211">
        <f>IF(AND(ISNUMBER(AT271),ISNUMBER(AT257)),IF(ABS(AT271+AT270-AT272)&lt;=1.01,0,ROUND(AT271+AT270-AT272,0)),"")</f>
        <v>0</v>
      </c>
      <c r="AU273" s="211">
        <f>IF(AND(ISNUMBER(AU271),ISNUMBER(AU257)),IF(ABS(AU271+AU270-AU272)&lt;=1.01,0,ROUND(AU271+AU270-AU272,0)),"")</f>
        <v>0</v>
      </c>
      <c r="AV273" s="211">
        <f>IF(AND(ISNUMBER(AV271),ISNUMBER(AV257)),IF(ABS(AV271+AV270-AV272)&lt;=1.01,0,ROUND(AV271+AV270-AV272,0)),"")</f>
        <v>0</v>
      </c>
      <c r="AW273" s="211">
        <f>IF(AND(ISNUMBER(AW271),ISNUMBER(AW257)),IF(ABS(AW271+AW270-AW272)&lt;=1.01,0,ROUND(AW271+AW270-AW272,0)),"")</f>
        <v>0</v>
      </c>
      <c r="AX273" s="211">
        <f>IF(AND(ISNUMBER(AX271),ISNUMBER(AX257)),IF(ABS(AX271+AX270-AX272)&lt;=1.01,0,ROUND(AX271+AX270-AX272,0)),"")</f>
        <v>0</v>
      </c>
      <c r="AY273" s="211">
        <f>IF(AND(ISNUMBER(AY271),ISNUMBER(AY257)),IF(ABS(AY271+AY270-AY272)&lt;=1.01,0,ROUND(AY271+AY270-AY272,0)),"")</f>
        <v>0</v>
      </c>
      <c r="AZ273" s="211">
        <f>IF(AND(ISNUMBER(AZ271),ISNUMBER(AZ257)),IF(ABS(AZ271+AZ270-AZ272)&lt;=1.01,0,ROUND(AZ271+AZ270-AZ272,0)),"")</f>
        <v>0</v>
      </c>
      <c r="BA273" s="211">
        <f>IF(AND(ISNUMBER(BA271),ISNUMBER(BA257)),IF(ABS(BA271+BA270-BA272)&lt;=1.01,0,ROUND(BA271+BA270-BA272,0)),"")</f>
        <v>0</v>
      </c>
      <c r="BB273" s="211">
        <f>IF(AND(ISNUMBER(BB271),ISNUMBER(BB257)),IF(ABS(BB271+BB270-BB272)&lt;=1.01,0,ROUND(BB271+BB270-BB272,0)),"")</f>
        <v>0</v>
      </c>
      <c r="BC273" s="211">
        <f>IF(AND(ISNUMBER(BC271),ISNUMBER(BC257)),IF(ABS(BC271+BC270-BC272)&lt;=1.01,0,ROUND(BC271+BC270-BC272,0)),"")</f>
        <v>0</v>
      </c>
      <c r="BD273" s="211">
        <f>IF(AND(ISNUMBER(BD271),ISNUMBER(BD257)),IF(ABS(BD271+BD270-BD272)&lt;=1.01,0,ROUND(BD271+BD270-BD272,0)),"")</f>
        <v>0</v>
      </c>
      <c r="BE273" s="211">
        <f>IF(AND(ISNUMBER(BE271),ISNUMBER(BE257)),IF(ABS(BE271+BE270-BE272)&lt;=1.01,0,ROUND(BE271+BE270-BE272,0)),"")</f>
        <v>0</v>
      </c>
      <c r="BF273" s="211">
        <f>IF(AND(ISNUMBER(BF271),ISNUMBER(BF257)),IF(ABS(BF271+BF270-BF272)&lt;=1.01,0,ROUND(BF271+BF270-BF272,0)),"")</f>
        <v>0</v>
      </c>
      <c r="BG273" s="211">
        <f>IF(AND(ISNUMBER(BG271),ISNUMBER(BG257)),IF(ABS(BG271+BG270-BG272)&lt;=1.01,0,ROUND(BG271+BG270-BG272,0)),"")</f>
        <v>0</v>
      </c>
      <c r="BH273" s="211">
        <f>IF(AND(ISNUMBER(BH271),ISNUMBER(BH257)),IF(ABS(BH271+BH270-BH272)&lt;=1.01,0,ROUND(BH271+BH270-BH272,0)),"")</f>
        <v>0</v>
      </c>
      <c r="BI273" s="211">
        <f>IF(AND(ISNUMBER(BI271),ISNUMBER(BI257)),IF(ABS(BI271+BI270-BI272)&lt;=1.01,0,ROUND(BI271+BI270-BI272,0)),"")</f>
        <v>0</v>
      </c>
      <c r="BJ273" s="211">
        <f>IF(AND(ISNUMBER(BJ271),ISNUMBER(BJ257)),IF(ABS(BJ271+BJ270-BJ272)&lt;=1.01,0,ROUND(BJ271+BJ270-BJ272,0)),"")</f>
        <v>0</v>
      </c>
      <c r="BK273" s="211">
        <f>IF(AND(ISNUMBER(BK271),ISNUMBER(BK257)),IF(ABS(BK271+BK270-BK272)&lt;=1.01,0,ROUND(BK271+BK270-BK272,0)),"")</f>
        <v>0</v>
      </c>
      <c r="BL273" s="211">
        <f>IF(AND(ISNUMBER(BL271),ISNUMBER(BL257)),IF(ABS(BL271+BL270-BL272)&lt;=1.01,0,ROUND(BL271+BL270-BL272,0)),"")</f>
        <v>0</v>
      </c>
      <c r="BM273" s="211">
        <f>IF(AND(ISNUMBER(BM271),ISNUMBER(BM257)),IF(ABS(BM271+BM270-BM272)&lt;=1.01,0,ROUND(BM271+BM270-BM272,0)),"")</f>
        <v>0</v>
      </c>
      <c r="BN273" s="211">
        <f>IF(AND(ISNUMBER(BN271),ISNUMBER(BN257)),IF(ABS(BN271+BN270-BN272)&lt;=1.01,0,ROUND(BN271+BN270-BN272,0)),"")</f>
        <v>0</v>
      </c>
      <c r="BO273" s="211">
        <f>IF(AND(ISNUMBER(BO271),ISNUMBER(BO257)),IF(ABS(BO271+BO270-BO272)&lt;=1.01,0,ROUND(BO271+BO270-BO272,0)),"")</f>
        <v>0</v>
      </c>
      <c r="BP273" s="211">
        <f>IF(AND(ISNUMBER(BP271),ISNUMBER(BP257)),IF(ABS(BP271+BP270-BP272)&lt;=1.01,0,ROUND(BP271+BP270-BP272,0)),"")</f>
        <v>0</v>
      </c>
      <c r="BQ273" s="211">
        <f>IF(AND(ISNUMBER(BQ271),ISNUMBER(BQ257)),IF(ABS(BQ271+BQ270-BQ272)&lt;=1.01,0,ROUND(BQ271+BQ270-BQ272,0)),"")</f>
        <v>0</v>
      </c>
      <c r="BR273" s="211">
        <f>IF(AND(ISNUMBER(BR271),ISNUMBER(BR257)),IF(ABS(BR271+BR270-BR272)&lt;=1.01,0,ROUND(BR271+BR270-BR272,0)),"")</f>
        <v>0</v>
      </c>
      <c r="BS273" s="211">
        <f>IF(AND(ISNUMBER(BS271),ISNUMBER(BS257)),IF(ABS(BS271+BS270-BS272)&lt;=1.01,0,ROUND(BS271+BS270-BS272,0)),"")</f>
        <v>0</v>
      </c>
      <c r="BT273" s="211">
        <f>IF(AND(ISNUMBER(BT271),ISNUMBER(BT257)),IF(ABS(BT271+BT270-BT272)&lt;=1.01,0,ROUND(BT271+BT270-BT272,0)),"")</f>
        <v>0</v>
      </c>
      <c r="BU273" s="211">
        <f>IF(AND(ISNUMBER(BU271),ISNUMBER(BU257)),IF(ABS(BU271+BU270-BU272)&lt;=1.01,0,ROUND(BU271+BU270-BU272,0)),"")</f>
        <v>0</v>
      </c>
      <c r="BV273" s="211">
        <f>IF(AND(ISNUMBER(BV271),ISNUMBER(BV257)),IF(ABS(BV271+BV270-BV272)&lt;=1.01,0,ROUND(BV271+BV270-BV272,0)),"")</f>
        <v>0</v>
      </c>
      <c r="BW273" s="211">
        <f>IF(AND(ISNUMBER(BW271),ISNUMBER(BW257)),IF(ABS(BW271+BW270-BW272)&lt;=1.01,0,ROUND(BW271+BW270-BW272,0)),"")</f>
        <v>0</v>
      </c>
      <c r="BX273" s="211">
        <f>IF(AND(ISNUMBER(BX271),ISNUMBER(BX257)),IF(ABS(BX271+BX270-BX272)&lt;=1.01,0,ROUND(BX271+BX270-BX272,0)),"")</f>
        <v>0</v>
      </c>
      <c r="BY273" s="153" t="n"/>
      <c r="BZ273" s="153" t="n"/>
      <c r="CA273" s="266">
        <f>IF(AND(ISNUMBER(CA271),ISNUMBER(CA257)),IF(ABS(CA271+CA270-CA272)&lt;=1.01,0,ROUND(CA271+CA270-CA272,0)),"")</f>
        <v>0</v>
      </c>
      <c r="CB273" s="266">
        <f>IF(AND(ISNUMBER(CB271),ISNUMBER(CB257)),IF(ABS(CB271+CB270-CB272)&lt;=1.01,0,ROUND(CB271+CB270-CB272,0)),"")</f>
        <v>0</v>
      </c>
      <c r="CC273" s="266">
        <f>IF(AND(ISNUMBER(CC271),ISNUMBER(CC257)),IF(ABS(CC271+CC270-CC272)&lt;=1.01,0,ROUND(CC271+CC270-CC272,0)),"")</f>
        <v>0</v>
      </c>
      <c r="CD273" s="266">
        <f>IF(AND(ISNUMBER(CD271),ISNUMBER(CD257)),IF(ABS(CD271+CD270-CD272)&lt;=1.01,0,ROUND(CD271+CD270-CD272,0)),"")</f>
        <v>0</v>
      </c>
      <c r="CE273" s="266">
        <f>IF(AND(ISNUMBER(CE271),ISNUMBER(CE257)),IF(ABS(CE271+CE270-CE272)&lt;=1.01,0,ROUND(CE271+CE270-CE272,0)),"")</f>
        <v>0</v>
      </c>
      <c r="CF273" s="153" t="n"/>
    </row>
    <row r="274" ht="15" customHeight="1" s="251">
      <c r="B274" s="57" t="inlineStr">
        <is>
          <t xml:space="preserve">  Check: CFO = sum of operating lines (should be 0)</t>
        </is>
      </c>
      <c r="C274" s="211">
        <f>IF(ISNUMBER(C249),IF(ABS(SUM(C249:C256)-C257)&lt;=1.01,0,ROUND(SUM(C249:C256)-C257,0)),"")</f>
        <v>0</v>
      </c>
      <c r="D274" s="211">
        <f>IF(ISNUMBER(D249),IF(ABS(SUM(D249:D256)-D257)&lt;=1.01,0,ROUND(SUM(D249:D256)-D257,0)),"")</f>
        <v>0</v>
      </c>
      <c r="E274" s="211">
        <f>IF(ISNUMBER(E249),IF(ABS(SUM(E249:E256)-E257)&lt;=1.01,0,ROUND(SUM(E249:E256)-E257,0)),"")</f>
        <v>0</v>
      </c>
      <c r="F274" s="211">
        <f>IF(ISNUMBER(F249),IF(ABS(SUM(F249:F256)-F257)&lt;=1.01,0,ROUND(SUM(F249:F256)-F257,0)),"")</f>
        <v>0</v>
      </c>
      <c r="G274" s="211">
        <f>IF(ISNUMBER(G249),IF(ABS(SUM(G249:G256)-G257)&lt;=1.01,0,ROUND(SUM(G249:G256)-G257,0)),"")</f>
        <v>0</v>
      </c>
      <c r="H274" s="211">
        <f>IF(ISNUMBER(H249),IF(ABS(SUM(H249:H256)-H257)&lt;=1.01,0,ROUND(SUM(H249:H256)-H257,0)),"")</f>
        <v>0</v>
      </c>
      <c r="I274" s="211">
        <f>IF(ISNUMBER(I249),IF(ABS(SUM(I249:I256)-I257)&lt;=1.01,0,ROUND(SUM(I249:I256)-I257,0)),"")</f>
        <v>0</v>
      </c>
      <c r="J274" s="211">
        <f>IF(ISNUMBER(J249),IF(ABS(SUM(J249:J256)-J257)&lt;=1.01,0,ROUND(SUM(J249:J256)-J257,0)),"")</f>
        <v>0</v>
      </c>
      <c r="K274" s="211">
        <f>IF(ISNUMBER(K249),IF(ABS(SUM(K249:K256)-K257)&lt;=1.01,0,ROUND(SUM(K249:K256)-K257,0)),"")</f>
        <v>0</v>
      </c>
      <c r="L274" s="211">
        <f>IF(ISNUMBER(L249),IF(ABS(SUM(L249:L256)-L257)&lt;=1.01,0,ROUND(SUM(L249:L256)-L257,0)),"")</f>
        <v>0</v>
      </c>
      <c r="M274" s="211">
        <f>IF(ISNUMBER(M249),IF(ABS(SUM(M249:M256)-M257)&lt;=1.01,0,ROUND(SUM(M249:M256)-M257,0)),"")</f>
        <v>0</v>
      </c>
      <c r="N274" s="211">
        <f>IF(ISNUMBER(N249),IF(ABS(SUM(N249:N256)-N257)&lt;=1.01,0,ROUND(SUM(N249:N256)-N257,0)),"")</f>
        <v>0</v>
      </c>
      <c r="O274" s="211">
        <f>IF(ISNUMBER(O249),IF(ABS(SUM(O249:O256)-O257)&lt;=1.01,0,ROUND(SUM(O249:O256)-O257,0)),"")</f>
        <v>0</v>
      </c>
      <c r="P274" s="211">
        <f>IF(ISNUMBER(P249),IF(ABS(SUM(P249:P256)-P257)&lt;=1.01,0,ROUND(SUM(P249:P256)-P257,0)),"")</f>
        <v>0</v>
      </c>
      <c r="Q274" s="211">
        <f>IF(ISNUMBER(Q249),IF(ABS(SUM(Q249:Q256)-Q257)&lt;=1.01,0,ROUND(SUM(Q249:Q256)-Q257,0)),"")</f>
        <v>0</v>
      </c>
      <c r="R274" s="211">
        <f>IF(ISNUMBER(R249),IF(ABS(SUM(R249:R256)-R257)&lt;=1.01,0,ROUND(SUM(R249:R256)-R257,0)),"")</f>
        <v>0</v>
      </c>
      <c r="S274" s="211">
        <f>IF(ISNUMBER(S249),IF(ABS(SUM(S249:S256)-S257)&lt;=1.01,0,ROUND(SUM(S249:S256)-S257,0)),"")</f>
        <v>0</v>
      </c>
      <c r="T274" s="211">
        <f>IF(ISNUMBER(T249),IF(ABS(SUM(T249:T256)-T257)&lt;=1.01,0,ROUND(SUM(T249:T256)-T257,0)),"")</f>
        <v>0</v>
      </c>
      <c r="U274" s="211">
        <f>IF(ISNUMBER(U249),IF(ABS(SUM(U249:U256)-U257)&lt;=1.01,0,ROUND(SUM(U249:U256)-U257,0)),"")</f>
        <v>0</v>
      </c>
      <c r="V274" s="211">
        <f>IF(ISNUMBER(V249),IF(ABS(SUM(V249:V256)-V257)&lt;=1.01,0,ROUND(SUM(V249:V256)-V257,0)),"")</f>
        <v>0</v>
      </c>
      <c r="W274" s="211">
        <f>IF(ISNUMBER(W249),IF(ABS(SUM(W249:W256)-W257)&lt;=1.01,0,ROUND(SUM(W249:W256)-W257,0)),"")</f>
        <v>0</v>
      </c>
      <c r="X274" s="211">
        <f>IF(ISNUMBER(X249),IF(ABS(SUM(X249:X256)-X257)&lt;=1.01,0,ROUND(SUM(X249:X256)-X257,0)),"")</f>
        <v>0</v>
      </c>
      <c r="Y274" s="211">
        <f>IF(ISNUMBER(Y249),IF(ABS(SUM(Y249:Y256)-Y257)&lt;=1.01,0,ROUND(SUM(Y249:Y256)-Y257,0)),"")</f>
        <v>0</v>
      </c>
      <c r="Z274" s="211">
        <f>IF(ISNUMBER(Z249),IF(ABS(SUM(Z249:Z256)-Z257)&lt;=1.01,0,ROUND(SUM(Z249:Z256)-Z257,0)),"")</f>
        <v>0</v>
      </c>
      <c r="AA274" s="211">
        <f>IF(ISNUMBER(AA249),IF(ABS(SUM(AA249:AA256)-AA257)&lt;=1.01,0,ROUND(SUM(AA249:AA256)-AA257,0)),"")</f>
        <v>0</v>
      </c>
      <c r="AB274" s="211">
        <f>IF(ISNUMBER(AB249),IF(ABS(SUM(AB249:AB256)-AB257)&lt;=1.01,0,ROUND(SUM(AB249:AB256)-AB257,0)),"")</f>
        <v>0</v>
      </c>
      <c r="AC274" s="211">
        <f>IF(ISNUMBER(AC249),IF(ABS(SUM(AC249:AC256)-AC257)&lt;=1.01,0,ROUND(SUM(AC249:AC256)-AC257,0)),"")</f>
        <v>0</v>
      </c>
      <c r="AD274" s="211">
        <f>IF(ISNUMBER(AD249),IF(ABS(SUM(AD249:AD256)-AD257)&lt;=1.01,0,ROUND(SUM(AD249:AD256)-AD257,0)),"")</f>
        <v>0</v>
      </c>
      <c r="AE274" s="211">
        <f>IF(ISNUMBER(AE249),IF(ABS(SUM(AE249:AE256)-AE257)&lt;=1.01,0,ROUND(SUM(AE249:AE256)-AE257,0)),"")</f>
        <v>0</v>
      </c>
      <c r="AF274" s="211">
        <f>IF(ISNUMBER(AF249),IF(ABS(SUM(AF249:AF256)-AF257)&lt;=1.01,0,ROUND(SUM(AF249:AF256)-AF257,0)),"")</f>
        <v>0</v>
      </c>
      <c r="AG274" s="211">
        <f>IF(ISNUMBER(AG249),IF(ABS(SUM(AG249:AG256)-AG257)&lt;=1.01,0,ROUND(SUM(AG249:AG256)-AG257,0)),"")</f>
        <v>0</v>
      </c>
      <c r="AH274" s="211">
        <f>IF(ISNUMBER(AH249),IF(ABS(SUM(AH249:AH256)-AH257)&lt;=1.01,0,ROUND(SUM(AH249:AH256)-AH257,0)),"")</f>
        <v>0</v>
      </c>
      <c r="AI274" s="211">
        <f>IF(ISNUMBER(AI249),IF(ABS(SUM(AI249:AI256)-AI257)&lt;=1.01,0,ROUND(SUM(AI249:AI256)-AI257,0)),"")</f>
        <v>0</v>
      </c>
      <c r="AJ274" s="211">
        <f>IF(ISNUMBER(AJ249),IF(ABS(SUM(AJ249:AJ256)-AJ257)&lt;=1.01,0,ROUND(SUM(AJ249:AJ256)-AJ257,0)),"")</f>
        <v>0</v>
      </c>
      <c r="AK274" s="211">
        <f>IF(ISNUMBER(AK249),IF(ABS(SUM(AK249:AK256)-AK257)&lt;=1.01,0,ROUND(SUM(AK249:AK256)-AK257,0)),"")</f>
        <v>0</v>
      </c>
      <c r="AL274" s="211">
        <f>IF(ISNUMBER(AL249),IF(ABS(SUM(AL249:AL256)-AL257)&lt;=1.01,0,ROUND(SUM(AL249:AL256)-AL257,0)),"")</f>
        <v>0</v>
      </c>
      <c r="AM274" s="211">
        <f>IF(ISNUMBER(AM249),IF(ABS(SUM(AM249:AM256)-AM257)&lt;=1.01,0,ROUND(SUM(AM249:AM256)-AM257,0)),"")</f>
        <v>0</v>
      </c>
      <c r="AN274" s="211">
        <f>IF(ISNUMBER(AN249),IF(ABS(SUM(AN249:AN256)-AN257)&lt;=1.01,0,ROUND(SUM(AN249:AN256)-AN257,0)),"")</f>
        <v>0</v>
      </c>
      <c r="AO274" s="211">
        <f>IF(ISNUMBER(AO249),IF(ABS(SUM(AO249:AO256)-AO257)&lt;=1.01,0,ROUND(SUM(AO249:AO256)-AO257,0)),"")</f>
        <v>0</v>
      </c>
      <c r="AP274" s="211">
        <f>IF(ISNUMBER(AP249),IF(ABS(SUM(AP249:AP256)-AP257)&lt;=1.01,0,ROUND(SUM(AP249:AP256)-AP257,0)),"")</f>
        <v>0</v>
      </c>
      <c r="AQ274" s="211">
        <f>IF(ISNUMBER(AQ249),IF(ABS(SUM(AQ249:AQ256)-AQ257)&lt;=1.01,0,ROUND(SUM(AQ249:AQ256)-AQ257,0)),"")</f>
        <v>0</v>
      </c>
      <c r="AR274" s="211">
        <f>IF(ISNUMBER(AR249),IF(ABS(SUM(AR249:AR256)-AR257)&lt;=1.01,0,ROUND(SUM(AR249:AR256)-AR257,0)),"")</f>
        <v>0</v>
      </c>
      <c r="AS274" s="211">
        <f>IF(ISNUMBER(AS249),IF(ABS(SUM(AS249:AS256)-AS257)&lt;=1.01,0,ROUND(SUM(AS249:AS256)-AS257,0)),"")</f>
        <v>0</v>
      </c>
      <c r="AT274" s="211">
        <f>IF(ISNUMBER(AT249),IF(ABS(SUM(AT249:AT256)-AT257)&lt;=1.01,0,ROUND(SUM(AT249:AT256)-AT257,0)),"")</f>
        <v>0</v>
      </c>
      <c r="AU274" s="211">
        <f>IF(ISNUMBER(AU249),IF(ABS(SUM(AU249:AU256)-AU257)&lt;=1.01,0,ROUND(SUM(AU249:AU256)-AU257,0)),"")</f>
        <v>0</v>
      </c>
      <c r="AV274" s="211">
        <f>IF(ISNUMBER(AV249),IF(ABS(SUM(AV249:AV256)-AV257)&lt;=1.01,0,ROUND(SUM(AV249:AV256)-AV257,0)),"")</f>
        <v>0</v>
      </c>
      <c r="AW274" s="211">
        <f>IF(ISNUMBER(AW249),IF(ABS(SUM(AW249:AW256)-AW257)&lt;=1.01,0,ROUND(SUM(AW249:AW256)-AW257,0)),"")</f>
        <v>0</v>
      </c>
      <c r="AX274" s="211">
        <f>IF(ISNUMBER(AX249),IF(ABS(SUM(AX249:AX256)-AX257)&lt;=1.01,0,ROUND(SUM(AX249:AX256)-AX257,0)),"")</f>
        <v>0</v>
      </c>
      <c r="AY274" s="211">
        <f>IF(ISNUMBER(AY249),IF(ABS(SUM(AY249:AY256)-AY257)&lt;=1.01,0,ROUND(SUM(AY249:AY256)-AY257,0)),"")</f>
        <v>0</v>
      </c>
      <c r="AZ274" s="211">
        <f>IF(ISNUMBER(AZ249),IF(ABS(SUM(AZ249:AZ256)-AZ257)&lt;=1.01,0,ROUND(SUM(AZ249:AZ256)-AZ257,0)),"")</f>
        <v>0</v>
      </c>
      <c r="BA274" s="211">
        <f>IF(ISNUMBER(BA249),IF(ABS(SUM(BA249:BA256)-BA257)&lt;=1.01,0,ROUND(SUM(BA249:BA256)-BA257,0)),"")</f>
        <v>0</v>
      </c>
      <c r="BB274" s="211">
        <f>IF(ISNUMBER(BB249),IF(ABS(SUM(BB249:BB256)-BB257)&lt;=1.01,0,ROUND(SUM(BB249:BB256)-BB257,0)),"")</f>
        <v>0</v>
      </c>
      <c r="BC274" s="211">
        <f>IF(ISNUMBER(BC249),IF(ABS(SUM(BC249:BC256)-BC257)&lt;=1.01,0,ROUND(SUM(BC249:BC256)-BC257,0)),"")</f>
        <v>0</v>
      </c>
      <c r="BD274" s="211">
        <f>IF(ISNUMBER(BD249),IF(ABS(SUM(BD249:BD256)-BD257)&lt;=1.01,0,ROUND(SUM(BD249:BD256)-BD257,0)),"")</f>
        <v>0</v>
      </c>
      <c r="BE274" s="211">
        <f>IF(ISNUMBER(BE249),IF(ABS(SUM(BE249:BE256)-BE257)&lt;=1.01,0,ROUND(SUM(BE249:BE256)-BE257,0)),"")</f>
        <v>0</v>
      </c>
      <c r="BF274" s="211">
        <f>IF(ISNUMBER(BF249),IF(ABS(SUM(BF249:BF256)-BF257)&lt;=1.01,0,ROUND(SUM(BF249:BF256)-BF257,0)),"")</f>
        <v>0</v>
      </c>
      <c r="BG274" s="211">
        <f>IF(ISNUMBER(BG249),IF(ABS(SUM(BG249:BG256)-BG257)&lt;=1.01,0,ROUND(SUM(BG249:BG256)-BG257,0)),"")</f>
        <v>0</v>
      </c>
      <c r="BH274" s="211">
        <f>IF(ISNUMBER(BH249),IF(ABS(SUM(BH249:BH256)-BH257)&lt;=1.01,0,ROUND(SUM(BH249:BH256)-BH257,0)),"")</f>
        <v>0</v>
      </c>
      <c r="BI274" s="211">
        <f>IF(ISNUMBER(BI249),IF(ABS(SUM(BI249:BI256)-BI257)&lt;=1.01,0,ROUND(SUM(BI249:BI256)-BI257,0)),"")</f>
        <v>0</v>
      </c>
      <c r="BJ274" s="211">
        <f>IF(ISNUMBER(BJ249),IF(ABS(SUM(BJ249:BJ256)-BJ257)&lt;=1.01,0,ROUND(SUM(BJ249:BJ256)-BJ257,0)),"")</f>
        <v>0</v>
      </c>
      <c r="BK274" s="211">
        <f>IF(ISNUMBER(BK249),IF(ABS(SUM(BK249:BK256)-BK257)&lt;=1.01,0,ROUND(SUM(BK249:BK256)-BK257,0)),"")</f>
        <v>0</v>
      </c>
      <c r="BL274" s="211">
        <f>IF(ISNUMBER(BL249),IF(ABS(SUM(BL249:BL256)-BL257)&lt;=1.01,0,ROUND(SUM(BL249:BL256)-BL257,0)),"")</f>
        <v>0</v>
      </c>
      <c r="BM274" s="211">
        <f>IF(ISNUMBER(BM249),IF(ABS(SUM(BM249:BM256)-BM257)&lt;=1.01,0,ROUND(SUM(BM249:BM256)-BM257,0)),"")</f>
        <v>0</v>
      </c>
      <c r="BN274" s="211">
        <f>IF(ISNUMBER(BN249),IF(ABS(SUM(BN249:BN256)-BN257)&lt;=1.01,0,ROUND(SUM(BN249:BN256)-BN257,0)),"")</f>
        <v>0</v>
      </c>
      <c r="BO274" s="211">
        <f>IF(ISNUMBER(BO249),IF(ABS(SUM(BO249:BO256)-BO257)&lt;=1.01,0,ROUND(SUM(BO249:BO256)-BO257,0)),"")</f>
        <v>0</v>
      </c>
      <c r="BP274" s="211">
        <f>IF(ISNUMBER(BP249),IF(ABS(SUM(BP249:BP256)-BP257)&lt;=1.01,0,ROUND(SUM(BP249:BP256)-BP257,0)),"")</f>
        <v>0</v>
      </c>
      <c r="BQ274" s="211">
        <f>IF(ISNUMBER(BQ249),IF(ABS(SUM(BQ249:BQ256)-BQ257)&lt;=1.01,0,ROUND(SUM(BQ249:BQ256)-BQ257,0)),"")</f>
        <v>0</v>
      </c>
      <c r="BR274" s="211">
        <f>IF(ISNUMBER(BR249),IF(ABS(SUM(BR249:BR256)-BR257)&lt;=1.01,0,ROUND(SUM(BR249:BR256)-BR257,0)),"")</f>
        <v>0</v>
      </c>
      <c r="BS274" s="211">
        <f>IF(ISNUMBER(BS249),IF(ABS(SUM(BS249:BS256)-BS257)&lt;=1.01,0,ROUND(SUM(BS249:BS256)-BS257,0)),"")</f>
        <v>0</v>
      </c>
      <c r="BT274" s="211">
        <f>IF(ISNUMBER(BT249),IF(ABS(SUM(BT249:BT256)-BT257)&lt;=1.01,0,ROUND(SUM(BT249:BT256)-BT257,0)),"")</f>
        <v>0</v>
      </c>
      <c r="BU274" s="211">
        <f>IF(ISNUMBER(BU249),IF(ABS(SUM(BU249:BU256)-BU257)&lt;=1.01,0,ROUND(SUM(BU249:BU256)-BU257,0)),"")</f>
        <v>0</v>
      </c>
      <c r="BV274" s="211">
        <f>IF(ISNUMBER(BV249),IF(ABS(SUM(BV249:BV256)-BV257)&lt;=1.01,0,ROUND(SUM(BV249:BV256)-BV257,0)),"")</f>
        <v>0</v>
      </c>
      <c r="BW274" s="211">
        <f>IF(ISNUMBER(BW249),IF(ABS(SUM(BW249:BW256)-BW257)&lt;=1.01,0,ROUND(SUM(BW249:BW256)-BW257,0)),"")</f>
        <v>0</v>
      </c>
      <c r="BX274" s="211">
        <f>IF(ISNUMBER(BX249),IF(ABS(SUM(BX249:BX256)-BX257)&lt;=1.01,0,ROUND(SUM(BX249:BX256)-BX257,0)),"")</f>
        <v>0</v>
      </c>
      <c r="BY274" s="153" t="n"/>
      <c r="BZ274" s="153" t="n"/>
      <c r="CA274" s="266">
        <f>IF(ISNUMBER(CA249),IF(ABS(SUM(CA249:CA256)-CA257)&lt;=1.01,0,ROUND(SUM(CA249:CA256)-CA257,0)),"")</f>
        <v>0</v>
      </c>
      <c r="CB274" s="266">
        <f>IF(ISNUMBER(CB249),IF(ABS(SUM(CB249:CB256)-CB257)&lt;=1.01,0,ROUND(SUM(CB249:CB256)-CB257,0)),"")</f>
        <v>0</v>
      </c>
      <c r="CC274" s="266">
        <f>IF(ISNUMBER(CC249),IF(ABS(SUM(CC249:CC256)-CC257)&lt;=1.01,0,ROUND(SUM(CC249:CC256)-CC257,0)),"")</f>
        <v>0</v>
      </c>
      <c r="CD274" s="266">
        <f>IF(ISNUMBER(CD249),IF(ABS(SUM(CD249:CD256)-CD257)&lt;=1.01,0,ROUND(SUM(CD249:CD256)-CD257,0)),"")</f>
        <v>0</v>
      </c>
      <c r="CE274" s="266">
        <f>IF(ISNUMBER(CE249),IF(ABS(SUM(CE249:CE256)-CE257)&lt;=1.01,0,ROUND(SUM(CE249:CE256)-CE257,0)),"")</f>
        <v>0</v>
      </c>
      <c r="CF274" s="153" t="n"/>
    </row>
    <row r="275" ht="15" customHeight="1" s="251">
      <c r="B275" s="156" t="inlineStr">
        <is>
          <t xml:space="preserve">  Memo: restricted cash (cash-flow cash − balance-sheet cash; from 2018)</t>
        </is>
      </c>
      <c r="C275" s="211">
        <f>IF(AND(ISNUMBER(C272),ISNUMBER(C311)),C272-C311,"")</f>
        <v>0</v>
      </c>
      <c r="D275" s="211">
        <f>IF(AND(ISNUMBER(D272),ISNUMBER(D311)),D272-D311,"")</f>
        <v>0</v>
      </c>
      <c r="E275" s="211">
        <f>IF(AND(ISNUMBER(E272),ISNUMBER(E311)),E272-E311,"")</f>
        <v>0</v>
      </c>
      <c r="F275" s="211">
        <f>IF(AND(ISNUMBER(F272),ISNUMBER(F311)),F272-F311,"")</f>
        <v>0</v>
      </c>
      <c r="G275" s="211">
        <f>IF(AND(ISNUMBER(G272),ISNUMBER(G311)),G272-G311,"")</f>
        <v>0</v>
      </c>
      <c r="H275" s="211">
        <f>IF(AND(ISNUMBER(H272),ISNUMBER(H311)),H272-H311,"")</f>
        <v>0</v>
      </c>
      <c r="I275" s="211">
        <f>IF(AND(ISNUMBER(I272),ISNUMBER(I311)),I272-I311,"")</f>
        <v>0</v>
      </c>
      <c r="J275" s="211">
        <f>IF(AND(ISNUMBER(J272),ISNUMBER(J311)),J272-J311,"")</f>
        <v>0</v>
      </c>
      <c r="K275" s="211">
        <f>IF(AND(ISNUMBER(K272),ISNUMBER(K311)),K272-K311,"")</f>
        <v>0</v>
      </c>
      <c r="L275" s="211">
        <f>IF(AND(ISNUMBER(L272),ISNUMBER(L311)),L272-L311,"")</f>
        <v>0</v>
      </c>
      <c r="M275" s="211">
        <f>IF(AND(ISNUMBER(M272),ISNUMBER(M311)),M272-M311,"")</f>
        <v>0</v>
      </c>
      <c r="N275" s="211">
        <f>IF(AND(ISNUMBER(N272),ISNUMBER(N311)),N272-N311,"")</f>
        <v>0</v>
      </c>
      <c r="O275" s="211">
        <f>IF(AND(ISNUMBER(O272),ISNUMBER(O311)),O272-O311,"")</f>
        <v>0</v>
      </c>
      <c r="P275" s="211">
        <f>IF(AND(ISNUMBER(P272),ISNUMBER(P311)),P272-P311,"")</f>
        <v>0</v>
      </c>
      <c r="Q275" s="211">
        <f>IF(AND(ISNUMBER(Q272),ISNUMBER(Q311)),Q272-Q311,"")</f>
        <v>0</v>
      </c>
      <c r="R275" s="211">
        <f>IF(AND(ISNUMBER(R272),ISNUMBER(R311)),R272-R311,"")</f>
        <v>0</v>
      </c>
      <c r="S275" s="211">
        <f>IF(AND(ISNUMBER(S272),ISNUMBER(S311)),S272-S311,"")</f>
        <v>0</v>
      </c>
      <c r="T275" s="211">
        <f>IF(AND(ISNUMBER(T272),ISNUMBER(T311)),T272-T311,"")</f>
        <v>0</v>
      </c>
      <c r="U275" s="211">
        <f>IF(AND(ISNUMBER(U272),ISNUMBER(U311)),U272-U311,"")</f>
        <v>0</v>
      </c>
      <c r="V275" s="211">
        <f>IF(AND(ISNUMBER(V272),ISNUMBER(V311)),V272-V311,"")</f>
        <v>0</v>
      </c>
      <c r="W275" s="211">
        <f>IF(AND(ISNUMBER(W272),ISNUMBER(W311)),W272-W311,"")</f>
        <v>0</v>
      </c>
      <c r="X275" s="211">
        <f>IF(AND(ISNUMBER(X272),ISNUMBER(X311)),X272-X311,"")</f>
        <v>0</v>
      </c>
      <c r="Y275" s="211">
        <f>IF(AND(ISNUMBER(Y272),ISNUMBER(Y311)),Y272-Y311,"")</f>
        <v>0</v>
      </c>
      <c r="Z275" s="211">
        <f>IF(AND(ISNUMBER(Z272),ISNUMBER(Z311)),Z272-Z311,"")</f>
        <v>0</v>
      </c>
      <c r="AA275" s="211">
        <f>IF(AND(ISNUMBER(AA272),ISNUMBER(AA311)),AA272-AA311,"")</f>
        <v>0</v>
      </c>
      <c r="AB275" s="211">
        <f>IF(AND(ISNUMBER(AB272),ISNUMBER(AB311)),AB272-AB311,"")</f>
        <v>0</v>
      </c>
      <c r="AC275" s="211">
        <f>IF(AND(ISNUMBER(AC272),ISNUMBER(AC311)),AC272-AC311,"")</f>
        <v>0</v>
      </c>
      <c r="AD275" s="211">
        <f>IF(AND(ISNUMBER(AD272),ISNUMBER(AD311)),AD272-AD311,"")</f>
        <v>0</v>
      </c>
      <c r="AE275" s="211">
        <f>IF(AND(ISNUMBER(AE272),ISNUMBER(AE311)),AE272-AE311,"")</f>
        <v>0</v>
      </c>
      <c r="AF275" s="211">
        <f>IF(AND(ISNUMBER(AF272),ISNUMBER(AF311)),AF272-AF311,"")</f>
        <v>0</v>
      </c>
      <c r="AG275" s="211">
        <f>IF(AND(ISNUMBER(AG272),ISNUMBER(AG311)),AG272-AG311,"")</f>
        <v>0</v>
      </c>
      <c r="AH275" s="211">
        <f>IF(AND(ISNUMBER(AH272),ISNUMBER(AH311)),AH272-AH311,"")</f>
        <v>0</v>
      </c>
      <c r="AI275" s="211">
        <f>IF(AND(ISNUMBER(AI272),ISNUMBER(AI311)),AI272-AI311,"")</f>
        <v>940</v>
      </c>
      <c r="AJ275" s="211">
        <f>IF(AND(ISNUMBER(AJ272),ISNUMBER(AJ311)),AJ272-AJ311,"")</f>
        <v>713</v>
      </c>
      <c r="AK275" s="211">
        <f>IF(AND(ISNUMBER(AK272),ISNUMBER(AK311)),AK272-AK311,"")</f>
        <v>607</v>
      </c>
      <c r="AL275" s="211">
        <f>IF(AND(ISNUMBER(AL272),ISNUMBER(AL311)),AL272-AL311,"")</f>
        <v>423</v>
      </c>
      <c r="AM275" s="211">
        <f>IF(AND(ISNUMBER(AM272),ISNUMBER(AM311)),AM272-AM311,"")</f>
        <v>423</v>
      </c>
      <c r="AN275" s="211">
        <f>IF(AND(ISNUMBER(AN272),ISNUMBER(AN311)),AN272-AN311,"")</f>
        <v>392</v>
      </c>
      <c r="AO275" s="211">
        <f>IF(AND(ISNUMBER(AO272),ISNUMBER(AO311)),AO272-AO311,"")</f>
        <v>349</v>
      </c>
      <c r="AP275" s="211">
        <f>IF(AND(ISNUMBER(AP272),ISNUMBER(AP311)),AP272-AP311,"")</f>
        <v>299</v>
      </c>
      <c r="AQ275" s="211">
        <f>IF(AND(ISNUMBER(AQ272),ISNUMBER(AQ311)),AQ272-AQ311,"")</f>
        <v>318</v>
      </c>
      <c r="AR275" s="211">
        <f>IF(AND(ISNUMBER(AR272),ISNUMBER(AR311)),AR272-AR311,"")</f>
        <v>318</v>
      </c>
      <c r="AS275" s="211">
        <f>IF(AND(ISNUMBER(AS272),ISNUMBER(AS311)),AS272-AS311,"")</f>
        <v>304</v>
      </c>
      <c r="AT275" s="211">
        <f>IF(AND(ISNUMBER(AT272),ISNUMBER(AT311)),AT272-AT311,"")</f>
        <v>376</v>
      </c>
      <c r="AU275" s="211">
        <f>IF(AND(ISNUMBER(AU272),ISNUMBER(AU311)),AU272-AU311,"")</f>
        <v>272</v>
      </c>
      <c r="AV275" s="211">
        <f>IF(AND(ISNUMBER(AV272),ISNUMBER(AV311)),AV272-AV311,"")</f>
        <v>255</v>
      </c>
      <c r="AW275" s="211">
        <f>IF(AND(ISNUMBER(AW272),ISNUMBER(AW311)),AW272-AW311,"")</f>
        <v>255</v>
      </c>
      <c r="AX275" s="211">
        <f>IF(AND(ISNUMBER(AX272),ISNUMBER(AX311)),AX272-AX311,"")</f>
        <v>321</v>
      </c>
      <c r="AY275" s="211">
        <f>IF(AND(ISNUMBER(AY272),ISNUMBER(AY311)),AY272-AY311,"")</f>
        <v>287</v>
      </c>
      <c r="AZ275" s="211">
        <f>IF(AND(ISNUMBER(AZ272),ISNUMBER(AZ311)),AZ272-AZ311,"")</f>
        <v>233</v>
      </c>
      <c r="BA275" s="211">
        <f>IF(AND(ISNUMBER(BA272),ISNUMBER(BA311)),BA272-BA311,"")</f>
        <v>257</v>
      </c>
      <c r="BB275" s="211">
        <f>IF(AND(ISNUMBER(BB272),ISNUMBER(BB311)),BB272-BB311,"")</f>
        <v>257</v>
      </c>
      <c r="BC275" s="211">
        <f>IF(AND(ISNUMBER(BC272),ISNUMBER(BC311)),BC272-BC311,"")</f>
        <v>206</v>
      </c>
      <c r="BD275" s="211">
        <f>IF(AND(ISNUMBER(BD272),ISNUMBER(BD311)),BD272-BD311,"")</f>
        <v>222</v>
      </c>
      <c r="BE275" s="211">
        <f>IF(AND(ISNUMBER(BE272),ISNUMBER(BE311)),BE272-BE311,"")</f>
        <v>231</v>
      </c>
      <c r="BF275" s="211">
        <f>IF(AND(ISNUMBER(BF272),ISNUMBER(BF311)),BF272-BF311,"")</f>
        <v>365</v>
      </c>
      <c r="BG275" s="211">
        <f>IF(AND(ISNUMBER(BG272),ISNUMBER(BG311)),BG272-BG311,"")</f>
        <v>365</v>
      </c>
      <c r="BH275" s="211">
        <f>IF(AND(ISNUMBER(BH272),ISNUMBER(BH311)),BH272-BH311,"")</f>
        <v>391</v>
      </c>
      <c r="BI275" s="211">
        <f>IF(AND(ISNUMBER(BI272),ISNUMBER(BI311)),BI272-BI311,"")</f>
        <v>538</v>
      </c>
      <c r="BJ275" s="211">
        <f>IF(AND(ISNUMBER(BJ272),ISNUMBER(BJ311)),BJ272-BJ311,"")</f>
        <v>476</v>
      </c>
      <c r="BK275" s="211">
        <f>IF(AND(ISNUMBER(BK272),ISNUMBER(BK311)),BK272-BK311,"")</f>
        <v>503</v>
      </c>
      <c r="BL275" s="211">
        <f>IF(AND(ISNUMBER(BL272),ISNUMBER(BL311)),BL272-BL311,"")</f>
        <v>503</v>
      </c>
      <c r="BM275" s="211">
        <f>IF(AND(ISNUMBER(BM272),ISNUMBER(BM311)),BM272-BM311,"")</f>
        <v>480</v>
      </c>
      <c r="BN275" s="211">
        <f>IF(AND(ISNUMBER(BN272),ISNUMBER(BN311)),BN272-BN311,"")</f>
        <v>495</v>
      </c>
      <c r="BO275" s="211">
        <f>IF(AND(ISNUMBER(BO272),ISNUMBER(BO311)),BO272-BO311,"")</f>
        <v>3586</v>
      </c>
      <c r="BP275" s="211">
        <f>IF(AND(ISNUMBER(BP272),ISNUMBER(BP311)),BP272-BP311,"")</f>
        <v>3533</v>
      </c>
      <c r="BQ275" s="211">
        <f>IF(AND(ISNUMBER(BQ272),ISNUMBER(BQ311)),BQ272-BQ311,"")</f>
        <v>3533</v>
      </c>
      <c r="BR275" s="211">
        <f>IF(AND(ISNUMBER(BR272),ISNUMBER(BR311)),BR272-BR311,"")</f>
        <v>3686</v>
      </c>
      <c r="BS275" s="211">
        <f>IF(AND(ISNUMBER(BS272),ISNUMBER(BS311)),BS272-BS311,"")</f>
        <v>3712</v>
      </c>
      <c r="BT275" s="211">
        <f>IF(AND(ISNUMBER(BT272),ISNUMBER(BT311)),BT272-BT311,"")</f>
        <v>3542</v>
      </c>
      <c r="BU275" s="211">
        <f>IF(AND(ISNUMBER(BU272),ISNUMBER(BU311)),BU272-BU311,"")</f>
        <v>3296</v>
      </c>
      <c r="BV275" s="211">
        <f>IF(AND(ISNUMBER(BV272),ISNUMBER(BV311)),BV272-BV311,"")</f>
        <v>3296</v>
      </c>
      <c r="BW275" s="211">
        <f>IF(AND(ISNUMBER(BW272),ISNUMBER(BW311)),BW272-BW311,"")</f>
        <v>2876</v>
      </c>
      <c r="BX275" s="211">
        <f>IF(AND(ISNUMBER(BX272),ISNUMBER(BX311)),BX272-BX311,"")</f>
        <v>2714</v>
      </c>
      <c r="BY275" s="153" t="n"/>
      <c r="BZ275" s="153" t="n"/>
      <c r="CA275" s="266">
        <f>BX275</f>
        <v>2714</v>
      </c>
      <c r="CB275" s="266">
        <f>CA275</f>
        <v>2714</v>
      </c>
      <c r="CC275" s="266">
        <f>CB275</f>
        <v>2714</v>
      </c>
      <c r="CD275" s="266">
        <f>CC275</f>
        <v>2714</v>
      </c>
      <c r="CE275" s="266">
        <f>CD275</f>
        <v>2714</v>
      </c>
      <c r="CF275" s="153" t="n"/>
    </row>
    <row r="276" ht="15" customHeight="1" s="251">
      <c r="B276" s="25" t="inlineStr">
        <is>
          <t>(Memo)</t>
        </is>
      </c>
      <c r="CF276" s="153" t="n"/>
    </row>
    <row r="277" ht="15" customHeight="1" s="251">
      <c r="B277" s="55" t="inlineStr">
        <is>
          <t>Free cash flow (company definition: operating cash flow − purchases of P&amp;E net of proceeds from sales and incentives)</t>
        </is>
      </c>
      <c r="C277" s="262">
        <f>IF(AND(ISNUMBER(C257),ISNUMBER(C258)),C257+C258+N(C259),"")</f>
        <v>486</v>
      </c>
      <c r="D277" s="262">
        <f>IF(AND(ISNUMBER(D257),ISNUMBER(D258)),D257+D258+N(D259),"")</f>
        <v>1181</v>
      </c>
      <c r="E277" s="262">
        <f>IF(AND(ISNUMBER(E257),ISNUMBER(E258)),E257+E258+N(E259),"")</f>
        <v>1364</v>
      </c>
      <c r="F277" s="262">
        <f>IF(AND(ISNUMBER(F257),ISNUMBER(F258)),F257+F258+N(F259),"")</f>
        <v>2920</v>
      </c>
      <c r="G277" s="262">
        <f>IF(AND(ISNUMBER(G257),ISNUMBER(G258)),G257+G258+N(G259),"")</f>
        <v>2516</v>
      </c>
      <c r="H277" s="262">
        <f>IF(AND(ISNUMBER(H257),ISNUMBER(H258)),H257+H258+N(H259),"")</f>
        <v>2092</v>
      </c>
      <c r="I277" s="262">
        <f>IF(AND(ISNUMBER(I257),ISNUMBER(I258)),I257+I258+N(I259),"")</f>
        <v>395</v>
      </c>
      <c r="J277" s="262">
        <f>IF(AND(ISNUMBER(J257),ISNUMBER(J258)),J257+J258+N(J259),"")</f>
        <v>-3042</v>
      </c>
      <c r="K277" s="262">
        <f>IF(AND(ISNUMBER(K257),ISNUMBER(K258)),K257+K258+N(K259),"")</f>
        <v>25</v>
      </c>
      <c r="L277" s="262">
        <f>IF(AND(ISNUMBER(L257),ISNUMBER(L258)),L257+L258+N(L259),"")</f>
        <v>350</v>
      </c>
      <c r="M277" s="262">
        <f>IF(AND(ISNUMBER(M257),ISNUMBER(M258)),M257+M258+N(M259),"")</f>
        <v>4698</v>
      </c>
      <c r="N277" s="262">
        <f>IF(AND(ISNUMBER(N257),ISNUMBER(N258)),N257+N258+N(N259),"")</f>
        <v>2031</v>
      </c>
      <c r="O277" s="262">
        <f>IF(AND(ISNUMBER(O257),ISNUMBER(O258)),O257+O258+N(O259),"")</f>
        <v>-3582</v>
      </c>
      <c r="P277" s="262">
        <f>IF(AND(ISNUMBER(P257),ISNUMBER(P258)),P257+P258+N(P259),"")</f>
        <v>-428</v>
      </c>
      <c r="Q277" s="262">
        <f>IF(AND(ISNUMBER(Q257),ISNUMBER(Q258)),Q257+Q258+N(Q259),"")</f>
        <v>388</v>
      </c>
      <c r="R277" s="262">
        <f>IF(AND(ISNUMBER(R257),ISNUMBER(R258)),R257+R258+N(R259),"")</f>
        <v>5571</v>
      </c>
      <c r="S277" s="262">
        <f>IF(AND(ISNUMBER(S257),ISNUMBER(S258)),S257+S258+N(S259),"")</f>
        <v>1949</v>
      </c>
      <c r="T277" s="262">
        <f>IF(AND(ISNUMBER(T257),ISNUMBER(T258)),T257+T258+N(T259),"")</f>
        <v>-2370</v>
      </c>
      <c r="U277" s="262">
        <f>IF(AND(ISNUMBER(U257),ISNUMBER(U258)),U257+U258+N(U259),"")</f>
        <v>784</v>
      </c>
      <c r="V277" s="262">
        <f>IF(AND(ISNUMBER(V257),ISNUMBER(V258)),V257+V258+N(V259),"")</f>
        <v>1415</v>
      </c>
      <c r="W277" s="262">
        <f>IF(AND(ISNUMBER(W257),ISNUMBER(W258)),W257+W258+N(W259),"")</f>
        <v>7503</v>
      </c>
      <c r="X277" s="262">
        <f>IF(AND(ISNUMBER(X257),ISNUMBER(X258)),X257+X258+N(X259),"")</f>
        <v>7331</v>
      </c>
      <c r="Y277" s="262">
        <f>IF(AND(ISNUMBER(Y257),ISNUMBER(Y258)),Y257+Y258+N(Y259),"")</f>
        <v>-3339</v>
      </c>
      <c r="Z277" s="262">
        <f>IF(AND(ISNUMBER(Z257),ISNUMBER(Z258)),Z257+Z258+N(Z259),"")</f>
        <v>1754</v>
      </c>
      <c r="AA277" s="262">
        <f>IF(AND(ISNUMBER(AA257),ISNUMBER(AA258)),AA257+AA258+N(AA259),"")</f>
        <v>2645</v>
      </c>
      <c r="AB277" s="262">
        <f>IF(AND(ISNUMBER(AB257),ISNUMBER(AB258)),AB257+AB258+N(AB259),"")</f>
        <v>8646</v>
      </c>
      <c r="AC277" s="262">
        <f>IF(AND(ISNUMBER(AC257),ISNUMBER(AC258)),AC257+AC258+N(AC259),"")</f>
        <v>9706</v>
      </c>
      <c r="AD277" s="262">
        <f>IF(AND(ISNUMBER(AD257),ISNUMBER(AD258)),AD257+AD258+N(AD259),"")</f>
        <v>-3451</v>
      </c>
      <c r="AE277" s="262">
        <f>IF(AND(ISNUMBER(AE257),ISNUMBER(AE258)),AE257+AE258+N(AE259),"")</f>
        <v>1328</v>
      </c>
      <c r="AF277" s="262">
        <f>IF(AND(ISNUMBER(AF257),ISNUMBER(AF258)),AF257+AF258+N(AF259),"")</f>
        <v>1192</v>
      </c>
      <c r="AG277" s="262">
        <f>IF(AND(ISNUMBER(AG257),ISNUMBER(AG258)),AG257+AG258+N(AG259),"")</f>
        <v>9308</v>
      </c>
      <c r="AH277" s="262">
        <f>IF(AND(ISNUMBER(AH257),ISNUMBER(AH258)),AH257+AH258+N(AH259),"")</f>
        <v>8376</v>
      </c>
      <c r="AI277" s="262">
        <f>IF(AND(ISNUMBER(AI257),ISNUMBER(AI258)),AI257+AI258+N(AI259),"")</f>
        <v>-4518</v>
      </c>
      <c r="AJ277" s="262">
        <f>IF(AND(ISNUMBER(AJ257),ISNUMBER(AJ258)),AJ257+AJ258+N(AJ259),"")</f>
        <v>4500</v>
      </c>
      <c r="AK277" s="262">
        <f>IF(AND(ISNUMBER(AK257),ISNUMBER(AK258)),AK257+AK258+N(AK259),"")</f>
        <v>6061</v>
      </c>
      <c r="AL277" s="262">
        <f>IF(AND(ISNUMBER(AL257),ISNUMBER(AL258)),AL257+AL258+N(AL259),"")</f>
        <v>13359</v>
      </c>
      <c r="AM277" s="262">
        <f>IF(AND(ISNUMBER(AM257),ISNUMBER(AM258)),AM257+AM258+N(AM259),"")</f>
        <v>19400</v>
      </c>
      <c r="AN277" s="262">
        <f>IF(AND(ISNUMBER(AN257),ISNUMBER(AN258)),AN257+AN258+N(AN259),"")</f>
        <v>-875</v>
      </c>
      <c r="AO277" s="262">
        <f>IF(AND(ISNUMBER(AO257),ISNUMBER(AO258)),AO257+AO258+N(AO259),"")</f>
        <v>6475</v>
      </c>
      <c r="AP277" s="262">
        <f>IF(AND(ISNUMBER(AP257),ISNUMBER(AP258)),AP257+AP258+N(AP259),"")</f>
        <v>4507</v>
      </c>
      <c r="AQ277" s="262">
        <f>IF(AND(ISNUMBER(AQ257),ISNUMBER(AQ258)),AQ257+AQ258+N(AQ259),"")</f>
        <v>15718</v>
      </c>
      <c r="AR277" s="262">
        <f>IF(AND(ISNUMBER(AR257),ISNUMBER(AR258)),AR257+AR258+N(AR259),"")</f>
        <v>25825</v>
      </c>
      <c r="AS277" s="262">
        <f>IF(AND(ISNUMBER(AS257),ISNUMBER(AS258)),AS257+AS258+N(AS259),"")</f>
        <v>-2364</v>
      </c>
      <c r="AT277" s="262">
        <f>IF(AND(ISNUMBER(AT257),ISNUMBER(AT258)),AT257+AT258+N(AT259),"")</f>
        <v>13991</v>
      </c>
      <c r="AU277" s="262">
        <f>IF(AND(ISNUMBER(AU257),ISNUMBER(AU258)),AU257+AU258+N(AU259),"")</f>
        <v>2156</v>
      </c>
      <c r="AV277" s="262">
        <f>IF(AND(ISNUMBER(AV257),ISNUMBER(AV258)),AV257+AV258+N(AV259),"")</f>
        <v>17235</v>
      </c>
      <c r="AW277" s="262">
        <f>IF(AND(ISNUMBER(AW257),ISNUMBER(AW258)),AW257+AW258+N(AW259),"")</f>
        <v>31020</v>
      </c>
      <c r="AX277" s="262">
        <f>IF(AND(ISNUMBER(AX257),ISNUMBER(AX258)),AX257+AX258+N(AX259),"")</f>
        <v>-6974</v>
      </c>
      <c r="AY277" s="262">
        <f>IF(AND(ISNUMBER(AY257),ISNUMBER(AY258)),AY257+AY258+N(AY259),"")</f>
        <v>-273</v>
      </c>
      <c r="AZ277" s="262">
        <f>IF(AND(ISNUMBER(AZ257),ISNUMBER(AZ258)),AZ257+AZ258+N(AZ259),"")</f>
        <v>-7438</v>
      </c>
      <c r="BA277" s="262">
        <f>IF(AND(ISNUMBER(BA257),ISNUMBER(BA258)),BA257+BA258+N(BA259),"")</f>
        <v>5616</v>
      </c>
      <c r="BB277" s="262">
        <f>IF(AND(ISNUMBER(BB257),ISNUMBER(BB258)),BB257+BB258+N(BB259),"")</f>
        <v>-9069</v>
      </c>
      <c r="BC277" s="262">
        <f>IF(AND(ISNUMBER(BC257),ISNUMBER(BC258)),BC257+BC258+N(BC259),"")</f>
        <v>-16532</v>
      </c>
      <c r="BD277" s="262">
        <f>IF(AND(ISNUMBER(BD257),ISNUMBER(BD258)),BD257+BD258+N(BD259),"")</f>
        <v>-5133</v>
      </c>
      <c r="BE277" s="262">
        <f>IF(AND(ISNUMBER(BE257),ISNUMBER(BE258)),BE257+BE258+N(BE259),"")</f>
        <v>-3637</v>
      </c>
      <c r="BF277" s="262">
        <f>IF(AND(ISNUMBER(BF257),ISNUMBER(BF258)),BF257+BF258+N(BF259),"")</f>
        <v>13733</v>
      </c>
      <c r="BG277" s="262">
        <f>IF(AND(ISNUMBER(BG257),ISNUMBER(BG258)),BG257+BG258+N(BG259),"")</f>
        <v>-11569</v>
      </c>
      <c r="BH277" s="262">
        <f>IF(AND(ISNUMBER(BH257),ISNUMBER(BH258)),BH257+BH258+N(BH259),"")</f>
        <v>-8282</v>
      </c>
      <c r="BI277" s="262">
        <f>IF(AND(ISNUMBER(BI257),ISNUMBER(BI258)),BI257+BI258+N(BI259),"")</f>
        <v>6064</v>
      </c>
      <c r="BJ277" s="262">
        <f>IF(AND(ISNUMBER(BJ257),ISNUMBER(BJ258)),BJ257+BJ258+N(BJ259),"")</f>
        <v>9919</v>
      </c>
      <c r="BK277" s="262">
        <f>IF(AND(ISNUMBER(BK257),ISNUMBER(BK258)),BK257+BK258+N(BK259),"")</f>
        <v>29112</v>
      </c>
      <c r="BL277" s="262">
        <f>IF(AND(ISNUMBER(BL257),ISNUMBER(BL258)),BL257+BL258+N(BL259),"")</f>
        <v>36813</v>
      </c>
      <c r="BM277" s="262">
        <f>IF(AND(ISNUMBER(BM257),ISNUMBER(BM258)),BM257+BM258+N(BM259),"")</f>
        <v>5054</v>
      </c>
      <c r="BN277" s="262">
        <f>IF(AND(ISNUMBER(BN257),ISNUMBER(BN258)),BN257+BN258+N(BN259),"")</f>
        <v>8888</v>
      </c>
      <c r="BO277" s="262">
        <f>IF(AND(ISNUMBER(BO257),ISNUMBER(BO258)),BO257+BO258+N(BO259),"")</f>
        <v>4693</v>
      </c>
      <c r="BP277" s="262">
        <f>IF(AND(ISNUMBER(BP257),ISNUMBER(BP258)),BP257+BP258+N(BP259),"")</f>
        <v>19584</v>
      </c>
      <c r="BQ277" s="262">
        <f>IF(AND(ISNUMBER(BQ257),ISNUMBER(BQ258)),BQ257+BQ258+N(BQ259),"")</f>
        <v>38219</v>
      </c>
      <c r="BR277" s="262">
        <f>IF(AND(ISNUMBER(BR257),ISNUMBER(BR258)),BR257+BR258+N(BR259),"")</f>
        <v>-7240</v>
      </c>
      <c r="BS277" s="262">
        <f>IF(AND(ISNUMBER(BS257),ISNUMBER(BS258)),BS257+BS258+N(BS259),"")</f>
        <v>1147</v>
      </c>
      <c r="BT277" s="262">
        <f>IF(AND(ISNUMBER(BT257),ISNUMBER(BT258)),BT257+BT258+N(BT259),"")</f>
        <v>1297</v>
      </c>
      <c r="BU277" s="262">
        <f>IF(AND(ISNUMBER(BU257),ISNUMBER(BU258)),BU257+BU258+N(BU259),"")</f>
        <v>15990</v>
      </c>
      <c r="BV277" s="262">
        <f>IF(AND(ISNUMBER(BV257),ISNUMBER(BV258)),BV257+BV258+N(BV259),"")</f>
        <v>11194</v>
      </c>
      <c r="BW277" s="262">
        <f>IF(AND(ISNUMBER(BW257),ISNUMBER(BW258)),BW257+BW258+N(BW259),"")</f>
        <v>-17202</v>
      </c>
      <c r="BX277" s="262">
        <f>IF(AND(ISNUMBER(BX257),ISNUMBER(BX258)),BX257+BX258+N(BX259),"")</f>
        <v>-7689</v>
      </c>
      <c r="BY277" s="56" t="n"/>
      <c r="BZ277" s="56" t="n"/>
      <c r="CA277" s="262">
        <f>IF(AND(ISNUMBER(CA257),ISNUMBER(CA258)),CA257+CA258+N(CA259),"")</f>
        <v>-26742.7593013222</v>
      </c>
      <c r="CB277" s="262">
        <f>IF(AND(ISNUMBER(CB257),ISNUMBER(CB258)),CB257+CB258+N(CB259),"")</f>
        <v>21226.4126872252</v>
      </c>
      <c r="CC277" s="262">
        <f>IF(AND(ISNUMBER(CC257),ISNUMBER(CC258)),CC257+CC258+N(CC259),"")</f>
        <v>60379.4887425318</v>
      </c>
      <c r="CD277" s="262">
        <f>IF(AND(ISNUMBER(CD257),ISNUMBER(CD258)),CD257+CD258+N(CD259),"")</f>
        <v>100541.78678801</v>
      </c>
      <c r="CE277" s="262">
        <f>IF(AND(ISNUMBER(CE257),ISNUMBER(CE258)),CE257+CE258+N(CE259),"")</f>
        <v>144462.641068111</v>
      </c>
      <c r="CF277" s="153" t="n"/>
      <c r="CH277" s="20">
        <f>IFERROR((CE277/BV277)^(1/5)-1,"n/m")</f>
        <v>0.667838710414626</v>
      </c>
      <c r="CI277" s="20">
        <f>IFERROR((BV277/AW277)^(1/5)-1,"n/m")</f>
        <v>-0.184415991454347</v>
      </c>
      <c r="CJ277" s="20">
        <f>IFERROR((BV277/X277)^(1/10)-1,"n/m")</f>
        <v>0.0432351424869579</v>
      </c>
      <c r="CK277" s="20">
        <f>IFERROR((BV277/C277)^(1/19)-1,"n/m")</f>
        <v>0.179512589560046</v>
      </c>
    </row>
    <row r="278" ht="15" customHeight="1" s="251">
      <c r="B278" s="25" t="inlineStr">
        <is>
          <t xml:space="preserve">  Free cash flow — trailing twelve months (quarters: Σ four quarters as originally reported; FY = year)</t>
        </is>
      </c>
      <c r="C278" s="211">
        <f>C277</f>
        <v>486</v>
      </c>
      <c r="D278" s="211">
        <f>D277</f>
        <v>1181</v>
      </c>
      <c r="E278" s="211">
        <f>E277</f>
        <v>1364</v>
      </c>
      <c r="F278" s="211">
        <f>F277</f>
        <v>2920</v>
      </c>
      <c r="G278" s="211">
        <f>G277</f>
        <v>2516</v>
      </c>
      <c r="H278" s="211">
        <f>H277</f>
        <v>2092</v>
      </c>
      <c r="I278" s="211">
        <f>I277</f>
        <v>395</v>
      </c>
      <c r="J278" s="34" t="n"/>
      <c r="K278" s="34" t="n"/>
      <c r="L278" s="34" t="n"/>
      <c r="M278" s="211">
        <f>IF(AND(ISNUMBER(M277),ISNUMBER(L277),ISNUMBER(K277),ISNUMBER(J277)),M277+L277+K277+J277,"")</f>
        <v>2031</v>
      </c>
      <c r="N278" s="211">
        <f>N277</f>
        <v>2031</v>
      </c>
      <c r="O278" s="211">
        <f>IF(AND(ISNUMBER(O277),ISNUMBER(M277),ISNUMBER(L277),ISNUMBER(K277)),O277+M277+L277+K277,"")</f>
        <v>1491</v>
      </c>
      <c r="P278" s="211">
        <f>IF(AND(ISNUMBER(P277),ISNUMBER(O277),ISNUMBER(M277),ISNUMBER(L277)),P277+O277+M277+L277,"")</f>
        <v>1038</v>
      </c>
      <c r="Q278" s="211">
        <f>IF(AND(ISNUMBER(Q277),ISNUMBER(P277),ISNUMBER(O277),ISNUMBER(M277)),Q277+P277+O277+M277,"")</f>
        <v>1076</v>
      </c>
      <c r="R278" s="211">
        <f>IF(AND(ISNUMBER(R277),ISNUMBER(Q277),ISNUMBER(P277),ISNUMBER(O277)),R277+Q277+P277+O277,"")</f>
        <v>1949</v>
      </c>
      <c r="S278" s="211">
        <f>S277</f>
        <v>1949</v>
      </c>
      <c r="T278" s="211">
        <f>IF(AND(ISNUMBER(T277),ISNUMBER(R277),ISNUMBER(Q277),ISNUMBER(P277)),T277+R277+Q277+P277,"")</f>
        <v>3161</v>
      </c>
      <c r="U278" s="211">
        <f>IF(AND(ISNUMBER(U277),ISNUMBER(T277),ISNUMBER(R277),ISNUMBER(Q277)),U277+T277+R277+Q277,"")</f>
        <v>4373</v>
      </c>
      <c r="V278" s="211">
        <f>IF(AND(ISNUMBER(V277),ISNUMBER(U277),ISNUMBER(T277),ISNUMBER(R277)),V277+U277+T277+R277,"")</f>
        <v>5400</v>
      </c>
      <c r="W278" s="211">
        <f>IF(AND(ISNUMBER(W277),ISNUMBER(V277),ISNUMBER(U277),ISNUMBER(T277)),W277+V277+U277+T277,"")</f>
        <v>7332</v>
      </c>
      <c r="X278" s="211">
        <f>X277</f>
        <v>7331</v>
      </c>
      <c r="Y278" s="211">
        <f>IF(AND(ISNUMBER(Y277),ISNUMBER(W277),ISNUMBER(V277),ISNUMBER(U277)),Y277+W277+V277+U277,"")</f>
        <v>6363</v>
      </c>
      <c r="Z278" s="211">
        <f>IF(AND(ISNUMBER(Z277),ISNUMBER(Y277),ISNUMBER(W277),ISNUMBER(V277)),Z277+Y277+W277+V277,"")</f>
        <v>7333</v>
      </c>
      <c r="AA278" s="211">
        <f>IF(AND(ISNUMBER(AA277),ISNUMBER(Z277),ISNUMBER(Y277),ISNUMBER(W277)),AA277+Z277+Y277+W277,"")</f>
        <v>8563</v>
      </c>
      <c r="AB278" s="211">
        <f>IF(AND(ISNUMBER(AB277),ISNUMBER(AA277),ISNUMBER(Z277),ISNUMBER(Y277)),AB277+AA277+Z277+Y277,"")</f>
        <v>9706</v>
      </c>
      <c r="AC278" s="211">
        <f>AC277</f>
        <v>9706</v>
      </c>
      <c r="AD278" s="211">
        <f>IF(AND(ISNUMBER(AD277),ISNUMBER(AB277),ISNUMBER(AA277),ISNUMBER(Z277)),AD277+AB277+AA277+Z277,"")</f>
        <v>9594</v>
      </c>
      <c r="AE278" s="211">
        <f>IF(AND(ISNUMBER(AE277),ISNUMBER(AD277),ISNUMBER(AB277),ISNUMBER(AA277)),AE277+AD277+AB277+AA277,"")</f>
        <v>9168</v>
      </c>
      <c r="AF278" s="211">
        <f>IF(AND(ISNUMBER(AF277),ISNUMBER(AE277),ISNUMBER(AD277),ISNUMBER(AB277)),AF277+AE277+AD277+AB277,"")</f>
        <v>7715</v>
      </c>
      <c r="AG278" s="211">
        <f>IF(AND(ISNUMBER(AG277),ISNUMBER(AF277),ISNUMBER(AE277),ISNUMBER(AD277)),AG277+AF277+AE277+AD277,"")</f>
        <v>8377</v>
      </c>
      <c r="AH278" s="211">
        <f>AH277</f>
        <v>8376</v>
      </c>
      <c r="AI278" s="211">
        <f>IF(AND(ISNUMBER(AI277),ISNUMBER(AG277),ISNUMBER(AF277),ISNUMBER(AE277)),AI277+AG277+AF277+AE277,"")</f>
        <v>7310</v>
      </c>
      <c r="AJ278" s="211">
        <f>IF(AND(ISNUMBER(AJ277),ISNUMBER(AI277),ISNUMBER(AG277),ISNUMBER(AF277)),AJ277+AI277+AG277+AF277,"")</f>
        <v>10482</v>
      </c>
      <c r="AK278" s="211">
        <f>IF(AND(ISNUMBER(AK277),ISNUMBER(AJ277),ISNUMBER(AI277),ISNUMBER(AG277)),AK277+AJ277+AI277+AG277,"")</f>
        <v>15351</v>
      </c>
      <c r="AL278" s="211">
        <f>IF(AND(ISNUMBER(AL277),ISNUMBER(AK277),ISNUMBER(AJ277),ISNUMBER(AI277)),AL277+AK277+AJ277+AI277,"")</f>
        <v>19402</v>
      </c>
      <c r="AM278" s="211">
        <f>AM277</f>
        <v>19400</v>
      </c>
      <c r="AN278" s="211">
        <f>IF(AND(ISNUMBER(AN277),ISNUMBER(AL277),ISNUMBER(AK277),ISNUMBER(AJ277)),AN277+AL277+AK277+AJ277,"")</f>
        <v>23045</v>
      </c>
      <c r="AO278" s="211">
        <f>IF(AND(ISNUMBER(AO277),ISNUMBER(AN277),ISNUMBER(AL277),ISNUMBER(AK277)),AO277+AN277+AL277+AK277,"")</f>
        <v>25020</v>
      </c>
      <c r="AP278" s="211">
        <f>IF(AND(ISNUMBER(AP277),ISNUMBER(AO277),ISNUMBER(AN277),ISNUMBER(AL277)),AP277+AO277+AN277+AL277,"")</f>
        <v>23466</v>
      </c>
      <c r="AQ278" s="211">
        <f>IF(AND(ISNUMBER(AQ277),ISNUMBER(AP277),ISNUMBER(AO277),ISNUMBER(AN277)),AQ277+AP277+AO277+AN277,"")</f>
        <v>25825</v>
      </c>
      <c r="AR278" s="211">
        <f>AR277</f>
        <v>25825</v>
      </c>
      <c r="AS278" s="211">
        <f>IF(AND(ISNUMBER(AS277),ISNUMBER(AQ277),ISNUMBER(AP277),ISNUMBER(AO277)),AS277+AQ277+AP277+AO277,"")</f>
        <v>24336</v>
      </c>
      <c r="AT278" s="211">
        <f>IF(AND(ISNUMBER(AT277),ISNUMBER(AS277),ISNUMBER(AQ277),ISNUMBER(AP277)),AT277+AS277+AQ277+AP277,"")</f>
        <v>31852</v>
      </c>
      <c r="AU278" s="211">
        <f>IF(AND(ISNUMBER(AU277),ISNUMBER(AT277),ISNUMBER(AS277),ISNUMBER(AQ277)),AU277+AT277+AS277+AQ277,"")</f>
        <v>29501</v>
      </c>
      <c r="AV278" s="211">
        <f>IF(AND(ISNUMBER(AV277),ISNUMBER(AU277),ISNUMBER(AT277),ISNUMBER(AS277)),AV277+AU277+AT277+AS277,"")</f>
        <v>31018</v>
      </c>
      <c r="AW278" s="211">
        <f>AW277</f>
        <v>31020</v>
      </c>
      <c r="AX278" s="211">
        <f>IF(AND(ISNUMBER(AX277),ISNUMBER(AV277),ISNUMBER(AU277),ISNUMBER(AT277)),AX277+AV277+AU277+AT277,"")</f>
        <v>26408</v>
      </c>
      <c r="AY278" s="211">
        <f>IF(AND(ISNUMBER(AY277),ISNUMBER(AX277),ISNUMBER(AV277),ISNUMBER(AU277)),AY277+AX277+AV277+AU277,"")</f>
        <v>12144</v>
      </c>
      <c r="AZ278" s="211">
        <f>IF(AND(ISNUMBER(AZ277),ISNUMBER(AY277),ISNUMBER(AX277),ISNUMBER(AV277)),AZ277+AY277+AX277+AV277,"")</f>
        <v>2550</v>
      </c>
      <c r="BA278" s="211">
        <f>IF(AND(ISNUMBER(BA277),ISNUMBER(AZ277),ISNUMBER(AY277),ISNUMBER(AX277)),BA277+AZ277+AY277+AX277,"")</f>
        <v>-9069</v>
      </c>
      <c r="BB278" s="211">
        <f>BB277</f>
        <v>-9069</v>
      </c>
      <c r="BC278" s="211">
        <f>IF(AND(ISNUMBER(BC277),ISNUMBER(BA277),ISNUMBER(AZ277),ISNUMBER(AY277)),BC277+BA277+AZ277+AY277,"")</f>
        <v>-18627</v>
      </c>
      <c r="BD278" s="211">
        <f>IF(AND(ISNUMBER(BD277),ISNUMBER(BC277),ISNUMBER(BA277),ISNUMBER(AZ277)),BD277+BC277+BA277+AZ277,"")</f>
        <v>-23487</v>
      </c>
      <c r="BE278" s="211">
        <f>IF(AND(ISNUMBER(BE277),ISNUMBER(BD277),ISNUMBER(BC277),ISNUMBER(BA277)),BE277+BD277+BC277+BA277,"")</f>
        <v>-19686</v>
      </c>
      <c r="BF278" s="211">
        <f>IF(AND(ISNUMBER(BF277),ISNUMBER(BE277),ISNUMBER(BD277),ISNUMBER(BC277)),BF277+BE277+BD277+BC277,"")</f>
        <v>-11569</v>
      </c>
      <c r="BG278" s="211">
        <f>BG277</f>
        <v>-11569</v>
      </c>
      <c r="BH278" s="211">
        <f>IF(AND(ISNUMBER(BH277),ISNUMBER(BF277),ISNUMBER(BE277),ISNUMBER(BD277)),BH277+BF277+BE277+BD277,"")</f>
        <v>-3319</v>
      </c>
      <c r="BI278" s="211">
        <f>IF(AND(ISNUMBER(BI277),ISNUMBER(BH277),ISNUMBER(BF277),ISNUMBER(BE277)),BI277+BH277+BF277+BE277,"")</f>
        <v>7878</v>
      </c>
      <c r="BJ278" s="211">
        <f>IF(AND(ISNUMBER(BJ277),ISNUMBER(BI277),ISNUMBER(BH277),ISNUMBER(BF277)),BJ277+BI277+BH277+BF277,"")</f>
        <v>21434</v>
      </c>
      <c r="BK278" s="211">
        <f>IF(AND(ISNUMBER(BK277),ISNUMBER(BJ277),ISNUMBER(BI277),ISNUMBER(BH277)),BK277+BJ277+BI277+BH277,"")</f>
        <v>36813</v>
      </c>
      <c r="BL278" s="211">
        <f>BL277</f>
        <v>36813</v>
      </c>
      <c r="BM278" s="211">
        <f>IF(AND(ISNUMBER(BM277),ISNUMBER(BK277),ISNUMBER(BJ277),ISNUMBER(BI277)),BM277+BK277+BJ277+BI277,"")</f>
        <v>50149</v>
      </c>
      <c r="BN278" s="211">
        <f>IF(AND(ISNUMBER(BN277),ISNUMBER(BM277),ISNUMBER(BK277),ISNUMBER(BJ277)),BN277+BM277+BK277+BJ277,"")</f>
        <v>52973</v>
      </c>
      <c r="BO278" s="211">
        <f>IF(AND(ISNUMBER(BO277),ISNUMBER(BN277),ISNUMBER(BM277),ISNUMBER(BK277)),BO277+BN277+BM277+BK277,"")</f>
        <v>47747</v>
      </c>
      <c r="BP278" s="211">
        <f>IF(AND(ISNUMBER(BP277),ISNUMBER(BO277),ISNUMBER(BN277),ISNUMBER(BM277)),BP277+BO277+BN277+BM277,"")</f>
        <v>38219</v>
      </c>
      <c r="BQ278" s="211">
        <f>BQ277</f>
        <v>38219</v>
      </c>
      <c r="BR278" s="211">
        <f>IF(AND(ISNUMBER(BR277),ISNUMBER(BP277),ISNUMBER(BO277),ISNUMBER(BN277)),BR277+BP277+BO277+BN277,"")</f>
        <v>25925</v>
      </c>
      <c r="BS278" s="211">
        <f>IF(AND(ISNUMBER(BS277),ISNUMBER(BR277),ISNUMBER(BP277),ISNUMBER(BO277)),BS277+BR277+BP277+BO277,"")</f>
        <v>18184</v>
      </c>
      <c r="BT278" s="211">
        <f>IF(AND(ISNUMBER(BT277),ISNUMBER(BS277),ISNUMBER(BR277),ISNUMBER(BP277)),BT277+BS277+BR277+BP277,"")</f>
        <v>14788</v>
      </c>
      <c r="BU278" s="211">
        <f>IF(AND(ISNUMBER(BU277),ISNUMBER(BT277),ISNUMBER(BS277),ISNUMBER(BR277)),BU277+BT277+BS277+BR277,"")</f>
        <v>11194</v>
      </c>
      <c r="BV278" s="211">
        <f>BV277</f>
        <v>11194</v>
      </c>
      <c r="BW278" s="211">
        <f>IF(AND(ISNUMBER(BW277),ISNUMBER(BU277),ISNUMBER(BT277),ISNUMBER(BS277)),BW277+BU277+BT277+BS277,"")</f>
        <v>1232</v>
      </c>
      <c r="BX278" s="211">
        <f>IF(AND(ISNUMBER(BX277),ISNUMBER(BW277),ISNUMBER(BU277),ISNUMBER(BT277)),BX277+BW277+BU277+BT277,"")</f>
        <v>-7604</v>
      </c>
      <c r="BY278" s="35" t="n"/>
      <c r="BZ278" s="35" t="n"/>
      <c r="CA278" s="35" t="n"/>
      <c r="CB278" s="35" t="n"/>
      <c r="CC278" s="35" t="n"/>
      <c r="CD278" s="35" t="n"/>
      <c r="CE278" s="35" t="n"/>
      <c r="CF278" s="19" t="n"/>
    </row>
    <row r="279" ht="15" customHeight="1" s="251">
      <c r="B279" s="25" t="inlineStr">
        <is>
          <t xml:space="preserve">  Basis difference: prior-year quarters restated in the release (ASU 2016-09 in 2017; ASU 2016-15 / 2016-18 in 2018)</t>
        </is>
      </c>
      <c r="C279" s="34" t="n"/>
      <c r="D279" s="34" t="n"/>
      <c r="E279" s="34" t="n"/>
      <c r="F279" s="34" t="n"/>
      <c r="G279" s="34" t="n"/>
      <c r="H279" s="34" t="n"/>
      <c r="I279" s="34" t="n"/>
      <c r="J279" s="34" t="n"/>
      <c r="K279" s="34" t="n"/>
      <c r="L279" s="34" t="n"/>
      <c r="M279" s="34" t="n"/>
      <c r="N279" s="34" t="n"/>
      <c r="O279" s="34" t="n"/>
      <c r="P279" s="34" t="n"/>
      <c r="Q279" s="34" t="n"/>
      <c r="R279" s="34" t="n"/>
      <c r="S279" s="34" t="n"/>
      <c r="T279" s="34" t="n"/>
      <c r="U279" s="34" t="n"/>
      <c r="V279" s="34" t="n"/>
      <c r="W279" s="34" t="n"/>
      <c r="X279" s="34" t="n"/>
      <c r="Y279" s="34" t="n"/>
      <c r="Z279" s="34" t="n"/>
      <c r="AA279" s="34" t="n"/>
      <c r="AB279" s="34" t="n"/>
      <c r="AC279" s="34" t="n"/>
      <c r="AD279" s="253" t="n">
        <v>623</v>
      </c>
      <c r="AE279" s="253" t="n">
        <v>510</v>
      </c>
      <c r="AF279" s="253" t="n">
        <v>335</v>
      </c>
      <c r="AG279" s="34" t="n"/>
      <c r="AH279" s="34" t="n"/>
      <c r="AI279" s="253" t="n">
        <v>-40</v>
      </c>
      <c r="AJ279" s="253" t="n">
        <v>-61</v>
      </c>
      <c r="AK279" s="253" t="n">
        <v>14</v>
      </c>
      <c r="AL279" s="34" t="n"/>
      <c r="AM279" s="34" t="n"/>
      <c r="AN279" s="34" t="n"/>
      <c r="AO279" s="34" t="n"/>
      <c r="AP279" s="34" t="n"/>
      <c r="AQ279" s="34" t="n"/>
      <c r="AR279" s="34" t="n"/>
      <c r="AS279" s="34" t="n"/>
      <c r="AT279" s="34" t="n"/>
      <c r="AU279" s="34" t="n"/>
      <c r="AV279" s="34" t="n"/>
      <c r="AW279" s="34" t="n"/>
      <c r="AX279" s="34" t="n"/>
      <c r="AY279" s="34" t="n"/>
      <c r="AZ279" s="34" t="n"/>
      <c r="BA279" s="34" t="n"/>
      <c r="BB279" s="34" t="n"/>
      <c r="BC279" s="34" t="n"/>
      <c r="BD279" s="34" t="n"/>
      <c r="BE279" s="34" t="n"/>
      <c r="BF279" s="34" t="n"/>
      <c r="BG279" s="34" t="n"/>
      <c r="BH279" s="34" t="n"/>
      <c r="BI279" s="34" t="n"/>
      <c r="BJ279" s="34" t="n"/>
      <c r="BK279" s="34" t="n"/>
      <c r="BL279" s="34" t="n"/>
      <c r="BM279" s="34" t="n"/>
      <c r="BN279" s="34" t="n"/>
      <c r="BO279" s="34" t="n"/>
      <c r="BP279" s="34" t="n"/>
      <c r="BQ279" s="34" t="n"/>
      <c r="BR279" s="34" t="n"/>
      <c r="BS279" s="34" t="n"/>
      <c r="BT279" s="34" t="n"/>
      <c r="BU279" s="34" t="n"/>
      <c r="BV279" s="34" t="n"/>
      <c r="BW279" s="34" t="n"/>
      <c r="BX279" s="34" t="n"/>
      <c r="BY279" s="35" t="n"/>
      <c r="BZ279" s="35" t="n"/>
      <c r="CA279" s="35" t="n"/>
      <c r="CB279" s="35" t="n"/>
      <c r="CC279" s="35" t="n"/>
      <c r="CD279" s="35" t="n"/>
      <c r="CE279" s="35" t="n"/>
      <c r="CF279" s="19" t="n"/>
    </row>
    <row r="280" ht="15" customHeight="1" s="251">
      <c r="B280" s="156" t="inlineStr">
        <is>
          <t xml:space="preserve">  Company-published free cash flow — TTM</t>
        </is>
      </c>
      <c r="C280" s="253" t="n">
        <v>486</v>
      </c>
      <c r="D280" s="253" t="n">
        <v>1181</v>
      </c>
      <c r="E280" s="253" t="n">
        <v>1364</v>
      </c>
      <c r="F280" s="253" t="n">
        <v>2920</v>
      </c>
      <c r="G280" s="253" t="n">
        <v>2516</v>
      </c>
      <c r="H280" s="253" t="n">
        <v>2092</v>
      </c>
      <c r="I280" s="253" t="n">
        <v>395</v>
      </c>
      <c r="J280" s="253" t="n">
        <v>177</v>
      </c>
      <c r="K280" s="253" t="n">
        <v>265</v>
      </c>
      <c r="L280" s="253" t="n">
        <v>388</v>
      </c>
      <c r="M280" s="253" t="n">
        <v>2031</v>
      </c>
      <c r="N280" s="253" t="n">
        <v>2031</v>
      </c>
      <c r="O280" s="253" t="n">
        <v>1491</v>
      </c>
      <c r="P280" s="253" t="n">
        <v>1039</v>
      </c>
      <c r="Q280" s="253" t="n">
        <v>1077</v>
      </c>
      <c r="R280" s="253" t="n">
        <v>1949</v>
      </c>
      <c r="S280" s="253" t="n">
        <v>1949</v>
      </c>
      <c r="T280" s="253" t="n">
        <v>3161</v>
      </c>
      <c r="U280" s="253" t="n">
        <v>4373</v>
      </c>
      <c r="V280" s="253" t="n">
        <v>5399</v>
      </c>
      <c r="W280" s="253" t="n">
        <v>7331</v>
      </c>
      <c r="X280" s="253" t="n">
        <v>7331</v>
      </c>
      <c r="Y280" s="253" t="n">
        <v>6361</v>
      </c>
      <c r="Z280" s="253" t="n">
        <v>7331</v>
      </c>
      <c r="AA280" s="253" t="n">
        <v>8563</v>
      </c>
      <c r="AB280" s="253" t="n">
        <v>9706</v>
      </c>
      <c r="AC280" s="253" t="n">
        <v>9706</v>
      </c>
      <c r="AD280" s="253" t="n">
        <v>10217</v>
      </c>
      <c r="AE280" s="253" t="n">
        <v>9678</v>
      </c>
      <c r="AF280" s="253" t="n">
        <v>8050</v>
      </c>
      <c r="AG280" s="253" t="n">
        <v>8376</v>
      </c>
      <c r="AH280" s="253" t="n">
        <v>8376</v>
      </c>
      <c r="AI280" s="253" t="n">
        <v>7270</v>
      </c>
      <c r="AJ280" s="253" t="n">
        <v>10421</v>
      </c>
      <c r="AK280" s="253" t="n">
        <v>15365</v>
      </c>
      <c r="AL280" s="253" t="n">
        <v>19400</v>
      </c>
      <c r="AM280" s="253" t="n">
        <v>19400</v>
      </c>
      <c r="AN280" s="253" t="n">
        <v>23044</v>
      </c>
      <c r="AO280" s="253" t="n">
        <v>25018</v>
      </c>
      <c r="AP280" s="253" t="n">
        <v>23464</v>
      </c>
      <c r="AQ280" s="253" t="n">
        <v>25825</v>
      </c>
      <c r="AR280" s="253" t="n">
        <v>25825</v>
      </c>
      <c r="AS280" s="253" t="n">
        <v>24337</v>
      </c>
      <c r="AT280" s="253" t="n">
        <v>31852</v>
      </c>
      <c r="AU280" s="253" t="n">
        <v>29501</v>
      </c>
      <c r="AV280" s="253" t="n">
        <v>31020</v>
      </c>
      <c r="AW280" s="253" t="n">
        <v>31020</v>
      </c>
      <c r="AX280" s="253" t="n">
        <v>26410</v>
      </c>
      <c r="AY280" s="253" t="n">
        <v>12146</v>
      </c>
      <c r="AZ280" s="253" t="n">
        <v>2552</v>
      </c>
      <c r="BA280" s="253" t="n">
        <v>-9069</v>
      </c>
      <c r="BB280" s="253" t="n">
        <v>-9069</v>
      </c>
      <c r="BC280" s="253" t="n">
        <v>-18627</v>
      </c>
      <c r="BD280" s="253" t="n">
        <v>-23487</v>
      </c>
      <c r="BE280" s="253" t="n">
        <v>-19686</v>
      </c>
      <c r="BF280" s="253" t="n">
        <v>-11569</v>
      </c>
      <c r="BG280" s="253" t="n">
        <v>-11569</v>
      </c>
      <c r="BH280" s="253" t="n">
        <v>-3319</v>
      </c>
      <c r="BI280" s="253" t="n">
        <v>7878</v>
      </c>
      <c r="BJ280" s="253" t="n">
        <v>21434</v>
      </c>
      <c r="BK280" s="253" t="n">
        <v>36813</v>
      </c>
      <c r="BL280" s="253" t="n">
        <v>36813</v>
      </c>
      <c r="BM280" s="253" t="n">
        <v>50149</v>
      </c>
      <c r="BN280" s="253" t="n">
        <v>52973</v>
      </c>
      <c r="BO280" s="253" t="n">
        <v>47747</v>
      </c>
      <c r="BP280" s="253" t="n">
        <v>38219</v>
      </c>
      <c r="BQ280" s="253" t="n">
        <v>38219</v>
      </c>
      <c r="BR280" s="253" t="n">
        <v>25925</v>
      </c>
      <c r="BS280" s="253" t="n">
        <v>18184</v>
      </c>
      <c r="BT280" s="253" t="n">
        <v>14788</v>
      </c>
      <c r="BU280" s="253" t="n">
        <v>11194</v>
      </c>
      <c r="BV280" s="253" t="n">
        <v>11194</v>
      </c>
      <c r="BW280" s="253" t="n">
        <v>1232</v>
      </c>
      <c r="BX280" s="253" t="n">
        <v>-7604</v>
      </c>
      <c r="BY280" s="153" t="n"/>
      <c r="BZ280" s="153" t="n"/>
      <c r="CA280" s="153" t="n"/>
      <c r="CB280" s="153" t="n"/>
      <c r="CC280" s="153" t="n"/>
      <c r="CD280" s="153" t="n"/>
      <c r="CE280" s="153" t="n"/>
      <c r="CF280" s="153" t="n"/>
    </row>
    <row r="281" ht="15" customHeight="1" s="251">
      <c r="B281" s="57" t="inlineStr">
        <is>
          <t xml:space="preserve">  Check: model TTM + basis difference vs company-published (should be 0; ±3 rounding)</t>
        </is>
      </c>
      <c r="C281" s="211">
        <f>IF(AND(ISNUMBER(C280),ISNUMBER(C278)),IF(ABS(C278+N(C279)-C280)&lt;=3.01,0,ROUND(C278+N(C279)-C280,0)),"n/p")</f>
        <v>0</v>
      </c>
      <c r="D281" s="211">
        <f>IF(AND(ISNUMBER(D280),ISNUMBER(D278)),IF(ABS(D278+N(D279)-D280)&lt;=3.01,0,ROUND(D278+N(D279)-D280,0)),"n/p")</f>
        <v>0</v>
      </c>
      <c r="E281" s="211">
        <f>IF(AND(ISNUMBER(E280),ISNUMBER(E278)),IF(ABS(E278+N(E279)-E280)&lt;=3.01,0,ROUND(E278+N(E279)-E280,0)),"n/p")</f>
        <v>0</v>
      </c>
      <c r="F281" s="211">
        <f>IF(AND(ISNUMBER(F280),ISNUMBER(F278)),IF(ABS(F278+N(F279)-F280)&lt;=3.01,0,ROUND(F278+N(F279)-F280,0)),"n/p")</f>
        <v>0</v>
      </c>
      <c r="G281" s="211">
        <f>IF(AND(ISNUMBER(G280),ISNUMBER(G278)),IF(ABS(G278+N(G279)-G280)&lt;=3.01,0,ROUND(G278+N(G279)-G280,0)),"n/p")</f>
        <v>0</v>
      </c>
      <c r="H281" s="211">
        <f>IF(AND(ISNUMBER(H280),ISNUMBER(H278)),IF(ABS(H278+N(H279)-H280)&lt;=3.01,0,ROUND(H278+N(H279)-H280,0)),"n/p")</f>
        <v>0</v>
      </c>
      <c r="I281" s="211">
        <f>IF(AND(ISNUMBER(I280),ISNUMBER(I278)),IF(ABS(I278+N(I279)-I280)&lt;=3.01,0,ROUND(I278+N(I279)-I280,0)),"n/p")</f>
        <v>0</v>
      </c>
      <c r="J281" s="211" t="str">
        <f>IF(AND(ISNUMBER(J280),ISNUMBER(J278)),IF(ABS(J278+N(J279)-J280)&lt;=3.01,0,ROUND(J278+N(J279)-J280,0)),"n/p")</f>
        <v>n/p</v>
      </c>
      <c r="K281" s="211" t="str">
        <f>IF(AND(ISNUMBER(K280),ISNUMBER(K278)),IF(ABS(K278+N(K279)-K280)&lt;=3.01,0,ROUND(K278+N(K279)-K280,0)),"n/p")</f>
        <v>n/p</v>
      </c>
      <c r="L281" s="211" t="str">
        <f>IF(AND(ISNUMBER(L280),ISNUMBER(L278)),IF(ABS(L278+N(L279)-L280)&lt;=3.01,0,ROUND(L278+N(L279)-L280,0)),"n/p")</f>
        <v>n/p</v>
      </c>
      <c r="M281" s="211">
        <f>IF(AND(ISNUMBER(M280),ISNUMBER(M278)),IF(ABS(M278+N(M279)-M280)&lt;=3.01,0,ROUND(M278+N(M279)-M280,0)),"n/p")</f>
        <v>0</v>
      </c>
      <c r="N281" s="211">
        <f>IF(AND(ISNUMBER(N280),ISNUMBER(N278)),IF(ABS(N278+N(N279)-N280)&lt;=3.01,0,ROUND(N278+N(N279)-N280,0)),"n/p")</f>
        <v>0</v>
      </c>
      <c r="O281" s="211">
        <f>IF(AND(ISNUMBER(O280),ISNUMBER(O278)),IF(ABS(O278+N(O279)-O280)&lt;=3.01,0,ROUND(O278+N(O279)-O280,0)),"n/p")</f>
        <v>0</v>
      </c>
      <c r="P281" s="211">
        <f>IF(AND(ISNUMBER(P280),ISNUMBER(P278)),IF(ABS(P278+N(P279)-P280)&lt;=3.01,0,ROUND(P278+N(P279)-P280,0)),"n/p")</f>
        <v>0</v>
      </c>
      <c r="Q281" s="211">
        <f>IF(AND(ISNUMBER(Q280),ISNUMBER(Q278)),IF(ABS(Q278+N(Q279)-Q280)&lt;=3.01,0,ROUND(Q278+N(Q279)-Q280,0)),"n/p")</f>
        <v>0</v>
      </c>
      <c r="R281" s="211">
        <f>IF(AND(ISNUMBER(R280),ISNUMBER(R278)),IF(ABS(R278+N(R279)-R280)&lt;=3.01,0,ROUND(R278+N(R279)-R280,0)),"n/p")</f>
        <v>0</v>
      </c>
      <c r="S281" s="211">
        <f>IF(AND(ISNUMBER(S280),ISNUMBER(S278)),IF(ABS(S278+N(S279)-S280)&lt;=3.01,0,ROUND(S278+N(S279)-S280,0)),"n/p")</f>
        <v>0</v>
      </c>
      <c r="T281" s="211">
        <f>IF(AND(ISNUMBER(T280),ISNUMBER(T278)),IF(ABS(T278+N(T279)-T280)&lt;=3.01,0,ROUND(T278+N(T279)-T280,0)),"n/p")</f>
        <v>0</v>
      </c>
      <c r="U281" s="211">
        <f>IF(AND(ISNUMBER(U280),ISNUMBER(U278)),IF(ABS(U278+N(U279)-U280)&lt;=3.01,0,ROUND(U278+N(U279)-U280,0)),"n/p")</f>
        <v>0</v>
      </c>
      <c r="V281" s="211">
        <f>IF(AND(ISNUMBER(V280),ISNUMBER(V278)),IF(ABS(V278+N(V279)-V280)&lt;=3.01,0,ROUND(V278+N(V279)-V280,0)),"n/p")</f>
        <v>0</v>
      </c>
      <c r="W281" s="211">
        <f>IF(AND(ISNUMBER(W280),ISNUMBER(W278)),IF(ABS(W278+N(W279)-W280)&lt;=3.01,0,ROUND(W278+N(W279)-W280,0)),"n/p")</f>
        <v>0</v>
      </c>
      <c r="X281" s="211">
        <f>IF(AND(ISNUMBER(X280),ISNUMBER(X278)),IF(ABS(X278+N(X279)-X280)&lt;=3.01,0,ROUND(X278+N(X279)-X280,0)),"n/p")</f>
        <v>0</v>
      </c>
      <c r="Y281" s="211">
        <f>IF(AND(ISNUMBER(Y280),ISNUMBER(Y278)),IF(ABS(Y278+N(Y279)-Y280)&lt;=3.01,0,ROUND(Y278+N(Y279)-Y280,0)),"n/p")</f>
        <v>0</v>
      </c>
      <c r="Z281" s="211">
        <f>IF(AND(ISNUMBER(Z280),ISNUMBER(Z278)),IF(ABS(Z278+N(Z279)-Z280)&lt;=3.01,0,ROUND(Z278+N(Z279)-Z280,0)),"n/p")</f>
        <v>0</v>
      </c>
      <c r="AA281" s="211">
        <f>IF(AND(ISNUMBER(AA280),ISNUMBER(AA278)),IF(ABS(AA278+N(AA279)-AA280)&lt;=3.01,0,ROUND(AA278+N(AA279)-AA280,0)),"n/p")</f>
        <v>0</v>
      </c>
      <c r="AB281" s="211">
        <f>IF(AND(ISNUMBER(AB280),ISNUMBER(AB278)),IF(ABS(AB278+N(AB279)-AB280)&lt;=3.01,0,ROUND(AB278+N(AB279)-AB280,0)),"n/p")</f>
        <v>0</v>
      </c>
      <c r="AC281" s="211">
        <f>IF(AND(ISNUMBER(AC280),ISNUMBER(AC278)),IF(ABS(AC278+N(AC279)-AC280)&lt;=3.01,0,ROUND(AC278+N(AC279)-AC280,0)),"n/p")</f>
        <v>0</v>
      </c>
      <c r="AD281" s="211">
        <f>IF(AND(ISNUMBER(AD280),ISNUMBER(AD278)),IF(ABS(AD278+N(AD279)-AD280)&lt;=3.01,0,ROUND(AD278+N(AD279)-AD280,0)),"n/p")</f>
        <v>0</v>
      </c>
      <c r="AE281" s="211">
        <f>IF(AND(ISNUMBER(AE280),ISNUMBER(AE278)),IF(ABS(AE278+N(AE279)-AE280)&lt;=3.01,0,ROUND(AE278+N(AE279)-AE280,0)),"n/p")</f>
        <v>0</v>
      </c>
      <c r="AF281" s="211">
        <f>IF(AND(ISNUMBER(AF280),ISNUMBER(AF278)),IF(ABS(AF278+N(AF279)-AF280)&lt;=3.01,0,ROUND(AF278+N(AF279)-AF280,0)),"n/p")</f>
        <v>0</v>
      </c>
      <c r="AG281" s="211">
        <f>IF(AND(ISNUMBER(AG280),ISNUMBER(AG278)),IF(ABS(AG278+N(AG279)-AG280)&lt;=3.01,0,ROUND(AG278+N(AG279)-AG280,0)),"n/p")</f>
        <v>0</v>
      </c>
      <c r="AH281" s="211">
        <f>IF(AND(ISNUMBER(AH280),ISNUMBER(AH278)),IF(ABS(AH278+N(AH279)-AH280)&lt;=3.01,0,ROUND(AH278+N(AH279)-AH280,0)),"n/p")</f>
        <v>0</v>
      </c>
      <c r="AI281" s="211">
        <f>IF(AND(ISNUMBER(AI280),ISNUMBER(AI278)),IF(ABS(AI278+N(AI279)-AI280)&lt;=3.01,0,ROUND(AI278+N(AI279)-AI280,0)),"n/p")</f>
        <v>0</v>
      </c>
      <c r="AJ281" s="211">
        <f>IF(AND(ISNUMBER(AJ280),ISNUMBER(AJ278)),IF(ABS(AJ278+N(AJ279)-AJ280)&lt;=3.01,0,ROUND(AJ278+N(AJ279)-AJ280,0)),"n/p")</f>
        <v>0</v>
      </c>
      <c r="AK281" s="211">
        <f>IF(AND(ISNUMBER(AK280),ISNUMBER(AK278)),IF(ABS(AK278+N(AK279)-AK280)&lt;=3.01,0,ROUND(AK278+N(AK279)-AK280,0)),"n/p")</f>
        <v>0</v>
      </c>
      <c r="AL281" s="211">
        <f>IF(AND(ISNUMBER(AL280),ISNUMBER(AL278)),IF(ABS(AL278+N(AL279)-AL280)&lt;=3.01,0,ROUND(AL278+N(AL279)-AL280,0)),"n/p")</f>
        <v>0</v>
      </c>
      <c r="AM281" s="211">
        <f>IF(AND(ISNUMBER(AM280),ISNUMBER(AM278)),IF(ABS(AM278+N(AM279)-AM280)&lt;=3.01,0,ROUND(AM278+N(AM279)-AM280,0)),"n/p")</f>
        <v>0</v>
      </c>
      <c r="AN281" s="211">
        <f>IF(AND(ISNUMBER(AN280),ISNUMBER(AN278)),IF(ABS(AN278+N(AN279)-AN280)&lt;=3.01,0,ROUND(AN278+N(AN279)-AN280,0)),"n/p")</f>
        <v>0</v>
      </c>
      <c r="AO281" s="211">
        <f>IF(AND(ISNUMBER(AO280),ISNUMBER(AO278)),IF(ABS(AO278+N(AO279)-AO280)&lt;=3.01,0,ROUND(AO278+N(AO279)-AO280,0)),"n/p")</f>
        <v>0</v>
      </c>
      <c r="AP281" s="211">
        <f>IF(AND(ISNUMBER(AP280),ISNUMBER(AP278)),IF(ABS(AP278+N(AP279)-AP280)&lt;=3.01,0,ROUND(AP278+N(AP279)-AP280,0)),"n/p")</f>
        <v>0</v>
      </c>
      <c r="AQ281" s="211">
        <f>IF(AND(ISNUMBER(AQ280),ISNUMBER(AQ278)),IF(ABS(AQ278+N(AQ279)-AQ280)&lt;=3.01,0,ROUND(AQ278+N(AQ279)-AQ280,0)),"n/p")</f>
        <v>0</v>
      </c>
      <c r="AR281" s="211">
        <f>IF(AND(ISNUMBER(AR280),ISNUMBER(AR278)),IF(ABS(AR278+N(AR279)-AR280)&lt;=3.01,0,ROUND(AR278+N(AR279)-AR280,0)),"n/p")</f>
        <v>0</v>
      </c>
      <c r="AS281" s="211">
        <f>IF(AND(ISNUMBER(AS280),ISNUMBER(AS278)),IF(ABS(AS278+N(AS279)-AS280)&lt;=3.01,0,ROUND(AS278+N(AS279)-AS280,0)),"n/p")</f>
        <v>0</v>
      </c>
      <c r="AT281" s="211">
        <f>IF(AND(ISNUMBER(AT280),ISNUMBER(AT278)),IF(ABS(AT278+N(AT279)-AT280)&lt;=3.01,0,ROUND(AT278+N(AT279)-AT280,0)),"n/p")</f>
        <v>0</v>
      </c>
      <c r="AU281" s="211">
        <f>IF(AND(ISNUMBER(AU280),ISNUMBER(AU278)),IF(ABS(AU278+N(AU279)-AU280)&lt;=3.01,0,ROUND(AU278+N(AU279)-AU280,0)),"n/p")</f>
        <v>0</v>
      </c>
      <c r="AV281" s="211">
        <f>IF(AND(ISNUMBER(AV280),ISNUMBER(AV278)),IF(ABS(AV278+N(AV279)-AV280)&lt;=3.01,0,ROUND(AV278+N(AV279)-AV280,0)),"n/p")</f>
        <v>0</v>
      </c>
      <c r="AW281" s="211">
        <f>IF(AND(ISNUMBER(AW280),ISNUMBER(AW278)),IF(ABS(AW278+N(AW279)-AW280)&lt;=3.01,0,ROUND(AW278+N(AW279)-AW280,0)),"n/p")</f>
        <v>0</v>
      </c>
      <c r="AX281" s="211">
        <f>IF(AND(ISNUMBER(AX280),ISNUMBER(AX278)),IF(ABS(AX278+N(AX279)-AX280)&lt;=3.01,0,ROUND(AX278+N(AX279)-AX280,0)),"n/p")</f>
        <v>0</v>
      </c>
      <c r="AY281" s="211">
        <f>IF(AND(ISNUMBER(AY280),ISNUMBER(AY278)),IF(ABS(AY278+N(AY279)-AY280)&lt;=3.01,0,ROUND(AY278+N(AY279)-AY280,0)),"n/p")</f>
        <v>0</v>
      </c>
      <c r="AZ281" s="211">
        <f>IF(AND(ISNUMBER(AZ280),ISNUMBER(AZ278)),IF(ABS(AZ278+N(AZ279)-AZ280)&lt;=3.01,0,ROUND(AZ278+N(AZ279)-AZ280,0)),"n/p")</f>
        <v>0</v>
      </c>
      <c r="BA281" s="211">
        <f>IF(AND(ISNUMBER(BA280),ISNUMBER(BA278)),IF(ABS(BA278+N(BA279)-BA280)&lt;=3.01,0,ROUND(BA278+N(BA279)-BA280,0)),"n/p")</f>
        <v>0</v>
      </c>
      <c r="BB281" s="211">
        <f>IF(AND(ISNUMBER(BB280),ISNUMBER(BB278)),IF(ABS(BB278+N(BB279)-BB280)&lt;=3.01,0,ROUND(BB278+N(BB279)-BB280,0)),"n/p")</f>
        <v>0</v>
      </c>
      <c r="BC281" s="211">
        <f>IF(AND(ISNUMBER(BC280),ISNUMBER(BC278)),IF(ABS(BC278+N(BC279)-BC280)&lt;=3.01,0,ROUND(BC278+N(BC279)-BC280,0)),"n/p")</f>
        <v>0</v>
      </c>
      <c r="BD281" s="211">
        <f>IF(AND(ISNUMBER(BD280),ISNUMBER(BD278)),IF(ABS(BD278+N(BD279)-BD280)&lt;=3.01,0,ROUND(BD278+N(BD279)-BD280,0)),"n/p")</f>
        <v>0</v>
      </c>
      <c r="BE281" s="211">
        <f>IF(AND(ISNUMBER(BE280),ISNUMBER(BE278)),IF(ABS(BE278+N(BE279)-BE280)&lt;=3.01,0,ROUND(BE278+N(BE279)-BE280,0)),"n/p")</f>
        <v>0</v>
      </c>
      <c r="BF281" s="211">
        <f>IF(AND(ISNUMBER(BF280),ISNUMBER(BF278)),IF(ABS(BF278+N(BF279)-BF280)&lt;=3.01,0,ROUND(BF278+N(BF279)-BF280,0)),"n/p")</f>
        <v>0</v>
      </c>
      <c r="BG281" s="211">
        <f>IF(AND(ISNUMBER(BG280),ISNUMBER(BG278)),IF(ABS(BG278+N(BG279)-BG280)&lt;=3.01,0,ROUND(BG278+N(BG279)-BG280,0)),"n/p")</f>
        <v>0</v>
      </c>
      <c r="BH281" s="211">
        <f>IF(AND(ISNUMBER(BH280),ISNUMBER(BH278)),IF(ABS(BH278+N(BH279)-BH280)&lt;=3.01,0,ROUND(BH278+N(BH279)-BH280,0)),"n/p")</f>
        <v>0</v>
      </c>
      <c r="BI281" s="211">
        <f>IF(AND(ISNUMBER(BI280),ISNUMBER(BI278)),IF(ABS(BI278+N(BI279)-BI280)&lt;=3.01,0,ROUND(BI278+N(BI279)-BI280,0)),"n/p")</f>
        <v>0</v>
      </c>
      <c r="BJ281" s="211">
        <f>IF(AND(ISNUMBER(BJ280),ISNUMBER(BJ278)),IF(ABS(BJ278+N(BJ279)-BJ280)&lt;=3.01,0,ROUND(BJ278+N(BJ279)-BJ280,0)),"n/p")</f>
        <v>0</v>
      </c>
      <c r="BK281" s="211">
        <f>IF(AND(ISNUMBER(BK280),ISNUMBER(BK278)),IF(ABS(BK278+N(BK279)-BK280)&lt;=3.01,0,ROUND(BK278+N(BK279)-BK280,0)),"n/p")</f>
        <v>0</v>
      </c>
      <c r="BL281" s="211">
        <f>IF(AND(ISNUMBER(BL280),ISNUMBER(BL278)),IF(ABS(BL278+N(BL279)-BL280)&lt;=3.01,0,ROUND(BL278+N(BL279)-BL280,0)),"n/p")</f>
        <v>0</v>
      </c>
      <c r="BM281" s="211">
        <f>IF(AND(ISNUMBER(BM280),ISNUMBER(BM278)),IF(ABS(BM278+N(BM279)-BM280)&lt;=3.01,0,ROUND(BM278+N(BM279)-BM280,0)),"n/p")</f>
        <v>0</v>
      </c>
      <c r="BN281" s="211">
        <f>IF(AND(ISNUMBER(BN280),ISNUMBER(BN278)),IF(ABS(BN278+N(BN279)-BN280)&lt;=3.01,0,ROUND(BN278+N(BN279)-BN280,0)),"n/p")</f>
        <v>0</v>
      </c>
      <c r="BO281" s="211">
        <f>IF(AND(ISNUMBER(BO280),ISNUMBER(BO278)),IF(ABS(BO278+N(BO279)-BO280)&lt;=3.01,0,ROUND(BO278+N(BO279)-BO280,0)),"n/p")</f>
        <v>0</v>
      </c>
      <c r="BP281" s="211">
        <f>IF(AND(ISNUMBER(BP280),ISNUMBER(BP278)),IF(ABS(BP278+N(BP279)-BP280)&lt;=3.01,0,ROUND(BP278+N(BP279)-BP280,0)),"n/p")</f>
        <v>0</v>
      </c>
      <c r="BQ281" s="211">
        <f>IF(AND(ISNUMBER(BQ280),ISNUMBER(BQ278)),IF(ABS(BQ278+N(BQ279)-BQ280)&lt;=3.01,0,ROUND(BQ278+N(BQ279)-BQ280,0)),"n/p")</f>
        <v>0</v>
      </c>
      <c r="BR281" s="211">
        <f>IF(AND(ISNUMBER(BR280),ISNUMBER(BR278)),IF(ABS(BR278+N(BR279)-BR280)&lt;=3.01,0,ROUND(BR278+N(BR279)-BR280,0)),"n/p")</f>
        <v>0</v>
      </c>
      <c r="BS281" s="211">
        <f>IF(AND(ISNUMBER(BS280),ISNUMBER(BS278)),IF(ABS(BS278+N(BS279)-BS280)&lt;=3.01,0,ROUND(BS278+N(BS279)-BS280,0)),"n/p")</f>
        <v>0</v>
      </c>
      <c r="BT281" s="211">
        <f>IF(AND(ISNUMBER(BT280),ISNUMBER(BT278)),IF(ABS(BT278+N(BT279)-BT280)&lt;=3.01,0,ROUND(BT278+N(BT279)-BT280,0)),"n/p")</f>
        <v>0</v>
      </c>
      <c r="BU281" s="211">
        <f>IF(AND(ISNUMBER(BU280),ISNUMBER(BU278)),IF(ABS(BU278+N(BU279)-BU280)&lt;=3.01,0,ROUND(BU278+N(BU279)-BU280,0)),"n/p")</f>
        <v>0</v>
      </c>
      <c r="BV281" s="211">
        <f>IF(AND(ISNUMBER(BV280),ISNUMBER(BV278)),IF(ABS(BV278+N(BV279)-BV280)&lt;=3.01,0,ROUND(BV278+N(BV279)-BV280,0)),"n/p")</f>
        <v>0</v>
      </c>
      <c r="BW281" s="211">
        <f>IF(AND(ISNUMBER(BW280),ISNUMBER(BW278)),IF(ABS(BW278+N(BW279)-BW280)&lt;=3.01,0,ROUND(BW278+N(BW279)-BW280,0)),"n/p")</f>
        <v>0</v>
      </c>
      <c r="BX281" s="211">
        <f>IF(AND(ISNUMBER(BX280),ISNUMBER(BX278)),IF(ABS(BX278+N(BX279)-BX280)&lt;=3.01,0,ROUND(BX278+N(BX279)-BX280,0)),"n/p")</f>
        <v>0</v>
      </c>
      <c r="BY281" s="153" t="n"/>
      <c r="BZ281" s="153" t="n"/>
      <c r="CA281" s="153" t="n"/>
      <c r="CB281" s="153" t="n"/>
      <c r="CC281" s="153" t="n"/>
      <c r="CD281" s="153" t="n"/>
      <c r="CE281" s="153" t="n"/>
      <c r="CF281" s="153" t="n"/>
    </row>
    <row r="282" ht="15" customHeight="1" s="251">
      <c r="B282" s="55" t="inlineStr">
        <is>
          <t>FCF less principal repayments of finance leases and financing obligations (company definition, published Q4-14–Q4-24)</t>
        </is>
      </c>
      <c r="C282" s="262">
        <f>IF(ISNUMBER(C277),C277+N(C266),"")</f>
        <v>486</v>
      </c>
      <c r="D282" s="262">
        <f>IF(ISNUMBER(D277),D277+N(D266),"")</f>
        <v>1181</v>
      </c>
      <c r="E282" s="262">
        <f>IF(ISNUMBER(E277),E277+N(E266),"")</f>
        <v>1364</v>
      </c>
      <c r="F282" s="262">
        <f>IF(ISNUMBER(F277),F277+N(F266),"")</f>
        <v>2920</v>
      </c>
      <c r="G282" s="262">
        <f>IF(ISNUMBER(G277),G277+N(G266),"")</f>
        <v>2516</v>
      </c>
      <c r="H282" s="262">
        <f>IF(ISNUMBER(H277),H277+N(H266),"")</f>
        <v>2092</v>
      </c>
      <c r="I282" s="262">
        <f>IF(ISNUMBER(I277),I277+N(I266),"")</f>
        <v>395</v>
      </c>
      <c r="J282" s="262">
        <f>IF(ISNUMBER(J277),J277+N(J266),"")</f>
        <v>-3042</v>
      </c>
      <c r="K282" s="262">
        <f>IF(ISNUMBER(K277),K277+N(K266),"")</f>
        <v>25</v>
      </c>
      <c r="L282" s="262">
        <f>IF(ISNUMBER(L277),L277+N(L266),"")</f>
        <v>350</v>
      </c>
      <c r="M282" s="262">
        <f>IF(ISNUMBER(M277),M277+N(M266),"")</f>
        <v>4698</v>
      </c>
      <c r="N282" s="262">
        <f>IF(ISNUMBER(N277),N277+N(N266),"")</f>
        <v>2031</v>
      </c>
      <c r="O282" s="262">
        <f>IF(ISNUMBER(O277),O277+N(O266),"")</f>
        <v>-3582</v>
      </c>
      <c r="P282" s="262">
        <f>IF(ISNUMBER(P277),P277+N(P266),"")</f>
        <v>-428</v>
      </c>
      <c r="Q282" s="262">
        <f>IF(ISNUMBER(Q277),Q277+N(Q266),"")</f>
        <v>388</v>
      </c>
      <c r="R282" s="262">
        <f>IF(ISNUMBER(R277),R277+N(R266),"")</f>
        <v>5097</v>
      </c>
      <c r="S282" s="262">
        <f>IF(ISNUMBER(S277),S277+N(S266),"")</f>
        <v>529</v>
      </c>
      <c r="T282" s="262">
        <f>IF(ISNUMBER(T277),T277+N(T266),"")</f>
        <v>-2911</v>
      </c>
      <c r="U282" s="262">
        <f>IF(ISNUMBER(U277),U277+N(U266),"")</f>
        <v>169</v>
      </c>
      <c r="V282" s="262">
        <f>IF(ISNUMBER(V277),V277+N(V266),"")</f>
        <v>738</v>
      </c>
      <c r="W282" s="262">
        <f>IF(ISNUMBER(W277),W277+N(W266),"")</f>
        <v>6753</v>
      </c>
      <c r="X282" s="262">
        <f>IF(ISNUMBER(X277),X277+N(X266),"")</f>
        <v>4748</v>
      </c>
      <c r="Y282" s="262">
        <f>IF(ISNUMBER(Y277),Y277+N(Y266),"")</f>
        <v>-4169</v>
      </c>
      <c r="Z282" s="262">
        <f>IF(ISNUMBER(Z277),Z277+N(Z266),"")</f>
        <v>606</v>
      </c>
      <c r="AA282" s="262">
        <f>IF(ISNUMBER(AA277),AA277+N(AA266),"")</f>
        <v>1663</v>
      </c>
      <c r="AB282" s="262">
        <f>IF(ISNUMBER(AB277),AB277+N(AB266),"")</f>
        <v>7601</v>
      </c>
      <c r="AC282" s="262">
        <f>IF(ISNUMBER(AC277),AC277+N(AC266),"")</f>
        <v>5699</v>
      </c>
      <c r="AD282" s="262">
        <f>IF(ISNUMBER(AD277),AD277+N(AD266),"")</f>
        <v>-4320</v>
      </c>
      <c r="AE282" s="262">
        <f>IF(ISNUMBER(AE277),AE277+N(AE266),"")</f>
        <v>53</v>
      </c>
      <c r="AF282" s="262">
        <f>IF(ISNUMBER(AF277),AF277+N(AF266),"")</f>
        <v>-124</v>
      </c>
      <c r="AG282" s="262">
        <f>IF(ISNUMBER(AG277),AG277+N(AG266),"")</f>
        <v>7770</v>
      </c>
      <c r="AH282" s="262">
        <f>IF(ISNUMBER(AH277),AH277+N(AH266),"")</f>
        <v>3377</v>
      </c>
      <c r="AI282" s="262">
        <f>IF(ISNUMBER(AI277),AI277+N(AI266),"")</f>
        <v>-6605</v>
      </c>
      <c r="AJ282" s="262">
        <f>IF(ISNUMBER(AJ277),AJ277+N(AJ266),"")</f>
        <v>3159</v>
      </c>
      <c r="AK282" s="262">
        <f>IF(ISNUMBER(AK277),AK277+N(AK266),"")</f>
        <v>3732</v>
      </c>
      <c r="AL282" s="262">
        <f>IF(ISNUMBER(AL277),AL277+N(AL266),"")</f>
        <v>11327</v>
      </c>
      <c r="AM282" s="262">
        <f>IF(ISNUMBER(AM277),AM277+N(AM266),"")</f>
        <v>11614</v>
      </c>
      <c r="AN282" s="262">
        <f>IF(ISNUMBER(AN277),AN277+N(AN266),"")</f>
        <v>-3091</v>
      </c>
      <c r="AO282" s="262">
        <f>IF(ISNUMBER(AO277),AO277+N(AO266),"")</f>
        <v>4146</v>
      </c>
      <c r="AP282" s="262">
        <f>IF(ISNUMBER(AP277),AP277+N(AP266),"")</f>
        <v>2200</v>
      </c>
      <c r="AQ282" s="262">
        <f>IF(ISNUMBER(AQ277),AQ277+N(AQ266),"")</f>
        <v>12914</v>
      </c>
      <c r="AR282" s="262">
        <f>IF(ISNUMBER(AR277),AR277+N(AR266),"")</f>
        <v>16170</v>
      </c>
      <c r="AS282" s="262">
        <f>IF(ISNUMBER(AS277),AS277+N(AS266),"")</f>
        <v>-4981</v>
      </c>
      <c r="AT282" s="262">
        <f>IF(ISNUMBER(AT277),AT277+N(AT266),"")</f>
        <v>11159</v>
      </c>
      <c r="AU282" s="262">
        <f>IF(ISNUMBER(AU277),AU277+N(AU266),"")</f>
        <v>-713</v>
      </c>
      <c r="AV282" s="262">
        <f>IF(ISNUMBER(AV277),AV277+N(AV266),"")</f>
        <v>14858</v>
      </c>
      <c r="AW282" s="262">
        <f>IF(ISNUMBER(AW277),AW277+N(AW266),"")</f>
        <v>20325</v>
      </c>
      <c r="AX282" s="262">
        <f>IF(ISNUMBER(AX277),AX277+N(AX266),"")</f>
        <v>-10447</v>
      </c>
      <c r="AY282" s="262">
        <f>IF(ISNUMBER(AY277),AY277+N(AY266),"")</f>
        <v>-3105</v>
      </c>
      <c r="AZ282" s="262">
        <f>IF(ISNUMBER(AZ277),AZ277+N(AZ266),"")</f>
        <v>-10151</v>
      </c>
      <c r="BA282" s="262">
        <f>IF(ISNUMBER(BA277),BA277+N(BA266),"")</f>
        <v>3309</v>
      </c>
      <c r="BB282" s="262">
        <f>IF(ISNUMBER(BB277),BB277+N(BB266),"")</f>
        <v>-20394</v>
      </c>
      <c r="BC282" s="262">
        <f>IF(ISNUMBER(BC277),BC277+N(BC266),"")</f>
        <v>-19388</v>
      </c>
      <c r="BD282" s="262">
        <f>IF(ISNUMBER(BD277),BD277+N(BD266),"")</f>
        <v>-7251</v>
      </c>
      <c r="BE282" s="262">
        <f>IF(ISNUMBER(BE277),BE277+N(BE266),"")</f>
        <v>-5150</v>
      </c>
      <c r="BF282" s="262">
        <f>IF(ISNUMBER(BF277),BF277+N(BF266),"")</f>
        <v>12031</v>
      </c>
      <c r="BG282" s="262">
        <f>IF(ISNUMBER(BG277),BG277+N(BG266),"")</f>
        <v>-19758</v>
      </c>
      <c r="BH282" s="262">
        <f>IF(ISNUMBER(BH277),BH277+N(BH266),"")</f>
        <v>-9719</v>
      </c>
      <c r="BI282" s="262">
        <f>IF(ISNUMBER(BI277),BI277+N(BI266),"")</f>
        <v>4767</v>
      </c>
      <c r="BJ282" s="262">
        <f>IF(ISNUMBER(BJ277),BJ277+N(BJ266),"")</f>
        <v>8850</v>
      </c>
      <c r="BK282" s="262">
        <f>IF(ISNUMBER(BK277),BK277+N(BK266),"")</f>
        <v>28260</v>
      </c>
      <c r="BL282" s="262">
        <f>IF(ISNUMBER(BL277),BL277+N(BL266),"")</f>
        <v>32158</v>
      </c>
      <c r="BM282" s="262">
        <f>IF(ISNUMBER(BM277),BM277+N(BM266),"")</f>
        <v>4194</v>
      </c>
      <c r="BN282" s="262">
        <f>IF(ISNUMBER(BN277),BN277+N(BN266),"")</f>
        <v>8271</v>
      </c>
      <c r="BO282" s="262">
        <f>IF(ISNUMBER(BO277),BO277+N(BO266),"")</f>
        <v>4213</v>
      </c>
      <c r="BP282" s="262">
        <f>IF(ISNUMBER(BP277),BP277+N(BP266),"")</f>
        <v>18829</v>
      </c>
      <c r="BQ282" s="262">
        <f>IF(ISNUMBER(BQ277),BQ277+N(BQ266),"")</f>
        <v>35507</v>
      </c>
      <c r="BR282" s="262">
        <f>IF(ISNUMBER(BR277),BR277+N(BR266),"")</f>
        <v>-7766</v>
      </c>
      <c r="BS282" s="262">
        <f>IF(ISNUMBER(BS277),BS277+N(BS266),"")</f>
        <v>658</v>
      </c>
      <c r="BT282" s="262">
        <f>IF(ISNUMBER(BT277),BT277+N(BT266),"")</f>
        <v>864</v>
      </c>
      <c r="BU282" s="262">
        <f>IF(ISNUMBER(BU277),BU277+N(BU266),"")</f>
        <v>15553</v>
      </c>
      <c r="BV282" s="262">
        <f>IF(ISNUMBER(BV277),BV277+N(BV266),"")</f>
        <v>9309</v>
      </c>
      <c r="BW282" s="262">
        <f>IF(ISNUMBER(BW277),BW277+N(BW266),"")</f>
        <v>-17785</v>
      </c>
      <c r="BX282" s="262">
        <f>IF(ISNUMBER(BX277),BX277+N(BX266),"")</f>
        <v>-8143</v>
      </c>
      <c r="BY282" s="56" t="n"/>
      <c r="BZ282" s="56" t="n"/>
      <c r="CA282" s="262">
        <f>IF(ISNUMBER(CA277),CA277+N(CA266),"")</f>
        <v>-28779.7593013222</v>
      </c>
      <c r="CB282" s="262">
        <f>IF(ISNUMBER(CB277),CB277+N(CB266),"")</f>
        <v>19226.4126872252</v>
      </c>
      <c r="CC282" s="262">
        <f>IF(ISNUMBER(CC277),CC277+N(CC266),"")</f>
        <v>58379.4887425318</v>
      </c>
      <c r="CD282" s="262">
        <f>IF(ISNUMBER(CD277),CD277+N(CD266),"")</f>
        <v>98541.7867880099</v>
      </c>
      <c r="CE282" s="262">
        <f>IF(ISNUMBER(CE277),CE277+N(CE266),"")</f>
        <v>142462.641068111</v>
      </c>
      <c r="CF282" s="153" t="n"/>
    </row>
    <row r="283" ht="15" customHeight="1" s="251">
      <c r="B283" s="25" t="inlineStr">
        <is>
          <t xml:space="preserve">  FCF less lease principal — TTM (from Q3-15, when four quarters show lease principal separately)</t>
        </is>
      </c>
      <c r="C283" s="34" t="n"/>
      <c r="D283" s="34" t="n"/>
      <c r="E283" s="34" t="n"/>
      <c r="F283" s="34" t="n"/>
      <c r="G283" s="34" t="n"/>
      <c r="H283" s="34" t="n"/>
      <c r="I283" s="34" t="n"/>
      <c r="J283" s="34" t="n"/>
      <c r="K283" s="34" t="n"/>
      <c r="L283" s="34" t="n"/>
      <c r="M283" s="34" t="n"/>
      <c r="N283" s="34" t="n"/>
      <c r="O283" s="34" t="n"/>
      <c r="P283" s="34" t="n"/>
      <c r="Q283" s="34" t="n"/>
      <c r="R283" s="34" t="n"/>
      <c r="S283" s="34" t="n"/>
      <c r="T283" s="34" t="n"/>
      <c r="U283" s="34" t="n"/>
      <c r="V283" s="211">
        <f>IF(AND(ISNUMBER(V282),ISNUMBER(U282),ISNUMBER(T282),ISNUMBER(R282)),V282+U282+T282+R282,"")</f>
        <v>3093</v>
      </c>
      <c r="W283" s="211">
        <f>IF(AND(ISNUMBER(W282),ISNUMBER(V282),ISNUMBER(U282),ISNUMBER(T282)),W282+V282+U282+T282,"")</f>
        <v>4749</v>
      </c>
      <c r="X283" s="211">
        <f>X282</f>
        <v>4748</v>
      </c>
      <c r="Y283" s="211">
        <f>IF(AND(ISNUMBER(Y282),ISNUMBER(W282),ISNUMBER(V282),ISNUMBER(U282)),Y282+W282+V282+U282,"")</f>
        <v>3491</v>
      </c>
      <c r="Z283" s="211">
        <f>IF(AND(ISNUMBER(Z282),ISNUMBER(Y282),ISNUMBER(W282),ISNUMBER(V282)),Z282+Y282+W282+V282,"")</f>
        <v>3928</v>
      </c>
      <c r="AA283" s="211">
        <f>IF(AND(ISNUMBER(AA282),ISNUMBER(Z282),ISNUMBER(Y282),ISNUMBER(W282)),AA282+Z282+Y282+W282,"")</f>
        <v>4853</v>
      </c>
      <c r="AB283" s="211">
        <f>IF(AND(ISNUMBER(AB282),ISNUMBER(AA282),ISNUMBER(Z282),ISNUMBER(Y282)),AB282+AA282+Z282+Y282,"")</f>
        <v>5701</v>
      </c>
      <c r="AC283" s="211">
        <f>AC282</f>
        <v>5699</v>
      </c>
      <c r="AD283" s="211">
        <f>IF(AND(ISNUMBER(AD282),ISNUMBER(AB282),ISNUMBER(AA282),ISNUMBER(Z282)),AD282+AB282+AA282+Z282,"")</f>
        <v>5550</v>
      </c>
      <c r="AE283" s="211">
        <f>IF(AND(ISNUMBER(AE282),ISNUMBER(AD282),ISNUMBER(AB282),ISNUMBER(AA282)),AE282+AD282+AB282+AA282,"")</f>
        <v>4997</v>
      </c>
      <c r="AF283" s="211">
        <f>IF(AND(ISNUMBER(AF282),ISNUMBER(AE282),ISNUMBER(AD282),ISNUMBER(AB282)),AF282+AE282+AD282+AB282,"")</f>
        <v>3210</v>
      </c>
      <c r="AG283" s="211">
        <f>IF(AND(ISNUMBER(AG282),ISNUMBER(AF282),ISNUMBER(AE282),ISNUMBER(AD282)),AG282+AF282+AE282+AD282,"")</f>
        <v>3379</v>
      </c>
      <c r="AH283" s="211">
        <f>AH282</f>
        <v>3377</v>
      </c>
      <c r="AI283" s="211">
        <f>IF(AND(ISNUMBER(AI282),ISNUMBER(AG282),ISNUMBER(AF282),ISNUMBER(AE282)),AI282+AG282+AF282+AE282,"")</f>
        <v>1094</v>
      </c>
      <c r="AJ283" s="211">
        <f>IF(AND(ISNUMBER(AJ282),ISNUMBER(AI282),ISNUMBER(AG282),ISNUMBER(AF282)),AJ282+AI282+AG282+AF282,"")</f>
        <v>4200</v>
      </c>
      <c r="AK283" s="211">
        <f>IF(AND(ISNUMBER(AK282),ISNUMBER(AJ282),ISNUMBER(AI282),ISNUMBER(AG282)),AK282+AJ282+AI282+AG282,"")</f>
        <v>8056</v>
      </c>
      <c r="AL283" s="211">
        <f>IF(AND(ISNUMBER(AL282),ISNUMBER(AK282),ISNUMBER(AJ282),ISNUMBER(AI282)),AL282+AK282+AJ282+AI282,"")</f>
        <v>11613</v>
      </c>
      <c r="AM283" s="211">
        <f>AM282</f>
        <v>11614</v>
      </c>
      <c r="AN283" s="211">
        <f>IF(AND(ISNUMBER(AN282),ISNUMBER(AL282),ISNUMBER(AK282),ISNUMBER(AJ282)),AN282+AL282+AK282+AJ282,"")</f>
        <v>15127</v>
      </c>
      <c r="AO283" s="211">
        <f>IF(AND(ISNUMBER(AO282),ISNUMBER(AN282),ISNUMBER(AL282),ISNUMBER(AK282)),AO282+AN282+AL282+AK282,"")</f>
        <v>16114</v>
      </c>
      <c r="AP283" s="211">
        <f>IF(AND(ISNUMBER(AP282),ISNUMBER(AO282),ISNUMBER(AN282),ISNUMBER(AL282)),AP282+AO282+AN282+AL282,"")</f>
        <v>14582</v>
      </c>
      <c r="AQ283" s="211">
        <f>IF(AND(ISNUMBER(AQ282),ISNUMBER(AP282),ISNUMBER(AO282),ISNUMBER(AN282)),AQ282+AP282+AO282+AN282,"")</f>
        <v>16169</v>
      </c>
      <c r="AR283" s="211">
        <f>AR282</f>
        <v>16170</v>
      </c>
      <c r="AS283" s="211">
        <f>IF(AND(ISNUMBER(AS282),ISNUMBER(AQ282),ISNUMBER(AP282),ISNUMBER(AO282)),AS282+AQ282+AP282+AO282,"")</f>
        <v>14279</v>
      </c>
      <c r="AT283" s="211">
        <f>IF(AND(ISNUMBER(AT282),ISNUMBER(AS282),ISNUMBER(AQ282),ISNUMBER(AP282)),AT282+AS282+AQ282+AP282,"")</f>
        <v>21292</v>
      </c>
      <c r="AU283" s="211">
        <f>IF(AND(ISNUMBER(AU282),ISNUMBER(AT282),ISNUMBER(AS282),ISNUMBER(AQ282)),AU282+AT282+AS282+AQ282,"")</f>
        <v>18379</v>
      </c>
      <c r="AV283" s="211">
        <f>IF(AND(ISNUMBER(AV282),ISNUMBER(AU282),ISNUMBER(AT282),ISNUMBER(AS282)),AV282+AU282+AT282+AS282,"")</f>
        <v>20323</v>
      </c>
      <c r="AW283" s="211">
        <f>AW282</f>
        <v>20325</v>
      </c>
      <c r="AX283" s="211">
        <f>IF(AND(ISNUMBER(AX282),ISNUMBER(AV282),ISNUMBER(AU282),ISNUMBER(AT282)),AX282+AV282+AU282+AT282,"")</f>
        <v>14857</v>
      </c>
      <c r="AY283" s="211">
        <f>IF(AND(ISNUMBER(AY282),ISNUMBER(AX282),ISNUMBER(AV282),ISNUMBER(AU282)),AY282+AX282+AV282+AU282,"")</f>
        <v>593</v>
      </c>
      <c r="AZ283" s="211">
        <f>IF(AND(ISNUMBER(AZ282),ISNUMBER(AY282),ISNUMBER(AX282),ISNUMBER(AV282)),AZ282+AY282+AX282+AV282,"")</f>
        <v>-8845</v>
      </c>
      <c r="BA283" s="211">
        <f>IF(AND(ISNUMBER(BA282),ISNUMBER(AZ282),ISNUMBER(AY282),ISNUMBER(AX282)),BA282+AZ282+AY282+AX282,"")</f>
        <v>-20394</v>
      </c>
      <c r="BB283" s="211">
        <f>BB282</f>
        <v>-20394</v>
      </c>
      <c r="BC283" s="211">
        <f>IF(AND(ISNUMBER(BC282),ISNUMBER(BA282),ISNUMBER(AZ282),ISNUMBER(AY282)),BC282+BA282+AZ282+AY282,"")</f>
        <v>-29335</v>
      </c>
      <c r="BD283" s="211">
        <f>IF(AND(ISNUMBER(BD282),ISNUMBER(BC282),ISNUMBER(BA282),ISNUMBER(AZ282)),BD282+BC282+BA282+AZ282,"")</f>
        <v>-33481</v>
      </c>
      <c r="BE283" s="211">
        <f>IF(AND(ISNUMBER(BE282),ISNUMBER(BD282),ISNUMBER(BC282),ISNUMBER(BA282)),BE282+BD282+BC282+BA282,"")</f>
        <v>-28480</v>
      </c>
      <c r="BF283" s="211">
        <f>IF(AND(ISNUMBER(BF282),ISNUMBER(BE282),ISNUMBER(BD282),ISNUMBER(BC282)),BF282+BE282+BD282+BC282,"")</f>
        <v>-19758</v>
      </c>
      <c r="BG283" s="211">
        <f>BG282</f>
        <v>-19758</v>
      </c>
      <c r="BH283" s="211">
        <f>IF(AND(ISNUMBER(BH282),ISNUMBER(BF282),ISNUMBER(BE282),ISNUMBER(BD282)),BH282+BF282+BE282+BD282,"")</f>
        <v>-10089</v>
      </c>
      <c r="BI283" s="211">
        <f>IF(AND(ISNUMBER(BI282),ISNUMBER(BH282),ISNUMBER(BF282),ISNUMBER(BE282)),BI282+BH282+BF282+BE282,"")</f>
        <v>1929</v>
      </c>
      <c r="BJ283" s="211">
        <f>IF(AND(ISNUMBER(BJ282),ISNUMBER(BI282),ISNUMBER(BH282),ISNUMBER(BF282)),BJ282+BI282+BH282+BF282,"")</f>
        <v>15929</v>
      </c>
      <c r="BK283" s="211">
        <f>IF(AND(ISNUMBER(BK282),ISNUMBER(BJ282),ISNUMBER(BI282),ISNUMBER(BH282)),BK282+BJ282+BI282+BH282,"")</f>
        <v>32158</v>
      </c>
      <c r="BL283" s="211">
        <f>BL282</f>
        <v>32158</v>
      </c>
      <c r="BM283" s="211">
        <f>IF(AND(ISNUMBER(BM282),ISNUMBER(BK282),ISNUMBER(BJ282),ISNUMBER(BI282)),BM282+BK282+BJ282+BI282,"")</f>
        <v>46071</v>
      </c>
      <c r="BN283" s="211">
        <f>IF(AND(ISNUMBER(BN282),ISNUMBER(BM282),ISNUMBER(BK282),ISNUMBER(BJ282)),BN282+BM282+BK282+BJ282,"")</f>
        <v>49575</v>
      </c>
      <c r="BO283" s="211">
        <f>IF(AND(ISNUMBER(BO282),ISNUMBER(BN282),ISNUMBER(BM282),ISNUMBER(BK282)),BO282+BN282+BM282+BK282,"")</f>
        <v>44938</v>
      </c>
      <c r="BP283" s="211">
        <f>IF(AND(ISNUMBER(BP282),ISNUMBER(BO282),ISNUMBER(BN282),ISNUMBER(BM282)),BP282+BO282+BN282+BM282,"")</f>
        <v>35507</v>
      </c>
      <c r="BQ283" s="211">
        <f>BQ282</f>
        <v>35507</v>
      </c>
      <c r="BR283" s="211">
        <f>IF(AND(ISNUMBER(BR282),ISNUMBER(BP282),ISNUMBER(BO282),ISNUMBER(BN282)),BR282+BP282+BO282+BN282,"")</f>
        <v>23547</v>
      </c>
      <c r="BS283" s="211">
        <f>IF(AND(ISNUMBER(BS282),ISNUMBER(BR282),ISNUMBER(BP282),ISNUMBER(BO282)),BS282+BR282+BP282+BO282,"")</f>
        <v>15934</v>
      </c>
      <c r="BT283" s="211">
        <f>IF(AND(ISNUMBER(BT282),ISNUMBER(BS282),ISNUMBER(BR282),ISNUMBER(BP282)),BT282+BS282+BR282+BP282,"")</f>
        <v>12585</v>
      </c>
      <c r="BU283" s="211">
        <f>IF(AND(ISNUMBER(BU282),ISNUMBER(BT282),ISNUMBER(BS282),ISNUMBER(BR282)),BU282+BT282+BS282+BR282,"")</f>
        <v>9309</v>
      </c>
      <c r="BV283" s="211">
        <f>BV282</f>
        <v>9309</v>
      </c>
      <c r="BW283" s="211">
        <f>IF(AND(ISNUMBER(BW282),ISNUMBER(BU282),ISNUMBER(BT282),ISNUMBER(BS282)),BW282+BU282+BT282+BS282,"")</f>
        <v>-710</v>
      </c>
      <c r="BX283" s="211">
        <f>IF(AND(ISNUMBER(BX282),ISNUMBER(BW282),ISNUMBER(BU282),ISNUMBER(BT282)),BX282+BW282+BU282+BT282,"")</f>
        <v>-9511</v>
      </c>
      <c r="BY283" s="35" t="n"/>
      <c r="BZ283" s="35" t="n"/>
      <c r="CA283" s="35" t="n"/>
      <c r="CB283" s="35" t="n"/>
      <c r="CC283" s="35" t="n"/>
      <c r="CD283" s="35" t="n"/>
      <c r="CE283" s="35" t="n"/>
      <c r="CF283" s="19" t="n"/>
    </row>
    <row r="284" ht="15" customHeight="1" s="251">
      <c r="B284" s="25" t="inlineStr">
        <is>
          <t xml:space="preserve">  Basis difference: prior-year quarters restated in the release</t>
        </is>
      </c>
      <c r="C284" s="34" t="n"/>
      <c r="D284" s="34" t="n"/>
      <c r="E284" s="34" t="n"/>
      <c r="F284" s="34" t="n"/>
      <c r="G284" s="34" t="n"/>
      <c r="H284" s="34" t="n"/>
      <c r="I284" s="34" t="n"/>
      <c r="J284" s="34" t="n"/>
      <c r="K284" s="34" t="n"/>
      <c r="L284" s="34" t="n"/>
      <c r="M284" s="34" t="n"/>
      <c r="N284" s="34" t="n"/>
      <c r="O284" s="34" t="n"/>
      <c r="P284" s="34" t="n"/>
      <c r="Q284" s="34" t="n"/>
      <c r="R284" s="34" t="n"/>
      <c r="S284" s="34" t="n"/>
      <c r="T284" s="34" t="n"/>
      <c r="U284" s="34" t="n"/>
      <c r="V284" s="34" t="n"/>
      <c r="W284" s="34" t="n"/>
      <c r="X284" s="34" t="n"/>
      <c r="Y284" s="34" t="n"/>
      <c r="Z284" s="34" t="n"/>
      <c r="AA284" s="34" t="n"/>
      <c r="AB284" s="34" t="n"/>
      <c r="AC284" s="34" t="n"/>
      <c r="AD284" s="253" t="n">
        <v>621</v>
      </c>
      <c r="AE284" s="253" t="n">
        <v>508</v>
      </c>
      <c r="AF284" s="253" t="n">
        <v>334</v>
      </c>
      <c r="AG284" s="34" t="n"/>
      <c r="AH284" s="34" t="n"/>
      <c r="AI284" s="253" t="n">
        <v>-40</v>
      </c>
      <c r="AJ284" s="253" t="n">
        <v>-60</v>
      </c>
      <c r="AK284" s="253" t="n">
        <v>16</v>
      </c>
      <c r="AL284" s="34" t="n"/>
      <c r="AM284" s="34" t="n"/>
      <c r="AN284" s="34" t="n"/>
      <c r="AO284" s="34" t="n"/>
      <c r="AP284" s="34" t="n"/>
      <c r="AQ284" s="34" t="n"/>
      <c r="AR284" s="34" t="n"/>
      <c r="AS284" s="34" t="n"/>
      <c r="AT284" s="34" t="n"/>
      <c r="AU284" s="34" t="n"/>
      <c r="AV284" s="34" t="n"/>
      <c r="AW284" s="34" t="n"/>
      <c r="AX284" s="34" t="n"/>
      <c r="AY284" s="34" t="n"/>
      <c r="AZ284" s="34" t="n"/>
      <c r="BA284" s="34" t="n"/>
      <c r="BB284" s="34" t="n"/>
      <c r="BC284" s="34" t="n"/>
      <c r="BD284" s="34" t="n"/>
      <c r="BE284" s="34" t="n"/>
      <c r="BF284" s="34" t="n"/>
      <c r="BG284" s="34" t="n"/>
      <c r="BH284" s="34" t="n"/>
      <c r="BI284" s="34" t="n"/>
      <c r="BJ284" s="34" t="n"/>
      <c r="BK284" s="34" t="n"/>
      <c r="BL284" s="34" t="n"/>
      <c r="BM284" s="34" t="n"/>
      <c r="BN284" s="34" t="n"/>
      <c r="BO284" s="34" t="n"/>
      <c r="BP284" s="34" t="n"/>
      <c r="BQ284" s="34" t="n"/>
      <c r="BR284" s="34" t="n"/>
      <c r="BS284" s="34" t="n"/>
      <c r="BT284" s="34" t="n"/>
      <c r="BU284" s="34" t="n"/>
      <c r="BV284" s="34" t="n"/>
      <c r="BW284" s="34" t="n"/>
      <c r="BX284" s="34" t="n"/>
      <c r="BY284" s="35" t="n"/>
      <c r="BZ284" s="35" t="n"/>
      <c r="CA284" s="35" t="n"/>
      <c r="CB284" s="35" t="n"/>
      <c r="CC284" s="35" t="n"/>
      <c r="CD284" s="35" t="n"/>
      <c r="CE284" s="35" t="n"/>
      <c r="CF284" s="19" t="n"/>
    </row>
    <row r="285" ht="15" customHeight="1" s="251">
      <c r="B285" s="156" t="inlineStr">
        <is>
          <t xml:space="preserve">  Company-published FCF less principal repayments of finance leases and financing obligations — TTM</t>
        </is>
      </c>
      <c r="C285" s="34" t="n"/>
      <c r="D285" s="34" t="n"/>
      <c r="E285" s="34" t="n"/>
      <c r="F285" s="34" t="n"/>
      <c r="G285" s="34" t="n"/>
      <c r="H285" s="34" t="n"/>
      <c r="I285" s="34" t="n"/>
      <c r="J285" s="34" t="n"/>
      <c r="K285" s="34" t="n"/>
      <c r="L285" s="34" t="n"/>
      <c r="M285" s="34" t="n"/>
      <c r="N285" s="34" t="n"/>
      <c r="O285" s="34" t="n"/>
      <c r="P285" s="34" t="n"/>
      <c r="Q285" s="34" t="n"/>
      <c r="R285" s="253" t="n">
        <v>529</v>
      </c>
      <c r="S285" s="253" t="n">
        <v>529</v>
      </c>
      <c r="T285" s="253" t="n">
        <v>1492</v>
      </c>
      <c r="U285" s="253" t="n">
        <v>2386</v>
      </c>
      <c r="V285" s="253" t="n">
        <v>3092</v>
      </c>
      <c r="W285" s="253" t="n">
        <v>4748</v>
      </c>
      <c r="X285" s="253" t="n">
        <v>4748</v>
      </c>
      <c r="Y285" s="253" t="n">
        <v>3489</v>
      </c>
      <c r="Z285" s="253" t="n">
        <v>3925</v>
      </c>
      <c r="AA285" s="253" t="n">
        <v>4853</v>
      </c>
      <c r="AB285" s="253" t="n">
        <v>5699</v>
      </c>
      <c r="AC285" s="253" t="n">
        <v>5699</v>
      </c>
      <c r="AD285" s="253" t="n">
        <v>6171</v>
      </c>
      <c r="AE285" s="253" t="n">
        <v>5505</v>
      </c>
      <c r="AF285" s="253" t="n">
        <v>3544</v>
      </c>
      <c r="AG285" s="253" t="n">
        <v>3377</v>
      </c>
      <c r="AH285" s="253" t="n">
        <v>3377</v>
      </c>
      <c r="AI285" s="253" t="n">
        <v>1054</v>
      </c>
      <c r="AJ285" s="253" t="n">
        <v>4140</v>
      </c>
      <c r="AK285" s="253" t="n">
        <v>8072</v>
      </c>
      <c r="AL285" s="253" t="n">
        <v>11614</v>
      </c>
      <c r="AM285" s="253" t="n">
        <v>11614</v>
      </c>
      <c r="AN285" s="253" t="n">
        <v>15129</v>
      </c>
      <c r="AO285" s="253" t="n">
        <v>16114</v>
      </c>
      <c r="AP285" s="253" t="n">
        <v>14581</v>
      </c>
      <c r="AQ285" s="253" t="n">
        <v>16170</v>
      </c>
      <c r="AR285" s="253" t="n">
        <v>16170</v>
      </c>
      <c r="AS285" s="253" t="n">
        <v>14281</v>
      </c>
      <c r="AT285" s="253" t="n">
        <v>21292</v>
      </c>
      <c r="AU285" s="253" t="n">
        <v>18379</v>
      </c>
      <c r="AV285" s="253" t="n">
        <v>20325</v>
      </c>
      <c r="AW285" s="253" t="n">
        <v>20325</v>
      </c>
      <c r="AX285" s="253" t="n">
        <v>14859</v>
      </c>
      <c r="AY285" s="253" t="n">
        <v>595</v>
      </c>
      <c r="AZ285" s="253" t="n">
        <v>-8843</v>
      </c>
      <c r="BA285" s="253" t="n">
        <v>-20394</v>
      </c>
      <c r="BB285" s="253" t="n">
        <v>-20394</v>
      </c>
      <c r="BC285" s="253" t="n">
        <v>-29335</v>
      </c>
      <c r="BD285" s="253" t="n">
        <v>-33481</v>
      </c>
      <c r="BE285" s="253" t="n">
        <v>-28480</v>
      </c>
      <c r="BF285" s="253" t="n">
        <v>-19758</v>
      </c>
      <c r="BG285" s="253" t="n">
        <v>-19758</v>
      </c>
      <c r="BH285" s="253" t="n">
        <v>-10089</v>
      </c>
      <c r="BI285" s="253" t="n">
        <v>1929</v>
      </c>
      <c r="BJ285" s="253" t="n">
        <v>15929</v>
      </c>
      <c r="BK285" s="253" t="n">
        <v>32158</v>
      </c>
      <c r="BL285" s="253" t="n">
        <v>32158</v>
      </c>
      <c r="BM285" s="253" t="n">
        <v>46071</v>
      </c>
      <c r="BN285" s="253" t="n">
        <v>49575</v>
      </c>
      <c r="BO285" s="253" t="n">
        <v>44938</v>
      </c>
      <c r="BP285" s="253" t="n">
        <v>35507</v>
      </c>
      <c r="BQ285" s="253" t="n">
        <v>35507</v>
      </c>
      <c r="BR285" s="34" t="n"/>
      <c r="BS285" s="34" t="n"/>
      <c r="BT285" s="34" t="n"/>
      <c r="BU285" s="34" t="n"/>
      <c r="BV285" s="34" t="n"/>
      <c r="BW285" s="34" t="n"/>
      <c r="BX285" s="34" t="n"/>
      <c r="BY285" s="153" t="n"/>
      <c r="BZ285" s="153" t="n"/>
      <c r="CA285" s="153" t="n"/>
      <c r="CB285" s="153" t="n"/>
      <c r="CC285" s="153" t="n"/>
      <c r="CD285" s="153" t="n"/>
      <c r="CE285" s="153" t="n"/>
      <c r="CF285" s="153" t="n"/>
    </row>
    <row r="286" ht="15" customHeight="1" s="251">
      <c r="B286" s="57" t="inlineStr">
        <is>
          <t xml:space="preserve">  Check: model vs company-published (should be 0; ±3 rounding)</t>
        </is>
      </c>
      <c r="C286" s="211" t="str">
        <f>IF(AND(ISNUMBER(C285),ISNUMBER(C283)),IF(ABS(C283+N(C284)-C285)&lt;=3.01,0,ROUND(C283+N(C284)-C285,0)),"n/p")</f>
        <v>n/p</v>
      </c>
      <c r="D286" s="211" t="str">
        <f>IF(AND(ISNUMBER(D285),ISNUMBER(D283)),IF(ABS(D283+N(D284)-D285)&lt;=3.01,0,ROUND(D283+N(D284)-D285,0)),"n/p")</f>
        <v>n/p</v>
      </c>
      <c r="E286" s="211" t="str">
        <f>IF(AND(ISNUMBER(E285),ISNUMBER(E283)),IF(ABS(E283+N(E284)-E285)&lt;=3.01,0,ROUND(E283+N(E284)-E285,0)),"n/p")</f>
        <v>n/p</v>
      </c>
      <c r="F286" s="211" t="str">
        <f>IF(AND(ISNUMBER(F285),ISNUMBER(F283)),IF(ABS(F283+N(F284)-F285)&lt;=3.01,0,ROUND(F283+N(F284)-F285,0)),"n/p")</f>
        <v>n/p</v>
      </c>
      <c r="G286" s="211" t="str">
        <f>IF(AND(ISNUMBER(G285),ISNUMBER(G283)),IF(ABS(G283+N(G284)-G285)&lt;=3.01,0,ROUND(G283+N(G284)-G285,0)),"n/p")</f>
        <v>n/p</v>
      </c>
      <c r="H286" s="211" t="str">
        <f>IF(AND(ISNUMBER(H285),ISNUMBER(H283)),IF(ABS(H283+N(H284)-H285)&lt;=3.01,0,ROUND(H283+N(H284)-H285,0)),"n/p")</f>
        <v>n/p</v>
      </c>
      <c r="I286" s="211" t="str">
        <f>IF(AND(ISNUMBER(I285),ISNUMBER(I283)),IF(ABS(I283+N(I284)-I285)&lt;=3.01,0,ROUND(I283+N(I284)-I285,0)),"n/p")</f>
        <v>n/p</v>
      </c>
      <c r="J286" s="211" t="str">
        <f>IF(AND(ISNUMBER(J285),ISNUMBER(J283)),IF(ABS(J283+N(J284)-J285)&lt;=3.01,0,ROUND(J283+N(J284)-J285,0)),"n/p")</f>
        <v>n/p</v>
      </c>
      <c r="K286" s="211" t="str">
        <f>IF(AND(ISNUMBER(K285),ISNUMBER(K283)),IF(ABS(K283+N(K284)-K285)&lt;=3.01,0,ROUND(K283+N(K284)-K285,0)),"n/p")</f>
        <v>n/p</v>
      </c>
      <c r="L286" s="211" t="str">
        <f>IF(AND(ISNUMBER(L285),ISNUMBER(L283)),IF(ABS(L283+N(L284)-L285)&lt;=3.01,0,ROUND(L283+N(L284)-L285,0)),"n/p")</f>
        <v>n/p</v>
      </c>
      <c r="M286" s="211" t="str">
        <f>IF(AND(ISNUMBER(M285),ISNUMBER(M283)),IF(ABS(M283+N(M284)-M285)&lt;=3.01,0,ROUND(M283+N(M284)-M285,0)),"n/p")</f>
        <v>n/p</v>
      </c>
      <c r="N286" s="211" t="str">
        <f>IF(AND(ISNUMBER(N285),ISNUMBER(N283)),IF(ABS(N283+N(N284)-N285)&lt;=3.01,0,ROUND(N283+N(N284)-N285,0)),"n/p")</f>
        <v>n/p</v>
      </c>
      <c r="O286" s="211" t="str">
        <f>IF(AND(ISNUMBER(O285),ISNUMBER(O283)),IF(ABS(O283+N(O284)-O285)&lt;=3.01,0,ROUND(O283+N(O284)-O285,0)),"n/p")</f>
        <v>n/p</v>
      </c>
      <c r="P286" s="211" t="str">
        <f>IF(AND(ISNUMBER(P285),ISNUMBER(P283)),IF(ABS(P283+N(P284)-P285)&lt;=3.01,0,ROUND(P283+N(P284)-P285,0)),"n/p")</f>
        <v>n/p</v>
      </c>
      <c r="Q286" s="211" t="str">
        <f>IF(AND(ISNUMBER(Q285),ISNUMBER(Q283)),IF(ABS(Q283+N(Q284)-Q285)&lt;=3.01,0,ROUND(Q283+N(Q284)-Q285,0)),"n/p")</f>
        <v>n/p</v>
      </c>
      <c r="R286" s="211" t="str">
        <f>IF(AND(ISNUMBER(R285),ISNUMBER(R283)),IF(ABS(R283+N(R284)-R285)&lt;=3.01,0,ROUND(R283+N(R284)-R285,0)),"n/p")</f>
        <v>n/p</v>
      </c>
      <c r="S286" s="211" t="str">
        <f>IF(AND(ISNUMBER(S285),ISNUMBER(S283)),IF(ABS(S283+N(S284)-S285)&lt;=3.01,0,ROUND(S283+N(S284)-S285,0)),"n/p")</f>
        <v>n/p</v>
      </c>
      <c r="T286" s="211" t="str">
        <f>IF(AND(ISNUMBER(T285),ISNUMBER(T283)),IF(ABS(T283+N(T284)-T285)&lt;=3.01,0,ROUND(T283+N(T284)-T285,0)),"n/p")</f>
        <v>n/p</v>
      </c>
      <c r="U286" s="211" t="str">
        <f>IF(AND(ISNUMBER(U285),ISNUMBER(U283)),IF(ABS(U283+N(U284)-U285)&lt;=3.01,0,ROUND(U283+N(U284)-U285,0)),"n/p")</f>
        <v>n/p</v>
      </c>
      <c r="V286" s="211">
        <f>IF(AND(ISNUMBER(V285),ISNUMBER(V283)),IF(ABS(V283+N(V284)-V285)&lt;=3.01,0,ROUND(V283+N(V284)-V285,0)),"n/p")</f>
        <v>0</v>
      </c>
      <c r="W286" s="211">
        <f>IF(AND(ISNUMBER(W285),ISNUMBER(W283)),IF(ABS(W283+N(W284)-W285)&lt;=3.01,0,ROUND(W283+N(W284)-W285,0)),"n/p")</f>
        <v>0</v>
      </c>
      <c r="X286" s="211">
        <f>IF(AND(ISNUMBER(X285),ISNUMBER(X283)),IF(ABS(X283+N(X284)-X285)&lt;=3.01,0,ROUND(X283+N(X284)-X285,0)),"n/p")</f>
        <v>0</v>
      </c>
      <c r="Y286" s="211">
        <f>IF(AND(ISNUMBER(Y285),ISNUMBER(Y283)),IF(ABS(Y283+N(Y284)-Y285)&lt;=3.01,0,ROUND(Y283+N(Y284)-Y285,0)),"n/p")</f>
        <v>0</v>
      </c>
      <c r="Z286" s="211">
        <f>IF(AND(ISNUMBER(Z285),ISNUMBER(Z283)),IF(ABS(Z283+N(Z284)-Z285)&lt;=3.01,0,ROUND(Z283+N(Z284)-Z285,0)),"n/p")</f>
        <v>0</v>
      </c>
      <c r="AA286" s="211">
        <f>IF(AND(ISNUMBER(AA285),ISNUMBER(AA283)),IF(ABS(AA283+N(AA284)-AA285)&lt;=3.01,0,ROUND(AA283+N(AA284)-AA285,0)),"n/p")</f>
        <v>0</v>
      </c>
      <c r="AB286" s="211">
        <f>IF(AND(ISNUMBER(AB285),ISNUMBER(AB283)),IF(ABS(AB283+N(AB284)-AB285)&lt;=3.01,0,ROUND(AB283+N(AB284)-AB285,0)),"n/p")</f>
        <v>0</v>
      </c>
      <c r="AC286" s="211">
        <f>IF(AND(ISNUMBER(AC285),ISNUMBER(AC283)),IF(ABS(AC283+N(AC284)-AC285)&lt;=3.01,0,ROUND(AC283+N(AC284)-AC285,0)),"n/p")</f>
        <v>0</v>
      </c>
      <c r="AD286" s="211">
        <f>IF(AND(ISNUMBER(AD285),ISNUMBER(AD283)),IF(ABS(AD283+N(AD284)-AD285)&lt;=3.01,0,ROUND(AD283+N(AD284)-AD285,0)),"n/p")</f>
        <v>0</v>
      </c>
      <c r="AE286" s="211">
        <f>IF(AND(ISNUMBER(AE285),ISNUMBER(AE283)),IF(ABS(AE283+N(AE284)-AE285)&lt;=3.01,0,ROUND(AE283+N(AE284)-AE285,0)),"n/p")</f>
        <v>0</v>
      </c>
      <c r="AF286" s="211">
        <f>IF(AND(ISNUMBER(AF285),ISNUMBER(AF283)),IF(ABS(AF283+N(AF284)-AF285)&lt;=3.01,0,ROUND(AF283+N(AF284)-AF285,0)),"n/p")</f>
        <v>0</v>
      </c>
      <c r="AG286" s="211">
        <f>IF(AND(ISNUMBER(AG285),ISNUMBER(AG283)),IF(ABS(AG283+N(AG284)-AG285)&lt;=3.01,0,ROUND(AG283+N(AG284)-AG285,0)),"n/p")</f>
        <v>0</v>
      </c>
      <c r="AH286" s="211">
        <f>IF(AND(ISNUMBER(AH285),ISNUMBER(AH283)),IF(ABS(AH283+N(AH284)-AH285)&lt;=3.01,0,ROUND(AH283+N(AH284)-AH285,0)),"n/p")</f>
        <v>0</v>
      </c>
      <c r="AI286" s="211">
        <f>IF(AND(ISNUMBER(AI285),ISNUMBER(AI283)),IF(ABS(AI283+N(AI284)-AI285)&lt;=3.01,0,ROUND(AI283+N(AI284)-AI285,0)),"n/p")</f>
        <v>0</v>
      </c>
      <c r="AJ286" s="211">
        <f>IF(AND(ISNUMBER(AJ285),ISNUMBER(AJ283)),IF(ABS(AJ283+N(AJ284)-AJ285)&lt;=3.01,0,ROUND(AJ283+N(AJ284)-AJ285,0)),"n/p")</f>
        <v>0</v>
      </c>
      <c r="AK286" s="211">
        <f>IF(AND(ISNUMBER(AK285),ISNUMBER(AK283)),IF(ABS(AK283+N(AK284)-AK285)&lt;=3.01,0,ROUND(AK283+N(AK284)-AK285,0)),"n/p")</f>
        <v>0</v>
      </c>
      <c r="AL286" s="211">
        <f>IF(AND(ISNUMBER(AL285),ISNUMBER(AL283)),IF(ABS(AL283+N(AL284)-AL285)&lt;=3.01,0,ROUND(AL283+N(AL284)-AL285,0)),"n/p")</f>
        <v>0</v>
      </c>
      <c r="AM286" s="211">
        <f>IF(AND(ISNUMBER(AM285),ISNUMBER(AM283)),IF(ABS(AM283+N(AM284)-AM285)&lt;=3.01,0,ROUND(AM283+N(AM284)-AM285,0)),"n/p")</f>
        <v>0</v>
      </c>
      <c r="AN286" s="211">
        <f>IF(AND(ISNUMBER(AN285),ISNUMBER(AN283)),IF(ABS(AN283+N(AN284)-AN285)&lt;=3.01,0,ROUND(AN283+N(AN284)-AN285,0)),"n/p")</f>
        <v>0</v>
      </c>
      <c r="AO286" s="211">
        <f>IF(AND(ISNUMBER(AO285),ISNUMBER(AO283)),IF(ABS(AO283+N(AO284)-AO285)&lt;=3.01,0,ROUND(AO283+N(AO284)-AO285,0)),"n/p")</f>
        <v>0</v>
      </c>
      <c r="AP286" s="211">
        <f>IF(AND(ISNUMBER(AP285),ISNUMBER(AP283)),IF(ABS(AP283+N(AP284)-AP285)&lt;=3.01,0,ROUND(AP283+N(AP284)-AP285,0)),"n/p")</f>
        <v>0</v>
      </c>
      <c r="AQ286" s="211">
        <f>IF(AND(ISNUMBER(AQ285),ISNUMBER(AQ283)),IF(ABS(AQ283+N(AQ284)-AQ285)&lt;=3.01,0,ROUND(AQ283+N(AQ284)-AQ285,0)),"n/p")</f>
        <v>0</v>
      </c>
      <c r="AR286" s="211">
        <f>IF(AND(ISNUMBER(AR285),ISNUMBER(AR283)),IF(ABS(AR283+N(AR284)-AR285)&lt;=3.01,0,ROUND(AR283+N(AR284)-AR285,0)),"n/p")</f>
        <v>0</v>
      </c>
      <c r="AS286" s="211">
        <f>IF(AND(ISNUMBER(AS285),ISNUMBER(AS283)),IF(ABS(AS283+N(AS284)-AS285)&lt;=3.01,0,ROUND(AS283+N(AS284)-AS285,0)),"n/p")</f>
        <v>0</v>
      </c>
      <c r="AT286" s="211">
        <f>IF(AND(ISNUMBER(AT285),ISNUMBER(AT283)),IF(ABS(AT283+N(AT284)-AT285)&lt;=3.01,0,ROUND(AT283+N(AT284)-AT285,0)),"n/p")</f>
        <v>0</v>
      </c>
      <c r="AU286" s="211">
        <f>IF(AND(ISNUMBER(AU285),ISNUMBER(AU283)),IF(ABS(AU283+N(AU284)-AU285)&lt;=3.01,0,ROUND(AU283+N(AU284)-AU285,0)),"n/p")</f>
        <v>0</v>
      </c>
      <c r="AV286" s="211">
        <f>IF(AND(ISNUMBER(AV285),ISNUMBER(AV283)),IF(ABS(AV283+N(AV284)-AV285)&lt;=3.01,0,ROUND(AV283+N(AV284)-AV285,0)),"n/p")</f>
        <v>0</v>
      </c>
      <c r="AW286" s="211">
        <f>IF(AND(ISNUMBER(AW285),ISNUMBER(AW283)),IF(ABS(AW283+N(AW284)-AW285)&lt;=3.01,0,ROUND(AW283+N(AW284)-AW285,0)),"n/p")</f>
        <v>0</v>
      </c>
      <c r="AX286" s="211">
        <f>IF(AND(ISNUMBER(AX285),ISNUMBER(AX283)),IF(ABS(AX283+N(AX284)-AX285)&lt;=3.01,0,ROUND(AX283+N(AX284)-AX285,0)),"n/p")</f>
        <v>0</v>
      </c>
      <c r="AY286" s="211">
        <f>IF(AND(ISNUMBER(AY285),ISNUMBER(AY283)),IF(ABS(AY283+N(AY284)-AY285)&lt;=3.01,0,ROUND(AY283+N(AY284)-AY285,0)),"n/p")</f>
        <v>0</v>
      </c>
      <c r="AZ286" s="211">
        <f>IF(AND(ISNUMBER(AZ285),ISNUMBER(AZ283)),IF(ABS(AZ283+N(AZ284)-AZ285)&lt;=3.01,0,ROUND(AZ283+N(AZ284)-AZ285,0)),"n/p")</f>
        <v>0</v>
      </c>
      <c r="BA286" s="211">
        <f>IF(AND(ISNUMBER(BA285),ISNUMBER(BA283)),IF(ABS(BA283+N(BA284)-BA285)&lt;=3.01,0,ROUND(BA283+N(BA284)-BA285,0)),"n/p")</f>
        <v>0</v>
      </c>
      <c r="BB286" s="211">
        <f>IF(AND(ISNUMBER(BB285),ISNUMBER(BB283)),IF(ABS(BB283+N(BB284)-BB285)&lt;=3.01,0,ROUND(BB283+N(BB284)-BB285,0)),"n/p")</f>
        <v>0</v>
      </c>
      <c r="BC286" s="211">
        <f>IF(AND(ISNUMBER(BC285),ISNUMBER(BC283)),IF(ABS(BC283+N(BC284)-BC285)&lt;=3.01,0,ROUND(BC283+N(BC284)-BC285,0)),"n/p")</f>
        <v>0</v>
      </c>
      <c r="BD286" s="211">
        <f>IF(AND(ISNUMBER(BD285),ISNUMBER(BD283)),IF(ABS(BD283+N(BD284)-BD285)&lt;=3.01,0,ROUND(BD283+N(BD284)-BD285,0)),"n/p")</f>
        <v>0</v>
      </c>
      <c r="BE286" s="211">
        <f>IF(AND(ISNUMBER(BE285),ISNUMBER(BE283)),IF(ABS(BE283+N(BE284)-BE285)&lt;=3.01,0,ROUND(BE283+N(BE284)-BE285,0)),"n/p")</f>
        <v>0</v>
      </c>
      <c r="BF286" s="211">
        <f>IF(AND(ISNUMBER(BF285),ISNUMBER(BF283)),IF(ABS(BF283+N(BF284)-BF285)&lt;=3.01,0,ROUND(BF283+N(BF284)-BF285,0)),"n/p")</f>
        <v>0</v>
      </c>
      <c r="BG286" s="211">
        <f>IF(AND(ISNUMBER(BG285),ISNUMBER(BG283)),IF(ABS(BG283+N(BG284)-BG285)&lt;=3.01,0,ROUND(BG283+N(BG284)-BG285,0)),"n/p")</f>
        <v>0</v>
      </c>
      <c r="BH286" s="211">
        <f>IF(AND(ISNUMBER(BH285),ISNUMBER(BH283)),IF(ABS(BH283+N(BH284)-BH285)&lt;=3.01,0,ROUND(BH283+N(BH284)-BH285,0)),"n/p")</f>
        <v>0</v>
      </c>
      <c r="BI286" s="211">
        <f>IF(AND(ISNUMBER(BI285),ISNUMBER(BI283)),IF(ABS(BI283+N(BI284)-BI285)&lt;=3.01,0,ROUND(BI283+N(BI284)-BI285,0)),"n/p")</f>
        <v>0</v>
      </c>
      <c r="BJ286" s="211">
        <f>IF(AND(ISNUMBER(BJ285),ISNUMBER(BJ283)),IF(ABS(BJ283+N(BJ284)-BJ285)&lt;=3.01,0,ROUND(BJ283+N(BJ284)-BJ285,0)),"n/p")</f>
        <v>0</v>
      </c>
      <c r="BK286" s="211">
        <f>IF(AND(ISNUMBER(BK285),ISNUMBER(BK283)),IF(ABS(BK283+N(BK284)-BK285)&lt;=3.01,0,ROUND(BK283+N(BK284)-BK285,0)),"n/p")</f>
        <v>0</v>
      </c>
      <c r="BL286" s="211">
        <f>IF(AND(ISNUMBER(BL285),ISNUMBER(BL283)),IF(ABS(BL283+N(BL284)-BL285)&lt;=3.01,0,ROUND(BL283+N(BL284)-BL285,0)),"n/p")</f>
        <v>0</v>
      </c>
      <c r="BM286" s="211">
        <f>IF(AND(ISNUMBER(BM285),ISNUMBER(BM283)),IF(ABS(BM283+N(BM284)-BM285)&lt;=3.01,0,ROUND(BM283+N(BM284)-BM285,0)),"n/p")</f>
        <v>0</v>
      </c>
      <c r="BN286" s="211">
        <f>IF(AND(ISNUMBER(BN285),ISNUMBER(BN283)),IF(ABS(BN283+N(BN284)-BN285)&lt;=3.01,0,ROUND(BN283+N(BN284)-BN285,0)),"n/p")</f>
        <v>0</v>
      </c>
      <c r="BO286" s="211">
        <f>IF(AND(ISNUMBER(BO285),ISNUMBER(BO283)),IF(ABS(BO283+N(BO284)-BO285)&lt;=3.01,0,ROUND(BO283+N(BO284)-BO285,0)),"n/p")</f>
        <v>0</v>
      </c>
      <c r="BP286" s="211">
        <f>IF(AND(ISNUMBER(BP285),ISNUMBER(BP283)),IF(ABS(BP283+N(BP284)-BP285)&lt;=3.01,0,ROUND(BP283+N(BP284)-BP285,0)),"n/p")</f>
        <v>0</v>
      </c>
      <c r="BQ286" s="211">
        <f>IF(AND(ISNUMBER(BQ285),ISNUMBER(BQ283)),IF(ABS(BQ283+N(BQ284)-BQ285)&lt;=3.01,0,ROUND(BQ283+N(BQ284)-BQ285,0)),"n/p")</f>
        <v>0</v>
      </c>
      <c r="BR286" s="211" t="str">
        <f>IF(AND(ISNUMBER(BR285),ISNUMBER(BR283)),IF(ABS(BR283+N(BR284)-BR285)&lt;=3.01,0,ROUND(BR283+N(BR284)-BR285,0)),"n/p")</f>
        <v>n/p</v>
      </c>
      <c r="BS286" s="211" t="str">
        <f>IF(AND(ISNUMBER(BS285),ISNUMBER(BS283)),IF(ABS(BS283+N(BS284)-BS285)&lt;=3.01,0,ROUND(BS283+N(BS284)-BS285,0)),"n/p")</f>
        <v>n/p</v>
      </c>
      <c r="BT286" s="211" t="str">
        <f>IF(AND(ISNUMBER(BT285),ISNUMBER(BT283)),IF(ABS(BT283+N(BT284)-BT285)&lt;=3.01,0,ROUND(BT283+N(BT284)-BT285,0)),"n/p")</f>
        <v>n/p</v>
      </c>
      <c r="BU286" s="211" t="str">
        <f>IF(AND(ISNUMBER(BU285),ISNUMBER(BU283)),IF(ABS(BU283+N(BU284)-BU285)&lt;=3.01,0,ROUND(BU283+N(BU284)-BU285,0)),"n/p")</f>
        <v>n/p</v>
      </c>
      <c r="BV286" s="211" t="str">
        <f>IF(AND(ISNUMBER(BV285),ISNUMBER(BV283)),IF(ABS(BV283+N(BV284)-BV285)&lt;=3.01,0,ROUND(BV283+N(BV284)-BV285,0)),"n/p")</f>
        <v>n/p</v>
      </c>
      <c r="BW286" s="211" t="str">
        <f>IF(AND(ISNUMBER(BW285),ISNUMBER(BW283)),IF(ABS(BW283+N(BW284)-BW285)&lt;=3.01,0,ROUND(BW283+N(BW284)-BW285,0)),"n/p")</f>
        <v>n/p</v>
      </c>
      <c r="BX286" s="211" t="str">
        <f>IF(AND(ISNUMBER(BX285),ISNUMBER(BX283)),IF(ABS(BX283+N(BX284)-BX285)&lt;=3.01,0,ROUND(BX283+N(BX284)-BX285,0)),"n/p")</f>
        <v>n/p</v>
      </c>
      <c r="BY286" s="153" t="n"/>
      <c r="BZ286" s="153" t="n"/>
      <c r="CA286" s="153" t="n"/>
      <c r="CB286" s="153" t="n"/>
      <c r="CC286" s="153" t="n"/>
      <c r="CD286" s="153" t="n"/>
      <c r="CE286" s="153" t="n"/>
      <c r="CF286" s="153" t="n"/>
    </row>
    <row r="287" ht="15" customHeight="1" s="251">
      <c r="B287" s="156" t="inlineStr">
        <is>
          <t xml:space="preserve">  Memo: FCF less equipment finance leases and principal repayments of all other finance leases and financing obligations — TTM, as published (Q4-14–Q4-24)</t>
        </is>
      </c>
      <c r="C287" s="34" t="n"/>
      <c r="D287" s="34" t="n"/>
      <c r="E287" s="34" t="n"/>
      <c r="F287" s="34" t="n"/>
      <c r="G287" s="34" t="n"/>
      <c r="H287" s="34" t="n"/>
      <c r="I287" s="34" t="n"/>
      <c r="J287" s="34" t="n"/>
      <c r="K287" s="34" t="n"/>
      <c r="L287" s="34" t="n"/>
      <c r="M287" s="34" t="n"/>
      <c r="N287" s="34" t="n"/>
      <c r="O287" s="34" t="n"/>
      <c r="P287" s="34" t="n"/>
      <c r="Q287" s="34" t="n"/>
      <c r="R287" s="34" t="n"/>
      <c r="S287" s="34" t="n"/>
      <c r="T287" s="34" t="n"/>
      <c r="U287" s="253" t="n">
        <v>-492</v>
      </c>
      <c r="V287" s="253" t="n">
        <v>637</v>
      </c>
      <c r="W287" s="253" t="n">
        <v>2493</v>
      </c>
      <c r="X287" s="253" t="n">
        <v>2493</v>
      </c>
      <c r="Y287" s="253" t="n">
        <v>1612</v>
      </c>
      <c r="Z287" s="253" t="n">
        <v>2547</v>
      </c>
      <c r="AA287" s="253" t="n">
        <v>3434</v>
      </c>
      <c r="AB287" s="253" t="n">
        <v>3855</v>
      </c>
      <c r="AC287" s="253" t="n">
        <v>3855</v>
      </c>
      <c r="AD287" s="253" t="n">
        <v>3345</v>
      </c>
      <c r="AE287" s="253" t="n">
        <v>1489</v>
      </c>
      <c r="AF287" s="253" t="n">
        <v>-1030</v>
      </c>
      <c r="AG287" s="253" t="n">
        <v>-1461</v>
      </c>
      <c r="AH287" s="253" t="n">
        <v>-1461</v>
      </c>
      <c r="AI287" s="253" t="n">
        <v>-2985</v>
      </c>
      <c r="AJ287" s="253" t="n">
        <v>546</v>
      </c>
      <c r="AK287" s="253" t="n">
        <v>5384</v>
      </c>
      <c r="AL287" s="253" t="n">
        <v>8448</v>
      </c>
      <c r="AM287" s="253" t="n">
        <v>8448</v>
      </c>
      <c r="AN287" s="253" t="n">
        <v>11793</v>
      </c>
      <c r="AO287" s="253" t="n">
        <v>12975</v>
      </c>
      <c r="AP287" s="253" t="n">
        <v>10453</v>
      </c>
      <c r="AQ287" s="253" t="n">
        <v>12490</v>
      </c>
      <c r="AR287" s="253" t="n">
        <v>12490</v>
      </c>
      <c r="AS287" s="253" t="n">
        <v>11678</v>
      </c>
      <c r="AT287" s="253" t="n">
        <v>19429</v>
      </c>
      <c r="AU287" s="253" t="n">
        <v>17904</v>
      </c>
      <c r="AV287" s="253" t="n">
        <v>21436</v>
      </c>
      <c r="AW287" s="253" t="n">
        <v>21436</v>
      </c>
      <c r="AX287" s="253" t="n">
        <v>16846</v>
      </c>
      <c r="AY287" s="253" t="n">
        <v>4185</v>
      </c>
      <c r="AZ287" s="253" t="n">
        <v>-3892</v>
      </c>
      <c r="BA287" s="253" t="n">
        <v>-14340</v>
      </c>
      <c r="BB287" s="253" t="n">
        <v>-14340</v>
      </c>
      <c r="BC287" s="253" t="n">
        <v>-22279</v>
      </c>
      <c r="BD287" s="253" t="n">
        <v>-26064</v>
      </c>
      <c r="BE287" s="253" t="n">
        <v>-21493</v>
      </c>
      <c r="BF287" s="253" t="n">
        <v>-12786</v>
      </c>
      <c r="BG287" s="253" t="n">
        <v>-12786</v>
      </c>
      <c r="BH287" s="253" t="n">
        <v>-4455</v>
      </c>
      <c r="BI287" s="253" t="n">
        <v>6734</v>
      </c>
      <c r="BJ287" s="253" t="n">
        <v>20241</v>
      </c>
      <c r="BK287" s="253" t="n">
        <v>35549</v>
      </c>
      <c r="BL287" s="253" t="n">
        <v>35549</v>
      </c>
      <c r="BM287" s="253" t="n">
        <v>48778</v>
      </c>
      <c r="BN287" s="253" t="n">
        <v>51448</v>
      </c>
      <c r="BO287" s="253" t="n">
        <v>46150</v>
      </c>
      <c r="BP287" s="253" t="n">
        <v>36211</v>
      </c>
      <c r="BQ287" s="253" t="n">
        <v>36211</v>
      </c>
      <c r="BR287" s="34" t="n"/>
      <c r="BS287" s="34" t="n"/>
      <c r="BT287" s="34" t="n"/>
      <c r="BU287" s="34" t="n"/>
      <c r="BV287" s="34" t="n"/>
      <c r="BW287" s="34" t="n"/>
      <c r="BX287" s="34" t="n"/>
      <c r="BY287" s="153" t="n"/>
      <c r="BZ287" s="153" t="n"/>
      <c r="CA287" s="153" t="n"/>
      <c r="CB287" s="153" t="n"/>
      <c r="CC287" s="153" t="n"/>
      <c r="CD287" s="153" t="n"/>
      <c r="CE287" s="153" t="n"/>
      <c r="CF287" s="153" t="n"/>
    </row>
    <row r="288" ht="15" customHeight="1" s="251">
      <c r="B288" s="158" t="inlineStr">
        <is>
          <t xml:space="preserve">  Definition / basis</t>
        </is>
      </c>
      <c r="C288" s="280" t="inlineStr">
        <is>
          <t>FCF = operating cash flow − purchases of fixed assets (TTM, as published)</t>
        </is>
      </c>
      <c r="J288" s="159" t="n"/>
      <c r="R288" s="280" t="inlineStr">
        <is>
          <t>Q4-14+: lease-adjusted FCF variants published (FCF less lease principal; less finance-lease principal &amp; assets under capital leases)</t>
        </is>
      </c>
      <c r="W288" s="280" t="inlineStr">
        <is>
          <t>Q4-15+: purchases of P&amp;E net of proceeds from sales and incentives</t>
        </is>
      </c>
      <c r="AJ288" s="159" t="n"/>
      <c r="AN288" s="280" t="inlineStr">
        <is>
          <t>2019+: variants renamed "less principal repayments of finance leases and financing obligations" / "less equipment finance leases …" (ASC 842)</t>
        </is>
      </c>
      <c r="BA288" s="159" t="n"/>
      <c r="BM288" s="159" t="n"/>
      <c r="BR288" s="280" t="inlineStr">
        <is>
          <t>2025+: only FCF published (lease-adjusted variants discontinued)</t>
        </is>
      </c>
      <c r="BT288" s="159" t="n"/>
      <c r="BY288" s="153" t="n"/>
      <c r="BZ288" s="153" t="n"/>
      <c r="CA288" s="153" t="n"/>
      <c r="CB288" s="153" t="n"/>
      <c r="CC288" s="153" t="n"/>
      <c r="CD288" s="153" t="n"/>
      <c r="CE288" s="153" t="n"/>
      <c r="CF288" s="19" t="n"/>
    </row>
    <row r="289" ht="15" customHeight="1" s="251">
      <c r="B289" s="22" t="inlineStr">
        <is>
          <t xml:space="preserve">  FCF y/y %</t>
        </is>
      </c>
      <c r="D289" s="255">
        <f>IF(AND(ISNUMBER(D277),ISNUMBER(C277)),IFERROR(D277/C277-1,""),"")</f>
        <v>1.43004115226337</v>
      </c>
      <c r="E289" s="255">
        <f>IF(AND(ISNUMBER(E277),ISNUMBER(D277)),IFERROR(E277/D277-1,""),"")</f>
        <v>0.154953429297206</v>
      </c>
      <c r="F289" s="255">
        <f>IF(AND(ISNUMBER(F277),ISNUMBER(E277)),IFERROR(F277/E277-1,""),"")</f>
        <v>1.14076246334311</v>
      </c>
      <c r="G289" s="255">
        <f>IF(AND(ISNUMBER(G277),ISNUMBER(F277)),IFERROR(G277/F277-1,""),"")</f>
        <v>-0.138356164383562</v>
      </c>
      <c r="H289" s="255">
        <f>IF(AND(ISNUMBER(H277),ISNUMBER(G277)),IFERROR(H277/G277-1,""),"")</f>
        <v>-0.16852146263911</v>
      </c>
      <c r="I289" s="255">
        <f>IF(AND(ISNUMBER(I277),ISNUMBER(H277)),IFERROR(I277/H277-1,""),"")</f>
        <v>-0.811185468451243</v>
      </c>
      <c r="N289" s="255">
        <f>IF(AND(ISNUMBER(N277),ISNUMBER(I277)),IFERROR(N277/I277-1,""),"")</f>
        <v>4.14177215189873</v>
      </c>
      <c r="O289" s="255">
        <f>IF(AND(ISNUMBER(O277),ISNUMBER(J277)),IFERROR(O277/J277-1,""),"")</f>
        <v>0.177514792899408</v>
      </c>
      <c r="P289" s="255">
        <f>IF(AND(ISNUMBER(P277),ISNUMBER(K277)),IFERROR(P277/K277-1,""),"")</f>
        <v>-18.12</v>
      </c>
      <c r="Q289" s="255">
        <f>IF(AND(ISNUMBER(Q277),ISNUMBER(L277)),IFERROR(Q277/L277-1,""),"")</f>
        <v>0.108571428571429</v>
      </c>
      <c r="R289" s="255">
        <f>IF(AND(ISNUMBER(R277),ISNUMBER(M277)),IFERROR(R277/M277-1,""),"")</f>
        <v>0.185823754789272</v>
      </c>
      <c r="S289" s="255">
        <f>IF(AND(ISNUMBER(S277),ISNUMBER(N277)),IFERROR(S277/N277-1,""),"")</f>
        <v>-0.0403741999015264</v>
      </c>
      <c r="T289" s="255">
        <f>IF(AND(ISNUMBER(T277),ISNUMBER(O277)),IFERROR(T277/O277-1,""),"")</f>
        <v>-0.338358458961474</v>
      </c>
      <c r="U289" s="255">
        <f>IF(AND(ISNUMBER(U277),ISNUMBER(P277)),IFERROR(U277/P277-1,""),"")</f>
        <v>-2.83177570093458</v>
      </c>
      <c r="V289" s="255">
        <f>IF(AND(ISNUMBER(V277),ISNUMBER(Q277)),IFERROR(V277/Q277-1,""),"")</f>
        <v>2.64690721649485</v>
      </c>
      <c r="W289" s="255">
        <f>IF(AND(ISNUMBER(W277),ISNUMBER(R277)),IFERROR(W277/R277-1,""),"")</f>
        <v>0.346795907377491</v>
      </c>
      <c r="X289" s="255">
        <f>IF(AND(ISNUMBER(X277),ISNUMBER(S277)),IFERROR(X277/S277-1,""),"")</f>
        <v>2.76141611082607</v>
      </c>
      <c r="Y289" s="255">
        <f>IF(AND(ISNUMBER(Y277),ISNUMBER(T277)),IFERROR(Y277/T277-1,""),"")</f>
        <v>0.408860759493671</v>
      </c>
      <c r="Z289" s="255">
        <f>IF(AND(ISNUMBER(Z277),ISNUMBER(U277)),IFERROR(Z277/U277-1,""),"")</f>
        <v>1.23724489795918</v>
      </c>
      <c r="AA289" s="255">
        <f>IF(AND(ISNUMBER(AA277),ISNUMBER(V277)),IFERROR(AA277/V277-1,""),"")</f>
        <v>0.869257950530035</v>
      </c>
      <c r="AB289" s="255">
        <f>IF(AND(ISNUMBER(AB277),ISNUMBER(W277)),IFERROR(AB277/W277-1,""),"")</f>
        <v>0.15233906437425</v>
      </c>
      <c r="AC289" s="255">
        <f>IF(AND(ISNUMBER(AC277),ISNUMBER(X277)),IFERROR(AC277/X277-1,""),"")</f>
        <v>0.323966716682581</v>
      </c>
      <c r="AD289" s="255">
        <f>IF(AND(ISNUMBER(AD277),ISNUMBER(Y277)),IFERROR(AD277/Y277-1,""),"")</f>
        <v>0.0335429769392033</v>
      </c>
      <c r="AE289" s="255">
        <f>IF(AND(ISNUMBER(AE277),ISNUMBER(Z277)),IFERROR(AE277/Z277-1,""),"")</f>
        <v>-0.242873432155074</v>
      </c>
      <c r="AF289" s="255">
        <f>IF(AND(ISNUMBER(AF277),ISNUMBER(AA277)),IFERROR(AF277/AA277-1,""),"")</f>
        <v>-0.549338374291115</v>
      </c>
      <c r="AG289" s="255">
        <f>IF(AND(ISNUMBER(AG277),ISNUMBER(AB277)),IFERROR(AG277/AB277-1,""),"")</f>
        <v>0.0765671987046033</v>
      </c>
      <c r="AH289" s="255">
        <f>IF(AND(ISNUMBER(AH277),ISNUMBER(AC277)),IFERROR(AH277/AC277-1,""),"")</f>
        <v>-0.137028642077066</v>
      </c>
      <c r="AI289" s="255">
        <f>IF(AND(ISNUMBER(AI277),ISNUMBER(AD277)),IFERROR(AI277/AD277-1,""),"")</f>
        <v>0.309185743262822</v>
      </c>
      <c r="AJ289" s="255">
        <f>IF(AND(ISNUMBER(AJ277),ISNUMBER(AE277)),IFERROR(AJ277/AE277-1,""),"")</f>
        <v>2.38855421686747</v>
      </c>
      <c r="AK289" s="255">
        <f>IF(AND(ISNUMBER(AK277),ISNUMBER(AF277)),IFERROR(AK277/AF277-1,""),"")</f>
        <v>4.08473154362416</v>
      </c>
      <c r="AL289" s="255">
        <f>IF(AND(ISNUMBER(AL277),ISNUMBER(AG277)),IFERROR(AL277/AG277-1,""),"")</f>
        <v>0.435217017619252</v>
      </c>
      <c r="AM289" s="255">
        <f>IF(AND(ISNUMBER(AM277),ISNUMBER(AH277)),IFERROR(AM277/AH277-1,""),"")</f>
        <v>1.31614135625597</v>
      </c>
      <c r="AN289" s="255">
        <f>IF(AND(ISNUMBER(AN277),ISNUMBER(AI277)),IFERROR(AN277/AI277-1,""),"")</f>
        <v>-0.806330234617087</v>
      </c>
      <c r="AO289" s="255">
        <f>IF(AND(ISNUMBER(AO277),ISNUMBER(AJ277)),IFERROR(AO277/AJ277-1,""),"")</f>
        <v>0.438888888888889</v>
      </c>
      <c r="AP289" s="255">
        <f>IF(AND(ISNUMBER(AP277),ISNUMBER(AK277)),IFERROR(AP277/AK277-1,""),"")</f>
        <v>-0.256393334433262</v>
      </c>
      <c r="AQ289" s="255">
        <f>IF(AND(ISNUMBER(AQ277),ISNUMBER(AL277)),IFERROR(AQ277/AL277-1,""),"")</f>
        <v>0.176585073733064</v>
      </c>
      <c r="AR289" s="255">
        <f>IF(AND(ISNUMBER(AR277),ISNUMBER(AM277)),IFERROR(AR277/AM277-1,""),"")</f>
        <v>0.331185567010309</v>
      </c>
      <c r="AS289" s="255">
        <f>IF(AND(ISNUMBER(AS277),ISNUMBER(AN277)),IFERROR(AS277/AN277-1,""),"")</f>
        <v>1.70171428571429</v>
      </c>
      <c r="AT289" s="255">
        <f>IF(AND(ISNUMBER(AT277),ISNUMBER(AO277)),IFERROR(AT277/AO277-1,""),"")</f>
        <v>1.1607722007722</v>
      </c>
      <c r="AU289" s="255">
        <f>IF(AND(ISNUMBER(AU277),ISNUMBER(AP277)),IFERROR(AU277/AP277-1,""),"")</f>
        <v>-0.521633015309519</v>
      </c>
      <c r="AV289" s="255">
        <f>IF(AND(ISNUMBER(AV277),ISNUMBER(AQ277)),IFERROR(AV277/AQ277-1,""),"")</f>
        <v>0.09651355134241</v>
      </c>
      <c r="AW289" s="255">
        <f>IF(AND(ISNUMBER(AW277),ISNUMBER(AR277)),IFERROR(AW277/AR277-1,""),"")</f>
        <v>0.201161665053243</v>
      </c>
      <c r="AX289" s="255">
        <f>IF(AND(ISNUMBER(AX277),ISNUMBER(AS277)),IFERROR(AX277/AS277-1,""),"")</f>
        <v>1.95008460236887</v>
      </c>
      <c r="AY289" s="255">
        <f>IF(AND(ISNUMBER(AY277),ISNUMBER(AT277)),IFERROR(AY277/AT277-1,""),"")</f>
        <v>-1.01951254377814</v>
      </c>
      <c r="AZ289" s="255">
        <f>IF(AND(ISNUMBER(AZ277),ISNUMBER(AU277)),IFERROR(AZ277/AU277-1,""),"")</f>
        <v>-4.44990723562152</v>
      </c>
      <c r="BA289" s="255">
        <f>IF(AND(ISNUMBER(BA277),ISNUMBER(AV277)),IFERROR(BA277/AV277-1,""),"")</f>
        <v>-0.674151436031332</v>
      </c>
      <c r="BB289" s="255">
        <f>IF(AND(ISNUMBER(BB277),ISNUMBER(AW277)),IFERROR(BB277/AW277-1,""),"")</f>
        <v>-1.29235976789168</v>
      </c>
      <c r="BC289" s="255">
        <f>IF(AND(ISNUMBER(BC277),ISNUMBER(AX277)),IFERROR(BC277/AX277-1,""),"")</f>
        <v>1.37051907083453</v>
      </c>
      <c r="BD289" s="255">
        <f>IF(AND(ISNUMBER(BD277),ISNUMBER(AY277)),IFERROR(BD277/AY277-1,""),"")</f>
        <v>17.8021978021978</v>
      </c>
      <c r="BE289" s="255">
        <f>IF(AND(ISNUMBER(BE277),ISNUMBER(AZ277)),IFERROR(BE277/AZ277-1,""),"")</f>
        <v>-0.511024468943264</v>
      </c>
      <c r="BF289" s="255">
        <f>IF(AND(ISNUMBER(BF277),ISNUMBER(BA277)),IFERROR(BF277/BA277-1,""),"")</f>
        <v>1.44533475783476</v>
      </c>
      <c r="BG289" s="255">
        <f>IF(AND(ISNUMBER(BG277),ISNUMBER(BB277)),IFERROR(BG277/BB277-1,""),"")</f>
        <v>0.275664351086118</v>
      </c>
      <c r="BH289" s="255">
        <f>IF(AND(ISNUMBER(BH277),ISNUMBER(BC277)),IFERROR(BH277/BC277-1,""),"")</f>
        <v>-0.499032180014517</v>
      </c>
      <c r="BI289" s="255">
        <f>IF(AND(ISNUMBER(BI277),ISNUMBER(BD277)),IFERROR(BI277/BD277-1,""),"")</f>
        <v>-2.18137541398792</v>
      </c>
      <c r="BJ289" s="255">
        <f>IF(AND(ISNUMBER(BJ277),ISNUMBER(BE277)),IFERROR(BJ277/BE277-1,""),"")</f>
        <v>-3.72724773164696</v>
      </c>
      <c r="BK289" s="255">
        <f>IF(AND(ISNUMBER(BK277),ISNUMBER(BF277)),IFERROR(BK277/BF277-1,""),"")</f>
        <v>1.11985727808927</v>
      </c>
      <c r="BL289" s="255">
        <f>IF(AND(ISNUMBER(BL277),ISNUMBER(BG277)),IFERROR(BL277/BG277-1,""),"")</f>
        <v>-4.18203820554931</v>
      </c>
      <c r="BM289" s="255">
        <f>IF(AND(ISNUMBER(BM277),ISNUMBER(BH277)),IFERROR(BM277/BH277-1,""),"")</f>
        <v>-1.61023907268776</v>
      </c>
      <c r="BN289" s="255">
        <f>IF(AND(ISNUMBER(BN277),ISNUMBER(BI277)),IFERROR(BN277/BI277-1,""),"")</f>
        <v>0.465699208443272</v>
      </c>
      <c r="BO289" s="255">
        <f>IF(AND(ISNUMBER(BO277),ISNUMBER(BJ277)),IFERROR(BO277/BJ277-1,""),"")</f>
        <v>-0.526867627785059</v>
      </c>
      <c r="BP289" s="255">
        <f>IF(AND(ISNUMBER(BP277),ISNUMBER(BK277)),IFERROR(BP277/BK277-1,""),"")</f>
        <v>-0.327287716405606</v>
      </c>
      <c r="BQ289" s="255">
        <f>IF(AND(ISNUMBER(BQ277),ISNUMBER(BL277)),IFERROR(BQ277/BL277-1,""),"")</f>
        <v>0.0381930296362698</v>
      </c>
      <c r="BR289" s="255">
        <f>IF(AND(ISNUMBER(BR277),ISNUMBER(BM277)),IFERROR(BR277/BM277-1,""),"")</f>
        <v>-2.43252869014642</v>
      </c>
      <c r="BS289" s="255">
        <f>IF(AND(ISNUMBER(BS277),ISNUMBER(BN277)),IFERROR(BS277/BN277-1,""),"")</f>
        <v>-0.870949594959496</v>
      </c>
      <c r="BT289" s="255">
        <f>IF(AND(ISNUMBER(BT277),ISNUMBER(BO277)),IFERROR(BT277/BO277-1,""),"")</f>
        <v>-0.723630939697422</v>
      </c>
      <c r="BU289" s="255">
        <f>IF(AND(ISNUMBER(BU277),ISNUMBER(BP277)),IFERROR(BU277/BP277-1,""),"")</f>
        <v>-0.183517156862745</v>
      </c>
      <c r="BV289" s="255">
        <f>IF(AND(ISNUMBER(BV277),ISNUMBER(BQ277)),IFERROR(BV277/BQ277-1,""),"")</f>
        <v>-0.707109029540281</v>
      </c>
      <c r="BW289" s="255">
        <f>IF(AND(ISNUMBER(BW277),ISNUMBER(BR277)),IFERROR(BW277/BR277-1,""),"")</f>
        <v>1.37596685082873</v>
      </c>
      <c r="BX289" s="255">
        <f>IF(AND(ISNUMBER(BX277),ISNUMBER(BS277)),IFERROR(BX277/BS277-1,""),"")</f>
        <v>-7.70357454228422</v>
      </c>
      <c r="BY289" s="24" t="n"/>
      <c r="BZ289" s="24" t="n"/>
      <c r="CA289" s="256">
        <f>IF(AND(ISNUMBER(CA277),ISNUMBER(BV277)),IFERROR(CA277/BV277-1,""),"")</f>
        <v>-3.38902620165465</v>
      </c>
      <c r="CB289" s="256">
        <f>IF(AND(ISNUMBER(CB277),ISNUMBER(CA277)),IFERROR(CB277/CA277-1,""),"")</f>
        <v>-1.79372560056567</v>
      </c>
      <c r="CC289" s="256">
        <f>IF(AND(ISNUMBER(CC277),ISNUMBER(CB277)),IFERROR(CC277/CB277-1,""),"")</f>
        <v>1.84454512555814</v>
      </c>
      <c r="CD289" s="256">
        <f>IF(AND(ISNUMBER(CD277),ISNUMBER(CC277)),IFERROR(CD277/CC277-1,""),"")</f>
        <v>0.665164592842725</v>
      </c>
      <c r="CE289" s="256">
        <f>IF(AND(ISNUMBER(CE277),ISNUMBER(CD277)),IFERROR(CE277/CD277-1,""),"")</f>
        <v>0.436841791689139</v>
      </c>
      <c r="CF289" s="153" t="n"/>
    </row>
    <row r="290" ht="15" customHeight="1" s="251">
      <c r="B290" s="25" t="inlineStr">
        <is>
          <t xml:space="preserve">  FCF % of net sales</t>
        </is>
      </c>
      <c r="C290" s="215">
        <f>IF(AND(ISNUMBER(C277),ISNUMBER(C144)),IFERROR(C277/C144,""),"")</f>
        <v>0.0453739146671646</v>
      </c>
      <c r="D290" s="215">
        <f>IF(AND(ISNUMBER(D277),ISNUMBER(D144)),IFERROR(D277/D144,""),"")</f>
        <v>0.0796090326929558</v>
      </c>
      <c r="E290" s="215">
        <f>IF(AND(ISNUMBER(E277),ISNUMBER(E144)),IFERROR(E277/E144,""),"")</f>
        <v>0.0711676927893144</v>
      </c>
      <c r="F290" s="215">
        <f>IF(AND(ISNUMBER(F277),ISNUMBER(F144)),IFERROR(F277/F144,""),"")</f>
        <v>0.119139907788975</v>
      </c>
      <c r="G290" s="215">
        <f>IF(AND(ISNUMBER(G277),ISNUMBER(G144)),IFERROR(G277/G144,""),"")</f>
        <v>0.073558648111332</v>
      </c>
      <c r="H290" s="215">
        <f>IF(AND(ISNUMBER(H277),ISNUMBER(H144)),IFERROR(H277/H144,""),"")</f>
        <v>0.0435135303783514</v>
      </c>
      <c r="I290" s="215">
        <f>IF(AND(ISNUMBER(I277),ISNUMBER(I144)),IFERROR(I277/I144,""),"")</f>
        <v>0.00646555251829179</v>
      </c>
      <c r="J290" s="215">
        <f>IF(AND(ISNUMBER(J277),ISNUMBER(J144)),IFERROR(J277/J144,""),"")</f>
        <v>-0.189296826384568</v>
      </c>
      <c r="K290" s="215">
        <f>IF(AND(ISNUMBER(K277),ISNUMBER(K144)),IFERROR(K277/K144,""),"")</f>
        <v>0.00159195109526235</v>
      </c>
      <c r="L290" s="215">
        <f>IF(AND(ISNUMBER(L277),ISNUMBER(L144)),IFERROR(L277/L144,""),"")</f>
        <v>0.0204774163351275</v>
      </c>
      <c r="M290" s="215">
        <f>IF(AND(ISNUMBER(M277),ISNUMBER(M144)),IFERROR(M277/M144,""),"")</f>
        <v>0.183608863876187</v>
      </c>
      <c r="N290" s="215">
        <f>IF(AND(ISNUMBER(N277),ISNUMBER(N144)),IFERROR(N277/N144,""),"")</f>
        <v>0.027279320904744</v>
      </c>
      <c r="O290" s="215">
        <f>IF(AND(ISNUMBER(O277),ISNUMBER(O144)),IFERROR(O277/O144,""),"")</f>
        <v>-0.181449774580822</v>
      </c>
      <c r="P290" s="215">
        <f>IF(AND(ISNUMBER(P277),ISNUMBER(P144)),IFERROR(P277/P144,""),"")</f>
        <v>-0.0221302998965874</v>
      </c>
      <c r="Q290" s="215">
        <f>IF(AND(ISNUMBER(Q277),ISNUMBER(Q144)),IFERROR(Q277/Q144,""),"")</f>
        <v>0.0188541717284611</v>
      </c>
      <c r="R290" s="215">
        <f>IF(AND(ISNUMBER(R277),ISNUMBER(R144)),IFERROR(R277/R144,""),"")</f>
        <v>0.189954991816694</v>
      </c>
      <c r="S290" s="215">
        <f>IF(AND(ISNUMBER(S277),ISNUMBER(S144)),IFERROR(S277/S144,""),"")</f>
        <v>0.0219018294601519</v>
      </c>
      <c r="T290" s="215">
        <f>IF(AND(ISNUMBER(T277),ISNUMBER(T144)),IFERROR(T277/T144,""),"")</f>
        <v>-0.104327155874455</v>
      </c>
      <c r="U290" s="215">
        <f>IF(AND(ISNUMBER(U277),ISNUMBER(U144)),IFERROR(U277/U144,""),"")</f>
        <v>0.0338149665732154</v>
      </c>
      <c r="V290" s="215">
        <f>IF(AND(ISNUMBER(V277),ISNUMBER(V144)),IFERROR(V277/V144,""),"")</f>
        <v>0.055800930672766</v>
      </c>
      <c r="W290" s="215">
        <f>IF(AND(ISNUMBER(W277),ISNUMBER(W144)),IFERROR(W277/W144,""),"")</f>
        <v>0.209891739166923</v>
      </c>
      <c r="X290" s="215">
        <f>IF(AND(ISNUMBER(X277),ISNUMBER(X144)),IFERROR(X277/X144,""),"")</f>
        <v>0.0685101769994206</v>
      </c>
      <c r="Y290" s="215">
        <f>IF(AND(ISNUMBER(Y277),ISNUMBER(Y144)),IFERROR(Y277/Y144,""),"")</f>
        <v>-0.11463196923922</v>
      </c>
      <c r="Z290" s="215">
        <f>IF(AND(ISNUMBER(Z277),ISNUMBER(Z144)),IFERROR(Z277/Z144,""),"")</f>
        <v>0.0576897776608341</v>
      </c>
      <c r="AA290" s="215">
        <f>IF(AND(ISNUMBER(AA277),ISNUMBER(AA144)),IFERROR(AA277/AA144,""),"")</f>
        <v>0.080852234517332</v>
      </c>
      <c r="AB290" s="215">
        <f>IF(AND(ISNUMBER(AB277),ISNUMBER(AB144)),IFERROR(AB277/AB144,""),"")</f>
        <v>0.197663519352553</v>
      </c>
      <c r="AC290" s="215">
        <f>IF(AND(ISNUMBER(AC277),ISNUMBER(AC144)),IFERROR(AC277/AC144,""),"")</f>
        <v>0.0713744696184194</v>
      </c>
      <c r="AD290" s="215">
        <f>IF(AND(ISNUMBER(AD277),ISNUMBER(AD144)),IFERROR(AD277/AD144,""),"")</f>
        <v>-0.0966287730301843</v>
      </c>
      <c r="AE290" s="215">
        <f>IF(AND(ISNUMBER(AE277),ISNUMBER(AE144)),IFERROR(AE277/AE144,""),"")</f>
        <v>0.034988802529311</v>
      </c>
      <c r="AF290" s="215">
        <f>IF(AND(ISNUMBER(AF277),ISNUMBER(AF144)),IFERROR(AF277/AF144,""),"")</f>
        <v>0.0272494513533285</v>
      </c>
      <c r="AG290" s="215">
        <f>IF(AND(ISNUMBER(AG277),ISNUMBER(AG144)),IFERROR(AG277/AG144,""),"")</f>
        <v>0.153970853390237</v>
      </c>
      <c r="AH290" s="215">
        <f>IF(AND(ISNUMBER(AH277),ISNUMBER(AH144)),IFERROR(AH277/AH144,""),"")</f>
        <v>0.0470916307782263</v>
      </c>
      <c r="AI290" s="215">
        <f>IF(AND(ISNUMBER(AI277),ISNUMBER(AI144)),IFERROR(AI277/AI144,""),"")</f>
        <v>-0.0885153403079817</v>
      </c>
      <c r="AJ290" s="215">
        <f>IF(AND(ISNUMBER(AJ277),ISNUMBER(AJ144)),IFERROR(AJ277/AJ144,""),"")</f>
        <v>0.0850886813145256</v>
      </c>
      <c r="AK290" s="215">
        <f>IF(AND(ISNUMBER(AK277),ISNUMBER(AK144)),IFERROR(AK277/AK144,""),"")</f>
        <v>0.107130231900452</v>
      </c>
      <c r="AL290" s="215">
        <f>IF(AND(ISNUMBER(AL277),ISNUMBER(AL144)),IFERROR(AL277/AL144,""),"")</f>
        <v>0.184559910476217</v>
      </c>
      <c r="AM290" s="215">
        <f>IF(AND(ISNUMBER(AM277),ISNUMBER(AM144)),IFERROR(AM277/AM144,""),"")</f>
        <v>0.0833022023556489</v>
      </c>
      <c r="AN290" s="215">
        <f>IF(AND(ISNUMBER(AN277),ISNUMBER(AN144)),IFERROR(AN277/AN144,""),"")</f>
        <v>-0.0146566164154104</v>
      </c>
      <c r="AO290" s="215">
        <f>IF(AND(ISNUMBER(AO277),ISNUMBER(AO144)),IFERROR(AO277/AO144,""),"")</f>
        <v>0.102122894454609</v>
      </c>
      <c r="AP290" s="215">
        <f>IF(AND(ISNUMBER(AP277),ISNUMBER(AP144)),IFERROR(AP277/AP144,""),"")</f>
        <v>0.0644031951529701</v>
      </c>
      <c r="AQ290" s="215">
        <f>IF(AND(ISNUMBER(AQ277),ISNUMBER(AQ144)),IFERROR(AQ277/AQ144,""),"")</f>
        <v>0.17976371558951</v>
      </c>
      <c r="AR290" s="215">
        <f>IF(AND(ISNUMBER(AR277),ISNUMBER(AR144)),IFERROR(AR277/AR144,""),"")</f>
        <v>0.0920605157527752</v>
      </c>
      <c r="AS290" s="215">
        <f>IF(AND(ISNUMBER(AS277),ISNUMBER(AS144)),IFERROR(AS277/AS144,""),"")</f>
        <v>-0.0313311774373111</v>
      </c>
      <c r="AT290" s="215">
        <f>IF(AND(ISNUMBER(AT277),ISNUMBER(AT144)),IFERROR(AT277/AT144,""),"")</f>
        <v>0.15735783696239</v>
      </c>
      <c r="AU290" s="215">
        <f>IF(AND(ISNUMBER(AU277),ISNUMBER(AU144)),IFERROR(AU277/AU144,""),"")</f>
        <v>0.0224244630506007</v>
      </c>
      <c r="AV290" s="215">
        <f>IF(AND(ISNUMBER(AV277),ISNUMBER(AV144)),IFERROR(AV277/AV144,""),"")</f>
        <v>0.137270518896101</v>
      </c>
      <c r="AW290" s="215">
        <f>IF(AND(ISNUMBER(AW277),ISNUMBER(AW144)),IFERROR(AW277/AW144,""),"")</f>
        <v>0.080349372124829</v>
      </c>
      <c r="AX290" s="215">
        <f>IF(AND(ISNUMBER(AX277),ISNUMBER(AX144)),IFERROR(AX277/AX144,""),"")</f>
        <v>-0.0642658360824932</v>
      </c>
      <c r="AY290" s="215">
        <f>IF(AND(ISNUMBER(AY277),ISNUMBER(AY144)),IFERROR(AY277/AY144,""),"")</f>
        <v>-0.00241422002122391</v>
      </c>
      <c r="AZ290" s="215">
        <f>IF(AND(ISNUMBER(AZ277),ISNUMBER(AZ144)),IFERROR(AZ277/AZ144,""),"")</f>
        <v>-0.0671226942930369</v>
      </c>
      <c r="BA290" s="215">
        <f>IF(AND(ISNUMBER(BA277),ISNUMBER(BA144)),IFERROR(BA277/BA144,""),"")</f>
        <v>0.0408697930311763</v>
      </c>
      <c r="BB290" s="215">
        <f>IF(AND(ISNUMBER(BB277),ISNUMBER(BB144)),IFERROR(BB277/BB144,""),"")</f>
        <v>-0.0193030551996288</v>
      </c>
      <c r="BC290" s="215">
        <f>IF(AND(ISNUMBER(BC277),ISNUMBER(BC144)),IFERROR(BC277/BC144,""),"")</f>
        <v>-0.141973824327574</v>
      </c>
      <c r="BD290" s="215">
        <f>IF(AND(ISNUMBER(BD277),ISNUMBER(BD144)),IFERROR(BD277/BD144,""),"")</f>
        <v>-0.04233960770081</v>
      </c>
      <c r="BE290" s="215">
        <f>IF(AND(ISNUMBER(BE277),ISNUMBER(BE144)),IFERROR(BE277/BE144,""),"")</f>
        <v>-0.0286150384340013</v>
      </c>
      <c r="BF290" s="215">
        <f>IF(AND(ISNUMBER(BF277),ISNUMBER(BF144)),IFERROR(BF277/BF144,""),"")</f>
        <v>0.0920417683172033</v>
      </c>
      <c r="BG290" s="215">
        <f>IF(AND(ISNUMBER(BG277),ISNUMBER(BG144)),IFERROR(BG277/BG144,""),"")</f>
        <v>-0.0225085265465978</v>
      </c>
      <c r="BH290" s="215">
        <f>IF(AND(ISNUMBER(BH277),ISNUMBER(BH144)),IFERROR(BH277/BH144,""),"")</f>
        <v>-0.0650292875202186</v>
      </c>
      <c r="BI290" s="215">
        <f>IF(AND(ISNUMBER(BI277),ISNUMBER(BI144)),IFERROR(BI277/BI144,""),"")</f>
        <v>0.0451247553634016</v>
      </c>
      <c r="BJ290" s="215">
        <f>IF(AND(ISNUMBER(BJ277),ISNUMBER(BJ144)),IFERROR(BJ277/BJ144,""),"")</f>
        <v>0.0693233997050663</v>
      </c>
      <c r="BK290" s="215">
        <f>IF(AND(ISNUMBER(BK277),ISNUMBER(BK144)),IFERROR(BK277/BK144,""),"")</f>
        <v>0.171286353928254</v>
      </c>
      <c r="BL290" s="215">
        <f>IF(AND(ISNUMBER(BL277),ISNUMBER(BL144)),IFERROR(BL277/BL144,""),"")</f>
        <v>0.0640465565385318</v>
      </c>
      <c r="BM290" s="215">
        <f>IF(AND(ISNUMBER(BM277),ISNUMBER(BM144)),IFERROR(BM277/BM144,""),"")</f>
        <v>0.0352654678919568</v>
      </c>
      <c r="BN290" s="215">
        <f>IF(AND(ISNUMBER(BN277),ISNUMBER(BN144)),IFERROR(BN277/BN144,""),"")</f>
        <v>0.0600633882292518</v>
      </c>
      <c r="BO290" s="215">
        <f>IF(AND(ISNUMBER(BO277),ISNUMBER(BO144)),IFERROR(BO277/BO144,""),"")</f>
        <v>0.0295385738653172</v>
      </c>
      <c r="BP290" s="215">
        <f>IF(AND(ISNUMBER(BP277),ISNUMBER(BP144)),IFERROR(BP277/BP144,""),"")</f>
        <v>0.104285592570504</v>
      </c>
      <c r="BQ290" s="215">
        <f>IF(AND(ISNUMBER(BQ277),ISNUMBER(BQ144)),IFERROR(BQ277/BQ144,""),"")</f>
        <v>0.0599082386172152</v>
      </c>
      <c r="BR290" s="215">
        <f>IF(AND(ISNUMBER(BR277),ISNUMBER(BR144)),IFERROR(BR277/BR144,""),"")</f>
        <v>-0.0465095363821491</v>
      </c>
      <c r="BS290" s="215">
        <f>IF(AND(ISNUMBER(BS277),ISNUMBER(BS144)),IFERROR(BS277/BS144,""),"")</f>
        <v>0.00683951294558204</v>
      </c>
      <c r="BT290" s="215">
        <f>IF(AND(ISNUMBER(BT277),ISNUMBER(BT144)),IFERROR(BT277/BT144,""),"")</f>
        <v>0.00719879668533433</v>
      </c>
      <c r="BU290" s="215">
        <f>IF(AND(ISNUMBER(BU277),ISNUMBER(BU144)),IFERROR(BU277/BU144,""),"")</f>
        <v>0.0749346255143262</v>
      </c>
      <c r="BV290" s="215">
        <f>IF(AND(ISNUMBER(BV277),ISNUMBER(BV144)),IFERROR(BV277/BV144,""),"")</f>
        <v>0.0156139283940836</v>
      </c>
      <c r="BW290" s="215">
        <f>IF(AND(ISNUMBER(BW277),ISNUMBER(BW144)),IFERROR(BW277/BW144,""),"")</f>
        <v>-0.0947669389981214</v>
      </c>
      <c r="BX290" s="215">
        <f>IF(AND(ISNUMBER(BX277),ISNUMBER(BX144)),IFERROR(BX277/BX144,""),"")</f>
        <v>-0.0383288635434633</v>
      </c>
      <c r="BY290" s="24" t="n"/>
      <c r="BZ290" s="24" t="n"/>
      <c r="CA290" s="256">
        <f>IF(AND(ISNUMBER(CA277),ISNUMBER(CA144)),IFERROR(CA277/CA144,""),"")</f>
        <v>-0.0323949500386745</v>
      </c>
      <c r="CB290" s="256">
        <f>IF(AND(ISNUMBER(CB277),ISNUMBER(CB144)),IFERROR(CB277/CB144,""),"")</f>
        <v>0.0224865186931335</v>
      </c>
      <c r="CC290" s="256">
        <f>IF(AND(ISNUMBER(CC277),ISNUMBER(CC144)),IFERROR(CC277/CC144,""),"")</f>
        <v>0.0564598377681736</v>
      </c>
      <c r="CD290" s="256">
        <f>IF(AND(ISNUMBER(CD277),ISNUMBER(CD144)),IFERROR(CD277/CD144,""),"")</f>
        <v>0.0838748723633367</v>
      </c>
      <c r="CE290" s="256">
        <f>IF(AND(ISNUMBER(CE277),ISNUMBER(CE144)),IFERROR(CE277/CE144,""),"")</f>
        <v>0.108600314329629</v>
      </c>
      <c r="CF290" s="153" t="n"/>
      <c r="CH290" s="37">
        <f>IFERROR(AVERAGE(CA290,CB290,CC290,CD290,CE290),"n/m")</f>
        <v>0.0478053186231197</v>
      </c>
      <c r="CI290" s="37">
        <f>IFERROR(AVERAGE(BB290,BG290,BL290,BQ290,BV290),"n/m")</f>
        <v>0.0195514283607208</v>
      </c>
      <c r="CJ290" s="37">
        <f>IFERROR(AVERAGE(AC290,AH290,AM290,AR290,AW290,BB290,BG290,BL290,BQ290,BV290),"n/m")</f>
        <v>0.0471935332433503</v>
      </c>
      <c r="CK290" s="37">
        <f>IFERROR(AVERAGE(C290,D290,E290,F290,G290,H290,I290,N290,S290,X290,AC290,AH290,AM290,AR290,AW290,BB290,BG290,BL290,BQ290,BV290),"n/m")</f>
        <v>0.0514227469372102</v>
      </c>
    </row>
    <row r="291" ht="15" customHeight="1" s="251">
      <c r="B291" s="25" t="inlineStr">
        <is>
          <t xml:space="preserve">  FCF / adjusted net income conversion %</t>
        </is>
      </c>
      <c r="C291" s="215">
        <f>IF(AND(ISNUMBER(C277),ISNUMBER(C220)),IFERROR(C277/C220,""),"")</f>
        <v>2.62065246697223</v>
      </c>
      <c r="D291" s="215">
        <f>IF(AND(ISNUMBER(D277),ISNUMBER(D220)),IFERROR(D277/D220,""),"")</f>
        <v>2.45428096425603</v>
      </c>
      <c r="E291" s="215">
        <f>IF(AND(ISNUMBER(E277),ISNUMBER(E220)),IFERROR(E277/E220,""),"")</f>
        <v>2.18782580800385</v>
      </c>
      <c r="F291" s="215">
        <f>IF(AND(ISNUMBER(F277),ISNUMBER(F220)),IFERROR(F277/F220,""),"")</f>
        <v>3.28403531462633</v>
      </c>
      <c r="G291" s="215">
        <f>IF(AND(ISNUMBER(G277),ISNUMBER(G220)),IFERROR(G277/G220,""),"")</f>
        <v>2.30055319343483</v>
      </c>
      <c r="H291" s="215">
        <f>IF(AND(ISNUMBER(H277),ISNUMBER(H220)),IFERROR(H277/H220,""),"")</f>
        <v>3.52425876010782</v>
      </c>
      <c r="I291" s="215">
        <f>IF(AND(ISNUMBER(I277),ISNUMBER(I220)),IFERROR(I277/I220,""),"")</f>
        <v>2.35119047619048</v>
      </c>
      <c r="J291" s="215">
        <f>IF(AND(ISNUMBER(J277),ISNUMBER(J220)),IFERROR(J277/J220,""),"")</f>
        <v>-20.4092586380409</v>
      </c>
      <c r="K291" s="215">
        <f>IF(AND(ISNUMBER(K277),ISNUMBER(K220)),IFERROR(K277/K220,""),"")</f>
        <v>0.871080139372822</v>
      </c>
      <c r="L291" s="215">
        <f>IF(AND(ISNUMBER(L277),ISNUMBER(L220)),IFERROR(L277/L220,""),"")</f>
        <v>-9.49796472184532</v>
      </c>
      <c r="M291" s="215">
        <f>IF(AND(ISNUMBER(M277),ISNUMBER(M220)),IFERROR(M277/M220,""),"")</f>
        <v>16.1166380789022</v>
      </c>
      <c r="N291" s="215">
        <f>IF(AND(ISNUMBER(N277),ISNUMBER(N220)),IFERROR(N277/N220,""),"")</f>
        <v>4.68620212275035</v>
      </c>
      <c r="O291" s="215">
        <f>IF(AND(ISNUMBER(O277),ISNUMBER(O220)),IFERROR(O277/O220,""),"")</f>
        <v>-81.8742857142857</v>
      </c>
      <c r="P291" s="215">
        <f>IF(AND(ISNUMBER(P277),ISNUMBER(P220)),IFERROR(P277/P220,""),"")</f>
        <v>3.16334072431633</v>
      </c>
      <c r="Q291" s="215">
        <f>IF(AND(ISNUMBER(Q277),ISNUMBER(Q220)),IFERROR(Q277/Q220,""),"")</f>
        <v>-0.978562421185372</v>
      </c>
      <c r="R291" s="215">
        <f>IF(AND(ISNUMBER(R277),ISNUMBER(R220)),IFERROR(R277/R220,""),"")</f>
        <v>19.4518156424581</v>
      </c>
      <c r="S291" s="215">
        <f>IF(AND(ISNUMBER(S277),ISNUMBER(S220)),IFERROR(S277/S220,""),"")</f>
        <v>-9.68206656731247</v>
      </c>
      <c r="T291" s="215">
        <f>IF(AND(ISNUMBER(T277),ISNUMBER(T220)),IFERROR(T277/T220,""),"")</f>
        <v>-68.6956521739131</v>
      </c>
      <c r="U291" s="215">
        <f>IF(AND(ISNUMBER(U277),ISNUMBER(U220)),IFERROR(U277/U220,""),"")</f>
        <v>8.16666666666667</v>
      </c>
      <c r="V291" s="215">
        <f>IF(AND(ISNUMBER(V277),ISNUMBER(V220)),IFERROR(V277/V220,""),"")</f>
        <v>11.5604575163399</v>
      </c>
      <c r="W291" s="215">
        <f>IF(AND(ISNUMBER(W277),ISNUMBER(W220)),IFERROR(W277/W220,""),"")</f>
        <v>14.1780045351474</v>
      </c>
      <c r="X291" s="215">
        <f>IF(AND(ISNUMBER(X277),ISNUMBER(X220)),IFERROR(X277/X220,""),"")</f>
        <v>9.34599694033656</v>
      </c>
      <c r="Y291" s="215">
        <f>IF(AND(ISNUMBER(Y277),ISNUMBER(Y220)),IFERROR(Y277/Y220,""),"")</f>
        <v>-6.31967445821898</v>
      </c>
      <c r="Z291" s="215">
        <f>IF(AND(ISNUMBER(Z277),ISNUMBER(Z220)),IFERROR(Z277/Z220,""),"")</f>
        <v>1.99069345136761</v>
      </c>
      <c r="AA291" s="215">
        <f>IF(AND(ISNUMBER(AA277),ISNUMBER(AA220)),IFERROR(AA277/AA220,""),"")</f>
        <v>10.2998442367601</v>
      </c>
      <c r="AB291" s="215">
        <f>IF(AND(ISNUMBER(AB277),ISNUMBER(AB220)),IFERROR(AB277/AB220,""),"")</f>
        <v>11.6381747206892</v>
      </c>
      <c r="AC291" s="215">
        <f>IF(AND(ISNUMBER(AC277),ISNUMBER(AC220)),IFERROR(AC277/AC220,""),"")</f>
        <v>4.02989412497405</v>
      </c>
      <c r="AD291" s="215">
        <f>IF(AND(ISNUMBER(AD277),ISNUMBER(AD220)),IFERROR(AD277/AD220,""),"")</f>
        <v>-4.98123556581986</v>
      </c>
      <c r="AE291" s="215">
        <f>IF(AND(ISNUMBER(AE277),ISNUMBER(AE220)),IFERROR(AE277/AE220,""),"")</f>
        <v>12.0782173715325</v>
      </c>
      <c r="AF291" s="215">
        <f>IF(AND(ISNUMBER(AF277),ISNUMBER(AF220)),IFERROR(AF277/AF220,""),"")</f>
        <v>7.22205392305362</v>
      </c>
      <c r="AG291" s="215">
        <f>IF(AND(ISNUMBER(AG277),ISNUMBER(AG220)),IFERROR(AG277/AG220,""),"")</f>
        <v>5.04690126335195</v>
      </c>
      <c r="AH291" s="215">
        <f>IF(AND(ISNUMBER(AH277),ISNUMBER(AH220)),IFERROR(AH277/AH220,""),"")</f>
        <v>2.97855695032182</v>
      </c>
      <c r="AI291" s="215">
        <f>IF(AND(ISNUMBER(AI277),ISNUMBER(AI220)),IFERROR(AI277/AI220,""),"")</f>
        <v>-3.13708607892014</v>
      </c>
      <c r="AJ291" s="215">
        <f>IF(AND(ISNUMBER(AJ277),ISNUMBER(AJ220)),IFERROR(AJ277/AJ220,""),"")</f>
        <v>1.70913551925436</v>
      </c>
      <c r="AK291" s="215">
        <f>IF(AND(ISNUMBER(AK277),ISNUMBER(AK220)),IFERROR(AK277/AK220,""),"")</f>
        <v>2.05077365021469</v>
      </c>
      <c r="AL291" s="215">
        <f>IF(AND(ISNUMBER(AL277),ISNUMBER(AL220)),IFERROR(AL277/AL220,""),"")</f>
        <v>4.20066599375513</v>
      </c>
      <c r="AM291" s="215">
        <f>IF(AND(ISNUMBER(AM277),ISNUMBER(AM220)),IFERROR(AM277/AM220,""),"")</f>
        <v>1.9003641058444</v>
      </c>
      <c r="AN291" s="215">
        <f>IF(AND(ISNUMBER(AN277),ISNUMBER(AN220)),IFERROR(AN277/AN220,""),"")</f>
        <v>-0.254698088163379</v>
      </c>
      <c r="AO291" s="215">
        <f>IF(AND(ISNUMBER(AO277),ISNUMBER(AO220)),IFERROR(AO277/AO220,""),"")</f>
        <v>2.44032969890666</v>
      </c>
      <c r="AP291" s="215">
        <f>IF(AND(ISNUMBER(AP277),ISNUMBER(AP220)),IFERROR(AP277/AP220,""),"")</f>
        <v>1.86480861610265</v>
      </c>
      <c r="AQ291" s="215">
        <f>IF(AND(ISNUMBER(AQ277),ISNUMBER(AQ220)),IFERROR(AQ277/AQ220,""),"")</f>
        <v>5.35212034949843</v>
      </c>
      <c r="AR291" s="215">
        <f>IF(AND(ISNUMBER(AR277),ISNUMBER(AR220)),IFERROR(AR277/AR220,""),"")</f>
        <v>2.25710847143283</v>
      </c>
      <c r="AS291" s="215">
        <f>IF(AND(ISNUMBER(AS277),ISNUMBER(AS220)),IFERROR(AS277/AS220,""),"")</f>
        <v>-0.798718806381642</v>
      </c>
      <c r="AT291" s="215">
        <f>IF(AND(ISNUMBER(AT277),ISNUMBER(AT220)),IFERROR(AT277/AT220,""),"")</f>
        <v>2.96001827929235</v>
      </c>
      <c r="AU291" s="215">
        <f>IF(AND(ISNUMBER(AU277),ISNUMBER(AU220)),IFERROR(AU277/AU220,""),"")</f>
        <v>0.391341834187957</v>
      </c>
      <c r="AV291" s="215">
        <f>IF(AND(ISNUMBER(AV277),ISNUMBER(AV220)),IFERROR(AV277/AV220,""),"")</f>
        <v>2.75925113587971</v>
      </c>
      <c r="AW291" s="215">
        <f>IF(AND(ISNUMBER(AW277),ISNUMBER(AW220)),IFERROR(AW277/AW220,""),"")</f>
        <v>1.59552225064307</v>
      </c>
      <c r="AX291" s="215">
        <f>IF(AND(ISNUMBER(AX277),ISNUMBER(AX220)),IFERROR(AX277/AX220,""),"")</f>
        <v>-1.02992452044416</v>
      </c>
      <c r="AY291" s="215">
        <f>IF(AND(ISNUMBER(AY277),ISNUMBER(AY220)),IFERROR(AY277/AY220,""),"")</f>
        <v>-0.0403260948239315</v>
      </c>
      <c r="AZ291" s="215">
        <f>IF(AND(ISNUMBER(AZ277),ISNUMBER(AZ220)),IFERROR(AZ277/AZ220,""),"")</f>
        <v>-2.26163580913229</v>
      </c>
      <c r="BA291" s="215">
        <f>IF(AND(ISNUMBER(BA277),ISNUMBER(BA220)),IFERROR(BA277/BA220,""),"")</f>
        <v>1.12998442649669</v>
      </c>
      <c r="BB291" s="215">
        <f>IF(AND(ISNUMBER(BB277),ISNUMBER(BB220)),IFERROR(BB277/BB220,""),"")</f>
        <v>-0.416010510125491</v>
      </c>
      <c r="BC291" s="215">
        <f>IF(AND(ISNUMBER(BC277),ISNUMBER(BC220)),IFERROR(BC277/BC220,""),"")</f>
        <v>-5.64752502305879</v>
      </c>
      <c r="BD291" s="215">
        <f>IF(AND(ISNUMBER(BD277),ISNUMBER(BD220)),IFERROR(BD277/BD220,""),"")</f>
        <v>-2.17081474276289</v>
      </c>
      <c r="BE291" s="215">
        <f>IF(AND(ISNUMBER(BE277),ISNUMBER(BE220)),IFERROR(BE277/BE220,""),"")</f>
        <v>-1.59840730600029</v>
      </c>
      <c r="BF291" s="215">
        <f>IF(AND(ISNUMBER(BF277),ISNUMBER(BF220)),IFERROR(BF277/BF220,""),"")</f>
        <v>2.68039426173514</v>
      </c>
      <c r="BG291" s="215">
        <f>IF(AND(ISNUMBER(BG277),ISNUMBER(BG220)),IFERROR(BG277/BG220,""),"")</f>
        <v>-0.911609567290796</v>
      </c>
      <c r="BH291" s="215">
        <f>IF(AND(ISNUMBER(BH277),ISNUMBER(BH220)),IFERROR(BH277/BH220,""),"")</f>
        <v>-2.11492937892783</v>
      </c>
      <c r="BI291" s="215">
        <f>IF(AND(ISNUMBER(BI277),ISNUMBER(BI220)),IFERROR(BI277/BI220,""),"")</f>
        <v>0.903616702007656</v>
      </c>
      <c r="BJ291" s="215">
        <f>IF(AND(ISNUMBER(BJ277),ISNUMBER(BJ220)),IFERROR(BJ277/BJ220,""),"")</f>
        <v>1.09378497680435</v>
      </c>
      <c r="BK291" s="215">
        <f>IF(AND(ISNUMBER(BK277),ISNUMBER(BK220)),IFERROR(BK277/BK220,""),"")</f>
        <v>2.80039131601654</v>
      </c>
      <c r="BL291" s="215">
        <f>IF(AND(ISNUMBER(BL277),ISNUMBER(BL220)),IFERROR(BL277/BL220,""),"")</f>
        <v>1.22338986633204</v>
      </c>
      <c r="BM291" s="215">
        <f>IF(AND(ISNUMBER(BM277),ISNUMBER(BM220)),IFERROR(BM277/BM220,""),"")</f>
        <v>0.400232188519339</v>
      </c>
      <c r="BN291" s="215">
        <f>IF(AND(ISNUMBER(BN277),ISNUMBER(BN220)),IFERROR(BN277/BN220,""),"")</f>
        <v>0.658750005558759</v>
      </c>
      <c r="BO291" s="215">
        <f>IF(AND(ISNUMBER(BO277),ISNUMBER(BO220)),IFERROR(BO277/BO220,""),"")</f>
        <v>0.30568649840122</v>
      </c>
      <c r="BP291" s="215">
        <f>IF(AND(ISNUMBER(BP277),ISNUMBER(BP220)),IFERROR(BP277/BP220,""),"")</f>
        <v>0.996424188522805</v>
      </c>
      <c r="BQ291" s="215">
        <f>IF(AND(ISNUMBER(BQ277),ISNUMBER(BQ220)),IFERROR(BQ277/BQ220,""),"")</f>
        <v>0.625244370281302</v>
      </c>
      <c r="BR291" s="215">
        <f>IF(AND(ISNUMBER(BR277),ISNUMBER(BR220)),IFERROR(BR277/BR220,""),"")</f>
        <v>-0.484142008747991</v>
      </c>
      <c r="BS291" s="215">
        <f>IF(AND(ISNUMBER(BS277),ISNUMBER(BS220)),IFERROR(BS277/BS220,""),"")</f>
        <v>0.0663137257849389</v>
      </c>
      <c r="BT291" s="215">
        <f>IF(AND(ISNUMBER(BT277),ISNUMBER(BT220)),IFERROR(BT277/BT220,""),"")</f>
        <v>0.0780852086024975</v>
      </c>
      <c r="BU291" s="215">
        <f>IF(AND(ISNUMBER(BU277),ISNUMBER(BU220)),IFERROR(BU277/BU220,""),"")</f>
        <v>0.705749319077697</v>
      </c>
      <c r="BV291" s="215">
        <f>IF(AND(ISNUMBER(BV277),ISNUMBER(BV220)),IFERROR(BV277/BV220,""),"")</f>
        <v>0.156520715364269</v>
      </c>
      <c r="BW291" s="215">
        <f>IF(AND(ISNUMBER(BW277),ISNUMBER(BW220)),IFERROR(BW277/BW220,""),"")</f>
        <v>-0.962352342244314</v>
      </c>
      <c r="BX291" s="215">
        <f>IF(AND(ISNUMBER(BX277),ISNUMBER(BX220)),IFERROR(BX277/BX220,""),"")</f>
        <v>-0.38397272190667</v>
      </c>
      <c r="BY291" s="24" t="n"/>
      <c r="BZ291" s="24" t="n"/>
      <c r="CA291" s="256">
        <f>IF(AND(ISNUMBER(CA277),ISNUMBER(CA220)),IFERROR(CA277/CA220,""),"")</f>
        <v>-0.327718383451886</v>
      </c>
      <c r="CB291" s="256">
        <f>IF(AND(ISNUMBER(CB277),ISNUMBER(CB220)),IFERROR(CB277/CB220,""),"")</f>
        <v>0.201084998647723</v>
      </c>
      <c r="CC291" s="256">
        <f>IF(AND(ISNUMBER(CC277),ISNUMBER(CC220)),IFERROR(CC277/CC220,""),"")</f>
        <v>0.472813111360594</v>
      </c>
      <c r="CD291" s="256">
        <f>IF(AND(ISNUMBER(CD277),ISNUMBER(CD220)),IFERROR(CD277/CD220,""),"")</f>
        <v>0.668940307264846</v>
      </c>
      <c r="CE291" s="256">
        <f>IF(AND(ISNUMBER(CE277),ISNUMBER(CE220)),IFERROR(CE277/CE220,""),"")</f>
        <v>0.824891190626244</v>
      </c>
      <c r="CF291" s="153" t="n"/>
      <c r="CH291" s="37">
        <f>IFERROR(AVERAGE(CA291,CB291,CC291,CD291,CE291),"n/m")</f>
        <v>0.368002244889504</v>
      </c>
      <c r="CI291" s="37">
        <f>IFERROR(AVERAGE(BB291,BG291,BL291,BQ291,BV291),"n/m")</f>
        <v>0.135506974912264</v>
      </c>
      <c r="CJ291" s="37">
        <f>IFERROR(AVERAGE(AC291,AH291,AM291,AR291,AW291,BB291,BG291,BL291,BQ291,BV291),"n/m")</f>
        <v>1.34389807777775</v>
      </c>
      <c r="CK291" s="37">
        <f>IFERROR(AVERAGE(C291,D291,E291,F291,G291,H291,I291,N291,S291,X291,AC291,AH291,AM291,AR291,AW291,BB291,BG291,BL291,BQ291,BV291),"n/m")</f>
        <v>1.82559551285717</v>
      </c>
    </row>
    <row r="292" ht="15" customHeight="1" s="251">
      <c r="B292" s="25" t="inlineStr">
        <is>
          <t xml:space="preserve">  FCF per diluted share ($)</t>
        </is>
      </c>
      <c r="C292" s="278">
        <f>IF(AND(ISNUMBER(C277),ISNUMBER(C170)),IFERROR(C277/C170,""),"")</f>
        <v>0.057311320754717</v>
      </c>
      <c r="D292" s="278">
        <f>IF(AND(ISNUMBER(D277),ISNUMBER(D170)),IFERROR(D277/D170,""),"")</f>
        <v>0.139268867924528</v>
      </c>
      <c r="E292" s="278">
        <f>IF(AND(ISNUMBER(E277),ISNUMBER(E170)),IFERROR(E277/E170,""),"")</f>
        <v>0.15787037037037</v>
      </c>
      <c r="F292" s="278">
        <f>IF(AND(ISNUMBER(F277),ISNUMBER(F170)),IFERROR(F277/F170,""),"")</f>
        <v>0.330316742081448</v>
      </c>
      <c r="G292" s="278">
        <f>IF(AND(ISNUMBER(G277),ISNUMBER(G170)),IFERROR(G277/G170,""),"")</f>
        <v>0.275877192982456</v>
      </c>
      <c r="H292" s="278">
        <f>IF(AND(ISNUMBER(H277),ISNUMBER(H170)),IFERROR(H277/H170,""),"")</f>
        <v>0.226898047722343</v>
      </c>
      <c r="I292" s="278">
        <f>IF(AND(ISNUMBER(I277),ISNUMBER(I170)),IFERROR(I277/I170,""),"")</f>
        <v>0.043598233995585</v>
      </c>
      <c r="J292" s="278">
        <f>IF(AND(ISNUMBER(J277),ISNUMBER(J170)),IFERROR(J277/J170,""),"")</f>
        <v>-0.328509719222462</v>
      </c>
      <c r="K292" s="278">
        <f>IF(AND(ISNUMBER(K277),ISNUMBER(K170)),IFERROR(K277/K170,""),"")</f>
        <v>0.00274122807017544</v>
      </c>
      <c r="L292" s="278">
        <f>IF(AND(ISNUMBER(L277),ISNUMBER(L170)),IFERROR(L277/L170,""),"")</f>
        <v>0.0382932166301969</v>
      </c>
      <c r="M292" s="278">
        <f>IF(AND(ISNUMBER(M277),ISNUMBER(M170)),IFERROR(M277/M170,""),"")</f>
        <v>0.502997858672377</v>
      </c>
      <c r="N292" s="278">
        <f>IF(AND(ISNUMBER(N277),ISNUMBER(N170)),IFERROR(N277/N170,""),"")</f>
        <v>0.218387096774194</v>
      </c>
      <c r="O292" s="278">
        <f>IF(AND(ISNUMBER(O277),ISNUMBER(O170)),IFERROR(O277/O170,""),"")</f>
        <v>-0.382692307692308</v>
      </c>
      <c r="P292" s="278">
        <f>IF(AND(ISNUMBER(P277),ISNUMBER(P170)),IFERROR(P277/P170,""),"")</f>
        <v>-0.0464208242950109</v>
      </c>
      <c r="Q292" s="278">
        <f>IF(AND(ISNUMBER(Q277),ISNUMBER(Q170)),IFERROR(Q277/Q170,""),"")</f>
        <v>0.0419006479481641</v>
      </c>
      <c r="R292" s="278">
        <f>IF(AND(ISNUMBER(R277),ISNUMBER(R170)),IFERROR(R277/R170,""),"")</f>
        <v>0.590148305084746</v>
      </c>
      <c r="S292" s="278">
        <f>IF(AND(ISNUMBER(S277),ISNUMBER(S170)),IFERROR(S277/S170,""),"")</f>
        <v>0.210930735930736</v>
      </c>
      <c r="T292" s="278">
        <f>IF(AND(ISNUMBER(T277),ISNUMBER(T170)),IFERROR(T277/T170,""),"")</f>
        <v>-0.254838709677419</v>
      </c>
      <c r="U292" s="278">
        <f>IF(AND(ISNUMBER(U277),ISNUMBER(U170)),IFERROR(U277/U170,""),"")</f>
        <v>0.0823529411764706</v>
      </c>
      <c r="V292" s="278">
        <f>IF(AND(ISNUMBER(V277),ISNUMBER(V170)),IFERROR(V277/V170,""),"")</f>
        <v>0.148012552301255</v>
      </c>
      <c r="W292" s="278">
        <f>IF(AND(ISNUMBER(W277),ISNUMBER(W170)),IFERROR(W277/W170,""),"")</f>
        <v>0.77993762993763</v>
      </c>
      <c r="X292" s="278">
        <f>IF(AND(ISNUMBER(X277),ISNUMBER(X170)),IFERROR(X277/X170,""),"")</f>
        <v>0.768448637316562</v>
      </c>
      <c r="Y292" s="278">
        <f>IF(AND(ISNUMBER(Y277),ISNUMBER(Y170)),IFERROR(Y277/Y170,""),"")</f>
        <v>-0.347089397089397</v>
      </c>
      <c r="Z292" s="278">
        <f>IF(AND(ISNUMBER(Z277),ISNUMBER(Z170)),IFERROR(Z277/Z170,""),"")</f>
        <v>0.181573498964803</v>
      </c>
      <c r="AA292" s="278">
        <f>IF(AND(ISNUMBER(AA277),ISNUMBER(AA170)),IFERROR(AA277/AA170,""),"")</f>
        <v>0.272680412371134</v>
      </c>
      <c r="AB292" s="278">
        <f>IF(AND(ISNUMBER(AB277),ISNUMBER(AB170)),IFERROR(AB277/AB170,""),"")</f>
        <v>0.889506172839506</v>
      </c>
      <c r="AC292" s="278">
        <f>IF(AND(ISNUMBER(AC277),ISNUMBER(AC170)),IFERROR(AC277/AC170,""),"")</f>
        <v>1.00268595041322</v>
      </c>
      <c r="AD292" s="278">
        <f>IF(AND(ISNUMBER(AD277),ISNUMBER(AD170)),IFERROR(AD277/AD170,""),"")</f>
        <v>-0.352142857142857</v>
      </c>
      <c r="AE292" s="278">
        <f>IF(AND(ISNUMBER(AE277),ISNUMBER(AE170)),IFERROR(AE277/AE170,""),"")</f>
        <v>0.134959349593496</v>
      </c>
      <c r="AF292" s="278">
        <f>IF(AND(ISNUMBER(AF277),ISNUMBER(AF170)),IFERROR(AF277/AF170,""),"")</f>
        <v>0.120647773279352</v>
      </c>
      <c r="AG292" s="278">
        <f>IF(AND(ISNUMBER(AG277),ISNUMBER(AG170)),IFERROR(AG277/AG170,""),"")</f>
        <v>0.938306451612903</v>
      </c>
      <c r="AH292" s="278">
        <f>IF(AND(ISNUMBER(AH277),ISNUMBER(AH170)),IFERROR(AH277/AH170,""),"")</f>
        <v>0.849492900608519</v>
      </c>
      <c r="AI292" s="278">
        <f>IF(AND(ISNUMBER(AI277),ISNUMBER(AI170)),IFERROR(AI277/AI170,""),"")</f>
        <v>-0.453614457831325</v>
      </c>
      <c r="AJ292" s="278">
        <f>IF(AND(ISNUMBER(AJ277),ISNUMBER(AJ170)),IFERROR(AJ277/AJ170,""),"")</f>
        <v>0.45</v>
      </c>
      <c r="AK292" s="278">
        <f>IF(AND(ISNUMBER(AK277),ISNUMBER(AK170)),IFERROR(AK277/AK170,""),"")</f>
        <v>0.604890219560878</v>
      </c>
      <c r="AL292" s="278">
        <f>IF(AND(ISNUMBER(AL277),ISNUMBER(AL170)),IFERROR(AL277/AL170,""),"")</f>
        <v>1.33323353293413</v>
      </c>
      <c r="AM292" s="278">
        <f>IF(AND(ISNUMBER(AM277),ISNUMBER(AM170)),IFERROR(AM277/AM170,""),"")</f>
        <v>1.94</v>
      </c>
      <c r="AN292" s="278">
        <f>IF(AND(ISNUMBER(AN277),ISNUMBER(AN170)),IFERROR(AN277/AN170,""),"")</f>
        <v>-0.0871513944223108</v>
      </c>
      <c r="AO292" s="278">
        <f>IF(AND(ISNUMBER(AO277),ISNUMBER(AO170)),IFERROR(AO277/AO170,""),"")</f>
        <v>0.643638170974155</v>
      </c>
      <c r="AP292" s="278">
        <f>IF(AND(ISNUMBER(AP277),ISNUMBER(AP170)),IFERROR(AP277/AP170,""),"")</f>
        <v>0.447123015873016</v>
      </c>
      <c r="AQ292" s="278">
        <f>IF(AND(ISNUMBER(AQ277),ISNUMBER(AQ170)),IFERROR(AQ277/AQ170,""),"")</f>
        <v>1.55623762376238</v>
      </c>
      <c r="AR292" s="278">
        <f>IF(AND(ISNUMBER(AR277),ISNUMBER(AR170)),IFERROR(AR277/AR170,""),"")</f>
        <v>2.56200396825397</v>
      </c>
      <c r="AS292" s="278">
        <f>IF(AND(ISNUMBER(AS277),ISNUMBER(AS170)),IFERROR(AS277/AS170,""),"")</f>
        <v>-0.233596837944664</v>
      </c>
      <c r="AT292" s="278">
        <f>IF(AND(ISNUMBER(AT277),ISNUMBER(AT170)),IFERROR(AT277/AT170,""),"")</f>
        <v>1.37436149312377</v>
      </c>
      <c r="AU292" s="278">
        <f>IF(AND(ISNUMBER(AU277),ISNUMBER(AU170)),IFERROR(AU277/AU170,""),"")</f>
        <v>0.210546875</v>
      </c>
      <c r="AV292" s="278">
        <f>IF(AND(ISNUMBER(AV277),ISNUMBER(AV170)),IFERROR(AV277/AV170,""),"")</f>
        <v>1.67982456140351</v>
      </c>
      <c r="AW292" s="278">
        <f>IF(AND(ISNUMBER(AW277),ISNUMBER(AW170)),IFERROR(AW277/AW170,""),"")</f>
        <v>3.04117647058824</v>
      </c>
      <c r="AX292" s="278">
        <f>IF(AND(ISNUMBER(AX277),ISNUMBER(AX170)),IFERROR(AX277/AX170,""),"")</f>
        <v>-0.679727095516569</v>
      </c>
      <c r="AY292" s="278">
        <f>IF(AND(ISNUMBER(AY277),ISNUMBER(AY170)),IFERROR(AY277/AY170,""),"")</f>
        <v>-0.026556420233463</v>
      </c>
      <c r="AZ292" s="278">
        <f>IF(AND(ISNUMBER(AZ277),ISNUMBER(AZ170)),IFERROR(AZ277/AZ170,""),"")</f>
        <v>-0.722135922330097</v>
      </c>
      <c r="BA292" s="278">
        <f>IF(AND(ISNUMBER(BA277),ISNUMBER(BA170)),IFERROR(BA277/BA170,""),"")</f>
        <v>0.544186046511628</v>
      </c>
      <c r="BB292" s="278">
        <f>IF(AND(ISNUMBER(BB277),ISNUMBER(BB170)),IFERROR(BB277/BB170,""),"")</f>
        <v>-0.880485436893204</v>
      </c>
      <c r="BC292" s="278">
        <f>IF(AND(ISNUMBER(BC277),ISNUMBER(BC170)),IFERROR(BC277/BC170,""),"")</f>
        <v>-1.62396856581532</v>
      </c>
      <c r="BD292" s="278">
        <f>IF(AND(ISNUMBER(BD277),ISNUMBER(BD170)),IFERROR(BD277/BD170,""),"")</f>
        <v>-0.504471744471745</v>
      </c>
      <c r="BE292" s="278">
        <f>IF(AND(ISNUMBER(BE277),ISNUMBER(BE170)),IFERROR(BE277/BE170,""),"")</f>
        <v>-0.352047236472752</v>
      </c>
      <c r="BF292" s="278">
        <f>IF(AND(ISNUMBER(BF277),ISNUMBER(BF170)),IFERROR(BF277/BF170,""),"")</f>
        <v>1.33226620100893</v>
      </c>
      <c r="BG292" s="278">
        <f>IF(AND(ISNUMBER(BG277),ISNUMBER(BG170)),IFERROR(BG277/BG170,""),"")</f>
        <v>-1.13544018058691</v>
      </c>
      <c r="BH292" s="278">
        <f>IF(AND(ISNUMBER(BH277),ISNUMBER(BH170)),IFERROR(BH277/BH170,""),"")</f>
        <v>-0.800425244032087</v>
      </c>
      <c r="BI292" s="278">
        <f>IF(AND(ISNUMBER(BI277),ISNUMBER(BI170)),IFERROR(BI277/BI170,""),"")</f>
        <v>0.580342616518327</v>
      </c>
      <c r="BJ292" s="278">
        <f>IF(AND(ISNUMBER(BJ277),ISNUMBER(BJ170)),IFERROR(BJ277/BJ170,""),"")</f>
        <v>0.939477173707142</v>
      </c>
      <c r="BK292" s="278">
        <f>IF(AND(ISNUMBER(BK277),ISNUMBER(BK170)),IFERROR(BK277/BK170,""),"")</f>
        <v>2.74382657869934</v>
      </c>
      <c r="BL292" s="278">
        <f>IF(AND(ISNUMBER(BL277),ISNUMBER(BL170)),IFERROR(BL277/BL170,""),"")</f>
        <v>3.5086732748761</v>
      </c>
      <c r="BM292" s="278">
        <f>IF(AND(ISNUMBER(BM277),ISNUMBER(BM170)),IFERROR(BM277/BM170,""),"")</f>
        <v>0.473664479850047</v>
      </c>
      <c r="BN292" s="278">
        <f>IF(AND(ISNUMBER(BN277),ISNUMBER(BN170)),IFERROR(BN277/BN170,""),"")</f>
        <v>0.830033619723571</v>
      </c>
      <c r="BO292" s="278">
        <f>IF(AND(ISNUMBER(BO277),ISNUMBER(BO170)),IFERROR(BO277/BO170,""),"")</f>
        <v>0.43716814159292</v>
      </c>
      <c r="BP292" s="278">
        <f>IF(AND(ISNUMBER(BP277),ISNUMBER(BP170)),IFERROR(BP277/BP170,""),"")</f>
        <v>1.81821557886919</v>
      </c>
      <c r="BQ292" s="278">
        <f>IF(AND(ISNUMBER(BQ277),ISNUMBER(BQ170)),IFERROR(BQ277/BQ170,""),"")</f>
        <v>3.56487267978733</v>
      </c>
      <c r="BR292" s="278">
        <f>IF(AND(ISNUMBER(BR277),ISNUMBER(BR170)),IFERROR(BR277/BR170,""),"")</f>
        <v>-0.670805151487075</v>
      </c>
      <c r="BS292" s="278">
        <f>IF(AND(ISNUMBER(BS277),ISNUMBER(BS170)),IFERROR(BS277/BS170,""),"")</f>
        <v>0.106144734406811</v>
      </c>
      <c r="BT292" s="278">
        <f>IF(AND(ISNUMBER(BT277),ISNUMBER(BT170)),IFERROR(BT277/BT170,""),"")</f>
        <v>0.11959428307976</v>
      </c>
      <c r="BU292" s="278">
        <f>IF(AND(ISNUMBER(BU277),ISNUMBER(BU170)),IFERROR(BU277/BU170,""),"")</f>
        <v>1.47196906931787</v>
      </c>
      <c r="BV292" s="278">
        <f>IF(AND(ISNUMBER(BV277),ISNUMBER(BV170)),IFERROR(BV277/BV170,""),"")</f>
        <v>1.0338967396324</v>
      </c>
      <c r="BW292" s="278">
        <f>IF(AND(ISNUMBER(BW277),ISNUMBER(BW170)),IFERROR(BW277/BW170,""),"")</f>
        <v>-1.58193856906382</v>
      </c>
      <c r="BX292" s="278">
        <f>IF(AND(ISNUMBER(BX277),ISNUMBER(BX170)),IFERROR(BX277/BX170,""),"")</f>
        <v>-0.705218747133816</v>
      </c>
      <c r="BY292" s="35" t="n"/>
      <c r="BZ292" s="35" t="n"/>
      <c r="CA292" s="279">
        <f>IF(AND(ISNUMBER(CA277),ISNUMBER(CA170)),IFERROR(CA277/CA170,""),"")</f>
        <v>-2.44947533157676</v>
      </c>
      <c r="CB292" s="279">
        <f>IF(AND(ISNUMBER(CB277),ISNUMBER(CB170)),IFERROR(CB277/CB170,""),"")</f>
        <v>1.92359347857802</v>
      </c>
      <c r="CC292" s="279">
        <f>IF(AND(ISNUMBER(CC277),ISNUMBER(CC170)),IFERROR(CC277/CC170,""),"")</f>
        <v>5.45752334608222</v>
      </c>
      <c r="CD292" s="279">
        <f>IF(AND(ISNUMBER(CD277),ISNUMBER(CD170)),IFERROR(CD277/CD170,""),"")</f>
        <v>9.17961507188235</v>
      </c>
      <c r="CE292" s="279">
        <f>IF(AND(ISNUMBER(CE277),ISNUMBER(CE170)),IFERROR(CE277/CE170,""),"")</f>
        <v>13.4563896977377</v>
      </c>
      <c r="CF292" s="19" t="n"/>
    </row>
    <row r="293" ht="15" customHeight="1" s="251">
      <c r="B293" s="25" t="inlineStr">
        <is>
          <t xml:space="preserve">  FCF / adjusted EBITDA %</t>
        </is>
      </c>
      <c r="C293" s="215">
        <f>IF(AND(ISNUMBER(C277),ISNUMBER(C202)),IFERROR(C277/C202,""),"")</f>
        <v>0.818181818181818</v>
      </c>
      <c r="D293" s="215">
        <f>IF(AND(ISNUMBER(D277),ISNUMBER(D202)),IFERROR(D277/D202,""),"")</f>
        <v>1.31076581576027</v>
      </c>
      <c r="E293" s="215">
        <f>IF(AND(ISNUMBER(E277),ISNUMBER(E202)),IFERROR(E277/E202,""),"")</f>
        <v>1.20814880425155</v>
      </c>
      <c r="F293" s="215">
        <f>IF(AND(ISNUMBER(F277),ISNUMBER(F202)),IFERROR(F277/F202,""),"")</f>
        <v>1.93762441937624</v>
      </c>
      <c r="G293" s="215">
        <f>IF(AND(ISNUMBER(G277),ISNUMBER(G202)),IFERROR(G277/G202,""),"")</f>
        <v>1.27456940222898</v>
      </c>
      <c r="H293" s="215">
        <f>IF(AND(ISNUMBER(H277),ISNUMBER(H202)),IFERROR(H277/H202,""),"")</f>
        <v>1.07557840616967</v>
      </c>
      <c r="I293" s="215">
        <f>IF(AND(ISNUMBER(I277),ISNUMBER(I202)),IFERROR(I277/I202,""),"")</f>
        <v>0.139329805996473</v>
      </c>
      <c r="J293" s="215">
        <f>IF(AND(ISNUMBER(J277),ISNUMBER(J202)),IFERROR(J277/J202,""),"")</f>
        <v>-3.45289443813848</v>
      </c>
      <c r="K293" s="215">
        <f>IF(AND(ISNUMBER(K277),ISNUMBER(K202)),IFERROR(K277/K202,""),"")</f>
        <v>0.029940119760479</v>
      </c>
      <c r="L293" s="215">
        <f>IF(AND(ISNUMBER(L277),ISNUMBER(L202)),IFERROR(L277/L202,""),"")</f>
        <v>0.432632880098888</v>
      </c>
      <c r="M293" s="215">
        <f>IF(AND(ISNUMBER(M277),ISNUMBER(M202)),IFERROR(M277/M202,""),"")</f>
        <v>3.18940936863544</v>
      </c>
      <c r="N293" s="215">
        <f>IF(AND(ISNUMBER(N277),ISNUMBER(N202)),IFERROR(N277/N202,""),"")</f>
        <v>0.508004002001001</v>
      </c>
      <c r="O293" s="215">
        <f>IF(AND(ISNUMBER(O277),ISNUMBER(O202)),IFERROR(O277/O202,""),"")</f>
        <v>-3.09861591695502</v>
      </c>
      <c r="P293" s="215">
        <f>IF(AND(ISNUMBER(P277),ISNUMBER(P202)),IFERROR(P277/P202,""),"")</f>
        <v>-0.391224862888483</v>
      </c>
      <c r="Q293" s="215">
        <f>IF(AND(ISNUMBER(Q277),ISNUMBER(Q202)),IFERROR(Q277/Q202,""),"")</f>
        <v>0.551920341394026</v>
      </c>
      <c r="R293" s="215">
        <f>IF(AND(ISNUMBER(R277),ISNUMBER(R202)),IFERROR(R277/R202,""),"")</f>
        <v>2.82791878172589</v>
      </c>
      <c r="S293" s="215">
        <f>IF(AND(ISNUMBER(S277),ISNUMBER(S202)),IFERROR(S277/S202,""),"")</f>
        <v>0.395816409423233</v>
      </c>
      <c r="T293" s="215">
        <f>IF(AND(ISNUMBER(T277),ISNUMBER(T202)),IFERROR(T277/T202,""),"")</f>
        <v>-1.4098750743605</v>
      </c>
      <c r="U293" s="215">
        <f>IF(AND(ISNUMBER(U277),ISNUMBER(U202)),IFERROR(U277/U202,""),"")</f>
        <v>0.398373983739837</v>
      </c>
      <c r="V293" s="215">
        <f>IF(AND(ISNUMBER(V277),ISNUMBER(V202)),IFERROR(V277/V202,""),"")</f>
        <v>0.70573566084788</v>
      </c>
      <c r="W293" s="215">
        <f>IF(AND(ISNUMBER(W277),ISNUMBER(W202)),IFERROR(W277/W202,""),"")</f>
        <v>2.62342657342657</v>
      </c>
      <c r="X293" s="215">
        <f>IF(AND(ISNUMBER(X277),ISNUMBER(X202)),IFERROR(X277/X202,""),"")</f>
        <v>0.861052384308198</v>
      </c>
      <c r="Y293" s="215">
        <f>IF(AND(ISNUMBER(Y277),ISNUMBER(Y202)),IFERROR(Y277/Y202,""),"")</f>
        <v>-1.15217391304348</v>
      </c>
      <c r="Z293" s="215">
        <f>IF(AND(ISNUMBER(Z277),ISNUMBER(Z202)),IFERROR(Z277/Z202,""),"")</f>
        <v>0.549154664996869</v>
      </c>
      <c r="AA293" s="215">
        <f>IF(AND(ISNUMBER(AA277),ISNUMBER(AA202)),IFERROR(AA277/AA202,""),"")</f>
        <v>0.99473486273035</v>
      </c>
      <c r="AB293" s="215">
        <f>IF(AND(ISNUMBER(AB277),ISNUMBER(AB202)),IFERROR(AB277/AB202,""),"")</f>
        <v>2.43412162162162</v>
      </c>
      <c r="AC293" s="215">
        <f>IF(AND(ISNUMBER(AC277),ISNUMBER(AC202)),IFERROR(AC277/AC202,""),"")</f>
        <v>0.788977402048447</v>
      </c>
      <c r="AD293" s="215">
        <f>IF(AND(ISNUMBER(AD277),ISNUMBER(AD202)),IFERROR(AD277/AD202,""),"")</f>
        <v>-1.0031976744186</v>
      </c>
      <c r="AE293" s="215">
        <f>IF(AND(ISNUMBER(AE277),ISNUMBER(AE202)),IFERROR(AE277/AE202,""),"")</f>
        <v>0.407237043851579</v>
      </c>
      <c r="AF293" s="215">
        <f>IF(AND(ISNUMBER(AF277),ISNUMBER(AF202)),IFERROR(AF277/AF202,""),"")</f>
        <v>0.365756366983737</v>
      </c>
      <c r="AG293" s="215">
        <f>IF(AND(ISNUMBER(AG277),ISNUMBER(AG202)),IFERROR(AG277/AG202,""),"")</f>
        <v>1.65475555555556</v>
      </c>
      <c r="AH293" s="215">
        <f>IF(AND(ISNUMBER(AH277),ISNUMBER(AH202)),IFERROR(AH277/AH202,""),"")</f>
        <v>0.537474332648871</v>
      </c>
      <c r="AI293" s="215">
        <f>IF(AND(ISNUMBER(AI277),ISNUMBER(AI202)),IFERROR(AI277/AI202,""),"")</f>
        <v>-0.807073954983923</v>
      </c>
      <c r="AJ293" s="215">
        <f>IF(AND(ISNUMBER(AJ277),ISNUMBER(AJ202)),IFERROR(AJ277/AJ202,""),"")</f>
        <v>0.680477846665659</v>
      </c>
      <c r="AK293" s="215">
        <f>IF(AND(ISNUMBER(AK277),ISNUMBER(AK202)),IFERROR(AK277/AK202,""),"")</f>
        <v>0.80791788856305</v>
      </c>
      <c r="AL293" s="215">
        <f>IF(AND(ISNUMBER(AL277),ISNUMBER(AL202)),IFERROR(AL277/AL202,""),"")</f>
        <v>1.65991550695825</v>
      </c>
      <c r="AM293" s="215">
        <f>IF(AND(ISNUMBER(AM277),ISNUMBER(AM202)),IFERROR(AM277/AM202,""),"")</f>
        <v>0.698796916648656</v>
      </c>
      <c r="AN293" s="215">
        <f>IF(AND(ISNUMBER(AN277),ISNUMBER(AN202)),IFERROR(AN277/AN202,""),"")</f>
        <v>-0.0943497951261592</v>
      </c>
      <c r="AO293" s="215">
        <f>IF(AND(ISNUMBER(AO277),ISNUMBER(AO202)),IFERROR(AO277/AO202,""),"")</f>
        <v>0.781438571083756</v>
      </c>
      <c r="AP293" s="215">
        <f>IF(AND(ISNUMBER(AP277),ISNUMBER(AP202)),IFERROR(AP277/AP202,""),"")</f>
        <v>0.516857798165138</v>
      </c>
      <c r="AQ293" s="215">
        <f>IF(AND(ISNUMBER(AQ277),ISNUMBER(AQ202)),IFERROR(AQ277/AQ202,""),"")</f>
        <v>1.56413573489899</v>
      </c>
      <c r="AR293" s="215">
        <f>IF(AND(ISNUMBER(AR277),ISNUMBER(AR202)),IFERROR(AR277/AR202,""),"")</f>
        <v>0.71084503165428</v>
      </c>
      <c r="AS293" s="215">
        <f>IF(AND(ISNUMBER(AS277),ISNUMBER(AS202)),IFERROR(AS277/AS202,""),"")</f>
        <v>-0.252807186397177</v>
      </c>
      <c r="AT293" s="215">
        <f>IF(AND(ISNUMBER(AT277),ISNUMBER(AT202)),IFERROR(AT277/AT202,""),"")</f>
        <v>1.20705719955138</v>
      </c>
      <c r="AU293" s="215">
        <f>IF(AND(ISNUMBER(AU277),ISNUMBER(AU202)),IFERROR(AU277/AU202,""),"")</f>
        <v>0.169536840449792</v>
      </c>
      <c r="AV293" s="215">
        <f>IF(AND(ISNUMBER(AV277),ISNUMBER(AV202)),IFERROR(AV277/AV202,""),"")</f>
        <v>1.1893589124284</v>
      </c>
      <c r="AW293" s="215">
        <f>IF(AND(ISNUMBER(AW277),ISNUMBER(AW202)),IFERROR(AW277/AW202,""),"")</f>
        <v>0.644236760124611</v>
      </c>
      <c r="AX293" s="215">
        <f>IF(AND(ISNUMBER(AX277),ISNUMBER(AX202)),IFERROR(AX277/AX202,""),"")</f>
        <v>-0.425945153606547</v>
      </c>
      <c r="AY293" s="215">
        <f>IF(AND(ISNUMBER(AY277),ISNUMBER(AY202)),IFERROR(AY277/AY202,""),"")</f>
        <v>-0.0173443456162643</v>
      </c>
      <c r="AZ293" s="215">
        <f>IF(AND(ISNUMBER(AZ277),ISNUMBER(AZ202)),IFERROR(AZ277/AZ202,""),"")</f>
        <v>-0.538985507246377</v>
      </c>
      <c r="BA293" s="215">
        <f>IF(AND(ISNUMBER(BA277),ISNUMBER(BA202)),IFERROR(BA277/BA202,""),"")</f>
        <v>0.423465540642437</v>
      </c>
      <c r="BB293" s="215">
        <f>IF(AND(ISNUMBER(BB277),ISNUMBER(BB202)),IFERROR(BB277/BB202,""),"")</f>
        <v>-0.153257287705957</v>
      </c>
      <c r="BC293" s="215">
        <f>IF(AND(ISNUMBER(BC277),ISNUMBER(BC202)),IFERROR(BC277/BC202,""),"")</f>
        <v>-1.30718747529058</v>
      </c>
      <c r="BD293" s="215">
        <f>IF(AND(ISNUMBER(BD277),ISNUMBER(BD202)),IFERROR(BD277/BD202,""),"")</f>
        <v>-0.397567965300906</v>
      </c>
      <c r="BE293" s="215">
        <f>IF(AND(ISNUMBER(BE277),ISNUMBER(BE202)),IFERROR(BE277/BE202,""),"")</f>
        <v>-0.285725508680965</v>
      </c>
      <c r="BF293" s="215">
        <f>IF(AND(ISNUMBER(BF277),ISNUMBER(BF202)),IFERROR(BF277/BF202,""),"")</f>
        <v>0.757808188941618</v>
      </c>
      <c r="BG293" s="215">
        <f>IF(AND(ISNUMBER(BG277),ISNUMBER(BG202)),IFERROR(BG277/BG202,""),"")</f>
        <v>-0.203432450016705</v>
      </c>
      <c r="BH293" s="215">
        <f>IF(AND(ISNUMBER(BH277),ISNUMBER(BH202)),IFERROR(BH277/BH202,""),"")</f>
        <v>-0.505092394950296</v>
      </c>
      <c r="BI293" s="215">
        <f>IF(AND(ISNUMBER(BI277),ISNUMBER(BI202)),IFERROR(BI277/BI202,""),"")</f>
        <v>0.314686040477426</v>
      </c>
      <c r="BJ293" s="215">
        <f>IF(AND(ISNUMBER(BJ277),ISNUMBER(BJ202)),IFERROR(BJ277/BJ202,""),"")</f>
        <v>0.425361293365925</v>
      </c>
      <c r="BK293" s="215">
        <f>IF(AND(ISNUMBER(BK277),ISNUMBER(BK202)),IFERROR(BK277/BK202,""),"")</f>
        <v>1.07706537422768</v>
      </c>
      <c r="BL293" s="215">
        <f>IF(AND(ISNUMBER(BL277),ISNUMBER(BL202)),IFERROR(BL277/BL202,""),"")</f>
        <v>0.427983491251526</v>
      </c>
      <c r="BM293" s="215">
        <f>IF(AND(ISNUMBER(BM277),ISNUMBER(BM202)),IFERROR(BM277/BM202,""),"")</f>
        <v>0.187247601052203</v>
      </c>
      <c r="BN293" s="215">
        <f>IF(AND(ISNUMBER(BN277),ISNUMBER(BN202)),IFERROR(BN277/BN202,""),"")</f>
        <v>0.332759266192437</v>
      </c>
      <c r="BO293" s="215">
        <f>IF(AND(ISNUMBER(BO277),ISNUMBER(BO202)),IFERROR(BO277/BO202,""),"")</f>
        <v>0.15210838492205</v>
      </c>
      <c r="BP293" s="215">
        <f>IF(AND(ISNUMBER(BP277),ISNUMBER(BP202)),IFERROR(BP277/BP202,""),"")</f>
        <v>0.531682684476299</v>
      </c>
      <c r="BQ293" s="215">
        <f>IF(AND(ISNUMBER(BQ277),ISNUMBER(BQ202)),IFERROR(BQ277/BQ202,""),"")</f>
        <v>0.31484990279105</v>
      </c>
      <c r="BR293" s="215">
        <f>IF(AND(ISNUMBER(BR277),ISNUMBER(BR202)),IFERROR(BR277/BR202,""),"")</f>
        <v>-0.221630391526617</v>
      </c>
      <c r="BS293" s="215">
        <f>IF(AND(ISNUMBER(BS277),ISNUMBER(BS202)),IFERROR(BS277/BS202,""),"")</f>
        <v>0.0333449619163905</v>
      </c>
      <c r="BT293" s="215">
        <f>IF(AND(ISNUMBER(BT277),ISNUMBER(BT202)),IFERROR(BT277/BT202,""),"")</f>
        <v>0.0336725686691936</v>
      </c>
      <c r="BU293" s="215">
        <f>IF(AND(ISNUMBER(BU277),ISNUMBER(BU202)),IFERROR(BU277/BU202,""),"")</f>
        <v>0.341025422282887</v>
      </c>
      <c r="BV293" s="215">
        <f>IF(AND(ISNUMBER(BV277),ISNUMBER(BV202)),IFERROR(BV277/BV202,""),"")</f>
        <v>0.0734172399997377</v>
      </c>
      <c r="BW293" s="215">
        <f>IF(AND(ISNUMBER(BW277),ISNUMBER(BW202)),IFERROR(BW277/BW202,""),"")</f>
        <v>-0.402395377669653</v>
      </c>
      <c r="BX293" s="215">
        <f>IF(AND(ISNUMBER(BX277),ISNUMBER(BX202)),IFERROR(BX277/BX202,""),"")</f>
        <v>-0.163951554437289</v>
      </c>
      <c r="BY293" s="24" t="n"/>
      <c r="BZ293" s="24" t="n"/>
      <c r="CA293" s="256">
        <f>IF(AND(ISNUMBER(CA277),ISNUMBER(CA202)),IFERROR(CA277/CA202,""),"")</f>
        <v>-0.139489981116499</v>
      </c>
      <c r="CB293" s="256">
        <f>IF(AND(ISNUMBER(CB277),ISNUMBER(CB202)),IFERROR(CB277/CB202,""),"")</f>
        <v>0.0854389926743157</v>
      </c>
      <c r="CC293" s="256">
        <f>IF(AND(ISNUMBER(CC277),ISNUMBER(CC202)),IFERROR(CC277/CC202,""),"")</f>
        <v>0.202820047752776</v>
      </c>
      <c r="CD293" s="256">
        <f>IF(AND(ISNUMBER(CD277),ISNUMBER(CD202)),IFERROR(CD277/CD202,""),"")</f>
        <v>0.290326297859531</v>
      </c>
      <c r="CE293" s="256">
        <f>IF(AND(ISNUMBER(CE277),ISNUMBER(CE202)),IFERROR(CE277/CE202,""),"")</f>
        <v>0.3652990397835</v>
      </c>
      <c r="CF293" s="153" t="n"/>
      <c r="CH293" s="37">
        <f>IFERROR(AVERAGE(CA293,CB293,CC293,CD293,CE293),"n/m")</f>
        <v>0.160878879390725</v>
      </c>
      <c r="CI293" s="37">
        <f>IFERROR(AVERAGE(BB293,BG293,BL293,BQ293,BV293),"n/m")</f>
        <v>0.0919121792639304</v>
      </c>
      <c r="CJ293" s="37">
        <f>IFERROR(AVERAGE(AC293,AH293,AM293,AR293,AW293,BB293,BG293,BL293,BQ293,BV293),"n/m")</f>
        <v>0.383989133944452</v>
      </c>
      <c r="CK293" s="37">
        <f>IFERROR(AVERAGE(C293,D293,E293,F293,G293,H293,I293,N293,S293,X293,AC293,AH293,AM293,AR293,AW293,BB293,BG293,BL293,BQ293,BV293),"n/m")</f>
        <v>0.668448130357097</v>
      </c>
    </row>
    <row r="294" ht="15" customHeight="1" s="251">
      <c r="B294" s="25" t="inlineStr">
        <is>
          <t>Capex ratios</t>
        </is>
      </c>
      <c r="CF294" s="153" t="n"/>
    </row>
    <row r="295" ht="15" customHeight="1" s="251">
      <c r="B295" s="25" t="inlineStr">
        <is>
          <t xml:space="preserve">  Gross capex % of net sales</t>
        </is>
      </c>
      <c r="C295" s="215">
        <f>IF(ISNUMBER(C258),IFERROR(-C258/C144,""),"")</f>
        <v>0.0201661842965176</v>
      </c>
      <c r="D295" s="215">
        <f>IF(ISNUMBER(D258),IFERROR(-D258/D144,""),"")</f>
        <v>0.0150994270306707</v>
      </c>
      <c r="E295" s="215">
        <f>IF(ISNUMBER(E258),IFERROR(-E258/E144,""),"")</f>
        <v>0.0173745173745174</v>
      </c>
      <c r="F295" s="215">
        <f>IF(ISNUMBER(F258),IFERROR(-F258/F144,""),"")</f>
        <v>0.0152188991798931</v>
      </c>
      <c r="G295" s="215">
        <f>IF(ISNUMBER(G258),IFERROR(-G258/G144,""),"")</f>
        <v>0.028622383346977</v>
      </c>
      <c r="H295" s="215">
        <f>IF(ISNUMBER(H258),IFERROR(-H258/H144,""),"")</f>
        <v>0.0376687397300164</v>
      </c>
      <c r="I295" s="215">
        <f>IF(ISNUMBER(I258),IFERROR(-I258/I144,""),"")</f>
        <v>0.0619547247638846</v>
      </c>
      <c r="J295" s="215">
        <f>IF(ISNUMBER(J258),IFERROR(-J258/J144,""),"")</f>
        <v>0.0416925948973242</v>
      </c>
      <c r="K295" s="215">
        <f>IF(ISNUMBER(K258),IFERROR(-K258/K144,""),"")</f>
        <v>0.0544447274579725</v>
      </c>
      <c r="L295" s="215">
        <f>IF(ISNUMBER(L258),IFERROR(-L258/L144,""),"")</f>
        <v>0.0607301661596068</v>
      </c>
      <c r="M295" s="215">
        <f>IF(ISNUMBER(M258),IFERROR(-M258/M144,""),"")</f>
        <v>0.034392464923594</v>
      </c>
      <c r="N295" s="215">
        <f>IF(ISNUMBER(N258),IFERROR(-N258/N144,""),"")</f>
        <v>0.0462579917262129</v>
      </c>
      <c r="O295" s="215">
        <f>IF(ISNUMBER(O258),IFERROR(-O258/O144,""),"")</f>
        <v>0.0547084747479864</v>
      </c>
      <c r="P295" s="215">
        <f>IF(ISNUMBER(P258),IFERROR(-P258/P144,""),"")</f>
        <v>0.0667011375387797</v>
      </c>
      <c r="Q295" s="215">
        <f>IF(ISNUMBER(Q258),IFERROR(-Q258/Q144,""),"")</f>
        <v>0.0669614655716993</v>
      </c>
      <c r="R295" s="215">
        <f>IF(ISNUMBER(R258),IFERROR(-R258/R144,""),"")</f>
        <v>0.0390070921985816</v>
      </c>
      <c r="S295" s="215">
        <f>IF(ISNUMBER(S258),IFERROR(-S258/S144,""),"")</f>
        <v>0.0549849417899043</v>
      </c>
      <c r="T295" s="215">
        <f>IF(ISNUMBER(T258),IFERROR(-T258/T144,""),"")</f>
        <v>0.0383413302812871</v>
      </c>
      <c r="U295" s="215">
        <f>IF(ISNUMBER(U258),IFERROR(-U258/U144,""),"")</f>
        <v>0.0523183092516713</v>
      </c>
      <c r="V295" s="215">
        <f>IF(ISNUMBER(V258),IFERROR(-V258/V144,""),"")</f>
        <v>0.0471251675999685</v>
      </c>
      <c r="W295" s="215">
        <f>IF(ISNUMBER(W258),IFERROR(-W258/W144,""),"")</f>
        <v>0.0366184574929365</v>
      </c>
      <c r="X295" s="215">
        <f>IF(ISNUMBER(X258),IFERROR(-X258/X144,""),"")</f>
        <v>0.0428854456759434</v>
      </c>
      <c r="Y295" s="215">
        <f>IF(ISNUMBER(Y258),IFERROR(-Y258/Y144,""),"")</f>
        <v>0.0404765174402637</v>
      </c>
      <c r="Z295" s="215">
        <f>IF(ISNUMBER(Z258),IFERROR(-Z258/Z144,""),"")</f>
        <v>0.0562754900670964</v>
      </c>
      <c r="AA295" s="215">
        <f>IF(ISNUMBER(AA258),IFERROR(-AA258/AA144,""),"")</f>
        <v>0.0562756006602678</v>
      </c>
      <c r="AB295" s="215">
        <f>IF(ISNUMBER(AB258),IFERROR(-AB258/AB144,""),"")</f>
        <v>0.0458380009601975</v>
      </c>
      <c r="AC295" s="215">
        <f>IF(ISNUMBER(AC258),IFERROR(-AC258/AC144,""),"")</f>
        <v>0.0495415002904689</v>
      </c>
      <c r="AD295" s="215">
        <f>IF(ISNUMBER(AD258),IFERROR(-AD258/AD144,""),"")</f>
        <v>0.0521084168673349</v>
      </c>
      <c r="AE295" s="215">
        <f>IF(ISNUMBER(AE258),IFERROR(-AE258/AE144,""),"")</f>
        <v>0.0658938216308787</v>
      </c>
      <c r="AF295" s="215">
        <f>IF(ISNUMBER(AF258),IFERROR(-AF258/AF144,""),"")</f>
        <v>0.0607854791514265</v>
      </c>
      <c r="AG295" s="215">
        <f>IF(ISNUMBER(AG258),IFERROR(-AG258/AG144,""),"")</f>
        <v>0.0598646882702265</v>
      </c>
      <c r="AH295" s="215">
        <f>IF(ISNUMBER(AH258),IFERROR(-AH258/AH144,""),"")</f>
        <v>0.0672135202905558</v>
      </c>
      <c r="AI295" s="215">
        <f>IF(ISNUMBER(AI258),IFERROR(-AI258/AI144,""),"")</f>
        <v>0.0606951138278281</v>
      </c>
      <c r="AJ295" s="215">
        <f>IF(ISNUMBER(AJ258),IFERROR(-AJ258/AJ144,""),"")</f>
        <v>0.0613205763340014</v>
      </c>
      <c r="AK295" s="215">
        <f>IF(ISNUMBER(AK258),IFERROR(-AK258/AK144,""),"")</f>
        <v>0.0592477375565611</v>
      </c>
      <c r="AL295" s="215">
        <f>IF(ISNUMBER(AL258),IFERROR(-AL258/AL144,""),"")</f>
        <v>0.0515728831355429</v>
      </c>
      <c r="AM295" s="215">
        <f>IF(ISNUMBER(AM258),IFERROR(-AM258/AM144,""),"")</f>
        <v>0.0576545706716133</v>
      </c>
      <c r="AN295" s="215">
        <f>IF(ISNUMBER(AN258),IFERROR(-AN258/AN144,""),"")</f>
        <v>0.0551088777219431</v>
      </c>
      <c r="AO295" s="215">
        <f>IF(ISNUMBER(AO258),IFERROR(-AO258/AO144,""),"")</f>
        <v>0.0561794208567283</v>
      </c>
      <c r="AP295" s="215">
        <f>IF(ISNUMBER(AP258),IFERROR(-AP258/AP144,""),"")</f>
        <v>0.0671182178019748</v>
      </c>
      <c r="AQ295" s="215">
        <f>IF(ISNUMBER(AQ258),IFERROR(-AQ258/AQ144,""),"")</f>
        <v>0.0607523130939991</v>
      </c>
      <c r="AR295" s="215">
        <f>IF(ISNUMBER(AR258),IFERROR(-AR258/AR144,""),"")</f>
        <v>0.0601058027534382</v>
      </c>
      <c r="AS295" s="215">
        <f>IF(ISNUMBER(AS258),IFERROR(-AS258/AS144,""),"")</f>
        <v>0.0900572549435403</v>
      </c>
      <c r="AT295" s="215">
        <f>IF(ISNUMBER(AT258),IFERROR(-AT258/AT144,""),"")</f>
        <v>0.083891938096095</v>
      </c>
      <c r="AU295" s="215">
        <f>IF(ISNUMBER(AU258),IFERROR(-AU258/AU144,""),"")</f>
        <v>0.115065786052317</v>
      </c>
      <c r="AV295" s="215">
        <f>IF(ISNUMBER(AV258),IFERROR(-AV258/AV144,""),"")</f>
        <v>0.118067779060969</v>
      </c>
      <c r="AW295" s="215">
        <f>IF(ISNUMBER(AW258),IFERROR(-AW258/AW144,""),"")</f>
        <v>0.103972398358821</v>
      </c>
      <c r="AX295" s="215">
        <f>IF(ISNUMBER(AX258),IFERROR(-AX258/AX144,""),"")</f>
        <v>0.111336368160121</v>
      </c>
      <c r="AY295" s="215">
        <f>IF(ISNUMBER(AY258),IFERROR(-AY258/AY144,""),"")</f>
        <v>0.126353024407499</v>
      </c>
      <c r="AZ295" s="215">
        <f>IF(ISNUMBER(AZ258),IFERROR(-AZ258/AZ144,""),"")</f>
        <v>0.142114572428979</v>
      </c>
      <c r="BA295" s="215">
        <f>IF(ISNUMBER(BA258),IFERROR(-BA258/BA144,""),"")</f>
        <v>0.137797281169039</v>
      </c>
      <c r="BB295" s="215">
        <f>IF(ISNUMBER(BB258),IFERROR(-BB258/BB144,""),"")</f>
        <v>0.129949214809013</v>
      </c>
      <c r="BC295" s="215">
        <f>IF(ISNUMBER(BC258),IFERROR(-BC258/BC144,""),"")</f>
        <v>0.128396482429322</v>
      </c>
      <c r="BD295" s="215">
        <f>IF(ISNUMBER(BD258),IFERROR(-BD258/BD144,""),"")</f>
        <v>0.129699589224145</v>
      </c>
      <c r="BE295" s="215">
        <f>IF(ISNUMBER(BE258),IFERROR(-BE258/BE144,""),"")</f>
        <v>0.128858152178189</v>
      </c>
      <c r="BF295" s="215">
        <f>IF(ISNUMBER(BF258),IFERROR(-BF258/BF144,""),"")</f>
        <v>0.111203452990536</v>
      </c>
      <c r="BG295" s="215">
        <f>IF(ISNUMBER(BG258),IFERROR(-BG258/BG144,""),"")</f>
        <v>0.12382705264571</v>
      </c>
      <c r="BH295" s="215">
        <f>IF(ISNUMBER(BH258),IFERROR(-BH258/BH144,""),"")</f>
        <v>0.111551688939839</v>
      </c>
      <c r="BI295" s="215">
        <f>IF(ISNUMBER(BI258),IFERROR(-BI258/BI144,""),"")</f>
        <v>0.0852414367888796</v>
      </c>
      <c r="BJ295" s="215">
        <f>IF(ISNUMBER(BJ258),IFERROR(-BJ258/BJ144,""),"")</f>
        <v>0.0872151129064948</v>
      </c>
      <c r="BK295" s="215">
        <f>IF(ISNUMBER(BK258),IFERROR(-BK258/BK144,""),"")</f>
        <v>0.0858314554515448</v>
      </c>
      <c r="BL295" s="215">
        <f>IF(ISNUMBER(BL258),IFERROR(-BL258/BL144,""),"")</f>
        <v>0.0917369103229903</v>
      </c>
      <c r="BM295" s="215">
        <f>IF(ISNUMBER(BM258),IFERROR(-BM258/BM144,""),"")</f>
        <v>0.104142680705868</v>
      </c>
      <c r="BN295" s="215">
        <f>IF(ISNUMBER(BN258),IFERROR(-BN258/BN144,""),"")</f>
        <v>0.119072558573292</v>
      </c>
      <c r="BO295" s="215">
        <f>IF(ISNUMBER(BO258),IFERROR(-BO258/BO144,""),"")</f>
        <v>0.142374289544742</v>
      </c>
      <c r="BP295" s="215">
        <f>IF(ISNUMBER(BP258),IFERROR(-BP258/BP144,""),"")</f>
        <v>0.148217176450541</v>
      </c>
      <c r="BQ295" s="215">
        <f>IF(ISNUMBER(BQ258),IFERROR(-BQ258/BQ144,""),"")</f>
        <v>0.130100837201137</v>
      </c>
      <c r="BR295" s="215">
        <f>IF(ISNUMBER(BR258),IFERROR(-BR258/BR144,""),"")</f>
        <v>0.16072128325207</v>
      </c>
      <c r="BS295" s="215">
        <f>IF(ISNUMBER(BS258),IFERROR(-BS258/BS144,""),"")</f>
        <v>0.191905880669282</v>
      </c>
      <c r="BT295" s="215">
        <f>IF(ISNUMBER(BT258),IFERROR(-BT258/BT144,""),"")</f>
        <v>0.194789336678341</v>
      </c>
      <c r="BU295" s="215">
        <f>IF(ISNUMBER(BU258),IFERROR(-BU258/BU144,""),"")</f>
        <v>0.185213650380062</v>
      </c>
      <c r="BV295" s="215">
        <f>IF(ISNUMBER(BV258),IFERROR(-BV258/BV144,""),"")</f>
        <v>0.183867467123433</v>
      </c>
      <c r="BW295" s="215">
        <f>IF(ISNUMBER(BW258),IFERROR(-BW258/BW144,""),"")</f>
        <v>0.243517207565048</v>
      </c>
      <c r="BX295" s="215">
        <f>IF(ISNUMBER(BX258),IFERROR(-BX258/BX144,""),"")</f>
        <v>0.270221229674088</v>
      </c>
      <c r="BY295" s="24" t="n"/>
      <c r="BZ295" s="24" t="n"/>
      <c r="CA295" s="256">
        <f>IF(ISNUMBER(CA258),IFERROR(-CA258/CA144,""),"")</f>
        <v>0.250540726039353</v>
      </c>
      <c r="CB295" s="256">
        <f>CHOOSE(MATCH($CF$2,{"Bull","Base","Bear"},0),$CO$82,$CP$82,$CQ$82)</f>
        <v>0.23</v>
      </c>
      <c r="CC295" s="256">
        <f>CHOOSE(MATCH($CF$2,{"Bull","Base","Bear"},0),$CO$83,$CP$83,$CQ$83)</f>
        <v>0.21</v>
      </c>
      <c r="CD295" s="256">
        <f>CHOOSE(MATCH($CF$2,{"Bull","Base","Bear"},0),$CO$84,$CP$84,$CQ$84)</f>
        <v>0.19</v>
      </c>
      <c r="CE295" s="256">
        <f>CHOOSE(MATCH($CF$2,{"Bull","Base","Bear"},0),$CO$85,$CP$85,$CQ$85)</f>
        <v>0.17</v>
      </c>
      <c r="CF295" s="153" t="inlineStr">
        <is>
          <t>2027E+: scenario lever (AI / data-centre build-out; 2025 18.4%, 1H-26 25.8%).</t>
        </is>
      </c>
      <c r="CH295" s="37">
        <f>IFERROR(AVERAGE(CA295,CB295,CC295,CD295,CE295),"n/m")</f>
        <v>0.210108145207871</v>
      </c>
      <c r="CI295" s="37">
        <f>IFERROR(AVERAGE(BB295,BG295,BL295,BQ295,BV295),"n/m")</f>
        <v>0.131896296420457</v>
      </c>
      <c r="CJ295" s="37">
        <f>IFERROR(AVERAGE(AC295,AH295,AM295,AR295,AW295,BB295,BG295,BL295,BQ295,BV295),"n/m")</f>
        <v>0.0997969274467181</v>
      </c>
      <c r="CK295" s="37">
        <f>IFERROR(AVERAGE(C295,D295,E295,F295,G295,H295,I295,N295,S295,X295,AC295,AH295,AM295,AR295,AW295,BB295,BG295,BL295,BQ295,BV295),"n/m")</f>
        <v>0.0669101264690859</v>
      </c>
    </row>
    <row r="296" ht="15" customHeight="1" s="251">
      <c r="B296" s="25" t="inlineStr">
        <is>
          <t xml:space="preserve">  Proceeds from P&amp;E sales and incentives % of gross capex</t>
        </is>
      </c>
      <c r="C296" s="215">
        <f>IF(AND(ISNUMBER(C258),ISNUMBER(C259)),IFERROR(-C259/C258,""),"")</f>
        <v>0</v>
      </c>
      <c r="D296" s="215">
        <f>IF(AND(ISNUMBER(D258),ISNUMBER(D259)),IFERROR(-D259/D258,""),"")</f>
        <v>0</v>
      </c>
      <c r="E296" s="215">
        <f>IF(AND(ISNUMBER(E258),ISNUMBER(E259)),IFERROR(-E259/E258,""),"")</f>
        <v>0</v>
      </c>
      <c r="F296" s="215">
        <f>IF(AND(ISNUMBER(F258),ISNUMBER(F259)),IFERROR(-F259/F258,""),"")</f>
        <v>0</v>
      </c>
      <c r="G296" s="215">
        <f>IF(AND(ISNUMBER(G258),ISNUMBER(G259)),IFERROR(-G259/G258,""),"")</f>
        <v>0</v>
      </c>
      <c r="H296" s="215">
        <f>IF(AND(ISNUMBER(H258),ISNUMBER(H259)),IFERROR(-H259/H258,""),"")</f>
        <v>0</v>
      </c>
      <c r="I296" s="215">
        <f>IF(AND(ISNUMBER(I258),ISNUMBER(I259)),IFERROR(-I259/I258,""),"")</f>
        <v>0</v>
      </c>
      <c r="J296" s="215">
        <f>IF(AND(ISNUMBER(J258),ISNUMBER(J259)),IFERROR(-J259/J258,""),"")</f>
        <v>0</v>
      </c>
      <c r="K296" s="215">
        <f>IF(AND(ISNUMBER(K258),ISNUMBER(K259)),IFERROR(-K259/K258,""),"")</f>
        <v>0</v>
      </c>
      <c r="L296" s="215">
        <f>IF(AND(ISNUMBER(L258),ISNUMBER(L259)),IFERROR(-L259/L258,""),"")</f>
        <v>0</v>
      </c>
      <c r="M296" s="215">
        <f>IF(AND(ISNUMBER(M258),ISNUMBER(M259)),IFERROR(-M259/M258,""),"")</f>
        <v>0</v>
      </c>
      <c r="N296" s="215">
        <f>IF(AND(ISNUMBER(N258),ISNUMBER(N259)),IFERROR(-N259/N258,""),"")</f>
        <v>0</v>
      </c>
      <c r="O296" s="215">
        <f>IF(AND(ISNUMBER(O258),ISNUMBER(O259)),IFERROR(-O259/O258,""),"")</f>
        <v>0</v>
      </c>
      <c r="P296" s="215">
        <f>IF(AND(ISNUMBER(P258),ISNUMBER(P259)),IFERROR(-P259/P258,""),"")</f>
        <v>0</v>
      </c>
      <c r="Q296" s="215">
        <f>IF(AND(ISNUMBER(Q258),ISNUMBER(Q259)),IFERROR(-Q259/Q258,""),"")</f>
        <v>0</v>
      </c>
      <c r="R296" s="215">
        <f>IF(AND(ISNUMBER(R258),ISNUMBER(R259)),IFERROR(-R259/R258,""),"")</f>
        <v>0</v>
      </c>
      <c r="S296" s="215">
        <f>IF(AND(ISNUMBER(S258),ISNUMBER(S259)),IFERROR(-S259/S258,""),"")</f>
        <v>0</v>
      </c>
      <c r="T296" s="215">
        <f>IF(AND(ISNUMBER(T258),ISNUMBER(T259)),IFERROR(-T259/T258,""),"")</f>
        <v>0</v>
      </c>
      <c r="U296" s="215">
        <f>IF(AND(ISNUMBER(U258),ISNUMBER(U259)),IFERROR(-U259/U258,""),"")</f>
        <v>0</v>
      </c>
      <c r="V296" s="215">
        <f>IF(AND(ISNUMBER(V258),ISNUMBER(V259)),IFERROR(-V259/V258,""),"")</f>
        <v>0</v>
      </c>
      <c r="W296" s="215">
        <f>IF(AND(ISNUMBER(W258),ISNUMBER(W259)),IFERROR(-W259/W258,""),"")</f>
        <v>0</v>
      </c>
      <c r="X296" s="215">
        <f>IF(AND(ISNUMBER(X258),ISNUMBER(X259)),IFERROR(-X259/X258,""),"")</f>
        <v>0</v>
      </c>
      <c r="Y296" s="215">
        <f>IF(AND(ISNUMBER(Y258),ISNUMBER(Y259)),IFERROR(-Y259/Y258,""),"")</f>
        <v>0</v>
      </c>
      <c r="Z296" s="215">
        <f>IF(AND(ISNUMBER(Z258),ISNUMBER(Z259)),IFERROR(-Z259/Z258,""),"")</f>
        <v>0</v>
      </c>
      <c r="AA296" s="215">
        <f>IF(AND(ISNUMBER(AA258),ISNUMBER(AA259)),IFERROR(-AA259/AA258,""),"")</f>
        <v>0</v>
      </c>
      <c r="AB296" s="215">
        <f>IF(AND(ISNUMBER(AB258),ISNUMBER(AB259)),IFERROR(-AB259/AB258,""),"")</f>
        <v>0</v>
      </c>
      <c r="AC296" s="215">
        <f>IF(AND(ISNUMBER(AC258),ISNUMBER(AC259)),IFERROR(-AC259/AC258,""),"")</f>
        <v>0</v>
      </c>
      <c r="AD296" s="215">
        <f>IF(AND(ISNUMBER(AD258),ISNUMBER(AD259)),IFERROR(-AD259/AD258,""),"")</f>
        <v>0</v>
      </c>
      <c r="AE296" s="215">
        <f>IF(AND(ISNUMBER(AE258),ISNUMBER(AE259)),IFERROR(-AE259/AE258,""),"")</f>
        <v>0</v>
      </c>
      <c r="AF296" s="215">
        <f>IF(AND(ISNUMBER(AF258),ISNUMBER(AF259)),IFERROR(-AF259/AF258,""),"")</f>
        <v>0</v>
      </c>
      <c r="AG296" s="215">
        <f>IF(AND(ISNUMBER(AG258),ISNUMBER(AG259)),IFERROR(-AG259/AG258,""),"")</f>
        <v>0.161094224924012</v>
      </c>
      <c r="AH296" s="215">
        <f>IF(AND(ISNUMBER(AH258),ISNUMBER(AH259)),IFERROR(-AH259/AH258,""),"")</f>
        <v>0.158678377248013</v>
      </c>
      <c r="AI296" s="215">
        <f>IF(AND(ISNUMBER(AI258),ISNUMBER(AI259)),IFERROR(-AI259/AI258,""),"")</f>
        <v>0.119754680438993</v>
      </c>
      <c r="AJ296" s="215">
        <f>IF(AND(ISNUMBER(AJ258),ISNUMBER(AJ259)),IFERROR(-AJ259/AJ258,""),"")</f>
        <v>0.0906567992599445</v>
      </c>
      <c r="AK296" s="215">
        <f>IF(AND(ISNUMBER(AK258),ISNUMBER(AK259)),IFERROR(-AK259/AK258,""),"")</f>
        <v>0.246121718377088</v>
      </c>
      <c r="AL296" s="215">
        <f>IF(AND(ISNUMBER(AL258),ISNUMBER(AL259)),IFERROR(-AL259/AL258,""),"")</f>
        <v>0.164478971336726</v>
      </c>
      <c r="AM296" s="215">
        <f>IF(AND(ISNUMBER(AM258),ISNUMBER(AM259)),IFERROR(-AM259/AM258,""),"")</f>
        <v>0.156699188202875</v>
      </c>
      <c r="AN296" s="215">
        <f>IF(AND(ISNUMBER(AN258),ISNUMBER(AN259)),IFERROR(-AN259/AN258,""),"")</f>
        <v>0.172948328267477</v>
      </c>
      <c r="AO296" s="215">
        <f>IF(AND(ISNUMBER(AO258),ISNUMBER(AO259)),IFERROR(-AO259/AO258,""),"")</f>
        <v>0.258001122964627</v>
      </c>
      <c r="AP296" s="215">
        <f>IF(AND(ISNUMBER(AP258),ISNUMBER(AP259)),IFERROR(-AP259/AP258,""),"")</f>
        <v>0.279327230146902</v>
      </c>
      <c r="AQ296" s="215">
        <f>IF(AND(ISNUMBER(AQ258),ISNUMBER(AQ259)),IFERROR(-AQ259/AQ258,""),"")</f>
        <v>0.258094879518072</v>
      </c>
      <c r="AR296" s="215">
        <f>IF(AND(ISNUMBER(AR258),ISNUMBER(AR259)),IFERROR(-AR259/AR258,""),"")</f>
        <v>0.247434908961509</v>
      </c>
      <c r="AS296" s="215">
        <f>IF(AND(ISNUMBER(AS258),ISNUMBER(AS259)),IFERROR(-AS259/AS258,""),"")</f>
        <v>0.201177336276674</v>
      </c>
      <c r="AT296" s="215">
        <f>IF(AND(ISNUMBER(AT258),ISNUMBER(AT259)),IFERROR(-AT259/AT258,""),"")</f>
        <v>0.113151897037136</v>
      </c>
      <c r="AU296" s="215">
        <f>IF(AND(ISNUMBER(AU258),ISNUMBER(AU259)),IFERROR(-AU259/AU258,""),"")</f>
        <v>0.113441200397722</v>
      </c>
      <c r="AV296" s="215">
        <f>IF(AND(ISNUMBER(AV258),ISNUMBER(AV259)),IFERROR(-AV259/AV258,""),"")</f>
        <v>0.109889368591473</v>
      </c>
      <c r="AW296" s="215">
        <f>IF(AND(ISNUMBER(AW258),ISNUMBER(AW259)),IFERROR(-AW259/AW258,""),"")</f>
        <v>0.126955655206776</v>
      </c>
      <c r="AX296" s="215">
        <f>IF(AND(ISNUMBER(AX258),ISNUMBER(AX259)),IFERROR(-AX259/AX258,""),"")</f>
        <v>0.0740771395464327</v>
      </c>
      <c r="AY296" s="215">
        <f>IF(AND(ISNUMBER(AY258),ISNUMBER(AY259)),IFERROR(-AY259/AY258,""),"")</f>
        <v>0.0909854423292273</v>
      </c>
      <c r="AZ296" s="215">
        <f>IF(AND(ISNUMBER(AZ258),ISNUMBER(AZ259)),IFERROR(-AZ259/AZ258,""),"")</f>
        <v>0.0633096266192532</v>
      </c>
      <c r="BA296" s="215">
        <f>IF(AND(ISNUMBER(BA258),ISNUMBER(BA259)),IFERROR(-BA259/BA258,""),"")</f>
        <v>0.130182202270927</v>
      </c>
      <c r="BB296" s="215">
        <f>IF(AND(ISNUMBER(BB258),ISNUMBER(BB259)),IFERROR(-BB259/BB258,""),"")</f>
        <v>0.0926571994824169</v>
      </c>
      <c r="BC296" s="215">
        <f>IF(AND(ISNUMBER(BC258),ISNUMBER(BC259)),IFERROR(-BC259/BC258,""),"")</f>
        <v>0.0808641562437295</v>
      </c>
      <c r="BD296" s="215">
        <f>IF(AND(ISNUMBER(BD258),ISNUMBER(BD259)),IFERROR(-BD259/BD258,""),"")</f>
        <v>0.103408801831595</v>
      </c>
      <c r="BE296" s="215">
        <f>IF(AND(ISNUMBER(BE258),ISNUMBER(BE259)),IFERROR(-BE259/BE258,""),"")</f>
        <v>0.0816338991329833</v>
      </c>
      <c r="BF296" s="215">
        <f>IF(AND(ISNUMBER(BF258),ISNUMBER(BF259)),IFERROR(-BF259/BF258,""),"")</f>
        <v>0.0694310511089682</v>
      </c>
      <c r="BG296" s="215">
        <f>IF(AND(ISNUMBER(BG258),ISNUMBER(BG259)),IFERROR(-BG259/BG258,""),"")</f>
        <v>0.0836515044386833</v>
      </c>
      <c r="BH296" s="215">
        <f>IF(AND(ISNUMBER(BH258),ISNUMBER(BH259)),IFERROR(-BH259/BH258,""),"")</f>
        <v>0.080030970648272</v>
      </c>
      <c r="BI296" s="215">
        <f>IF(AND(ISNUMBER(BI258),ISNUMBER(BI259)),IFERROR(-BI259/BI258,""),"")</f>
        <v>0.0910519423832388</v>
      </c>
      <c r="BJ296" s="215">
        <f>IF(AND(ISNUMBER(BJ258),ISNUMBER(BJ259)),IFERROR(-BJ259/BJ258,""),"")</f>
        <v>0.0946389935090953</v>
      </c>
      <c r="BK296" s="215">
        <f>IF(AND(ISNUMBER(BK258),ISNUMBER(BK259)),IFERROR(-BK259/BK258,""),"")</f>
        <v>0.0846586235261859</v>
      </c>
      <c r="BL296" s="215">
        <f>IF(AND(ISNUMBER(BL258),ISNUMBER(BL259)),IFERROR(-BL259/BL258,""),"")</f>
        <v>0.0871626619127994</v>
      </c>
      <c r="BM296" s="215">
        <f>IF(AND(ISNUMBER(BM258),ISNUMBER(BM259)),IFERROR(-BM259/BM258,""),"")</f>
        <v>0.0663316582914573</v>
      </c>
      <c r="BN296" s="215">
        <f>IF(AND(ISNUMBER(BN258),ISNUMBER(BN259)),IFERROR(-BN259/BN258,""),"")</f>
        <v>0.0696367763904654</v>
      </c>
      <c r="BO296" s="215">
        <f>IF(AND(ISNUMBER(BO258),ISNUMBER(BO259)),IFERROR(-BO259/BO258,""),"")</f>
        <v>0.0593280282935455</v>
      </c>
      <c r="BP296" s="215">
        <f>IF(AND(ISNUMBER(BP258),ISNUMBER(BP259)),IFERROR(-BP259/BP258,""),"")</f>
        <v>0.0640224186247036</v>
      </c>
      <c r="BQ296" s="215">
        <f>IF(AND(ISNUMBER(BQ258),ISNUMBER(BQ259)),IFERROR(-BQ259/BQ258,""),"")</f>
        <v>0.0643501728936493</v>
      </c>
      <c r="BR296" s="215">
        <f>IF(AND(ISNUMBER(BR258),ISNUMBER(BR259)),IFERROR(-BR259/BR258,""),"")</f>
        <v>0.0305367920380511</v>
      </c>
      <c r="BS296" s="215">
        <f>IF(AND(ISNUMBER(BS258),ISNUMBER(BS259)),IFERROR(-BS259/BS258,""),"")</f>
        <v>0.0253239287822764</v>
      </c>
      <c r="BT296" s="215">
        <f>IF(AND(ISNUMBER(BT258),ISNUMBER(BT259)),IFERROR(-BT259/BT258,""),"")</f>
        <v>0.0247043738424277</v>
      </c>
      <c r="BU296" s="215">
        <f>IF(AND(ISNUMBER(BU258),ISNUMBER(BU259)),IFERROR(-BU259/BU258,""),"")</f>
        <v>0.0266433884924852</v>
      </c>
      <c r="BV296" s="215">
        <f>IF(AND(ISNUMBER(BV258),ISNUMBER(BV259)),IFERROR(-BV259/BV258,""),"")</f>
        <v>0.0265439731753389</v>
      </c>
      <c r="BW296" s="215">
        <f>IF(AND(ISNUMBER(BW258),ISNUMBER(BW259)),IFERROR(-BW259/BW258,""),"")</f>
        <v>0.0219215890324186</v>
      </c>
      <c r="BX296" s="215">
        <f>IF(AND(ISNUMBER(BX258),ISNUMBER(BX259)),IFERROR(-BX259/BX258,""),"")</f>
        <v>0.0208825265643447</v>
      </c>
      <c r="BY296" s="24" t="n"/>
      <c r="BZ296" s="24" t="n"/>
      <c r="CA296" s="256">
        <f>IF(AND(ISNUMBER(CA258),ISNUMBER(CA259)),IFERROR(-CA259/CA258,""),"")</f>
        <v>0.0206419858142312</v>
      </c>
      <c r="CB296" s="269" t="n">
        <v>0.02</v>
      </c>
      <c r="CC296" s="269" t="n">
        <v>0.02</v>
      </c>
      <c r="CD296" s="269" t="n">
        <v>0.02</v>
      </c>
      <c r="CE296" s="269" t="n">
        <v>0.02</v>
      </c>
      <c r="CF296" s="153" t="n"/>
    </row>
    <row r="297" ht="15" customHeight="1" s="251">
      <c r="B297" s="25" t="inlineStr">
        <is>
          <t xml:space="preserve">  Gross capex / P&amp;E depreciation (x)</t>
        </is>
      </c>
      <c r="C297" s="281">
        <f>IF(AND(ISNUMBER(C258),ISNUMBER(C127)),IFERROR(-C258/C127,""),"")</f>
      </c>
      <c r="D297" s="281">
        <f>IF(AND(ISNUMBER(D258),ISNUMBER(D127)),IFERROR(-D258/D127,""),"")</f>
      </c>
      <c r="E297" s="281">
        <f>IF(AND(ISNUMBER(E258),ISNUMBER(E127)),IFERROR(-E258/E127,""),"")</f>
      </c>
      <c r="F297" s="281">
        <f>IF(AND(ISNUMBER(F258),ISNUMBER(F127)),IFERROR(-F258/F127,""),"")</f>
      </c>
      <c r="G297" s="281">
        <f>IF(AND(ISNUMBER(G258),ISNUMBER(G127)),IFERROR(-G258/G127,""),"")</f>
      </c>
      <c r="H297" s="281">
        <f>IF(AND(ISNUMBER(H258),ISNUMBER(H127)),IFERROR(-H258/H127,""),"")</f>
      </c>
      <c r="I297" s="281">
        <f>IF(AND(ISNUMBER(I258),ISNUMBER(I127)),IFERROR(-I258/I127,""),"")</f>
      </c>
      <c r="J297" s="281">
        <f>IF(AND(ISNUMBER(J258),ISNUMBER(J127)),IFERROR(-J258/J127,""),"")</f>
      </c>
      <c r="K297" s="281">
        <f>IF(AND(ISNUMBER(K258),ISNUMBER(K127)),IFERROR(-K258/K127,""),"")</f>
      </c>
      <c r="L297" s="281">
        <f>IF(AND(ISNUMBER(L258),ISNUMBER(L127)),IFERROR(-L258/L127,""),"")</f>
      </c>
      <c r="M297" s="281">
        <f>IF(AND(ISNUMBER(M258),ISNUMBER(M127)),IFERROR(-M258/M127,""),"")</f>
      </c>
      <c r="N297" s="281">
        <f>IF(AND(ISNUMBER(N258),ISNUMBER(N127)),IFERROR(-N258/N127,""),"")</f>
      </c>
      <c r="O297" s="281">
        <f>IF(AND(ISNUMBER(O258),ISNUMBER(O127)),IFERROR(-O258/O127,""),"")</f>
      </c>
      <c r="P297" s="281">
        <f>IF(AND(ISNUMBER(P258),ISNUMBER(P127)),IFERROR(-P258/P127,""),"")</f>
      </c>
      <c r="Q297" s="281">
        <f>IF(AND(ISNUMBER(Q258),ISNUMBER(Q127)),IFERROR(-Q258/Q127,""),"")</f>
      </c>
      <c r="R297" s="281">
        <f>IF(AND(ISNUMBER(R258),ISNUMBER(R127)),IFERROR(-R258/R127,""),"")</f>
      </c>
      <c r="S297" s="281">
        <f>IF(AND(ISNUMBER(S258),ISNUMBER(S127)),IFERROR(-S258/S127,""),"")</f>
        <v>1.35916666666667</v>
      </c>
      <c r="T297" s="281">
        <f>IF(AND(ISNUMBER(T258),ISNUMBER(T127)),IFERROR(-T258/T127,""),"")</f>
      </c>
      <c r="U297" s="281">
        <f>IF(AND(ISNUMBER(U258),ISNUMBER(U127)),IFERROR(-U258/U127,""),"")</f>
      </c>
      <c r="V297" s="281">
        <f>IF(AND(ISNUMBER(V258),ISNUMBER(V127)),IFERROR(-V258/V127,""),"")</f>
      </c>
      <c r="W297" s="281">
        <f>IF(AND(ISNUMBER(W258),ISNUMBER(W127)),IFERROR(-W258/W127,""),"")</f>
      </c>
      <c r="X297" s="281">
        <f>IF(AND(ISNUMBER(X258),ISNUMBER(X127)),IFERROR(-X258/X127,""),"")</f>
        <v>0.936530612244898</v>
      </c>
      <c r="Y297" s="281">
        <f>IF(AND(ISNUMBER(Y258),ISNUMBER(Y127)),IFERROR(-Y258/Y127,""),"")</f>
      </c>
      <c r="Z297" s="281">
        <f>IF(AND(ISNUMBER(Z258),ISNUMBER(Z127)),IFERROR(-Z258/Z127,""),"")</f>
      </c>
      <c r="AA297" s="281">
        <f>IF(AND(ISNUMBER(AA258),ISNUMBER(AA127)),IFERROR(-AA258/AA127,""),"")</f>
      </c>
      <c r="AB297" s="281">
        <f>IF(AND(ISNUMBER(AB258),ISNUMBER(AB127)),IFERROR(-AB258/AB127,""),"")</f>
      </c>
      <c r="AC297" s="281">
        <f>IF(AND(ISNUMBER(AC258),ISNUMBER(AC127)),IFERROR(-AC258/AC127,""),"")</f>
        <v>1.05265625</v>
      </c>
      <c r="AD297" s="281">
        <f>IF(AND(ISNUMBER(AD258),ISNUMBER(AD127)),IFERROR(-AD258/AD127,""),"")</f>
      </c>
      <c r="AE297" s="281">
        <f>IF(AND(ISNUMBER(AE258),ISNUMBER(AE127)),IFERROR(-AE258/AE127,""),"")</f>
      </c>
      <c r="AF297" s="281">
        <f>IF(AND(ISNUMBER(AF258),ISNUMBER(AF127)),IFERROR(-AF258/AF127,""),"")</f>
      </c>
      <c r="AG297" s="281">
        <f>IF(AND(ISNUMBER(AG258),ISNUMBER(AG127)),IFERROR(-AG258/AG127,""),"")</f>
      </c>
      <c r="AH297" s="281">
        <f>IF(AND(ISNUMBER(AH258),ISNUMBER(AH127)),IFERROR(-AH258/AH127,""),"")</f>
        <v>1.35375382176424</v>
      </c>
      <c r="AI297" s="281">
        <f>IF(AND(ISNUMBER(AI258),ISNUMBER(AI127)),IFERROR(-AI258/AI127,""),"")</f>
      </c>
      <c r="AJ297" s="281">
        <f>IF(AND(ISNUMBER(AJ258),ISNUMBER(AJ127)),IFERROR(-AJ258/AJ127,""),"")</f>
      </c>
      <c r="AK297" s="281">
        <f>IF(AND(ISNUMBER(AK258),ISNUMBER(AK127)),IFERROR(-AK258/AK127,""),"")</f>
      </c>
      <c r="AL297" s="281">
        <f>IF(AND(ISNUMBER(AL258),ISNUMBER(AL127)),IFERROR(-AL258/AL127,""),"")</f>
      </c>
      <c r="AM297" s="281">
        <f>IF(AND(ISNUMBER(AM258),ISNUMBER(AM127)),IFERROR(-AM258/AM127,""),"")</f>
        <v>1.10619541934421</v>
      </c>
      <c r="AN297" s="281">
        <f>IF(AND(ISNUMBER(AN258),ISNUMBER(AN127)),IFERROR(-AN258/AN127,""),"")</f>
      </c>
      <c r="AO297" s="281">
        <f>IF(AND(ISNUMBER(AO258),ISNUMBER(AO127)),IFERROR(-AO258/AO127,""),"")</f>
      </c>
      <c r="AP297" s="281">
        <f>IF(AND(ISNUMBER(AP258),ISNUMBER(AP127)),IFERROR(-AP258/AP127,""),"")</f>
      </c>
      <c r="AQ297" s="281">
        <f>IF(AND(ISNUMBER(AQ258),ISNUMBER(AQ127)),IFERROR(-AQ258/AQ127,""),"")</f>
      </c>
      <c r="AR297" s="281">
        <f>IF(AND(ISNUMBER(AR258),ISNUMBER(AR127)),IFERROR(-AR258/AR127,""),"")</f>
        <v>1.11293729372937</v>
      </c>
      <c r="AS297" s="281">
        <f>IF(AND(ISNUMBER(AS258),ISNUMBER(AS127)),IFERROR(-AS258/AS127,""),"")</f>
      </c>
      <c r="AT297" s="281">
        <f>IF(AND(ISNUMBER(AT258),ISNUMBER(AT127)),IFERROR(-AT258/AT127,""),"")</f>
      </c>
      <c r="AU297" s="281">
        <f>IF(AND(ISNUMBER(AU258),ISNUMBER(AU127)),IFERROR(-AU258/AU127,""),"")</f>
      </c>
      <c r="AV297" s="281">
        <f>IF(AND(ISNUMBER(AV258),ISNUMBER(AV127)),IFERROR(-AV258/AV127,""),"")</f>
      </c>
      <c r="AW297" s="281">
        <f>IF(AND(ISNUMBER(AW258),ISNUMBER(AW127)),IFERROR(-AW258/AW127,""),"")</f>
        <v>2.47182708294846</v>
      </c>
      <c r="AX297" s="281">
        <f>IF(AND(ISNUMBER(AX258),ISNUMBER(AX127)),IFERROR(-AX258/AX127,""),"")</f>
      </c>
      <c r="AY297" s="281">
        <f>IF(AND(ISNUMBER(AY258),ISNUMBER(AY127)),IFERROR(-AY258/AY127,""),"")</f>
      </c>
      <c r="AZ297" s="281">
        <f>IF(AND(ISNUMBER(AZ258),ISNUMBER(AZ127)),IFERROR(-AZ258/AZ127,""),"")</f>
      </c>
      <c r="BA297" s="281">
        <f>IF(AND(ISNUMBER(BA258),ISNUMBER(BA127)),IFERROR(-BA258/BA127,""),"")</f>
      </c>
      <c r="BB297" s="281">
        <f>IF(AND(ISNUMBER(BB258),ISNUMBER(BB127)),IFERROR(-BB258/BB127,""),"")</f>
        <v>2.66502248024794</v>
      </c>
      <c r="BC297" s="281">
        <f>IF(AND(ISNUMBER(BC258),ISNUMBER(BC127)),IFERROR(-BC258/BC127,""),"")</f>
      </c>
      <c r="BD297" s="281">
        <f>IF(AND(ISNUMBER(BD258),ISNUMBER(BD127)),IFERROR(-BD258/BD127,""),"")</f>
      </c>
      <c r="BE297" s="281">
        <f>IF(AND(ISNUMBER(BE258),ISNUMBER(BE127)),IFERROR(-BE258/BE127,""),"")</f>
      </c>
      <c r="BF297" s="281">
        <f>IF(AND(ISNUMBER(BF258),ISNUMBER(BF127)),IFERROR(-BF258/BF127,""),"")</f>
      </c>
      <c r="BG297" s="281">
        <f>IF(AND(ISNUMBER(BG258),ISNUMBER(BG127)),IFERROR(-BG258/BG127,""),"")</f>
        <v>2.55356283100626</v>
      </c>
      <c r="BH297" s="281">
        <f>IF(AND(ISNUMBER(BH258),ISNUMBER(BH127)),IFERROR(-BH258/BH127,""),"")</f>
      </c>
      <c r="BI297" s="281">
        <f>IF(AND(ISNUMBER(BI258),ISNUMBER(BI127)),IFERROR(-BI258/BI127,""),"")</f>
      </c>
      <c r="BJ297" s="281">
        <f>IF(AND(ISNUMBER(BJ258),ISNUMBER(BJ127)),IFERROR(-BJ258/BJ127,""),"")</f>
      </c>
      <c r="BK297" s="281">
        <f>IF(AND(ISNUMBER(BK258),ISNUMBER(BK127)),IFERROR(-BK258/BK127,""),"")</f>
      </c>
      <c r="BL297" s="281">
        <f>IF(AND(ISNUMBER(BL258),ISNUMBER(BL127)),IFERROR(-BL258/BL127,""),"")</f>
        <v>1.74454921422663</v>
      </c>
      <c r="BM297" s="281">
        <f>IF(AND(ISNUMBER(BM258),ISNUMBER(BM127)),IFERROR(-BM258/BM127,""),"")</f>
        <v>2.05408753096614</v>
      </c>
      <c r="BN297" s="281">
        <f>IF(AND(ISNUMBER(BN258),ISNUMBER(BN127)),IFERROR(-BN258/BN127,""),"")</f>
        <v>2.30507587650445</v>
      </c>
      <c r="BO297" s="281">
        <f>IF(AND(ISNUMBER(BO258),ISNUMBER(BO127)),IFERROR(-BO258/BO127,""),"")</f>
        <v>2.72005772005772</v>
      </c>
      <c r="BP297" s="281">
        <f>IF(AND(ISNUMBER(BP258),ISNUMBER(BP127)),IFERROR(-BP258/BP127,""),"")</f>
        <v>3.14828639294198</v>
      </c>
      <c r="BQ297" s="281">
        <f>IF(AND(ISNUMBER(BQ258),ISNUMBER(BQ127)),IFERROR(-BQ258/BQ127,""),"")</f>
        <v>2.58829949792622</v>
      </c>
      <c r="BR297" s="281">
        <f>IF(AND(ISNUMBER(BR258),ISNUMBER(BR127)),IFERROR(-BR258/BR127,""),"")</f>
        <v>2.76269876325088</v>
      </c>
      <c r="BS297" s="281">
        <f>IF(AND(ISNUMBER(BS258),ISNUMBER(BS127)),IFERROR(-BS258/BS127,""),"")</f>
        <v>3.295412656154</v>
      </c>
      <c r="BT297" s="281">
        <f>IF(AND(ISNUMBER(BT258),ISNUMBER(BT127)),IFERROR(-BT258/BT127,""),"")</f>
        <v>3.21235697940503</v>
      </c>
      <c r="BU297" s="281">
        <f>IF(AND(ISNUMBER(BU258),ISNUMBER(BU127)),IFERROR(-BU258/BU127,""),"")</f>
        <v>3.26277553042186</v>
      </c>
      <c r="BV297" s="281">
        <f>IF(AND(ISNUMBER(BV258),ISNUMBER(BV127)),IFERROR(-BV258/BV127,""),"")</f>
        <v>3.14904443382704</v>
      </c>
      <c r="BW297" s="281">
        <f>IF(AND(ISNUMBER(BW258),ISNUMBER(BW127)),IFERROR(-BW258/BW127,""),"")</f>
        <v>3.44421069035375</v>
      </c>
      <c r="BX297" s="281">
        <f>IF(AND(ISNUMBER(BX258),ISNUMBER(BX127)),IFERROR(-BX258/BX127,""),"")</f>
        <v>3.90857307664576</v>
      </c>
      <c r="BY297" s="35" t="n"/>
      <c r="BZ297" s="35" t="n"/>
      <c r="CA297" s="282">
        <f>IF(AND(ISNUMBER(CA258),ISNUMBER(CA127)),IFERROR(-CA258/CA127,""),"")</f>
        <v>3.49709652533476</v>
      </c>
      <c r="CB297" s="282">
        <f>IF(AND(ISNUMBER(CB258),ISNUMBER(CB127)),IFERROR(-CB258/CB127,""),"")</f>
        <v>2.55583633357236</v>
      </c>
      <c r="CC297" s="282">
        <f>IF(AND(ISNUMBER(CC258),ISNUMBER(CC127)),IFERROR(-CC258/CC127,""),"")</f>
        <v>2.17821815911775</v>
      </c>
      <c r="CD297" s="282">
        <f>IF(AND(ISNUMBER(CD258),ISNUMBER(CD127)),IFERROR(-CD258/CD127,""),"")</f>
        <v>1.90573763135992</v>
      </c>
      <c r="CE297" s="282">
        <f>IF(AND(ISNUMBER(CE258),ISNUMBER(CE127)),IFERROR(-CE258/CE127,""),"")</f>
        <v>1.69003797934338</v>
      </c>
      <c r="CF297" s="19" t="n"/>
    </row>
    <row r="298" ht="15" customHeight="1" s="251">
      <c r="CN298" s="11" t="n"/>
      <c r="CO298" s="12" t="n"/>
      <c r="CP298" s="12" t="n"/>
      <c r="CQ298" s="12" t="n"/>
      <c r="CR298" s="13" t="n"/>
    </row>
    <row r="299" ht="15" customHeight="1" s="251">
      <c r="B299" s="10" t="inlineStr">
        <is>
          <t>SHARE BUYBACK SCHEDULE</t>
        </is>
      </c>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c r="AH299" s="10" t="n"/>
      <c r="AI299" s="10" t="n"/>
      <c r="AJ299" s="10" t="n"/>
      <c r="AK299" s="10" t="n"/>
      <c r="AL299" s="10" t="n"/>
      <c r="AM299" s="10" t="n"/>
      <c r="AN299" s="10" t="n"/>
      <c r="AO299" s="10" t="n"/>
      <c r="AP299" s="10" t="n"/>
      <c r="AQ299" s="10" t="n"/>
      <c r="AR299" s="10" t="n"/>
      <c r="AS299" s="10" t="n"/>
      <c r="AT299" s="10" t="n"/>
      <c r="AU299" s="10" t="n"/>
      <c r="AV299" s="10" t="n"/>
      <c r="AW299" s="10" t="n"/>
      <c r="AX299" s="10" t="n"/>
      <c r="AY299" s="10" t="n"/>
      <c r="AZ299" s="10" t="n"/>
      <c r="BA299" s="10" t="n"/>
      <c r="BB299" s="10" t="n"/>
      <c r="BC299" s="10" t="n"/>
      <c r="BD299" s="10" t="n"/>
      <c r="BE299" s="10" t="n"/>
      <c r="BF299" s="10" t="n"/>
      <c r="BG299" s="10" t="n"/>
      <c r="BH299" s="10" t="n"/>
      <c r="BI299" s="10" t="n"/>
      <c r="BJ299" s="10" t="n"/>
      <c r="BK299" s="10" t="n"/>
      <c r="BL299" s="10" t="n"/>
      <c r="BM299" s="10" t="n"/>
      <c r="BN299" s="10" t="n"/>
      <c r="BO299" s="10" t="n"/>
      <c r="BP299" s="10" t="n"/>
      <c r="BQ299" s="10" t="n"/>
      <c r="BR299" s="10" t="n"/>
      <c r="BS299" s="10" t="n"/>
      <c r="BT299" s="10" t="n"/>
      <c r="BU299" s="10" t="n"/>
      <c r="BV299" s="10" t="n"/>
      <c r="BW299" s="10" t="n"/>
      <c r="BX299" s="10" t="n"/>
      <c r="BY299" s="10" t="n"/>
      <c r="BZ299" s="10" t="n"/>
      <c r="CA299" s="10" t="n"/>
      <c r="CB299" s="10" t="n"/>
      <c r="CC299" s="10" t="n"/>
      <c r="CD299" s="10" t="n"/>
      <c r="CE299" s="10" t="n"/>
      <c r="CF299" s="10" t="inlineStr">
        <is>
          <t>SHARES — 2026E = 2H from shares outstanding at 30-Jun-2026; 2027E+ buybacks via the leverage plug</t>
        </is>
      </c>
    </row>
    <row r="300" ht="15" customHeight="1" s="251">
      <c r="B300" s="25" t="inlineStr">
        <is>
          <t xml:space="preserve">  Avg buyback price ($)</t>
        </is>
      </c>
      <c r="C300" s="34" t="n"/>
      <c r="D300" s="34" t="n"/>
      <c r="E300" s="34" t="n"/>
      <c r="F300" s="34" t="n"/>
      <c r="G300" s="34" t="n"/>
      <c r="H300" s="34" t="n"/>
      <c r="I300" s="34" t="n"/>
      <c r="J300" s="34" t="n"/>
      <c r="K300" s="34" t="n"/>
      <c r="L300" s="34" t="n"/>
      <c r="M300" s="34" t="n"/>
      <c r="N300" s="34" t="n"/>
      <c r="O300" s="34" t="n"/>
      <c r="P300" s="34" t="n"/>
      <c r="Q300" s="34" t="n"/>
      <c r="R300" s="34" t="n"/>
      <c r="S300" s="34" t="n"/>
      <c r="T300" s="34" t="n"/>
      <c r="U300" s="34" t="n"/>
      <c r="V300" s="34" t="n"/>
      <c r="W300" s="34" t="n"/>
      <c r="X300" s="34" t="n"/>
      <c r="Y300" s="34" t="n"/>
      <c r="Z300" s="34" t="n"/>
      <c r="AA300" s="34" t="n"/>
      <c r="AB300" s="34" t="n"/>
      <c r="AC300" s="34" t="n"/>
      <c r="AD300" s="34" t="n"/>
      <c r="AE300" s="34" t="n"/>
      <c r="AF300" s="34" t="n"/>
      <c r="AG300" s="34" t="n"/>
      <c r="AH300" s="34" t="n"/>
      <c r="AI300" s="34" t="n"/>
      <c r="AJ300" s="34" t="n"/>
      <c r="AK300" s="34" t="n"/>
      <c r="AL300" s="34" t="n"/>
      <c r="AM300" s="34" t="n"/>
      <c r="AN300" s="34" t="n"/>
      <c r="AO300" s="34" t="n"/>
      <c r="AP300" s="34" t="n"/>
      <c r="AQ300" s="34" t="n"/>
      <c r="AR300" s="34" t="n"/>
      <c r="AS300" s="34" t="n"/>
      <c r="AT300" s="34" t="n"/>
      <c r="AU300" s="34" t="n"/>
      <c r="AV300" s="34" t="n"/>
      <c r="AW300" s="34" t="n"/>
      <c r="AX300" s="34" t="n"/>
      <c r="AY300" s="34" t="n"/>
      <c r="AZ300" s="34" t="n"/>
      <c r="BA300" s="34" t="n"/>
      <c r="BB300" s="34" t="n"/>
      <c r="BC300" s="34" t="n"/>
      <c r="BD300" s="34" t="n"/>
      <c r="BE300" s="34" t="n"/>
      <c r="BF300" s="34" t="n"/>
      <c r="BG300" s="34" t="n"/>
      <c r="BH300" s="34" t="n"/>
      <c r="BI300" s="34" t="n"/>
      <c r="BJ300" s="34" t="n"/>
      <c r="BK300" s="34" t="n"/>
      <c r="BL300" s="34" t="n"/>
      <c r="BM300" s="34" t="n"/>
      <c r="BN300" s="34" t="n"/>
      <c r="BO300" s="34" t="n"/>
      <c r="BP300" s="34" t="n"/>
      <c r="BQ300" s="34" t="n"/>
      <c r="BR300" s="34" t="n"/>
      <c r="BS300" s="34" t="n"/>
      <c r="BT300" s="34" t="n"/>
      <c r="BU300" s="34" t="n"/>
      <c r="BV300" s="34" t="n"/>
      <c r="BW300" s="34" t="n"/>
      <c r="BX300" s="34" t="n"/>
      <c r="BY300" s="35" t="n"/>
      <c r="BZ300" s="35" t="n"/>
      <c r="CA300" s="283">
        <f>CA416</f>
        <v>260</v>
      </c>
      <c r="CB300" s="283">
        <f>CA300*(1+CB357)</f>
        <v>280.8</v>
      </c>
      <c r="CC300" s="283">
        <f>CB300*(1+CC357)</f>
        <v>303.264</v>
      </c>
      <c r="CD300" s="283">
        <f>CC300*(1+CD357)</f>
        <v>327.52512</v>
      </c>
      <c r="CE300" s="283">
        <f>CD300*(1+CE357)</f>
        <v>353.7271296</v>
      </c>
      <c r="CF300" s="19" t="n"/>
    </row>
    <row r="301" ht="15" customHeight="1" s="251">
      <c r="B301" s="25" t="inlineStr">
        <is>
          <t xml:space="preserve">  Buyback cash deployed (USDm; 2026E = 2H)</t>
        </is>
      </c>
      <c r="C301" s="34" t="n"/>
      <c r="D301" s="34" t="n"/>
      <c r="E301" s="34" t="n"/>
      <c r="F301" s="34" t="n"/>
      <c r="G301" s="34" t="n"/>
      <c r="H301" s="34" t="n"/>
      <c r="I301" s="34" t="n"/>
      <c r="J301" s="34" t="n"/>
      <c r="K301" s="34" t="n"/>
      <c r="L301" s="34" t="n"/>
      <c r="M301" s="34" t="n"/>
      <c r="N301" s="34" t="n"/>
      <c r="O301" s="34" t="n"/>
      <c r="P301" s="34" t="n"/>
      <c r="Q301" s="34" t="n"/>
      <c r="R301" s="34" t="n"/>
      <c r="S301" s="34" t="n"/>
      <c r="T301" s="34" t="n"/>
      <c r="U301" s="34" t="n"/>
      <c r="V301" s="34" t="n"/>
      <c r="W301" s="34" t="n"/>
      <c r="X301" s="34" t="n"/>
      <c r="Y301" s="34" t="n"/>
      <c r="Z301" s="34" t="n"/>
      <c r="AA301" s="34" t="n"/>
      <c r="AB301" s="34" t="n"/>
      <c r="AC301" s="34" t="n"/>
      <c r="AD301" s="34" t="n"/>
      <c r="AE301" s="34" t="n"/>
      <c r="AF301" s="34" t="n"/>
      <c r="AG301" s="34" t="n"/>
      <c r="AH301" s="34" t="n"/>
      <c r="AI301" s="34" t="n"/>
      <c r="AJ301" s="34" t="n"/>
      <c r="AK301" s="34" t="n"/>
      <c r="AL301" s="34" t="n"/>
      <c r="AM301" s="34" t="n"/>
      <c r="AN301" s="34" t="n"/>
      <c r="AO301" s="34" t="n"/>
      <c r="AP301" s="34" t="n"/>
      <c r="AQ301" s="34" t="n"/>
      <c r="AR301" s="34" t="n"/>
      <c r="AS301" s="34" t="n"/>
      <c r="AT301" s="34" t="n"/>
      <c r="AU301" s="34" t="n"/>
      <c r="AV301" s="34" t="n"/>
      <c r="AW301" s="34" t="n"/>
      <c r="AX301" s="34" t="n"/>
      <c r="AY301" s="34" t="n"/>
      <c r="AZ301" s="34" t="n"/>
      <c r="BA301" s="34" t="n"/>
      <c r="BB301" s="34" t="n"/>
      <c r="BC301" s="34" t="n"/>
      <c r="BD301" s="34" t="n"/>
      <c r="BE301" s="34" t="n"/>
      <c r="BF301" s="34" t="n"/>
      <c r="BG301" s="34" t="n"/>
      <c r="BH301" s="34" t="n"/>
      <c r="BI301" s="34" t="n"/>
      <c r="BJ301" s="34" t="n"/>
      <c r="BK301" s="34" t="n"/>
      <c r="BL301" s="34" t="n"/>
      <c r="BM301" s="34" t="n"/>
      <c r="BN301" s="34" t="n"/>
      <c r="BO301" s="34" t="n"/>
      <c r="BP301" s="34" t="n"/>
      <c r="BQ301" s="34" t="n"/>
      <c r="BR301" s="34" t="n"/>
      <c r="BS301" s="34" t="n"/>
      <c r="BT301" s="34" t="n"/>
      <c r="BU301" s="34" t="n"/>
      <c r="BV301" s="34" t="n"/>
      <c r="BW301" s="34" t="n"/>
      <c r="BX301" s="34" t="n"/>
      <c r="BY301" s="35" t="n"/>
      <c r="BZ301" s="35" t="n"/>
      <c r="CA301" s="254">
        <f>-(CA264-SUM(BW264:BX264))</f>
        <v>0</v>
      </c>
      <c r="CB301" s="254">
        <f>-CB264</f>
        <v>1813.65338590299</v>
      </c>
      <c r="CC301" s="254">
        <f>-CC264</f>
        <v>53379.4887425318</v>
      </c>
      <c r="CD301" s="254">
        <f>-CD264</f>
        <v>93541.7867880099</v>
      </c>
      <c r="CE301" s="254">
        <f>-CE264</f>
        <v>137462.641068111</v>
      </c>
      <c r="CF301" s="19" t="n"/>
    </row>
    <row r="302" ht="15" customHeight="1" s="251">
      <c r="B302" s="25" t="inlineStr">
        <is>
          <t xml:space="preserve">  Implied shares repurchased (m)</t>
        </is>
      </c>
      <c r="C302" s="34" t="n"/>
      <c r="D302" s="34" t="n"/>
      <c r="E302" s="34" t="n"/>
      <c r="F302" s="34" t="n"/>
      <c r="G302" s="34" t="n"/>
      <c r="H302" s="34" t="n"/>
      <c r="I302" s="34" t="n"/>
      <c r="J302" s="34" t="n"/>
      <c r="K302" s="34" t="n"/>
      <c r="L302" s="34" t="n"/>
      <c r="M302" s="34" t="n"/>
      <c r="N302" s="34" t="n"/>
      <c r="O302" s="34" t="n"/>
      <c r="P302" s="34" t="n"/>
      <c r="Q302" s="34" t="n"/>
      <c r="R302" s="34" t="n"/>
      <c r="S302" s="34" t="n"/>
      <c r="T302" s="34" t="n"/>
      <c r="U302" s="34" t="n"/>
      <c r="V302" s="34" t="n"/>
      <c r="W302" s="34" t="n"/>
      <c r="X302" s="34" t="n"/>
      <c r="Y302" s="34" t="n"/>
      <c r="Z302" s="34" t="n"/>
      <c r="AA302" s="34" t="n"/>
      <c r="AB302" s="34" t="n"/>
      <c r="AC302" s="34" t="n"/>
      <c r="AD302" s="34" t="n"/>
      <c r="AE302" s="34" t="n"/>
      <c r="AF302" s="34" t="n"/>
      <c r="AG302" s="34" t="n"/>
      <c r="AH302" s="34" t="n"/>
      <c r="AI302" s="34" t="n"/>
      <c r="AJ302" s="34" t="n"/>
      <c r="AK302" s="34" t="n"/>
      <c r="AL302" s="34" t="n"/>
      <c r="AM302" s="34" t="n"/>
      <c r="AN302" s="34" t="n"/>
      <c r="AO302" s="34" t="n"/>
      <c r="AP302" s="34" t="n"/>
      <c r="AQ302" s="34" t="n"/>
      <c r="AR302" s="34" t="n"/>
      <c r="AS302" s="34" t="n"/>
      <c r="AT302" s="34" t="n"/>
      <c r="AU302" s="34" t="n"/>
      <c r="AV302" s="34" t="n"/>
      <c r="AW302" s="34" t="n"/>
      <c r="AX302" s="34" t="n"/>
      <c r="AY302" s="34" t="n"/>
      <c r="AZ302" s="34" t="n"/>
      <c r="BA302" s="34" t="n"/>
      <c r="BB302" s="34" t="n"/>
      <c r="BC302" s="34" t="n"/>
      <c r="BD302" s="34" t="n"/>
      <c r="BE302" s="34" t="n"/>
      <c r="BF302" s="34" t="n"/>
      <c r="BG302" s="34" t="n"/>
      <c r="BH302" s="34" t="n"/>
      <c r="BI302" s="34" t="n"/>
      <c r="BJ302" s="34" t="n"/>
      <c r="BK302" s="34" t="n"/>
      <c r="BL302" s="34" t="n"/>
      <c r="BM302" s="34" t="n"/>
      <c r="BN302" s="34" t="n"/>
      <c r="BO302" s="34" t="n"/>
      <c r="BP302" s="34" t="n"/>
      <c r="BQ302" s="34" t="n"/>
      <c r="BR302" s="34" t="n"/>
      <c r="BS302" s="34" t="n"/>
      <c r="BT302" s="34" t="n"/>
      <c r="BU302" s="34" t="n"/>
      <c r="BV302" s="34" t="n"/>
      <c r="BW302" s="34" t="n"/>
      <c r="BX302" s="34" t="n"/>
      <c r="BY302" s="35" t="n"/>
      <c r="BZ302" s="35" t="n"/>
      <c r="CA302" s="283">
        <f>IFERROR(CA301/CA300,0)</f>
        <v>0</v>
      </c>
      <c r="CB302" s="283">
        <f>IFERROR(CB301/CB300,0)</f>
        <v>6.45887957942659</v>
      </c>
      <c r="CC302" s="283">
        <f>IFERROR(CC301/CC300,0)</f>
        <v>176.01656887244</v>
      </c>
      <c r="CD302" s="283">
        <f>IFERROR(CD301/CD300,0)</f>
        <v>285.601870134449</v>
      </c>
      <c r="CE302" s="283">
        <f>IFERROR(CE301/CE300,0)</f>
        <v>388.612095497329</v>
      </c>
      <c r="CF302" s="19" t="n"/>
    </row>
    <row r="303" ht="15" customHeight="1" s="251">
      <c r="B303" s="25" t="inlineStr">
        <is>
          <t xml:space="preserve">  Shares issued under equity plans (m)</t>
        </is>
      </c>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c r="AF303" s="36" t="n"/>
      <c r="AG303" s="36" t="n"/>
      <c r="AH303" s="36" t="n"/>
      <c r="AI303" s="36" t="n"/>
      <c r="AJ303" s="36" t="n"/>
      <c r="AK303" s="36" t="n"/>
      <c r="AL303" s="36" t="n"/>
      <c r="AM303" s="36" t="n"/>
      <c r="AN303" s="36" t="n"/>
      <c r="AO303" s="36" t="n"/>
      <c r="AP303" s="36" t="n"/>
      <c r="AQ303" s="36" t="n"/>
      <c r="AR303" s="36" t="n"/>
      <c r="AS303" s="36" t="n"/>
      <c r="AT303" s="36" t="n"/>
      <c r="AU303" s="36" t="n"/>
      <c r="AV303" s="36" t="n"/>
      <c r="AW303" s="36" t="n"/>
      <c r="AX303" s="36" t="n"/>
      <c r="AY303" s="36" t="n"/>
      <c r="AZ303" s="36" t="n"/>
      <c r="BA303" s="36" t="n"/>
      <c r="BB303" s="36" t="n"/>
      <c r="BC303" s="36" t="n"/>
      <c r="BD303" s="36" t="n"/>
      <c r="BE303" s="36" t="n"/>
      <c r="BF303" s="36" t="n"/>
      <c r="BG303" s="36" t="n"/>
      <c r="BH303" s="36" t="n"/>
      <c r="BI303" s="36" t="n"/>
      <c r="BJ303" s="36" t="n"/>
      <c r="BK303" s="36" t="n"/>
      <c r="BL303" s="36" t="n"/>
      <c r="BM303" s="36" t="n"/>
      <c r="BN303" s="36" t="n"/>
      <c r="BO303" s="36" t="n"/>
      <c r="BP303" s="36" t="n"/>
      <c r="BQ303" s="36" t="n"/>
      <c r="BR303" s="36" t="n"/>
      <c r="BS303" s="36" t="n"/>
      <c r="BT303" s="36" t="n"/>
      <c r="BU303" s="36" t="n"/>
      <c r="BV303" s="36" t="n"/>
      <c r="BW303" s="36" t="n"/>
      <c r="BX303" s="36" t="n"/>
      <c r="BY303" s="24" t="n"/>
      <c r="BZ303" s="24" t="n"/>
      <c r="CA303" s="283">
        <f>2*$CP$24</f>
        <v>60</v>
      </c>
      <c r="CB303" s="284" t="n">
        <v>120</v>
      </c>
      <c r="CC303" s="284" t="n">
        <v>120</v>
      </c>
      <c r="CD303" s="284" t="n">
        <v>120</v>
      </c>
      <c r="CE303" s="284" t="n">
        <v>120</v>
      </c>
      <c r="CF303" s="19" t="n"/>
    </row>
    <row r="304" ht="15" customHeight="1" s="251">
      <c r="B304" s="25" t="inlineStr">
        <is>
          <t xml:space="preserve">  Beginning shares outstanding (m)</t>
        </is>
      </c>
      <c r="C304" s="34" t="n"/>
      <c r="D304" s="34" t="n"/>
      <c r="E304" s="34" t="n"/>
      <c r="F304" s="34" t="n"/>
      <c r="G304" s="34" t="n"/>
      <c r="H304" s="34" t="n"/>
      <c r="I304" s="34" t="n"/>
      <c r="J304" s="34" t="n"/>
      <c r="K304" s="34" t="n"/>
      <c r="L304" s="34" t="n"/>
      <c r="M304" s="34" t="n"/>
      <c r="N304" s="34" t="n"/>
      <c r="O304" s="34" t="n"/>
      <c r="P304" s="34" t="n"/>
      <c r="Q304" s="34" t="n"/>
      <c r="R304" s="34" t="n"/>
      <c r="S304" s="34" t="n"/>
      <c r="T304" s="34" t="n"/>
      <c r="U304" s="34" t="n"/>
      <c r="V304" s="34" t="n"/>
      <c r="W304" s="34" t="n"/>
      <c r="X304" s="34" t="n"/>
      <c r="Y304" s="34" t="n"/>
      <c r="Z304" s="34" t="n"/>
      <c r="AA304" s="34" t="n"/>
      <c r="AB304" s="34" t="n"/>
      <c r="AC304" s="34" t="n"/>
      <c r="AD304" s="34" t="n"/>
      <c r="AE304" s="34" t="n"/>
      <c r="AF304" s="34" t="n"/>
      <c r="AG304" s="34" t="n"/>
      <c r="AH304" s="34" t="n"/>
      <c r="AI304" s="34" t="n"/>
      <c r="AJ304" s="34" t="n"/>
      <c r="AK304" s="34" t="n"/>
      <c r="AL304" s="34" t="n"/>
      <c r="AM304" s="34" t="n"/>
      <c r="AN304" s="34" t="n"/>
      <c r="AO304" s="34" t="n"/>
      <c r="AP304" s="34" t="n"/>
      <c r="AQ304" s="34" t="n"/>
      <c r="AR304" s="34" t="n"/>
      <c r="AS304" s="34" t="n"/>
      <c r="AT304" s="34" t="n"/>
      <c r="AU304" s="34" t="n"/>
      <c r="AV304" s="34" t="n"/>
      <c r="AW304" s="34" t="n"/>
      <c r="AX304" s="34" t="n"/>
      <c r="AY304" s="34" t="n"/>
      <c r="AZ304" s="34" t="n"/>
      <c r="BA304" s="34" t="n"/>
      <c r="BB304" s="34" t="n"/>
      <c r="BC304" s="34" t="n"/>
      <c r="BD304" s="34" t="n"/>
      <c r="BE304" s="34" t="n"/>
      <c r="BF304" s="34" t="n"/>
      <c r="BG304" s="34" t="n"/>
      <c r="BH304" s="34" t="n"/>
      <c r="BI304" s="34" t="n"/>
      <c r="BJ304" s="34" t="n"/>
      <c r="BK304" s="34" t="n"/>
      <c r="BL304" s="34" t="n"/>
      <c r="BM304" s="34" t="n"/>
      <c r="BN304" s="34" t="n"/>
      <c r="BO304" s="34" t="n"/>
      <c r="BP304" s="34" t="n"/>
      <c r="BQ304" s="34" t="n"/>
      <c r="BR304" s="34" t="n"/>
      <c r="BS304" s="34" t="n"/>
      <c r="BT304" s="34" t="n"/>
      <c r="BU304" s="34" t="n"/>
      <c r="BV304" s="34" t="n"/>
      <c r="BW304" s="34" t="n"/>
      <c r="BX304" s="34" t="n"/>
      <c r="BY304" s="35" t="n"/>
      <c r="BZ304" s="35" t="n"/>
      <c r="CA304" s="254">
        <f>BX339</f>
        <v>10783</v>
      </c>
      <c r="CB304" s="254">
        <f>CA305</f>
        <v>10843</v>
      </c>
      <c r="CC304" s="254">
        <f>CB305</f>
        <v>10956.5411204206</v>
      </c>
      <c r="CD304" s="254">
        <f>CC305</f>
        <v>10900.5245515481</v>
      </c>
      <c r="CE304" s="254">
        <f>CD305</f>
        <v>10734.9226814137</v>
      </c>
      <c r="CF304" s="19" t="inlineStr">
        <is>
          <t>2026E begins from common shares outstanding at 30-Jun-2026 (Q2-26 release).</t>
        </is>
      </c>
    </row>
    <row r="305" ht="15" customHeight="1" s="251">
      <c r="B305" s="25" t="inlineStr">
        <is>
          <t xml:space="preserve">  Ending shares outstanding (m)</t>
        </is>
      </c>
      <c r="C305" s="34" t="n"/>
      <c r="D305" s="34" t="n"/>
      <c r="E305" s="34" t="n"/>
      <c r="F305" s="34" t="n"/>
      <c r="G305" s="34" t="n"/>
      <c r="H305" s="34" t="n"/>
      <c r="I305" s="34" t="n"/>
      <c r="J305" s="34" t="n"/>
      <c r="K305" s="34" t="n"/>
      <c r="L305" s="34" t="n"/>
      <c r="M305" s="34" t="n"/>
      <c r="N305" s="34" t="n"/>
      <c r="O305" s="34" t="n"/>
      <c r="P305" s="34" t="n"/>
      <c r="Q305" s="34" t="n"/>
      <c r="R305" s="34" t="n"/>
      <c r="S305" s="34" t="n"/>
      <c r="T305" s="34" t="n"/>
      <c r="U305" s="34" t="n"/>
      <c r="V305" s="34" t="n"/>
      <c r="W305" s="34" t="n"/>
      <c r="X305" s="34" t="n"/>
      <c r="Y305" s="34" t="n"/>
      <c r="Z305" s="34" t="n"/>
      <c r="AA305" s="34" t="n"/>
      <c r="AB305" s="34" t="n"/>
      <c r="AC305" s="34" t="n"/>
      <c r="AD305" s="34" t="n"/>
      <c r="AE305" s="34" t="n"/>
      <c r="AF305" s="34" t="n"/>
      <c r="AG305" s="34" t="n"/>
      <c r="AH305" s="34" t="n"/>
      <c r="AI305" s="34" t="n"/>
      <c r="AJ305" s="34" t="n"/>
      <c r="AK305" s="34" t="n"/>
      <c r="AL305" s="34" t="n"/>
      <c r="AM305" s="34" t="n"/>
      <c r="AN305" s="34" t="n"/>
      <c r="AO305" s="34" t="n"/>
      <c r="AP305" s="34" t="n"/>
      <c r="AQ305" s="34" t="n"/>
      <c r="AR305" s="34" t="n"/>
      <c r="AS305" s="34" t="n"/>
      <c r="AT305" s="34" t="n"/>
      <c r="AU305" s="34" t="n"/>
      <c r="AV305" s="34" t="n"/>
      <c r="AW305" s="34" t="n"/>
      <c r="AX305" s="34" t="n"/>
      <c r="AY305" s="34" t="n"/>
      <c r="AZ305" s="34" t="n"/>
      <c r="BA305" s="34" t="n"/>
      <c r="BB305" s="34" t="n"/>
      <c r="BC305" s="34" t="n"/>
      <c r="BD305" s="34" t="n"/>
      <c r="BE305" s="34" t="n"/>
      <c r="BF305" s="34" t="n"/>
      <c r="BG305" s="34" t="n"/>
      <c r="BH305" s="34" t="n"/>
      <c r="BI305" s="34" t="n"/>
      <c r="BJ305" s="34" t="n"/>
      <c r="BK305" s="34" t="n"/>
      <c r="BL305" s="34" t="n"/>
      <c r="BM305" s="34" t="n"/>
      <c r="BN305" s="34" t="n"/>
      <c r="BO305" s="34" t="n"/>
      <c r="BP305" s="34" t="n"/>
      <c r="BQ305" s="34" t="n"/>
      <c r="BR305" s="34" t="n"/>
      <c r="BS305" s="34" t="n"/>
      <c r="BT305" s="34" t="n"/>
      <c r="BU305" s="34" t="n"/>
      <c r="BV305" s="34" t="n"/>
      <c r="BW305" s="34" t="n"/>
      <c r="BX305" s="34" t="n"/>
      <c r="BY305" s="35" t="n"/>
      <c r="BZ305" s="35" t="n"/>
      <c r="CA305" s="254">
        <f>CA304-CA302+CA303</f>
        <v>10843</v>
      </c>
      <c r="CB305" s="254">
        <f>CB304-CB302+CB303</f>
        <v>10956.5411204206</v>
      </c>
      <c r="CC305" s="254">
        <f>CC304-CC302+CC303</f>
        <v>10900.5245515481</v>
      </c>
      <c r="CD305" s="254">
        <f>CD304-CD302+CD303</f>
        <v>10734.9226814137</v>
      </c>
      <c r="CE305" s="254">
        <f>CE304-CE302+CE303</f>
        <v>10466.3105859164</v>
      </c>
      <c r="CF305" s="19" t="n"/>
    </row>
    <row r="306" ht="15" customHeight="1" s="251">
      <c r="B306" s="25" t="inlineStr">
        <is>
          <t xml:space="preserve">  % of shares repurchased</t>
        </is>
      </c>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c r="AF306" s="36" t="n"/>
      <c r="AG306" s="36" t="n"/>
      <c r="AH306" s="36" t="n"/>
      <c r="AI306" s="36" t="n"/>
      <c r="AJ306" s="36" t="n"/>
      <c r="AK306" s="36" t="n"/>
      <c r="AL306" s="36" t="n"/>
      <c r="AM306" s="36" t="n"/>
      <c r="AN306" s="36" t="n"/>
      <c r="AO306" s="36" t="n"/>
      <c r="AP306" s="36" t="n"/>
      <c r="AQ306" s="36" t="n"/>
      <c r="AR306" s="36" t="n"/>
      <c r="AS306" s="36" t="n"/>
      <c r="AT306" s="36" t="n"/>
      <c r="AU306" s="36" t="n"/>
      <c r="AV306" s="36" t="n"/>
      <c r="AW306" s="36" t="n"/>
      <c r="AX306" s="36" t="n"/>
      <c r="AY306" s="36" t="n"/>
      <c r="AZ306" s="36" t="n"/>
      <c r="BA306" s="36" t="n"/>
      <c r="BB306" s="36" t="n"/>
      <c r="BC306" s="36" t="n"/>
      <c r="BD306" s="36" t="n"/>
      <c r="BE306" s="36" t="n"/>
      <c r="BF306" s="36" t="n"/>
      <c r="BG306" s="36" t="n"/>
      <c r="BH306" s="36" t="n"/>
      <c r="BI306" s="36" t="n"/>
      <c r="BJ306" s="36" t="n"/>
      <c r="BK306" s="36" t="n"/>
      <c r="BL306" s="36" t="n"/>
      <c r="BM306" s="36" t="n"/>
      <c r="BN306" s="36" t="n"/>
      <c r="BO306" s="36" t="n"/>
      <c r="BP306" s="36" t="n"/>
      <c r="BQ306" s="36" t="n"/>
      <c r="BR306" s="36" t="n"/>
      <c r="BS306" s="36" t="n"/>
      <c r="BT306" s="36" t="n"/>
      <c r="BU306" s="36" t="n"/>
      <c r="BV306" s="36" t="n"/>
      <c r="BW306" s="36" t="n"/>
      <c r="BX306" s="36" t="n"/>
      <c r="BY306" s="24" t="n"/>
      <c r="BZ306" s="24" t="n"/>
      <c r="CA306" s="256">
        <f>IF(AND(ISNUMBER(CA302),ISNUMBER(CA304)),IFERROR(CA302/CA304,""),"")</f>
        <v>0</v>
      </c>
      <c r="CB306" s="256">
        <f>IF(AND(ISNUMBER(CB302),ISNUMBER(CB304)),IFERROR(CB302/CB304,""),"")</f>
        <v>0.000595672745497242</v>
      </c>
      <c r="CC306" s="256">
        <f>IF(AND(ISNUMBER(CC302),ISNUMBER(CC304)),IFERROR(CC302/CC304,""),"")</f>
        <v>0.0160649758840757</v>
      </c>
      <c r="CD306" s="256">
        <f>IF(AND(ISNUMBER(CD302),ISNUMBER(CD304)),IFERROR(CD302/CD304,""),"")</f>
        <v>0.026200745549799</v>
      </c>
      <c r="CE306" s="256">
        <f>IF(AND(ISNUMBER(CE302),ISNUMBER(CE304)),IFERROR(CE302/CE304,""),"")</f>
        <v>0.0362007353970204</v>
      </c>
      <c r="CF306" s="153" t="n"/>
    </row>
    <row r="307" ht="15" customHeight="1" s="251">
      <c r="B307" s="156" t="inlineStr">
        <is>
          <t xml:space="preserve">  Memo: cumulative shares repurchased since 2H-26 (m)</t>
        </is>
      </c>
      <c r="C307" s="34" t="n"/>
      <c r="D307" s="34" t="n"/>
      <c r="E307" s="34" t="n"/>
      <c r="F307" s="34" t="n"/>
      <c r="G307" s="34" t="n"/>
      <c r="H307" s="34" t="n"/>
      <c r="I307" s="34" t="n"/>
      <c r="J307" s="34" t="n"/>
      <c r="K307" s="34" t="n"/>
      <c r="L307" s="34" t="n"/>
      <c r="M307" s="34" t="n"/>
      <c r="N307" s="34" t="n"/>
      <c r="O307" s="34" t="n"/>
      <c r="P307" s="34" t="n"/>
      <c r="Q307" s="34" t="n"/>
      <c r="R307" s="34" t="n"/>
      <c r="S307" s="34" t="n"/>
      <c r="T307" s="34" t="n"/>
      <c r="U307" s="34" t="n"/>
      <c r="V307" s="34" t="n"/>
      <c r="W307" s="34" t="n"/>
      <c r="X307" s="34" t="n"/>
      <c r="Y307" s="34" t="n"/>
      <c r="Z307" s="34" t="n"/>
      <c r="AA307" s="34" t="n"/>
      <c r="AB307" s="34" t="n"/>
      <c r="AC307" s="34" t="n"/>
      <c r="AD307" s="34" t="n"/>
      <c r="AE307" s="34" t="n"/>
      <c r="AF307" s="34" t="n"/>
      <c r="AG307" s="34" t="n"/>
      <c r="AH307" s="34" t="n"/>
      <c r="AI307" s="34" t="n"/>
      <c r="AJ307" s="34" t="n"/>
      <c r="AK307" s="34" t="n"/>
      <c r="AL307" s="34" t="n"/>
      <c r="AM307" s="34" t="n"/>
      <c r="AN307" s="34" t="n"/>
      <c r="AO307" s="34" t="n"/>
      <c r="AP307" s="34" t="n"/>
      <c r="AQ307" s="34" t="n"/>
      <c r="AR307" s="34" t="n"/>
      <c r="AS307" s="34" t="n"/>
      <c r="AT307" s="34" t="n"/>
      <c r="AU307" s="34" t="n"/>
      <c r="AV307" s="34" t="n"/>
      <c r="AW307" s="34" t="n"/>
      <c r="AX307" s="34" t="n"/>
      <c r="AY307" s="34" t="n"/>
      <c r="AZ307" s="34" t="n"/>
      <c r="BA307" s="34" t="n"/>
      <c r="BB307" s="34" t="n"/>
      <c r="BC307" s="34" t="n"/>
      <c r="BD307" s="34" t="n"/>
      <c r="BE307" s="34" t="n"/>
      <c r="BF307" s="34" t="n"/>
      <c r="BG307" s="34" t="n"/>
      <c r="BH307" s="34" t="n"/>
      <c r="BI307" s="34" t="n"/>
      <c r="BJ307" s="34" t="n"/>
      <c r="BK307" s="34" t="n"/>
      <c r="BL307" s="34" t="n"/>
      <c r="BM307" s="34" t="n"/>
      <c r="BN307" s="34" t="n"/>
      <c r="BO307" s="34" t="n"/>
      <c r="BP307" s="34" t="n"/>
      <c r="BQ307" s="34" t="n"/>
      <c r="BR307" s="34" t="n"/>
      <c r="BS307" s="34" t="n"/>
      <c r="BT307" s="34" t="n"/>
      <c r="BU307" s="34" t="n"/>
      <c r="BV307" s="34" t="n"/>
      <c r="BW307" s="34" t="n"/>
      <c r="BX307" s="34" t="n"/>
      <c r="BY307" s="153" t="n"/>
      <c r="BZ307" s="153" t="n"/>
      <c r="CA307" s="285">
        <f>CA302</f>
        <v>0</v>
      </c>
      <c r="CB307" s="285">
        <f>CA307+CB302</f>
        <v>6.45887957942659</v>
      </c>
      <c r="CC307" s="285">
        <f>CB307+CC302</f>
        <v>182.475448451867</v>
      </c>
      <c r="CD307" s="285">
        <f>CC307+CD302</f>
        <v>468.077318586316</v>
      </c>
      <c r="CE307" s="285">
        <f>CD307+CE302</f>
        <v>856.689414083646</v>
      </c>
      <c r="CF307" s="153" t="n"/>
    </row>
    <row r="308" ht="15" customHeight="1" s="251">
      <c r="CN308" s="11" t="n"/>
      <c r="CO308" s="12" t="n"/>
      <c r="CP308" s="12" t="n"/>
      <c r="CQ308" s="12" t="n"/>
      <c r="CR308" s="13" t="n"/>
    </row>
    <row r="309" ht="15" customHeight="1" s="251">
      <c r="B309" s="10" t="inlineStr">
        <is>
          <t>CONSOLIDATED BALANCE SHEET (condensed, as in the releases)</t>
        </is>
      </c>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c r="AH309" s="10" t="n"/>
      <c r="AI309" s="10" t="n"/>
      <c r="AJ309" s="10" t="n"/>
      <c r="AK309" s="10" t="n"/>
      <c r="AL309" s="10" t="n"/>
      <c r="AM309" s="10" t="n"/>
      <c r="AN309" s="10" t="n"/>
      <c r="AO309" s="10" t="n"/>
      <c r="AP309" s="10" t="n"/>
      <c r="AQ309" s="10" t="n"/>
      <c r="AR309" s="10" t="n"/>
      <c r="AS309" s="10" t="n"/>
      <c r="AT309" s="10" t="n"/>
      <c r="AU309" s="10" t="n"/>
      <c r="AV309" s="10" t="n"/>
      <c r="AW309" s="10" t="n"/>
      <c r="AX309" s="10" t="n"/>
      <c r="AY309" s="10" t="n"/>
      <c r="AZ309" s="10" t="n"/>
      <c r="BA309" s="10" t="n"/>
      <c r="BB309" s="10" t="n"/>
      <c r="BC309" s="10" t="n"/>
      <c r="BD309" s="10" t="n"/>
      <c r="BE309" s="10" t="n"/>
      <c r="BF309" s="10" t="n"/>
      <c r="BG309" s="10" t="n"/>
      <c r="BH309" s="10" t="n"/>
      <c r="BI309" s="10" t="n"/>
      <c r="BJ309" s="10" t="n"/>
      <c r="BK309" s="10" t="n"/>
      <c r="BL309" s="10" t="n"/>
      <c r="BM309" s="10" t="n"/>
      <c r="BN309" s="10" t="n"/>
      <c r="BO309" s="10" t="n"/>
      <c r="BP309" s="10" t="n"/>
      <c r="BQ309" s="10" t="n"/>
      <c r="BR309" s="10" t="n"/>
      <c r="BS309" s="10" t="n"/>
      <c r="BT309" s="10" t="n"/>
      <c r="BU309" s="10" t="n"/>
      <c r="BV309" s="10" t="n"/>
      <c r="BW309" s="10" t="n"/>
      <c r="BX309" s="10" t="n"/>
      <c r="BY309" s="10" t="n"/>
      <c r="BZ309" s="10" t="n"/>
      <c r="CA309" s="10" t="n"/>
      <c r="CB309" s="10" t="n"/>
      <c r="CC309" s="10" t="n"/>
      <c r="CD309" s="10" t="n"/>
      <c r="CE309" s="10" t="n"/>
      <c r="CF309" s="10" t="inlineStr">
        <is>
          <t>BS FORECAST — 2026E rolled forward from the 30-Jun-2026 balance sheet + 2H flows; 2027E+ from prior year end</t>
        </is>
      </c>
    </row>
    <row r="310" ht="15" customHeight="1" s="251">
      <c r="B310" s="25" t="inlineStr">
        <is>
          <t>ASSETS</t>
        </is>
      </c>
      <c r="CF310" s="153" t="n"/>
    </row>
    <row r="311" ht="15" customHeight="1" s="251">
      <c r="B311" s="25" t="inlineStr">
        <is>
          <t xml:space="preserve">  Cash and cash equivalents</t>
        </is>
      </c>
      <c r="C311" s="253" t="n">
        <v>1022</v>
      </c>
      <c r="D311" s="253" t="n">
        <v>2539</v>
      </c>
      <c r="E311" s="253" t="n">
        <v>2769</v>
      </c>
      <c r="F311" s="253" t="n">
        <v>3444</v>
      </c>
      <c r="G311" s="253" t="n">
        <v>3777</v>
      </c>
      <c r="H311" s="253" t="n">
        <v>5269</v>
      </c>
      <c r="I311" s="253" t="n">
        <v>8084</v>
      </c>
      <c r="J311" s="253" t="n">
        <v>4481</v>
      </c>
      <c r="K311" s="253" t="n">
        <v>3704</v>
      </c>
      <c r="L311" s="253" t="n">
        <v>3872</v>
      </c>
      <c r="M311" s="253" t="n">
        <v>8658</v>
      </c>
      <c r="N311" s="253" t="n">
        <v>8658</v>
      </c>
      <c r="O311" s="253" t="n">
        <v>5074</v>
      </c>
      <c r="P311" s="253" t="n">
        <v>5057</v>
      </c>
      <c r="Q311" s="253" t="n">
        <v>5258</v>
      </c>
      <c r="R311" s="253" t="n">
        <v>14557</v>
      </c>
      <c r="S311" s="253" t="n">
        <v>14557</v>
      </c>
      <c r="T311" s="253" t="n">
        <v>10237</v>
      </c>
      <c r="U311" s="253" t="n">
        <v>10269</v>
      </c>
      <c r="V311" s="253" t="n">
        <v>10709</v>
      </c>
      <c r="W311" s="253" t="n">
        <v>15890</v>
      </c>
      <c r="X311" s="253" t="n">
        <v>15890</v>
      </c>
      <c r="Y311" s="253" t="n">
        <v>12470</v>
      </c>
      <c r="Z311" s="253" t="n">
        <v>12521</v>
      </c>
      <c r="AA311" s="253" t="n">
        <v>13656</v>
      </c>
      <c r="AB311" s="253" t="n">
        <v>19334</v>
      </c>
      <c r="AC311" s="253" t="n">
        <v>19334</v>
      </c>
      <c r="AD311" s="253" t="n">
        <v>15440</v>
      </c>
      <c r="AE311" s="253" t="n">
        <v>13203</v>
      </c>
      <c r="AF311" s="253" t="n">
        <v>12767</v>
      </c>
      <c r="AG311" s="253" t="n">
        <v>20522</v>
      </c>
      <c r="AH311" s="253" t="n">
        <v>20522</v>
      </c>
      <c r="AI311" s="253" t="n">
        <v>16676</v>
      </c>
      <c r="AJ311" s="253" t="n">
        <v>19823</v>
      </c>
      <c r="AK311" s="253" t="n">
        <v>20425</v>
      </c>
      <c r="AL311" s="253" t="n">
        <v>31750</v>
      </c>
      <c r="AM311" s="253" t="n">
        <v>31750</v>
      </c>
      <c r="AN311" s="253" t="n">
        <v>23115</v>
      </c>
      <c r="AO311" s="253" t="n">
        <v>22616</v>
      </c>
      <c r="AP311" s="253" t="n">
        <v>23255</v>
      </c>
      <c r="AQ311" s="253" t="n">
        <v>36092</v>
      </c>
      <c r="AR311" s="253" t="n">
        <v>36092</v>
      </c>
      <c r="AS311" s="253" t="n">
        <v>27201</v>
      </c>
      <c r="AT311" s="253" t="n">
        <v>37466</v>
      </c>
      <c r="AU311" s="253" t="n">
        <v>29930</v>
      </c>
      <c r="AV311" s="253" t="n">
        <v>42122</v>
      </c>
      <c r="AW311" s="253" t="n">
        <v>42122</v>
      </c>
      <c r="AX311" s="253" t="n">
        <v>33834</v>
      </c>
      <c r="AY311" s="253" t="n">
        <v>40380</v>
      </c>
      <c r="AZ311" s="253" t="n">
        <v>29944</v>
      </c>
      <c r="BA311" s="253" t="n">
        <v>36220</v>
      </c>
      <c r="BB311" s="253" t="n">
        <v>36220</v>
      </c>
      <c r="BC311" s="253" t="n">
        <v>36393</v>
      </c>
      <c r="BD311" s="253" t="n">
        <v>37478</v>
      </c>
      <c r="BE311" s="253" t="n">
        <v>34947</v>
      </c>
      <c r="BF311" s="253" t="n">
        <v>53888</v>
      </c>
      <c r="BG311" s="253" t="n">
        <v>53888</v>
      </c>
      <c r="BH311" s="253" t="n">
        <v>49343</v>
      </c>
      <c r="BI311" s="253" t="n">
        <v>49529</v>
      </c>
      <c r="BJ311" s="253" t="n">
        <v>49605</v>
      </c>
      <c r="BK311" s="253" t="n">
        <v>73387</v>
      </c>
      <c r="BL311" s="253" t="n">
        <v>73387</v>
      </c>
      <c r="BM311" s="253" t="n">
        <v>72852</v>
      </c>
      <c r="BN311" s="253" t="n">
        <v>71178</v>
      </c>
      <c r="BO311" s="253" t="n">
        <v>75091</v>
      </c>
      <c r="BP311" s="253" t="n">
        <v>78779</v>
      </c>
      <c r="BQ311" s="253" t="n">
        <v>78779</v>
      </c>
      <c r="BR311" s="253" t="n">
        <v>66207</v>
      </c>
      <c r="BS311" s="253" t="n">
        <v>57741</v>
      </c>
      <c r="BT311" s="253" t="n">
        <v>66922</v>
      </c>
      <c r="BU311" s="253" t="n">
        <v>86810</v>
      </c>
      <c r="BV311" s="253" t="n">
        <v>86810</v>
      </c>
      <c r="BW311" s="253" t="n">
        <v>101816</v>
      </c>
      <c r="BX311" s="253" t="n">
        <v>78213</v>
      </c>
      <c r="BY311" s="35" t="n"/>
      <c r="BZ311" s="35" t="n"/>
      <c r="CA311" s="254">
        <f>CA272-CA275</f>
        <v>105773.740698678</v>
      </c>
      <c r="CB311" s="254">
        <f>CB272-CB275</f>
        <v>118186.5</v>
      </c>
      <c r="CC311" s="254">
        <f>CC272-CC275</f>
        <v>118186.5</v>
      </c>
      <c r="CD311" s="254">
        <f>CD272-CD275</f>
        <v>118186.5</v>
      </c>
      <c r="CE311" s="254">
        <f>CE272-CE275</f>
        <v>118186.5</v>
      </c>
      <c r="CF311" s="19" t="n"/>
    </row>
    <row r="312" ht="15" customHeight="1" s="251">
      <c r="B312" s="25" t="inlineStr">
        <is>
          <t xml:space="preserve">  Marketable securities</t>
        </is>
      </c>
      <c r="C312" s="253" t="n">
        <v>997</v>
      </c>
      <c r="D312" s="253" t="n">
        <v>573</v>
      </c>
      <c r="E312" s="253" t="n">
        <v>958</v>
      </c>
      <c r="F312" s="253" t="n">
        <v>2922</v>
      </c>
      <c r="G312" s="253" t="n">
        <v>4985</v>
      </c>
      <c r="H312" s="253" t="n">
        <v>4307</v>
      </c>
      <c r="I312" s="253" t="n">
        <v>3364</v>
      </c>
      <c r="J312" s="253" t="n">
        <v>3414</v>
      </c>
      <c r="K312" s="253" t="n">
        <v>3759</v>
      </c>
      <c r="L312" s="253" t="n">
        <v>3817</v>
      </c>
      <c r="M312" s="253" t="n">
        <v>3789</v>
      </c>
      <c r="N312" s="253" t="n">
        <v>3789</v>
      </c>
      <c r="O312" s="253" t="n">
        <v>3592</v>
      </c>
      <c r="P312" s="253" t="n">
        <v>2929</v>
      </c>
      <c r="Q312" s="253" t="n">
        <v>1625</v>
      </c>
      <c r="R312" s="253" t="n">
        <v>2859</v>
      </c>
      <c r="S312" s="253" t="n">
        <v>2859</v>
      </c>
      <c r="T312" s="253" t="n">
        <v>3544</v>
      </c>
      <c r="U312" s="253" t="n">
        <v>3732</v>
      </c>
      <c r="V312" s="253" t="n">
        <v>3719</v>
      </c>
      <c r="W312" s="253" t="n">
        <v>3918</v>
      </c>
      <c r="X312" s="253" t="n">
        <v>3918</v>
      </c>
      <c r="Y312" s="253" t="n">
        <v>3389</v>
      </c>
      <c r="Z312" s="253" t="n">
        <v>4019</v>
      </c>
      <c r="AA312" s="253" t="n">
        <v>4691</v>
      </c>
      <c r="AB312" s="253" t="n">
        <v>6647</v>
      </c>
      <c r="AC312" s="253" t="n">
        <v>6647</v>
      </c>
      <c r="AD312" s="253" t="n">
        <v>6091</v>
      </c>
      <c r="AE312" s="253" t="n">
        <v>8248</v>
      </c>
      <c r="AF312" s="253" t="n">
        <v>11543</v>
      </c>
      <c r="AG312" s="253" t="n">
        <v>10464</v>
      </c>
      <c r="AH312" s="253" t="n">
        <v>10464</v>
      </c>
      <c r="AI312" s="253" t="n">
        <v>8287</v>
      </c>
      <c r="AJ312" s="253" t="n">
        <v>7227</v>
      </c>
      <c r="AK312" s="253" t="n">
        <v>9340</v>
      </c>
      <c r="AL312" s="253" t="n">
        <v>9500</v>
      </c>
      <c r="AM312" s="253" t="n">
        <v>9500</v>
      </c>
      <c r="AN312" s="253" t="n">
        <v>13905</v>
      </c>
      <c r="AO312" s="253" t="n">
        <v>18847</v>
      </c>
      <c r="AP312" s="253" t="n">
        <v>20146</v>
      </c>
      <c r="AQ312" s="253" t="n">
        <v>18929</v>
      </c>
      <c r="AR312" s="253" t="n">
        <v>18929</v>
      </c>
      <c r="AS312" s="253" t="n">
        <v>22091</v>
      </c>
      <c r="AT312" s="253" t="n">
        <v>33925</v>
      </c>
      <c r="AU312" s="253" t="n">
        <v>38472</v>
      </c>
      <c r="AV312" s="253" t="n">
        <v>42274</v>
      </c>
      <c r="AW312" s="253" t="n">
        <v>42274</v>
      </c>
      <c r="AX312" s="253" t="n">
        <v>39436</v>
      </c>
      <c r="AY312" s="253" t="n">
        <v>49514</v>
      </c>
      <c r="AZ312" s="253" t="n">
        <v>49044</v>
      </c>
      <c r="BA312" s="253" t="n">
        <v>59829</v>
      </c>
      <c r="BB312" s="253" t="n">
        <v>59829</v>
      </c>
      <c r="BC312" s="253" t="n">
        <v>29992</v>
      </c>
      <c r="BD312" s="253" t="n">
        <v>23232</v>
      </c>
      <c r="BE312" s="253" t="n">
        <v>23715</v>
      </c>
      <c r="BF312" s="253" t="n">
        <v>16138</v>
      </c>
      <c r="BG312" s="253" t="n">
        <v>16138</v>
      </c>
      <c r="BH312" s="253" t="n">
        <v>15062</v>
      </c>
      <c r="BI312" s="253" t="n">
        <v>14441</v>
      </c>
      <c r="BJ312" s="253" t="n">
        <v>14564</v>
      </c>
      <c r="BK312" s="253" t="n">
        <v>13393</v>
      </c>
      <c r="BL312" s="253" t="n">
        <v>13393</v>
      </c>
      <c r="BM312" s="253" t="n">
        <v>12222</v>
      </c>
      <c r="BN312" s="253" t="n">
        <v>17914</v>
      </c>
      <c r="BO312" s="253" t="n">
        <v>12960</v>
      </c>
      <c r="BP312" s="253" t="n">
        <v>22423</v>
      </c>
      <c r="BQ312" s="253" t="n">
        <v>22423</v>
      </c>
      <c r="BR312" s="253" t="n">
        <v>28358</v>
      </c>
      <c r="BS312" s="253" t="n">
        <v>35439</v>
      </c>
      <c r="BT312" s="253" t="n">
        <v>27275</v>
      </c>
      <c r="BU312" s="253" t="n">
        <v>36219</v>
      </c>
      <c r="BV312" s="253" t="n">
        <v>36219</v>
      </c>
      <c r="BW312" s="253" t="n">
        <v>41273</v>
      </c>
      <c r="BX312" s="253" t="n">
        <v>44775</v>
      </c>
      <c r="BY312" s="35" t="n"/>
      <c r="BZ312" s="35" t="n"/>
      <c r="CA312" s="254">
        <f>BX312</f>
        <v>44775</v>
      </c>
      <c r="CB312" s="254">
        <f>CA312</f>
        <v>44775</v>
      </c>
      <c r="CC312" s="254">
        <f>CB312</f>
        <v>44775</v>
      </c>
      <c r="CD312" s="254">
        <f>CC312</f>
        <v>44775</v>
      </c>
      <c r="CE312" s="254">
        <f>CD312</f>
        <v>44775</v>
      </c>
      <c r="CF312" s="19" t="inlineStr">
        <is>
          <t>Held flat (counted with cash in net debt).</t>
        </is>
      </c>
    </row>
    <row r="313" ht="15" customHeight="1" s="251">
      <c r="B313" s="25" t="inlineStr">
        <is>
          <t xml:space="preserve">  Inventories</t>
        </is>
      </c>
      <c r="C313" s="253" t="n">
        <v>877</v>
      </c>
      <c r="D313" s="253" t="n">
        <v>1200</v>
      </c>
      <c r="E313" s="253" t="n">
        <v>1399</v>
      </c>
      <c r="F313" s="253" t="n">
        <v>2171</v>
      </c>
      <c r="G313" s="253" t="n">
        <v>3202</v>
      </c>
      <c r="H313" s="253" t="n">
        <v>4992</v>
      </c>
      <c r="I313" s="253" t="n">
        <v>6031</v>
      </c>
      <c r="J313" s="253" t="n">
        <v>5395</v>
      </c>
      <c r="K313" s="253" t="n">
        <v>5420</v>
      </c>
      <c r="L313" s="253" t="n">
        <v>6068</v>
      </c>
      <c r="M313" s="253" t="n">
        <v>7411</v>
      </c>
      <c r="N313" s="253" t="n">
        <v>7411</v>
      </c>
      <c r="O313" s="253" t="n">
        <v>6716</v>
      </c>
      <c r="P313" s="253" t="n">
        <v>6644</v>
      </c>
      <c r="Q313" s="253" t="n">
        <v>7316</v>
      </c>
      <c r="R313" s="253" t="n">
        <v>8299</v>
      </c>
      <c r="S313" s="253" t="n">
        <v>8299</v>
      </c>
      <c r="T313" s="253" t="n">
        <v>7369</v>
      </c>
      <c r="U313" s="253" t="n">
        <v>7470</v>
      </c>
      <c r="V313" s="253" t="n">
        <v>8981</v>
      </c>
      <c r="W313" s="253" t="n">
        <v>10243</v>
      </c>
      <c r="X313" s="253" t="n">
        <v>10243</v>
      </c>
      <c r="Y313" s="253" t="n">
        <v>9582</v>
      </c>
      <c r="Z313" s="253" t="n">
        <v>9588</v>
      </c>
      <c r="AA313" s="253" t="n">
        <v>10696</v>
      </c>
      <c r="AB313" s="253" t="n">
        <v>11461</v>
      </c>
      <c r="AC313" s="253" t="n">
        <v>11461</v>
      </c>
      <c r="AD313" s="253" t="n">
        <v>10600</v>
      </c>
      <c r="AE313" s="253" t="n">
        <v>11510</v>
      </c>
      <c r="AF313" s="253" t="n">
        <v>13711</v>
      </c>
      <c r="AG313" s="253" t="n">
        <v>16047</v>
      </c>
      <c r="AH313" s="253" t="n">
        <v>16047</v>
      </c>
      <c r="AI313" s="253" t="n">
        <v>13840</v>
      </c>
      <c r="AJ313" s="253" t="n">
        <v>14824</v>
      </c>
      <c r="AK313" s="253" t="n">
        <v>15862</v>
      </c>
      <c r="AL313" s="253" t="n">
        <v>17174</v>
      </c>
      <c r="AM313" s="253" t="n">
        <v>17174</v>
      </c>
      <c r="AN313" s="253" t="n">
        <v>16432</v>
      </c>
      <c r="AO313" s="253" t="n">
        <v>18580</v>
      </c>
      <c r="AP313" s="253" t="n">
        <v>18766</v>
      </c>
      <c r="AQ313" s="253" t="n">
        <v>20497</v>
      </c>
      <c r="AR313" s="253" t="n">
        <v>20497</v>
      </c>
      <c r="AS313" s="253" t="n">
        <v>18857</v>
      </c>
      <c r="AT313" s="253" t="n">
        <v>19599</v>
      </c>
      <c r="AU313" s="253" t="n">
        <v>23735</v>
      </c>
      <c r="AV313" s="253" t="n">
        <v>23795</v>
      </c>
      <c r="AW313" s="253" t="n">
        <v>23795</v>
      </c>
      <c r="AX313" s="253" t="n">
        <v>23849</v>
      </c>
      <c r="AY313" s="253" t="n">
        <v>24119</v>
      </c>
      <c r="AZ313" s="253" t="n">
        <v>30933</v>
      </c>
      <c r="BA313" s="253" t="n">
        <v>32640</v>
      </c>
      <c r="BB313" s="253" t="n">
        <v>32640</v>
      </c>
      <c r="BC313" s="253" t="n">
        <v>34987</v>
      </c>
      <c r="BD313" s="253" t="n">
        <v>38153</v>
      </c>
      <c r="BE313" s="253" t="n">
        <v>36647</v>
      </c>
      <c r="BF313" s="253" t="n">
        <v>34405</v>
      </c>
      <c r="BG313" s="253" t="n">
        <v>34405</v>
      </c>
      <c r="BH313" s="253" t="n">
        <v>34170</v>
      </c>
      <c r="BI313" s="253" t="n">
        <v>36587</v>
      </c>
      <c r="BJ313" s="253" t="n">
        <v>35406</v>
      </c>
      <c r="BK313" s="253" t="n">
        <v>33318</v>
      </c>
      <c r="BL313" s="253" t="n">
        <v>33318</v>
      </c>
      <c r="BM313" s="253" t="n">
        <v>31147</v>
      </c>
      <c r="BN313" s="253" t="n">
        <v>34109</v>
      </c>
      <c r="BO313" s="253" t="n">
        <v>36103</v>
      </c>
      <c r="BP313" s="253" t="n">
        <v>34214</v>
      </c>
      <c r="BQ313" s="253" t="n">
        <v>34214</v>
      </c>
      <c r="BR313" s="253" t="n">
        <v>35864</v>
      </c>
      <c r="BS313" s="253" t="n">
        <v>40825</v>
      </c>
      <c r="BT313" s="253" t="n">
        <v>41494</v>
      </c>
      <c r="BU313" s="253" t="n">
        <v>38325</v>
      </c>
      <c r="BV313" s="253" t="n">
        <v>38325</v>
      </c>
      <c r="BW313" s="253" t="n">
        <v>36534</v>
      </c>
      <c r="BX313" s="253" t="n">
        <v>38184</v>
      </c>
      <c r="BY313" s="35" t="n"/>
      <c r="BZ313" s="35" t="n"/>
      <c r="CA313" s="254">
        <f>CA343*CA345/365</f>
        <v>43566.983451669</v>
      </c>
      <c r="CB313" s="254">
        <f>CB343*CB345/365</f>
        <v>47458.5249589765</v>
      </c>
      <c r="CC313" s="254">
        <f>CC343*CC345/365</f>
        <v>52552.9579816745</v>
      </c>
      <c r="CD313" s="254">
        <f>CD343*CD345/365</f>
        <v>57995.2111911361</v>
      </c>
      <c r="CE313" s="254">
        <f>CE343*CE345/365</f>
        <v>63305.6304580495</v>
      </c>
      <c r="CF313" s="19" t="n"/>
    </row>
    <row r="314" ht="15" customHeight="1" s="251">
      <c r="B314" s="25" t="inlineStr">
        <is>
          <t xml:space="preserve">  Accounts receivable, net and other</t>
        </is>
      </c>
      <c r="C314" s="253" t="n">
        <v>399</v>
      </c>
      <c r="D314" s="253" t="n">
        <v>705</v>
      </c>
      <c r="E314" s="253" t="n">
        <v>827</v>
      </c>
      <c r="F314" s="253" t="n">
        <v>988</v>
      </c>
      <c r="G314" s="253" t="n">
        <v>1587</v>
      </c>
      <c r="H314" s="253" t="n">
        <v>2571</v>
      </c>
      <c r="I314" s="253" t="n">
        <v>3364</v>
      </c>
      <c r="J314" s="253" t="n">
        <v>2516</v>
      </c>
      <c r="K314" s="253" t="n">
        <v>2861</v>
      </c>
      <c r="L314" s="253" t="n">
        <v>3057</v>
      </c>
      <c r="M314" s="253" t="n">
        <v>4767</v>
      </c>
      <c r="N314" s="253" t="n">
        <v>4767</v>
      </c>
      <c r="O314" s="253" t="n">
        <v>3945</v>
      </c>
      <c r="P314" s="253" t="n">
        <v>4125</v>
      </c>
      <c r="Q314" s="253" t="n">
        <v>4373</v>
      </c>
      <c r="R314" s="253" t="n">
        <v>5612</v>
      </c>
      <c r="S314" s="253" t="n">
        <v>5612</v>
      </c>
      <c r="T314" s="253" t="n">
        <v>4772</v>
      </c>
      <c r="U314" s="253" t="n">
        <v>4920</v>
      </c>
      <c r="V314" s="253" t="n">
        <v>5440</v>
      </c>
      <c r="W314" s="253" t="n">
        <v>6423</v>
      </c>
      <c r="X314" s="253" t="n">
        <v>6423</v>
      </c>
      <c r="Y314" s="253" t="n">
        <v>5072</v>
      </c>
      <c r="Z314" s="253" t="n">
        <v>6092</v>
      </c>
      <c r="AA314" s="253" t="n">
        <v>6566</v>
      </c>
      <c r="AB314" s="253" t="n">
        <v>8339</v>
      </c>
      <c r="AC314" s="253" t="n">
        <v>8339</v>
      </c>
      <c r="AD314" s="253" t="n">
        <v>7329</v>
      </c>
      <c r="AE314" s="253" t="n">
        <v>8046</v>
      </c>
      <c r="AF314" s="253" t="n">
        <v>10557</v>
      </c>
      <c r="AG314" s="253" t="n">
        <v>13164</v>
      </c>
      <c r="AH314" s="253" t="n">
        <v>13164</v>
      </c>
      <c r="AI314" s="253" t="n">
        <v>12026</v>
      </c>
      <c r="AJ314" s="253" t="n">
        <v>12607</v>
      </c>
      <c r="AK314" s="253" t="n">
        <v>14258</v>
      </c>
      <c r="AL314" s="253" t="n">
        <v>16677</v>
      </c>
      <c r="AM314" s="253" t="n">
        <v>16677</v>
      </c>
      <c r="AN314" s="253" t="n">
        <v>15979</v>
      </c>
      <c r="AO314" s="253" t="n">
        <v>16747</v>
      </c>
      <c r="AP314" s="253" t="n">
        <v>16887</v>
      </c>
      <c r="AQ314" s="253" t="n">
        <v>20816</v>
      </c>
      <c r="AR314" s="253" t="n">
        <v>20816</v>
      </c>
      <c r="AS314" s="253" t="n">
        <v>17836</v>
      </c>
      <c r="AT314" s="253" t="n">
        <v>19918</v>
      </c>
      <c r="AU314" s="253" t="n">
        <v>20832</v>
      </c>
      <c r="AV314" s="253" t="n">
        <v>24542</v>
      </c>
      <c r="AW314" s="253" t="n">
        <v>24542</v>
      </c>
      <c r="AX314" s="253" t="n">
        <v>24289</v>
      </c>
      <c r="AY314" s="253" t="n">
        <v>26835</v>
      </c>
      <c r="AZ314" s="253" t="n">
        <v>28610</v>
      </c>
      <c r="BA314" s="253" t="n">
        <v>32891</v>
      </c>
      <c r="BB314" s="253" t="n">
        <v>32891</v>
      </c>
      <c r="BC314" s="253" t="n">
        <v>32504</v>
      </c>
      <c r="BD314" s="253" t="n">
        <v>34804</v>
      </c>
      <c r="BE314" s="253" t="n">
        <v>36154</v>
      </c>
      <c r="BF314" s="253" t="n">
        <v>42360</v>
      </c>
      <c r="BG314" s="253" t="n">
        <v>42360</v>
      </c>
      <c r="BH314" s="253" t="n">
        <v>37646</v>
      </c>
      <c r="BI314" s="253" t="n">
        <v>39925</v>
      </c>
      <c r="BJ314" s="253" t="n">
        <v>43420</v>
      </c>
      <c r="BK314" s="253" t="n">
        <v>52253</v>
      </c>
      <c r="BL314" s="253" t="n">
        <v>52253</v>
      </c>
      <c r="BM314" s="253" t="n">
        <v>47768</v>
      </c>
      <c r="BN314" s="253" t="n">
        <v>50106</v>
      </c>
      <c r="BO314" s="253" t="n">
        <v>51638</v>
      </c>
      <c r="BP314" s="253" t="n">
        <v>55451</v>
      </c>
      <c r="BQ314" s="253" t="n">
        <v>55451</v>
      </c>
      <c r="BR314" s="253" t="n">
        <v>54216</v>
      </c>
      <c r="BS314" s="253" t="n">
        <v>57415</v>
      </c>
      <c r="BT314" s="253" t="n">
        <v>61175</v>
      </c>
      <c r="BU314" s="253" t="n">
        <v>67729</v>
      </c>
      <c r="BV314" s="253" t="n">
        <v>67729</v>
      </c>
      <c r="BW314" s="253" t="n">
        <v>75532</v>
      </c>
      <c r="BX314" s="253" t="n">
        <v>88092</v>
      </c>
      <c r="BY314" s="35" t="n"/>
      <c r="BZ314" s="35" t="n"/>
      <c r="CA314" s="254">
        <f>CA342*CA344/365</f>
        <v>76897.9838802837</v>
      </c>
      <c r="CB314" s="254">
        <f>CB342*CB344/365</f>
        <v>87930.6800415323</v>
      </c>
      <c r="CC314" s="254">
        <f>CC342*CC344/365</f>
        <v>99617.5503598686</v>
      </c>
      <c r="CD314" s="254">
        <f>CD342*CD344/365</f>
        <v>111660.811392596</v>
      </c>
      <c r="CE314" s="254">
        <f>CE342*CE344/365</f>
        <v>123911.187970085</v>
      </c>
      <c r="CF314" s="19" t="n"/>
    </row>
    <row r="315" ht="15" customHeight="1" s="251">
      <c r="B315" s="25" t="inlineStr">
        <is>
          <t xml:space="preserve">  Other current assets (current deferred tax assets to 2015)</t>
        </is>
      </c>
      <c r="C315" s="253" t="n">
        <v>78</v>
      </c>
      <c r="D315" s="253" t="n">
        <v>147</v>
      </c>
      <c r="E315" s="253" t="n">
        <v>204</v>
      </c>
      <c r="F315" s="253" t="n">
        <v>272</v>
      </c>
      <c r="G315" s="253" t="n">
        <v>196</v>
      </c>
      <c r="H315" s="253" t="n">
        <v>351</v>
      </c>
      <c r="I315" s="253" t="n">
        <v>453</v>
      </c>
      <c r="J315" s="253" t="n">
        <v>507</v>
      </c>
      <c r="K315" s="253" t="n">
        <v>541</v>
      </c>
      <c r="L315" s="253" t="n">
        <v>520</v>
      </c>
      <c r="M315" s="253" t="n">
        <v>0</v>
      </c>
      <c r="N315" s="253" t="n">
        <v>0</v>
      </c>
      <c r="O315" s="253" t="n">
        <v>0</v>
      </c>
      <c r="P315" s="253" t="n">
        <v>0</v>
      </c>
      <c r="Q315" s="253" t="n">
        <v>0</v>
      </c>
      <c r="R315" s="253" t="n">
        <v>0</v>
      </c>
      <c r="S315" s="253" t="n">
        <v>0</v>
      </c>
      <c r="T315" s="253" t="n">
        <v>0</v>
      </c>
      <c r="U315" s="253" t="n">
        <v>0</v>
      </c>
      <c r="V315" s="253" t="n">
        <v>0</v>
      </c>
      <c r="W315" s="253" t="n">
        <v>0</v>
      </c>
      <c r="X315" s="253" t="n">
        <v>0</v>
      </c>
      <c r="Y315" s="253" t="n">
        <v>0</v>
      </c>
      <c r="Z315" s="253" t="n">
        <v>0</v>
      </c>
      <c r="AA315" s="253" t="n">
        <v>0</v>
      </c>
      <c r="AB315" s="253" t="n">
        <v>0</v>
      </c>
      <c r="AC315" s="253" t="n">
        <v>0</v>
      </c>
      <c r="AD315" s="253" t="n">
        <v>0</v>
      </c>
      <c r="AE315" s="253" t="n">
        <v>0</v>
      </c>
      <c r="AF315" s="253" t="n">
        <v>0</v>
      </c>
      <c r="AG315" s="253" t="n">
        <v>0</v>
      </c>
      <c r="AH315" s="253" t="n">
        <v>0</v>
      </c>
      <c r="AI315" s="253" t="n">
        <v>0</v>
      </c>
      <c r="AJ315" s="253" t="n">
        <v>0</v>
      </c>
      <c r="AK315" s="253" t="n">
        <v>0</v>
      </c>
      <c r="AL315" s="253" t="n">
        <v>0</v>
      </c>
      <c r="AM315" s="253" t="n">
        <v>0</v>
      </c>
      <c r="AN315" s="253" t="n">
        <v>0</v>
      </c>
      <c r="AO315" s="253" t="n">
        <v>0</v>
      </c>
      <c r="AP315" s="253" t="n">
        <v>0</v>
      </c>
      <c r="AQ315" s="253" t="n">
        <v>0</v>
      </c>
      <c r="AR315" s="253" t="n">
        <v>0</v>
      </c>
      <c r="AS315" s="253" t="n">
        <v>0</v>
      </c>
      <c r="AT315" s="253" t="n">
        <v>0</v>
      </c>
      <c r="AU315" s="253" t="n">
        <v>0</v>
      </c>
      <c r="AV315" s="253" t="n">
        <v>0</v>
      </c>
      <c r="AW315" s="253" t="n">
        <v>0</v>
      </c>
      <c r="AX315" s="253" t="n">
        <v>0</v>
      </c>
      <c r="AY315" s="253" t="n">
        <v>0</v>
      </c>
      <c r="AZ315" s="253" t="n">
        <v>0</v>
      </c>
      <c r="BA315" s="253" t="n">
        <v>0</v>
      </c>
      <c r="BB315" s="253" t="n">
        <v>0</v>
      </c>
      <c r="BC315" s="253" t="n">
        <v>0</v>
      </c>
      <c r="BD315" s="253" t="n">
        <v>0</v>
      </c>
      <c r="BE315" s="253" t="n">
        <v>0</v>
      </c>
      <c r="BF315" s="253" t="n">
        <v>0</v>
      </c>
      <c r="BG315" s="253" t="n">
        <v>0</v>
      </c>
      <c r="BH315" s="253" t="n">
        <v>0</v>
      </c>
      <c r="BI315" s="253" t="n">
        <v>0</v>
      </c>
      <c r="BJ315" s="253" t="n">
        <v>0</v>
      </c>
      <c r="BK315" s="253" t="n">
        <v>0</v>
      </c>
      <c r="BL315" s="253" t="n">
        <v>0</v>
      </c>
      <c r="BM315" s="253" t="n">
        <v>0</v>
      </c>
      <c r="BN315" s="253" t="n">
        <v>0</v>
      </c>
      <c r="BO315" s="253" t="n">
        <v>0</v>
      </c>
      <c r="BP315" s="253" t="n">
        <v>0</v>
      </c>
      <c r="BQ315" s="253" t="n">
        <v>0</v>
      </c>
      <c r="BR315" s="253" t="n">
        <v>0</v>
      </c>
      <c r="BS315" s="253" t="n">
        <v>0</v>
      </c>
      <c r="BT315" s="253" t="n">
        <v>0</v>
      </c>
      <c r="BU315" s="253" t="n">
        <v>0</v>
      </c>
      <c r="BV315" s="253" t="n">
        <v>0</v>
      </c>
      <c r="BW315" s="253" t="n">
        <v>0</v>
      </c>
      <c r="BX315" s="253" t="n">
        <v>0</v>
      </c>
      <c r="BY315" s="35" t="n"/>
      <c r="BZ315" s="35" t="n"/>
      <c r="CA315" s="254">
        <f>BX315</f>
        <v>0</v>
      </c>
      <c r="CB315" s="254">
        <f>CA315</f>
        <v>0</v>
      </c>
      <c r="CC315" s="254">
        <f>CB315</f>
        <v>0</v>
      </c>
      <c r="CD315" s="254">
        <f>CC315</f>
        <v>0</v>
      </c>
      <c r="CE315" s="254">
        <f>CD315</f>
        <v>0</v>
      </c>
      <c r="CF315" s="19" t="n"/>
    </row>
    <row r="316" ht="15" customHeight="1" s="251">
      <c r="B316" s="16" t="inlineStr">
        <is>
          <t>Total current assets</t>
        </is>
      </c>
      <c r="C316" s="275">
        <f>IF(ISNUMBER(C311),SUM(C311:C315),"")</f>
        <v>3373</v>
      </c>
      <c r="D316" s="275">
        <f>IF(ISNUMBER(D311),SUM(D311:D315),"")</f>
        <v>5164</v>
      </c>
      <c r="E316" s="275">
        <f>IF(ISNUMBER(E311),SUM(E311:E315),"")</f>
        <v>6157</v>
      </c>
      <c r="F316" s="275">
        <f>IF(ISNUMBER(F311),SUM(F311:F315),"")</f>
        <v>9797</v>
      </c>
      <c r="G316" s="275">
        <f>IF(ISNUMBER(G311),SUM(G311:G315),"")</f>
        <v>13747</v>
      </c>
      <c r="H316" s="275">
        <f>IF(ISNUMBER(H311),SUM(H311:H315),"")</f>
        <v>17490</v>
      </c>
      <c r="I316" s="275">
        <f>IF(ISNUMBER(I311),SUM(I311:I315),"")</f>
        <v>21296</v>
      </c>
      <c r="J316" s="275">
        <f>IF(ISNUMBER(J311),SUM(J311:J315),"")</f>
        <v>16313</v>
      </c>
      <c r="K316" s="275">
        <f>IF(ISNUMBER(K311),SUM(K311:K315),"")</f>
        <v>16285</v>
      </c>
      <c r="L316" s="275">
        <f>IF(ISNUMBER(L311),SUM(L311:L315),"")</f>
        <v>17334</v>
      </c>
      <c r="M316" s="275">
        <f>IF(ISNUMBER(M311),SUM(M311:M315),"")</f>
        <v>24625</v>
      </c>
      <c r="N316" s="275">
        <f>IF(ISNUMBER(N311),SUM(N311:N315),"")</f>
        <v>24625</v>
      </c>
      <c r="O316" s="275">
        <f>IF(ISNUMBER(O311),SUM(O311:O315),"")</f>
        <v>19327</v>
      </c>
      <c r="P316" s="275">
        <f>IF(ISNUMBER(P311),SUM(P311:P315),"")</f>
        <v>18755</v>
      </c>
      <c r="Q316" s="275">
        <f>IF(ISNUMBER(Q311),SUM(Q311:Q315),"")</f>
        <v>18572</v>
      </c>
      <c r="R316" s="275">
        <f>IF(ISNUMBER(R311),SUM(R311:R315),"")</f>
        <v>31327</v>
      </c>
      <c r="S316" s="275">
        <f>IF(ISNUMBER(S311),SUM(S311:S315),"")</f>
        <v>31327</v>
      </c>
      <c r="T316" s="275">
        <f>IF(ISNUMBER(T311),SUM(T311:T315),"")</f>
        <v>25922</v>
      </c>
      <c r="U316" s="275">
        <f>IF(ISNUMBER(U311),SUM(U311:U315),"")</f>
        <v>26391</v>
      </c>
      <c r="V316" s="275">
        <f>IF(ISNUMBER(V311),SUM(V311:V315),"")</f>
        <v>28849</v>
      </c>
      <c r="W316" s="275">
        <f>IF(ISNUMBER(W311),SUM(W311:W315),"")</f>
        <v>36474</v>
      </c>
      <c r="X316" s="275">
        <f>IF(ISNUMBER(X311),SUM(X311:X315),"")</f>
        <v>36474</v>
      </c>
      <c r="Y316" s="275">
        <f>IF(ISNUMBER(Y311),SUM(Y311:Y315),"")</f>
        <v>30513</v>
      </c>
      <c r="Z316" s="275">
        <f>IF(ISNUMBER(Z311),SUM(Z311:Z315),"")</f>
        <v>32220</v>
      </c>
      <c r="AA316" s="275">
        <f>IF(ISNUMBER(AA311),SUM(AA311:AA315),"")</f>
        <v>35609</v>
      </c>
      <c r="AB316" s="275">
        <f>IF(ISNUMBER(AB311),SUM(AB311:AB315),"")</f>
        <v>45781</v>
      </c>
      <c r="AC316" s="275">
        <f>IF(ISNUMBER(AC311),SUM(AC311:AC315),"")</f>
        <v>45781</v>
      </c>
      <c r="AD316" s="275">
        <f>IF(ISNUMBER(AD311),SUM(AD311:AD315),"")</f>
        <v>39460</v>
      </c>
      <c r="AE316" s="275">
        <f>IF(ISNUMBER(AE311),SUM(AE311:AE315),"")</f>
        <v>41007</v>
      </c>
      <c r="AF316" s="275">
        <f>IF(ISNUMBER(AF311),SUM(AF311:AF315),"")</f>
        <v>48578</v>
      </c>
      <c r="AG316" s="275">
        <f>IF(ISNUMBER(AG311),SUM(AG311:AG315),"")</f>
        <v>60197</v>
      </c>
      <c r="AH316" s="275">
        <f>IF(ISNUMBER(AH311),SUM(AH311:AH315),"")</f>
        <v>60197</v>
      </c>
      <c r="AI316" s="275">
        <f>IF(ISNUMBER(AI311),SUM(AI311:AI315),"")</f>
        <v>50829</v>
      </c>
      <c r="AJ316" s="275">
        <f>IF(ISNUMBER(AJ311),SUM(AJ311:AJ315),"")</f>
        <v>54481</v>
      </c>
      <c r="AK316" s="275">
        <f>IF(ISNUMBER(AK311),SUM(AK311:AK315),"")</f>
        <v>59885</v>
      </c>
      <c r="AL316" s="275">
        <f>IF(ISNUMBER(AL311),SUM(AL311:AL315),"")</f>
        <v>75101</v>
      </c>
      <c r="AM316" s="275">
        <f>IF(ISNUMBER(AM311),SUM(AM311:AM315),"")</f>
        <v>75101</v>
      </c>
      <c r="AN316" s="275">
        <f>IF(ISNUMBER(AN311),SUM(AN311:AN315),"")</f>
        <v>69431</v>
      </c>
      <c r="AO316" s="275">
        <f>IF(ISNUMBER(AO311),SUM(AO311:AO315),"")</f>
        <v>76790</v>
      </c>
      <c r="AP316" s="275">
        <f>IF(ISNUMBER(AP311),SUM(AP311:AP315),"")</f>
        <v>79054</v>
      </c>
      <c r="AQ316" s="275">
        <f>IF(ISNUMBER(AQ311),SUM(AQ311:AQ315),"")</f>
        <v>96334</v>
      </c>
      <c r="AR316" s="275">
        <f>IF(ISNUMBER(AR311),SUM(AR311:AR315),"")</f>
        <v>96334</v>
      </c>
      <c r="AS316" s="275">
        <f>IF(ISNUMBER(AS311),SUM(AS311:AS315),"")</f>
        <v>85985</v>
      </c>
      <c r="AT316" s="275">
        <f>IF(ISNUMBER(AT311),SUM(AT311:AT315),"")</f>
        <v>110908</v>
      </c>
      <c r="AU316" s="275">
        <f>IF(ISNUMBER(AU311),SUM(AU311:AU315),"")</f>
        <v>112969</v>
      </c>
      <c r="AV316" s="275">
        <f>IF(ISNUMBER(AV311),SUM(AV311:AV315),"")</f>
        <v>132733</v>
      </c>
      <c r="AW316" s="275">
        <f>IF(ISNUMBER(AW311),SUM(AW311:AW315),"")</f>
        <v>132733</v>
      </c>
      <c r="AX316" s="275">
        <f>IF(ISNUMBER(AX311),SUM(AX311:AX315),"")</f>
        <v>121408</v>
      </c>
      <c r="AY316" s="275">
        <f>IF(ISNUMBER(AY311),SUM(AY311:AY315),"")</f>
        <v>140848</v>
      </c>
      <c r="AZ316" s="275">
        <f>IF(ISNUMBER(AZ311),SUM(AZ311:AZ315),"")</f>
        <v>138531</v>
      </c>
      <c r="BA316" s="275">
        <f>IF(ISNUMBER(BA311),SUM(BA311:BA315),"")</f>
        <v>161580</v>
      </c>
      <c r="BB316" s="275">
        <f>IF(ISNUMBER(BB311),SUM(BB311:BB315),"")</f>
        <v>161580</v>
      </c>
      <c r="BC316" s="275">
        <f>IF(ISNUMBER(BC311),SUM(BC311:BC315),"")</f>
        <v>133876</v>
      </c>
      <c r="BD316" s="275">
        <f>IF(ISNUMBER(BD311),SUM(BD311:BD315),"")</f>
        <v>133667</v>
      </c>
      <c r="BE316" s="275">
        <f>IF(ISNUMBER(BE311),SUM(BE311:BE315),"")</f>
        <v>131463</v>
      </c>
      <c r="BF316" s="275">
        <f>IF(ISNUMBER(BF311),SUM(BF311:BF315),"")</f>
        <v>146791</v>
      </c>
      <c r="BG316" s="275">
        <f>IF(ISNUMBER(BG311),SUM(BG311:BG315),"")</f>
        <v>146791</v>
      </c>
      <c r="BH316" s="275">
        <f>IF(ISNUMBER(BH311),SUM(BH311:BH315),"")</f>
        <v>136221</v>
      </c>
      <c r="BI316" s="275">
        <f>IF(ISNUMBER(BI311),SUM(BI311:BI315),"")</f>
        <v>140482</v>
      </c>
      <c r="BJ316" s="275">
        <f>IF(ISNUMBER(BJ311),SUM(BJ311:BJ315),"")</f>
        <v>142995</v>
      </c>
      <c r="BK316" s="275">
        <f>IF(ISNUMBER(BK311),SUM(BK311:BK315),"")</f>
        <v>172351</v>
      </c>
      <c r="BL316" s="275">
        <f>IF(ISNUMBER(BL311),SUM(BL311:BL315),"")</f>
        <v>172351</v>
      </c>
      <c r="BM316" s="275">
        <f>IF(ISNUMBER(BM311),SUM(BM311:BM315),"")</f>
        <v>163989</v>
      </c>
      <c r="BN316" s="275">
        <f>IF(ISNUMBER(BN311),SUM(BN311:BN315),"")</f>
        <v>173307</v>
      </c>
      <c r="BO316" s="275">
        <f>IF(ISNUMBER(BO311),SUM(BO311:BO315),"")</f>
        <v>175792</v>
      </c>
      <c r="BP316" s="275">
        <f>IF(ISNUMBER(BP311),SUM(BP311:BP315),"")</f>
        <v>190867</v>
      </c>
      <c r="BQ316" s="275">
        <f>IF(ISNUMBER(BQ311),SUM(BQ311:BQ315),"")</f>
        <v>190867</v>
      </c>
      <c r="BR316" s="275">
        <f>IF(ISNUMBER(BR311),SUM(BR311:BR315),"")</f>
        <v>184645</v>
      </c>
      <c r="BS316" s="275">
        <f>IF(ISNUMBER(BS311),SUM(BS311:BS315),"")</f>
        <v>191420</v>
      </c>
      <c r="BT316" s="275">
        <f>IF(ISNUMBER(BT311),SUM(BT311:BT315),"")</f>
        <v>196866</v>
      </c>
      <c r="BU316" s="275">
        <f>IF(ISNUMBER(BU311),SUM(BU311:BU315),"")</f>
        <v>229083</v>
      </c>
      <c r="BV316" s="275">
        <f>IF(ISNUMBER(BV311),SUM(BV311:BV315),"")</f>
        <v>229083</v>
      </c>
      <c r="BW316" s="275">
        <f>IF(ISNUMBER(BW311),SUM(BW311:BW315),"")</f>
        <v>255155</v>
      </c>
      <c r="BX316" s="275">
        <f>IF(ISNUMBER(BX311),SUM(BX311:BX315),"")</f>
        <v>249264</v>
      </c>
      <c r="BY316" s="32" t="n"/>
      <c r="BZ316" s="32" t="n"/>
      <c r="CA316" s="265">
        <f>IF(ISNUMBER(CA311),SUM(CA311:CA315),"")</f>
        <v>271013.70803063</v>
      </c>
      <c r="CB316" s="265">
        <f>IF(ISNUMBER(CB311),SUM(CB311:CB315),"")</f>
        <v>298350.705000509</v>
      </c>
      <c r="CC316" s="265">
        <f>IF(ISNUMBER(CC311),SUM(CC311:CC315),"")</f>
        <v>315132.008341543</v>
      </c>
      <c r="CD316" s="265">
        <f>IF(ISNUMBER(CD311),SUM(CD311:CD315),"")</f>
        <v>332617.522583733</v>
      </c>
      <c r="CE316" s="265">
        <f>IF(ISNUMBER(CE311),SUM(CE311:CE315),"")</f>
        <v>350178.318428135</v>
      </c>
      <c r="CF316" s="153" t="n"/>
    </row>
    <row r="317" ht="15" customHeight="1" s="251">
      <c r="B317" s="25" t="inlineStr">
        <is>
          <t xml:space="preserve">  Property and equipment, net (incl. finance-lease assets)</t>
        </is>
      </c>
      <c r="C317" s="253" t="n">
        <v>457</v>
      </c>
      <c r="D317" s="253" t="n">
        <v>543</v>
      </c>
      <c r="E317" s="253" t="n">
        <v>854</v>
      </c>
      <c r="F317" s="253" t="n">
        <v>1290</v>
      </c>
      <c r="G317" s="253" t="n">
        <v>2414</v>
      </c>
      <c r="H317" s="253" t="n">
        <v>4417</v>
      </c>
      <c r="I317" s="253" t="n">
        <v>7060</v>
      </c>
      <c r="J317" s="253" t="n">
        <v>7674</v>
      </c>
      <c r="K317" s="253" t="n">
        <v>8789</v>
      </c>
      <c r="L317" s="253" t="n">
        <v>9991</v>
      </c>
      <c r="M317" s="253" t="n">
        <v>10949</v>
      </c>
      <c r="N317" s="253" t="n">
        <v>10949</v>
      </c>
      <c r="O317" s="253" t="n">
        <v>12267</v>
      </c>
      <c r="P317" s="253" t="n">
        <v>14089</v>
      </c>
      <c r="Q317" s="253" t="n">
        <v>15702</v>
      </c>
      <c r="R317" s="253" t="n">
        <v>16967</v>
      </c>
      <c r="S317" s="253" t="n">
        <v>16967</v>
      </c>
      <c r="T317" s="253" t="n">
        <v>17736</v>
      </c>
      <c r="U317" s="253" t="n">
        <v>19479</v>
      </c>
      <c r="V317" s="253" t="n">
        <v>20636</v>
      </c>
      <c r="W317" s="253" t="n">
        <v>21838</v>
      </c>
      <c r="X317" s="253" t="n">
        <v>21838</v>
      </c>
      <c r="Y317" s="253" t="n">
        <v>23308</v>
      </c>
      <c r="Z317" s="253" t="n">
        <v>25190</v>
      </c>
      <c r="AA317" s="253" t="n">
        <v>27177</v>
      </c>
      <c r="AB317" s="253" t="n">
        <v>29114</v>
      </c>
      <c r="AC317" s="253" t="n">
        <v>29114</v>
      </c>
      <c r="AD317" s="253" t="n">
        <v>32632</v>
      </c>
      <c r="AE317" s="253" t="n">
        <v>37083</v>
      </c>
      <c r="AF317" s="253" t="n">
        <v>45335</v>
      </c>
      <c r="AG317" s="253" t="n">
        <v>48866</v>
      </c>
      <c r="AH317" s="253" t="n">
        <v>48866</v>
      </c>
      <c r="AI317" s="253" t="n">
        <v>52331</v>
      </c>
      <c r="AJ317" s="253" t="n">
        <v>54768</v>
      </c>
      <c r="AK317" s="253" t="n">
        <v>58019</v>
      </c>
      <c r="AL317" s="253" t="n">
        <v>61797</v>
      </c>
      <c r="AM317" s="253" t="n">
        <v>61797</v>
      </c>
      <c r="AN317" s="253" t="n">
        <v>61048</v>
      </c>
      <c r="AO317" s="253" t="n">
        <v>64723</v>
      </c>
      <c r="AP317" s="253" t="n">
        <v>67662</v>
      </c>
      <c r="AQ317" s="253" t="n">
        <v>72705</v>
      </c>
      <c r="AR317" s="253" t="n">
        <v>72705</v>
      </c>
      <c r="AS317" s="253" t="n">
        <v>77779</v>
      </c>
      <c r="AT317" s="253" t="n">
        <v>86517</v>
      </c>
      <c r="AU317" s="253" t="n">
        <v>99981</v>
      </c>
      <c r="AV317" s="253" t="n">
        <v>113114</v>
      </c>
      <c r="AW317" s="253" t="n">
        <v>113114</v>
      </c>
      <c r="AX317" s="253" t="n">
        <v>121461</v>
      </c>
      <c r="AY317" s="253" t="n">
        <v>133502</v>
      </c>
      <c r="AZ317" s="253" t="n">
        <v>147152</v>
      </c>
      <c r="BA317" s="253" t="n">
        <v>160281</v>
      </c>
      <c r="BB317" s="253" t="n">
        <v>160281</v>
      </c>
      <c r="BC317" s="253" t="n">
        <v>168468</v>
      </c>
      <c r="BD317" s="253" t="n">
        <v>173706</v>
      </c>
      <c r="BE317" s="253" t="n">
        <v>177195</v>
      </c>
      <c r="BF317" s="253" t="n">
        <v>186715</v>
      </c>
      <c r="BG317" s="253" t="n">
        <v>186715</v>
      </c>
      <c r="BH317" s="253" t="n">
        <v>190754</v>
      </c>
      <c r="BI317" s="253" t="n">
        <v>193784</v>
      </c>
      <c r="BJ317" s="253" t="n">
        <v>196468</v>
      </c>
      <c r="BK317" s="253" t="n">
        <v>204177</v>
      </c>
      <c r="BL317" s="253" t="n">
        <v>204177</v>
      </c>
      <c r="BM317" s="253" t="n">
        <v>209950</v>
      </c>
      <c r="BN317" s="253" t="n">
        <v>220717</v>
      </c>
      <c r="BO317" s="253" t="n">
        <v>237917</v>
      </c>
      <c r="BP317" s="253" t="n">
        <v>252665</v>
      </c>
      <c r="BQ317" s="253" t="n">
        <v>252665</v>
      </c>
      <c r="BR317" s="253" t="n">
        <v>272781</v>
      </c>
      <c r="BS317" s="253" t="n">
        <v>297616</v>
      </c>
      <c r="BT317" s="253" t="n">
        <v>324435</v>
      </c>
      <c r="BU317" s="253" t="n">
        <v>357025</v>
      </c>
      <c r="BV317" s="253" t="n">
        <v>357025</v>
      </c>
      <c r="BW317" s="253" t="n">
        <v>397458</v>
      </c>
      <c r="BX317" s="253" t="n">
        <v>446046</v>
      </c>
      <c r="BY317" s="35" t="n"/>
      <c r="BZ317" s="35" t="n"/>
      <c r="CA317" s="254">
        <f>BX317-(CA258-SUM(BW258:BX258))-(CA259-SUM(BW259:BX259))+(CA364-SUM(BW364:BX364))-(BY127+BZ127)</f>
        <v>521354.188935873</v>
      </c>
      <c r="CB317" s="254">
        <f>CA317-CB258-CB259+CB364-CB127</f>
        <v>652175.937891365</v>
      </c>
      <c r="CC317" s="254">
        <f>CB317-CC258-CC259+CC364-CC127</f>
        <v>772161.184866661</v>
      </c>
      <c r="CD317" s="254">
        <f>CC317-CD258-CD259+CD364-CD127</f>
        <v>878851.027064352</v>
      </c>
      <c r="CE317" s="254">
        <f>CD317-CE258-CE259+CE364-CE127</f>
        <v>969659.774816459</v>
      </c>
      <c r="CF317" s="19" t="inlineStr">
        <is>
          <t>Roll-forward: prior + gross capex − proceeds + finance-lease additions (non-cash) − P&amp;E depreciation.</t>
        </is>
      </c>
    </row>
    <row r="318" ht="15" customHeight="1" s="251">
      <c r="B318" s="25" t="inlineStr">
        <is>
          <t xml:space="preserve">  Operating leases (right-of-use assets; from 2019)</t>
        </is>
      </c>
      <c r="C318" s="253" t="n">
        <v>0</v>
      </c>
      <c r="D318" s="253" t="n">
        <v>0</v>
      </c>
      <c r="E318" s="253" t="n">
        <v>0</v>
      </c>
      <c r="F318" s="253" t="n">
        <v>0</v>
      </c>
      <c r="G318" s="253" t="n">
        <v>0</v>
      </c>
      <c r="H318" s="253" t="n">
        <v>0</v>
      </c>
      <c r="I318" s="253" t="n">
        <v>0</v>
      </c>
      <c r="J318" s="253" t="n">
        <v>0</v>
      </c>
      <c r="K318" s="253" t="n">
        <v>0</v>
      </c>
      <c r="L318" s="253" t="n">
        <v>0</v>
      </c>
      <c r="M318" s="253" t="n">
        <v>0</v>
      </c>
      <c r="N318" s="253" t="n">
        <v>0</v>
      </c>
      <c r="O318" s="253" t="n">
        <v>0</v>
      </c>
      <c r="P318" s="253" t="n">
        <v>0</v>
      </c>
      <c r="Q318" s="253" t="n">
        <v>0</v>
      </c>
      <c r="R318" s="253" t="n">
        <v>0</v>
      </c>
      <c r="S318" s="253" t="n">
        <v>0</v>
      </c>
      <c r="T318" s="253" t="n">
        <v>0</v>
      </c>
      <c r="U318" s="253" t="n">
        <v>0</v>
      </c>
      <c r="V318" s="253" t="n">
        <v>0</v>
      </c>
      <c r="W318" s="253" t="n">
        <v>0</v>
      </c>
      <c r="X318" s="253" t="n">
        <v>0</v>
      </c>
      <c r="Y318" s="253" t="n">
        <v>0</v>
      </c>
      <c r="Z318" s="253" t="n">
        <v>0</v>
      </c>
      <c r="AA318" s="253" t="n">
        <v>0</v>
      </c>
      <c r="AB318" s="253" t="n">
        <v>0</v>
      </c>
      <c r="AC318" s="253" t="n">
        <v>0</v>
      </c>
      <c r="AD318" s="253" t="n">
        <v>0</v>
      </c>
      <c r="AE318" s="253" t="n">
        <v>0</v>
      </c>
      <c r="AF318" s="253" t="n">
        <v>0</v>
      </c>
      <c r="AG318" s="253" t="n">
        <v>0</v>
      </c>
      <c r="AH318" s="253" t="n">
        <v>0</v>
      </c>
      <c r="AI318" s="253" t="n">
        <v>0</v>
      </c>
      <c r="AJ318" s="253" t="n">
        <v>0</v>
      </c>
      <c r="AK318" s="253" t="n">
        <v>0</v>
      </c>
      <c r="AL318" s="253" t="n">
        <v>0</v>
      </c>
      <c r="AM318" s="253" t="n">
        <v>0</v>
      </c>
      <c r="AN318" s="253" t="n">
        <v>20132</v>
      </c>
      <c r="AO318" s="253" t="n">
        <v>21649</v>
      </c>
      <c r="AP318" s="253" t="n">
        <v>23114</v>
      </c>
      <c r="AQ318" s="253" t="n">
        <v>25141</v>
      </c>
      <c r="AR318" s="253" t="n">
        <v>25141</v>
      </c>
      <c r="AS318" s="253" t="n">
        <v>26279</v>
      </c>
      <c r="AT318" s="253" t="n">
        <v>28537</v>
      </c>
      <c r="AU318" s="253" t="n">
        <v>34119</v>
      </c>
      <c r="AV318" s="253" t="n">
        <v>37553</v>
      </c>
      <c r="AW318" s="253" t="n">
        <v>37553</v>
      </c>
      <c r="AX318" s="253" t="n">
        <v>39328</v>
      </c>
      <c r="AY318" s="253" t="n">
        <v>43346</v>
      </c>
      <c r="AZ318" s="253" t="n">
        <v>52151</v>
      </c>
      <c r="BA318" s="253" t="n">
        <v>56082</v>
      </c>
      <c r="BB318" s="253" t="n">
        <v>56082</v>
      </c>
      <c r="BC318" s="253" t="n">
        <v>56161</v>
      </c>
      <c r="BD318" s="253" t="n">
        <v>58430</v>
      </c>
      <c r="BE318" s="253" t="n">
        <v>62033</v>
      </c>
      <c r="BF318" s="253" t="n">
        <v>66123</v>
      </c>
      <c r="BG318" s="253" t="n">
        <v>66123</v>
      </c>
      <c r="BH318" s="253" t="n">
        <v>68262</v>
      </c>
      <c r="BI318" s="253" t="n">
        <v>70332</v>
      </c>
      <c r="BJ318" s="253" t="n">
        <v>70758</v>
      </c>
      <c r="BK318" s="253" t="n">
        <v>72513</v>
      </c>
      <c r="BL318" s="253" t="n">
        <v>72513</v>
      </c>
      <c r="BM318" s="253" t="n">
        <v>73313</v>
      </c>
      <c r="BN318" s="253" t="n">
        <v>74575</v>
      </c>
      <c r="BO318" s="253" t="n">
        <v>76527</v>
      </c>
      <c r="BP318" s="253" t="n">
        <v>76141</v>
      </c>
      <c r="BQ318" s="253" t="n">
        <v>76141</v>
      </c>
      <c r="BR318" s="253" t="n">
        <v>78495</v>
      </c>
      <c r="BS318" s="253" t="n">
        <v>82125</v>
      </c>
      <c r="BT318" s="253" t="n">
        <v>83456</v>
      </c>
      <c r="BU318" s="253" t="n">
        <v>86054</v>
      </c>
      <c r="BV318" s="253" t="n">
        <v>86054</v>
      </c>
      <c r="BW318" s="253" t="n">
        <v>88741</v>
      </c>
      <c r="BX318" s="253" t="n">
        <v>92743</v>
      </c>
      <c r="BY318" s="35" t="n"/>
      <c r="BZ318" s="35" t="n"/>
      <c r="CA318" s="254">
        <f>BX318</f>
        <v>92743</v>
      </c>
      <c r="CB318" s="254">
        <f>CA318</f>
        <v>92743</v>
      </c>
      <c r="CC318" s="254">
        <f>CB318</f>
        <v>92743</v>
      </c>
      <c r="CD318" s="254">
        <f>CC318</f>
        <v>92743</v>
      </c>
      <c r="CE318" s="254">
        <f>CD318</f>
        <v>92743</v>
      </c>
      <c r="CF318" s="19" t="inlineStr">
        <is>
          <t>Held flat (new leases ≈ amortization; see the cash-flow offset line).</t>
        </is>
      </c>
    </row>
    <row r="319" ht="15" customHeight="1" s="251">
      <c r="B319" s="25" t="inlineStr">
        <is>
          <t xml:space="preserve">  Goodwill</t>
        </is>
      </c>
      <c r="C319" s="253" t="n">
        <v>195</v>
      </c>
      <c r="D319" s="253" t="n">
        <v>222</v>
      </c>
      <c r="E319" s="253" t="n">
        <v>438</v>
      </c>
      <c r="F319" s="253" t="n">
        <v>1234</v>
      </c>
      <c r="G319" s="253" t="n">
        <v>1349</v>
      </c>
      <c r="H319" s="253" t="n">
        <v>1955</v>
      </c>
      <c r="I319" s="253" t="n">
        <v>2552</v>
      </c>
      <c r="J319" s="253" t="n">
        <v>2535</v>
      </c>
      <c r="K319" s="253" t="n">
        <v>2614</v>
      </c>
      <c r="L319" s="253" t="n">
        <v>2635</v>
      </c>
      <c r="M319" s="253" t="n">
        <v>2655</v>
      </c>
      <c r="N319" s="253" t="n">
        <v>2655</v>
      </c>
      <c r="O319" s="253" t="n">
        <v>2653</v>
      </c>
      <c r="P319" s="253" t="n">
        <v>2677</v>
      </c>
      <c r="Q319" s="253" t="n">
        <v>3332</v>
      </c>
      <c r="R319" s="253" t="n">
        <v>3319</v>
      </c>
      <c r="S319" s="253" t="n">
        <v>3319</v>
      </c>
      <c r="T319" s="253" t="n">
        <v>3491</v>
      </c>
      <c r="U319" s="253" t="n">
        <v>3523</v>
      </c>
      <c r="V319" s="253" t="n">
        <v>3529</v>
      </c>
      <c r="W319" s="253" t="n">
        <v>3759</v>
      </c>
      <c r="X319" s="253" t="n">
        <v>3759</v>
      </c>
      <c r="Y319" s="253" t="n">
        <v>3785</v>
      </c>
      <c r="Z319" s="253" t="n">
        <v>3774</v>
      </c>
      <c r="AA319" s="253" t="n">
        <v>3815</v>
      </c>
      <c r="AB319" s="253" t="n">
        <v>3784</v>
      </c>
      <c r="AC319" s="253" t="n">
        <v>3784</v>
      </c>
      <c r="AD319" s="253" t="n">
        <v>3823</v>
      </c>
      <c r="AE319" s="253" t="n">
        <v>4254</v>
      </c>
      <c r="AF319" s="253" t="n">
        <v>13271</v>
      </c>
      <c r="AG319" s="253" t="n">
        <v>13350</v>
      </c>
      <c r="AH319" s="253" t="n">
        <v>13350</v>
      </c>
      <c r="AI319" s="253" t="n">
        <v>13388</v>
      </c>
      <c r="AJ319" s="253" t="n">
        <v>13944</v>
      </c>
      <c r="AK319" s="253" t="n">
        <v>14553</v>
      </c>
      <c r="AL319" s="253" t="n">
        <v>14548</v>
      </c>
      <c r="AM319" s="253" t="n">
        <v>14548</v>
      </c>
      <c r="AN319" s="253" t="n">
        <v>14708</v>
      </c>
      <c r="AO319" s="253" t="n">
        <v>14727</v>
      </c>
      <c r="AP319" s="253" t="n">
        <v>14734</v>
      </c>
      <c r="AQ319" s="253" t="n">
        <v>14754</v>
      </c>
      <c r="AR319" s="253" t="n">
        <v>14754</v>
      </c>
      <c r="AS319" s="253" t="n">
        <v>14739</v>
      </c>
      <c r="AT319" s="253" t="n">
        <v>14751</v>
      </c>
      <c r="AU319" s="253" t="n">
        <v>14960</v>
      </c>
      <c r="AV319" s="253" t="n">
        <v>15017</v>
      </c>
      <c r="AW319" s="253" t="n">
        <v>15017</v>
      </c>
      <c r="AX319" s="253" t="n">
        <v>15220</v>
      </c>
      <c r="AY319" s="253" t="n">
        <v>15350</v>
      </c>
      <c r="AZ319" s="253" t="n">
        <v>15345</v>
      </c>
      <c r="BA319" s="253" t="n">
        <v>15371</v>
      </c>
      <c r="BB319" s="253" t="n">
        <v>15371</v>
      </c>
      <c r="BC319" s="253" t="n">
        <v>20229</v>
      </c>
      <c r="BD319" s="253" t="n">
        <v>20195</v>
      </c>
      <c r="BE319" s="253" t="n">
        <v>20168</v>
      </c>
      <c r="BF319" s="253" t="n">
        <v>20288</v>
      </c>
      <c r="BG319" s="253" t="n">
        <v>20288</v>
      </c>
      <c r="BH319" s="253" t="n">
        <v>22749</v>
      </c>
      <c r="BI319" s="253" t="n">
        <v>22785</v>
      </c>
      <c r="BJ319" s="253" t="n">
        <v>22749</v>
      </c>
      <c r="BK319" s="253" t="n">
        <v>22789</v>
      </c>
      <c r="BL319" s="253" t="n">
        <v>22789</v>
      </c>
      <c r="BM319" s="253" t="n">
        <v>22770</v>
      </c>
      <c r="BN319" s="253" t="n">
        <v>22879</v>
      </c>
      <c r="BO319" s="253" t="n">
        <v>23081</v>
      </c>
      <c r="BP319" s="253" t="n">
        <v>23074</v>
      </c>
      <c r="BQ319" s="253" t="n">
        <v>23074</v>
      </c>
      <c r="BR319" s="253" t="n">
        <v>23089</v>
      </c>
      <c r="BS319" s="253" t="n">
        <v>23155</v>
      </c>
      <c r="BT319" s="253" t="n">
        <v>23260</v>
      </c>
      <c r="BU319" s="253" t="n">
        <v>23273</v>
      </c>
      <c r="BV319" s="253" t="n">
        <v>23273</v>
      </c>
      <c r="BW319" s="253" t="n">
        <v>23449</v>
      </c>
      <c r="BX319" s="253" t="n">
        <v>23504</v>
      </c>
      <c r="BY319" s="35" t="n"/>
      <c r="BZ319" s="35" t="n"/>
      <c r="CA319" s="254">
        <f>BX319</f>
        <v>23504</v>
      </c>
      <c r="CB319" s="254">
        <f>CA319+CB90*CB91*(1-CB99)</f>
        <v>25254</v>
      </c>
      <c r="CC319" s="254">
        <f>CB319+CC90*CC91*(1-CC99)</f>
        <v>27004</v>
      </c>
      <c r="CD319" s="254">
        <f>CC319+CD90*CD91*(1-CD99)</f>
        <v>28754</v>
      </c>
      <c r="CE319" s="254">
        <f>CD319+CE90*CE91*(1-CE99)</f>
        <v>30504</v>
      </c>
      <c r="CF319" s="19" t="n"/>
    </row>
    <row r="320" ht="15" customHeight="1" s="251">
      <c r="B320" s="25" t="inlineStr">
        <is>
          <t xml:space="preserve">  Other assets (non-marketable investments incl. Anthropic, video &amp; music content, intangibles, deferred tax; derived)</t>
        </is>
      </c>
      <c r="C320" s="253" t="n">
        <v>338</v>
      </c>
      <c r="D320" s="253" t="n">
        <v>556</v>
      </c>
      <c r="E320" s="253" t="n">
        <v>865</v>
      </c>
      <c r="F320" s="253" t="n">
        <v>1492</v>
      </c>
      <c r="G320" s="253" t="n">
        <v>1287</v>
      </c>
      <c r="H320" s="253" t="n">
        <v>1416</v>
      </c>
      <c r="I320" s="253" t="n">
        <v>1647</v>
      </c>
      <c r="J320" s="253" t="n">
        <v>1855</v>
      </c>
      <c r="K320" s="253" t="n">
        <v>1935</v>
      </c>
      <c r="L320" s="253" t="n">
        <v>1901</v>
      </c>
      <c r="M320" s="253" t="n">
        <v>1930</v>
      </c>
      <c r="N320" s="253" t="n">
        <v>1930</v>
      </c>
      <c r="O320" s="253" t="n">
        <v>2117</v>
      </c>
      <c r="P320" s="253" t="n">
        <v>2377</v>
      </c>
      <c r="Q320" s="253" t="n">
        <v>2813</v>
      </c>
      <c r="R320" s="253" t="n">
        <v>2892</v>
      </c>
      <c r="S320" s="253" t="n">
        <v>2892</v>
      </c>
      <c r="T320" s="253" t="n">
        <v>2926</v>
      </c>
      <c r="U320" s="253" t="n">
        <v>3047</v>
      </c>
      <c r="V320" s="253" t="n">
        <v>3216</v>
      </c>
      <c r="W320" s="253" t="n">
        <v>3373</v>
      </c>
      <c r="X320" s="253" t="n">
        <v>3373</v>
      </c>
      <c r="Y320" s="253" t="n">
        <v>3522</v>
      </c>
      <c r="Z320" s="253" t="n">
        <v>3892</v>
      </c>
      <c r="AA320" s="253" t="n">
        <v>4296</v>
      </c>
      <c r="AB320" s="253" t="n">
        <v>4723</v>
      </c>
      <c r="AC320" s="253" t="n">
        <v>4723</v>
      </c>
      <c r="AD320" s="253" t="n">
        <v>5054</v>
      </c>
      <c r="AE320" s="253" t="n">
        <v>5437</v>
      </c>
      <c r="AF320" s="253" t="n">
        <v>8083</v>
      </c>
      <c r="AG320" s="253" t="n">
        <v>8897</v>
      </c>
      <c r="AH320" s="253" t="n">
        <v>8897</v>
      </c>
      <c r="AI320" s="253" t="n">
        <v>9814</v>
      </c>
      <c r="AJ320" s="253" t="n">
        <v>10907</v>
      </c>
      <c r="AK320" s="253" t="n">
        <v>11238</v>
      </c>
      <c r="AL320" s="253" t="n">
        <v>11202</v>
      </c>
      <c r="AM320" s="253" t="n">
        <v>11202</v>
      </c>
      <c r="AN320" s="253" t="n">
        <v>12783</v>
      </c>
      <c r="AO320" s="253" t="n">
        <v>13462</v>
      </c>
      <c r="AP320" s="253" t="n">
        <v>14535</v>
      </c>
      <c r="AQ320" s="253" t="n">
        <v>16314</v>
      </c>
      <c r="AR320" s="253" t="n">
        <v>16314</v>
      </c>
      <c r="AS320" s="253" t="n">
        <v>16456</v>
      </c>
      <c r="AT320" s="253" t="n">
        <v>17601</v>
      </c>
      <c r="AU320" s="253" t="n">
        <v>20150</v>
      </c>
      <c r="AV320" s="253" t="n">
        <v>22778</v>
      </c>
      <c r="AW320" s="253" t="n">
        <v>22778</v>
      </c>
      <c r="AX320" s="253" t="n">
        <v>25660</v>
      </c>
      <c r="AY320" s="253" t="n">
        <v>27273</v>
      </c>
      <c r="AZ320" s="253" t="n">
        <v>29227</v>
      </c>
      <c r="BA320" s="253" t="n">
        <v>27235</v>
      </c>
      <c r="BB320" s="253" t="n">
        <v>27235</v>
      </c>
      <c r="BC320" s="253" t="n">
        <v>32033</v>
      </c>
      <c r="BD320" s="253" t="n">
        <v>33730</v>
      </c>
      <c r="BE320" s="253" t="n">
        <v>37503</v>
      </c>
      <c r="BF320" s="253" t="n">
        <v>42758</v>
      </c>
      <c r="BG320" s="253" t="n">
        <v>42758</v>
      </c>
      <c r="BH320" s="253" t="n">
        <v>46392</v>
      </c>
      <c r="BI320" s="253" t="n">
        <v>50224</v>
      </c>
      <c r="BJ320" s="253" t="n">
        <v>53913</v>
      </c>
      <c r="BK320" s="253" t="n">
        <v>56024</v>
      </c>
      <c r="BL320" s="253" t="n">
        <v>56024</v>
      </c>
      <c r="BM320" s="253" t="n">
        <v>60947</v>
      </c>
      <c r="BN320" s="253" t="n">
        <v>63340</v>
      </c>
      <c r="BO320" s="253" t="n">
        <v>71309</v>
      </c>
      <c r="BP320" s="253" t="n">
        <v>82147</v>
      </c>
      <c r="BQ320" s="253" t="n">
        <v>82147</v>
      </c>
      <c r="BR320" s="253" t="n">
        <v>84246</v>
      </c>
      <c r="BS320" s="253" t="n">
        <v>87854</v>
      </c>
      <c r="BT320" s="253" t="n">
        <v>99904</v>
      </c>
      <c r="BU320" s="253" t="n">
        <v>122607</v>
      </c>
      <c r="BV320" s="253" t="n">
        <v>122607</v>
      </c>
      <c r="BW320" s="253" t="n">
        <v>151827</v>
      </c>
      <c r="BX320" s="253" t="n">
        <v>284132</v>
      </c>
      <c r="BY320" s="35" t="n"/>
      <c r="BZ320" s="35" t="n"/>
      <c r="CA320" s="254">
        <f>BX320</f>
        <v>284132</v>
      </c>
      <c r="CB320" s="254">
        <f>CA320+CB90*(1-CB91)+CB90*CB91*CB99</f>
        <v>287382</v>
      </c>
      <c r="CC320" s="254">
        <f>CB320+CC90*(1-CC91)+CC90*CC91*CC99</f>
        <v>290632</v>
      </c>
      <c r="CD320" s="254">
        <f>CC320+CD90*(1-CD91)+CD90*CD91*CD99</f>
        <v>293882</v>
      </c>
      <c r="CE320" s="254">
        <f>CD320+CE90*(1-CE91)+CE90*CE91*CE99</f>
        <v>297132</v>
      </c>
      <c r="CF320" s="19" t="inlineStr">
        <is>
          <t>Held flat apart from strategic investments and acquired intangibles (M&amp;A lever); their amortization is inside other D&amp;A.</t>
        </is>
      </c>
    </row>
    <row r="321" ht="15" customHeight="1" s="251">
      <c r="B321" s="55" t="inlineStr">
        <is>
          <t>TOTAL ASSETS</t>
        </is>
      </c>
      <c r="C321" s="262">
        <f>IF(ISNUMBER(C311),C316+SUM(C317:C320),"")</f>
        <v>4363</v>
      </c>
      <c r="D321" s="262">
        <f>IF(ISNUMBER(D311),D316+SUM(D317:D320),"")</f>
        <v>6485</v>
      </c>
      <c r="E321" s="262">
        <f>IF(ISNUMBER(E311),E316+SUM(E317:E320),"")</f>
        <v>8314</v>
      </c>
      <c r="F321" s="262">
        <f>IF(ISNUMBER(F311),F316+SUM(F317:F320),"")</f>
        <v>13813</v>
      </c>
      <c r="G321" s="262">
        <f>IF(ISNUMBER(G311),G316+SUM(G317:G320),"")</f>
        <v>18797</v>
      </c>
      <c r="H321" s="262">
        <f>IF(ISNUMBER(H311),H316+SUM(H317:H320),"")</f>
        <v>25278</v>
      </c>
      <c r="I321" s="262">
        <f>IF(ISNUMBER(I311),I316+SUM(I317:I320),"")</f>
        <v>32555</v>
      </c>
      <c r="J321" s="262">
        <f>IF(ISNUMBER(J311),J316+SUM(J317:J320),"")</f>
        <v>28377</v>
      </c>
      <c r="K321" s="262">
        <f>IF(ISNUMBER(K311),K316+SUM(K317:K320),"")</f>
        <v>29623</v>
      </c>
      <c r="L321" s="262">
        <f>IF(ISNUMBER(L311),L316+SUM(L317:L320),"")</f>
        <v>31861</v>
      </c>
      <c r="M321" s="262">
        <f>IF(ISNUMBER(M311),M316+SUM(M317:M320),"")</f>
        <v>40159</v>
      </c>
      <c r="N321" s="262">
        <f>IF(ISNUMBER(N311),N316+SUM(N317:N320),"")</f>
        <v>40159</v>
      </c>
      <c r="O321" s="262">
        <f>IF(ISNUMBER(O311),O316+SUM(O317:O320),"")</f>
        <v>36364</v>
      </c>
      <c r="P321" s="262">
        <f>IF(ISNUMBER(P311),P316+SUM(P317:P320),"")</f>
        <v>37898</v>
      </c>
      <c r="Q321" s="262">
        <f>IF(ISNUMBER(Q311),Q316+SUM(Q317:Q320),"")</f>
        <v>40419</v>
      </c>
      <c r="R321" s="262">
        <f>IF(ISNUMBER(R311),R316+SUM(R317:R320),"")</f>
        <v>54505</v>
      </c>
      <c r="S321" s="262">
        <f>IF(ISNUMBER(S311),S316+SUM(S317:S320),"")</f>
        <v>54505</v>
      </c>
      <c r="T321" s="262">
        <f>IF(ISNUMBER(T311),T316+SUM(T317:T320),"")</f>
        <v>50075</v>
      </c>
      <c r="U321" s="262">
        <f>IF(ISNUMBER(U311),U316+SUM(U317:U320),"")</f>
        <v>52440</v>
      </c>
      <c r="V321" s="262">
        <f>IF(ISNUMBER(V311),V316+SUM(V317:V320),"")</f>
        <v>56230</v>
      </c>
      <c r="W321" s="262">
        <f>IF(ISNUMBER(W311),W316+SUM(W317:W320),"")</f>
        <v>65444</v>
      </c>
      <c r="X321" s="262">
        <f>IF(ISNUMBER(X311),X316+SUM(X317:X320),"")</f>
        <v>65444</v>
      </c>
      <c r="Y321" s="262">
        <f>IF(ISNUMBER(Y311),Y316+SUM(Y317:Y320),"")</f>
        <v>61128</v>
      </c>
      <c r="Z321" s="262">
        <f>IF(ISNUMBER(Z311),Z316+SUM(Z317:Z320),"")</f>
        <v>65076</v>
      </c>
      <c r="AA321" s="262">
        <f>IF(ISNUMBER(AA311),AA316+SUM(AA317:AA320),"")</f>
        <v>70897</v>
      </c>
      <c r="AB321" s="262">
        <f>IF(ISNUMBER(AB311),AB316+SUM(AB317:AB320),"")</f>
        <v>83402</v>
      </c>
      <c r="AC321" s="262">
        <f>IF(ISNUMBER(AC311),AC316+SUM(AC317:AC320),"")</f>
        <v>83402</v>
      </c>
      <c r="AD321" s="262">
        <f>IF(ISNUMBER(AD311),AD316+SUM(AD317:AD320),"")</f>
        <v>80969</v>
      </c>
      <c r="AE321" s="262">
        <f>IF(ISNUMBER(AE311),AE316+SUM(AE317:AE320),"")</f>
        <v>87781</v>
      </c>
      <c r="AF321" s="262">
        <f>IF(ISNUMBER(AF311),AF316+SUM(AF317:AF320),"")</f>
        <v>115267</v>
      </c>
      <c r="AG321" s="262">
        <f>IF(ISNUMBER(AG311),AG316+SUM(AG317:AG320),"")</f>
        <v>131310</v>
      </c>
      <c r="AH321" s="262">
        <f>IF(ISNUMBER(AH311),AH316+SUM(AH317:AH320),"")</f>
        <v>131310</v>
      </c>
      <c r="AI321" s="262">
        <f>IF(ISNUMBER(AI311),AI316+SUM(AI317:AI320),"")</f>
        <v>126362</v>
      </c>
      <c r="AJ321" s="262">
        <f>IF(ISNUMBER(AJ311),AJ316+SUM(AJ317:AJ320),"")</f>
        <v>134100</v>
      </c>
      <c r="AK321" s="262">
        <f>IF(ISNUMBER(AK311),AK316+SUM(AK317:AK320),"")</f>
        <v>143695</v>
      </c>
      <c r="AL321" s="262">
        <f>IF(ISNUMBER(AL311),AL316+SUM(AL317:AL320),"")</f>
        <v>162648</v>
      </c>
      <c r="AM321" s="262">
        <f>IF(ISNUMBER(AM311),AM316+SUM(AM317:AM320),"")</f>
        <v>162648</v>
      </c>
      <c r="AN321" s="262">
        <f>IF(ISNUMBER(AN311),AN316+SUM(AN317:AN320),"")</f>
        <v>178102</v>
      </c>
      <c r="AO321" s="262">
        <f>IF(ISNUMBER(AO311),AO316+SUM(AO317:AO320),"")</f>
        <v>191351</v>
      </c>
      <c r="AP321" s="262">
        <f>IF(ISNUMBER(AP311),AP316+SUM(AP317:AP320),"")</f>
        <v>199099</v>
      </c>
      <c r="AQ321" s="262">
        <f>IF(ISNUMBER(AQ311),AQ316+SUM(AQ317:AQ320),"")</f>
        <v>225248</v>
      </c>
      <c r="AR321" s="262">
        <f>IF(ISNUMBER(AR311),AR316+SUM(AR317:AR320),"")</f>
        <v>225248</v>
      </c>
      <c r="AS321" s="262">
        <f>IF(ISNUMBER(AS311),AS316+SUM(AS317:AS320),"")</f>
        <v>221238</v>
      </c>
      <c r="AT321" s="262">
        <f>IF(ISNUMBER(AT311),AT316+SUM(AT317:AT320),"")</f>
        <v>258314</v>
      </c>
      <c r="AU321" s="262">
        <f>IF(ISNUMBER(AU311),AU316+SUM(AU317:AU320),"")</f>
        <v>282179</v>
      </c>
      <c r="AV321" s="262">
        <f>IF(ISNUMBER(AV311),AV316+SUM(AV317:AV320),"")</f>
        <v>321195</v>
      </c>
      <c r="AW321" s="262">
        <f>IF(ISNUMBER(AW311),AW316+SUM(AW317:AW320),"")</f>
        <v>321195</v>
      </c>
      <c r="AX321" s="262">
        <f>IF(ISNUMBER(AX311),AX316+SUM(AX317:AX320),"")</f>
        <v>323077</v>
      </c>
      <c r="AY321" s="262">
        <f>IF(ISNUMBER(AY311),AY316+SUM(AY317:AY320),"")</f>
        <v>360319</v>
      </c>
      <c r="AZ321" s="262">
        <f>IF(ISNUMBER(AZ311),AZ316+SUM(AZ317:AZ320),"")</f>
        <v>382406</v>
      </c>
      <c r="BA321" s="262">
        <f>IF(ISNUMBER(BA311),BA316+SUM(BA317:BA320),"")</f>
        <v>420549</v>
      </c>
      <c r="BB321" s="262">
        <f>IF(ISNUMBER(BB311),BB316+SUM(BB317:BB320),"")</f>
        <v>420549</v>
      </c>
      <c r="BC321" s="262">
        <f>IF(ISNUMBER(BC311),BC316+SUM(BC317:BC320),"")</f>
        <v>410767</v>
      </c>
      <c r="BD321" s="262">
        <f>IF(ISNUMBER(BD311),BD316+SUM(BD317:BD320),"")</f>
        <v>419728</v>
      </c>
      <c r="BE321" s="262">
        <f>IF(ISNUMBER(BE311),BE316+SUM(BE317:BE320),"")</f>
        <v>428362</v>
      </c>
      <c r="BF321" s="262">
        <f>IF(ISNUMBER(BF311),BF316+SUM(BF317:BF320),"")</f>
        <v>462675</v>
      </c>
      <c r="BG321" s="262">
        <f>IF(ISNUMBER(BG311),BG316+SUM(BG317:BG320),"")</f>
        <v>462675</v>
      </c>
      <c r="BH321" s="262">
        <f>IF(ISNUMBER(BH311),BH316+SUM(BH317:BH320),"")</f>
        <v>464378</v>
      </c>
      <c r="BI321" s="262">
        <f>IF(ISNUMBER(BI311),BI316+SUM(BI317:BI320),"")</f>
        <v>477607</v>
      </c>
      <c r="BJ321" s="262">
        <f>IF(ISNUMBER(BJ311),BJ316+SUM(BJ317:BJ320),"")</f>
        <v>486883</v>
      </c>
      <c r="BK321" s="262">
        <f>IF(ISNUMBER(BK311),BK316+SUM(BK317:BK320),"")</f>
        <v>527854</v>
      </c>
      <c r="BL321" s="262">
        <f>IF(ISNUMBER(BL311),BL316+SUM(BL317:BL320),"")</f>
        <v>527854</v>
      </c>
      <c r="BM321" s="262">
        <f>IF(ISNUMBER(BM311),BM316+SUM(BM317:BM320),"")</f>
        <v>530969</v>
      </c>
      <c r="BN321" s="262">
        <f>IF(ISNUMBER(BN311),BN316+SUM(BN317:BN320),"")</f>
        <v>554818</v>
      </c>
      <c r="BO321" s="262">
        <f>IF(ISNUMBER(BO311),BO316+SUM(BO317:BO320),"")</f>
        <v>584626</v>
      </c>
      <c r="BP321" s="262">
        <f>IF(ISNUMBER(BP311),BP316+SUM(BP317:BP320),"")</f>
        <v>624894</v>
      </c>
      <c r="BQ321" s="262">
        <f>IF(ISNUMBER(BQ311),BQ316+SUM(BQ317:BQ320),"")</f>
        <v>624894</v>
      </c>
      <c r="BR321" s="262">
        <f>IF(ISNUMBER(BR311),BR316+SUM(BR317:BR320),"")</f>
        <v>643256</v>
      </c>
      <c r="BS321" s="262">
        <f>IF(ISNUMBER(BS311),BS316+SUM(BS317:BS320),"")</f>
        <v>682170</v>
      </c>
      <c r="BT321" s="262">
        <f>IF(ISNUMBER(BT311),BT316+SUM(BT317:BT320),"")</f>
        <v>727921</v>
      </c>
      <c r="BU321" s="262">
        <f>IF(ISNUMBER(BU311),BU316+SUM(BU317:BU320),"")</f>
        <v>818042</v>
      </c>
      <c r="BV321" s="262">
        <f>IF(ISNUMBER(BV311),BV316+SUM(BV317:BV320),"")</f>
        <v>818042</v>
      </c>
      <c r="BW321" s="262">
        <f>IF(ISNUMBER(BW311),BW316+SUM(BW317:BW320),"")</f>
        <v>916630</v>
      </c>
      <c r="BX321" s="262">
        <f>IF(ISNUMBER(BX311),BX316+SUM(BX317:BX320),"")</f>
        <v>1095689</v>
      </c>
      <c r="BY321" s="56" t="n"/>
      <c r="BZ321" s="56" t="n"/>
      <c r="CA321" s="262">
        <f>IF(ISNUMBER(CA311),CA316+SUM(CA317:CA320),"")</f>
        <v>1192746.8969665</v>
      </c>
      <c r="CB321" s="262">
        <f>IF(ISNUMBER(CB311),CB316+SUM(CB317:CB320),"")</f>
        <v>1355905.64289187</v>
      </c>
      <c r="CC321" s="262">
        <f>IF(ISNUMBER(CC311),CC316+SUM(CC317:CC320),"")</f>
        <v>1497672.1932082</v>
      </c>
      <c r="CD321" s="262">
        <f>IF(ISNUMBER(CD311),CD316+SUM(CD317:CD320),"")</f>
        <v>1626847.54964809</v>
      </c>
      <c r="CE321" s="262">
        <f>IF(ISNUMBER(CE311),CE316+SUM(CE317:CE320),"")</f>
        <v>1740217.09324459</v>
      </c>
      <c r="CF321" s="153" t="n"/>
      <c r="CH321" s="20">
        <f>IFERROR((CE321/BV321)^(1/5)-1,"n/m")</f>
        <v>0.162962110762884</v>
      </c>
      <c r="CI321" s="20">
        <f>IFERROR((BV321/AW321)^(1/5)-1,"n/m")</f>
        <v>0.205594797377257</v>
      </c>
      <c r="CJ321" s="20">
        <f>IFERROR((BV321/X321)^(1/10)-1,"n/m")</f>
        <v>0.287332034610969</v>
      </c>
      <c r="CK321" s="20">
        <f>IFERROR((BV321/C321)^(1/19)-1,"n/m")</f>
        <v>0.317137373967298</v>
      </c>
    </row>
    <row r="322" ht="15" customHeight="1" s="251">
      <c r="B322" s="25" t="inlineStr">
        <is>
          <t>LIABILITIES AND STOCKHOLDERS' EQUITY</t>
        </is>
      </c>
      <c r="CF322" s="153" t="n"/>
    </row>
    <row r="323" ht="15" customHeight="1" s="251">
      <c r="B323" s="25" t="inlineStr">
        <is>
          <t xml:space="preserve">  Accounts payable</t>
        </is>
      </c>
      <c r="C323" s="253" t="n">
        <v>1816</v>
      </c>
      <c r="D323" s="253" t="n">
        <v>2795</v>
      </c>
      <c r="E323" s="253" t="n">
        <v>3594</v>
      </c>
      <c r="F323" s="253" t="n">
        <v>5605</v>
      </c>
      <c r="G323" s="253" t="n">
        <v>8051</v>
      </c>
      <c r="H323" s="253" t="n">
        <v>11145</v>
      </c>
      <c r="I323" s="253" t="n">
        <v>13318</v>
      </c>
      <c r="J323" s="253" t="n">
        <v>8916</v>
      </c>
      <c r="K323" s="253" t="n">
        <v>8990</v>
      </c>
      <c r="L323" s="253" t="n">
        <v>10037</v>
      </c>
      <c r="M323" s="253" t="n">
        <v>15133</v>
      </c>
      <c r="N323" s="253" t="n">
        <v>15133</v>
      </c>
      <c r="O323" s="253" t="n">
        <v>10590</v>
      </c>
      <c r="P323" s="253" t="n">
        <v>10457</v>
      </c>
      <c r="Q323" s="253" t="n">
        <v>11811</v>
      </c>
      <c r="R323" s="253" t="n">
        <v>16459</v>
      </c>
      <c r="S323" s="253" t="n">
        <v>16459</v>
      </c>
      <c r="T323" s="253" t="n">
        <v>11917</v>
      </c>
      <c r="U323" s="253" t="n">
        <v>12391</v>
      </c>
      <c r="V323" s="253" t="n">
        <v>14437</v>
      </c>
      <c r="W323" s="253" t="n">
        <v>20397</v>
      </c>
      <c r="X323" s="253" t="n">
        <v>20397</v>
      </c>
      <c r="Y323" s="253" t="n">
        <v>14990</v>
      </c>
      <c r="Z323" s="253" t="n">
        <v>16123</v>
      </c>
      <c r="AA323" s="253" t="n">
        <v>18801</v>
      </c>
      <c r="AB323" s="253" t="n">
        <v>25309</v>
      </c>
      <c r="AC323" s="253" t="n">
        <v>25309</v>
      </c>
      <c r="AD323" s="253" t="n">
        <v>18891</v>
      </c>
      <c r="AE323" s="253" t="n">
        <v>21439</v>
      </c>
      <c r="AF323" s="253" t="n">
        <v>26075</v>
      </c>
      <c r="AG323" s="253" t="n">
        <v>34616</v>
      </c>
      <c r="AH323" s="253" t="n">
        <v>34616</v>
      </c>
      <c r="AI323" s="253" t="n">
        <v>25172</v>
      </c>
      <c r="AJ323" s="253" t="n">
        <v>27657</v>
      </c>
      <c r="AK323" s="253" t="n">
        <v>30904</v>
      </c>
      <c r="AL323" s="253" t="n">
        <v>38192</v>
      </c>
      <c r="AM323" s="253" t="n">
        <v>38192</v>
      </c>
      <c r="AN323" s="253" t="n">
        <v>31809</v>
      </c>
      <c r="AO323" s="253" t="n">
        <v>36063</v>
      </c>
      <c r="AP323" s="253" t="n">
        <v>35794</v>
      </c>
      <c r="AQ323" s="253" t="n">
        <v>47183</v>
      </c>
      <c r="AR323" s="253" t="n">
        <v>47183</v>
      </c>
      <c r="AS323" s="253" t="n">
        <v>40056</v>
      </c>
      <c r="AT323" s="253" t="n">
        <v>51036</v>
      </c>
      <c r="AU323" s="253" t="n">
        <v>58334</v>
      </c>
      <c r="AV323" s="253" t="n">
        <v>72539</v>
      </c>
      <c r="AW323" s="253" t="n">
        <v>72539</v>
      </c>
      <c r="AX323" s="253" t="n">
        <v>63926</v>
      </c>
      <c r="AY323" s="253" t="n">
        <v>66090</v>
      </c>
      <c r="AZ323" s="253" t="n">
        <v>71474</v>
      </c>
      <c r="BA323" s="253" t="n">
        <v>78664</v>
      </c>
      <c r="BB323" s="253" t="n">
        <v>78664</v>
      </c>
      <c r="BC323" s="253" t="n">
        <v>68547</v>
      </c>
      <c r="BD323" s="253" t="n">
        <v>71219</v>
      </c>
      <c r="BE323" s="253" t="n">
        <v>67760</v>
      </c>
      <c r="BF323" s="253" t="n">
        <v>79600</v>
      </c>
      <c r="BG323" s="253" t="n">
        <v>79600</v>
      </c>
      <c r="BH323" s="253" t="n">
        <v>66907</v>
      </c>
      <c r="BI323" s="253" t="n">
        <v>69481</v>
      </c>
      <c r="BJ323" s="253" t="n">
        <v>72004</v>
      </c>
      <c r="BK323" s="253" t="n">
        <v>84981</v>
      </c>
      <c r="BL323" s="253" t="n">
        <v>84981</v>
      </c>
      <c r="BM323" s="253" t="n">
        <v>73068</v>
      </c>
      <c r="BN323" s="253" t="n">
        <v>81817</v>
      </c>
      <c r="BO323" s="253" t="n">
        <v>84570</v>
      </c>
      <c r="BP323" s="253" t="n">
        <v>94363</v>
      </c>
      <c r="BQ323" s="253" t="n">
        <v>94363</v>
      </c>
      <c r="BR323" s="253" t="n">
        <v>89241</v>
      </c>
      <c r="BS323" s="253" t="n">
        <v>98285</v>
      </c>
      <c r="BT323" s="253" t="n">
        <v>106032</v>
      </c>
      <c r="BU323" s="253" t="n">
        <v>121909</v>
      </c>
      <c r="BV323" s="253" t="n">
        <v>121909</v>
      </c>
      <c r="BW323" s="253" t="n">
        <v>124749</v>
      </c>
      <c r="BX323" s="253" t="n">
        <v>147440</v>
      </c>
      <c r="BY323" s="35" t="n"/>
      <c r="BZ323" s="35" t="n"/>
      <c r="CA323" s="254">
        <f>CA343*CA346/365</f>
        <v>139637.767473298</v>
      </c>
      <c r="CB323" s="254">
        <f>CB343*CB346/365</f>
        <v>152110.656919796</v>
      </c>
      <c r="CC323" s="254">
        <f>CC343*CC346/365</f>
        <v>168438.967889982</v>
      </c>
      <c r="CD323" s="254">
        <f>CD343*CD346/365</f>
        <v>185882.087151077</v>
      </c>
      <c r="CE323" s="254">
        <f>CE343*CE346/365</f>
        <v>202902.661724517</v>
      </c>
      <c r="CF323" s="19" t="n"/>
    </row>
    <row r="324" ht="15" customHeight="1" s="251">
      <c r="B324" s="25" t="inlineStr">
        <is>
          <t xml:space="preserve">  Accrued expenses and other (excl. debt)</t>
        </is>
      </c>
      <c r="C324" s="253" t="n">
        <v>716</v>
      </c>
      <c r="D324" s="253" t="n">
        <v>919</v>
      </c>
      <c r="E324" s="253" t="n">
        <v>1093</v>
      </c>
      <c r="F324" s="253" t="n">
        <v>1759</v>
      </c>
      <c r="G324" s="253" t="n">
        <v>2321</v>
      </c>
      <c r="H324" s="253" t="n">
        <v>3622</v>
      </c>
      <c r="I324" s="253" t="n">
        <v>5105</v>
      </c>
      <c r="J324" s="253" t="n">
        <v>4764</v>
      </c>
      <c r="K324" s="253" t="n">
        <v>5054</v>
      </c>
      <c r="L324" s="253" t="n">
        <v>5418</v>
      </c>
      <c r="M324" s="253" t="n">
        <v>5935</v>
      </c>
      <c r="N324" s="253" t="n">
        <v>5935</v>
      </c>
      <c r="O324" s="253" t="n">
        <v>5467</v>
      </c>
      <c r="P324" s="253" t="n">
        <v>5828</v>
      </c>
      <c r="Q324" s="253" t="n">
        <v>6353</v>
      </c>
      <c r="R324" s="253" t="n">
        <v>8287</v>
      </c>
      <c r="S324" s="253" t="n">
        <v>8287</v>
      </c>
      <c r="T324" s="253" t="n">
        <v>7463</v>
      </c>
      <c r="U324" s="253" t="n">
        <v>7700</v>
      </c>
      <c r="V324" s="253" t="n">
        <v>8040</v>
      </c>
      <c r="W324" s="253" t="n">
        <v>10146</v>
      </c>
      <c r="X324" s="253" t="n">
        <v>10146</v>
      </c>
      <c r="Y324" s="253" t="n">
        <v>9341</v>
      </c>
      <c r="Z324" s="253" t="n">
        <v>9572</v>
      </c>
      <c r="AA324" s="253" t="n">
        <v>10449</v>
      </c>
      <c r="AB324" s="253" t="n">
        <v>12683</v>
      </c>
      <c r="AC324" s="253" t="n">
        <v>12683</v>
      </c>
      <c r="AD324" s="253" t="n">
        <v>12005</v>
      </c>
      <c r="AE324" s="253" t="n">
        <v>12953</v>
      </c>
      <c r="AF324" s="253" t="n">
        <v>14807</v>
      </c>
      <c r="AG324" s="253" t="n">
        <v>18070</v>
      </c>
      <c r="AH324" s="253" t="n">
        <v>18070</v>
      </c>
      <c r="AI324" s="253" t="n">
        <v>16638</v>
      </c>
      <c r="AJ324" s="253" t="n">
        <v>17109</v>
      </c>
      <c r="AK324" s="253" t="n">
        <v>18376</v>
      </c>
      <c r="AL324" s="253" t="n">
        <v>22292</v>
      </c>
      <c r="AM324" s="253" t="n">
        <v>22292</v>
      </c>
      <c r="AN324" s="253" t="n">
        <v>22980</v>
      </c>
      <c r="AO324" s="253" t="n">
        <v>24504</v>
      </c>
      <c r="AP324" s="253" t="n">
        <v>26120</v>
      </c>
      <c r="AQ324" s="253" t="n">
        <v>31132</v>
      </c>
      <c r="AR324" s="253" t="n">
        <v>31132</v>
      </c>
      <c r="AS324" s="253" t="n">
        <v>29480</v>
      </c>
      <c r="AT324" s="253" t="n">
        <v>32709</v>
      </c>
      <c r="AU324" s="253" t="n">
        <v>34172</v>
      </c>
      <c r="AV324" s="253" t="n">
        <v>42983</v>
      </c>
      <c r="AW324" s="253" t="n">
        <v>42983</v>
      </c>
      <c r="AX324" s="253" t="n">
        <v>39783</v>
      </c>
      <c r="AY324" s="253" t="n">
        <v>39849</v>
      </c>
      <c r="AZ324" s="253" t="n">
        <v>40546</v>
      </c>
      <c r="BA324" s="253" t="n">
        <v>49966</v>
      </c>
      <c r="BB324" s="253" t="n">
        <v>49966</v>
      </c>
      <c r="BC324" s="253" t="n">
        <v>55460</v>
      </c>
      <c r="BD324" s="253" t="n">
        <v>51021</v>
      </c>
      <c r="BE324" s="253" t="n">
        <v>54627</v>
      </c>
      <c r="BF324" s="253" t="n">
        <v>58367</v>
      </c>
      <c r="BG324" s="253" t="n">
        <v>58367</v>
      </c>
      <c r="BH324" s="253" t="n">
        <v>63282</v>
      </c>
      <c r="BI324" s="253" t="n">
        <v>59138</v>
      </c>
      <c r="BJ324" s="253" t="n">
        <v>52651</v>
      </c>
      <c r="BK324" s="253" t="n">
        <v>56068</v>
      </c>
      <c r="BL324" s="253" t="n">
        <v>56068</v>
      </c>
      <c r="BM324" s="253" t="n">
        <v>55072</v>
      </c>
      <c r="BN324" s="253" t="n">
        <v>52846</v>
      </c>
      <c r="BO324" s="253" t="n">
        <v>55266</v>
      </c>
      <c r="BP324" s="253" t="n">
        <v>61797</v>
      </c>
      <c r="BQ324" s="253" t="n">
        <v>61797</v>
      </c>
      <c r="BR324" s="253" t="n">
        <v>61241</v>
      </c>
      <c r="BS324" s="253" t="n">
        <v>61796</v>
      </c>
      <c r="BT324" s="253" t="n">
        <v>63834</v>
      </c>
      <c r="BU324" s="253" t="n">
        <v>72317</v>
      </c>
      <c r="BV324" s="253" t="n">
        <v>72317</v>
      </c>
      <c r="BW324" s="253" t="n">
        <v>68136</v>
      </c>
      <c r="BX324" s="253" t="n">
        <v>69751</v>
      </c>
      <c r="BY324" s="35" t="n"/>
      <c r="BZ324" s="35" t="n"/>
      <c r="CA324" s="254">
        <f>CA342*CA347</f>
        <v>83377.7698749017</v>
      </c>
      <c r="CB324" s="254">
        <f>CB342*CB347</f>
        <v>95340.1329332673</v>
      </c>
      <c r="CC324" s="254">
        <f>CC342*CC347</f>
        <v>108011.793941663</v>
      </c>
      <c r="CD324" s="254">
        <f>CD342*CD347</f>
        <v>121069.876823179</v>
      </c>
      <c r="CE324" s="254">
        <f>CE342*CE347</f>
        <v>134352.527779917</v>
      </c>
      <c r="CF324" s="19" t="inlineStr">
        <is>
          <t>As presented less the current portion of long-term debt and short-term borrowings (XBRL), shown on the next line.</t>
        </is>
      </c>
    </row>
    <row r="325" ht="15" customHeight="1" s="251">
      <c r="B325" s="25" t="inlineStr">
        <is>
          <t xml:space="preserve">  Current portion of long-term debt &amp; short-term borrowings (inside "accrued expenses and other" as presented)</t>
        </is>
      </c>
      <c r="C325" s="253" t="n">
        <v>0</v>
      </c>
      <c r="D325" s="253" t="n">
        <v>0</v>
      </c>
      <c r="E325" s="253" t="n">
        <v>59</v>
      </c>
      <c r="F325" s="253" t="n">
        <v>0</v>
      </c>
      <c r="G325" s="253" t="n">
        <v>0</v>
      </c>
      <c r="H325" s="253" t="n">
        <v>129</v>
      </c>
      <c r="I325" s="253" t="n">
        <v>579</v>
      </c>
      <c r="J325" s="253" t="n">
        <v>652</v>
      </c>
      <c r="K325" s="253" t="n">
        <v>691</v>
      </c>
      <c r="L325" s="253" t="n">
        <v>680</v>
      </c>
      <c r="M325" s="253" t="n">
        <v>753</v>
      </c>
      <c r="N325" s="253" t="n">
        <v>753</v>
      </c>
      <c r="O325" s="253" t="n">
        <v>784</v>
      </c>
      <c r="P325" s="253" t="n">
        <v>860</v>
      </c>
      <c r="Q325" s="253" t="n">
        <v>864</v>
      </c>
      <c r="R325" s="253" t="n">
        <v>1520</v>
      </c>
      <c r="S325" s="253" t="n">
        <v>1520</v>
      </c>
      <c r="T325" s="253" t="n">
        <v>1377</v>
      </c>
      <c r="U325" s="253" t="n">
        <v>1259</v>
      </c>
      <c r="V325" s="253" t="n">
        <v>1117</v>
      </c>
      <c r="W325" s="253" t="n">
        <v>238</v>
      </c>
      <c r="X325" s="253" t="n">
        <v>238</v>
      </c>
      <c r="Y325" s="253" t="n">
        <v>90</v>
      </c>
      <c r="Z325" s="253" t="n">
        <v>41</v>
      </c>
      <c r="AA325" s="253" t="n">
        <v>48</v>
      </c>
      <c r="AB325" s="253" t="n">
        <v>1056</v>
      </c>
      <c r="AC325" s="253" t="n">
        <v>1056</v>
      </c>
      <c r="AD325" s="253" t="n">
        <v>1049</v>
      </c>
      <c r="AE325" s="253" t="n">
        <v>1063</v>
      </c>
      <c r="AF325" s="253" t="n">
        <v>1037</v>
      </c>
      <c r="AG325" s="253" t="n">
        <v>100</v>
      </c>
      <c r="AH325" s="253" t="n">
        <v>100</v>
      </c>
      <c r="AI325" s="253" t="n">
        <v>53</v>
      </c>
      <c r="AJ325" s="253" t="n">
        <v>31</v>
      </c>
      <c r="AK325" s="253" t="n">
        <v>44</v>
      </c>
      <c r="AL325" s="253" t="n">
        <v>1371</v>
      </c>
      <c r="AM325" s="253" t="n">
        <v>1371</v>
      </c>
      <c r="AN325" s="253" t="n">
        <v>1608</v>
      </c>
      <c r="AO325" s="253" t="n">
        <v>1636</v>
      </c>
      <c r="AP325" s="253" t="n">
        <v>2841</v>
      </c>
      <c r="AQ325" s="253" t="n">
        <v>1307</v>
      </c>
      <c r="AR325" s="253" t="n">
        <v>1307</v>
      </c>
      <c r="AS325" s="253" t="n">
        <v>1311</v>
      </c>
      <c r="AT325" s="253" t="n">
        <v>1154</v>
      </c>
      <c r="AU325" s="253" t="n">
        <v>155</v>
      </c>
      <c r="AV325" s="253" t="n">
        <v>1155</v>
      </c>
      <c r="AW325" s="253" t="n">
        <v>1155</v>
      </c>
      <c r="AX325" s="253" t="n">
        <v>1156</v>
      </c>
      <c r="AY325" s="253" t="n">
        <v>1158</v>
      </c>
      <c r="AZ325" s="253" t="n">
        <v>1000</v>
      </c>
      <c r="BA325" s="253" t="n">
        <v>1809</v>
      </c>
      <c r="BB325" s="253" t="n">
        <v>1809</v>
      </c>
      <c r="BC325" s="253" t="n">
        <v>2681</v>
      </c>
      <c r="BD325" s="253" t="n">
        <v>5233</v>
      </c>
      <c r="BE325" s="253" t="n">
        <v>5347</v>
      </c>
      <c r="BF325" s="253" t="n">
        <v>4199</v>
      </c>
      <c r="BG325" s="253" t="n">
        <v>4199</v>
      </c>
      <c r="BH325" s="253" t="n">
        <v>3100</v>
      </c>
      <c r="BI325" s="253" t="n">
        <v>5097</v>
      </c>
      <c r="BJ325" s="253" t="n">
        <v>6161</v>
      </c>
      <c r="BK325" s="253" t="n">
        <v>8641</v>
      </c>
      <c r="BL325" s="253" t="n">
        <v>8641</v>
      </c>
      <c r="BM325" s="253" t="n">
        <v>8898</v>
      </c>
      <c r="BN325" s="253" t="n">
        <v>7505</v>
      </c>
      <c r="BO325" s="253" t="n">
        <v>5336</v>
      </c>
      <c r="BP325" s="253" t="n">
        <v>5168</v>
      </c>
      <c r="BQ325" s="253" t="n">
        <v>5168</v>
      </c>
      <c r="BR325" s="253" t="n">
        <v>5090</v>
      </c>
      <c r="BS325" s="253" t="n">
        <v>5178</v>
      </c>
      <c r="BT325" s="253" t="n">
        <v>4217</v>
      </c>
      <c r="BU325" s="253" t="n">
        <v>3203</v>
      </c>
      <c r="BV325" s="253" t="n">
        <v>3203</v>
      </c>
      <c r="BW325" s="253" t="n">
        <v>2984</v>
      </c>
      <c r="BX325" s="253" t="n">
        <v>3655</v>
      </c>
      <c r="BY325" s="35" t="n"/>
      <c r="BZ325" s="35" t="n"/>
      <c r="CA325" s="254">
        <f>CA367+CA363</f>
        <v>8832</v>
      </c>
      <c r="CB325" s="254">
        <f>CB367+CB363</f>
        <v>12176</v>
      </c>
      <c r="CC325" s="254">
        <f>CC367+CC363</f>
        <v>13818</v>
      </c>
      <c r="CD325" s="254">
        <f>CD367+CD363</f>
        <v>6783</v>
      </c>
      <c r="CE325" s="254">
        <f>CE367+CE363</f>
        <v>10000</v>
      </c>
      <c r="CF325" s="19" t="inlineStr">
        <is>
          <t>Current portion of LTD from 2011 and short-term borrowings from 2021 (XBRL); earlier not disclosed (included in accrued).</t>
        </is>
      </c>
    </row>
    <row r="326" ht="15" customHeight="1" s="251">
      <c r="B326" s="25" t="inlineStr">
        <is>
          <t xml:space="preserve">  Unearned revenue (separate from Q4-13)</t>
        </is>
      </c>
      <c r="C326" s="253" t="n">
        <v>0</v>
      </c>
      <c r="D326" s="253" t="n">
        <v>0</v>
      </c>
      <c r="E326" s="253" t="n">
        <v>0</v>
      </c>
      <c r="F326" s="253" t="n">
        <v>0</v>
      </c>
      <c r="G326" s="253" t="n">
        <v>0</v>
      </c>
      <c r="H326" s="253" t="n">
        <v>0</v>
      </c>
      <c r="I326" s="253" t="n">
        <v>0</v>
      </c>
      <c r="J326" s="253" t="n">
        <v>0</v>
      </c>
      <c r="K326" s="253" t="n">
        <v>0</v>
      </c>
      <c r="L326" s="253" t="n">
        <v>0</v>
      </c>
      <c r="M326" s="253" t="n">
        <v>1159</v>
      </c>
      <c r="N326" s="253" t="n">
        <v>1159</v>
      </c>
      <c r="O326" s="253" t="n">
        <v>1516</v>
      </c>
      <c r="P326" s="253" t="n">
        <v>1606</v>
      </c>
      <c r="Q326" s="253" t="n">
        <v>1814</v>
      </c>
      <c r="R326" s="253" t="n">
        <v>1823</v>
      </c>
      <c r="S326" s="253" t="n">
        <v>1823</v>
      </c>
      <c r="T326" s="253" t="n">
        <v>2420</v>
      </c>
      <c r="U326" s="253" t="n">
        <v>2562</v>
      </c>
      <c r="V326" s="253" t="n">
        <v>3063</v>
      </c>
      <c r="W326" s="253" t="n">
        <v>3118</v>
      </c>
      <c r="X326" s="253" t="n">
        <v>3118</v>
      </c>
      <c r="Y326" s="253" t="n">
        <v>3766</v>
      </c>
      <c r="Z326" s="253" t="n">
        <v>3851</v>
      </c>
      <c r="AA326" s="253" t="n">
        <v>4200</v>
      </c>
      <c r="AB326" s="253" t="n">
        <v>4768</v>
      </c>
      <c r="AC326" s="253" t="n">
        <v>4768</v>
      </c>
      <c r="AD326" s="253" t="n">
        <v>5454</v>
      </c>
      <c r="AE326" s="253" t="n">
        <v>5065</v>
      </c>
      <c r="AF326" s="253" t="n">
        <v>5153</v>
      </c>
      <c r="AG326" s="253" t="n">
        <v>5097</v>
      </c>
      <c r="AH326" s="253" t="n">
        <v>5097</v>
      </c>
      <c r="AI326" s="253" t="n">
        <v>6182</v>
      </c>
      <c r="AJ326" s="253" t="n">
        <v>6004</v>
      </c>
      <c r="AK326" s="253" t="n">
        <v>6000</v>
      </c>
      <c r="AL326" s="253" t="n">
        <v>6536</v>
      </c>
      <c r="AM326" s="253" t="n">
        <v>6536</v>
      </c>
      <c r="AN326" s="253" t="n">
        <v>7298</v>
      </c>
      <c r="AO326" s="253" t="n">
        <v>7475</v>
      </c>
      <c r="AP326" s="253" t="n">
        <v>7381</v>
      </c>
      <c r="AQ326" s="253" t="n">
        <v>8190</v>
      </c>
      <c r="AR326" s="253" t="n">
        <v>8190</v>
      </c>
      <c r="AS326" s="253" t="n">
        <v>8864</v>
      </c>
      <c r="AT326" s="253" t="n">
        <v>8997</v>
      </c>
      <c r="AU326" s="253" t="n">
        <v>9251</v>
      </c>
      <c r="AV326" s="253" t="n">
        <v>9708</v>
      </c>
      <c r="AW326" s="253" t="n">
        <v>9708</v>
      </c>
      <c r="AX326" s="253" t="n">
        <v>10539</v>
      </c>
      <c r="AY326" s="253" t="n">
        <v>10695</v>
      </c>
      <c r="AZ326" s="253" t="n">
        <v>10974</v>
      </c>
      <c r="BA326" s="253" t="n">
        <v>11827</v>
      </c>
      <c r="BB326" s="253" t="n">
        <v>11827</v>
      </c>
      <c r="BC326" s="253" t="n">
        <v>12820</v>
      </c>
      <c r="BD326" s="253" t="n">
        <v>12818</v>
      </c>
      <c r="BE326" s="253" t="n">
        <v>12629</v>
      </c>
      <c r="BF326" s="253" t="n">
        <v>13227</v>
      </c>
      <c r="BG326" s="253" t="n">
        <v>13227</v>
      </c>
      <c r="BH326" s="253" t="n">
        <v>14281</v>
      </c>
      <c r="BI326" s="253" t="n">
        <v>14522</v>
      </c>
      <c r="BJ326" s="253" t="n">
        <v>14398</v>
      </c>
      <c r="BK326" s="253" t="n">
        <v>15227</v>
      </c>
      <c r="BL326" s="253" t="n">
        <v>15227</v>
      </c>
      <c r="BM326" s="253" t="n">
        <v>15927</v>
      </c>
      <c r="BN326" s="253" t="n">
        <v>16004</v>
      </c>
      <c r="BO326" s="253" t="n">
        <v>16305</v>
      </c>
      <c r="BP326" s="253" t="n">
        <v>18103</v>
      </c>
      <c r="BQ326" s="253" t="n">
        <v>18103</v>
      </c>
      <c r="BR326" s="253" t="n">
        <v>20599</v>
      </c>
      <c r="BS326" s="253" t="n">
        <v>21662</v>
      </c>
      <c r="BT326" s="253" t="n">
        <v>21113</v>
      </c>
      <c r="BU326" s="253" t="n">
        <v>20576</v>
      </c>
      <c r="BV326" s="253" t="n">
        <v>20576</v>
      </c>
      <c r="BW326" s="253" t="n">
        <v>20887</v>
      </c>
      <c r="BX326" s="253" t="n">
        <v>20428</v>
      </c>
      <c r="BY326" s="35" t="n"/>
      <c r="BZ326" s="35" t="n"/>
      <c r="CA326" s="254">
        <f>CA342*CA348</f>
        <v>23940.1517462589</v>
      </c>
      <c r="CB326" s="254">
        <f>CB342*CB348</f>
        <v>27374.8896541065</v>
      </c>
      <c r="CC326" s="254">
        <f>CC342*CC348</f>
        <v>31013.2873693885</v>
      </c>
      <c r="CD326" s="254">
        <f>CD342*CD348</f>
        <v>34762.6378997245</v>
      </c>
      <c r="CE326" s="254">
        <f>CE342*CE348</f>
        <v>38576.4683724515</v>
      </c>
      <c r="CF326" s="19" t="n"/>
    </row>
    <row r="327" ht="15" customHeight="1" s="251">
      <c r="B327" s="16" t="inlineStr">
        <is>
          <t>Total current liabilities</t>
        </is>
      </c>
      <c r="C327" s="275">
        <f>IF(ISNUMBER(C323),SUM(C323:C326),"")</f>
        <v>2532</v>
      </c>
      <c r="D327" s="275">
        <f>IF(ISNUMBER(D323),SUM(D323:D326),"")</f>
        <v>3714</v>
      </c>
      <c r="E327" s="275">
        <f>IF(ISNUMBER(E323),SUM(E323:E326),"")</f>
        <v>4746</v>
      </c>
      <c r="F327" s="275">
        <f>IF(ISNUMBER(F323),SUM(F323:F326),"")</f>
        <v>7364</v>
      </c>
      <c r="G327" s="275">
        <f>IF(ISNUMBER(G323),SUM(G323:G326),"")</f>
        <v>10372</v>
      </c>
      <c r="H327" s="275">
        <f>IF(ISNUMBER(H323),SUM(H323:H326),"")</f>
        <v>14896</v>
      </c>
      <c r="I327" s="275">
        <f>IF(ISNUMBER(I323),SUM(I323:I326),"")</f>
        <v>19002</v>
      </c>
      <c r="J327" s="275">
        <f>IF(ISNUMBER(J323),SUM(J323:J326),"")</f>
        <v>14332</v>
      </c>
      <c r="K327" s="275">
        <f>IF(ISNUMBER(K323),SUM(K323:K326),"")</f>
        <v>14735</v>
      </c>
      <c r="L327" s="275">
        <f>IF(ISNUMBER(L323),SUM(L323:L326),"")</f>
        <v>16135</v>
      </c>
      <c r="M327" s="275">
        <f>IF(ISNUMBER(M323),SUM(M323:M326),"")</f>
        <v>22980</v>
      </c>
      <c r="N327" s="275">
        <f>IF(ISNUMBER(N323),SUM(N323:N326),"")</f>
        <v>22980</v>
      </c>
      <c r="O327" s="275">
        <f>IF(ISNUMBER(O323),SUM(O323:O326),"")</f>
        <v>18357</v>
      </c>
      <c r="P327" s="275">
        <f>IF(ISNUMBER(P323),SUM(P323:P326),"")</f>
        <v>18751</v>
      </c>
      <c r="Q327" s="275">
        <f>IF(ISNUMBER(Q323),SUM(Q323:Q326),"")</f>
        <v>20842</v>
      </c>
      <c r="R327" s="275">
        <f>IF(ISNUMBER(R323),SUM(R323:R326),"")</f>
        <v>28089</v>
      </c>
      <c r="S327" s="275">
        <f>IF(ISNUMBER(S323),SUM(S323:S326),"")</f>
        <v>28089</v>
      </c>
      <c r="T327" s="275">
        <f>IF(ISNUMBER(T323),SUM(T323:T326),"")</f>
        <v>23177</v>
      </c>
      <c r="U327" s="275">
        <f>IF(ISNUMBER(U323),SUM(U323:U326),"")</f>
        <v>23912</v>
      </c>
      <c r="V327" s="275">
        <f>IF(ISNUMBER(V323),SUM(V323:V326),"")</f>
        <v>26657</v>
      </c>
      <c r="W327" s="275">
        <f>IF(ISNUMBER(W323),SUM(W323:W326),"")</f>
        <v>33899</v>
      </c>
      <c r="X327" s="275">
        <f>IF(ISNUMBER(X323),SUM(X323:X326),"")</f>
        <v>33899</v>
      </c>
      <c r="Y327" s="275">
        <f>IF(ISNUMBER(Y323),SUM(Y323:Y326),"")</f>
        <v>28187</v>
      </c>
      <c r="Z327" s="275">
        <f>IF(ISNUMBER(Z323),SUM(Z323:Z326),"")</f>
        <v>29587</v>
      </c>
      <c r="AA327" s="275">
        <f>IF(ISNUMBER(AA323),SUM(AA323:AA326),"")</f>
        <v>33498</v>
      </c>
      <c r="AB327" s="275">
        <f>IF(ISNUMBER(AB323),SUM(AB323:AB326),"")</f>
        <v>43816</v>
      </c>
      <c r="AC327" s="275">
        <f>IF(ISNUMBER(AC323),SUM(AC323:AC326),"")</f>
        <v>43816</v>
      </c>
      <c r="AD327" s="275">
        <f>IF(ISNUMBER(AD323),SUM(AD323:AD326),"")</f>
        <v>37399</v>
      </c>
      <c r="AE327" s="275">
        <f>IF(ISNUMBER(AE323),SUM(AE323:AE326),"")</f>
        <v>40520</v>
      </c>
      <c r="AF327" s="275">
        <f>IF(ISNUMBER(AF323),SUM(AF323:AF326),"")</f>
        <v>47072</v>
      </c>
      <c r="AG327" s="275">
        <f>IF(ISNUMBER(AG323),SUM(AG323:AG326),"")</f>
        <v>57883</v>
      </c>
      <c r="AH327" s="275">
        <f>IF(ISNUMBER(AH323),SUM(AH323:AH326),"")</f>
        <v>57883</v>
      </c>
      <c r="AI327" s="275">
        <f>IF(ISNUMBER(AI323),SUM(AI323:AI326),"")</f>
        <v>48045</v>
      </c>
      <c r="AJ327" s="275">
        <f>IF(ISNUMBER(AJ323),SUM(AJ323:AJ326),"")</f>
        <v>50801</v>
      </c>
      <c r="AK327" s="275">
        <f>IF(ISNUMBER(AK323),SUM(AK323:AK326),"")</f>
        <v>55324</v>
      </c>
      <c r="AL327" s="275">
        <f>IF(ISNUMBER(AL323),SUM(AL323:AL326),"")</f>
        <v>68391</v>
      </c>
      <c r="AM327" s="275">
        <f>IF(ISNUMBER(AM323),SUM(AM323:AM326),"")</f>
        <v>68391</v>
      </c>
      <c r="AN327" s="275">
        <f>IF(ISNUMBER(AN323),SUM(AN323:AN326),"")</f>
        <v>63695</v>
      </c>
      <c r="AO327" s="275">
        <f>IF(ISNUMBER(AO323),SUM(AO323:AO326),"")</f>
        <v>69678</v>
      </c>
      <c r="AP327" s="275">
        <f>IF(ISNUMBER(AP323),SUM(AP323:AP326),"")</f>
        <v>72136</v>
      </c>
      <c r="AQ327" s="275">
        <f>IF(ISNUMBER(AQ323),SUM(AQ323:AQ326),"")</f>
        <v>87812</v>
      </c>
      <c r="AR327" s="275">
        <f>IF(ISNUMBER(AR323),SUM(AR323:AR326),"")</f>
        <v>87812</v>
      </c>
      <c r="AS327" s="275">
        <f>IF(ISNUMBER(AS323),SUM(AS323:AS326),"")</f>
        <v>79711</v>
      </c>
      <c r="AT327" s="275">
        <f>IF(ISNUMBER(AT323),SUM(AT323:AT326),"")</f>
        <v>93896</v>
      </c>
      <c r="AU327" s="275">
        <f>IF(ISNUMBER(AU323),SUM(AU323:AU326),"")</f>
        <v>101912</v>
      </c>
      <c r="AV327" s="275">
        <f>IF(ISNUMBER(AV323),SUM(AV323:AV326),"")</f>
        <v>126385</v>
      </c>
      <c r="AW327" s="275">
        <f>IF(ISNUMBER(AW323),SUM(AW323:AW326),"")</f>
        <v>126385</v>
      </c>
      <c r="AX327" s="275">
        <f>IF(ISNUMBER(AX323),SUM(AX323:AX326),"")</f>
        <v>115404</v>
      </c>
      <c r="AY327" s="275">
        <f>IF(ISNUMBER(AY323),SUM(AY323:AY326),"")</f>
        <v>117792</v>
      </c>
      <c r="AZ327" s="275">
        <f>IF(ISNUMBER(AZ323),SUM(AZ323:AZ326),"")</f>
        <v>123994</v>
      </c>
      <c r="BA327" s="275">
        <f>IF(ISNUMBER(BA323),SUM(BA323:BA326),"")</f>
        <v>142266</v>
      </c>
      <c r="BB327" s="275">
        <f>IF(ISNUMBER(BB323),SUM(BB323:BB326),"")</f>
        <v>142266</v>
      </c>
      <c r="BC327" s="275">
        <f>IF(ISNUMBER(BC323),SUM(BC323:BC326),"")</f>
        <v>139508</v>
      </c>
      <c r="BD327" s="275">
        <f>IF(ISNUMBER(BD323),SUM(BD323:BD326),"")</f>
        <v>140291</v>
      </c>
      <c r="BE327" s="275">
        <f>IF(ISNUMBER(BE323),SUM(BE323:BE326),"")</f>
        <v>140363</v>
      </c>
      <c r="BF327" s="275">
        <f>IF(ISNUMBER(BF323),SUM(BF323:BF326),"")</f>
        <v>155393</v>
      </c>
      <c r="BG327" s="275">
        <f>IF(ISNUMBER(BG323),SUM(BG323:BG326),"")</f>
        <v>155393</v>
      </c>
      <c r="BH327" s="275">
        <f>IF(ISNUMBER(BH323),SUM(BH323:BH326),"")</f>
        <v>147570</v>
      </c>
      <c r="BI327" s="275">
        <f>IF(ISNUMBER(BI323),SUM(BI323:BI326),"")</f>
        <v>148238</v>
      </c>
      <c r="BJ327" s="275">
        <f>IF(ISNUMBER(BJ323),SUM(BJ323:BJ326),"")</f>
        <v>145214</v>
      </c>
      <c r="BK327" s="275">
        <f>IF(ISNUMBER(BK323),SUM(BK323:BK326),"")</f>
        <v>164917</v>
      </c>
      <c r="BL327" s="275">
        <f>IF(ISNUMBER(BL323),SUM(BL323:BL326),"")</f>
        <v>164917</v>
      </c>
      <c r="BM327" s="275">
        <f>IF(ISNUMBER(BM323),SUM(BM323:BM326),"")</f>
        <v>152965</v>
      </c>
      <c r="BN327" s="275">
        <f>IF(ISNUMBER(BN323),SUM(BN323:BN326),"")</f>
        <v>158172</v>
      </c>
      <c r="BO327" s="275">
        <f>IF(ISNUMBER(BO323),SUM(BO323:BO326),"")</f>
        <v>161477</v>
      </c>
      <c r="BP327" s="275">
        <f>IF(ISNUMBER(BP323),SUM(BP323:BP326),"")</f>
        <v>179431</v>
      </c>
      <c r="BQ327" s="275">
        <f>IF(ISNUMBER(BQ323),SUM(BQ323:BQ326),"")</f>
        <v>179431</v>
      </c>
      <c r="BR327" s="275">
        <f>IF(ISNUMBER(BR323),SUM(BR323:BR326),"")</f>
        <v>176171</v>
      </c>
      <c r="BS327" s="275">
        <f>IF(ISNUMBER(BS323),SUM(BS323:BS326),"")</f>
        <v>186921</v>
      </c>
      <c r="BT327" s="275">
        <f>IF(ISNUMBER(BT323),SUM(BT323:BT326),"")</f>
        <v>195196</v>
      </c>
      <c r="BU327" s="275">
        <f>IF(ISNUMBER(BU323),SUM(BU323:BU326),"")</f>
        <v>218005</v>
      </c>
      <c r="BV327" s="275">
        <f>IF(ISNUMBER(BV323),SUM(BV323:BV326),"")</f>
        <v>218005</v>
      </c>
      <c r="BW327" s="275">
        <f>IF(ISNUMBER(BW323),SUM(BW323:BW326),"")</f>
        <v>216756</v>
      </c>
      <c r="BX327" s="275">
        <f>IF(ISNUMBER(BX323),SUM(BX323:BX326),"")</f>
        <v>241274</v>
      </c>
      <c r="BY327" s="32" t="n"/>
      <c r="BZ327" s="32" t="n"/>
      <c r="CA327" s="265">
        <f>IF(ISNUMBER(CA323),SUM(CA323:CA326),"")</f>
        <v>255787.689094459</v>
      </c>
      <c r="CB327" s="265">
        <f>IF(ISNUMBER(CB323),SUM(CB323:CB326),"")</f>
        <v>287001.67950717</v>
      </c>
      <c r="CC327" s="265">
        <f>IF(ISNUMBER(CC323),SUM(CC323:CC326),"")</f>
        <v>321282.049201034</v>
      </c>
      <c r="CD327" s="265">
        <f>IF(ISNUMBER(CD323),SUM(CD323:CD326),"")</f>
        <v>348497.60187398</v>
      </c>
      <c r="CE327" s="265">
        <f>IF(ISNUMBER(CE323),SUM(CE323:CE326),"")</f>
        <v>385831.657876886</v>
      </c>
      <c r="CF327" s="153" t="n"/>
    </row>
    <row r="328" ht="15" customHeight="1" s="251">
      <c r="B328" s="25" t="inlineStr">
        <is>
          <t xml:space="preserve">  Long-term lease liabilities (operating + finance; from 2019)</t>
        </is>
      </c>
      <c r="C328" s="253" t="n">
        <v>0</v>
      </c>
      <c r="D328" s="253" t="n">
        <v>0</v>
      </c>
      <c r="E328" s="253" t="n">
        <v>0</v>
      </c>
      <c r="F328" s="253" t="n">
        <v>0</v>
      </c>
      <c r="G328" s="253" t="n">
        <v>0</v>
      </c>
      <c r="H328" s="253" t="n">
        <v>0</v>
      </c>
      <c r="I328" s="253" t="n">
        <v>0</v>
      </c>
      <c r="J328" s="253" t="n">
        <v>0</v>
      </c>
      <c r="K328" s="253" t="n">
        <v>0</v>
      </c>
      <c r="L328" s="253" t="n">
        <v>0</v>
      </c>
      <c r="M328" s="253" t="n">
        <v>0</v>
      </c>
      <c r="N328" s="253" t="n">
        <v>0</v>
      </c>
      <c r="O328" s="253" t="n">
        <v>0</v>
      </c>
      <c r="P328" s="253" t="n">
        <v>0</v>
      </c>
      <c r="Q328" s="253" t="n">
        <v>0</v>
      </c>
      <c r="R328" s="253" t="n">
        <v>0</v>
      </c>
      <c r="S328" s="253" t="n">
        <v>0</v>
      </c>
      <c r="T328" s="253" t="n">
        <v>0</v>
      </c>
      <c r="U328" s="253" t="n">
        <v>0</v>
      </c>
      <c r="V328" s="253" t="n">
        <v>0</v>
      </c>
      <c r="W328" s="253" t="n">
        <v>0</v>
      </c>
      <c r="X328" s="253" t="n">
        <v>0</v>
      </c>
      <c r="Y328" s="253" t="n">
        <v>0</v>
      </c>
      <c r="Z328" s="253" t="n">
        <v>0</v>
      </c>
      <c r="AA328" s="253" t="n">
        <v>0</v>
      </c>
      <c r="AB328" s="253" t="n">
        <v>0</v>
      </c>
      <c r="AC328" s="253" t="n">
        <v>0</v>
      </c>
      <c r="AD328" s="253" t="n">
        <v>0</v>
      </c>
      <c r="AE328" s="253" t="n">
        <v>0</v>
      </c>
      <c r="AF328" s="253" t="n">
        <v>0</v>
      </c>
      <c r="AG328" s="253" t="n">
        <v>0</v>
      </c>
      <c r="AH328" s="253" t="n">
        <v>0</v>
      </c>
      <c r="AI328" s="253" t="n">
        <v>0</v>
      </c>
      <c r="AJ328" s="253" t="n">
        <v>0</v>
      </c>
      <c r="AK328" s="253" t="n">
        <v>0</v>
      </c>
      <c r="AL328" s="253" t="n">
        <v>0</v>
      </c>
      <c r="AM328" s="253" t="n">
        <v>0</v>
      </c>
      <c r="AN328" s="253" t="n">
        <v>33275</v>
      </c>
      <c r="AO328" s="253" t="n">
        <v>35134</v>
      </c>
      <c r="AP328" s="253" t="n">
        <v>37058</v>
      </c>
      <c r="AQ328" s="253" t="n">
        <v>39791</v>
      </c>
      <c r="AR328" s="253" t="n">
        <v>39791</v>
      </c>
      <c r="AS328" s="253" t="n">
        <v>40300</v>
      </c>
      <c r="AT328" s="253" t="n">
        <v>42798</v>
      </c>
      <c r="AU328" s="253" t="n">
        <v>48589</v>
      </c>
      <c r="AV328" s="253" t="n">
        <v>52573</v>
      </c>
      <c r="AW328" s="253" t="n">
        <v>52573</v>
      </c>
      <c r="AX328" s="253" t="n">
        <v>53067</v>
      </c>
      <c r="AY328" s="253" t="n">
        <v>56297</v>
      </c>
      <c r="AZ328" s="253" t="n">
        <v>63848</v>
      </c>
      <c r="BA328" s="253" t="n">
        <v>67651</v>
      </c>
      <c r="BB328" s="253" t="n">
        <v>67651</v>
      </c>
      <c r="BC328" s="253" t="n">
        <v>65731</v>
      </c>
      <c r="BD328" s="253" t="n">
        <v>66524</v>
      </c>
      <c r="BE328" s="253" t="n">
        <v>69332</v>
      </c>
      <c r="BF328" s="253" t="n">
        <v>72968</v>
      </c>
      <c r="BG328" s="253" t="n">
        <v>72968</v>
      </c>
      <c r="BH328" s="253" t="n">
        <v>74267</v>
      </c>
      <c r="BI328" s="253" t="n">
        <v>75822</v>
      </c>
      <c r="BJ328" s="253" t="n">
        <v>75891</v>
      </c>
      <c r="BK328" s="253" t="n">
        <v>77297</v>
      </c>
      <c r="BL328" s="253" t="n">
        <v>77297</v>
      </c>
      <c r="BM328" s="253" t="n">
        <v>77052</v>
      </c>
      <c r="BN328" s="253" t="n">
        <v>78084</v>
      </c>
      <c r="BO328" s="253" t="n">
        <v>79802</v>
      </c>
      <c r="BP328" s="253" t="n">
        <v>78277</v>
      </c>
      <c r="BQ328" s="253" t="n">
        <v>78277</v>
      </c>
      <c r="BR328" s="253" t="n">
        <v>79871</v>
      </c>
      <c r="BS328" s="253" t="n">
        <v>83221</v>
      </c>
      <c r="BT328" s="253" t="n">
        <v>84677</v>
      </c>
      <c r="BU328" s="253" t="n">
        <v>87339</v>
      </c>
      <c r="BV328" s="253" t="n">
        <v>87339</v>
      </c>
      <c r="BW328" s="253" t="n">
        <v>90814</v>
      </c>
      <c r="BX328" s="253" t="n">
        <v>94338</v>
      </c>
      <c r="BY328" s="35" t="n"/>
      <c r="BZ328" s="35" t="n"/>
      <c r="CA328" s="254">
        <f>BX328+(CA364-SUM(BW364:BX364))+(CA266-SUM(BW266:BX266))</f>
        <v>94838</v>
      </c>
      <c r="CB328" s="254">
        <f>CA328+CB364+CB266</f>
        <v>95838</v>
      </c>
      <c r="CC328" s="254">
        <f>CB328+CC364+CC266</f>
        <v>96838</v>
      </c>
      <c r="CD328" s="254">
        <f>CC328+CD364+CD266</f>
        <v>97838</v>
      </c>
      <c r="CE328" s="254">
        <f>CD328+CE364+CE266</f>
        <v>98838</v>
      </c>
      <c r="CF328" s="19" t="inlineStr">
        <is>
          <t>Forecast: + finance-lease additions − principal repayments (operating-lease liabilities held flat).</t>
        </is>
      </c>
    </row>
    <row r="329" ht="15" customHeight="1" s="251">
      <c r="B329" s="25" t="inlineStr">
        <is>
          <t xml:space="preserve">  Long-term debt</t>
        </is>
      </c>
      <c r="C329" s="253" t="n">
        <v>1247</v>
      </c>
      <c r="D329" s="253" t="n">
        <v>1282</v>
      </c>
      <c r="E329" s="253" t="n">
        <v>409</v>
      </c>
      <c r="F329" s="253" t="n">
        <v>109</v>
      </c>
      <c r="G329" s="253" t="n">
        <v>0</v>
      </c>
      <c r="H329" s="253" t="n">
        <v>0</v>
      </c>
      <c r="I329" s="253" t="n">
        <v>3084</v>
      </c>
      <c r="J329" s="253" t="n">
        <v>3040</v>
      </c>
      <c r="K329" s="253" t="n">
        <v>3042</v>
      </c>
      <c r="L329" s="253" t="n">
        <v>3043</v>
      </c>
      <c r="M329" s="253" t="n">
        <v>3191</v>
      </c>
      <c r="N329" s="253" t="n">
        <v>3191</v>
      </c>
      <c r="O329" s="253" t="n">
        <v>3147</v>
      </c>
      <c r="P329" s="253" t="n">
        <v>3119</v>
      </c>
      <c r="Q329" s="253" t="n">
        <v>3099</v>
      </c>
      <c r="R329" s="253" t="n">
        <v>8265</v>
      </c>
      <c r="S329" s="253" t="n">
        <v>8265</v>
      </c>
      <c r="T329" s="253" t="n">
        <v>8257</v>
      </c>
      <c r="U329" s="253" t="n">
        <v>8250</v>
      </c>
      <c r="V329" s="253" t="n">
        <v>8243</v>
      </c>
      <c r="W329" s="253" t="n">
        <v>8235</v>
      </c>
      <c r="X329" s="253" t="n">
        <v>8235</v>
      </c>
      <c r="Y329" s="253" t="n">
        <v>8219</v>
      </c>
      <c r="Z329" s="253" t="n">
        <v>8212</v>
      </c>
      <c r="AA329" s="253" t="n">
        <v>8205</v>
      </c>
      <c r="AB329" s="253" t="n">
        <v>7694</v>
      </c>
      <c r="AC329" s="253" t="n">
        <v>7694</v>
      </c>
      <c r="AD329" s="253" t="n">
        <v>7691</v>
      </c>
      <c r="AE329" s="253" t="n">
        <v>7683</v>
      </c>
      <c r="AF329" s="253" t="n">
        <v>24710</v>
      </c>
      <c r="AG329" s="253" t="n">
        <v>24743</v>
      </c>
      <c r="AH329" s="253" t="n">
        <v>24743</v>
      </c>
      <c r="AI329" s="253" t="n">
        <v>24640</v>
      </c>
      <c r="AJ329" s="253" t="n">
        <v>24638</v>
      </c>
      <c r="AK329" s="253" t="n">
        <v>24684</v>
      </c>
      <c r="AL329" s="253" t="n">
        <v>23495</v>
      </c>
      <c r="AM329" s="253" t="n">
        <v>23495</v>
      </c>
      <c r="AN329" s="253" t="n">
        <v>23322</v>
      </c>
      <c r="AO329" s="253" t="n">
        <v>23329</v>
      </c>
      <c r="AP329" s="253" t="n">
        <v>22472</v>
      </c>
      <c r="AQ329" s="253" t="n">
        <v>23414</v>
      </c>
      <c r="AR329" s="253" t="n">
        <v>23414</v>
      </c>
      <c r="AS329" s="253" t="n">
        <v>23437</v>
      </c>
      <c r="AT329" s="253" t="n">
        <v>33128</v>
      </c>
      <c r="AU329" s="253" t="n">
        <v>32929</v>
      </c>
      <c r="AV329" s="253" t="n">
        <v>31816</v>
      </c>
      <c r="AW329" s="253" t="n">
        <v>31816</v>
      </c>
      <c r="AX329" s="253" t="n">
        <v>31868</v>
      </c>
      <c r="AY329" s="253" t="n">
        <v>50279</v>
      </c>
      <c r="AZ329" s="253" t="n">
        <v>50055</v>
      </c>
      <c r="BA329" s="253" t="n">
        <v>48744</v>
      </c>
      <c r="BB329" s="253" t="n">
        <v>48744</v>
      </c>
      <c r="BC329" s="253" t="n">
        <v>47556</v>
      </c>
      <c r="BD329" s="253" t="n">
        <v>58053</v>
      </c>
      <c r="BE329" s="253" t="n">
        <v>58919</v>
      </c>
      <c r="BF329" s="253" t="n">
        <v>67150</v>
      </c>
      <c r="BG329" s="253" t="n">
        <v>67150</v>
      </c>
      <c r="BH329" s="253" t="n">
        <v>67084</v>
      </c>
      <c r="BI329" s="253" t="n">
        <v>63092</v>
      </c>
      <c r="BJ329" s="253" t="n">
        <v>61098</v>
      </c>
      <c r="BK329" s="253" t="n">
        <v>58314</v>
      </c>
      <c r="BL329" s="253" t="n">
        <v>58314</v>
      </c>
      <c r="BM329" s="253" t="n">
        <v>57634</v>
      </c>
      <c r="BN329" s="253" t="n">
        <v>54889</v>
      </c>
      <c r="BO329" s="253" t="n">
        <v>54890</v>
      </c>
      <c r="BP329" s="253" t="n">
        <v>52623</v>
      </c>
      <c r="BQ329" s="253" t="n">
        <v>52623</v>
      </c>
      <c r="BR329" s="253" t="n">
        <v>53374</v>
      </c>
      <c r="BS329" s="253" t="n">
        <v>50718</v>
      </c>
      <c r="BT329" s="253" t="n">
        <v>50742</v>
      </c>
      <c r="BU329" s="253" t="n">
        <v>65648</v>
      </c>
      <c r="BV329" s="253" t="n">
        <v>65648</v>
      </c>
      <c r="BW329" s="253" t="n">
        <v>119074</v>
      </c>
      <c r="BX329" s="253" t="n">
        <v>128894</v>
      </c>
      <c r="BY329" s="35" t="n"/>
      <c r="BZ329" s="35" t="n"/>
      <c r="CA329" s="254">
        <f>CA360-CA363</f>
        <v>154129.5</v>
      </c>
      <c r="CB329" s="254">
        <f>CB360-CB363</f>
        <v>150785.5</v>
      </c>
      <c r="CC329" s="254">
        <f>CC360-CC363</f>
        <v>149143.5</v>
      </c>
      <c r="CD329" s="254">
        <f>CD360-CD363</f>
        <v>156178.5</v>
      </c>
      <c r="CE329" s="254">
        <f>CE360-CE363</f>
        <v>152961.5</v>
      </c>
      <c r="CF329" s="19" t="n"/>
    </row>
    <row r="330" ht="15" customHeight="1" s="251">
      <c r="B330" s="25" t="inlineStr">
        <is>
          <t xml:space="preserve">  Other long-term liabilities (deferred taxes, tax contingencies, capital / finance leases before 2019; derived)</t>
        </is>
      </c>
      <c r="C330" s="253" t="n">
        <v>153</v>
      </c>
      <c r="D330" s="253" t="n">
        <v>292</v>
      </c>
      <c r="E330" s="253" t="n">
        <v>487</v>
      </c>
      <c r="F330" s="253" t="n">
        <v>1083</v>
      </c>
      <c r="G330" s="253" t="n">
        <v>1561</v>
      </c>
      <c r="H330" s="253" t="n">
        <v>2625</v>
      </c>
      <c r="I330" s="253" t="n">
        <v>2277</v>
      </c>
      <c r="J330" s="253" t="n">
        <v>2573</v>
      </c>
      <c r="K330" s="253" t="n">
        <v>3113</v>
      </c>
      <c r="L330" s="253" t="n">
        <v>3596</v>
      </c>
      <c r="M330" s="253" t="n">
        <v>4242</v>
      </c>
      <c r="N330" s="253" t="n">
        <v>4242</v>
      </c>
      <c r="O330" s="253" t="n">
        <v>4532</v>
      </c>
      <c r="P330" s="253" t="n">
        <v>5426</v>
      </c>
      <c r="Q330" s="253" t="n">
        <v>6142</v>
      </c>
      <c r="R330" s="253" t="n">
        <v>7410</v>
      </c>
      <c r="S330" s="253" t="n">
        <v>7410</v>
      </c>
      <c r="T330" s="253" t="n">
        <v>7768</v>
      </c>
      <c r="U330" s="253" t="n">
        <v>8510</v>
      </c>
      <c r="V330" s="253" t="n">
        <v>8900</v>
      </c>
      <c r="W330" s="253" t="n">
        <v>9926</v>
      </c>
      <c r="X330" s="253" t="n">
        <v>9926</v>
      </c>
      <c r="Y330" s="253" t="n">
        <v>9966</v>
      </c>
      <c r="Z330" s="253" t="n">
        <v>10739</v>
      </c>
      <c r="AA330" s="253" t="n">
        <v>11412</v>
      </c>
      <c r="AB330" s="253" t="n">
        <v>12607</v>
      </c>
      <c r="AC330" s="253" t="n">
        <v>12607</v>
      </c>
      <c r="AD330" s="253" t="n">
        <v>14205</v>
      </c>
      <c r="AE330" s="253" t="n">
        <v>16364</v>
      </c>
      <c r="AF330" s="253" t="n">
        <v>18827</v>
      </c>
      <c r="AG330" s="253" t="n">
        <v>20975</v>
      </c>
      <c r="AH330" s="253" t="n">
        <v>20975</v>
      </c>
      <c r="AI330" s="253" t="n">
        <v>22214</v>
      </c>
      <c r="AJ330" s="253" t="n">
        <v>23666</v>
      </c>
      <c r="AK330" s="253" t="n">
        <v>24562</v>
      </c>
      <c r="AL330" s="253" t="n">
        <v>27213</v>
      </c>
      <c r="AM330" s="253" t="n">
        <v>27213</v>
      </c>
      <c r="AN330" s="253" t="n">
        <v>9400</v>
      </c>
      <c r="AO330" s="253" t="n">
        <v>10149</v>
      </c>
      <c r="AP330" s="253" t="n">
        <v>10925</v>
      </c>
      <c r="AQ330" s="253" t="n">
        <v>12171</v>
      </c>
      <c r="AR330" s="253" t="n">
        <v>12171</v>
      </c>
      <c r="AS330" s="253" t="n">
        <v>12518</v>
      </c>
      <c r="AT330" s="253" t="n">
        <v>14764</v>
      </c>
      <c r="AU330" s="253" t="n">
        <v>15974</v>
      </c>
      <c r="AV330" s="253" t="n">
        <v>17017</v>
      </c>
      <c r="AW330" s="253" t="n">
        <v>17017</v>
      </c>
      <c r="AX330" s="253" t="n">
        <v>19418</v>
      </c>
      <c r="AY330" s="253" t="n">
        <v>21148</v>
      </c>
      <c r="AZ330" s="253" t="n">
        <v>23945</v>
      </c>
      <c r="BA330" s="253" t="n">
        <v>23643</v>
      </c>
      <c r="BB330" s="253" t="n">
        <v>23643</v>
      </c>
      <c r="BC330" s="253" t="n">
        <v>23971</v>
      </c>
      <c r="BD330" s="253" t="n">
        <v>23458</v>
      </c>
      <c r="BE330" s="253" t="n">
        <v>22259</v>
      </c>
      <c r="BF330" s="253" t="n">
        <v>21121</v>
      </c>
      <c r="BG330" s="253" t="n">
        <v>21121</v>
      </c>
      <c r="BH330" s="253" t="n">
        <v>20931</v>
      </c>
      <c r="BI330" s="253" t="n">
        <v>21853</v>
      </c>
      <c r="BJ330" s="253" t="n">
        <v>21707</v>
      </c>
      <c r="BK330" s="253" t="n">
        <v>25451</v>
      </c>
      <c r="BL330" s="253" t="n">
        <v>25451</v>
      </c>
      <c r="BM330" s="253" t="n">
        <v>26657</v>
      </c>
      <c r="BN330" s="253" t="n">
        <v>27226</v>
      </c>
      <c r="BO330" s="253" t="n">
        <v>29306</v>
      </c>
      <c r="BP330" s="253" t="n">
        <v>28593</v>
      </c>
      <c r="BQ330" s="253" t="n">
        <v>28593</v>
      </c>
      <c r="BR330" s="253" t="n">
        <v>27973</v>
      </c>
      <c r="BS330" s="253" t="n">
        <v>27535</v>
      </c>
      <c r="BT330" s="253" t="n">
        <v>27675</v>
      </c>
      <c r="BU330" s="253" t="n">
        <v>35985</v>
      </c>
      <c r="BV330" s="253" t="n">
        <v>35985</v>
      </c>
      <c r="BW330" s="253" t="n">
        <v>48072</v>
      </c>
      <c r="BX330" s="253" t="n">
        <v>79563</v>
      </c>
      <c r="BY330" s="35" t="n"/>
      <c r="BZ330" s="35" t="n"/>
      <c r="CA330" s="254">
        <f>BX330+(CA253-SUM(BW253:BX253))</f>
        <v>83563</v>
      </c>
      <c r="CB330" s="254">
        <f>CA330+CB253</f>
        <v>89563</v>
      </c>
      <c r="CC330" s="254">
        <f>CB330+CC253</f>
        <v>95563</v>
      </c>
      <c r="CD330" s="254">
        <f>CC330+CD253</f>
        <v>101563</v>
      </c>
      <c r="CE330" s="254">
        <f>CD330+CE253</f>
        <v>107563</v>
      </c>
      <c r="CF330" s="19" t="n"/>
    </row>
    <row r="331" ht="15" customHeight="1" s="251">
      <c r="B331" s="16" t="inlineStr">
        <is>
          <t>Total liabilities</t>
        </is>
      </c>
      <c r="C331" s="275">
        <f>IF(ISNUMBER(C323),C327+SUM(C328:C330),"")</f>
        <v>3932</v>
      </c>
      <c r="D331" s="275">
        <f>IF(ISNUMBER(D323),D327+SUM(D328:D330),"")</f>
        <v>5288</v>
      </c>
      <c r="E331" s="275">
        <f>IF(ISNUMBER(E323),E327+SUM(E328:E330),"")</f>
        <v>5642</v>
      </c>
      <c r="F331" s="275">
        <f>IF(ISNUMBER(F323),F327+SUM(F328:F330),"")</f>
        <v>8556</v>
      </c>
      <c r="G331" s="275">
        <f>IF(ISNUMBER(G323),G327+SUM(G328:G330),"")</f>
        <v>11933</v>
      </c>
      <c r="H331" s="275">
        <f>IF(ISNUMBER(H323),H327+SUM(H328:H330),"")</f>
        <v>17521</v>
      </c>
      <c r="I331" s="275">
        <f>IF(ISNUMBER(I323),I327+SUM(I328:I330),"")</f>
        <v>24363</v>
      </c>
      <c r="J331" s="275">
        <f>IF(ISNUMBER(J323),J327+SUM(J328:J330),"")</f>
        <v>19945</v>
      </c>
      <c r="K331" s="275">
        <f>IF(ISNUMBER(K323),K327+SUM(K328:K330),"")</f>
        <v>20890</v>
      </c>
      <c r="L331" s="275">
        <f>IF(ISNUMBER(L323),L327+SUM(L328:L330),"")</f>
        <v>22774</v>
      </c>
      <c r="M331" s="275">
        <f>IF(ISNUMBER(M323),M327+SUM(M328:M330),"")</f>
        <v>30413</v>
      </c>
      <c r="N331" s="275">
        <f>IF(ISNUMBER(N323),N327+SUM(N328:N330),"")</f>
        <v>30413</v>
      </c>
      <c r="O331" s="275">
        <f>IF(ISNUMBER(O323),O327+SUM(O328:O330),"")</f>
        <v>26036</v>
      </c>
      <c r="P331" s="275">
        <f>IF(ISNUMBER(P323),P327+SUM(P328:P330),"")</f>
        <v>27296</v>
      </c>
      <c r="Q331" s="275">
        <f>IF(ISNUMBER(Q323),Q327+SUM(Q328:Q330),"")</f>
        <v>30083</v>
      </c>
      <c r="R331" s="275">
        <f>IF(ISNUMBER(R323),R327+SUM(R328:R330),"")</f>
        <v>43764</v>
      </c>
      <c r="S331" s="275">
        <f>IF(ISNUMBER(S323),S327+SUM(S328:S330),"")</f>
        <v>43764</v>
      </c>
      <c r="T331" s="275">
        <f>IF(ISNUMBER(T323),T327+SUM(T328:T330),"")</f>
        <v>39202</v>
      </c>
      <c r="U331" s="275">
        <f>IF(ISNUMBER(U323),U327+SUM(U328:U330),"")</f>
        <v>40672</v>
      </c>
      <c r="V331" s="275">
        <f>IF(ISNUMBER(V323),V327+SUM(V328:V330),"")</f>
        <v>43800</v>
      </c>
      <c r="W331" s="275">
        <f>IF(ISNUMBER(W323),W327+SUM(W328:W330),"")</f>
        <v>52060</v>
      </c>
      <c r="X331" s="275">
        <f>IF(ISNUMBER(X323),X327+SUM(X328:X330),"")</f>
        <v>52060</v>
      </c>
      <c r="Y331" s="275">
        <f>IF(ISNUMBER(Y323),Y327+SUM(Y328:Y330),"")</f>
        <v>46372</v>
      </c>
      <c r="Z331" s="275">
        <f>IF(ISNUMBER(Z323),Z327+SUM(Z328:Z330),"")</f>
        <v>48538</v>
      </c>
      <c r="AA331" s="275">
        <f>IF(ISNUMBER(AA323),AA327+SUM(AA328:AA330),"")</f>
        <v>53115</v>
      </c>
      <c r="AB331" s="275">
        <f>IF(ISNUMBER(AB323),AB327+SUM(AB328:AB330),"")</f>
        <v>64117</v>
      </c>
      <c r="AC331" s="275">
        <f>IF(ISNUMBER(AC323),AC327+SUM(AC328:AC330),"")</f>
        <v>64117</v>
      </c>
      <c r="AD331" s="275">
        <f>IF(ISNUMBER(AD323),AD327+SUM(AD328:AD330),"")</f>
        <v>59295</v>
      </c>
      <c r="AE331" s="275">
        <f>IF(ISNUMBER(AE323),AE327+SUM(AE328:AE330),"")</f>
        <v>64567</v>
      </c>
      <c r="AF331" s="275">
        <f>IF(ISNUMBER(AF323),AF327+SUM(AF328:AF330),"")</f>
        <v>90609</v>
      </c>
      <c r="AG331" s="275">
        <f>IF(ISNUMBER(AG323),AG327+SUM(AG328:AG330),"")</f>
        <v>103601</v>
      </c>
      <c r="AH331" s="275">
        <f>IF(ISNUMBER(AH323),AH327+SUM(AH328:AH330),"")</f>
        <v>103601</v>
      </c>
      <c r="AI331" s="275">
        <f>IF(ISNUMBER(AI323),AI327+SUM(AI328:AI330),"")</f>
        <v>94899</v>
      </c>
      <c r="AJ331" s="275">
        <f>IF(ISNUMBER(AJ323),AJ327+SUM(AJ328:AJ330),"")</f>
        <v>99105</v>
      </c>
      <c r="AK331" s="275">
        <f>IF(ISNUMBER(AK323),AK327+SUM(AK328:AK330),"")</f>
        <v>104570</v>
      </c>
      <c r="AL331" s="275">
        <f>IF(ISNUMBER(AL323),AL327+SUM(AL328:AL330),"")</f>
        <v>119099</v>
      </c>
      <c r="AM331" s="275">
        <f>IF(ISNUMBER(AM323),AM327+SUM(AM328:AM330),"")</f>
        <v>119099</v>
      </c>
      <c r="AN331" s="275">
        <f>IF(ISNUMBER(AN323),AN327+SUM(AN328:AN330),"")</f>
        <v>129692</v>
      </c>
      <c r="AO331" s="275">
        <f>IF(ISNUMBER(AO323),AO327+SUM(AO328:AO330),"")</f>
        <v>138290</v>
      </c>
      <c r="AP331" s="275">
        <f>IF(ISNUMBER(AP323),AP327+SUM(AP328:AP330),"")</f>
        <v>142591</v>
      </c>
      <c r="AQ331" s="275">
        <f>IF(ISNUMBER(AQ323),AQ327+SUM(AQ328:AQ330),"")</f>
        <v>163188</v>
      </c>
      <c r="AR331" s="275">
        <f>IF(ISNUMBER(AR323),AR327+SUM(AR328:AR330),"")</f>
        <v>163188</v>
      </c>
      <c r="AS331" s="275">
        <f>IF(ISNUMBER(AS323),AS327+SUM(AS328:AS330),"")</f>
        <v>155966</v>
      </c>
      <c r="AT331" s="275">
        <f>IF(ISNUMBER(AT323),AT327+SUM(AT328:AT330),"")</f>
        <v>184586</v>
      </c>
      <c r="AU331" s="275">
        <f>IF(ISNUMBER(AU323),AU327+SUM(AU328:AU330),"")</f>
        <v>199404</v>
      </c>
      <c r="AV331" s="275">
        <f>IF(ISNUMBER(AV323),AV327+SUM(AV328:AV330),"")</f>
        <v>227791</v>
      </c>
      <c r="AW331" s="275">
        <f>IF(ISNUMBER(AW323),AW327+SUM(AW328:AW330),"")</f>
        <v>227791</v>
      </c>
      <c r="AX331" s="275">
        <f>IF(ISNUMBER(AX323),AX327+SUM(AX328:AX330),"")</f>
        <v>219757</v>
      </c>
      <c r="AY331" s="275">
        <f>IF(ISNUMBER(AY323),AY327+SUM(AY328:AY330),"")</f>
        <v>245516</v>
      </c>
      <c r="AZ331" s="275">
        <f>IF(ISNUMBER(AZ323),AZ327+SUM(AZ328:AZ330),"")</f>
        <v>261842</v>
      </c>
      <c r="BA331" s="275">
        <f>IF(ISNUMBER(BA323),BA327+SUM(BA328:BA330),"")</f>
        <v>282304</v>
      </c>
      <c r="BB331" s="275">
        <f>IF(ISNUMBER(BB323),BB327+SUM(BB328:BB330),"")</f>
        <v>282304</v>
      </c>
      <c r="BC331" s="275">
        <f>IF(ISNUMBER(BC323),BC327+SUM(BC328:BC330),"")</f>
        <v>276766</v>
      </c>
      <c r="BD331" s="275">
        <f>IF(ISNUMBER(BD323),BD327+SUM(BD328:BD330),"")</f>
        <v>288326</v>
      </c>
      <c r="BE331" s="275">
        <f>IF(ISNUMBER(BE323),BE327+SUM(BE328:BE330),"")</f>
        <v>290873</v>
      </c>
      <c r="BF331" s="275">
        <f>IF(ISNUMBER(BF323),BF327+SUM(BF328:BF330),"")</f>
        <v>316632</v>
      </c>
      <c r="BG331" s="275">
        <f>IF(ISNUMBER(BG323),BG327+SUM(BG328:BG330),"")</f>
        <v>316632</v>
      </c>
      <c r="BH331" s="275">
        <f>IF(ISNUMBER(BH323),BH327+SUM(BH328:BH330),"")</f>
        <v>309852</v>
      </c>
      <c r="BI331" s="275">
        <f>IF(ISNUMBER(BI323),BI327+SUM(BI328:BI330),"")</f>
        <v>309005</v>
      </c>
      <c r="BJ331" s="275">
        <f>IF(ISNUMBER(BJ323),BJ327+SUM(BJ328:BJ330),"")</f>
        <v>303910</v>
      </c>
      <c r="BK331" s="275">
        <f>IF(ISNUMBER(BK323),BK327+SUM(BK328:BK330),"")</f>
        <v>325979</v>
      </c>
      <c r="BL331" s="275">
        <f>IF(ISNUMBER(BL323),BL327+SUM(BL328:BL330),"")</f>
        <v>325979</v>
      </c>
      <c r="BM331" s="275">
        <f>IF(ISNUMBER(BM323),BM327+SUM(BM328:BM330),"")</f>
        <v>314308</v>
      </c>
      <c r="BN331" s="275">
        <f>IF(ISNUMBER(BN323),BN327+SUM(BN328:BN330),"")</f>
        <v>318371</v>
      </c>
      <c r="BO331" s="275">
        <f>IF(ISNUMBER(BO323),BO327+SUM(BO328:BO330),"")</f>
        <v>325475</v>
      </c>
      <c r="BP331" s="275">
        <f>IF(ISNUMBER(BP323),BP327+SUM(BP328:BP330),"")</f>
        <v>338924</v>
      </c>
      <c r="BQ331" s="275">
        <f>IF(ISNUMBER(BQ323),BQ327+SUM(BQ328:BQ330),"")</f>
        <v>338924</v>
      </c>
      <c r="BR331" s="275">
        <f>IF(ISNUMBER(BR323),BR327+SUM(BR328:BR330),"")</f>
        <v>337389</v>
      </c>
      <c r="BS331" s="275">
        <f>IF(ISNUMBER(BS323),BS327+SUM(BS328:BS330),"")</f>
        <v>348395</v>
      </c>
      <c r="BT331" s="275">
        <f>IF(ISNUMBER(BT323),BT327+SUM(BT328:BT330),"")</f>
        <v>358290</v>
      </c>
      <c r="BU331" s="275">
        <f>IF(ISNUMBER(BU323),BU327+SUM(BU328:BU330),"")</f>
        <v>406977</v>
      </c>
      <c r="BV331" s="275">
        <f>IF(ISNUMBER(BV323),BV327+SUM(BV328:BV330),"")</f>
        <v>406977</v>
      </c>
      <c r="BW331" s="275">
        <f>IF(ISNUMBER(BW323),BW327+SUM(BW328:BW330),"")</f>
        <v>474716</v>
      </c>
      <c r="BX331" s="275">
        <f>IF(ISNUMBER(BX323),BX327+SUM(BX328:BX330),"")</f>
        <v>544069</v>
      </c>
      <c r="BY331" s="32" t="n"/>
      <c r="BZ331" s="32" t="n"/>
      <c r="CA331" s="265">
        <f>IF(ISNUMBER(CA323),CA327+SUM(CA328:CA330),"")</f>
        <v>588318.189094459</v>
      </c>
      <c r="CB331" s="265">
        <f>IF(ISNUMBER(CB323),CB327+SUM(CB328:CB330),"")</f>
        <v>623188.17950717</v>
      </c>
      <c r="CC331" s="265">
        <f>IF(ISNUMBER(CC323),CC327+SUM(CC328:CC330),"")</f>
        <v>662826.549201034</v>
      </c>
      <c r="CD331" s="265">
        <f>IF(ISNUMBER(CD323),CD327+SUM(CD328:CD330),"")</f>
        <v>704077.10187398</v>
      </c>
      <c r="CE331" s="265">
        <f>IF(ISNUMBER(CE323),CE327+SUM(CE328:CE330),"")</f>
        <v>745194.157876886</v>
      </c>
      <c r="CF331" s="153" t="n"/>
    </row>
    <row r="332" ht="15" customHeight="1" s="251">
      <c r="B332" s="25" t="inlineStr">
        <is>
          <t xml:space="preserve">  Total stockholders' equity</t>
        </is>
      </c>
      <c r="C332" s="253" t="n">
        <v>431</v>
      </c>
      <c r="D332" s="253" t="n">
        <v>1197</v>
      </c>
      <c r="E332" s="253" t="n">
        <v>2672</v>
      </c>
      <c r="F332" s="253" t="n">
        <v>5257</v>
      </c>
      <c r="G332" s="253" t="n">
        <v>6864</v>
      </c>
      <c r="H332" s="253" t="n">
        <v>7757</v>
      </c>
      <c r="I332" s="253" t="n">
        <v>8192</v>
      </c>
      <c r="J332" s="253" t="n">
        <v>8432</v>
      </c>
      <c r="K332" s="253" t="n">
        <v>8733</v>
      </c>
      <c r="L332" s="253" t="n">
        <v>9087</v>
      </c>
      <c r="M332" s="253" t="n">
        <v>9746</v>
      </c>
      <c r="N332" s="253" t="n">
        <v>9746</v>
      </c>
      <c r="O332" s="253" t="n">
        <v>10328</v>
      </c>
      <c r="P332" s="253" t="n">
        <v>10602</v>
      </c>
      <c r="Q332" s="253" t="n">
        <v>10336</v>
      </c>
      <c r="R332" s="253" t="n">
        <v>10741</v>
      </c>
      <c r="S332" s="253" t="n">
        <v>10741</v>
      </c>
      <c r="T332" s="253" t="n">
        <v>10873</v>
      </c>
      <c r="U332" s="253" t="n">
        <v>11768</v>
      </c>
      <c r="V332" s="253" t="n">
        <v>12430</v>
      </c>
      <c r="W332" s="253" t="n">
        <v>13384</v>
      </c>
      <c r="X332" s="253" t="n">
        <v>13384</v>
      </c>
      <c r="Y332" s="253" t="n">
        <v>14756</v>
      </c>
      <c r="Z332" s="253" t="n">
        <v>16538</v>
      </c>
      <c r="AA332" s="253" t="n">
        <v>17782</v>
      </c>
      <c r="AB332" s="253" t="n">
        <v>19285</v>
      </c>
      <c r="AC332" s="253" t="n">
        <v>19285</v>
      </c>
      <c r="AD332" s="253" t="n">
        <v>21674</v>
      </c>
      <c r="AE332" s="253" t="n">
        <v>23214</v>
      </c>
      <c r="AF332" s="253" t="n">
        <v>24658</v>
      </c>
      <c r="AG332" s="253" t="n">
        <v>27709</v>
      </c>
      <c r="AH332" s="253" t="n">
        <v>27709</v>
      </c>
      <c r="AI332" s="253" t="n">
        <v>31463</v>
      </c>
      <c r="AJ332" s="253" t="n">
        <v>34995</v>
      </c>
      <c r="AK332" s="253" t="n">
        <v>39125</v>
      </c>
      <c r="AL332" s="253" t="n">
        <v>43549</v>
      </c>
      <c r="AM332" s="253" t="n">
        <v>43549</v>
      </c>
      <c r="AN332" s="253" t="n">
        <v>48410</v>
      </c>
      <c r="AO332" s="253" t="n">
        <v>53061</v>
      </c>
      <c r="AP332" s="253" t="n">
        <v>56508</v>
      </c>
      <c r="AQ332" s="253" t="n">
        <v>62060</v>
      </c>
      <c r="AR332" s="253" t="n">
        <v>62060</v>
      </c>
      <c r="AS332" s="253" t="n">
        <v>65272</v>
      </c>
      <c r="AT332" s="253" t="n">
        <v>73728</v>
      </c>
      <c r="AU332" s="253" t="n">
        <v>82775</v>
      </c>
      <c r="AV332" s="253" t="n">
        <v>93404</v>
      </c>
      <c r="AW332" s="253" t="n">
        <v>93404</v>
      </c>
      <c r="AX332" s="253" t="n">
        <v>103320</v>
      </c>
      <c r="AY332" s="253" t="n">
        <v>114803</v>
      </c>
      <c r="AZ332" s="253" t="n">
        <v>120564</v>
      </c>
      <c r="BA332" s="253" t="n">
        <v>138245</v>
      </c>
      <c r="BB332" s="253" t="n">
        <v>138245</v>
      </c>
      <c r="BC332" s="253" t="n">
        <v>134001</v>
      </c>
      <c r="BD332" s="253" t="n">
        <v>131402</v>
      </c>
      <c r="BE332" s="253" t="n">
        <v>137489</v>
      </c>
      <c r="BF332" s="253" t="n">
        <v>146043</v>
      </c>
      <c r="BG332" s="253" t="n">
        <v>146043</v>
      </c>
      <c r="BH332" s="253" t="n">
        <v>154526</v>
      </c>
      <c r="BI332" s="253" t="n">
        <v>168602</v>
      </c>
      <c r="BJ332" s="253" t="n">
        <v>182973</v>
      </c>
      <c r="BK332" s="253" t="n">
        <v>201875</v>
      </c>
      <c r="BL332" s="253" t="n">
        <v>201875</v>
      </c>
      <c r="BM332" s="253" t="n">
        <v>216661</v>
      </c>
      <c r="BN332" s="253" t="n">
        <v>236447</v>
      </c>
      <c r="BO332" s="253" t="n">
        <v>259151</v>
      </c>
      <c r="BP332" s="253" t="n">
        <v>285970</v>
      </c>
      <c r="BQ332" s="253" t="n">
        <v>285970</v>
      </c>
      <c r="BR332" s="253" t="n">
        <v>305867</v>
      </c>
      <c r="BS332" s="253" t="n">
        <v>333775</v>
      </c>
      <c r="BT332" s="253" t="n">
        <v>369631</v>
      </c>
      <c r="BU332" s="253" t="n">
        <v>411065</v>
      </c>
      <c r="BV332" s="253" t="n">
        <v>411065</v>
      </c>
      <c r="BW332" s="253" t="n">
        <v>441914</v>
      </c>
      <c r="BX332" s="253" t="n">
        <v>551620</v>
      </c>
      <c r="BY332" s="35" t="n"/>
      <c r="BZ332" s="35" t="n"/>
      <c r="CA332" s="254">
        <f>BX332+(BY163+BZ163)+(BY132+BZ132)+(CA264-SUM(BW264:BX264))+(CA267-SUM(BW267:BX267))</f>
        <v>604428.707872045</v>
      </c>
      <c r="CB332" s="254">
        <f>CA332+CB163+CB252+CB264+CB267</f>
        <v>732717.463384703</v>
      </c>
      <c r="CC332" s="254">
        <f>CB332+CC163+CC252+CC264+CC267</f>
        <v>834845.64400717</v>
      </c>
      <c r="CD332" s="254">
        <f>CC332+CD163+CD252+CD264+CD267</f>
        <v>922770.447774104</v>
      </c>
      <c r="CE332" s="254">
        <f>CD332+CE163+CE252+CE264+CE267</f>
        <v>995022.935367707</v>
      </c>
      <c r="CF332" s="19" t="inlineStr">
        <is>
          <t>+ net income + stock-based compensation − repurchases + other financing (OCI held flat). Amazon pays no dividend.</t>
        </is>
      </c>
      <c r="CH332" s="20">
        <f>IFERROR((CE332/BV332)^(1/5)-1,"n/m")</f>
        <v>0.193395836029693</v>
      </c>
      <c r="CI332" s="20">
        <f>IFERROR((BV332/AW332)^(1/5)-1,"n/m")</f>
        <v>0.344958875022124</v>
      </c>
      <c r="CJ332" s="20">
        <f>IFERROR((BV332/X332)^(1/10)-1,"n/m")</f>
        <v>0.408420887596034</v>
      </c>
      <c r="CK332" s="20">
        <f>IFERROR((BV332/C332)^(1/19)-1,"n/m")</f>
        <v>0.43486907405814</v>
      </c>
    </row>
    <row r="333" ht="15" customHeight="1" s="251">
      <c r="B333" s="25" t="inlineStr">
        <is>
          <t xml:space="preserve">  Noncontrolling interests — none</t>
        </is>
      </c>
      <c r="C333" s="34" t="n"/>
      <c r="D333" s="34" t="n"/>
      <c r="E333" s="34" t="n"/>
      <c r="F333" s="34" t="n"/>
      <c r="G333" s="34" t="n"/>
      <c r="H333" s="34" t="n"/>
      <c r="I333" s="34" t="n"/>
      <c r="J333" s="34" t="n"/>
      <c r="K333" s="34" t="n"/>
      <c r="L333" s="34" t="n"/>
      <c r="M333" s="34" t="n"/>
      <c r="N333" s="34" t="n"/>
      <c r="O333" s="34" t="n"/>
      <c r="P333" s="34" t="n"/>
      <c r="Q333" s="34" t="n"/>
      <c r="R333" s="34" t="n"/>
      <c r="S333" s="34" t="n"/>
      <c r="T333" s="34" t="n"/>
      <c r="U333" s="34" t="n"/>
      <c r="V333" s="34" t="n"/>
      <c r="W333" s="34" t="n"/>
      <c r="X333" s="34" t="n"/>
      <c r="Y333" s="34" t="n"/>
      <c r="Z333" s="34" t="n"/>
      <c r="AA333" s="34" t="n"/>
      <c r="AB333" s="34" t="n"/>
      <c r="AC333" s="34" t="n"/>
      <c r="AD333" s="34" t="n"/>
      <c r="AE333" s="34" t="n"/>
      <c r="AF333" s="34" t="n"/>
      <c r="AG333" s="34" t="n"/>
      <c r="AH333" s="34" t="n"/>
      <c r="AI333" s="34" t="n"/>
      <c r="AJ333" s="34" t="n"/>
      <c r="AK333" s="34" t="n"/>
      <c r="AL333" s="34" t="n"/>
      <c r="AM333" s="34" t="n"/>
      <c r="AN333" s="34" t="n"/>
      <c r="AO333" s="34" t="n"/>
      <c r="AP333" s="34" t="n"/>
      <c r="AQ333" s="34" t="n"/>
      <c r="AR333" s="34" t="n"/>
      <c r="AS333" s="34" t="n"/>
      <c r="AT333" s="34" t="n"/>
      <c r="AU333" s="34" t="n"/>
      <c r="AV333" s="34" t="n"/>
      <c r="AW333" s="34" t="n"/>
      <c r="AX333" s="34" t="n"/>
      <c r="AY333" s="34" t="n"/>
      <c r="AZ333" s="34" t="n"/>
      <c r="BA333" s="34" t="n"/>
      <c r="BB333" s="34" t="n"/>
      <c r="BC333" s="34" t="n"/>
      <c r="BD333" s="34" t="n"/>
      <c r="BE333" s="34" t="n"/>
      <c r="BF333" s="34" t="n"/>
      <c r="BG333" s="34" t="n"/>
      <c r="BH333" s="34" t="n"/>
      <c r="BI333" s="34" t="n"/>
      <c r="BJ333" s="34" t="n"/>
      <c r="BK333" s="34" t="n"/>
      <c r="BL333" s="34" t="n"/>
      <c r="BM333" s="34" t="n"/>
      <c r="BN333" s="34" t="n"/>
      <c r="BO333" s="34" t="n"/>
      <c r="BP333" s="34" t="n"/>
      <c r="BQ333" s="34" t="n"/>
      <c r="BR333" s="34" t="n"/>
      <c r="BS333" s="34" t="n"/>
      <c r="BT333" s="34" t="n"/>
      <c r="BU333" s="34" t="n"/>
      <c r="BV333" s="34" t="n"/>
      <c r="BW333" s="34" t="n"/>
      <c r="BX333" s="34" t="n"/>
      <c r="BY333" s="35" t="n"/>
      <c r="BZ333" s="35" t="n"/>
      <c r="CA333" s="254">
        <f>0</f>
        <v>0</v>
      </c>
      <c r="CB333" s="254">
        <f>0</f>
        <v>0</v>
      </c>
      <c r="CC333" s="254">
        <f>0</f>
        <v>0</v>
      </c>
      <c r="CD333" s="254">
        <f>0</f>
        <v>0</v>
      </c>
      <c r="CE333" s="254">
        <f>0</f>
        <v>0</v>
      </c>
      <c r="CF333" s="19" t="n"/>
    </row>
    <row r="334" ht="15" customHeight="1" s="251">
      <c r="B334" s="55" t="inlineStr">
        <is>
          <t>TOTAL LIABILITIES AND STOCKHOLDERS' EQUITY</t>
        </is>
      </c>
      <c r="C334" s="262">
        <f>IF(ISNUMBER(C331),C331+C332+N(C333),"")</f>
        <v>4363</v>
      </c>
      <c r="D334" s="262">
        <f>IF(ISNUMBER(D331),D331+D332+N(D333),"")</f>
        <v>6485</v>
      </c>
      <c r="E334" s="262">
        <f>IF(ISNUMBER(E331),E331+E332+N(E333),"")</f>
        <v>8314</v>
      </c>
      <c r="F334" s="262">
        <f>IF(ISNUMBER(F331),F331+F332+N(F333),"")</f>
        <v>13813</v>
      </c>
      <c r="G334" s="262">
        <f>IF(ISNUMBER(G331),G331+G332+N(G333),"")</f>
        <v>18797</v>
      </c>
      <c r="H334" s="262">
        <f>IF(ISNUMBER(H331),H331+H332+N(H333),"")</f>
        <v>25278</v>
      </c>
      <c r="I334" s="262">
        <f>IF(ISNUMBER(I331),I331+I332+N(I333),"")</f>
        <v>32555</v>
      </c>
      <c r="J334" s="262">
        <f>IF(ISNUMBER(J331),J331+J332+N(J333),"")</f>
        <v>28377</v>
      </c>
      <c r="K334" s="262">
        <f>IF(ISNUMBER(K331),K331+K332+N(K333),"")</f>
        <v>29623</v>
      </c>
      <c r="L334" s="262">
        <f>IF(ISNUMBER(L331),L331+L332+N(L333),"")</f>
        <v>31861</v>
      </c>
      <c r="M334" s="262">
        <f>IF(ISNUMBER(M331),M331+M332+N(M333),"")</f>
        <v>40159</v>
      </c>
      <c r="N334" s="262">
        <f>IF(ISNUMBER(N331),N331+N332+N(N333),"")</f>
        <v>40159</v>
      </c>
      <c r="O334" s="262">
        <f>IF(ISNUMBER(O331),O331+O332+N(O333),"")</f>
        <v>36364</v>
      </c>
      <c r="P334" s="262">
        <f>IF(ISNUMBER(P331),P331+P332+N(P333),"")</f>
        <v>37898</v>
      </c>
      <c r="Q334" s="262">
        <f>IF(ISNUMBER(Q331),Q331+Q332+N(Q333),"")</f>
        <v>40419</v>
      </c>
      <c r="R334" s="262">
        <f>IF(ISNUMBER(R331),R331+R332+N(R333),"")</f>
        <v>54505</v>
      </c>
      <c r="S334" s="262">
        <f>IF(ISNUMBER(S331),S331+S332+N(S333),"")</f>
        <v>54505</v>
      </c>
      <c r="T334" s="262">
        <f>IF(ISNUMBER(T331),T331+T332+N(T333),"")</f>
        <v>50075</v>
      </c>
      <c r="U334" s="262">
        <f>IF(ISNUMBER(U331),U331+U332+N(U333),"")</f>
        <v>52440</v>
      </c>
      <c r="V334" s="262">
        <f>IF(ISNUMBER(V331),V331+V332+N(V333),"")</f>
        <v>56230</v>
      </c>
      <c r="W334" s="262">
        <f>IF(ISNUMBER(W331),W331+W332+N(W333),"")</f>
        <v>65444</v>
      </c>
      <c r="X334" s="262">
        <f>IF(ISNUMBER(X331),X331+X332+N(X333),"")</f>
        <v>65444</v>
      </c>
      <c r="Y334" s="262">
        <f>IF(ISNUMBER(Y331),Y331+Y332+N(Y333),"")</f>
        <v>61128</v>
      </c>
      <c r="Z334" s="262">
        <f>IF(ISNUMBER(Z331),Z331+Z332+N(Z333),"")</f>
        <v>65076</v>
      </c>
      <c r="AA334" s="262">
        <f>IF(ISNUMBER(AA331),AA331+AA332+N(AA333),"")</f>
        <v>70897</v>
      </c>
      <c r="AB334" s="262">
        <f>IF(ISNUMBER(AB331),AB331+AB332+N(AB333),"")</f>
        <v>83402</v>
      </c>
      <c r="AC334" s="262">
        <f>IF(ISNUMBER(AC331),AC331+AC332+N(AC333),"")</f>
        <v>83402</v>
      </c>
      <c r="AD334" s="262">
        <f>IF(ISNUMBER(AD331),AD331+AD332+N(AD333),"")</f>
        <v>80969</v>
      </c>
      <c r="AE334" s="262">
        <f>IF(ISNUMBER(AE331),AE331+AE332+N(AE333),"")</f>
        <v>87781</v>
      </c>
      <c r="AF334" s="262">
        <f>IF(ISNUMBER(AF331),AF331+AF332+N(AF333),"")</f>
        <v>115267</v>
      </c>
      <c r="AG334" s="262">
        <f>IF(ISNUMBER(AG331),AG331+AG332+N(AG333),"")</f>
        <v>131310</v>
      </c>
      <c r="AH334" s="262">
        <f>IF(ISNUMBER(AH331),AH331+AH332+N(AH333),"")</f>
        <v>131310</v>
      </c>
      <c r="AI334" s="262">
        <f>IF(ISNUMBER(AI331),AI331+AI332+N(AI333),"")</f>
        <v>126362</v>
      </c>
      <c r="AJ334" s="262">
        <f>IF(ISNUMBER(AJ331),AJ331+AJ332+N(AJ333),"")</f>
        <v>134100</v>
      </c>
      <c r="AK334" s="262">
        <f>IF(ISNUMBER(AK331),AK331+AK332+N(AK333),"")</f>
        <v>143695</v>
      </c>
      <c r="AL334" s="262">
        <f>IF(ISNUMBER(AL331),AL331+AL332+N(AL333),"")</f>
        <v>162648</v>
      </c>
      <c r="AM334" s="262">
        <f>IF(ISNUMBER(AM331),AM331+AM332+N(AM333),"")</f>
        <v>162648</v>
      </c>
      <c r="AN334" s="262">
        <f>IF(ISNUMBER(AN331),AN331+AN332+N(AN333),"")</f>
        <v>178102</v>
      </c>
      <c r="AO334" s="262">
        <f>IF(ISNUMBER(AO331),AO331+AO332+N(AO333),"")</f>
        <v>191351</v>
      </c>
      <c r="AP334" s="262">
        <f>IF(ISNUMBER(AP331),AP331+AP332+N(AP333),"")</f>
        <v>199099</v>
      </c>
      <c r="AQ334" s="262">
        <f>IF(ISNUMBER(AQ331),AQ331+AQ332+N(AQ333),"")</f>
        <v>225248</v>
      </c>
      <c r="AR334" s="262">
        <f>IF(ISNUMBER(AR331),AR331+AR332+N(AR333),"")</f>
        <v>225248</v>
      </c>
      <c r="AS334" s="262">
        <f>IF(ISNUMBER(AS331),AS331+AS332+N(AS333),"")</f>
        <v>221238</v>
      </c>
      <c r="AT334" s="262">
        <f>IF(ISNUMBER(AT331),AT331+AT332+N(AT333),"")</f>
        <v>258314</v>
      </c>
      <c r="AU334" s="262">
        <f>IF(ISNUMBER(AU331),AU331+AU332+N(AU333),"")</f>
        <v>282179</v>
      </c>
      <c r="AV334" s="262">
        <f>IF(ISNUMBER(AV331),AV331+AV332+N(AV333),"")</f>
        <v>321195</v>
      </c>
      <c r="AW334" s="262">
        <f>IF(ISNUMBER(AW331),AW331+AW332+N(AW333),"")</f>
        <v>321195</v>
      </c>
      <c r="AX334" s="262">
        <f>IF(ISNUMBER(AX331),AX331+AX332+N(AX333),"")</f>
        <v>323077</v>
      </c>
      <c r="AY334" s="262">
        <f>IF(ISNUMBER(AY331),AY331+AY332+N(AY333),"")</f>
        <v>360319</v>
      </c>
      <c r="AZ334" s="262">
        <f>IF(ISNUMBER(AZ331),AZ331+AZ332+N(AZ333),"")</f>
        <v>382406</v>
      </c>
      <c r="BA334" s="262">
        <f>IF(ISNUMBER(BA331),BA331+BA332+N(BA333),"")</f>
        <v>420549</v>
      </c>
      <c r="BB334" s="262">
        <f>IF(ISNUMBER(BB331),BB331+BB332+N(BB333),"")</f>
        <v>420549</v>
      </c>
      <c r="BC334" s="262">
        <f>IF(ISNUMBER(BC331),BC331+BC332+N(BC333),"")</f>
        <v>410767</v>
      </c>
      <c r="BD334" s="262">
        <f>IF(ISNUMBER(BD331),BD331+BD332+N(BD333),"")</f>
        <v>419728</v>
      </c>
      <c r="BE334" s="262">
        <f>IF(ISNUMBER(BE331),BE331+BE332+N(BE333),"")</f>
        <v>428362</v>
      </c>
      <c r="BF334" s="262">
        <f>IF(ISNUMBER(BF331),BF331+BF332+N(BF333),"")</f>
        <v>462675</v>
      </c>
      <c r="BG334" s="262">
        <f>IF(ISNUMBER(BG331),BG331+BG332+N(BG333),"")</f>
        <v>462675</v>
      </c>
      <c r="BH334" s="262">
        <f>IF(ISNUMBER(BH331),BH331+BH332+N(BH333),"")</f>
        <v>464378</v>
      </c>
      <c r="BI334" s="262">
        <f>IF(ISNUMBER(BI331),BI331+BI332+N(BI333),"")</f>
        <v>477607</v>
      </c>
      <c r="BJ334" s="262">
        <f>IF(ISNUMBER(BJ331),BJ331+BJ332+N(BJ333),"")</f>
        <v>486883</v>
      </c>
      <c r="BK334" s="262">
        <f>IF(ISNUMBER(BK331),BK331+BK332+N(BK333),"")</f>
        <v>527854</v>
      </c>
      <c r="BL334" s="262">
        <f>IF(ISNUMBER(BL331),BL331+BL332+N(BL333),"")</f>
        <v>527854</v>
      </c>
      <c r="BM334" s="262">
        <f>IF(ISNUMBER(BM331),BM331+BM332+N(BM333),"")</f>
        <v>530969</v>
      </c>
      <c r="BN334" s="262">
        <f>IF(ISNUMBER(BN331),BN331+BN332+N(BN333),"")</f>
        <v>554818</v>
      </c>
      <c r="BO334" s="262">
        <f>IF(ISNUMBER(BO331),BO331+BO332+N(BO333),"")</f>
        <v>584626</v>
      </c>
      <c r="BP334" s="262">
        <f>IF(ISNUMBER(BP331),BP331+BP332+N(BP333),"")</f>
        <v>624894</v>
      </c>
      <c r="BQ334" s="262">
        <f>IF(ISNUMBER(BQ331),BQ331+BQ332+N(BQ333),"")</f>
        <v>624894</v>
      </c>
      <c r="BR334" s="262">
        <f>IF(ISNUMBER(BR331),BR331+BR332+N(BR333),"")</f>
        <v>643256</v>
      </c>
      <c r="BS334" s="262">
        <f>IF(ISNUMBER(BS331),BS331+BS332+N(BS333),"")</f>
        <v>682170</v>
      </c>
      <c r="BT334" s="262">
        <f>IF(ISNUMBER(BT331),BT331+BT332+N(BT333),"")</f>
        <v>727921</v>
      </c>
      <c r="BU334" s="262">
        <f>IF(ISNUMBER(BU331),BU331+BU332+N(BU333),"")</f>
        <v>818042</v>
      </c>
      <c r="BV334" s="262">
        <f>IF(ISNUMBER(BV331),BV331+BV332+N(BV333),"")</f>
        <v>818042</v>
      </c>
      <c r="BW334" s="262">
        <f>IF(ISNUMBER(BW331),BW331+BW332+N(BW333),"")</f>
        <v>916630</v>
      </c>
      <c r="BX334" s="262">
        <f>IF(ISNUMBER(BX331),BX331+BX332+N(BX333),"")</f>
        <v>1095689</v>
      </c>
      <c r="BY334" s="56" t="n"/>
      <c r="BZ334" s="56" t="n"/>
      <c r="CA334" s="262">
        <f>IF(ISNUMBER(CA331),CA331+CA332+N(CA333),"")</f>
        <v>1192746.8969665</v>
      </c>
      <c r="CB334" s="262">
        <f>IF(ISNUMBER(CB331),CB331+CB332+N(CB333),"")</f>
        <v>1355905.64289187</v>
      </c>
      <c r="CC334" s="262">
        <f>IF(ISNUMBER(CC331),CC331+CC332+N(CC333),"")</f>
        <v>1497672.1932082</v>
      </c>
      <c r="CD334" s="262">
        <f>IF(ISNUMBER(CD331),CD331+CD332+N(CD333),"")</f>
        <v>1626847.54964808</v>
      </c>
      <c r="CE334" s="262">
        <f>IF(ISNUMBER(CE331),CE331+CE332+N(CE333),"")</f>
        <v>1740217.09324459</v>
      </c>
      <c r="CF334" s="153" t="n"/>
    </row>
    <row r="335" ht="15" customHeight="1" s="251">
      <c r="B335" s="57" t="inlineStr">
        <is>
          <t>BS tie-out check (TA − TL&amp;E)</t>
        </is>
      </c>
      <c r="C335" s="211">
        <f>IF(ISNUMBER(C321),IF(ABS(C321-C334)&lt;=1.01,0,ROUND(C321-C334,0)),"")</f>
        <v>0</v>
      </c>
      <c r="D335" s="211">
        <f>IF(ISNUMBER(D321),IF(ABS(D321-D334)&lt;=1.01,0,ROUND(D321-D334,0)),"")</f>
        <v>0</v>
      </c>
      <c r="E335" s="211">
        <f>IF(ISNUMBER(E321),IF(ABS(E321-E334)&lt;=1.01,0,ROUND(E321-E334,0)),"")</f>
        <v>0</v>
      </c>
      <c r="F335" s="211">
        <f>IF(ISNUMBER(F321),IF(ABS(F321-F334)&lt;=1.01,0,ROUND(F321-F334,0)),"")</f>
        <v>0</v>
      </c>
      <c r="G335" s="211">
        <f>IF(ISNUMBER(G321),IF(ABS(G321-G334)&lt;=1.01,0,ROUND(G321-G334,0)),"")</f>
        <v>0</v>
      </c>
      <c r="H335" s="211">
        <f>IF(ISNUMBER(H321),IF(ABS(H321-H334)&lt;=1.01,0,ROUND(H321-H334,0)),"")</f>
        <v>0</v>
      </c>
      <c r="I335" s="211">
        <f>IF(ISNUMBER(I321),IF(ABS(I321-I334)&lt;=1.01,0,ROUND(I321-I334,0)),"")</f>
        <v>0</v>
      </c>
      <c r="J335" s="211">
        <f>IF(ISNUMBER(J321),IF(ABS(J321-J334)&lt;=1.01,0,ROUND(J321-J334,0)),"")</f>
        <v>0</v>
      </c>
      <c r="K335" s="211">
        <f>IF(ISNUMBER(K321),IF(ABS(K321-K334)&lt;=1.01,0,ROUND(K321-K334,0)),"")</f>
        <v>0</v>
      </c>
      <c r="L335" s="211">
        <f>IF(ISNUMBER(L321),IF(ABS(L321-L334)&lt;=1.01,0,ROUND(L321-L334,0)),"")</f>
        <v>0</v>
      </c>
      <c r="M335" s="211">
        <f>IF(ISNUMBER(M321),IF(ABS(M321-M334)&lt;=1.01,0,ROUND(M321-M334,0)),"")</f>
        <v>0</v>
      </c>
      <c r="N335" s="211">
        <f>IF(ISNUMBER(N321),IF(ABS(N321-N334)&lt;=1.01,0,ROUND(N321-N334,0)),"")</f>
        <v>0</v>
      </c>
      <c r="O335" s="211">
        <f>IF(ISNUMBER(O321),IF(ABS(O321-O334)&lt;=1.01,0,ROUND(O321-O334,0)),"")</f>
        <v>0</v>
      </c>
      <c r="P335" s="211">
        <f>IF(ISNUMBER(P321),IF(ABS(P321-P334)&lt;=1.01,0,ROUND(P321-P334,0)),"")</f>
        <v>0</v>
      </c>
      <c r="Q335" s="211">
        <f>IF(ISNUMBER(Q321),IF(ABS(Q321-Q334)&lt;=1.01,0,ROUND(Q321-Q334,0)),"")</f>
        <v>0</v>
      </c>
      <c r="R335" s="211">
        <f>IF(ISNUMBER(R321),IF(ABS(R321-R334)&lt;=1.01,0,ROUND(R321-R334,0)),"")</f>
        <v>0</v>
      </c>
      <c r="S335" s="211">
        <f>IF(ISNUMBER(S321),IF(ABS(S321-S334)&lt;=1.01,0,ROUND(S321-S334,0)),"")</f>
        <v>0</v>
      </c>
      <c r="T335" s="211">
        <f>IF(ISNUMBER(T321),IF(ABS(T321-T334)&lt;=1.01,0,ROUND(T321-T334,0)),"")</f>
        <v>0</v>
      </c>
      <c r="U335" s="211">
        <f>IF(ISNUMBER(U321),IF(ABS(U321-U334)&lt;=1.01,0,ROUND(U321-U334,0)),"")</f>
        <v>0</v>
      </c>
      <c r="V335" s="211">
        <f>IF(ISNUMBER(V321),IF(ABS(V321-V334)&lt;=1.01,0,ROUND(V321-V334,0)),"")</f>
        <v>0</v>
      </c>
      <c r="W335" s="211">
        <f>IF(ISNUMBER(W321),IF(ABS(W321-W334)&lt;=1.01,0,ROUND(W321-W334,0)),"")</f>
        <v>0</v>
      </c>
      <c r="X335" s="211">
        <f>IF(ISNUMBER(X321),IF(ABS(X321-X334)&lt;=1.01,0,ROUND(X321-X334,0)),"")</f>
        <v>0</v>
      </c>
      <c r="Y335" s="211">
        <f>IF(ISNUMBER(Y321),IF(ABS(Y321-Y334)&lt;=1.01,0,ROUND(Y321-Y334,0)),"")</f>
        <v>0</v>
      </c>
      <c r="Z335" s="211">
        <f>IF(ISNUMBER(Z321),IF(ABS(Z321-Z334)&lt;=1.01,0,ROUND(Z321-Z334,0)),"")</f>
        <v>0</v>
      </c>
      <c r="AA335" s="211">
        <f>IF(ISNUMBER(AA321),IF(ABS(AA321-AA334)&lt;=1.01,0,ROUND(AA321-AA334,0)),"")</f>
        <v>0</v>
      </c>
      <c r="AB335" s="211">
        <f>IF(ISNUMBER(AB321),IF(ABS(AB321-AB334)&lt;=1.01,0,ROUND(AB321-AB334,0)),"")</f>
        <v>0</v>
      </c>
      <c r="AC335" s="211">
        <f>IF(ISNUMBER(AC321),IF(ABS(AC321-AC334)&lt;=1.01,0,ROUND(AC321-AC334,0)),"")</f>
        <v>0</v>
      </c>
      <c r="AD335" s="211">
        <f>IF(ISNUMBER(AD321),IF(ABS(AD321-AD334)&lt;=1.01,0,ROUND(AD321-AD334,0)),"")</f>
        <v>0</v>
      </c>
      <c r="AE335" s="211">
        <f>IF(ISNUMBER(AE321),IF(ABS(AE321-AE334)&lt;=1.01,0,ROUND(AE321-AE334,0)),"")</f>
        <v>0</v>
      </c>
      <c r="AF335" s="211">
        <f>IF(ISNUMBER(AF321),IF(ABS(AF321-AF334)&lt;=1.01,0,ROUND(AF321-AF334,0)),"")</f>
        <v>0</v>
      </c>
      <c r="AG335" s="211">
        <f>IF(ISNUMBER(AG321),IF(ABS(AG321-AG334)&lt;=1.01,0,ROUND(AG321-AG334,0)),"")</f>
        <v>0</v>
      </c>
      <c r="AH335" s="211">
        <f>IF(ISNUMBER(AH321),IF(ABS(AH321-AH334)&lt;=1.01,0,ROUND(AH321-AH334,0)),"")</f>
        <v>0</v>
      </c>
      <c r="AI335" s="211">
        <f>IF(ISNUMBER(AI321),IF(ABS(AI321-AI334)&lt;=1.01,0,ROUND(AI321-AI334,0)),"")</f>
        <v>0</v>
      </c>
      <c r="AJ335" s="211">
        <f>IF(ISNUMBER(AJ321),IF(ABS(AJ321-AJ334)&lt;=1.01,0,ROUND(AJ321-AJ334,0)),"")</f>
        <v>0</v>
      </c>
      <c r="AK335" s="211">
        <f>IF(ISNUMBER(AK321),IF(ABS(AK321-AK334)&lt;=1.01,0,ROUND(AK321-AK334,0)),"")</f>
        <v>0</v>
      </c>
      <c r="AL335" s="211">
        <f>IF(ISNUMBER(AL321),IF(ABS(AL321-AL334)&lt;=1.01,0,ROUND(AL321-AL334,0)),"")</f>
        <v>0</v>
      </c>
      <c r="AM335" s="211">
        <f>IF(ISNUMBER(AM321),IF(ABS(AM321-AM334)&lt;=1.01,0,ROUND(AM321-AM334,0)),"")</f>
        <v>0</v>
      </c>
      <c r="AN335" s="211">
        <f>IF(ISNUMBER(AN321),IF(ABS(AN321-AN334)&lt;=1.01,0,ROUND(AN321-AN334,0)),"")</f>
        <v>0</v>
      </c>
      <c r="AO335" s="211">
        <f>IF(ISNUMBER(AO321),IF(ABS(AO321-AO334)&lt;=1.01,0,ROUND(AO321-AO334,0)),"")</f>
        <v>0</v>
      </c>
      <c r="AP335" s="211">
        <f>IF(ISNUMBER(AP321),IF(ABS(AP321-AP334)&lt;=1.01,0,ROUND(AP321-AP334,0)),"")</f>
        <v>0</v>
      </c>
      <c r="AQ335" s="211">
        <f>IF(ISNUMBER(AQ321),IF(ABS(AQ321-AQ334)&lt;=1.01,0,ROUND(AQ321-AQ334,0)),"")</f>
        <v>0</v>
      </c>
      <c r="AR335" s="211">
        <f>IF(ISNUMBER(AR321),IF(ABS(AR321-AR334)&lt;=1.01,0,ROUND(AR321-AR334,0)),"")</f>
        <v>0</v>
      </c>
      <c r="AS335" s="211">
        <f>IF(ISNUMBER(AS321),IF(ABS(AS321-AS334)&lt;=1.01,0,ROUND(AS321-AS334,0)),"")</f>
        <v>0</v>
      </c>
      <c r="AT335" s="211">
        <f>IF(ISNUMBER(AT321),IF(ABS(AT321-AT334)&lt;=1.01,0,ROUND(AT321-AT334,0)),"")</f>
        <v>0</v>
      </c>
      <c r="AU335" s="211">
        <f>IF(ISNUMBER(AU321),IF(ABS(AU321-AU334)&lt;=1.01,0,ROUND(AU321-AU334,0)),"")</f>
        <v>0</v>
      </c>
      <c r="AV335" s="211">
        <f>IF(ISNUMBER(AV321),IF(ABS(AV321-AV334)&lt;=1.01,0,ROUND(AV321-AV334,0)),"")</f>
        <v>0</v>
      </c>
      <c r="AW335" s="211">
        <f>IF(ISNUMBER(AW321),IF(ABS(AW321-AW334)&lt;=1.01,0,ROUND(AW321-AW334,0)),"")</f>
        <v>0</v>
      </c>
      <c r="AX335" s="211">
        <f>IF(ISNUMBER(AX321),IF(ABS(AX321-AX334)&lt;=1.01,0,ROUND(AX321-AX334,0)),"")</f>
        <v>0</v>
      </c>
      <c r="AY335" s="211">
        <f>IF(ISNUMBER(AY321),IF(ABS(AY321-AY334)&lt;=1.01,0,ROUND(AY321-AY334,0)),"")</f>
        <v>0</v>
      </c>
      <c r="AZ335" s="211">
        <f>IF(ISNUMBER(AZ321),IF(ABS(AZ321-AZ334)&lt;=1.01,0,ROUND(AZ321-AZ334,0)),"")</f>
        <v>0</v>
      </c>
      <c r="BA335" s="211">
        <f>IF(ISNUMBER(BA321),IF(ABS(BA321-BA334)&lt;=1.01,0,ROUND(BA321-BA334,0)),"")</f>
        <v>0</v>
      </c>
      <c r="BB335" s="211">
        <f>IF(ISNUMBER(BB321),IF(ABS(BB321-BB334)&lt;=1.01,0,ROUND(BB321-BB334,0)),"")</f>
        <v>0</v>
      </c>
      <c r="BC335" s="211">
        <f>IF(ISNUMBER(BC321),IF(ABS(BC321-BC334)&lt;=1.01,0,ROUND(BC321-BC334,0)),"")</f>
        <v>0</v>
      </c>
      <c r="BD335" s="211">
        <f>IF(ISNUMBER(BD321),IF(ABS(BD321-BD334)&lt;=1.01,0,ROUND(BD321-BD334,0)),"")</f>
        <v>0</v>
      </c>
      <c r="BE335" s="211">
        <f>IF(ISNUMBER(BE321),IF(ABS(BE321-BE334)&lt;=1.01,0,ROUND(BE321-BE334,0)),"")</f>
        <v>0</v>
      </c>
      <c r="BF335" s="211">
        <f>IF(ISNUMBER(BF321),IF(ABS(BF321-BF334)&lt;=1.01,0,ROUND(BF321-BF334,0)),"")</f>
        <v>0</v>
      </c>
      <c r="BG335" s="211">
        <f>IF(ISNUMBER(BG321),IF(ABS(BG321-BG334)&lt;=1.01,0,ROUND(BG321-BG334,0)),"")</f>
        <v>0</v>
      </c>
      <c r="BH335" s="211">
        <f>IF(ISNUMBER(BH321),IF(ABS(BH321-BH334)&lt;=1.01,0,ROUND(BH321-BH334,0)),"")</f>
        <v>0</v>
      </c>
      <c r="BI335" s="211">
        <f>IF(ISNUMBER(BI321),IF(ABS(BI321-BI334)&lt;=1.01,0,ROUND(BI321-BI334,0)),"")</f>
        <v>0</v>
      </c>
      <c r="BJ335" s="211">
        <f>IF(ISNUMBER(BJ321),IF(ABS(BJ321-BJ334)&lt;=1.01,0,ROUND(BJ321-BJ334,0)),"")</f>
        <v>0</v>
      </c>
      <c r="BK335" s="211">
        <f>IF(ISNUMBER(BK321),IF(ABS(BK321-BK334)&lt;=1.01,0,ROUND(BK321-BK334,0)),"")</f>
        <v>0</v>
      </c>
      <c r="BL335" s="211">
        <f>IF(ISNUMBER(BL321),IF(ABS(BL321-BL334)&lt;=1.01,0,ROUND(BL321-BL334,0)),"")</f>
        <v>0</v>
      </c>
      <c r="BM335" s="211">
        <f>IF(ISNUMBER(BM321),IF(ABS(BM321-BM334)&lt;=1.01,0,ROUND(BM321-BM334,0)),"")</f>
        <v>0</v>
      </c>
      <c r="BN335" s="211">
        <f>IF(ISNUMBER(BN321),IF(ABS(BN321-BN334)&lt;=1.01,0,ROUND(BN321-BN334,0)),"")</f>
        <v>0</v>
      </c>
      <c r="BO335" s="211">
        <f>IF(ISNUMBER(BO321),IF(ABS(BO321-BO334)&lt;=1.01,0,ROUND(BO321-BO334,0)),"")</f>
        <v>0</v>
      </c>
      <c r="BP335" s="211">
        <f>IF(ISNUMBER(BP321),IF(ABS(BP321-BP334)&lt;=1.01,0,ROUND(BP321-BP334,0)),"")</f>
        <v>0</v>
      </c>
      <c r="BQ335" s="211">
        <f>IF(ISNUMBER(BQ321),IF(ABS(BQ321-BQ334)&lt;=1.01,0,ROUND(BQ321-BQ334,0)),"")</f>
        <v>0</v>
      </c>
      <c r="BR335" s="211">
        <f>IF(ISNUMBER(BR321),IF(ABS(BR321-BR334)&lt;=1.01,0,ROUND(BR321-BR334,0)),"")</f>
        <v>0</v>
      </c>
      <c r="BS335" s="211">
        <f>IF(ISNUMBER(BS321),IF(ABS(BS321-BS334)&lt;=1.01,0,ROUND(BS321-BS334,0)),"")</f>
        <v>0</v>
      </c>
      <c r="BT335" s="211">
        <f>IF(ISNUMBER(BT321),IF(ABS(BT321-BT334)&lt;=1.01,0,ROUND(BT321-BT334,0)),"")</f>
        <v>0</v>
      </c>
      <c r="BU335" s="211">
        <f>IF(ISNUMBER(BU321),IF(ABS(BU321-BU334)&lt;=1.01,0,ROUND(BU321-BU334,0)),"")</f>
        <v>0</v>
      </c>
      <c r="BV335" s="211">
        <f>IF(ISNUMBER(BV321),IF(ABS(BV321-BV334)&lt;=1.01,0,ROUND(BV321-BV334,0)),"")</f>
        <v>0</v>
      </c>
      <c r="BW335" s="211">
        <f>IF(ISNUMBER(BW321),IF(ABS(BW321-BW334)&lt;=1.01,0,ROUND(BW321-BW334,0)),"")</f>
        <v>0</v>
      </c>
      <c r="BX335" s="211">
        <f>IF(ISNUMBER(BX321),IF(ABS(BX321-BX334)&lt;=1.01,0,ROUND(BX321-BX334,0)),"")</f>
        <v>0</v>
      </c>
      <c r="BY335" s="153" t="n"/>
      <c r="BZ335" s="153" t="n"/>
      <c r="CA335" s="266">
        <f>IF(ISNUMBER(CA321),IF(ABS(CA321-CA334)&lt;=1.01,0,ROUND(CA321-CA334,0)),"")</f>
        <v>0</v>
      </c>
      <c r="CB335" s="266">
        <f>IF(ISNUMBER(CB321),IF(ABS(CB321-CB334)&lt;=1.01,0,ROUND(CB321-CB334,0)),"")</f>
        <v>0</v>
      </c>
      <c r="CC335" s="266">
        <f>IF(ISNUMBER(CC321),IF(ABS(CC321-CC334)&lt;=1.01,0,ROUND(CC321-CC334,0)),"")</f>
        <v>0</v>
      </c>
      <c r="CD335" s="266">
        <f>IF(ISNUMBER(CD321),IF(ABS(CD321-CD334)&lt;=1.01,0,ROUND(CD321-CD334,0)),"")</f>
        <v>0</v>
      </c>
      <c r="CE335" s="266">
        <f>IF(ISNUMBER(CE321),IF(ABS(CE321-CE334)&lt;=1.01,0,ROUND(CE321-CE334,0)),"")</f>
        <v>0</v>
      </c>
      <c r="CF335" s="153" t="n"/>
    </row>
    <row r="336" ht="15" customHeight="1" s="251">
      <c r="B336" s="57" t="inlineStr">
        <is>
          <t xml:space="preserve">  Check: model total assets vs reported (should be 0)</t>
        </is>
      </c>
      <c r="C336" s="211">
        <f>IF(ISNUMBER(C337),IF(ABS(C321-C337)&lt;=1.01,0,ROUND(C321-C337,0)),"")</f>
        <v>0</v>
      </c>
      <c r="D336" s="211">
        <f>IF(ISNUMBER(D337),IF(ABS(D321-D337)&lt;=1.01,0,ROUND(D321-D337,0)),"")</f>
        <v>0</v>
      </c>
      <c r="E336" s="211">
        <f>IF(ISNUMBER(E337),IF(ABS(E321-E337)&lt;=1.01,0,ROUND(E321-E337,0)),"")</f>
        <v>0</v>
      </c>
      <c r="F336" s="211">
        <f>IF(ISNUMBER(F337),IF(ABS(F321-F337)&lt;=1.01,0,ROUND(F321-F337,0)),"")</f>
        <v>0</v>
      </c>
      <c r="G336" s="211">
        <f>IF(ISNUMBER(G337),IF(ABS(G321-G337)&lt;=1.01,0,ROUND(G321-G337,0)),"")</f>
        <v>0</v>
      </c>
      <c r="H336" s="211">
        <f>IF(ISNUMBER(H337),IF(ABS(H321-H337)&lt;=1.01,0,ROUND(H321-H337,0)),"")</f>
        <v>0</v>
      </c>
      <c r="I336" s="211">
        <f>IF(ISNUMBER(I337),IF(ABS(I321-I337)&lt;=1.01,0,ROUND(I321-I337,0)),"")</f>
        <v>0</v>
      </c>
      <c r="J336" s="211">
        <f>IF(ISNUMBER(J337),IF(ABS(J321-J337)&lt;=1.01,0,ROUND(J321-J337,0)),"")</f>
        <v>0</v>
      </c>
      <c r="K336" s="211">
        <f>IF(ISNUMBER(K337),IF(ABS(K321-K337)&lt;=1.01,0,ROUND(K321-K337,0)),"")</f>
        <v>0</v>
      </c>
      <c r="L336" s="211">
        <f>IF(ISNUMBER(L337),IF(ABS(L321-L337)&lt;=1.01,0,ROUND(L321-L337,0)),"")</f>
        <v>0</v>
      </c>
      <c r="M336" s="211">
        <f>IF(ISNUMBER(M337),IF(ABS(M321-M337)&lt;=1.01,0,ROUND(M321-M337,0)),"")</f>
        <v>0</v>
      </c>
      <c r="N336" s="211">
        <f>IF(ISNUMBER(N337),IF(ABS(N321-N337)&lt;=1.01,0,ROUND(N321-N337,0)),"")</f>
        <v>0</v>
      </c>
      <c r="O336" s="211">
        <f>IF(ISNUMBER(O337),IF(ABS(O321-O337)&lt;=1.01,0,ROUND(O321-O337,0)),"")</f>
        <v>0</v>
      </c>
      <c r="P336" s="211">
        <f>IF(ISNUMBER(P337),IF(ABS(P321-P337)&lt;=1.01,0,ROUND(P321-P337,0)),"")</f>
        <v>0</v>
      </c>
      <c r="Q336" s="211">
        <f>IF(ISNUMBER(Q337),IF(ABS(Q321-Q337)&lt;=1.01,0,ROUND(Q321-Q337,0)),"")</f>
        <v>0</v>
      </c>
      <c r="R336" s="211">
        <f>IF(ISNUMBER(R337),IF(ABS(R321-R337)&lt;=1.01,0,ROUND(R321-R337,0)),"")</f>
        <v>0</v>
      </c>
      <c r="S336" s="211">
        <f>IF(ISNUMBER(S337),IF(ABS(S321-S337)&lt;=1.01,0,ROUND(S321-S337,0)),"")</f>
        <v>0</v>
      </c>
      <c r="T336" s="211">
        <f>IF(ISNUMBER(T337),IF(ABS(T321-T337)&lt;=1.01,0,ROUND(T321-T337,0)),"")</f>
        <v>0</v>
      </c>
      <c r="U336" s="211">
        <f>IF(ISNUMBER(U337),IF(ABS(U321-U337)&lt;=1.01,0,ROUND(U321-U337,0)),"")</f>
        <v>0</v>
      </c>
      <c r="V336" s="211">
        <f>IF(ISNUMBER(V337),IF(ABS(V321-V337)&lt;=1.01,0,ROUND(V321-V337,0)),"")</f>
        <v>0</v>
      </c>
      <c r="W336" s="211">
        <f>IF(ISNUMBER(W337),IF(ABS(W321-W337)&lt;=1.01,0,ROUND(W321-W337,0)),"")</f>
        <v>0</v>
      </c>
      <c r="X336" s="211">
        <f>IF(ISNUMBER(X337),IF(ABS(X321-X337)&lt;=1.01,0,ROUND(X321-X337,0)),"")</f>
        <v>0</v>
      </c>
      <c r="Y336" s="211">
        <f>IF(ISNUMBER(Y337),IF(ABS(Y321-Y337)&lt;=1.01,0,ROUND(Y321-Y337,0)),"")</f>
        <v>0</v>
      </c>
      <c r="Z336" s="211">
        <f>IF(ISNUMBER(Z337),IF(ABS(Z321-Z337)&lt;=1.01,0,ROUND(Z321-Z337,0)),"")</f>
        <v>0</v>
      </c>
      <c r="AA336" s="211">
        <f>IF(ISNUMBER(AA337),IF(ABS(AA321-AA337)&lt;=1.01,0,ROUND(AA321-AA337,0)),"")</f>
        <v>0</v>
      </c>
      <c r="AB336" s="211">
        <f>IF(ISNUMBER(AB337),IF(ABS(AB321-AB337)&lt;=1.01,0,ROUND(AB321-AB337,0)),"")</f>
        <v>0</v>
      </c>
      <c r="AC336" s="211">
        <f>IF(ISNUMBER(AC337),IF(ABS(AC321-AC337)&lt;=1.01,0,ROUND(AC321-AC337,0)),"")</f>
        <v>0</v>
      </c>
      <c r="AD336" s="211">
        <f>IF(ISNUMBER(AD337),IF(ABS(AD321-AD337)&lt;=1.01,0,ROUND(AD321-AD337,0)),"")</f>
        <v>0</v>
      </c>
      <c r="AE336" s="211">
        <f>IF(ISNUMBER(AE337),IF(ABS(AE321-AE337)&lt;=1.01,0,ROUND(AE321-AE337,0)),"")</f>
        <v>0</v>
      </c>
      <c r="AF336" s="211">
        <f>IF(ISNUMBER(AF337),IF(ABS(AF321-AF337)&lt;=1.01,0,ROUND(AF321-AF337,0)),"")</f>
        <v>0</v>
      </c>
      <c r="AG336" s="211">
        <f>IF(ISNUMBER(AG337),IF(ABS(AG321-AG337)&lt;=1.01,0,ROUND(AG321-AG337,0)),"")</f>
        <v>0</v>
      </c>
      <c r="AH336" s="211">
        <f>IF(ISNUMBER(AH337),IF(ABS(AH321-AH337)&lt;=1.01,0,ROUND(AH321-AH337,0)),"")</f>
        <v>0</v>
      </c>
      <c r="AI336" s="211">
        <f>IF(ISNUMBER(AI337),IF(ABS(AI321-AI337)&lt;=1.01,0,ROUND(AI321-AI337,0)),"")</f>
        <v>0</v>
      </c>
      <c r="AJ336" s="211">
        <f>IF(ISNUMBER(AJ337),IF(ABS(AJ321-AJ337)&lt;=1.01,0,ROUND(AJ321-AJ337,0)),"")</f>
        <v>0</v>
      </c>
      <c r="AK336" s="211">
        <f>IF(ISNUMBER(AK337),IF(ABS(AK321-AK337)&lt;=1.01,0,ROUND(AK321-AK337,0)),"")</f>
        <v>0</v>
      </c>
      <c r="AL336" s="211">
        <f>IF(ISNUMBER(AL337),IF(ABS(AL321-AL337)&lt;=1.01,0,ROUND(AL321-AL337,0)),"")</f>
        <v>0</v>
      </c>
      <c r="AM336" s="211">
        <f>IF(ISNUMBER(AM337),IF(ABS(AM321-AM337)&lt;=1.01,0,ROUND(AM321-AM337,0)),"")</f>
        <v>0</v>
      </c>
      <c r="AN336" s="211">
        <f>IF(ISNUMBER(AN337),IF(ABS(AN321-AN337)&lt;=1.01,0,ROUND(AN321-AN337,0)),"")</f>
        <v>0</v>
      </c>
      <c r="AO336" s="211">
        <f>IF(ISNUMBER(AO337),IF(ABS(AO321-AO337)&lt;=1.01,0,ROUND(AO321-AO337,0)),"")</f>
        <v>0</v>
      </c>
      <c r="AP336" s="211">
        <f>IF(ISNUMBER(AP337),IF(ABS(AP321-AP337)&lt;=1.01,0,ROUND(AP321-AP337,0)),"")</f>
        <v>0</v>
      </c>
      <c r="AQ336" s="211">
        <f>IF(ISNUMBER(AQ337),IF(ABS(AQ321-AQ337)&lt;=1.01,0,ROUND(AQ321-AQ337,0)),"")</f>
        <v>0</v>
      </c>
      <c r="AR336" s="211">
        <f>IF(ISNUMBER(AR337),IF(ABS(AR321-AR337)&lt;=1.01,0,ROUND(AR321-AR337,0)),"")</f>
        <v>0</v>
      </c>
      <c r="AS336" s="211">
        <f>IF(ISNUMBER(AS337),IF(ABS(AS321-AS337)&lt;=1.01,0,ROUND(AS321-AS337,0)),"")</f>
        <v>0</v>
      </c>
      <c r="AT336" s="211">
        <f>IF(ISNUMBER(AT337),IF(ABS(AT321-AT337)&lt;=1.01,0,ROUND(AT321-AT337,0)),"")</f>
        <v>0</v>
      </c>
      <c r="AU336" s="211">
        <f>IF(ISNUMBER(AU337),IF(ABS(AU321-AU337)&lt;=1.01,0,ROUND(AU321-AU337,0)),"")</f>
        <v>0</v>
      </c>
      <c r="AV336" s="211">
        <f>IF(ISNUMBER(AV337),IF(ABS(AV321-AV337)&lt;=1.01,0,ROUND(AV321-AV337,0)),"")</f>
        <v>0</v>
      </c>
      <c r="AW336" s="211">
        <f>IF(ISNUMBER(AW337),IF(ABS(AW321-AW337)&lt;=1.01,0,ROUND(AW321-AW337,0)),"")</f>
        <v>0</v>
      </c>
      <c r="AX336" s="211">
        <f>IF(ISNUMBER(AX337),IF(ABS(AX321-AX337)&lt;=1.01,0,ROUND(AX321-AX337,0)),"")</f>
        <v>0</v>
      </c>
      <c r="AY336" s="211">
        <f>IF(ISNUMBER(AY337),IF(ABS(AY321-AY337)&lt;=1.01,0,ROUND(AY321-AY337,0)),"")</f>
        <v>0</v>
      </c>
      <c r="AZ336" s="211">
        <f>IF(ISNUMBER(AZ337),IF(ABS(AZ321-AZ337)&lt;=1.01,0,ROUND(AZ321-AZ337,0)),"")</f>
        <v>0</v>
      </c>
      <c r="BA336" s="211">
        <f>IF(ISNUMBER(BA337),IF(ABS(BA321-BA337)&lt;=1.01,0,ROUND(BA321-BA337,0)),"")</f>
        <v>0</v>
      </c>
      <c r="BB336" s="211">
        <f>IF(ISNUMBER(BB337),IF(ABS(BB321-BB337)&lt;=1.01,0,ROUND(BB321-BB337,0)),"")</f>
        <v>0</v>
      </c>
      <c r="BC336" s="211">
        <f>IF(ISNUMBER(BC337),IF(ABS(BC321-BC337)&lt;=1.01,0,ROUND(BC321-BC337,0)),"")</f>
        <v>0</v>
      </c>
      <c r="BD336" s="211">
        <f>IF(ISNUMBER(BD337),IF(ABS(BD321-BD337)&lt;=1.01,0,ROUND(BD321-BD337,0)),"")</f>
        <v>0</v>
      </c>
      <c r="BE336" s="211">
        <f>IF(ISNUMBER(BE337),IF(ABS(BE321-BE337)&lt;=1.01,0,ROUND(BE321-BE337,0)),"")</f>
        <v>0</v>
      </c>
      <c r="BF336" s="211">
        <f>IF(ISNUMBER(BF337),IF(ABS(BF321-BF337)&lt;=1.01,0,ROUND(BF321-BF337,0)),"")</f>
        <v>0</v>
      </c>
      <c r="BG336" s="211">
        <f>IF(ISNUMBER(BG337),IF(ABS(BG321-BG337)&lt;=1.01,0,ROUND(BG321-BG337,0)),"")</f>
        <v>0</v>
      </c>
      <c r="BH336" s="211">
        <f>IF(ISNUMBER(BH337),IF(ABS(BH321-BH337)&lt;=1.01,0,ROUND(BH321-BH337,0)),"")</f>
        <v>0</v>
      </c>
      <c r="BI336" s="211">
        <f>IF(ISNUMBER(BI337),IF(ABS(BI321-BI337)&lt;=1.01,0,ROUND(BI321-BI337,0)),"")</f>
        <v>0</v>
      </c>
      <c r="BJ336" s="211">
        <f>IF(ISNUMBER(BJ337),IF(ABS(BJ321-BJ337)&lt;=1.01,0,ROUND(BJ321-BJ337,0)),"")</f>
        <v>0</v>
      </c>
      <c r="BK336" s="211">
        <f>IF(ISNUMBER(BK337),IF(ABS(BK321-BK337)&lt;=1.01,0,ROUND(BK321-BK337,0)),"")</f>
        <v>0</v>
      </c>
      <c r="BL336" s="211">
        <f>IF(ISNUMBER(BL337),IF(ABS(BL321-BL337)&lt;=1.01,0,ROUND(BL321-BL337,0)),"")</f>
        <v>0</v>
      </c>
      <c r="BM336" s="211">
        <f>IF(ISNUMBER(BM337),IF(ABS(BM321-BM337)&lt;=1.01,0,ROUND(BM321-BM337,0)),"")</f>
        <v>0</v>
      </c>
      <c r="BN336" s="211">
        <f>IF(ISNUMBER(BN337),IF(ABS(BN321-BN337)&lt;=1.01,0,ROUND(BN321-BN337,0)),"")</f>
        <v>0</v>
      </c>
      <c r="BO336" s="211">
        <f>IF(ISNUMBER(BO337),IF(ABS(BO321-BO337)&lt;=1.01,0,ROUND(BO321-BO337,0)),"")</f>
        <v>0</v>
      </c>
      <c r="BP336" s="211">
        <f>IF(ISNUMBER(BP337),IF(ABS(BP321-BP337)&lt;=1.01,0,ROUND(BP321-BP337,0)),"")</f>
        <v>0</v>
      </c>
      <c r="BQ336" s="211">
        <f>IF(ISNUMBER(BQ337),IF(ABS(BQ321-BQ337)&lt;=1.01,0,ROUND(BQ321-BQ337,0)),"")</f>
        <v>0</v>
      </c>
      <c r="BR336" s="211">
        <f>IF(ISNUMBER(BR337),IF(ABS(BR321-BR337)&lt;=1.01,0,ROUND(BR321-BR337,0)),"")</f>
        <v>0</v>
      </c>
      <c r="BS336" s="211">
        <f>IF(ISNUMBER(BS337),IF(ABS(BS321-BS337)&lt;=1.01,0,ROUND(BS321-BS337,0)),"")</f>
        <v>0</v>
      </c>
      <c r="BT336" s="211">
        <f>IF(ISNUMBER(BT337),IF(ABS(BT321-BT337)&lt;=1.01,0,ROUND(BT321-BT337,0)),"")</f>
        <v>0</v>
      </c>
      <c r="BU336" s="211">
        <f>IF(ISNUMBER(BU337),IF(ABS(BU321-BU337)&lt;=1.01,0,ROUND(BU321-BU337,0)),"")</f>
        <v>0</v>
      </c>
      <c r="BV336" s="211">
        <f>IF(ISNUMBER(BV337),IF(ABS(BV321-BV337)&lt;=1.01,0,ROUND(BV321-BV337,0)),"")</f>
        <v>0</v>
      </c>
      <c r="BW336" s="211">
        <f>IF(ISNUMBER(BW337),IF(ABS(BW321-BW337)&lt;=1.01,0,ROUND(BW321-BW337,0)),"")</f>
        <v>0</v>
      </c>
      <c r="BX336" s="211">
        <f>IF(ISNUMBER(BX337),IF(ABS(BX321-BX337)&lt;=1.01,0,ROUND(BX321-BX337,0)),"")</f>
        <v>0</v>
      </c>
      <c r="BY336" s="153" t="n"/>
      <c r="BZ336" s="153" t="n"/>
      <c r="CA336" s="153" t="n"/>
      <c r="CB336" s="153" t="n"/>
      <c r="CC336" s="153" t="n"/>
      <c r="CD336" s="153" t="n"/>
      <c r="CE336" s="153" t="n"/>
      <c r="CF336" s="153" t="n"/>
    </row>
    <row r="337" ht="15" customHeight="1" s="251">
      <c r="B337" s="156" t="inlineStr">
        <is>
          <t xml:space="preserve">  Memo: total assets as reported</t>
        </is>
      </c>
      <c r="C337" s="253" t="n">
        <v>4363</v>
      </c>
      <c r="D337" s="253" t="n">
        <v>6485</v>
      </c>
      <c r="E337" s="253" t="n">
        <v>8314</v>
      </c>
      <c r="F337" s="253" t="n">
        <v>13813</v>
      </c>
      <c r="G337" s="253" t="n">
        <v>18797</v>
      </c>
      <c r="H337" s="253" t="n">
        <v>25278</v>
      </c>
      <c r="I337" s="253" t="n">
        <v>32555</v>
      </c>
      <c r="J337" s="253" t="n">
        <v>28377</v>
      </c>
      <c r="K337" s="253" t="n">
        <v>29623</v>
      </c>
      <c r="L337" s="253" t="n">
        <v>31861</v>
      </c>
      <c r="M337" s="253" t="n">
        <v>40159</v>
      </c>
      <c r="N337" s="253" t="n">
        <v>40159</v>
      </c>
      <c r="O337" s="253" t="n">
        <v>36364</v>
      </c>
      <c r="P337" s="253" t="n">
        <v>37898</v>
      </c>
      <c r="Q337" s="253" t="n">
        <v>40419</v>
      </c>
      <c r="R337" s="253" t="n">
        <v>54505</v>
      </c>
      <c r="S337" s="253" t="n">
        <v>54505</v>
      </c>
      <c r="T337" s="253" t="n">
        <v>50075</v>
      </c>
      <c r="U337" s="253" t="n">
        <v>52440</v>
      </c>
      <c r="V337" s="253" t="n">
        <v>56230</v>
      </c>
      <c r="W337" s="253" t="n">
        <v>65444</v>
      </c>
      <c r="X337" s="253" t="n">
        <v>65444</v>
      </c>
      <c r="Y337" s="253" t="n">
        <v>61128</v>
      </c>
      <c r="Z337" s="253" t="n">
        <v>65076</v>
      </c>
      <c r="AA337" s="253" t="n">
        <v>70897</v>
      </c>
      <c r="AB337" s="253" t="n">
        <v>83402</v>
      </c>
      <c r="AC337" s="253" t="n">
        <v>83402</v>
      </c>
      <c r="AD337" s="253" t="n">
        <v>80969</v>
      </c>
      <c r="AE337" s="253" t="n">
        <v>87781</v>
      </c>
      <c r="AF337" s="253" t="n">
        <v>115267</v>
      </c>
      <c r="AG337" s="253" t="n">
        <v>131310</v>
      </c>
      <c r="AH337" s="253" t="n">
        <v>131310</v>
      </c>
      <c r="AI337" s="253" t="n">
        <v>126362</v>
      </c>
      <c r="AJ337" s="253" t="n">
        <v>134100</v>
      </c>
      <c r="AK337" s="253" t="n">
        <v>143695</v>
      </c>
      <c r="AL337" s="253" t="n">
        <v>162648</v>
      </c>
      <c r="AM337" s="253" t="n">
        <v>162648</v>
      </c>
      <c r="AN337" s="253" t="n">
        <v>178102</v>
      </c>
      <c r="AO337" s="253" t="n">
        <v>191351</v>
      </c>
      <c r="AP337" s="253" t="n">
        <v>199099</v>
      </c>
      <c r="AQ337" s="253" t="n">
        <v>225248</v>
      </c>
      <c r="AR337" s="253" t="n">
        <v>225248</v>
      </c>
      <c r="AS337" s="253" t="n">
        <v>221238</v>
      </c>
      <c r="AT337" s="253" t="n">
        <v>258314</v>
      </c>
      <c r="AU337" s="253" t="n">
        <v>282179</v>
      </c>
      <c r="AV337" s="253" t="n">
        <v>321195</v>
      </c>
      <c r="AW337" s="253" t="n">
        <v>321195</v>
      </c>
      <c r="AX337" s="253" t="n">
        <v>323077</v>
      </c>
      <c r="AY337" s="253" t="n">
        <v>360319</v>
      </c>
      <c r="AZ337" s="253" t="n">
        <v>382406</v>
      </c>
      <c r="BA337" s="253" t="n">
        <v>420549</v>
      </c>
      <c r="BB337" s="253" t="n">
        <v>420549</v>
      </c>
      <c r="BC337" s="253" t="n">
        <v>410767</v>
      </c>
      <c r="BD337" s="253" t="n">
        <v>419728</v>
      </c>
      <c r="BE337" s="253" t="n">
        <v>428362</v>
      </c>
      <c r="BF337" s="253" t="n">
        <v>462675</v>
      </c>
      <c r="BG337" s="253" t="n">
        <v>462675</v>
      </c>
      <c r="BH337" s="253" t="n">
        <v>464378</v>
      </c>
      <c r="BI337" s="253" t="n">
        <v>477607</v>
      </c>
      <c r="BJ337" s="253" t="n">
        <v>486883</v>
      </c>
      <c r="BK337" s="253" t="n">
        <v>527854</v>
      </c>
      <c r="BL337" s="253" t="n">
        <v>527854</v>
      </c>
      <c r="BM337" s="253" t="n">
        <v>530969</v>
      </c>
      <c r="BN337" s="253" t="n">
        <v>554818</v>
      </c>
      <c r="BO337" s="253" t="n">
        <v>584626</v>
      </c>
      <c r="BP337" s="253" t="n">
        <v>624894</v>
      </c>
      <c r="BQ337" s="253" t="n">
        <v>624894</v>
      </c>
      <c r="BR337" s="253" t="n">
        <v>643256</v>
      </c>
      <c r="BS337" s="253" t="n">
        <v>682170</v>
      </c>
      <c r="BT337" s="253" t="n">
        <v>727921</v>
      </c>
      <c r="BU337" s="253" t="n">
        <v>818042</v>
      </c>
      <c r="BV337" s="253" t="n">
        <v>818042</v>
      </c>
      <c r="BW337" s="253" t="n">
        <v>916630</v>
      </c>
      <c r="BX337" s="253" t="n">
        <v>1095689</v>
      </c>
      <c r="BY337" s="153" t="n"/>
      <c r="BZ337" s="153" t="n"/>
      <c r="CA337" s="153" t="n"/>
      <c r="CB337" s="153" t="n"/>
      <c r="CC337" s="153" t="n"/>
      <c r="CD337" s="153" t="n"/>
      <c r="CE337" s="153" t="n"/>
      <c r="CF337" s="153" t="n"/>
    </row>
    <row r="338" ht="15" customHeight="1" s="251">
      <c r="B338" s="57" t="inlineStr">
        <is>
          <t xml:space="preserve">  Check: BS cash vs cash-flow ending cash (should be 0; to 2017 — from 2018 the cash-flow statement includes restricted cash, memo above)</t>
        </is>
      </c>
      <c r="C338" s="211">
        <f>IF(AND(ISNUMBER(C311),ISNUMBER(C272)),IF(ABS(C311-C272)&lt;=1.01,0,ROUND(C311-C272,0)),"")</f>
        <v>0</v>
      </c>
      <c r="D338" s="211">
        <f>IF(AND(ISNUMBER(D311),ISNUMBER(D272)),IF(ABS(D311-D272)&lt;=1.01,0,ROUND(D311-D272,0)),"")</f>
        <v>0</v>
      </c>
      <c r="E338" s="211">
        <f>IF(AND(ISNUMBER(E311),ISNUMBER(E272)),IF(ABS(E311-E272)&lt;=1.01,0,ROUND(E311-E272,0)),"")</f>
        <v>0</v>
      </c>
      <c r="F338" s="211">
        <f>IF(AND(ISNUMBER(F311),ISNUMBER(F272)),IF(ABS(F311-F272)&lt;=1.01,0,ROUND(F311-F272,0)),"")</f>
        <v>0</v>
      </c>
      <c r="G338" s="211">
        <f>IF(AND(ISNUMBER(G311),ISNUMBER(G272)),IF(ABS(G311-G272)&lt;=1.01,0,ROUND(G311-G272,0)),"")</f>
        <v>0</v>
      </c>
      <c r="H338" s="211">
        <f>IF(AND(ISNUMBER(H311),ISNUMBER(H272)),IF(ABS(H311-H272)&lt;=1.01,0,ROUND(H311-H272,0)),"")</f>
        <v>0</v>
      </c>
      <c r="I338" s="211">
        <f>IF(AND(ISNUMBER(I311),ISNUMBER(I272)),IF(ABS(I311-I272)&lt;=1.01,0,ROUND(I311-I272,0)),"")</f>
        <v>0</v>
      </c>
      <c r="J338" s="211">
        <f>IF(AND(ISNUMBER(J311),ISNUMBER(J272)),IF(ABS(J311-J272)&lt;=1.01,0,ROUND(J311-J272,0)),"")</f>
        <v>0</v>
      </c>
      <c r="K338" s="211">
        <f>IF(AND(ISNUMBER(K311),ISNUMBER(K272)),IF(ABS(K311-K272)&lt;=1.01,0,ROUND(K311-K272,0)),"")</f>
        <v>0</v>
      </c>
      <c r="L338" s="211">
        <f>IF(AND(ISNUMBER(L311),ISNUMBER(L272)),IF(ABS(L311-L272)&lt;=1.01,0,ROUND(L311-L272,0)),"")</f>
        <v>0</v>
      </c>
      <c r="M338" s="211">
        <f>IF(AND(ISNUMBER(M311),ISNUMBER(M272)),IF(ABS(M311-M272)&lt;=1.01,0,ROUND(M311-M272,0)),"")</f>
        <v>0</v>
      </c>
      <c r="N338" s="211">
        <f>IF(AND(ISNUMBER(N311),ISNUMBER(N272)),IF(ABS(N311-N272)&lt;=1.01,0,ROUND(N311-N272,0)),"")</f>
        <v>0</v>
      </c>
      <c r="O338" s="211">
        <f>IF(AND(ISNUMBER(O311),ISNUMBER(O272)),IF(ABS(O311-O272)&lt;=1.01,0,ROUND(O311-O272,0)),"")</f>
        <v>0</v>
      </c>
      <c r="P338" s="211">
        <f>IF(AND(ISNUMBER(P311),ISNUMBER(P272)),IF(ABS(P311-P272)&lt;=1.01,0,ROUND(P311-P272,0)),"")</f>
        <v>0</v>
      </c>
      <c r="Q338" s="211">
        <f>IF(AND(ISNUMBER(Q311),ISNUMBER(Q272)),IF(ABS(Q311-Q272)&lt;=1.01,0,ROUND(Q311-Q272,0)),"")</f>
        <v>0</v>
      </c>
      <c r="R338" s="211">
        <f>IF(AND(ISNUMBER(R311),ISNUMBER(R272)),IF(ABS(R311-R272)&lt;=1.01,0,ROUND(R311-R272,0)),"")</f>
        <v>0</v>
      </c>
      <c r="S338" s="211">
        <f>IF(AND(ISNUMBER(S311),ISNUMBER(S272)),IF(ABS(S311-S272)&lt;=1.01,0,ROUND(S311-S272,0)),"")</f>
        <v>0</v>
      </c>
      <c r="T338" s="211">
        <f>IF(AND(ISNUMBER(T311),ISNUMBER(T272)),IF(ABS(T311-T272)&lt;=1.01,0,ROUND(T311-T272,0)),"")</f>
        <v>0</v>
      </c>
      <c r="U338" s="211">
        <f>IF(AND(ISNUMBER(U311),ISNUMBER(U272)),IF(ABS(U311-U272)&lt;=1.01,0,ROUND(U311-U272,0)),"")</f>
        <v>0</v>
      </c>
      <c r="V338" s="211">
        <f>IF(AND(ISNUMBER(V311),ISNUMBER(V272)),IF(ABS(V311-V272)&lt;=1.01,0,ROUND(V311-V272,0)),"")</f>
        <v>0</v>
      </c>
      <c r="W338" s="211">
        <f>IF(AND(ISNUMBER(W311),ISNUMBER(W272)),IF(ABS(W311-W272)&lt;=1.01,0,ROUND(W311-W272,0)),"")</f>
        <v>0</v>
      </c>
      <c r="X338" s="211">
        <f>IF(AND(ISNUMBER(X311),ISNUMBER(X272)),IF(ABS(X311-X272)&lt;=1.01,0,ROUND(X311-X272,0)),"")</f>
        <v>0</v>
      </c>
      <c r="Y338" s="211">
        <f>IF(AND(ISNUMBER(Y311),ISNUMBER(Y272)),IF(ABS(Y311-Y272)&lt;=1.01,0,ROUND(Y311-Y272,0)),"")</f>
        <v>0</v>
      </c>
      <c r="Z338" s="211">
        <f>IF(AND(ISNUMBER(Z311),ISNUMBER(Z272)),IF(ABS(Z311-Z272)&lt;=1.01,0,ROUND(Z311-Z272,0)),"")</f>
        <v>0</v>
      </c>
      <c r="AA338" s="211">
        <f>IF(AND(ISNUMBER(AA311),ISNUMBER(AA272)),IF(ABS(AA311-AA272)&lt;=1.01,0,ROUND(AA311-AA272,0)),"")</f>
        <v>0</v>
      </c>
      <c r="AB338" s="211">
        <f>IF(AND(ISNUMBER(AB311),ISNUMBER(AB272)),IF(ABS(AB311-AB272)&lt;=1.01,0,ROUND(AB311-AB272,0)),"")</f>
        <v>0</v>
      </c>
      <c r="AC338" s="211">
        <f>IF(AND(ISNUMBER(AC311),ISNUMBER(AC272)),IF(ABS(AC311-AC272)&lt;=1.01,0,ROUND(AC311-AC272,0)),"")</f>
        <v>0</v>
      </c>
      <c r="AD338" s="211">
        <f>IF(AND(ISNUMBER(AD311),ISNUMBER(AD272)),IF(ABS(AD311-AD272)&lt;=1.01,0,ROUND(AD311-AD272,0)),"")</f>
        <v>0</v>
      </c>
      <c r="AE338" s="211">
        <f>IF(AND(ISNUMBER(AE311),ISNUMBER(AE272)),IF(ABS(AE311-AE272)&lt;=1.01,0,ROUND(AE311-AE272,0)),"")</f>
        <v>0</v>
      </c>
      <c r="AF338" s="211">
        <f>IF(AND(ISNUMBER(AF311),ISNUMBER(AF272)),IF(ABS(AF311-AF272)&lt;=1.01,0,ROUND(AF311-AF272,0)),"")</f>
        <v>0</v>
      </c>
      <c r="AG338" s="211">
        <f>IF(AND(ISNUMBER(AG311),ISNUMBER(AG272)),IF(ABS(AG311-AG272)&lt;=1.01,0,ROUND(AG311-AG272,0)),"")</f>
        <v>0</v>
      </c>
      <c r="AH338" s="211">
        <f>IF(AND(ISNUMBER(AH311),ISNUMBER(AH272)),IF(ABS(AH311-AH272)&lt;=1.01,0,ROUND(AH311-AH272,0)),"")</f>
        <v>0</v>
      </c>
      <c r="AI338" s="44" t="n"/>
      <c r="AJ338" s="44" t="n"/>
      <c r="AK338" s="44" t="n"/>
      <c r="AL338" s="44" t="n"/>
      <c r="AM338" s="44" t="n"/>
      <c r="AN338" s="44" t="n"/>
      <c r="AO338" s="44" t="n"/>
      <c r="AP338" s="44" t="n"/>
      <c r="AQ338" s="44" t="n"/>
      <c r="AR338" s="44" t="n"/>
      <c r="AS338" s="44" t="n"/>
      <c r="AT338" s="44" t="n"/>
      <c r="AU338" s="44" t="n"/>
      <c r="AV338" s="44" t="n"/>
      <c r="AW338" s="44" t="n"/>
      <c r="AX338" s="44" t="n"/>
      <c r="AY338" s="44" t="n"/>
      <c r="AZ338" s="44" t="n"/>
      <c r="BA338" s="44" t="n"/>
      <c r="BB338" s="44" t="n"/>
      <c r="BC338" s="44" t="n"/>
      <c r="BD338" s="44" t="n"/>
      <c r="BE338" s="44" t="n"/>
      <c r="BF338" s="44" t="n"/>
      <c r="BG338" s="44" t="n"/>
      <c r="BH338" s="44" t="n"/>
      <c r="BI338" s="44" t="n"/>
      <c r="BJ338" s="44" t="n"/>
      <c r="BK338" s="44" t="n"/>
      <c r="BL338" s="44" t="n"/>
      <c r="BM338" s="44" t="n"/>
      <c r="BN338" s="44" t="n"/>
      <c r="BO338" s="44" t="n"/>
      <c r="BP338" s="44" t="n"/>
      <c r="BQ338" s="44" t="n"/>
      <c r="BR338" s="44" t="n"/>
      <c r="BS338" s="44" t="n"/>
      <c r="BT338" s="44" t="n"/>
      <c r="BU338" s="44" t="n"/>
      <c r="BV338" s="44" t="n"/>
      <c r="BW338" s="44" t="n"/>
      <c r="BX338" s="44" t="n"/>
      <c r="BY338" s="153" t="n"/>
      <c r="BZ338" s="153" t="n"/>
      <c r="CA338" s="266">
        <f>ROUND(CA311+CA275-CA272,0)</f>
        <v>0</v>
      </c>
      <c r="CB338" s="266">
        <f>ROUND(CB311+CB275-CB272,0)</f>
        <v>0</v>
      </c>
      <c r="CC338" s="266">
        <f>ROUND(CC311+CC275-CC272,0)</f>
        <v>0</v>
      </c>
      <c r="CD338" s="266">
        <f>ROUND(CD311+CD275-CD272,0)</f>
        <v>0</v>
      </c>
      <c r="CE338" s="266">
        <f>ROUND(CE311+CE275-CE272,0)</f>
        <v>0</v>
      </c>
      <c r="CF338" s="153" t="n"/>
    </row>
    <row r="339" ht="15" customHeight="1" s="251">
      <c r="B339" s="156" t="inlineStr">
        <is>
          <t xml:space="preserve">  Memo: common shares outstanding at period end (m; split-adjusted)</t>
        </is>
      </c>
      <c r="C339" s="253" t="n">
        <v>8280</v>
      </c>
      <c r="D339" s="253" t="n">
        <v>8320</v>
      </c>
      <c r="E339" s="253" t="n">
        <v>8560</v>
      </c>
      <c r="F339" s="253" t="n">
        <v>8880</v>
      </c>
      <c r="G339" s="253" t="n">
        <v>9020</v>
      </c>
      <c r="H339" s="253" t="n">
        <v>9100</v>
      </c>
      <c r="I339" s="253" t="n">
        <v>9080</v>
      </c>
      <c r="J339" s="253" t="n">
        <v>9100</v>
      </c>
      <c r="K339" s="253" t="n">
        <v>9140</v>
      </c>
      <c r="L339" s="253" t="n">
        <v>9160</v>
      </c>
      <c r="M339" s="253" t="n">
        <v>9180</v>
      </c>
      <c r="N339" s="253" t="n">
        <v>9180</v>
      </c>
      <c r="O339" s="253" t="n">
        <v>9200</v>
      </c>
      <c r="P339" s="253" t="n">
        <v>9240</v>
      </c>
      <c r="Q339" s="253" t="n">
        <v>9260</v>
      </c>
      <c r="R339" s="253" t="n">
        <v>9300</v>
      </c>
      <c r="S339" s="253" t="n">
        <v>9300</v>
      </c>
      <c r="T339" s="253" t="n">
        <v>9320</v>
      </c>
      <c r="U339" s="253" t="n">
        <v>9360</v>
      </c>
      <c r="V339" s="253" t="n">
        <v>9380</v>
      </c>
      <c r="W339" s="253" t="n">
        <v>9420</v>
      </c>
      <c r="X339" s="253" t="n">
        <v>9420</v>
      </c>
      <c r="Y339" s="253" t="n">
        <v>9440</v>
      </c>
      <c r="Z339" s="253" t="n">
        <v>9480</v>
      </c>
      <c r="AA339" s="253" t="n">
        <v>9500</v>
      </c>
      <c r="AB339" s="253" t="n">
        <v>9540</v>
      </c>
      <c r="AC339" s="253" t="n">
        <v>9540</v>
      </c>
      <c r="AD339" s="253" t="n">
        <v>9560</v>
      </c>
      <c r="AE339" s="253" t="n">
        <v>9600</v>
      </c>
      <c r="AF339" s="253" t="n">
        <v>9640</v>
      </c>
      <c r="AG339" s="253" t="n">
        <v>9680</v>
      </c>
      <c r="AH339" s="253" t="n">
        <v>9680</v>
      </c>
      <c r="AI339" s="253" t="n">
        <v>9700</v>
      </c>
      <c r="AJ339" s="253" t="n">
        <v>9740</v>
      </c>
      <c r="AK339" s="253" t="n">
        <v>9780</v>
      </c>
      <c r="AL339" s="253" t="n">
        <v>9820</v>
      </c>
      <c r="AM339" s="253" t="n">
        <v>9820</v>
      </c>
      <c r="AN339" s="253" t="n">
        <v>9840</v>
      </c>
      <c r="AO339" s="253" t="n">
        <v>9880</v>
      </c>
      <c r="AP339" s="253" t="n">
        <v>9900</v>
      </c>
      <c r="AQ339" s="253" t="n">
        <v>9960</v>
      </c>
      <c r="AR339" s="253" t="n">
        <v>9960</v>
      </c>
      <c r="AS339" s="253" t="n">
        <v>9980</v>
      </c>
      <c r="AT339" s="253" t="n">
        <v>10020</v>
      </c>
      <c r="AU339" s="253" t="n">
        <v>10040</v>
      </c>
      <c r="AV339" s="253" t="n">
        <v>10060</v>
      </c>
      <c r="AW339" s="253" t="n">
        <v>10060</v>
      </c>
      <c r="AX339" s="253" t="n">
        <v>10080</v>
      </c>
      <c r="AY339" s="253" t="n">
        <v>10120</v>
      </c>
      <c r="AZ339" s="253" t="n">
        <v>10140</v>
      </c>
      <c r="BA339" s="253" t="n">
        <v>10180</v>
      </c>
      <c r="BB339" s="253" t="n">
        <v>10180</v>
      </c>
      <c r="BC339" s="253" t="n">
        <v>10180</v>
      </c>
      <c r="BD339" s="253" t="n">
        <v>10183</v>
      </c>
      <c r="BE339" s="253" t="n">
        <v>10198</v>
      </c>
      <c r="BF339" s="253" t="n">
        <v>10242</v>
      </c>
      <c r="BG339" s="253" t="n">
        <v>10242</v>
      </c>
      <c r="BH339" s="253" t="n">
        <v>10258</v>
      </c>
      <c r="BI339" s="253" t="n">
        <v>10313</v>
      </c>
      <c r="BJ339" s="253" t="n">
        <v>10330</v>
      </c>
      <c r="BK339" s="253" t="n">
        <v>10383</v>
      </c>
      <c r="BL339" s="253" t="n">
        <v>10383</v>
      </c>
      <c r="BM339" s="253" t="n">
        <v>10403</v>
      </c>
      <c r="BN339" s="253" t="n">
        <v>10490</v>
      </c>
      <c r="BO339" s="253" t="n">
        <v>10511</v>
      </c>
      <c r="BP339" s="253" t="n">
        <v>10593</v>
      </c>
      <c r="BQ339" s="253" t="n">
        <v>10593</v>
      </c>
      <c r="BR339" s="253" t="n">
        <v>10613</v>
      </c>
      <c r="BS339" s="253" t="n">
        <v>10660</v>
      </c>
      <c r="BT339" s="253" t="n">
        <v>10687</v>
      </c>
      <c r="BU339" s="253" t="n">
        <v>10731</v>
      </c>
      <c r="BV339" s="253" t="n">
        <v>10731</v>
      </c>
      <c r="BW339" s="253" t="n">
        <v>10754</v>
      </c>
      <c r="BX339" s="253" t="n">
        <v>10783</v>
      </c>
      <c r="BY339" s="153" t="n"/>
      <c r="BZ339" s="153" t="n"/>
      <c r="CA339" s="266">
        <f>CA305</f>
        <v>10843</v>
      </c>
      <c r="CB339" s="266">
        <f>CB305</f>
        <v>10956.5411204206</v>
      </c>
      <c r="CC339" s="266">
        <f>CC305</f>
        <v>10900.5245515481</v>
      </c>
      <c r="CD339" s="266">
        <f>CD305</f>
        <v>10734.9226814137</v>
      </c>
      <c r="CE339" s="266">
        <f>CE305</f>
        <v>10466.3105859164</v>
      </c>
      <c r="CF339" s="153" t="n"/>
    </row>
    <row r="340" ht="15" customHeight="1" s="251">
      <c r="CN340" s="11" t="n"/>
      <c r="CO340" s="12" t="n"/>
      <c r="CP340" s="12" t="n"/>
      <c r="CQ340" s="12" t="n"/>
      <c r="CR340" s="13" t="n"/>
    </row>
    <row r="341" ht="15" customHeight="1" s="251">
      <c r="B341" s="10" t="inlineStr">
        <is>
          <t>WORKING CAPITAL &amp; CASH CONVERSION</t>
        </is>
      </c>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n"/>
      <c r="BE341" s="10" t="n"/>
      <c r="BF341" s="10" t="n"/>
      <c r="BG341" s="10" t="n"/>
      <c r="BH341" s="10" t="n"/>
      <c r="BI341" s="10" t="n"/>
      <c r="BJ341" s="10" t="n"/>
      <c r="BK341" s="10" t="n"/>
      <c r="BL341" s="10" t="n"/>
      <c r="BM341" s="10" t="n"/>
      <c r="BN341" s="10" t="n"/>
      <c r="BO341" s="10" t="n"/>
      <c r="BP341" s="10" t="n"/>
      <c r="BQ341" s="10" t="n"/>
      <c r="BR341" s="10" t="n"/>
      <c r="BS341" s="10" t="n"/>
      <c r="BT341" s="10" t="n"/>
      <c r="BU341" s="10" t="n"/>
      <c r="BV341" s="10" t="n"/>
      <c r="BW341" s="10" t="n"/>
      <c r="BX341" s="10" t="n"/>
      <c r="BY341" s="10" t="n"/>
      <c r="BZ341" s="10" t="n"/>
      <c r="CA341" s="10" t="n"/>
      <c r="CB341" s="10" t="n"/>
      <c r="CC341" s="10" t="n"/>
      <c r="CD341" s="10" t="n"/>
      <c r="CE341" s="10" t="n"/>
      <c r="CF341" s="10" t="inlineStr">
        <is>
          <t>WORKING CAPITAL — forecast drivers (blue = input; year-end levels)</t>
        </is>
      </c>
    </row>
    <row r="342" ht="15" customHeight="1" s="251">
      <c r="B342" s="25" t="inlineStr">
        <is>
          <t xml:space="preserve">  Net sales — annualised (quarters × 4)</t>
        </is>
      </c>
      <c r="C342" s="211">
        <f>IF(ISNUMBER(C144),C144*1,"")</f>
        <v>10711</v>
      </c>
      <c r="D342" s="211">
        <f>IF(ISNUMBER(D144),D144*1,"")</f>
        <v>14835</v>
      </c>
      <c r="E342" s="211">
        <f>IF(ISNUMBER(E144),E144*1,"")</f>
        <v>19166</v>
      </c>
      <c r="F342" s="211">
        <f>IF(ISNUMBER(F144),F144*1,"")</f>
        <v>24509</v>
      </c>
      <c r="G342" s="211">
        <f>IF(ISNUMBER(G144),G144*1,"")</f>
        <v>34204</v>
      </c>
      <c r="H342" s="211">
        <f>IF(ISNUMBER(H144),H144*1,"")</f>
        <v>48077</v>
      </c>
      <c r="I342" s="211">
        <f>IF(ISNUMBER(I144),I144*1,"")</f>
        <v>61093</v>
      </c>
      <c r="J342" s="211">
        <f>IF(ISNUMBER(J144),J144*4,"")</f>
        <v>64280</v>
      </c>
      <c r="K342" s="211">
        <f>IF(ISNUMBER(K144),K144*4,"")</f>
        <v>62816</v>
      </c>
      <c r="L342" s="211">
        <f>IF(ISNUMBER(L144),L144*4,"")</f>
        <v>68368</v>
      </c>
      <c r="M342" s="211">
        <f>IF(ISNUMBER(M144),M144*4,"")</f>
        <v>102348</v>
      </c>
      <c r="N342" s="211">
        <f>IF(ISNUMBER(N144),N144*1,"")</f>
        <v>74452</v>
      </c>
      <c r="O342" s="211">
        <f>IF(ISNUMBER(O144),O144*4,"")</f>
        <v>78964</v>
      </c>
      <c r="P342" s="211">
        <f>IF(ISNUMBER(P144),P144*4,"")</f>
        <v>77360</v>
      </c>
      <c r="Q342" s="211">
        <f>IF(ISNUMBER(Q144),Q144*4,"")</f>
        <v>82316</v>
      </c>
      <c r="R342" s="211">
        <f>IF(ISNUMBER(R144),R144*4,"")</f>
        <v>117312</v>
      </c>
      <c r="S342" s="211">
        <f>IF(ISNUMBER(S144),S144*1,"")</f>
        <v>88988</v>
      </c>
      <c r="T342" s="211">
        <f>IF(ISNUMBER(T144),T144*4,"")</f>
        <v>90868</v>
      </c>
      <c r="U342" s="211">
        <f>IF(ISNUMBER(U144),U144*4,"")</f>
        <v>92740</v>
      </c>
      <c r="V342" s="211">
        <f>IF(ISNUMBER(V144),V144*4,"")</f>
        <v>101432</v>
      </c>
      <c r="W342" s="211">
        <f>IF(ISNUMBER(W144),W144*4,"")</f>
        <v>142988</v>
      </c>
      <c r="X342" s="211">
        <f>IF(ISNUMBER(X144),X144*1,"")</f>
        <v>107006</v>
      </c>
      <c r="Y342" s="211">
        <f>IF(ISNUMBER(Y144),Y144*4,"")</f>
        <v>116512</v>
      </c>
      <c r="Z342" s="211">
        <f>IF(ISNUMBER(Z144),Z144*4,"")</f>
        <v>121616</v>
      </c>
      <c r="AA342" s="211">
        <f>IF(ISNUMBER(AA144),AA144*4,"")</f>
        <v>130856</v>
      </c>
      <c r="AB342" s="211">
        <f>IF(ISNUMBER(AB144),AB144*4,"")</f>
        <v>174964</v>
      </c>
      <c r="AC342" s="211">
        <f>IF(ISNUMBER(AC144),AC144*1,"")</f>
        <v>135987</v>
      </c>
      <c r="AD342" s="211">
        <f>IF(ISNUMBER(AD144),AD144*4,"")</f>
        <v>142856</v>
      </c>
      <c r="AE342" s="211">
        <f>IF(ISNUMBER(AE144),AE144*4,"")</f>
        <v>151820</v>
      </c>
      <c r="AF342" s="211">
        <f>IF(ISNUMBER(AF144),AF144*4,"")</f>
        <v>174976</v>
      </c>
      <c r="AG342" s="211">
        <f>IF(ISNUMBER(AG144),AG144*4,"")</f>
        <v>241812</v>
      </c>
      <c r="AH342" s="211">
        <f>IF(ISNUMBER(AH144),AH144*1,"")</f>
        <v>177866</v>
      </c>
      <c r="AI342" s="211">
        <f>IF(ISNUMBER(AI144),AI144*4,"")</f>
        <v>204168</v>
      </c>
      <c r="AJ342" s="211">
        <f>IF(ISNUMBER(AJ144),AJ144*4,"")</f>
        <v>211544</v>
      </c>
      <c r="AK342" s="211">
        <f>IF(ISNUMBER(AK144),AK144*4,"")</f>
        <v>226304</v>
      </c>
      <c r="AL342" s="211">
        <f>IF(ISNUMBER(AL144),AL144*4,"")</f>
        <v>289532</v>
      </c>
      <c r="AM342" s="211">
        <f>IF(ISNUMBER(AM144),AM144*1,"")</f>
        <v>232887</v>
      </c>
      <c r="AN342" s="211">
        <f>IF(ISNUMBER(AN144),AN144*4,"")</f>
        <v>238800</v>
      </c>
      <c r="AO342" s="211">
        <f>IF(ISNUMBER(AO144),AO144*4,"")</f>
        <v>253616</v>
      </c>
      <c r="AP342" s="211">
        <f>IF(ISNUMBER(AP144),AP144*4,"")</f>
        <v>279924</v>
      </c>
      <c r="AQ342" s="211">
        <f>IF(ISNUMBER(AQ144),AQ144*4,"")</f>
        <v>349748</v>
      </c>
      <c r="AR342" s="211">
        <f>IF(ISNUMBER(AR144),AR144*1,"")</f>
        <v>280522</v>
      </c>
      <c r="AS342" s="211">
        <f>IF(ISNUMBER(AS144),AS144*4,"")</f>
        <v>301808</v>
      </c>
      <c r="AT342" s="211">
        <f>IF(ISNUMBER(AT144),AT144*4,"")</f>
        <v>355648</v>
      </c>
      <c r="AU342" s="211">
        <f>IF(ISNUMBER(AU144),AU144*4,"")</f>
        <v>384580</v>
      </c>
      <c r="AV342" s="211">
        <f>IF(ISNUMBER(AV144),AV144*4,"")</f>
        <v>502220</v>
      </c>
      <c r="AW342" s="211">
        <f>IF(ISNUMBER(AW144),AW144*1,"")</f>
        <v>386064</v>
      </c>
      <c r="AX342" s="211">
        <f>IF(ISNUMBER(AX144),AX144*4,"")</f>
        <v>434072</v>
      </c>
      <c r="AY342" s="211">
        <f>IF(ISNUMBER(AY144),AY144*4,"")</f>
        <v>452320</v>
      </c>
      <c r="AZ342" s="211">
        <f>IF(ISNUMBER(AZ144),AZ144*4,"")</f>
        <v>443248</v>
      </c>
      <c r="BA342" s="211">
        <f>IF(ISNUMBER(BA144),BA144*4,"")</f>
        <v>549648</v>
      </c>
      <c r="BB342" s="211">
        <f>IF(ISNUMBER(BB144),BB144*1,"")</f>
        <v>469822</v>
      </c>
      <c r="BC342" s="211">
        <f>IF(ISNUMBER(BC144),BC144*4,"")</f>
        <v>465776</v>
      </c>
      <c r="BD342" s="211">
        <f>IF(ISNUMBER(BD144),BD144*4,"")</f>
        <v>484936</v>
      </c>
      <c r="BE342" s="211">
        <f>IF(ISNUMBER(BE144),BE144*4,"")</f>
        <v>508404</v>
      </c>
      <c r="BF342" s="211">
        <f>IF(ISNUMBER(BF144),BF144*4,"")</f>
        <v>596816</v>
      </c>
      <c r="BG342" s="211">
        <f>IF(ISNUMBER(BG144),BG144*1,"")</f>
        <v>513983</v>
      </c>
      <c r="BH342" s="211">
        <f>IF(ISNUMBER(BH144),BH144*4,"")</f>
        <v>509432</v>
      </c>
      <c r="BI342" s="211">
        <f>IF(ISNUMBER(BI144),BI144*4,"")</f>
        <v>537532</v>
      </c>
      <c r="BJ342" s="211">
        <f>IF(ISNUMBER(BJ144),BJ144*4,"")</f>
        <v>572332</v>
      </c>
      <c r="BK342" s="211">
        <f>IF(ISNUMBER(BK144),BK144*4,"")</f>
        <v>679844</v>
      </c>
      <c r="BL342" s="211">
        <f>IF(ISNUMBER(BL144),BL144*1,"")</f>
        <v>574785</v>
      </c>
      <c r="BM342" s="211">
        <f>IF(ISNUMBER(BM144),BM144*4,"")</f>
        <v>573252</v>
      </c>
      <c r="BN342" s="211">
        <f>IF(ISNUMBER(BN144),BN144*4,"")</f>
        <v>591908</v>
      </c>
      <c r="BO342" s="211">
        <f>IF(ISNUMBER(BO144),BO144*4,"")</f>
        <v>635508</v>
      </c>
      <c r="BP342" s="211">
        <f>IF(ISNUMBER(BP144),BP144*4,"")</f>
        <v>751168</v>
      </c>
      <c r="BQ342" s="211">
        <f>IF(ISNUMBER(BQ144),BQ144*1,"")</f>
        <v>637959</v>
      </c>
      <c r="BR342" s="211">
        <f>IF(ISNUMBER(BR144),BR144*4,"")</f>
        <v>622668</v>
      </c>
      <c r="BS342" s="211">
        <f>IF(ISNUMBER(BS144),BS144*4,"")</f>
        <v>670808</v>
      </c>
      <c r="BT342" s="211">
        <f>IF(ISNUMBER(BT144),BT144*4,"")</f>
        <v>720676</v>
      </c>
      <c r="BU342" s="211">
        <f>IF(ISNUMBER(BU144),BU144*4,"")</f>
        <v>853544</v>
      </c>
      <c r="BV342" s="211">
        <f>IF(ISNUMBER(BV144),BV144*1,"")</f>
        <v>716924</v>
      </c>
      <c r="BW342" s="211">
        <f>IF(ISNUMBER(BW144),BW144*4,"")</f>
        <v>726076</v>
      </c>
      <c r="BX342" s="211">
        <f>IF(ISNUMBER(BX144),BX144*4,"")</f>
        <v>802424</v>
      </c>
      <c r="BY342" s="35" t="n"/>
      <c r="BZ342" s="35" t="n"/>
      <c r="CA342" s="254">
        <f>IF(ISNUMBER(CA144),CA144*1,"")</f>
        <v>825522.474008928</v>
      </c>
      <c r="CB342" s="254">
        <f>IF(ISNUMBER(CB144),CB144*1,"")</f>
        <v>943961.712210567</v>
      </c>
      <c r="CC342" s="254">
        <f>IF(ISNUMBER(CC144),CC144*1,"")</f>
        <v>1069423.70239271</v>
      </c>
      <c r="CD342" s="254">
        <f>IF(ISNUMBER(CD144),CD144*1,"")</f>
        <v>1198711.65171464</v>
      </c>
      <c r="CE342" s="254">
        <f>IF(ISNUMBER(CE144),CE144*1,"")</f>
        <v>1330223.04732592</v>
      </c>
      <c r="CF342" s="19" t="n"/>
    </row>
    <row r="343" ht="15" customHeight="1" s="251">
      <c r="B343" s="25" t="inlineStr">
        <is>
          <t xml:space="preserve">  Cost of sales — annualised</t>
        </is>
      </c>
      <c r="C343" s="211">
        <f>IF(ISNUMBER(C147),C147*1,"")</f>
        <v>8255</v>
      </c>
      <c r="D343" s="211">
        <f>IF(ISNUMBER(D147),D147*1,"")</f>
        <v>11482</v>
      </c>
      <c r="E343" s="211">
        <f>IF(ISNUMBER(E147),E147*1,"")</f>
        <v>14896</v>
      </c>
      <c r="F343" s="211">
        <f>IF(ISNUMBER(F147),F147*1,"")</f>
        <v>18978</v>
      </c>
      <c r="G343" s="211">
        <f>IF(ISNUMBER(G147),G147*1,"")</f>
        <v>26561</v>
      </c>
      <c r="H343" s="211">
        <f>IF(ISNUMBER(H147),H147*1,"")</f>
        <v>37288</v>
      </c>
      <c r="I343" s="211">
        <f>IF(ISNUMBER(I147),I147*1,"")</f>
        <v>45971</v>
      </c>
      <c r="J343" s="211">
        <f>IF(ISNUMBER(J147),J147*4,"")</f>
        <v>47204</v>
      </c>
      <c r="K343" s="211">
        <f>IF(ISNUMBER(K147),K147*4,"")</f>
        <v>44836</v>
      </c>
      <c r="L343" s="211">
        <f>IF(ISNUMBER(L147),L147*4,"")</f>
        <v>49464</v>
      </c>
      <c r="M343" s="211">
        <f>IF(ISNUMBER(M147),M147*4,"")</f>
        <v>75224</v>
      </c>
      <c r="N343" s="211">
        <f>IF(ISNUMBER(N147),N147*1,"")</f>
        <v>54181</v>
      </c>
      <c r="O343" s="211">
        <f>IF(ISNUMBER(O147),O147*4,"")</f>
        <v>56220</v>
      </c>
      <c r="P343" s="211">
        <f>IF(ISNUMBER(P147),P147*4,"")</f>
        <v>53596</v>
      </c>
      <c r="Q343" s="211">
        <f>IF(ISNUMBER(Q147),Q147*4,"")</f>
        <v>58508</v>
      </c>
      <c r="R343" s="211">
        <f>IF(ISNUMBER(R147),R147*4,"")</f>
        <v>82684</v>
      </c>
      <c r="S343" s="211">
        <f>IF(ISNUMBER(S147),S147*1,"")</f>
        <v>62752</v>
      </c>
      <c r="T343" s="211">
        <f>IF(ISNUMBER(T147),T147*4,"")</f>
        <v>61580</v>
      </c>
      <c r="U343" s="211">
        <f>IF(ISNUMBER(U147),U147*4,"")</f>
        <v>60640</v>
      </c>
      <c r="V343" s="211">
        <f>IF(ISNUMBER(V147),V147*4,"")</f>
        <v>67020</v>
      </c>
      <c r="W343" s="211">
        <f>IF(ISNUMBER(W147),W147*4,"")</f>
        <v>97364</v>
      </c>
      <c r="X343" s="211">
        <f>IF(ISNUMBER(X147),X147*1,"")</f>
        <v>71651</v>
      </c>
      <c r="Y343" s="211">
        <f>IF(ISNUMBER(Y147),Y147*4,"")</f>
        <v>75464</v>
      </c>
      <c r="Z343" s="211">
        <f>IF(ISNUMBER(Z147),Z147*4,"")</f>
        <v>76720</v>
      </c>
      <c r="AA343" s="211">
        <f>IF(ISNUMBER(AA147),AA147*4,"")</f>
        <v>85040</v>
      </c>
      <c r="AB343" s="211">
        <f>IF(ISNUMBER(AB147),AB147*4,"")</f>
        <v>115832</v>
      </c>
      <c r="AC343" s="211">
        <f>IF(ISNUMBER(AC147),AC147*1,"")</f>
        <v>88265</v>
      </c>
      <c r="AD343" s="211">
        <f>IF(ISNUMBER(AD147),AD147*4,"")</f>
        <v>89760</v>
      </c>
      <c r="AE343" s="211">
        <f>IF(ISNUMBER(AE147),AE147*4,"")</f>
        <v>93804</v>
      </c>
      <c r="AF343" s="211">
        <f>IF(ISNUMBER(AF147),AF147*4,"")</f>
        <v>110196</v>
      </c>
      <c r="AG343" s="211">
        <f>IF(ISNUMBER(AG147),AG147*4,"")</f>
        <v>153976</v>
      </c>
      <c r="AH343" s="211">
        <f>IF(ISNUMBER(AH147),AH147*1,"")</f>
        <v>111934</v>
      </c>
      <c r="AI343" s="211">
        <f>IF(ISNUMBER(AI147),AI147*4,"")</f>
        <v>122940</v>
      </c>
      <c r="AJ343" s="211">
        <f>IF(ISNUMBER(AJ147),AJ147*4,"")</f>
        <v>122528</v>
      </c>
      <c r="AK343" s="211">
        <f>IF(ISNUMBER(AK147),AK147*4,"")</f>
        <v>132012</v>
      </c>
      <c r="AL343" s="211">
        <f>IF(ISNUMBER(AL147),AL147*4,"")</f>
        <v>179144</v>
      </c>
      <c r="AM343" s="211">
        <f>IF(ISNUMBER(AM147),AM147*1,"")</f>
        <v>139156</v>
      </c>
      <c r="AN343" s="211">
        <f>IF(ISNUMBER(AN147),AN147*4,"")</f>
        <v>135680</v>
      </c>
      <c r="AO343" s="211">
        <f>IF(ISNUMBER(AO147),AO147*4,"")</f>
        <v>145348</v>
      </c>
      <c r="AP343" s="211">
        <f>IF(ISNUMBER(AP147),AP147*4,"")</f>
        <v>165208</v>
      </c>
      <c r="AQ343" s="211">
        <f>IF(ISNUMBER(AQ147),AQ147*4,"")</f>
        <v>215908</v>
      </c>
      <c r="AR343" s="211">
        <f>IF(ISNUMBER(AR147),AR147*1,"")</f>
        <v>165536</v>
      </c>
      <c r="AS343" s="211">
        <f>IF(ISNUMBER(AS147),AS147*4,"")</f>
        <v>177028</v>
      </c>
      <c r="AT343" s="211">
        <f>IF(ISNUMBER(AT147),AT147*4,"")</f>
        <v>210640</v>
      </c>
      <c r="AU343" s="211">
        <f>IF(ISNUMBER(AU147),AU147*4,"")</f>
        <v>228424</v>
      </c>
      <c r="AV343" s="211">
        <f>IF(ISNUMBER(AV147),AV147*4,"")</f>
        <v>317136</v>
      </c>
      <c r="AW343" s="211">
        <f>IF(ISNUMBER(AW147),AW147*1,"")</f>
        <v>233307</v>
      </c>
      <c r="AX343" s="211">
        <f>IF(ISNUMBER(AX147),AX147*4,"")</f>
        <v>249612</v>
      </c>
      <c r="AY343" s="211">
        <f>IF(ISNUMBER(AY147),AY147*4,"")</f>
        <v>256704</v>
      </c>
      <c r="AZ343" s="211">
        <f>IF(ISNUMBER(AZ147),AZ147*4,"")</f>
        <v>251720</v>
      </c>
      <c r="BA343" s="211">
        <f>IF(ISNUMBER(BA147),BA147*4,"")</f>
        <v>331340</v>
      </c>
      <c r="BB343" s="211">
        <f>IF(ISNUMBER(BB147),BB147*1,"")</f>
        <v>272344</v>
      </c>
      <c r="BC343" s="211">
        <f>IF(ISNUMBER(BC147),BC147*4,"")</f>
        <v>265996</v>
      </c>
      <c r="BD343" s="211">
        <f>IF(ISNUMBER(BD147),BD147*4,"")</f>
        <v>265696</v>
      </c>
      <c r="BE343" s="211">
        <f>IF(ISNUMBER(BE147),BE147*4,"")</f>
        <v>281072</v>
      </c>
      <c r="BF343" s="211">
        <f>IF(ISNUMBER(BF147),BF147*4,"")</f>
        <v>342560</v>
      </c>
      <c r="BG343" s="211">
        <f>IF(ISNUMBER(BG147),BG147*1,"")</f>
        <v>288831</v>
      </c>
      <c r="BH343" s="211">
        <f>IF(ISNUMBER(BH147),BH147*4,"")</f>
        <v>271164</v>
      </c>
      <c r="BI343" s="211">
        <f>IF(ISNUMBER(BI147),BI147*4,"")</f>
        <v>277492</v>
      </c>
      <c r="BJ343" s="211">
        <f>IF(ISNUMBER(BJ147),BJ147*4,"")</f>
        <v>300088</v>
      </c>
      <c r="BK343" s="211">
        <f>IF(ISNUMBER(BK147),BK147*4,"")</f>
        <v>370212</v>
      </c>
      <c r="BL343" s="211">
        <f>IF(ISNUMBER(BL147),BL147*1,"")</f>
        <v>304739</v>
      </c>
      <c r="BM343" s="211">
        <f>IF(ISNUMBER(BM147),BM147*4,"")</f>
        <v>290532</v>
      </c>
      <c r="BN343" s="211">
        <f>IF(ISNUMBER(BN147),BN147*4,"")</f>
        <v>295140</v>
      </c>
      <c r="BO343" s="211">
        <f>IF(ISNUMBER(BO147),BO147*4,"")</f>
        <v>323908</v>
      </c>
      <c r="BP343" s="211">
        <f>IF(ISNUMBER(BP147),BP147*4,"")</f>
        <v>395572</v>
      </c>
      <c r="BQ343" s="211">
        <f>IF(ISNUMBER(BQ147),BQ147*1,"")</f>
        <v>326288</v>
      </c>
      <c r="BR343" s="211">
        <f>IF(ISNUMBER(BR147),BR147*4,"")</f>
        <v>307904</v>
      </c>
      <c r="BS343" s="211">
        <f>IF(ISNUMBER(BS147),BS147*4,"")</f>
        <v>323236</v>
      </c>
      <c r="BT343" s="211">
        <f>IF(ISNUMBER(BT147),BT147*4,"")</f>
        <v>354680</v>
      </c>
      <c r="BU343" s="211">
        <f>IF(ISNUMBER(BU147),BU147*4,"")</f>
        <v>439836</v>
      </c>
      <c r="BV343" s="211">
        <f>IF(ISNUMBER(BV147),BV147*1,"")</f>
        <v>356414</v>
      </c>
      <c r="BW343" s="211">
        <f>IF(ISNUMBER(BW147),BW147*4,"")</f>
        <v>349852</v>
      </c>
      <c r="BX343" s="211">
        <f>IF(ISNUMBER(BX147),BX147*4,"")</f>
        <v>383112</v>
      </c>
      <c r="BY343" s="35" t="n"/>
      <c r="BZ343" s="35" t="n"/>
      <c r="CA343" s="254">
        <f>IF(ISNUMBER(CA147),CA147*1,"")</f>
        <v>407742.28102203</v>
      </c>
      <c r="CB343" s="254">
        <f>IF(ISNUMBER(CB147),CB147*1,"")</f>
        <v>444163.118205805</v>
      </c>
      <c r="CC343" s="254">
        <f>IF(ISNUMBER(CC147),CC147*1,"")</f>
        <v>491841.786238749</v>
      </c>
      <c r="CD343" s="254">
        <f>IF(ISNUMBER(CD147),CD147*1,"")</f>
        <v>542775.694481146</v>
      </c>
      <c r="CE343" s="254">
        <f>IF(ISNUMBER(CE147),CE147*1,"")</f>
        <v>592475.772235591</v>
      </c>
      <c r="CF343" s="19" t="n"/>
    </row>
    <row r="344" ht="15" customHeight="1" s="251">
      <c r="B344" s="25" t="inlineStr">
        <is>
          <t xml:space="preserve">  Receivable days — receivables / net sales × 365</t>
        </is>
      </c>
      <c r="C344" s="286">
        <f>IFERROR(C314/C342*365,"")</f>
        <v>13.596769676034</v>
      </c>
      <c r="D344" s="286">
        <f>IFERROR(D314/D342*365,"")</f>
        <v>17.3458038422649</v>
      </c>
      <c r="E344" s="286">
        <f>IFERROR(E314/E342*365,"")</f>
        <v>15.7495043305854</v>
      </c>
      <c r="F344" s="286">
        <f>IFERROR(F314/F342*365,"")</f>
        <v>14.7137786119385</v>
      </c>
      <c r="G344" s="286">
        <f>IFERROR(G314/G342*365,"")</f>
        <v>16.9352999649164</v>
      </c>
      <c r="H344" s="286">
        <f>IFERROR(H314/H342*365,"")</f>
        <v>19.5190007695988</v>
      </c>
      <c r="I344" s="286">
        <f>IFERROR(I314/I342*365,"")</f>
        <v>20.0982109243285</v>
      </c>
      <c r="J344" s="286">
        <f>IFERROR(J314/J342*365,"")</f>
        <v>14.2865588052271</v>
      </c>
      <c r="K344" s="286">
        <f>IFERROR(K314/K342*365,"")</f>
        <v>16.6241881049414</v>
      </c>
      <c r="L344" s="286">
        <f>IFERROR(L314/L342*365,"")</f>
        <v>16.3205739527264</v>
      </c>
      <c r="M344" s="286">
        <f>IFERROR(M314/M342*365,"")</f>
        <v>17.0003810528784</v>
      </c>
      <c r="N344" s="286">
        <f>IFERROR(N314/N342*365,"")</f>
        <v>23.3701579541181</v>
      </c>
      <c r="O344" s="286">
        <f>IFERROR(O314/O342*365,"")</f>
        <v>18.23520844942</v>
      </c>
      <c r="P344" s="286">
        <f>IFERROR(P314/P342*365,"")</f>
        <v>19.4625775594623</v>
      </c>
      <c r="Q344" s="286">
        <f>IFERROR(Q314/Q342*365,"")</f>
        <v>19.3904587200544</v>
      </c>
      <c r="R344" s="286">
        <f>IFERROR(R314/R342*365,"")</f>
        <v>17.4609588106929</v>
      </c>
      <c r="S344" s="286">
        <f>IFERROR(S314/S342*365,"")</f>
        <v>23.0186092506855</v>
      </c>
      <c r="T344" s="286">
        <f>IFERROR(T314/T342*365,"")</f>
        <v>19.1682440463089</v>
      </c>
      <c r="U344" s="286">
        <f>IFERROR(U314/U342*365,"")</f>
        <v>19.3638128100065</v>
      </c>
      <c r="V344" s="286">
        <f>IFERROR(V314/V342*365,"")</f>
        <v>19.5756763151668</v>
      </c>
      <c r="W344" s="286">
        <f>IFERROR(W314/W342*365,"")</f>
        <v>16.3957464962095</v>
      </c>
      <c r="X344" s="286">
        <f>IFERROR(X314/X342*365,"")</f>
        <v>21.9090051025176</v>
      </c>
      <c r="Y344" s="286">
        <f>IFERROR(Y314/Y342*365,"")</f>
        <v>15.8891787970338</v>
      </c>
      <c r="Z344" s="286">
        <f>IFERROR(Z314/Z342*365,"")</f>
        <v>18.2836139981581</v>
      </c>
      <c r="AA344" s="286">
        <f>IFERROR(AA314/AA342*365,"")</f>
        <v>18.3147123555664</v>
      </c>
      <c r="AB344" s="286">
        <f>IFERROR(AB314/AB342*365,"")</f>
        <v>17.3963501063076</v>
      </c>
      <c r="AC344" s="286">
        <f>IFERROR(AC314/AC342*365,"")</f>
        <v>22.3825439196394</v>
      </c>
      <c r="AD344" s="286">
        <f>IFERROR(AD314/AD342*365,"")</f>
        <v>18.7257448059585</v>
      </c>
      <c r="AE344" s="286">
        <f>IFERROR(AE314/AE342*365,"")</f>
        <v>19.3438940851008</v>
      </c>
      <c r="AF344" s="286">
        <f>IFERROR(AF314/AF342*365,"")</f>
        <v>22.0219058613753</v>
      </c>
      <c r="AG344" s="286">
        <f>IFERROR(AG314/AG342*365,"")</f>
        <v>19.8702297652722</v>
      </c>
      <c r="AH344" s="286">
        <f>IFERROR(AH314/AH342*365,"")</f>
        <v>27.0139318363262</v>
      </c>
      <c r="AI344" s="286">
        <f>IFERROR(AI314/AI342*365,"")</f>
        <v>21.4994024528819</v>
      </c>
      <c r="AJ344" s="286">
        <f>IFERROR(AJ314/AJ342*365,"")</f>
        <v>21.752235941459</v>
      </c>
      <c r="AK344" s="286">
        <f>IFERROR(AK314/AK342*365,"")</f>
        <v>22.9963677177602</v>
      </c>
      <c r="AL344" s="286">
        <f>IFERROR(AL314/AL342*365,"")</f>
        <v>21.0239455396986</v>
      </c>
      <c r="AM344" s="286">
        <f>IFERROR(AM314/AM342*365,"")</f>
        <v>26.1375903335094</v>
      </c>
      <c r="AN344" s="286">
        <f>IFERROR(AN314/AN342*365,"")</f>
        <v>24.423513400335</v>
      </c>
      <c r="AO344" s="286">
        <f>IFERROR(AO314/AO342*365,"")</f>
        <v>24.1020085483566</v>
      </c>
      <c r="AP344" s="286">
        <f>IFERROR(AP314/AP342*365,"")</f>
        <v>22.0193874051528</v>
      </c>
      <c r="AQ344" s="286">
        <f>IFERROR(AQ314/AQ342*365,"")</f>
        <v>21.7237553895948</v>
      </c>
      <c r="AR344" s="286">
        <f>IFERROR(AR314/AR342*365,"")</f>
        <v>27.0846493323162</v>
      </c>
      <c r="AS344" s="286">
        <f>IFERROR(AS314/AS342*365,"")</f>
        <v>21.5704686423156</v>
      </c>
      <c r="AT344" s="286">
        <f>IFERROR(AT314/AT342*365,"")</f>
        <v>20.4417570181753</v>
      </c>
      <c r="AU344" s="286">
        <f>IFERROR(AU314/AU342*365,"")</f>
        <v>19.771386967601</v>
      </c>
      <c r="AV344" s="286">
        <f>IFERROR(AV314/AV342*365,"")</f>
        <v>17.8364660905579</v>
      </c>
      <c r="AW344" s="286">
        <f>IFERROR(AW314/AW342*365,"")</f>
        <v>23.2029663475486</v>
      </c>
      <c r="AX344" s="286">
        <f>IFERROR(AX314/AX342*365,"")</f>
        <v>20.4239964798467</v>
      </c>
      <c r="AY344" s="286">
        <f>IFERROR(AY314/AY342*365,"")</f>
        <v>21.6545255571277</v>
      </c>
      <c r="AZ344" s="286">
        <f>IFERROR(AZ314/AZ342*365,"")</f>
        <v>23.5593843627044</v>
      </c>
      <c r="BA344" s="286">
        <f>IFERROR(BA314/BA342*365,"")</f>
        <v>21.8416422874276</v>
      </c>
      <c r="BB344" s="286">
        <f>IFERROR(BB314/BB342*365,"")</f>
        <v>25.5526880393</v>
      </c>
      <c r="BC344" s="286">
        <f>IFERROR(BC314/BC342*365,"")</f>
        <v>25.4713853869671</v>
      </c>
      <c r="BD344" s="286">
        <f>IFERROR(BD314/BD342*365,"")</f>
        <v>26.1961578435092</v>
      </c>
      <c r="BE344" s="286">
        <f>IFERROR(BE314/BE342*365,"")</f>
        <v>25.956149046821</v>
      </c>
      <c r="BF344" s="286">
        <f>IFERROR(BF314/BF342*365,"")</f>
        <v>25.9064770381491</v>
      </c>
      <c r="BG344" s="286">
        <f>IFERROR(BG314/BG342*365,"")</f>
        <v>30.0815396618176</v>
      </c>
      <c r="BH344" s="286">
        <f>IFERROR(BH314/BH342*365,"")</f>
        <v>26.9727657469495</v>
      </c>
      <c r="BI344" s="286">
        <f>IFERROR(BI314/BI342*365,"")</f>
        <v>27.1102464597457</v>
      </c>
      <c r="BJ344" s="286">
        <f>IFERROR(BJ314/BJ342*365,"")</f>
        <v>27.6907459306836</v>
      </c>
      <c r="BK344" s="286">
        <f>IFERROR(BK314/BK342*365,"")</f>
        <v>28.0540020945982</v>
      </c>
      <c r="BL344" s="286">
        <f>IFERROR(BL314/BL342*365,"")</f>
        <v>33.1817027236271</v>
      </c>
      <c r="BM344" s="286">
        <f>IFERROR(BM314/BM342*365,"")</f>
        <v>30.4147565119703</v>
      </c>
      <c r="BN344" s="286">
        <f>IFERROR(BN314/BN342*365,"")</f>
        <v>30.8978591267562</v>
      </c>
      <c r="BO344" s="286">
        <f>IFERROR(BO314/BO342*365,"")</f>
        <v>29.6579586724321</v>
      </c>
      <c r="BP344" s="286">
        <f>IFERROR(BP314/BP342*365,"")</f>
        <v>26.9441922446111</v>
      </c>
      <c r="BQ344" s="286">
        <f>IFERROR(BQ314/BQ342*365,"")</f>
        <v>31.7255732735176</v>
      </c>
      <c r="BR344" s="286">
        <f>IFERROR(BR314/BR342*365,"")</f>
        <v>31.7807242382779</v>
      </c>
      <c r="BS344" s="286">
        <f>IFERROR(BS314/BS342*365,"")</f>
        <v>31.2406456094739</v>
      </c>
      <c r="BT344" s="286">
        <f>IFERROR(BT314/BT342*365,"")</f>
        <v>30.9832365723293</v>
      </c>
      <c r="BU344" s="286">
        <f>IFERROR(BU314/BU342*365,"")</f>
        <v>28.9628712755289</v>
      </c>
      <c r="BV344" s="286">
        <f>IFERROR(BV314/BV342*365,"")</f>
        <v>34.4821557096708</v>
      </c>
      <c r="BW344" s="286">
        <f>IFERROR(BW314/BW342*365,"")</f>
        <v>37.9701023033402</v>
      </c>
      <c r="BX344" s="286">
        <f>IFERROR(BX314/BX342*365,"")</f>
        <v>40.0705611995653</v>
      </c>
      <c r="BY344" s="35" t="n"/>
      <c r="BZ344" s="35" t="n"/>
      <c r="CA344" s="287" t="n">
        <v>34</v>
      </c>
      <c r="CB344" s="287" t="n">
        <v>34</v>
      </c>
      <c r="CC344" s="287" t="n">
        <v>34</v>
      </c>
      <c r="CD344" s="287" t="n">
        <v>34</v>
      </c>
      <c r="CE344" s="287" t="n">
        <v>34</v>
      </c>
      <c r="CF344" s="19" t="n"/>
    </row>
    <row r="345" ht="15" customHeight="1" s="251">
      <c r="B345" s="25" t="inlineStr">
        <is>
          <t xml:space="preserve">  Inventory days — inventories / cost of sales × 365</t>
        </is>
      </c>
      <c r="C345" s="286">
        <f>IFERROR(C313/C343*365,"")</f>
        <v>38.7771047849788</v>
      </c>
      <c r="D345" s="286">
        <f>IFERROR(D313/D343*365,"")</f>
        <v>38.1466643441909</v>
      </c>
      <c r="E345" s="286">
        <f>IFERROR(E313/E343*365,"")</f>
        <v>34.2800080558539</v>
      </c>
      <c r="F345" s="286">
        <f>IFERROR(F313/F343*365,"")</f>
        <v>41.7543998313837</v>
      </c>
      <c r="G345" s="286">
        <f>IFERROR(G313/G343*365,"")</f>
        <v>44.0017318625052</v>
      </c>
      <c r="H345" s="286">
        <f>IFERROR(H313/H343*365,"")</f>
        <v>48.8650504183652</v>
      </c>
      <c r="I345" s="286">
        <f>IFERROR(I313/I343*365,"")</f>
        <v>47.8848621957321</v>
      </c>
      <c r="J345" s="286">
        <f>IFERROR(J313/J343*365,"")</f>
        <v>41.7162740445725</v>
      </c>
      <c r="K345" s="286">
        <f>IFERROR(K313/K343*365,"")</f>
        <v>44.1230261397092</v>
      </c>
      <c r="L345" s="286">
        <f>IFERROR(L313/L343*365,"")</f>
        <v>44.7764030405952</v>
      </c>
      <c r="M345" s="286">
        <f>IFERROR(M313/M343*365,"")</f>
        <v>35.9594677230671</v>
      </c>
      <c r="N345" s="286">
        <f>IFERROR(N313/N343*365,"")</f>
        <v>49.9255273989037</v>
      </c>
      <c r="O345" s="286">
        <f>IFERROR(O313/O343*365,"")</f>
        <v>43.6026325151192</v>
      </c>
      <c r="P345" s="286">
        <f>IFERROR(P313/P343*365,"")</f>
        <v>45.2470333606986</v>
      </c>
      <c r="Q345" s="286">
        <f>IFERROR(Q313/Q343*365,"")</f>
        <v>45.6405961577904</v>
      </c>
      <c r="R345" s="286">
        <f>IFERROR(R313/R343*365,"")</f>
        <v>36.6350805476271</v>
      </c>
      <c r="S345" s="286">
        <f>IFERROR(S313/S343*365,"")</f>
        <v>48.2715291942886</v>
      </c>
      <c r="T345" s="286">
        <f>IFERROR(T313/T343*365,"")</f>
        <v>43.6778986683988</v>
      </c>
      <c r="U345" s="286">
        <f>IFERROR(U313/U343*365,"")</f>
        <v>44.9628957783641</v>
      </c>
      <c r="V345" s="286">
        <f>IFERROR(V313/V343*365,"")</f>
        <v>48.9117427633542</v>
      </c>
      <c r="W345" s="286">
        <f>IFERROR(W313/W343*365,"")</f>
        <v>38.3991516371554</v>
      </c>
      <c r="X345" s="286">
        <f>IFERROR(X313/X343*365,"")</f>
        <v>52.1792438346988</v>
      </c>
      <c r="Y345" s="286">
        <f>IFERROR(Y313/Y343*365,"")</f>
        <v>46.3456747588254</v>
      </c>
      <c r="Z345" s="286">
        <f>IFERROR(Z313/Z343*365,"")</f>
        <v>45.6154848800834</v>
      </c>
      <c r="AA345" s="286">
        <f>IFERROR(AA313/AA343*365,"")</f>
        <v>45.9082784571966</v>
      </c>
      <c r="AB345" s="286">
        <f>IFERROR(AB313/AB343*365,"")</f>
        <v>36.1149336970785</v>
      </c>
      <c r="AC345" s="286">
        <f>IFERROR(AC313/AC343*365,"")</f>
        <v>47.3943805585453</v>
      </c>
      <c r="AD345" s="286">
        <f>IFERROR(AD313/AD343*365,"")</f>
        <v>43.1038324420677</v>
      </c>
      <c r="AE345" s="286">
        <f>IFERROR(AE313/AE343*365,"")</f>
        <v>44.7864696601424</v>
      </c>
      <c r="AF345" s="286">
        <f>IFERROR(AF313/AF343*365,"")</f>
        <v>45.4146702239646</v>
      </c>
      <c r="AG345" s="286">
        <f>IFERROR(AG313/AG343*365,"")</f>
        <v>38.0394022445056</v>
      </c>
      <c r="AH345" s="286">
        <f>IFERROR(AH313/AH343*365,"")</f>
        <v>52.3268622581164</v>
      </c>
      <c r="AI345" s="286">
        <f>IFERROR(AI313/AI343*365,"")</f>
        <v>41.089962583374</v>
      </c>
      <c r="AJ345" s="286">
        <f>IFERROR(AJ313/AJ343*365,"")</f>
        <v>44.15937581614</v>
      </c>
      <c r="AK345" s="286">
        <f>IFERROR(AK313/AK343*365,"")</f>
        <v>43.8568463473018</v>
      </c>
      <c r="AL345" s="286">
        <f>IFERROR(AL313/AL343*365,"")</f>
        <v>34.9914593846291</v>
      </c>
      <c r="AM345" s="286">
        <f>IFERROR(AM313/AM343*365,"")</f>
        <v>45.0466383052114</v>
      </c>
      <c r="AN345" s="286">
        <f>IFERROR(AN313/AN343*365,"")</f>
        <v>44.2045990566038</v>
      </c>
      <c r="AO345" s="286">
        <f>IFERROR(AO313/AO343*365,"")</f>
        <v>46.658364752181</v>
      </c>
      <c r="AP345" s="286">
        <f>IFERROR(AP313/AP343*365,"")</f>
        <v>41.4604014333446</v>
      </c>
      <c r="AQ345" s="286">
        <f>IFERROR(AQ313/AQ343*365,"")</f>
        <v>34.6508929729329</v>
      </c>
      <c r="AR345" s="286">
        <f>IFERROR(AR313/AR343*365,"")</f>
        <v>45.1950331045815</v>
      </c>
      <c r="AS345" s="286">
        <f>IFERROR(AS313/AS343*365,"")</f>
        <v>38.8797534853244</v>
      </c>
      <c r="AT345" s="286">
        <f>IFERROR(AT313/AT343*365,"")</f>
        <v>33.9614270793771</v>
      </c>
      <c r="AU345" s="286">
        <f>IFERROR(AU313/AU343*365,"")</f>
        <v>37.9262905824257</v>
      </c>
      <c r="AV345" s="286">
        <f>IFERROR(AV313/AV343*365,"")</f>
        <v>27.3862790727007</v>
      </c>
      <c r="AW345" s="286">
        <f>IFERROR(AW313/AW343*365,"")</f>
        <v>37.2263798342956</v>
      </c>
      <c r="AX345" s="286">
        <f>IFERROR(AX313/AX343*365,"")</f>
        <v>34.8736639264138</v>
      </c>
      <c r="AY345" s="286">
        <f>IFERROR(AY313/AY343*365,"")</f>
        <v>34.2941091685365</v>
      </c>
      <c r="AZ345" s="286">
        <f>IFERROR(AZ313/AZ343*365,"")</f>
        <v>44.8535873192436</v>
      </c>
      <c r="BA345" s="286">
        <f>IFERROR(BA313/BA343*365,"")</f>
        <v>35.9558157783546</v>
      </c>
      <c r="BB345" s="286">
        <f>IFERROR(BB313/BB343*365,"")</f>
        <v>43.7446758511295</v>
      </c>
      <c r="BC345" s="286">
        <f>IFERROR(BC313/BC343*365,"")</f>
        <v>48.0091993864569</v>
      </c>
      <c r="BD345" s="286">
        <f>IFERROR(BD313/BD343*365,"")</f>
        <v>52.4127009815729</v>
      </c>
      <c r="BE345" s="286">
        <f>IFERROR(BE313/BE343*365,"")</f>
        <v>47.5897812660101</v>
      </c>
      <c r="BF345" s="286">
        <f>IFERROR(BF313/BF343*365,"")</f>
        <v>36.6587605091079</v>
      </c>
      <c r="BG345" s="286">
        <f>IFERROR(BG313/BG343*365,"")</f>
        <v>43.4781065744328</v>
      </c>
      <c r="BH345" s="286">
        <f>IFERROR(BH313/BH343*365,"")</f>
        <v>45.9944904190822</v>
      </c>
      <c r="BI345" s="286">
        <f>IFERROR(BI313/BI343*365,"")</f>
        <v>48.124828823894</v>
      </c>
      <c r="BJ345" s="286">
        <f>IFERROR(BJ313/BJ343*365,"")</f>
        <v>43.0646676974754</v>
      </c>
      <c r="BK345" s="286">
        <f>IFERROR(BK313/BK343*365,"")</f>
        <v>32.8489352046935</v>
      </c>
      <c r="BL345" s="286">
        <f>IFERROR(BL313/BL343*365,"")</f>
        <v>39.9065101611543</v>
      </c>
      <c r="BM345" s="286">
        <f>IFERROR(BM313/BM343*365,"")</f>
        <v>39.1304744399928</v>
      </c>
      <c r="BN345" s="286">
        <f>IFERROR(BN313/BN343*365,"")</f>
        <v>42.1826421359355</v>
      </c>
      <c r="BO345" s="286">
        <f>IFERROR(BO313/BO343*365,"")</f>
        <v>40.6831415093175</v>
      </c>
      <c r="BP345" s="286">
        <f>IFERROR(BP313/BP343*365,"")</f>
        <v>31.569752156371</v>
      </c>
      <c r="BQ345" s="286">
        <f>IFERROR(BQ313/BQ343*365,"")</f>
        <v>38.2732739175207</v>
      </c>
      <c r="BR345" s="286">
        <f>IFERROR(BR313/BR343*365,"")</f>
        <v>42.5144200789857</v>
      </c>
      <c r="BS345" s="286">
        <f>IFERROR(BS313/BS343*365,"")</f>
        <v>46.0998310831714</v>
      </c>
      <c r="BT345" s="286">
        <f>IFERROR(BT313/BT343*365,"")</f>
        <v>42.7013364159242</v>
      </c>
      <c r="BU345" s="286">
        <f>IFERROR(BU313/BU343*365,"")</f>
        <v>31.8041838321556</v>
      </c>
      <c r="BV345" s="286">
        <f>IFERROR(BV313/BV343*365,"")</f>
        <v>39.2482478241595</v>
      </c>
      <c r="BW345" s="286">
        <f>IFERROR(BW313/BW343*365,"")</f>
        <v>38.115860420978</v>
      </c>
      <c r="BX345" s="286">
        <f>IFERROR(BX313/BX343*365,"")</f>
        <v>36.3788135062332</v>
      </c>
      <c r="BY345" s="35" t="n"/>
      <c r="BZ345" s="35" t="n"/>
      <c r="CA345" s="287" t="n">
        <v>39</v>
      </c>
      <c r="CB345" s="287" t="n">
        <v>39</v>
      </c>
      <c r="CC345" s="287" t="n">
        <v>39</v>
      </c>
      <c r="CD345" s="287" t="n">
        <v>39</v>
      </c>
      <c r="CE345" s="287" t="n">
        <v>39</v>
      </c>
      <c r="CF345" s="19" t="n"/>
    </row>
    <row r="346" ht="15" customHeight="1" s="251">
      <c r="B346" s="25" t="inlineStr">
        <is>
          <t xml:space="preserve">  Payable days — payables / cost of sales × 365</t>
        </is>
      </c>
      <c r="C346" s="286">
        <f>IFERROR(C323/C343*365,"")</f>
        <v>80.2955784373107</v>
      </c>
      <c r="D346" s="286">
        <f>IFERROR(D323/D343*365,"")</f>
        <v>88.8499390350113</v>
      </c>
      <c r="E346" s="286">
        <f>IFERROR(E323/E343*365,"")</f>
        <v>88.0645810955961</v>
      </c>
      <c r="F346" s="286">
        <f>IFERROR(F323/F343*365,"")</f>
        <v>107.799820845189</v>
      </c>
      <c r="G346" s="286">
        <f>IFERROR(G323/G343*365,"")</f>
        <v>110.636459470652</v>
      </c>
      <c r="H346" s="286">
        <f>IFERROR(H323/H343*365,"")</f>
        <v>109.094748980905</v>
      </c>
      <c r="I346" s="286">
        <f>IFERROR(I323/I343*365,"")</f>
        <v>105.74209827935</v>
      </c>
      <c r="J346" s="286">
        <f>IFERROR(J323/J343*365,"")</f>
        <v>68.9420388102703</v>
      </c>
      <c r="K346" s="286">
        <f>IFERROR(K323/K343*365,"")</f>
        <v>73.1856097778571</v>
      </c>
      <c r="L346" s="286">
        <f>IFERROR(L323/L343*365,"")</f>
        <v>74.0640667960537</v>
      </c>
      <c r="M346" s="286">
        <f>IFERROR(M323/M343*365,"")</f>
        <v>73.4279618206955</v>
      </c>
      <c r="N346" s="286">
        <f>IFERROR(N323/N343*365,"")</f>
        <v>101.946161938687</v>
      </c>
      <c r="O346" s="286">
        <f>IFERROR(O323/O343*365,"")</f>
        <v>68.7540021344717</v>
      </c>
      <c r="P346" s="286">
        <f>IFERROR(P323/P343*365,"")</f>
        <v>71.2143630121651</v>
      </c>
      <c r="Q346" s="286">
        <f>IFERROR(Q323/Q343*365,"")</f>
        <v>73.6824878649074</v>
      </c>
      <c r="R346" s="286">
        <f>IFERROR(R323/R343*365,"")</f>
        <v>72.6565599148566</v>
      </c>
      <c r="S346" s="286">
        <f>IFERROR(S323/S343*365,"")</f>
        <v>95.7345582610913</v>
      </c>
      <c r="T346" s="286">
        <f>IFERROR(T323/T343*365,"")</f>
        <v>70.6350276063657</v>
      </c>
      <c r="U346" s="286">
        <f>IFERROR(U323/U343*365,"")</f>
        <v>74.5830310026385</v>
      </c>
      <c r="V346" s="286">
        <f>IFERROR(V323/V343*365,"")</f>
        <v>78.6258579528499</v>
      </c>
      <c r="W346" s="286">
        <f>IFERROR(W323/W343*365,"")</f>
        <v>76.4646583953001</v>
      </c>
      <c r="X346" s="286">
        <f>IFERROR(X323/X343*365,"")</f>
        <v>103.905109489051</v>
      </c>
      <c r="Y346" s="286">
        <f>IFERROR(Y323/Y343*365,"")</f>
        <v>72.5027827838439</v>
      </c>
      <c r="Z346" s="286">
        <f>IFERROR(Z323/Z343*365,"")</f>
        <v>76.7061392075078</v>
      </c>
      <c r="AA346" s="286">
        <f>IFERROR(AA323/AA343*365,"")</f>
        <v>80.695731420508</v>
      </c>
      <c r="AB346" s="286">
        <f>IFERROR(AB323/AB343*365,"")</f>
        <v>79.7515798743007</v>
      </c>
      <c r="AC346" s="286">
        <f>IFERROR(AC323/AC343*365,"")</f>
        <v>104.65966124738</v>
      </c>
      <c r="AD346" s="286">
        <f>IFERROR(AD323/AD343*365,"")</f>
        <v>76.8183489304813</v>
      </c>
      <c r="AE346" s="286">
        <f>IFERROR(AE323/AE343*365,"")</f>
        <v>83.4211227666198</v>
      </c>
      <c r="AF346" s="286">
        <f>IFERROR(AF323/AF343*365,"")</f>
        <v>86.367699372028</v>
      </c>
      <c r="AG346" s="286">
        <f>IFERROR(AG323/AG343*365,"")</f>
        <v>82.0572037200603</v>
      </c>
      <c r="AH346" s="286">
        <f>IFERROR(AH323/AH343*365,"")</f>
        <v>112.877588578984</v>
      </c>
      <c r="AI346" s="286">
        <f>IFERROR(AI323/AI343*365,"")</f>
        <v>74.7338539124776</v>
      </c>
      <c r="AJ346" s="286">
        <f>IFERROR(AJ323/AJ343*365,"")</f>
        <v>82.3877399451554</v>
      </c>
      <c r="AK346" s="286">
        <f>IFERROR(AK323/AK343*365,"")</f>
        <v>85.4464745629185</v>
      </c>
      <c r="AL346" s="286">
        <f>IFERROR(AL323/AL343*365,"")</f>
        <v>77.814942169428</v>
      </c>
      <c r="AM346" s="286">
        <f>IFERROR(AM323/AM343*365,"")</f>
        <v>100.175917675127</v>
      </c>
      <c r="AN346" s="286">
        <f>IFERROR(AN323/AN343*365,"")</f>
        <v>85.571086379717</v>
      </c>
      <c r="AO346" s="286">
        <f>IFERROR(AO323/AO343*365,"")</f>
        <v>90.5619272367009</v>
      </c>
      <c r="AP346" s="286">
        <f>IFERROR(AP323/AP343*365,"")</f>
        <v>79.0809767081497</v>
      </c>
      <c r="AQ346" s="286">
        <f>IFERROR(AQ323/AQ343*365,"")</f>
        <v>79.7645061785575</v>
      </c>
      <c r="AR346" s="286">
        <f>IFERROR(AR323/AR343*365,"")</f>
        <v>104.036553982215</v>
      </c>
      <c r="AS346" s="286">
        <f>IFERROR(AS323/AS343*365,"")</f>
        <v>82.5882911177893</v>
      </c>
      <c r="AT346" s="286">
        <f>IFERROR(AT323/AT343*365,"")</f>
        <v>88.4359096088112</v>
      </c>
      <c r="AU346" s="286">
        <f>IFERROR(AU323/AU343*365,"")</f>
        <v>93.2122281371485</v>
      </c>
      <c r="AV346" s="286">
        <f>IFERROR(AV323/AV343*365,"")</f>
        <v>83.4870055748953</v>
      </c>
      <c r="AW346" s="286">
        <f>IFERROR(AW323/AW343*365,"")</f>
        <v>113.484528968269</v>
      </c>
      <c r="AX346" s="286">
        <f>IFERROR(AX323/AX343*365,"")</f>
        <v>93.4770363604314</v>
      </c>
      <c r="AY346" s="286">
        <f>IFERROR(AY323/AY343*365,"")</f>
        <v>93.9714612939417</v>
      </c>
      <c r="AZ346" s="286">
        <f>IFERROR(AZ323/AZ343*365,"")</f>
        <v>103.639003654855</v>
      </c>
      <c r="BA346" s="286">
        <f>IFERROR(BA323/BA343*365,"")</f>
        <v>86.6552785658236</v>
      </c>
      <c r="BB346" s="286">
        <f>IFERROR(BB323/BB343*365,"")</f>
        <v>105.426813148077</v>
      </c>
      <c r="BC346" s="286">
        <f>IFERROR(BC323/BC343*365,"")</f>
        <v>94.0602678235763</v>
      </c>
      <c r="BD346" s="286">
        <f>IFERROR(BD323/BD343*365,"")</f>
        <v>97.8371334156329</v>
      </c>
      <c r="BE346" s="286">
        <f>IFERROR(BE323/BE343*365,"")</f>
        <v>87.9931120851597</v>
      </c>
      <c r="BF346" s="286">
        <f>IFERROR(BF323/BF343*365,"")</f>
        <v>84.8143390938814</v>
      </c>
      <c r="BG346" s="286">
        <f>IFERROR(BG323/BG343*365,"")</f>
        <v>100.59169548975</v>
      </c>
      <c r="BH346" s="286">
        <f>IFERROR(BH323/BH343*365,"")</f>
        <v>90.060092785178</v>
      </c>
      <c r="BI346" s="286">
        <f>IFERROR(BI323/BI343*365,"")</f>
        <v>91.3920581494241</v>
      </c>
      <c r="BJ346" s="286">
        <f>IFERROR(BJ323/BJ343*365,"")</f>
        <v>87.5791767748127</v>
      </c>
      <c r="BK346" s="286">
        <f>IFERROR(BK323/BK343*365,"")</f>
        <v>83.7846017957279</v>
      </c>
      <c r="BL346" s="286">
        <f>IFERROR(BL323/BL343*365,"")</f>
        <v>101.785675610933</v>
      </c>
      <c r="BM346" s="286">
        <f>IFERROR(BM323/BM343*365,"")</f>
        <v>91.7964974598323</v>
      </c>
      <c r="BN346" s="286">
        <f>IFERROR(BN323/BN343*365,"")</f>
        <v>101.183184251542</v>
      </c>
      <c r="BO346" s="286">
        <f>IFERROR(BO323/BO343*365,"")</f>
        <v>95.2988194178594</v>
      </c>
      <c r="BP346" s="286">
        <f>IFERROR(BP323/BP343*365,"")</f>
        <v>87.0701035462571</v>
      </c>
      <c r="BQ346" s="286">
        <f>IFERROR(BQ323/BQ343*365,"")</f>
        <v>105.55857095572</v>
      </c>
      <c r="BR346" s="286">
        <f>IFERROR(BR323/BR343*365,"")</f>
        <v>105.789353175016</v>
      </c>
      <c r="BS346" s="286">
        <f>IFERROR(BS323/BS343*365,"")</f>
        <v>110.984002400723</v>
      </c>
      <c r="BT346" s="286">
        <f>IFERROR(BT323/BT343*365,"")</f>
        <v>109.117176046013</v>
      </c>
      <c r="BU346" s="286">
        <f>IFERROR(BU323/BU343*365,"")</f>
        <v>101.166764430379</v>
      </c>
      <c r="BV346" s="286">
        <f>IFERROR(BV323/BV343*365,"")</f>
        <v>124.845783274507</v>
      </c>
      <c r="BW346" s="286">
        <f>IFERROR(BW323/BW343*365,"")</f>
        <v>130.150420749345</v>
      </c>
      <c r="BX346" s="286">
        <f>IFERROR(BX323/BX343*365,"")</f>
        <v>140.469627680678</v>
      </c>
      <c r="BY346" s="35" t="n"/>
      <c r="BZ346" s="35" t="n"/>
      <c r="CA346" s="287" t="n">
        <v>125</v>
      </c>
      <c r="CB346" s="287" t="n">
        <v>125</v>
      </c>
      <c r="CC346" s="287" t="n">
        <v>125</v>
      </c>
      <c r="CD346" s="287" t="n">
        <v>125</v>
      </c>
      <c r="CE346" s="287" t="n">
        <v>125</v>
      </c>
      <c r="CF346" s="19" t="n"/>
    </row>
    <row r="347" ht="15" customHeight="1" s="251">
      <c r="B347" s="25" t="inlineStr">
        <is>
          <t xml:space="preserve">  Accrued expenses and other (excl. debt) % of net sales</t>
        </is>
      </c>
      <c r="C347" s="215">
        <f>IFERROR(C324/C342,"")</f>
        <v>0.0668471664643824</v>
      </c>
      <c r="D347" s="215">
        <f>IFERROR(D324/D342,"")</f>
        <v>0.0619480957195821</v>
      </c>
      <c r="E347" s="215">
        <f>IFERROR(E324/E342,"")</f>
        <v>0.0570280705415841</v>
      </c>
      <c r="F347" s="215">
        <f>IFERROR(F324/F342,"")</f>
        <v>0.0717695540413726</v>
      </c>
      <c r="G347" s="215">
        <f>IFERROR(G324/G342,"")</f>
        <v>0.0678575605192375</v>
      </c>
      <c r="H347" s="215">
        <f>IFERROR(H324/H342,"")</f>
        <v>0.0753374794600329</v>
      </c>
      <c r="I347" s="215">
        <f>IFERROR(I324/I342,"")</f>
        <v>0.0835611281161508</v>
      </c>
      <c r="J347" s="215">
        <f>IFERROR(J324/J342,"")</f>
        <v>0.0741132545115121</v>
      </c>
      <c r="K347" s="215">
        <f>IFERROR(K324/K342,"")</f>
        <v>0.0804572083545593</v>
      </c>
      <c r="L347" s="215">
        <f>IFERROR(L324/L342,"")</f>
        <v>0.0792476012169436</v>
      </c>
      <c r="M347" s="215">
        <f>IFERROR(M324/M342,"")</f>
        <v>0.0579884316254348</v>
      </c>
      <c r="N347" s="215">
        <f>IFERROR(N324/N342,"")</f>
        <v>0.0797157900392199</v>
      </c>
      <c r="O347" s="215">
        <f>IFERROR(O324/O342,"")</f>
        <v>0.0692340813535282</v>
      </c>
      <c r="P347" s="215">
        <f>IFERROR(P324/P342,"")</f>
        <v>0.0753360910031024</v>
      </c>
      <c r="Q347" s="215">
        <f>IFERROR(Q324/Q342,"")</f>
        <v>0.0771781913601244</v>
      </c>
      <c r="R347" s="215">
        <f>IFERROR(R324/R342,"")</f>
        <v>0.07064068466994</v>
      </c>
      <c r="S347" s="215">
        <f>IFERROR(S324/S342,"")</f>
        <v>0.0931249157189733</v>
      </c>
      <c r="T347" s="215">
        <f>IFERROR(T324/T342,"")</f>
        <v>0.0821301228155126</v>
      </c>
      <c r="U347" s="215">
        <f>IFERROR(U324/U342,"")</f>
        <v>0.0830278197110201</v>
      </c>
      <c r="V347" s="215">
        <f>IFERROR(V324/V342,"")</f>
        <v>0.0792649262560139</v>
      </c>
      <c r="W347" s="215">
        <f>IFERROR(W324/W342,"")</f>
        <v>0.0709570033848994</v>
      </c>
      <c r="X347" s="215">
        <f>IFERROR(X324/X342,"")</f>
        <v>0.0948171130590808</v>
      </c>
      <c r="Y347" s="215">
        <f>IFERROR(Y324/Y342,"")</f>
        <v>0.0801719994507004</v>
      </c>
      <c r="Z347" s="215">
        <f>IFERROR(Z324/Z342,"")</f>
        <v>0.078706749111959</v>
      </c>
      <c r="AA347" s="215">
        <f>IFERROR(AA324/AA342,"")</f>
        <v>0.0798511340710399</v>
      </c>
      <c r="AB347" s="215">
        <f>IFERROR(AB324/AB342,"")</f>
        <v>0.0724891977778286</v>
      </c>
      <c r="AC347" s="215">
        <f>IFERROR(AC324/AC342,"")</f>
        <v>0.0932662680991565</v>
      </c>
      <c r="AD347" s="215">
        <f>IFERROR(AD324/AD342,"")</f>
        <v>0.0840356722853783</v>
      </c>
      <c r="AE347" s="215">
        <f>IFERROR(AE324/AE342,"")</f>
        <v>0.0853181399025161</v>
      </c>
      <c r="AF347" s="215">
        <f>IFERROR(AF324/AF342,"")</f>
        <v>0.0846230340160936</v>
      </c>
      <c r="AG347" s="215">
        <f>IFERROR(AG324/AG342,"")</f>
        <v>0.0747274742361835</v>
      </c>
      <c r="AH347" s="215">
        <f>IFERROR(AH324/AH342,"")</f>
        <v>0.10159333430785</v>
      </c>
      <c r="AI347" s="215">
        <f>IFERROR(AI324/AI342,"")</f>
        <v>0.0814917127071823</v>
      </c>
      <c r="AJ347" s="215">
        <f>IFERROR(AJ324/AJ342,"")</f>
        <v>0.0808767915894566</v>
      </c>
      <c r="AK347" s="215">
        <f>IFERROR(AK324/AK342,"")</f>
        <v>0.0812005090497738</v>
      </c>
      <c r="AL347" s="215">
        <f>IFERROR(AL324/AL342,"")</f>
        <v>0.0769932166392661</v>
      </c>
      <c r="AM347" s="215">
        <f>IFERROR(AM324/AM342,"")</f>
        <v>0.0957202420057796</v>
      </c>
      <c r="AN347" s="215">
        <f>IFERROR(AN324/AN342,"")</f>
        <v>0.0962311557788945</v>
      </c>
      <c r="AO347" s="215">
        <f>IFERROR(AO324/AO342,"")</f>
        <v>0.0966185098731941</v>
      </c>
      <c r="AP347" s="215">
        <f>IFERROR(AP324/AP342,"")</f>
        <v>0.0933110415684257</v>
      </c>
      <c r="AQ347" s="215">
        <f>IFERROR(AQ324/AQ342,"")</f>
        <v>0.0890126605441632</v>
      </c>
      <c r="AR347" s="215">
        <f>IFERROR(AR324/AR342,"")</f>
        <v>0.110978818060616</v>
      </c>
      <c r="AS347" s="215">
        <f>IFERROR(AS324/AS342,"")</f>
        <v>0.0976779939564226</v>
      </c>
      <c r="AT347" s="215">
        <f>IFERROR(AT324/AT342,"")</f>
        <v>0.0919701502609322</v>
      </c>
      <c r="AU347" s="215">
        <f>IFERROR(AU324/AU342,"")</f>
        <v>0.0888553746944719</v>
      </c>
      <c r="AV347" s="215">
        <f>IFERROR(AV324/AV342,"")</f>
        <v>0.0855859981681335</v>
      </c>
      <c r="AW347" s="215">
        <f>IFERROR(AW324/AW342,"")</f>
        <v>0.111336462348212</v>
      </c>
      <c r="AX347" s="215">
        <f>IFERROR(AX324/AX342,"")</f>
        <v>0.0916506938941005</v>
      </c>
      <c r="AY347" s="215">
        <f>IFERROR(AY324/AY342,"")</f>
        <v>0.0880991333569155</v>
      </c>
      <c r="AZ347" s="215">
        <f>IFERROR(AZ324/AZ342,"")</f>
        <v>0.0914747500270729</v>
      </c>
      <c r="BA347" s="215">
        <f>IFERROR(BA324/BA342,"")</f>
        <v>0.0909054522166914</v>
      </c>
      <c r="BB347" s="215">
        <f>IFERROR(BB324/BB342,"")</f>
        <v>0.10635091587878</v>
      </c>
      <c r="BC347" s="215">
        <f>IFERROR(BC324/BC342,"")</f>
        <v>0.119070110954622</v>
      </c>
      <c r="BD347" s="215">
        <f>IFERROR(BD324/BD342,"")</f>
        <v>0.105211821766171</v>
      </c>
      <c r="BE347" s="215">
        <f>IFERROR(BE324/BE342,"")</f>
        <v>0.107448013784313</v>
      </c>
      <c r="BF347" s="215">
        <f>IFERROR(BF324/BF342,"")</f>
        <v>0.0977973110640465</v>
      </c>
      <c r="BG347" s="215">
        <f>IFERROR(BG324/BG342,"")</f>
        <v>0.113558230525134</v>
      </c>
      <c r="BH347" s="215">
        <f>IFERROR(BH324/BH342,"")</f>
        <v>0.124220700701958</v>
      </c>
      <c r="BI347" s="215">
        <f>IFERROR(BI324/BI342,"")</f>
        <v>0.110017636159336</v>
      </c>
      <c r="BJ347" s="215">
        <f>IFERROR(BJ324/BJ342,"")</f>
        <v>0.0919938077898842</v>
      </c>
      <c r="BK347" s="215">
        <f>IFERROR(BK324/BK342,"")</f>
        <v>0.0824718611916852</v>
      </c>
      <c r="BL347" s="215">
        <f>IFERROR(BL324/BL342,"")</f>
        <v>0.0975460389536957</v>
      </c>
      <c r="BM347" s="215">
        <f>IFERROR(BM324/BM342,"")</f>
        <v>0.096069442409272</v>
      </c>
      <c r="BN347" s="215">
        <f>IFERROR(BN324/BN342,"")</f>
        <v>0.0892807666056212</v>
      </c>
      <c r="BO347" s="215">
        <f>IFERROR(BO324/BO342,"")</f>
        <v>0.0869635000660889</v>
      </c>
      <c r="BP347" s="215">
        <f>IFERROR(BP324/BP342,"")</f>
        <v>0.0822678814858993</v>
      </c>
      <c r="BQ347" s="215">
        <f>IFERROR(BQ324/BQ342,"")</f>
        <v>0.0968667265451228</v>
      </c>
      <c r="BR347" s="215">
        <f>IFERROR(BR324/BR342,"")</f>
        <v>0.0983525731208284</v>
      </c>
      <c r="BS347" s="215">
        <f>IFERROR(BS324/BS342,"")</f>
        <v>0.0921217397526565</v>
      </c>
      <c r="BT347" s="215">
        <f>IFERROR(BT324/BT342,"")</f>
        <v>0.0885751710893661</v>
      </c>
      <c r="BU347" s="215">
        <f>IFERROR(BU324/BU342,"")</f>
        <v>0.0847255677504616</v>
      </c>
      <c r="BV347" s="215">
        <f>IFERROR(BV324/BV342,"")</f>
        <v>0.100871222054221</v>
      </c>
      <c r="BW347" s="215">
        <f>IFERROR(BW324/BW342,"")</f>
        <v>0.0938414160501105</v>
      </c>
      <c r="BX347" s="215">
        <f>IFERROR(BX324/BX342,"")</f>
        <v>0.086925366140594</v>
      </c>
      <c r="BY347" s="24" t="n"/>
      <c r="BZ347" s="24" t="n"/>
      <c r="CA347" s="269" t="n">
        <v>0.101</v>
      </c>
      <c r="CB347" s="269" t="n">
        <v>0.101</v>
      </c>
      <c r="CC347" s="269" t="n">
        <v>0.101</v>
      </c>
      <c r="CD347" s="269" t="n">
        <v>0.101</v>
      </c>
      <c r="CE347" s="269" t="n">
        <v>0.101</v>
      </c>
      <c r="CF347" s="153" t="n"/>
    </row>
    <row r="348" ht="15" customHeight="1" s="251">
      <c r="B348" s="25" t="inlineStr">
        <is>
          <t xml:space="preserve">  Unearned revenue % of net sales</t>
        </is>
      </c>
      <c r="C348" s="215">
        <f>IFERROR(C326/C342,"")</f>
        <v>0</v>
      </c>
      <c r="D348" s="215">
        <f>IFERROR(D326/D342,"")</f>
        <v>0</v>
      </c>
      <c r="E348" s="215">
        <f>IFERROR(E326/E342,"")</f>
        <v>0</v>
      </c>
      <c r="F348" s="215">
        <f>IFERROR(F326/F342,"")</f>
        <v>0</v>
      </c>
      <c r="G348" s="215">
        <f>IFERROR(G326/G342,"")</f>
        <v>0</v>
      </c>
      <c r="H348" s="215">
        <f>IFERROR(H326/H342,"")</f>
        <v>0</v>
      </c>
      <c r="I348" s="215">
        <f>IFERROR(I326/I342,"")</f>
        <v>0</v>
      </c>
      <c r="J348" s="215">
        <f>IFERROR(J326/J342,"")</f>
        <v>0</v>
      </c>
      <c r="K348" s="215">
        <f>IFERROR(K326/K342,"")</f>
        <v>0</v>
      </c>
      <c r="L348" s="215">
        <f>IFERROR(L326/L342,"")</f>
        <v>0</v>
      </c>
      <c r="M348" s="215">
        <f>IFERROR(M326/M342,"")</f>
        <v>0.0113241098995584</v>
      </c>
      <c r="N348" s="215">
        <f>IFERROR(N326/N342,"")</f>
        <v>0.0155670767742975</v>
      </c>
      <c r="O348" s="215">
        <f>IFERROR(O326/O342,"")</f>
        <v>0.0191986221569323</v>
      </c>
      <c r="P348" s="215">
        <f>IFERROR(P326/P342,"")</f>
        <v>0.0207600827300931</v>
      </c>
      <c r="Q348" s="215">
        <f>IFERROR(Q326/Q342,"")</f>
        <v>0.0220370280382915</v>
      </c>
      <c r="R348" s="215">
        <f>IFERROR(R326/R342,"")</f>
        <v>0.015539757228587</v>
      </c>
      <c r="S348" s="215">
        <f>IFERROR(S326/S342,"")</f>
        <v>0.0204859082123432</v>
      </c>
      <c r="T348" s="215">
        <f>IFERROR(T326/T342,"")</f>
        <v>0.0266320376810318</v>
      </c>
      <c r="U348" s="215">
        <f>IFERROR(U326/U342,"")</f>
        <v>0.0276256200129394</v>
      </c>
      <c r="V348" s="215">
        <f>IFERROR(V326/V342,"")</f>
        <v>0.0301975707863396</v>
      </c>
      <c r="W348" s="215">
        <f>IFERROR(W326/W342,"")</f>
        <v>0.0218060256804767</v>
      </c>
      <c r="X348" s="215">
        <f>IFERROR(X326/X342,"")</f>
        <v>0.0291385529783377</v>
      </c>
      <c r="Y348" s="215">
        <f>IFERROR(Y326/Y342,"")</f>
        <v>0.0323228508651469</v>
      </c>
      <c r="Z348" s="215">
        <f>IFERROR(Z326/Z342,"")</f>
        <v>0.0316652414156032</v>
      </c>
      <c r="AA348" s="215">
        <f>IFERROR(AA326/AA342,"")</f>
        <v>0.0320963501864645</v>
      </c>
      <c r="AB348" s="215">
        <f>IFERROR(AB326/AB342,"")</f>
        <v>0.0272513202715987</v>
      </c>
      <c r="AC348" s="215">
        <f>IFERROR(AC326/AC342,"")</f>
        <v>0.0350621750608514</v>
      </c>
      <c r="AD348" s="215">
        <f>IFERROR(AD326/AD342,"")</f>
        <v>0.0381783054264434</v>
      </c>
      <c r="AE348" s="215">
        <f>IFERROR(AE326/AE342,"")</f>
        <v>0.0333618759056778</v>
      </c>
      <c r="AF348" s="215">
        <f>IFERROR(AF326/AF342,"")</f>
        <v>0.0294497531089978</v>
      </c>
      <c r="AG348" s="215">
        <f>IFERROR(AG326/AG342,"")</f>
        <v>0.0210783583941244</v>
      </c>
      <c r="AH348" s="215">
        <f>IFERROR(AH326/AH342,"")</f>
        <v>0.0286564042593863</v>
      </c>
      <c r="AI348" s="215">
        <f>IFERROR(AI326/AI342,"")</f>
        <v>0.0302789859331531</v>
      </c>
      <c r="AJ348" s="215">
        <f>IFERROR(AJ326/AJ342,"")</f>
        <v>0.0283818023673562</v>
      </c>
      <c r="AK348" s="215">
        <f>IFERROR(AK326/AK342,"")</f>
        <v>0.0265130090497738</v>
      </c>
      <c r="AL348" s="215">
        <f>IFERROR(AL326/AL342,"")</f>
        <v>0.0225743613831977</v>
      </c>
      <c r="AM348" s="215">
        <f>IFERROR(AM326/AM342,"")</f>
        <v>0.028065113123532</v>
      </c>
      <c r="AN348" s="215">
        <f>IFERROR(AN326/AN342,"")</f>
        <v>0.0305611390284757</v>
      </c>
      <c r="AO348" s="215">
        <f>IFERROR(AO326/AO342,"")</f>
        <v>0.0294736925115135</v>
      </c>
      <c r="AP348" s="215">
        <f>IFERROR(AP326/AP342,"")</f>
        <v>0.0263678712793473</v>
      </c>
      <c r="AQ348" s="215">
        <f>IFERROR(AQ326/AQ342,"")</f>
        <v>0.0234168601393003</v>
      </c>
      <c r="AR348" s="215">
        <f>IFERROR(AR326/AR342,"")</f>
        <v>0.029195571113852</v>
      </c>
      <c r="AS348" s="215">
        <f>IFERROR(AS326/AS342,"")</f>
        <v>0.029369665482691</v>
      </c>
      <c r="AT348" s="215">
        <f>IFERROR(AT326/AT342,"")</f>
        <v>0.02529748515386</v>
      </c>
      <c r="AU348" s="215">
        <f>IFERROR(AU326/AU342,"")</f>
        <v>0.0240548130427999</v>
      </c>
      <c r="AV348" s="215">
        <f>IFERROR(AV326/AV342,"")</f>
        <v>0.0193301740273187</v>
      </c>
      <c r="AW348" s="215">
        <f>IFERROR(AW326/AW342,"")</f>
        <v>0.0251460897674997</v>
      </c>
      <c r="AX348" s="215">
        <f>IFERROR(AX326/AX342,"")</f>
        <v>0.0242793822223041</v>
      </c>
      <c r="AY348" s="215">
        <f>IFERROR(AY326/AY342,"")</f>
        <v>0.0236447647683056</v>
      </c>
      <c r="AZ348" s="215">
        <f>IFERROR(AZ326/AZ342,"")</f>
        <v>0.0247581489369382</v>
      </c>
      <c r="BA348" s="215">
        <f>IFERROR(BA326/BA342,"")</f>
        <v>0.0215174075044392</v>
      </c>
      <c r="BB348" s="215">
        <f>IFERROR(BB326/BB342,"")</f>
        <v>0.0251733635291664</v>
      </c>
      <c r="BC348" s="215">
        <f>IFERROR(BC326/BC342,"")</f>
        <v>0.0275239600151146</v>
      </c>
      <c r="BD348" s="215">
        <f>IFERROR(BD326/BD342,"")</f>
        <v>0.0264323539601102</v>
      </c>
      <c r="BE348" s="215">
        <f>IFERROR(BE326/BE342,"")</f>
        <v>0.0248404811921228</v>
      </c>
      <c r="BF348" s="215">
        <f>IFERROR(BF326/BF342,"")</f>
        <v>0.0221626095815126</v>
      </c>
      <c r="BG348" s="215">
        <f>IFERROR(BG326/BG342,"")</f>
        <v>0.0257343141699239</v>
      </c>
      <c r="BH348" s="215">
        <f>IFERROR(BH326/BH342,"")</f>
        <v>0.0280331820537383</v>
      </c>
      <c r="BI348" s="215">
        <f>IFERROR(BI326/BI342,"")</f>
        <v>0.0270160660202555</v>
      </c>
      <c r="BJ348" s="215">
        <f>IFERROR(BJ326/BJ342,"")</f>
        <v>0.0251567272142742</v>
      </c>
      <c r="BK348" s="215">
        <f>IFERROR(BK326/BK342,"")</f>
        <v>0.0223977853742918</v>
      </c>
      <c r="BL348" s="215">
        <f>IFERROR(BL326/BL342,"")</f>
        <v>0.026491644701932</v>
      </c>
      <c r="BM348" s="215">
        <f>IFERROR(BM326/BM342,"")</f>
        <v>0.0277835925561533</v>
      </c>
      <c r="BN348" s="215">
        <f>IFERROR(BN326/BN342,"")</f>
        <v>0.0270379856329024</v>
      </c>
      <c r="BO348" s="215">
        <f>IFERROR(BO326/BO342,"")</f>
        <v>0.0256566400422969</v>
      </c>
      <c r="BP348" s="215">
        <f>IFERROR(BP326/BP342,"")</f>
        <v>0.0240998019084945</v>
      </c>
      <c r="BQ348" s="215">
        <f>IFERROR(BQ326/BQ342,"")</f>
        <v>0.0283764317142638</v>
      </c>
      <c r="BR348" s="215">
        <f>IFERROR(BR326/BR342,"")</f>
        <v>0.0330818349425376</v>
      </c>
      <c r="BS348" s="215">
        <f>IFERROR(BS326/BS342,"")</f>
        <v>0.0322923996136003</v>
      </c>
      <c r="BT348" s="215">
        <f>IFERROR(BT326/BT342,"")</f>
        <v>0.0292961053233353</v>
      </c>
      <c r="BU348" s="215">
        <f>IFERROR(BU326/BU342,"")</f>
        <v>0.0241065486957907</v>
      </c>
      <c r="BV348" s="215">
        <f>IFERROR(BV326/BV342,"")</f>
        <v>0.0287003922312546</v>
      </c>
      <c r="BW348" s="215">
        <f>IFERROR(BW326/BW342,"")</f>
        <v>0.0287669610343821</v>
      </c>
      <c r="BX348" s="215">
        <f>IFERROR(BX326/BX342,"")</f>
        <v>0.0254578626760914</v>
      </c>
      <c r="BY348" s="24" t="n"/>
      <c r="BZ348" s="24" t="n"/>
      <c r="CA348" s="269" t="n">
        <v>0.029</v>
      </c>
      <c r="CB348" s="269" t="n">
        <v>0.029</v>
      </c>
      <c r="CC348" s="269" t="n">
        <v>0.029</v>
      </c>
      <c r="CD348" s="269" t="n">
        <v>0.029</v>
      </c>
      <c r="CE348" s="269" t="n">
        <v>0.029</v>
      </c>
      <c r="CF348" s="153" t="inlineStr">
        <is>
          <t>Forecast inputs at fiscal-year-end (31-Dec-2025) levels on FY2025 net sales / cost of sales (receivables 34d, inventory 39d, payables 125d, accrued excl. debt 10.1% and unearned revenue 2.9% of net sales); year ends are compared with year ends (Q4 holiday payables make mid-year days unrepresentative).</t>
        </is>
      </c>
    </row>
    <row r="349" ht="15" customHeight="1" s="251">
      <c r="B349" s="25" t="inlineStr">
        <is>
          <t xml:space="preserve">  Operating NWC (receivables + inventories + other current assets − payables − accrued excl. debt − unearned revenue)</t>
        </is>
      </c>
      <c r="C349" s="211">
        <f>IF(ISNUMBER(C314),C314+C313+N(C315)-C323-C324-N(C326),"")</f>
        <v>-1178</v>
      </c>
      <c r="D349" s="211">
        <f>IF(ISNUMBER(D314),D314+D313+N(D315)-D323-D324-N(D326),"")</f>
        <v>-1662</v>
      </c>
      <c r="E349" s="211">
        <f>IF(ISNUMBER(E314),E314+E313+N(E315)-E323-E324-N(E326),"")</f>
        <v>-2257</v>
      </c>
      <c r="F349" s="211">
        <f>IF(ISNUMBER(F314),F314+F313+N(F315)-F323-F324-N(F326),"")</f>
        <v>-3933</v>
      </c>
      <c r="G349" s="211">
        <f>IF(ISNUMBER(G314),G314+G313+N(G315)-G323-G324-N(G326),"")</f>
        <v>-5387</v>
      </c>
      <c r="H349" s="211">
        <f>IF(ISNUMBER(H314),H314+H313+N(H315)-H323-H324-N(H326),"")</f>
        <v>-6853</v>
      </c>
      <c r="I349" s="211">
        <f>IF(ISNUMBER(I314),I314+I313+N(I315)-I323-I324-N(I326),"")</f>
        <v>-8575</v>
      </c>
      <c r="J349" s="211">
        <f>IF(ISNUMBER(J314),J314+J313+N(J315)-J323-J324-N(J326),"")</f>
        <v>-5262</v>
      </c>
      <c r="K349" s="211">
        <f>IF(ISNUMBER(K314),K314+K313+N(K315)-K323-K324-N(K326),"")</f>
        <v>-5222</v>
      </c>
      <c r="L349" s="211">
        <f>IF(ISNUMBER(L314),L314+L313+N(L315)-L323-L324-N(L326),"")</f>
        <v>-5810</v>
      </c>
      <c r="M349" s="211">
        <f>IF(ISNUMBER(M314),M314+M313+N(M315)-M323-M324-N(M326),"")</f>
        <v>-10049</v>
      </c>
      <c r="N349" s="211">
        <f>IF(ISNUMBER(N314),N314+N313+N(N315)-N323-N324-N(N326),"")</f>
        <v>-10049</v>
      </c>
      <c r="O349" s="211">
        <f>IF(ISNUMBER(O314),O314+O313+N(O315)-O323-O324-N(O326),"")</f>
        <v>-6912</v>
      </c>
      <c r="P349" s="211">
        <f>IF(ISNUMBER(P314),P314+P313+N(P315)-P323-P324-N(P326),"")</f>
        <v>-7122</v>
      </c>
      <c r="Q349" s="211">
        <f>IF(ISNUMBER(Q314),Q314+Q313+N(Q315)-Q323-Q324-N(Q326),"")</f>
        <v>-8289</v>
      </c>
      <c r="R349" s="211">
        <f>IF(ISNUMBER(R314),R314+R313+N(R315)-R323-R324-N(R326),"")</f>
        <v>-12658</v>
      </c>
      <c r="S349" s="211">
        <f>IF(ISNUMBER(S314),S314+S313+N(S315)-S323-S324-N(S326),"")</f>
        <v>-12658</v>
      </c>
      <c r="T349" s="211">
        <f>IF(ISNUMBER(T314),T314+T313+N(T315)-T323-T324-N(T326),"")</f>
        <v>-9659</v>
      </c>
      <c r="U349" s="211">
        <f>IF(ISNUMBER(U314),U314+U313+N(U315)-U323-U324-N(U326),"")</f>
        <v>-10263</v>
      </c>
      <c r="V349" s="211">
        <f>IF(ISNUMBER(V314),V314+V313+N(V315)-V323-V324-N(V326),"")</f>
        <v>-11119</v>
      </c>
      <c r="W349" s="211">
        <f>IF(ISNUMBER(W314),W314+W313+N(W315)-W323-W324-N(W326),"")</f>
        <v>-16995</v>
      </c>
      <c r="X349" s="211">
        <f>IF(ISNUMBER(X314),X314+X313+N(X315)-X323-X324-N(X326),"")</f>
        <v>-16995</v>
      </c>
      <c r="Y349" s="211">
        <f>IF(ISNUMBER(Y314),Y314+Y313+N(Y315)-Y323-Y324-N(Y326),"")</f>
        <v>-13443</v>
      </c>
      <c r="Z349" s="211">
        <f>IF(ISNUMBER(Z314),Z314+Z313+N(Z315)-Z323-Z324-N(Z326),"")</f>
        <v>-13866</v>
      </c>
      <c r="AA349" s="211">
        <f>IF(ISNUMBER(AA314),AA314+AA313+N(AA315)-AA323-AA324-N(AA326),"")</f>
        <v>-16188</v>
      </c>
      <c r="AB349" s="211">
        <f>IF(ISNUMBER(AB314),AB314+AB313+N(AB315)-AB323-AB324-N(AB326),"")</f>
        <v>-22960</v>
      </c>
      <c r="AC349" s="211">
        <f>IF(ISNUMBER(AC314),AC314+AC313+N(AC315)-AC323-AC324-N(AC326),"")</f>
        <v>-22960</v>
      </c>
      <c r="AD349" s="211">
        <f>IF(ISNUMBER(AD314),AD314+AD313+N(AD315)-AD323-AD324-N(AD326),"")</f>
        <v>-18421</v>
      </c>
      <c r="AE349" s="211">
        <f>IF(ISNUMBER(AE314),AE314+AE313+N(AE315)-AE323-AE324-N(AE326),"")</f>
        <v>-19901</v>
      </c>
      <c r="AF349" s="211">
        <f>IF(ISNUMBER(AF314),AF314+AF313+N(AF315)-AF323-AF324-N(AF326),"")</f>
        <v>-21767</v>
      </c>
      <c r="AG349" s="211">
        <f>IF(ISNUMBER(AG314),AG314+AG313+N(AG315)-AG323-AG324-N(AG326),"")</f>
        <v>-28572</v>
      </c>
      <c r="AH349" s="211">
        <f>IF(ISNUMBER(AH314),AH314+AH313+N(AH315)-AH323-AH324-N(AH326),"")</f>
        <v>-28572</v>
      </c>
      <c r="AI349" s="211">
        <f>IF(ISNUMBER(AI314),AI314+AI313+N(AI315)-AI323-AI324-N(AI326),"")</f>
        <v>-22126</v>
      </c>
      <c r="AJ349" s="211">
        <f>IF(ISNUMBER(AJ314),AJ314+AJ313+N(AJ315)-AJ323-AJ324-N(AJ326),"")</f>
        <v>-23339</v>
      </c>
      <c r="AK349" s="211">
        <f>IF(ISNUMBER(AK314),AK314+AK313+N(AK315)-AK323-AK324-N(AK326),"")</f>
        <v>-25160</v>
      </c>
      <c r="AL349" s="211">
        <f>IF(ISNUMBER(AL314),AL314+AL313+N(AL315)-AL323-AL324-N(AL326),"")</f>
        <v>-33169</v>
      </c>
      <c r="AM349" s="211">
        <f>IF(ISNUMBER(AM314),AM314+AM313+N(AM315)-AM323-AM324-N(AM326),"")</f>
        <v>-33169</v>
      </c>
      <c r="AN349" s="211">
        <f>IF(ISNUMBER(AN314),AN314+AN313+N(AN315)-AN323-AN324-N(AN326),"")</f>
        <v>-29676</v>
      </c>
      <c r="AO349" s="211">
        <f>IF(ISNUMBER(AO314),AO314+AO313+N(AO315)-AO323-AO324-N(AO326),"")</f>
        <v>-32715</v>
      </c>
      <c r="AP349" s="211">
        <f>IF(ISNUMBER(AP314),AP314+AP313+N(AP315)-AP323-AP324-N(AP326),"")</f>
        <v>-33642</v>
      </c>
      <c r="AQ349" s="211">
        <f>IF(ISNUMBER(AQ314),AQ314+AQ313+N(AQ315)-AQ323-AQ324-N(AQ326),"")</f>
        <v>-45192</v>
      </c>
      <c r="AR349" s="211">
        <f>IF(ISNUMBER(AR314),AR314+AR313+N(AR315)-AR323-AR324-N(AR326),"")</f>
        <v>-45192</v>
      </c>
      <c r="AS349" s="211">
        <f>IF(ISNUMBER(AS314),AS314+AS313+N(AS315)-AS323-AS324-N(AS326),"")</f>
        <v>-41707</v>
      </c>
      <c r="AT349" s="211">
        <f>IF(ISNUMBER(AT314),AT314+AT313+N(AT315)-AT323-AT324-N(AT326),"")</f>
        <v>-53225</v>
      </c>
      <c r="AU349" s="211">
        <f>IF(ISNUMBER(AU314),AU314+AU313+N(AU315)-AU323-AU324-N(AU326),"")</f>
        <v>-57190</v>
      </c>
      <c r="AV349" s="211">
        <f>IF(ISNUMBER(AV314),AV314+AV313+N(AV315)-AV323-AV324-N(AV326),"")</f>
        <v>-76893</v>
      </c>
      <c r="AW349" s="211">
        <f>IF(ISNUMBER(AW314),AW314+AW313+N(AW315)-AW323-AW324-N(AW326),"")</f>
        <v>-76893</v>
      </c>
      <c r="AX349" s="211">
        <f>IF(ISNUMBER(AX314),AX314+AX313+N(AX315)-AX323-AX324-N(AX326),"")</f>
        <v>-66110</v>
      </c>
      <c r="AY349" s="211">
        <f>IF(ISNUMBER(AY314),AY314+AY313+N(AY315)-AY323-AY324-N(AY326),"")</f>
        <v>-65680</v>
      </c>
      <c r="AZ349" s="211">
        <f>IF(ISNUMBER(AZ314),AZ314+AZ313+N(AZ315)-AZ323-AZ324-N(AZ326),"")</f>
        <v>-63451</v>
      </c>
      <c r="BA349" s="211">
        <f>IF(ISNUMBER(BA314),BA314+BA313+N(BA315)-BA323-BA324-N(BA326),"")</f>
        <v>-74926</v>
      </c>
      <c r="BB349" s="211">
        <f>IF(ISNUMBER(BB314),BB314+BB313+N(BB315)-BB323-BB324-N(BB326),"")</f>
        <v>-74926</v>
      </c>
      <c r="BC349" s="211">
        <f>IF(ISNUMBER(BC314),BC314+BC313+N(BC315)-BC323-BC324-N(BC326),"")</f>
        <v>-69336</v>
      </c>
      <c r="BD349" s="211">
        <f>IF(ISNUMBER(BD314),BD314+BD313+N(BD315)-BD323-BD324-N(BD326),"")</f>
        <v>-62101</v>
      </c>
      <c r="BE349" s="211">
        <f>IF(ISNUMBER(BE314),BE314+BE313+N(BE315)-BE323-BE324-N(BE326),"")</f>
        <v>-62215</v>
      </c>
      <c r="BF349" s="211">
        <f>IF(ISNUMBER(BF314),BF314+BF313+N(BF315)-BF323-BF324-N(BF326),"")</f>
        <v>-74429</v>
      </c>
      <c r="BG349" s="211">
        <f>IF(ISNUMBER(BG314),BG314+BG313+N(BG315)-BG323-BG324-N(BG326),"")</f>
        <v>-74429</v>
      </c>
      <c r="BH349" s="211">
        <f>IF(ISNUMBER(BH314),BH314+BH313+N(BH315)-BH323-BH324-N(BH326),"")</f>
        <v>-72654</v>
      </c>
      <c r="BI349" s="211">
        <f>IF(ISNUMBER(BI314),BI314+BI313+N(BI315)-BI323-BI324-N(BI326),"")</f>
        <v>-66629</v>
      </c>
      <c r="BJ349" s="211">
        <f>IF(ISNUMBER(BJ314),BJ314+BJ313+N(BJ315)-BJ323-BJ324-N(BJ326),"")</f>
        <v>-60227</v>
      </c>
      <c r="BK349" s="211">
        <f>IF(ISNUMBER(BK314),BK314+BK313+N(BK315)-BK323-BK324-N(BK326),"")</f>
        <v>-70705</v>
      </c>
      <c r="BL349" s="211">
        <f>IF(ISNUMBER(BL314),BL314+BL313+N(BL315)-BL323-BL324-N(BL326),"")</f>
        <v>-70705</v>
      </c>
      <c r="BM349" s="211">
        <f>IF(ISNUMBER(BM314),BM314+BM313+N(BM315)-BM323-BM324-N(BM326),"")</f>
        <v>-65152</v>
      </c>
      <c r="BN349" s="211">
        <f>IF(ISNUMBER(BN314),BN314+BN313+N(BN315)-BN323-BN324-N(BN326),"")</f>
        <v>-66452</v>
      </c>
      <c r="BO349" s="211">
        <f>IF(ISNUMBER(BO314),BO314+BO313+N(BO315)-BO323-BO324-N(BO326),"")</f>
        <v>-68400</v>
      </c>
      <c r="BP349" s="211">
        <f>IF(ISNUMBER(BP314),BP314+BP313+N(BP315)-BP323-BP324-N(BP326),"")</f>
        <v>-84598</v>
      </c>
      <c r="BQ349" s="211">
        <f>IF(ISNUMBER(BQ314),BQ314+BQ313+N(BQ315)-BQ323-BQ324-N(BQ326),"")</f>
        <v>-84598</v>
      </c>
      <c r="BR349" s="211">
        <f>IF(ISNUMBER(BR314),BR314+BR313+N(BR315)-BR323-BR324-N(BR326),"")</f>
        <v>-81001</v>
      </c>
      <c r="BS349" s="211">
        <f>IF(ISNUMBER(BS314),BS314+BS313+N(BS315)-BS323-BS324-N(BS326),"")</f>
        <v>-83503</v>
      </c>
      <c r="BT349" s="211">
        <f>IF(ISNUMBER(BT314),BT314+BT313+N(BT315)-BT323-BT324-N(BT326),"")</f>
        <v>-88310</v>
      </c>
      <c r="BU349" s="211">
        <f>IF(ISNUMBER(BU314),BU314+BU313+N(BU315)-BU323-BU324-N(BU326),"")</f>
        <v>-108748</v>
      </c>
      <c r="BV349" s="211">
        <f>IF(ISNUMBER(BV314),BV314+BV313+N(BV315)-BV323-BV324-N(BV326),"")</f>
        <v>-108748</v>
      </c>
      <c r="BW349" s="211">
        <f>IF(ISNUMBER(BW314),BW314+BW313+N(BW315)-BW323-BW324-N(BW326),"")</f>
        <v>-101706</v>
      </c>
      <c r="BX349" s="211">
        <f>IF(ISNUMBER(BX314),BX314+BX313+N(BX315)-BX323-BX324-N(BX326),"")</f>
        <v>-111343</v>
      </c>
      <c r="BY349" s="35" t="n"/>
      <c r="BZ349" s="35" t="n"/>
      <c r="CA349" s="254">
        <f>IF(ISNUMBER(CA314),CA314+CA313+N(CA315)-CA323-CA324-N(CA326),"")</f>
        <v>-126490.721762506</v>
      </c>
      <c r="CB349" s="254">
        <f>IF(ISNUMBER(CB314),CB314+CB313+N(CB315)-CB323-CB324-N(CB326),"")</f>
        <v>-139436.474506661</v>
      </c>
      <c r="CC349" s="254">
        <f>IF(ISNUMBER(CC314),CC314+CC313+N(CC315)-CC323-CC324-N(CC326),"")</f>
        <v>-155293.540859491</v>
      </c>
      <c r="CD349" s="254">
        <f>IF(ISNUMBER(CD314),CD314+CD313+N(CD315)-CD323-CD324-N(CD326),"")</f>
        <v>-172058.579290248</v>
      </c>
      <c r="CE349" s="254">
        <f>IF(ISNUMBER(CE314),CE314+CE313+N(CE315)-CE323-CE324-N(CE326),"")</f>
        <v>-188614.839448752</v>
      </c>
      <c r="CF349" s="19" t="n"/>
    </row>
    <row r="350" ht="15" customHeight="1" s="251">
      <c r="B350" s="25" t="inlineStr">
        <is>
          <t xml:space="preserve">  NWC % of net sales (negative = suppliers fund the business)</t>
        </is>
      </c>
      <c r="C350" s="215">
        <f>IF(ISNUMBER(C349),IFERROR(C349/C342,""),"")</f>
        <v>-0.10998039398749</v>
      </c>
      <c r="D350" s="215">
        <f>IF(ISNUMBER(D349),IFERROR(D349/D342,""),"")</f>
        <v>-0.112032355915066</v>
      </c>
      <c r="E350" s="215">
        <f>IF(ISNUMBER(E349),IFERROR(E349/E342,""),"")</f>
        <v>-0.117760617760618</v>
      </c>
      <c r="F350" s="215">
        <f>IF(ISNUMBER(F349),IFERROR(F349/F342,""),"")</f>
        <v>-0.160471663470562</v>
      </c>
      <c r="G350" s="215">
        <f>IF(ISNUMBER(G349),IFERROR(G349/G342,""),"")</f>
        <v>-0.157496199274939</v>
      </c>
      <c r="H350" s="215">
        <f>IF(ISNUMBER(H349),IFERROR(H349/H342,""),"")</f>
        <v>-0.142542171932525</v>
      </c>
      <c r="I350" s="215">
        <f>IF(ISNUMBER(I349),IFERROR(I349/I342,""),"")</f>
        <v>-0.14035977935279</v>
      </c>
      <c r="J350" s="215">
        <f>IF(ISNUMBER(J349),IFERROR(J349/J342,""),"")</f>
        <v>-0.0818606098319851</v>
      </c>
      <c r="K350" s="215">
        <f>IF(ISNUMBER(K349),IFERROR(K349/K342,""),"")</f>
        <v>-0.0831316861946001</v>
      </c>
      <c r="L350" s="215">
        <f>IF(ISNUMBER(L349),IFERROR(L349/L342,""),"")</f>
        <v>-0.0849812777907793</v>
      </c>
      <c r="M350" s="215">
        <f>IF(ISNUMBER(M349),IFERROR(M349/M342,""),"")</f>
        <v>-0.0981846250048853</v>
      </c>
      <c r="N350" s="215">
        <f>IF(ISNUMBER(N349),IFERROR(N349/N342,""),"")</f>
        <v>-0.134972868425294</v>
      </c>
      <c r="O350" s="215">
        <f>IF(ISNUMBER(O349),IFERROR(O349/O342,""),"")</f>
        <v>-0.0875335595967783</v>
      </c>
      <c r="P350" s="215">
        <f>IF(ISNUMBER(P349),IFERROR(P349/P342,""),"")</f>
        <v>-0.0920630816959669</v>
      </c>
      <c r="Q350" s="215">
        <f>IF(ISNUMBER(Q349),IFERROR(Q349/Q342,""),"")</f>
        <v>-0.100697312794596</v>
      </c>
      <c r="R350" s="215">
        <f>IF(ISNUMBER(R349),IFERROR(R349/R342,""),"")</f>
        <v>-0.107900300054555</v>
      </c>
      <c r="S350" s="215">
        <f>IF(ISNUMBER(S349),IFERROR(S349/S342,""),"")</f>
        <v>-0.14224389805367</v>
      </c>
      <c r="T350" s="215">
        <f>IF(ISNUMBER(T349),IFERROR(T349/T342,""),"")</f>
        <v>-0.106297046264912</v>
      </c>
      <c r="U350" s="215">
        <f>IF(ISNUMBER(U349),IFERROR(U349/U342,""),"")</f>
        <v>-0.110664222557688</v>
      </c>
      <c r="V350" s="215">
        <f>IF(ISNUMBER(V349),IFERROR(V349/V342,""),"")</f>
        <v>-0.109620238189132</v>
      </c>
      <c r="W350" s="215">
        <f>IF(ISNUMBER(W349),IFERROR(W349/W342,""),"")</f>
        <v>-0.118856127786947</v>
      </c>
      <c r="X350" s="215">
        <f>IF(ISNUMBER(X349),IFERROR(X349/X342,""),"")</f>
        <v>-0.158822869745622</v>
      </c>
      <c r="Y350" s="215">
        <f>IF(ISNUMBER(Y349),IFERROR(Y349/Y342,""),"")</f>
        <v>-0.115378673441362</v>
      </c>
      <c r="Z350" s="215">
        <f>IF(ISNUMBER(Z349),IFERROR(Z349/Z342,""),"")</f>
        <v>-0.114014603341666</v>
      </c>
      <c r="AA350" s="215">
        <f>IF(ISNUMBER(AA349),IFERROR(AA349/AA342,""),"")</f>
        <v>-0.123708504004402</v>
      </c>
      <c r="AB350" s="215">
        <f>IF(ISNUMBER(AB349),IFERROR(AB349/AB342,""),"")</f>
        <v>-0.131226995267598</v>
      </c>
      <c r="AC350" s="215">
        <f>IF(ISNUMBER(AC349),IFERROR(AC349/AC342,""),"")</f>
        <v>-0.168839668497724</v>
      </c>
      <c r="AD350" s="215">
        <f>IF(ISNUMBER(AD349),IFERROR(AD349/AD342,""),"")</f>
        <v>-0.128948031584253</v>
      </c>
      <c r="AE350" s="215">
        <f>IF(ISNUMBER(AE349),IFERROR(AE349/AE342,""),"")</f>
        <v>-0.131082861283098</v>
      </c>
      <c r="AF350" s="215">
        <f>IF(ISNUMBER(AF349),IFERROR(AF349/AF342,""),"")</f>
        <v>-0.124399917702999</v>
      </c>
      <c r="AG350" s="215">
        <f>IF(ISNUMBER(AG349),IFERROR(AG349/AG342,""),"")</f>
        <v>-0.118157907796139</v>
      </c>
      <c r="AH350" s="215">
        <f>IF(ISNUMBER(AH349),IFERROR(AH349/AH342,""),"")</f>
        <v>-0.160637783499938</v>
      </c>
      <c r="AI350" s="215">
        <f>IF(ISNUMBER(AI349),IFERROR(AI349/AI342,""),"")</f>
        <v>-0.108371537165472</v>
      </c>
      <c r="AJ350" s="215">
        <f>IF(ISNUMBER(AJ349),IFERROR(AJ349/AJ342,""),"")</f>
        <v>-0.110326929622206</v>
      </c>
      <c r="AK350" s="215">
        <f>IF(ISNUMBER(AK349),IFERROR(AK349/AK342,""),"")</f>
        <v>-0.111177884615385</v>
      </c>
      <c r="AL350" s="215">
        <f>IF(ISNUMBER(AL349),IFERROR(AL349/AL342,""),"")</f>
        <v>-0.114560739400135</v>
      </c>
      <c r="AM350" s="215">
        <f>IF(ISNUMBER(AM349),IFERROR(AM349/AM342,""),"")</f>
        <v>-0.142425296388377</v>
      </c>
      <c r="AN350" s="215">
        <f>IF(ISNUMBER(AN349),IFERROR(AN349/AN342,""),"")</f>
        <v>-0.12427135678392</v>
      </c>
      <c r="AO350" s="215">
        <f>IF(ISNUMBER(AO349),IFERROR(AO349/AO342,""),"")</f>
        <v>-0.128994227493534</v>
      </c>
      <c r="AP350" s="215">
        <f>IF(ISNUMBER(AP349),IFERROR(AP349/AP342,""),"")</f>
        <v>-0.120182620997128</v>
      </c>
      <c r="AQ350" s="215">
        <f>IF(ISNUMBER(AQ349),IFERROR(AQ349/AQ342,""),"")</f>
        <v>-0.129213033384037</v>
      </c>
      <c r="AR350" s="215">
        <f>IF(ISNUMBER(AR349),IFERROR(AR349/AR342,""),"")</f>
        <v>-0.16109966419746</v>
      </c>
      <c r="AS350" s="215">
        <f>IF(ISNUMBER(AS349),IFERROR(AS349/AS342,""),"")</f>
        <v>-0.138190505221863</v>
      </c>
      <c r="AT350" s="215">
        <f>IF(ISNUMBER(AT349),IFERROR(AT349/AT342,""),"")</f>
        <v>-0.149656401835523</v>
      </c>
      <c r="AU350" s="215">
        <f>IF(ISNUMBER(AU349),IFERROR(AU349/AU342,""),"")</f>
        <v>-0.148707681106662</v>
      </c>
      <c r="AV350" s="215">
        <f>IF(ISNUMBER(AV349),IFERROR(AV349/AV342,""),"")</f>
        <v>-0.153106208434551</v>
      </c>
      <c r="AW350" s="215">
        <f>IF(ISNUMBER(AW349),IFERROR(AW349/AW342,""),"")</f>
        <v>-0.199171639935348</v>
      </c>
      <c r="AX350" s="215">
        <f>IF(ISNUMBER(AX349),IFERROR(AX349/AX342,""),"")</f>
        <v>-0.152301922261745</v>
      </c>
      <c r="AY350" s="215">
        <f>IF(ISNUMBER(AY349),IFERROR(AY349/AY342,""),"")</f>
        <v>-0.145206933144676</v>
      </c>
      <c r="AZ350" s="215">
        <f>IF(ISNUMBER(AZ349),IFERROR(AZ349/AZ342,""),"")</f>
        <v>-0.143150110096379</v>
      </c>
      <c r="BA350" s="215">
        <f>IF(ISNUMBER(BA349),IFERROR(BA349/BA342,""),"")</f>
        <v>-0.136316333362443</v>
      </c>
      <c r="BB350" s="215">
        <f>IF(ISNUMBER(BB349),IFERROR(BB349/BB342,""),"")</f>
        <v>-0.159477419107662</v>
      </c>
      <c r="BC350" s="215">
        <f>IF(ISNUMBER(BC349),IFERROR(BC349/BC342,""),"")</f>
        <v>-0.148861255195631</v>
      </c>
      <c r="BD350" s="215">
        <f>IF(ISNUMBER(BD349),IFERROR(BD349/BD342,""),"")</f>
        <v>-0.128060197634327</v>
      </c>
      <c r="BE350" s="215">
        <f>IF(ISNUMBER(BE349),IFERROR(BE349/BE342,""),"")</f>
        <v>-0.122373152060173</v>
      </c>
      <c r="BF350" s="215">
        <f>IF(ISNUMBER(BF349),IFERROR(BF349/BF342,""),"")</f>
        <v>-0.124710128414788</v>
      </c>
      <c r="BG350" s="215">
        <f>IF(ISNUMBER(BG349),IFERROR(BG349/BG342,""),"")</f>
        <v>-0.14480829132481</v>
      </c>
      <c r="BH350" s="215">
        <f>IF(ISNUMBER(BH349),IFERROR(BH349/BH342,""),"")</f>
        <v>-0.142617660453211</v>
      </c>
      <c r="BI350" s="215">
        <f>IF(ISNUMBER(BI349),IFERROR(BI349/BI342,""),"")</f>
        <v>-0.123953550672332</v>
      </c>
      <c r="BJ350" s="215">
        <f>IF(ISNUMBER(BJ349),IFERROR(BJ349/BJ342,""),"")</f>
        <v>-0.105230879978754</v>
      </c>
      <c r="BK350" s="215">
        <f>IF(ISNUMBER(BK349),IFERROR(BK349/BK342,""),"")</f>
        <v>-0.104001800413036</v>
      </c>
      <c r="BL350" s="215">
        <f>IF(ISNUMBER(BL349),IFERROR(BL349/BL342,""),"")</f>
        <v>-0.123011212888297</v>
      </c>
      <c r="BM350" s="215">
        <f>IF(ISNUMBER(BM349),IFERROR(BM349/BM342,""),"")</f>
        <v>-0.113653332216896</v>
      </c>
      <c r="BN350" s="215">
        <f>IF(ISNUMBER(BN349),IFERROR(BN349/BN342,""),"")</f>
        <v>-0.11226744696811</v>
      </c>
      <c r="BO350" s="215">
        <f>IF(ISNUMBER(BO349),IFERROR(BO349/BO342,""),"")</f>
        <v>-0.1076304310882</v>
      </c>
      <c r="BP350" s="215">
        <f>IF(ISNUMBER(BP349),IFERROR(BP349/BP342,""),"")</f>
        <v>-0.11262194342677</v>
      </c>
      <c r="BQ350" s="215">
        <f>IF(ISNUMBER(BQ349),IFERROR(BQ349/BQ342,""),"")</f>
        <v>-0.132607267865176</v>
      </c>
      <c r="BR350" s="215">
        <f>IF(ISNUMBER(BR349),IFERROR(BR349/BR342,""),"")</f>
        <v>-0.130086980541798</v>
      </c>
      <c r="BS350" s="215">
        <f>IF(ISNUMBER(BS349),IFERROR(BS349/BS342,""),"")</f>
        <v>-0.12448122264493</v>
      </c>
      <c r="BT350" s="215">
        <f>IF(ISNUMBER(BT349),IFERROR(BT349/BT342,""),"")</f>
        <v>-0.122537728466051</v>
      </c>
      <c r="BU350" s="215">
        <f>IF(ISNUMBER(BU349),IFERROR(BU349/BU342,""),"")</f>
        <v>-0.127407608746591</v>
      </c>
      <c r="BV350" s="215">
        <f>IF(ISNUMBER(BV349),IFERROR(BV349/BV342,""),"")</f>
        <v>-0.15168692915846</v>
      </c>
      <c r="BW350" s="215">
        <f>IF(ISNUMBER(BW349),IFERROR(BW349/BW342,""),"")</f>
        <v>-0.140076245461908</v>
      </c>
      <c r="BX350" s="215">
        <f>IF(ISNUMBER(BX349),IFERROR(BX349/BX342,""),"")</f>
        <v>-0.13875831231369</v>
      </c>
      <c r="BY350" s="24" t="n"/>
      <c r="BZ350" s="24" t="n"/>
      <c r="CA350" s="256">
        <f>IF(ISNUMBER(CA349),IFERROR(CA349/CA342,""),"")</f>
        <v>-0.153225049280897</v>
      </c>
      <c r="CB350" s="256">
        <f>IF(ISNUMBER(CB349),IFERROR(CB349/CB342,""),"")</f>
        <v>-0.147714120925656</v>
      </c>
      <c r="CC350" s="256">
        <f>IF(ISNUMBER(CC349),IFERROR(CC349/CC342,""),"")</f>
        <v>-0.145212361117526</v>
      </c>
      <c r="CD350" s="256">
        <f>IF(ISNUMBER(CD349),IFERROR(CD349/CD342,""),"")</f>
        <v>-0.143536253313409</v>
      </c>
      <c r="CE350" s="256">
        <f>IF(ISNUMBER(CE349),IFERROR(CE349/CE342,""),"")</f>
        <v>-0.141791889584168</v>
      </c>
      <c r="CF350" s="153" t="n"/>
      <c r="CH350" s="37">
        <f>IFERROR(AVERAGE(CA350,CB350,CC350,CD350,CE350),"n/m")</f>
        <v>-0.146295934844331</v>
      </c>
      <c r="CI350" s="37">
        <f>IFERROR(AVERAGE(BB350,BG350,BL350,BQ350,BV350),"n/m")</f>
        <v>-0.142318224068881</v>
      </c>
      <c r="CJ350" s="37">
        <f>IFERROR(AVERAGE(AC350,AH350,AM350,AR350,AW350,BB350,BG350,BL350,BQ350,BV350),"n/m")</f>
        <v>-0.154376517286325</v>
      </c>
      <c r="CK350" s="37">
        <f>IFERROR(AVERAGE(C350,D350,E350,F350,G350,H350,I350,N350,S350,X350,AC350,AH350,AM350,AR350,AW350,BB350,BG350,BL350,BQ350,BV350),"n/m")</f>
        <v>-0.146022399539091</v>
      </c>
    </row>
    <row r="351" ht="15" customHeight="1" s="251">
      <c r="B351" s="25" t="inlineStr">
        <is>
          <t xml:space="preserve">  Cash conversion cycle (inventory days + receivable days − payable days)</t>
        </is>
      </c>
      <c r="C351" s="286">
        <f>IFERROR(C345+C344-C346,"")</f>
        <v>-27.9217039762979</v>
      </c>
      <c r="D351" s="286">
        <f>IFERROR(D345+D344-D346,"")</f>
        <v>-33.3574708485555</v>
      </c>
      <c r="E351" s="286">
        <f>IFERROR(E345+E344-E346,"")</f>
        <v>-38.0350687091568</v>
      </c>
      <c r="F351" s="286">
        <f>IFERROR(F345+F344-F346,"")</f>
        <v>-51.331642401867</v>
      </c>
      <c r="G351" s="286">
        <f>IFERROR(G345+G344-G346,"")</f>
        <v>-49.6994276432309</v>
      </c>
      <c r="H351" s="286">
        <f>IFERROR(H345+H344-H346,"")</f>
        <v>-40.7106977929415</v>
      </c>
      <c r="I351" s="286">
        <f>IFERROR(I345+I344-I346,"")</f>
        <v>-37.7590251592895</v>
      </c>
      <c r="J351" s="286">
        <f>IFERROR(J345+J344-J346,"")</f>
        <v>-12.9392059604707</v>
      </c>
      <c r="K351" s="286">
        <f>IFERROR(K345+K344-K346,"")</f>
        <v>-12.4383955332065</v>
      </c>
      <c r="L351" s="286">
        <f>IFERROR(L345+L344-L346,"")</f>
        <v>-12.9670898027321</v>
      </c>
      <c r="M351" s="286">
        <f>IFERROR(M345+M344-M346,"")</f>
        <v>-20.46811304475</v>
      </c>
      <c r="N351" s="286">
        <f>IFERROR(N345+N344-N346,"")</f>
        <v>-28.6504765856652</v>
      </c>
      <c r="O351" s="286">
        <f>IFERROR(O345+O344-O346,"")</f>
        <v>-6.91616116993255</v>
      </c>
      <c r="P351" s="286">
        <f>IFERROR(P345+P344-P346,"")</f>
        <v>-6.50475209200428</v>
      </c>
      <c r="Q351" s="286">
        <f>IFERROR(Q345+Q344-Q346,"")</f>
        <v>-8.65143298706255</v>
      </c>
      <c r="R351" s="286">
        <f>IFERROR(R345+R344-R346,"")</f>
        <v>-18.5605205565366</v>
      </c>
      <c r="S351" s="286">
        <f>IFERROR(S345+S344-S346,"")</f>
        <v>-24.4444198161172</v>
      </c>
      <c r="T351" s="286">
        <f>IFERROR(T345+T344-T346,"")</f>
        <v>-7.78888489165793</v>
      </c>
      <c r="U351" s="286">
        <f>IFERROR(U345+U344-U346,"")</f>
        <v>-10.2563224142679</v>
      </c>
      <c r="V351" s="286">
        <f>IFERROR(V345+V344-V346,"")</f>
        <v>-10.1384388743289</v>
      </c>
      <c r="W351" s="286">
        <f>IFERROR(W345+W344-W346,"")</f>
        <v>-21.6697602619352</v>
      </c>
      <c r="X351" s="286">
        <f>IFERROR(X345+X344-X346,"")</f>
        <v>-29.8168605518347</v>
      </c>
      <c r="Y351" s="286">
        <f>IFERROR(Y345+Y344-Y346,"")</f>
        <v>-10.2679292279848</v>
      </c>
      <c r="Z351" s="286">
        <f>IFERROR(Z345+Z344-Z346,"")</f>
        <v>-12.8070403292663</v>
      </c>
      <c r="AA351" s="286">
        <f>IFERROR(AA345+AA344-AA346,"")</f>
        <v>-16.472740607745</v>
      </c>
      <c r="AB351" s="286">
        <f>IFERROR(AB345+AB344-AB346,"")</f>
        <v>-26.2402960709146</v>
      </c>
      <c r="AC351" s="286">
        <f>IFERROR(AC345+AC344-AC346,"")</f>
        <v>-34.8827367691954</v>
      </c>
      <c r="AD351" s="286">
        <f>IFERROR(AD345+AD344-AD346,"")</f>
        <v>-14.9887716824551</v>
      </c>
      <c r="AE351" s="286">
        <f>IFERROR(AE345+AE344-AE346,"")</f>
        <v>-19.2907590213766</v>
      </c>
      <c r="AF351" s="286">
        <f>IFERROR(AF345+AF344-AF346,"")</f>
        <v>-18.9311232866882</v>
      </c>
      <c r="AG351" s="286">
        <f>IFERROR(AG345+AG344-AG346,"")</f>
        <v>-24.1475717102824</v>
      </c>
      <c r="AH351" s="286">
        <f>IFERROR(AH345+AH344-AH346,"")</f>
        <v>-33.5367944845414</v>
      </c>
      <c r="AI351" s="286">
        <f>IFERROR(AI345+AI344-AI346,"")</f>
        <v>-12.1444888762217</v>
      </c>
      <c r="AJ351" s="286">
        <f>IFERROR(AJ345+AJ344-AJ346,"")</f>
        <v>-16.4761281875564</v>
      </c>
      <c r="AK351" s="286">
        <f>IFERROR(AK345+AK344-AK346,"")</f>
        <v>-18.5932604978566</v>
      </c>
      <c r="AL351" s="286">
        <f>IFERROR(AL345+AL344-AL346,"")</f>
        <v>-21.7995372451003</v>
      </c>
      <c r="AM351" s="286">
        <f>IFERROR(AM345+AM344-AM346,"")</f>
        <v>-28.9916890364064</v>
      </c>
      <c r="AN351" s="286">
        <f>IFERROR(AN345+AN344-AN346,"")</f>
        <v>-16.9429739227782</v>
      </c>
      <c r="AO351" s="286">
        <f>IFERROR(AO345+AO344-AO346,"")</f>
        <v>-19.8015539361633</v>
      </c>
      <c r="AP351" s="286">
        <f>IFERROR(AP345+AP344-AP346,"")</f>
        <v>-15.6011878696523</v>
      </c>
      <c r="AQ351" s="286">
        <f>IFERROR(AQ345+AQ344-AQ346,"")</f>
        <v>-23.3898578160298</v>
      </c>
      <c r="AR351" s="286">
        <f>IFERROR(AR345+AR344-AR346,"")</f>
        <v>-31.7568715453177</v>
      </c>
      <c r="AS351" s="286">
        <f>IFERROR(AS345+AS344-AS346,"")</f>
        <v>-22.1380689901493</v>
      </c>
      <c r="AT351" s="286">
        <f>IFERROR(AT345+AT344-AT346,"")</f>
        <v>-34.0327255112588</v>
      </c>
      <c r="AU351" s="286">
        <f>IFERROR(AU345+AU344-AU346,"")</f>
        <v>-35.5145505871218</v>
      </c>
      <c r="AV351" s="286">
        <f>IFERROR(AV345+AV344-AV346,"")</f>
        <v>-38.2642604116367</v>
      </c>
      <c r="AW351" s="286">
        <f>IFERROR(AW345+AW344-AW346,"")</f>
        <v>-53.0551827864251</v>
      </c>
      <c r="AX351" s="286">
        <f>IFERROR(AX345+AX344-AX346,"")</f>
        <v>-38.1793759541709</v>
      </c>
      <c r="AY351" s="286">
        <f>IFERROR(AY345+AY344-AY346,"")</f>
        <v>-38.0228265682774</v>
      </c>
      <c r="AZ351" s="286">
        <f>IFERROR(AZ345+AZ344-AZ346,"")</f>
        <v>-35.2260319729066</v>
      </c>
      <c r="BA351" s="286">
        <f>IFERROR(BA345+BA344-BA346,"")</f>
        <v>-28.8578205000415</v>
      </c>
      <c r="BB351" s="286">
        <f>IFERROR(BB345+BB344-BB346,"")</f>
        <v>-36.129449257648</v>
      </c>
      <c r="BC351" s="286">
        <f>IFERROR(BC345+BC344-BC346,"")</f>
        <v>-20.5796830501522</v>
      </c>
      <c r="BD351" s="286">
        <f>IFERROR(BD345+BD344-BD346,"")</f>
        <v>-19.2282745905507</v>
      </c>
      <c r="BE351" s="286">
        <f>IFERROR(BE345+BE344-BE346,"")</f>
        <v>-14.4471817723285</v>
      </c>
      <c r="BF351" s="286">
        <f>IFERROR(BF345+BF344-BF346,"")</f>
        <v>-22.2491015466244</v>
      </c>
      <c r="BG351" s="286">
        <f>IFERROR(BG345+BG344-BG346,"")</f>
        <v>-27.0320492534997</v>
      </c>
      <c r="BH351" s="286">
        <f>IFERROR(BH345+BH344-BH346,"")</f>
        <v>-17.0928366191463</v>
      </c>
      <c r="BI351" s="286">
        <f>IFERROR(BI345+BI344-BI346,"")</f>
        <v>-16.1569828657845</v>
      </c>
      <c r="BJ351" s="286">
        <f>IFERROR(BJ345+BJ344-BJ346,"")</f>
        <v>-16.8237631466537</v>
      </c>
      <c r="BK351" s="286">
        <f>IFERROR(BK345+BK344-BK346,"")</f>
        <v>-22.8816644964362</v>
      </c>
      <c r="BL351" s="286">
        <f>IFERROR(BL345+BL344-BL346,"")</f>
        <v>-28.6974627261512</v>
      </c>
      <c r="BM351" s="286">
        <f>IFERROR(BM345+BM344-BM346,"")</f>
        <v>-22.2512665078692</v>
      </c>
      <c r="BN351" s="286">
        <f>IFERROR(BN345+BN344-BN346,"")</f>
        <v>-28.10268298885</v>
      </c>
      <c r="BO351" s="286">
        <f>IFERROR(BO345+BO344-BO346,"")</f>
        <v>-24.9577192361098</v>
      </c>
      <c r="BP351" s="286">
        <f>IFERROR(BP345+BP344-BP346,"")</f>
        <v>-28.556159145275</v>
      </c>
      <c r="BQ351" s="286">
        <f>IFERROR(BQ345+BQ344-BQ346,"")</f>
        <v>-35.5597237646818</v>
      </c>
      <c r="BR351" s="286">
        <f>IFERROR(BR345+BR344-BR346,"")</f>
        <v>-31.4942088577521</v>
      </c>
      <c r="BS351" s="286">
        <f>IFERROR(BS345+BS344-BS346,"")</f>
        <v>-33.6435257080773</v>
      </c>
      <c r="BT351" s="286">
        <f>IFERROR(BT345+BT344-BT346,"")</f>
        <v>-35.4326030577598</v>
      </c>
      <c r="BU351" s="286">
        <f>IFERROR(BU345+BU344-BU346,"")</f>
        <v>-40.3997093226941</v>
      </c>
      <c r="BV351" s="286">
        <f>IFERROR(BV345+BV344-BV346,"")</f>
        <v>-51.1153797406763</v>
      </c>
      <c r="BW351" s="286">
        <f>IFERROR(BW345+BW344-BW346,"")</f>
        <v>-54.0644580250273</v>
      </c>
      <c r="BX351" s="286">
        <f>IFERROR(BX345+BX344-BX346,"")</f>
        <v>-64.0202529748798</v>
      </c>
      <c r="BY351" s="35" t="n"/>
      <c r="BZ351" s="35" t="n"/>
      <c r="CA351" s="288">
        <f>IFERROR(CA345+CA344-CA346,"")</f>
        <v>-52</v>
      </c>
      <c r="CB351" s="288">
        <f>IFERROR(CB345+CB344-CB346,"")</f>
        <v>-52</v>
      </c>
      <c r="CC351" s="288">
        <f>IFERROR(CC345+CC344-CC346,"")</f>
        <v>-52</v>
      </c>
      <c r="CD351" s="288">
        <f>IFERROR(CD345+CD344-CD346,"")</f>
        <v>-52</v>
      </c>
      <c r="CE351" s="288">
        <f>IFERROR(CE345+CE344-CE346,"")</f>
        <v>-52</v>
      </c>
      <c r="CF351" s="19" t="n"/>
    </row>
    <row r="352" ht="15" customHeight="1" s="251">
      <c r="B352" s="25" t="inlineStr">
        <is>
          <t xml:space="preserve">  ΔNWC (y/y)</t>
        </is>
      </c>
      <c r="C352" s="34" t="n"/>
      <c r="D352" s="211">
        <f>IF(AND(ISNUMBER(D349),ISNUMBER(C349)),D349-C349,"")</f>
        <v>-484</v>
      </c>
      <c r="E352" s="211">
        <f>IF(AND(ISNUMBER(E349),ISNUMBER(D349)),E349-D349,"")</f>
        <v>-595</v>
      </c>
      <c r="F352" s="211">
        <f>IF(AND(ISNUMBER(F349),ISNUMBER(E349)),F349-E349,"")</f>
        <v>-1676</v>
      </c>
      <c r="G352" s="211">
        <f>IF(AND(ISNUMBER(G349),ISNUMBER(F349)),G349-F349,"")</f>
        <v>-1454</v>
      </c>
      <c r="H352" s="211">
        <f>IF(AND(ISNUMBER(H349),ISNUMBER(G349)),H349-G349,"")</f>
        <v>-1466</v>
      </c>
      <c r="I352" s="211">
        <f>IF(AND(ISNUMBER(I349),ISNUMBER(H349)),I349-H349,"")</f>
        <v>-1722</v>
      </c>
      <c r="J352" s="34" t="n"/>
      <c r="K352" s="34" t="n"/>
      <c r="L352" s="34" t="n"/>
      <c r="M352" s="34" t="n"/>
      <c r="N352" s="211">
        <f>IF(AND(ISNUMBER(N349),ISNUMBER(I349)),N349-I349,"")</f>
        <v>-1474</v>
      </c>
      <c r="O352" s="211">
        <f>IF(AND(ISNUMBER(O349),ISNUMBER(J349)),O349-J349,"")</f>
        <v>-1650</v>
      </c>
      <c r="P352" s="211">
        <f>IF(AND(ISNUMBER(P349),ISNUMBER(K349)),P349-K349,"")</f>
        <v>-1900</v>
      </c>
      <c r="Q352" s="211">
        <f>IF(AND(ISNUMBER(Q349),ISNUMBER(L349)),Q349-L349,"")</f>
        <v>-2479</v>
      </c>
      <c r="R352" s="211">
        <f>IF(AND(ISNUMBER(R349),ISNUMBER(M349)),R349-M349,"")</f>
        <v>-2609</v>
      </c>
      <c r="S352" s="211">
        <f>IF(AND(ISNUMBER(S349),ISNUMBER(N349)),S349-N349,"")</f>
        <v>-2609</v>
      </c>
      <c r="T352" s="211">
        <f>IF(AND(ISNUMBER(T349),ISNUMBER(O349)),T349-O349,"")</f>
        <v>-2747</v>
      </c>
      <c r="U352" s="211">
        <f>IF(AND(ISNUMBER(U349),ISNUMBER(P349)),U349-P349,"")</f>
        <v>-3141</v>
      </c>
      <c r="V352" s="211">
        <f>IF(AND(ISNUMBER(V349),ISNUMBER(Q349)),V349-Q349,"")</f>
        <v>-2830</v>
      </c>
      <c r="W352" s="211">
        <f>IF(AND(ISNUMBER(W349),ISNUMBER(R349)),W349-R349,"")</f>
        <v>-4337</v>
      </c>
      <c r="X352" s="211">
        <f>IF(AND(ISNUMBER(X349),ISNUMBER(S349)),X349-S349,"")</f>
        <v>-4337</v>
      </c>
      <c r="Y352" s="211">
        <f>IF(AND(ISNUMBER(Y349),ISNUMBER(T349)),Y349-T349,"")</f>
        <v>-3784</v>
      </c>
      <c r="Z352" s="211">
        <f>IF(AND(ISNUMBER(Z349),ISNUMBER(U349)),Z349-U349,"")</f>
        <v>-3603</v>
      </c>
      <c r="AA352" s="211">
        <f>IF(AND(ISNUMBER(AA349),ISNUMBER(V349)),AA349-V349,"")</f>
        <v>-5069</v>
      </c>
      <c r="AB352" s="211">
        <f>IF(AND(ISNUMBER(AB349),ISNUMBER(W349)),AB349-W349,"")</f>
        <v>-5965</v>
      </c>
      <c r="AC352" s="211">
        <f>IF(AND(ISNUMBER(AC349),ISNUMBER(X349)),AC349-X349,"")</f>
        <v>-5965</v>
      </c>
      <c r="AD352" s="211">
        <f>IF(AND(ISNUMBER(AD349),ISNUMBER(Y349)),AD349-Y349,"")</f>
        <v>-4978</v>
      </c>
      <c r="AE352" s="211">
        <f>IF(AND(ISNUMBER(AE349),ISNUMBER(Z349)),AE349-Z349,"")</f>
        <v>-6035</v>
      </c>
      <c r="AF352" s="211">
        <f>IF(AND(ISNUMBER(AF349),ISNUMBER(AA349)),AF349-AA349,"")</f>
        <v>-5579</v>
      </c>
      <c r="AG352" s="211">
        <f>IF(AND(ISNUMBER(AG349),ISNUMBER(AB349)),AG349-AB349,"")</f>
        <v>-5612</v>
      </c>
      <c r="AH352" s="211">
        <f>IF(AND(ISNUMBER(AH349),ISNUMBER(AC349)),AH349-AC349,"")</f>
        <v>-5612</v>
      </c>
      <c r="AI352" s="211">
        <f>IF(AND(ISNUMBER(AI349),ISNUMBER(AD349)),AI349-AD349,"")</f>
        <v>-3705</v>
      </c>
      <c r="AJ352" s="211">
        <f>IF(AND(ISNUMBER(AJ349),ISNUMBER(AE349)),AJ349-AE349,"")</f>
        <v>-3438</v>
      </c>
      <c r="AK352" s="211">
        <f>IF(AND(ISNUMBER(AK349),ISNUMBER(AF349)),AK349-AF349,"")</f>
        <v>-3393</v>
      </c>
      <c r="AL352" s="211">
        <f>IF(AND(ISNUMBER(AL349),ISNUMBER(AG349)),AL349-AG349,"")</f>
        <v>-4597</v>
      </c>
      <c r="AM352" s="211">
        <f>IF(AND(ISNUMBER(AM349),ISNUMBER(AH349)),AM349-AH349,"")</f>
        <v>-4597</v>
      </c>
      <c r="AN352" s="211">
        <f>IF(AND(ISNUMBER(AN349),ISNUMBER(AI349)),AN349-AI349,"")</f>
        <v>-7550</v>
      </c>
      <c r="AO352" s="211">
        <f>IF(AND(ISNUMBER(AO349),ISNUMBER(AJ349)),AO349-AJ349,"")</f>
        <v>-9376</v>
      </c>
      <c r="AP352" s="211">
        <f>IF(AND(ISNUMBER(AP349),ISNUMBER(AK349)),AP349-AK349,"")</f>
        <v>-8482</v>
      </c>
      <c r="AQ352" s="211">
        <f>IF(AND(ISNUMBER(AQ349),ISNUMBER(AL349)),AQ349-AL349,"")</f>
        <v>-12023</v>
      </c>
      <c r="AR352" s="211">
        <f>IF(AND(ISNUMBER(AR349),ISNUMBER(AM349)),AR349-AM349,"")</f>
        <v>-12023</v>
      </c>
      <c r="AS352" s="211">
        <f>IF(AND(ISNUMBER(AS349),ISNUMBER(AN349)),AS349-AN349,"")</f>
        <v>-12031</v>
      </c>
      <c r="AT352" s="211">
        <f>IF(AND(ISNUMBER(AT349),ISNUMBER(AO349)),AT349-AO349,"")</f>
        <v>-20510</v>
      </c>
      <c r="AU352" s="211">
        <f>IF(AND(ISNUMBER(AU349),ISNUMBER(AP349)),AU349-AP349,"")</f>
        <v>-23548</v>
      </c>
      <c r="AV352" s="211">
        <f>IF(AND(ISNUMBER(AV349),ISNUMBER(AQ349)),AV349-AQ349,"")</f>
        <v>-31701</v>
      </c>
      <c r="AW352" s="211">
        <f>IF(AND(ISNUMBER(AW349),ISNUMBER(AR349)),AW349-AR349,"")</f>
        <v>-31701</v>
      </c>
      <c r="AX352" s="211">
        <f>IF(AND(ISNUMBER(AX349),ISNUMBER(AS349)),AX349-AS349,"")</f>
        <v>-24403</v>
      </c>
      <c r="AY352" s="211">
        <f>IF(AND(ISNUMBER(AY349),ISNUMBER(AT349)),AY349-AT349,"")</f>
        <v>-12455</v>
      </c>
      <c r="AZ352" s="211">
        <f>IF(AND(ISNUMBER(AZ349),ISNUMBER(AU349)),AZ349-AU349,"")</f>
        <v>-6261</v>
      </c>
      <c r="BA352" s="211">
        <f>IF(AND(ISNUMBER(BA349),ISNUMBER(AV349)),BA349-AV349,"")</f>
        <v>1967</v>
      </c>
      <c r="BB352" s="211">
        <f>IF(AND(ISNUMBER(BB349),ISNUMBER(AW349)),BB349-AW349,"")</f>
        <v>1967</v>
      </c>
      <c r="BC352" s="211">
        <f>IF(AND(ISNUMBER(BC349),ISNUMBER(AX349)),BC349-AX349,"")</f>
        <v>-3226</v>
      </c>
      <c r="BD352" s="211">
        <f>IF(AND(ISNUMBER(BD349),ISNUMBER(AY349)),BD349-AY349,"")</f>
        <v>3579</v>
      </c>
      <c r="BE352" s="211">
        <f>IF(AND(ISNUMBER(BE349),ISNUMBER(AZ349)),BE349-AZ349,"")</f>
        <v>1236</v>
      </c>
      <c r="BF352" s="211">
        <f>IF(AND(ISNUMBER(BF349),ISNUMBER(BA349)),BF349-BA349,"")</f>
        <v>497</v>
      </c>
      <c r="BG352" s="211">
        <f>IF(AND(ISNUMBER(BG349),ISNUMBER(BB349)),BG349-BB349,"")</f>
        <v>497</v>
      </c>
      <c r="BH352" s="211">
        <f>IF(AND(ISNUMBER(BH349),ISNUMBER(BC349)),BH349-BC349,"")</f>
        <v>-3318</v>
      </c>
      <c r="BI352" s="211">
        <f>IF(AND(ISNUMBER(BI349),ISNUMBER(BD349)),BI349-BD349,"")</f>
        <v>-4528</v>
      </c>
      <c r="BJ352" s="211">
        <f>IF(AND(ISNUMBER(BJ349),ISNUMBER(BE349)),BJ349-BE349,"")</f>
        <v>1988</v>
      </c>
      <c r="BK352" s="211">
        <f>IF(AND(ISNUMBER(BK349),ISNUMBER(BF349)),BK349-BF349,"")</f>
        <v>3724</v>
      </c>
      <c r="BL352" s="211">
        <f>IF(AND(ISNUMBER(BL349),ISNUMBER(BG349)),BL349-BG349,"")</f>
        <v>3724</v>
      </c>
      <c r="BM352" s="211">
        <f>IF(AND(ISNUMBER(BM349),ISNUMBER(BH349)),BM349-BH349,"")</f>
        <v>7502</v>
      </c>
      <c r="BN352" s="211">
        <f>IF(AND(ISNUMBER(BN349),ISNUMBER(BI349)),BN349-BI349,"")</f>
        <v>177</v>
      </c>
      <c r="BO352" s="211">
        <f>IF(AND(ISNUMBER(BO349),ISNUMBER(BJ349)),BO349-BJ349,"")</f>
        <v>-8173</v>
      </c>
      <c r="BP352" s="211">
        <f>IF(AND(ISNUMBER(BP349),ISNUMBER(BK349)),BP349-BK349,"")</f>
        <v>-13893</v>
      </c>
      <c r="BQ352" s="211">
        <f>IF(AND(ISNUMBER(BQ349),ISNUMBER(BL349)),BQ349-BL349,"")</f>
        <v>-13893</v>
      </c>
      <c r="BR352" s="211">
        <f>IF(AND(ISNUMBER(BR349),ISNUMBER(BM349)),BR349-BM349,"")</f>
        <v>-15849</v>
      </c>
      <c r="BS352" s="211">
        <f>IF(AND(ISNUMBER(BS349),ISNUMBER(BN349)),BS349-BN349,"")</f>
        <v>-17051</v>
      </c>
      <c r="BT352" s="211">
        <f>IF(AND(ISNUMBER(BT349),ISNUMBER(BO349)),BT349-BO349,"")</f>
        <v>-19910</v>
      </c>
      <c r="BU352" s="211">
        <f>IF(AND(ISNUMBER(BU349),ISNUMBER(BP349)),BU349-BP349,"")</f>
        <v>-24150</v>
      </c>
      <c r="BV352" s="211">
        <f>IF(AND(ISNUMBER(BV349),ISNUMBER(BQ349)),BV349-BQ349,"")</f>
        <v>-24150</v>
      </c>
      <c r="BW352" s="211">
        <f>IF(AND(ISNUMBER(BW349),ISNUMBER(BR349)),BW349-BR349,"")</f>
        <v>-20705</v>
      </c>
      <c r="BX352" s="211">
        <f>IF(AND(ISNUMBER(BX349),ISNUMBER(BS349)),BX349-BS349,"")</f>
        <v>-27840</v>
      </c>
      <c r="BY352" s="35" t="n"/>
      <c r="BZ352" s="35" t="n"/>
      <c r="CA352" s="254">
        <f>IF(AND(ISNUMBER(CA349),ISNUMBER(BV349)),CA349-BV349,"")</f>
        <v>-17742.7217625059</v>
      </c>
      <c r="CB352" s="254">
        <f>IF(AND(ISNUMBER(CB349),ISNUMBER(CA349)),CB349-CA349,"")</f>
        <v>-12945.7527441554</v>
      </c>
      <c r="CC352" s="254">
        <f>IF(AND(ISNUMBER(CC349),ISNUMBER(CB349)),CC349-CB349,"")</f>
        <v>-15857.0663528299</v>
      </c>
      <c r="CD352" s="254">
        <f>IF(AND(ISNUMBER(CD349),ISNUMBER(CC349)),CD349-CC349,"")</f>
        <v>-16765.0384307566</v>
      </c>
      <c r="CE352" s="254">
        <f>IF(AND(ISNUMBER(CE349),ISNUMBER(CD349)),CE349-CD349,"")</f>
        <v>-16556.2601585039</v>
      </c>
      <c r="CF352" s="19" t="n"/>
    </row>
    <row r="353" ht="15" customHeight="1" s="251">
      <c r="CN353" s="11" t="n"/>
      <c r="CO353" s="12" t="n"/>
      <c r="CP353" s="12" t="n"/>
      <c r="CQ353" s="12" t="n"/>
      <c r="CR353" s="13" t="n"/>
    </row>
    <row r="354" ht="15" customHeight="1" s="251">
      <c r="B354" s="10" t="inlineStr">
        <is>
          <t>BALANCE SHEET FORECAST SCHEDULES</t>
        </is>
      </c>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c r="BJ354" s="10" t="n"/>
      <c r="BK354" s="10" t="n"/>
      <c r="BL354" s="10" t="n"/>
      <c r="BM354" s="10" t="n"/>
      <c r="BN354" s="10" t="n"/>
      <c r="BO354" s="10" t="n"/>
      <c r="BP354" s="10" t="n"/>
      <c r="BQ354" s="10" t="n"/>
      <c r="BR354" s="10" t="n"/>
      <c r="BS354" s="10" t="n"/>
      <c r="BT354" s="10" t="n"/>
      <c r="BU354" s="10" t="n"/>
      <c r="BV354" s="10" t="n"/>
      <c r="BW354" s="10" t="n"/>
      <c r="BX354" s="10" t="n"/>
      <c r="BY354" s="10" t="n"/>
      <c r="BZ354" s="10" t="n"/>
      <c r="CA354" s="10" t="n"/>
      <c r="CB354" s="10" t="n"/>
      <c r="CC354" s="10" t="n"/>
      <c r="CD354" s="10" t="n"/>
      <c r="CE354" s="10" t="n"/>
      <c r="CF354" s="10" t="inlineStr">
        <is>
          <t>BS FORECAST SCHEDULES — explicit driver assumptions</t>
        </is>
      </c>
    </row>
    <row r="355" ht="15" customHeight="1" s="251">
      <c r="B355" s="25" t="inlineStr">
        <is>
          <t>Share count &amp; pricing</t>
        </is>
      </c>
      <c r="CF355" s="153" t="n"/>
    </row>
    <row r="356" ht="15" customHeight="1" s="251">
      <c r="B356" s="69" t="inlineStr">
        <is>
          <t xml:space="preserve">  Dilutive securities (m shares; restricted stock units)</t>
        </is>
      </c>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c r="AA356" s="44" t="n"/>
      <c r="AB356" s="44" t="n"/>
      <c r="AC356" s="44" t="n"/>
      <c r="AD356" s="44" t="n"/>
      <c r="AE356" s="44" t="n"/>
      <c r="AF356" s="44" t="n"/>
      <c r="AG356" s="44" t="n"/>
      <c r="AH356" s="44" t="n"/>
      <c r="AI356" s="44" t="n"/>
      <c r="AJ356" s="44" t="n"/>
      <c r="AK356" s="44" t="n"/>
      <c r="AL356" s="44" t="n"/>
      <c r="AM356" s="44" t="n"/>
      <c r="AN356" s="44" t="n"/>
      <c r="AO356" s="44" t="n"/>
      <c r="AP356" s="44" t="n"/>
      <c r="AQ356" s="44" t="n"/>
      <c r="AR356" s="44" t="n"/>
      <c r="AS356" s="44" t="n"/>
      <c r="AT356" s="44" t="n"/>
      <c r="AU356" s="44" t="n"/>
      <c r="AV356" s="44" t="n"/>
      <c r="AW356" s="44" t="n"/>
      <c r="AX356" s="44" t="n"/>
      <c r="AY356" s="44" t="n"/>
      <c r="AZ356" s="44" t="n"/>
      <c r="BA356" s="44" t="n"/>
      <c r="BB356" s="44" t="n"/>
      <c r="BC356" s="44" t="n"/>
      <c r="BD356" s="44" t="n"/>
      <c r="BE356" s="44" t="n"/>
      <c r="BF356" s="44" t="n"/>
      <c r="BG356" s="44" t="n"/>
      <c r="BH356" s="44" t="n"/>
      <c r="BI356" s="44" t="n"/>
      <c r="BJ356" s="44" t="n"/>
      <c r="BK356" s="44" t="n"/>
      <c r="BL356" s="44" t="n"/>
      <c r="BM356" s="44" t="n"/>
      <c r="BN356" s="44" t="n"/>
      <c r="BO356" s="44" t="n"/>
      <c r="BP356" s="44" t="n"/>
      <c r="BQ356" s="44" t="n"/>
      <c r="BR356" s="44" t="n"/>
      <c r="BS356" s="44" t="n"/>
      <c r="BT356" s="44" t="n"/>
      <c r="BU356" s="44" t="n"/>
      <c r="BV356" s="44" t="n"/>
      <c r="BW356" s="44" t="n"/>
      <c r="BX356" s="44" t="n"/>
      <c r="BY356" s="153" t="n"/>
      <c r="BZ356" s="153" t="n"/>
      <c r="CA356" s="35" t="n"/>
      <c r="CB356" s="268" t="n">
        <v>135</v>
      </c>
      <c r="CC356" s="268" t="n">
        <v>135</v>
      </c>
      <c r="CD356" s="268" t="n">
        <v>135</v>
      </c>
      <c r="CE356" s="268" t="n">
        <v>135</v>
      </c>
      <c r="CF356" s="19" t="n"/>
    </row>
    <row r="357" ht="15" customHeight="1" s="251">
      <c r="B357" s="69" t="inlineStr">
        <is>
          <t xml:space="preserve">  Share-price appreciation % (buyback pricing)</t>
        </is>
      </c>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c r="AA357" s="44" t="n"/>
      <c r="AB357" s="44" t="n"/>
      <c r="AC357" s="44" t="n"/>
      <c r="AD357" s="44" t="n"/>
      <c r="AE357" s="44" t="n"/>
      <c r="AF357" s="44" t="n"/>
      <c r="AG357" s="44" t="n"/>
      <c r="AH357" s="44" t="n"/>
      <c r="AI357" s="44" t="n"/>
      <c r="AJ357" s="44" t="n"/>
      <c r="AK357" s="44" t="n"/>
      <c r="AL357" s="44" t="n"/>
      <c r="AM357" s="44" t="n"/>
      <c r="AN357" s="44" t="n"/>
      <c r="AO357" s="44" t="n"/>
      <c r="AP357" s="44" t="n"/>
      <c r="AQ357" s="44" t="n"/>
      <c r="AR357" s="44" t="n"/>
      <c r="AS357" s="44" t="n"/>
      <c r="AT357" s="44" t="n"/>
      <c r="AU357" s="44" t="n"/>
      <c r="AV357" s="44" t="n"/>
      <c r="AW357" s="44" t="n"/>
      <c r="AX357" s="44" t="n"/>
      <c r="AY357" s="44" t="n"/>
      <c r="AZ357" s="44" t="n"/>
      <c r="BA357" s="44" t="n"/>
      <c r="BB357" s="44" t="n"/>
      <c r="BC357" s="44" t="n"/>
      <c r="BD357" s="44" t="n"/>
      <c r="BE357" s="44" t="n"/>
      <c r="BF357" s="44" t="n"/>
      <c r="BG357" s="44" t="n"/>
      <c r="BH357" s="44" t="n"/>
      <c r="BI357" s="44" t="n"/>
      <c r="BJ357" s="44" t="n"/>
      <c r="BK357" s="44" t="n"/>
      <c r="BL357" s="44" t="n"/>
      <c r="BM357" s="44" t="n"/>
      <c r="BN357" s="44" t="n"/>
      <c r="BO357" s="44" t="n"/>
      <c r="BP357" s="44" t="n"/>
      <c r="BQ357" s="44" t="n"/>
      <c r="BR357" s="44" t="n"/>
      <c r="BS357" s="44" t="n"/>
      <c r="BT357" s="44" t="n"/>
      <c r="BU357" s="44" t="n"/>
      <c r="BV357" s="44" t="n"/>
      <c r="BW357" s="44" t="n"/>
      <c r="BX357" s="44" t="n"/>
      <c r="BY357" s="153" t="n"/>
      <c r="BZ357" s="153" t="n"/>
      <c r="CA357" s="35" t="n"/>
      <c r="CB357" s="269" t="n">
        <v>0.08</v>
      </c>
      <c r="CC357" s="269" t="n">
        <v>0.08</v>
      </c>
      <c r="CD357" s="269" t="n">
        <v>0.08</v>
      </c>
      <c r="CE357" s="269" t="n">
        <v>0.08</v>
      </c>
      <c r="CF357" s="19" t="n"/>
    </row>
    <row r="358" ht="15" customHeight="1" s="251">
      <c r="B358" s="25" t="inlineStr">
        <is>
          <t>Debt schedule (senior notes repaid at maturity and refinanced; commercial paper / revolver drawn or repaid to a minimum cash balance)</t>
        </is>
      </c>
      <c r="CF358" s="153" t="n"/>
    </row>
    <row r="359" ht="15" customHeight="1" s="251">
      <c r="B359" s="69" t="inlineStr">
        <is>
          <t xml:space="preserve">  Total debt (senior notes &amp; other LTD incl. current portion + short-term borrowings; carrying value)</t>
        </is>
      </c>
      <c r="C359" s="211">
        <f>IF(ISNUMBER(C360),C360+N(C367),"")</f>
        <v>1247</v>
      </c>
      <c r="D359" s="211">
        <f>IF(ISNUMBER(D360),D360+N(D367),"")</f>
        <v>1282</v>
      </c>
      <c r="E359" s="211">
        <f>IF(ISNUMBER(E360),E360+N(E367),"")</f>
        <v>468</v>
      </c>
      <c r="F359" s="211">
        <f>IF(ISNUMBER(F360),F360+N(F367),"")</f>
        <v>109</v>
      </c>
      <c r="G359" s="211">
        <f>IF(ISNUMBER(G360),G360+N(G367),"")</f>
        <v>0</v>
      </c>
      <c r="H359" s="211">
        <f>IF(ISNUMBER(H360),H360+N(H367),"")</f>
        <v>129</v>
      </c>
      <c r="I359" s="211">
        <f>IF(ISNUMBER(I360),I360+N(I367),"")</f>
        <v>3663</v>
      </c>
      <c r="J359" s="211">
        <f>IF(ISNUMBER(J360),J360+N(J367),"")</f>
        <v>3692</v>
      </c>
      <c r="K359" s="211">
        <f>IF(ISNUMBER(K360),K360+N(K367),"")</f>
        <v>3733</v>
      </c>
      <c r="L359" s="211">
        <f>IF(ISNUMBER(L360),L360+N(L367),"")</f>
        <v>3723</v>
      </c>
      <c r="M359" s="211">
        <f>IF(ISNUMBER(M360),M360+N(M367),"")</f>
        <v>3944</v>
      </c>
      <c r="N359" s="211">
        <f>IF(ISNUMBER(N360),N360+N(N367),"")</f>
        <v>3944</v>
      </c>
      <c r="O359" s="211">
        <f>IF(ISNUMBER(O360),O360+N(O367),"")</f>
        <v>3931</v>
      </c>
      <c r="P359" s="211">
        <f>IF(ISNUMBER(P360),P360+N(P367),"")</f>
        <v>3979</v>
      </c>
      <c r="Q359" s="211">
        <f>IF(ISNUMBER(Q360),Q360+N(Q367),"")</f>
        <v>3963</v>
      </c>
      <c r="R359" s="211">
        <f>IF(ISNUMBER(R360),R360+N(R367),"")</f>
        <v>9785</v>
      </c>
      <c r="S359" s="211">
        <f>IF(ISNUMBER(S360),S360+N(S367),"")</f>
        <v>9785</v>
      </c>
      <c r="T359" s="211">
        <f>IF(ISNUMBER(T360),T360+N(T367),"")</f>
        <v>9634</v>
      </c>
      <c r="U359" s="211">
        <f>IF(ISNUMBER(U360),U360+N(U367),"")</f>
        <v>9509</v>
      </c>
      <c r="V359" s="211">
        <f>IF(ISNUMBER(V360),V360+N(V367),"")</f>
        <v>9360</v>
      </c>
      <c r="W359" s="211">
        <f>IF(ISNUMBER(W360),W360+N(W367),"")</f>
        <v>8473</v>
      </c>
      <c r="X359" s="211">
        <f>IF(ISNUMBER(X360),X360+N(X367),"")</f>
        <v>8473</v>
      </c>
      <c r="Y359" s="211">
        <f>IF(ISNUMBER(Y360),Y360+N(Y367),"")</f>
        <v>8309</v>
      </c>
      <c r="Z359" s="211">
        <f>IF(ISNUMBER(Z360),Z360+N(Z367),"")</f>
        <v>8253</v>
      </c>
      <c r="AA359" s="211">
        <f>IF(ISNUMBER(AA360),AA360+N(AA367),"")</f>
        <v>8253</v>
      </c>
      <c r="AB359" s="211">
        <f>IF(ISNUMBER(AB360),AB360+N(AB367),"")</f>
        <v>8750</v>
      </c>
      <c r="AC359" s="211">
        <f>IF(ISNUMBER(AC360),AC360+N(AC367),"")</f>
        <v>8750</v>
      </c>
      <c r="AD359" s="211">
        <f>IF(ISNUMBER(AD360),AD360+N(AD367),"")</f>
        <v>8740</v>
      </c>
      <c r="AE359" s="211">
        <f>IF(ISNUMBER(AE360),AE360+N(AE367),"")</f>
        <v>8746</v>
      </c>
      <c r="AF359" s="211">
        <f>IF(ISNUMBER(AF360),AF360+N(AF367),"")</f>
        <v>25747</v>
      </c>
      <c r="AG359" s="211">
        <f>IF(ISNUMBER(AG360),AG360+N(AG367),"")</f>
        <v>24843</v>
      </c>
      <c r="AH359" s="211">
        <f>IF(ISNUMBER(AH360),AH360+N(AH367),"")</f>
        <v>24843</v>
      </c>
      <c r="AI359" s="211">
        <f>IF(ISNUMBER(AI360),AI360+N(AI367),"")</f>
        <v>24693</v>
      </c>
      <c r="AJ359" s="211">
        <f>IF(ISNUMBER(AJ360),AJ360+N(AJ367),"")</f>
        <v>24669</v>
      </c>
      <c r="AK359" s="211">
        <f>IF(ISNUMBER(AK360),AK360+N(AK367),"")</f>
        <v>24728</v>
      </c>
      <c r="AL359" s="211">
        <f>IF(ISNUMBER(AL360),AL360+N(AL367),"")</f>
        <v>24866</v>
      </c>
      <c r="AM359" s="211">
        <f>IF(ISNUMBER(AM360),AM360+N(AM367),"")</f>
        <v>24866</v>
      </c>
      <c r="AN359" s="211">
        <f>IF(ISNUMBER(AN360),AN360+N(AN367),"")</f>
        <v>24930</v>
      </c>
      <c r="AO359" s="211">
        <f>IF(ISNUMBER(AO360),AO360+N(AO367),"")</f>
        <v>24965</v>
      </c>
      <c r="AP359" s="211">
        <f>IF(ISNUMBER(AP360),AP360+N(AP367),"")</f>
        <v>25313</v>
      </c>
      <c r="AQ359" s="211">
        <f>IF(ISNUMBER(AQ360),AQ360+N(AQ367),"")</f>
        <v>24721</v>
      </c>
      <c r="AR359" s="211">
        <f>IF(ISNUMBER(AR360),AR360+N(AR367),"")</f>
        <v>24721</v>
      </c>
      <c r="AS359" s="211">
        <f>IF(ISNUMBER(AS360),AS360+N(AS367),"")</f>
        <v>24748</v>
      </c>
      <c r="AT359" s="211">
        <f>IF(ISNUMBER(AT360),AT360+N(AT367),"")</f>
        <v>34282</v>
      </c>
      <c r="AU359" s="211">
        <f>IF(ISNUMBER(AU360),AU360+N(AU367),"")</f>
        <v>33084</v>
      </c>
      <c r="AV359" s="211">
        <f>IF(ISNUMBER(AV360),AV360+N(AV367),"")</f>
        <v>32971</v>
      </c>
      <c r="AW359" s="211">
        <f>IF(ISNUMBER(AW360),AW360+N(AW367),"")</f>
        <v>32971</v>
      </c>
      <c r="AX359" s="211">
        <f>IF(ISNUMBER(AX360),AX360+N(AX367),"")</f>
        <v>33024</v>
      </c>
      <c r="AY359" s="211">
        <f>IF(ISNUMBER(AY360),AY360+N(AY367),"")</f>
        <v>51437</v>
      </c>
      <c r="AZ359" s="211">
        <f>IF(ISNUMBER(AZ360),AZ360+N(AZ367),"")</f>
        <v>51055</v>
      </c>
      <c r="BA359" s="211">
        <f>IF(ISNUMBER(BA360),BA360+N(BA367),"")</f>
        <v>50553</v>
      </c>
      <c r="BB359" s="211">
        <f>IF(ISNUMBER(BB360),BB360+N(BB367),"")</f>
        <v>50553</v>
      </c>
      <c r="BC359" s="211">
        <f>IF(ISNUMBER(BC360),BC360+N(BC367),"")</f>
        <v>50237</v>
      </c>
      <c r="BD359" s="211">
        <f>IF(ISNUMBER(BD360),BD360+N(BD367),"")</f>
        <v>63286</v>
      </c>
      <c r="BE359" s="211">
        <f>IF(ISNUMBER(BE360),BE360+N(BE367),"")</f>
        <v>64266</v>
      </c>
      <c r="BF359" s="211">
        <f>IF(ISNUMBER(BF360),BF360+N(BF367),"")</f>
        <v>71349</v>
      </c>
      <c r="BG359" s="211">
        <f>IF(ISNUMBER(BG360),BG360+N(BG367),"")</f>
        <v>71349</v>
      </c>
      <c r="BH359" s="211">
        <f>IF(ISNUMBER(BH360),BH360+N(BH367),"")</f>
        <v>70184</v>
      </c>
      <c r="BI359" s="211">
        <f>IF(ISNUMBER(BI360),BI360+N(BI367),"")</f>
        <v>68189</v>
      </c>
      <c r="BJ359" s="211">
        <f>IF(ISNUMBER(BJ360),BJ360+N(BJ367),"")</f>
        <v>67259</v>
      </c>
      <c r="BK359" s="211">
        <f>IF(ISNUMBER(BK360),BK360+N(BK367),"")</f>
        <v>66955</v>
      </c>
      <c r="BL359" s="211">
        <f>IF(ISNUMBER(BL360),BL360+N(BL367),"")</f>
        <v>66955</v>
      </c>
      <c r="BM359" s="211">
        <f>IF(ISNUMBER(BM360),BM360+N(BM367),"")</f>
        <v>66532</v>
      </c>
      <c r="BN359" s="211">
        <f>IF(ISNUMBER(BN360),BN360+N(BN367),"")</f>
        <v>62394</v>
      </c>
      <c r="BO359" s="211">
        <f>IF(ISNUMBER(BO360),BO360+N(BO367),"")</f>
        <v>60226</v>
      </c>
      <c r="BP359" s="211">
        <f>IF(ISNUMBER(BP360),BP360+N(BP367),"")</f>
        <v>57791</v>
      </c>
      <c r="BQ359" s="211">
        <f>IF(ISNUMBER(BQ360),BQ360+N(BQ367),"")</f>
        <v>57791</v>
      </c>
      <c r="BR359" s="211">
        <f>IF(ISNUMBER(BR360),BR360+N(BR367),"")</f>
        <v>58464</v>
      </c>
      <c r="BS359" s="211">
        <f>IF(ISNUMBER(BS360),BS360+N(BS367),"")</f>
        <v>55896</v>
      </c>
      <c r="BT359" s="211">
        <f>IF(ISNUMBER(BT360),BT360+N(BT367),"")</f>
        <v>54959</v>
      </c>
      <c r="BU359" s="211">
        <f>IF(ISNUMBER(BU360),BU360+N(BU367),"")</f>
        <v>68851</v>
      </c>
      <c r="BV359" s="211">
        <f>IF(ISNUMBER(BV360),BV360+N(BV367),"")</f>
        <v>68851</v>
      </c>
      <c r="BW359" s="211">
        <f>IF(ISNUMBER(BW360),BW360+N(BW367),"")</f>
        <v>122058</v>
      </c>
      <c r="BX359" s="211">
        <f>IF(ISNUMBER(BX360),BX360+N(BX367),"")</f>
        <v>132549</v>
      </c>
      <c r="BY359" s="153" t="n"/>
      <c r="BZ359" s="153" t="n"/>
      <c r="CA359" s="254">
        <f>CA360+CA367</f>
        <v>162961.5</v>
      </c>
      <c r="CB359" s="254">
        <f>CB360+CB367</f>
        <v>162961.5</v>
      </c>
      <c r="CC359" s="254">
        <f>CC360+CC367</f>
        <v>162961.5</v>
      </c>
      <c r="CD359" s="254">
        <f>CD360+CD367</f>
        <v>162961.5</v>
      </c>
      <c r="CE359" s="254">
        <f>CE360+CE367</f>
        <v>162961.5</v>
      </c>
      <c r="CF359" s="19" t="inlineStr">
        <is>
          <t>Q2-26 Form 10-Q Note 5 — Debt: total face value of long-term debt $132,995m at 30-Jun-2026 (unamortized discount $(771)m; current portion $3,330m; long-term debt $128,894m); no commercial paper or revolver borrowings at 30-Jun-2026.</t>
        </is>
      </c>
    </row>
    <row r="360" ht="15" customHeight="1" s="251">
      <c r="B360" s="69" t="inlineStr">
        <is>
          <t xml:space="preserve">  Senior notes &amp; other long-term debt, incl. current portion</t>
        </is>
      </c>
      <c r="C360" s="253" t="n">
        <v>1247</v>
      </c>
      <c r="D360" s="253" t="n">
        <v>1282</v>
      </c>
      <c r="E360" s="253" t="n">
        <v>468</v>
      </c>
      <c r="F360" s="253" t="n">
        <v>109</v>
      </c>
      <c r="G360" s="253" t="n">
        <v>0</v>
      </c>
      <c r="H360" s="253" t="n">
        <v>129</v>
      </c>
      <c r="I360" s="253" t="n">
        <v>3663</v>
      </c>
      <c r="J360" s="253" t="n">
        <v>3692</v>
      </c>
      <c r="K360" s="253" t="n">
        <v>3733</v>
      </c>
      <c r="L360" s="253" t="n">
        <v>3723</v>
      </c>
      <c r="M360" s="253" t="n">
        <v>3944</v>
      </c>
      <c r="N360" s="253" t="n">
        <v>3944</v>
      </c>
      <c r="O360" s="253" t="n">
        <v>3931</v>
      </c>
      <c r="P360" s="253" t="n">
        <v>3979</v>
      </c>
      <c r="Q360" s="253" t="n">
        <v>3963</v>
      </c>
      <c r="R360" s="253" t="n">
        <v>9785</v>
      </c>
      <c r="S360" s="253" t="n">
        <v>9785</v>
      </c>
      <c r="T360" s="253" t="n">
        <v>9634</v>
      </c>
      <c r="U360" s="253" t="n">
        <v>9509</v>
      </c>
      <c r="V360" s="253" t="n">
        <v>9360</v>
      </c>
      <c r="W360" s="253" t="n">
        <v>8473</v>
      </c>
      <c r="X360" s="253" t="n">
        <v>8473</v>
      </c>
      <c r="Y360" s="253" t="n">
        <v>8309</v>
      </c>
      <c r="Z360" s="253" t="n">
        <v>8253</v>
      </c>
      <c r="AA360" s="253" t="n">
        <v>8253</v>
      </c>
      <c r="AB360" s="253" t="n">
        <v>8750</v>
      </c>
      <c r="AC360" s="253" t="n">
        <v>8750</v>
      </c>
      <c r="AD360" s="253" t="n">
        <v>8740</v>
      </c>
      <c r="AE360" s="253" t="n">
        <v>8746</v>
      </c>
      <c r="AF360" s="253" t="n">
        <v>25747</v>
      </c>
      <c r="AG360" s="253" t="n">
        <v>24843</v>
      </c>
      <c r="AH360" s="253" t="n">
        <v>24843</v>
      </c>
      <c r="AI360" s="253" t="n">
        <v>24693</v>
      </c>
      <c r="AJ360" s="253" t="n">
        <v>24669</v>
      </c>
      <c r="AK360" s="253" t="n">
        <v>24728</v>
      </c>
      <c r="AL360" s="253" t="n">
        <v>24866</v>
      </c>
      <c r="AM360" s="253" t="n">
        <v>24866</v>
      </c>
      <c r="AN360" s="253" t="n">
        <v>24930</v>
      </c>
      <c r="AO360" s="253" t="n">
        <v>24965</v>
      </c>
      <c r="AP360" s="253" t="n">
        <v>25313</v>
      </c>
      <c r="AQ360" s="253" t="n">
        <v>24721</v>
      </c>
      <c r="AR360" s="253" t="n">
        <v>24721</v>
      </c>
      <c r="AS360" s="253" t="n">
        <v>24748</v>
      </c>
      <c r="AT360" s="253" t="n">
        <v>34282</v>
      </c>
      <c r="AU360" s="253" t="n">
        <v>33084</v>
      </c>
      <c r="AV360" s="253" t="n">
        <v>32971</v>
      </c>
      <c r="AW360" s="253" t="n">
        <v>32971</v>
      </c>
      <c r="AX360" s="253" t="n">
        <v>33024</v>
      </c>
      <c r="AY360" s="253" t="n">
        <v>51437</v>
      </c>
      <c r="AZ360" s="253" t="n">
        <v>51055</v>
      </c>
      <c r="BA360" s="253" t="n">
        <v>50235</v>
      </c>
      <c r="BB360" s="253" t="n">
        <v>50235</v>
      </c>
      <c r="BC360" s="253" t="n">
        <v>50237</v>
      </c>
      <c r="BD360" s="253" t="n">
        <v>63051</v>
      </c>
      <c r="BE360" s="253" t="n">
        <v>63166</v>
      </c>
      <c r="BF360" s="253" t="n">
        <v>70149</v>
      </c>
      <c r="BG360" s="253" t="n">
        <v>70149</v>
      </c>
      <c r="BH360" s="253" t="n">
        <v>69084</v>
      </c>
      <c r="BI360" s="253" t="n">
        <v>67089</v>
      </c>
      <c r="BJ360" s="253" t="n">
        <v>67093</v>
      </c>
      <c r="BK360" s="253" t="n">
        <v>66808</v>
      </c>
      <c r="BL360" s="253" t="n">
        <v>66808</v>
      </c>
      <c r="BM360" s="253" t="n">
        <v>66482</v>
      </c>
      <c r="BN360" s="253" t="n">
        <v>62318</v>
      </c>
      <c r="BO360" s="253" t="n">
        <v>60138</v>
      </c>
      <c r="BP360" s="253" t="n">
        <v>57640</v>
      </c>
      <c r="BQ360" s="253" t="n">
        <v>57640</v>
      </c>
      <c r="BR360" s="253" t="n">
        <v>58388</v>
      </c>
      <c r="BS360" s="253" t="n">
        <v>55723</v>
      </c>
      <c r="BT360" s="253" t="n">
        <v>54739</v>
      </c>
      <c r="BU360" s="253" t="n">
        <v>68396</v>
      </c>
      <c r="BV360" s="253" t="n">
        <v>68396</v>
      </c>
      <c r="BW360" s="253" t="n">
        <v>121906</v>
      </c>
      <c r="BX360" s="253" t="n">
        <v>132224</v>
      </c>
      <c r="BY360" s="153" t="n"/>
      <c r="BZ360" s="153" t="n"/>
      <c r="CA360" s="254">
        <f>BX360-CA362+CA361</f>
        <v>162961.5</v>
      </c>
      <c r="CB360" s="254">
        <f>CA360-CB362+CB361</f>
        <v>162961.5</v>
      </c>
      <c r="CC360" s="254">
        <f>CB360-CC362+CC361</f>
        <v>162961.5</v>
      </c>
      <c r="CD360" s="254">
        <f>CC360-CD362+CD361</f>
        <v>162961.5</v>
      </c>
      <c r="CE360" s="254">
        <f>CD360-CE362+CE361</f>
        <v>162961.5</v>
      </c>
      <c r="CF360" s="19" t="n"/>
    </row>
    <row r="361" ht="15" customHeight="1" s="251">
      <c r="B361" s="69" t="inlineStr">
        <is>
          <t xml:space="preserve">  New notes issued (input)</t>
        </is>
      </c>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c r="AA361" s="44" t="n"/>
      <c r="AB361" s="44" t="n"/>
      <c r="AC361" s="44" t="n"/>
      <c r="AD361" s="44" t="n"/>
      <c r="AE361" s="44" t="n"/>
      <c r="AF361" s="44" t="n"/>
      <c r="AG361" s="44" t="n"/>
      <c r="AH361" s="44" t="n"/>
      <c r="AI361" s="44" t="n"/>
      <c r="AJ361" s="44" t="n"/>
      <c r="AK361" s="44" t="n"/>
      <c r="AL361" s="44" t="n"/>
      <c r="AM361" s="44" t="n"/>
      <c r="AN361" s="44" t="n"/>
      <c r="AO361" s="44" t="n"/>
      <c r="AP361" s="44" t="n"/>
      <c r="AQ361" s="44" t="n"/>
      <c r="AR361" s="44" t="n"/>
      <c r="AS361" s="44" t="n"/>
      <c r="AT361" s="44" t="n"/>
      <c r="AU361" s="44" t="n"/>
      <c r="AV361" s="44" t="n"/>
      <c r="AW361" s="44" t="n"/>
      <c r="AX361" s="44" t="n"/>
      <c r="AY361" s="44" t="n"/>
      <c r="AZ361" s="44" t="n"/>
      <c r="BA361" s="44" t="n"/>
      <c r="BB361" s="44" t="n"/>
      <c r="BC361" s="44" t="n"/>
      <c r="BD361" s="44" t="n"/>
      <c r="BE361" s="44" t="n"/>
      <c r="BF361" s="44" t="n"/>
      <c r="BG361" s="44" t="n"/>
      <c r="BH361" s="44" t="n"/>
      <c r="BI361" s="44" t="n"/>
      <c r="BJ361" s="44" t="n"/>
      <c r="BK361" s="44" t="n"/>
      <c r="BL361" s="44" t="n"/>
      <c r="BM361" s="44" t="n"/>
      <c r="BN361" s="44" t="n"/>
      <c r="BO361" s="44" t="n"/>
      <c r="BP361" s="44" t="n"/>
      <c r="BQ361" s="44" t="n"/>
      <c r="BR361" s="44" t="n"/>
      <c r="BS361" s="44" t="n"/>
      <c r="BT361" s="44" t="n"/>
      <c r="BU361" s="44" t="n"/>
      <c r="BV361" s="44" t="n"/>
      <c r="BW361" s="44" t="n"/>
      <c r="BX361" s="44" t="n"/>
      <c r="BY361" s="153" t="n"/>
      <c r="BZ361" s="153" t="n"/>
      <c r="CA361" s="268" t="n">
        <v>30737.5</v>
      </c>
      <c r="CB361" s="268" t="n">
        <v>8832</v>
      </c>
      <c r="CC361" s="268" t="n">
        <v>12176</v>
      </c>
      <c r="CD361" s="268" t="n">
        <v>13818</v>
      </c>
      <c r="CE361" s="268" t="n">
        <v>6783</v>
      </c>
      <c r="CF361" s="19" t="inlineStr">
        <is>
          <t>8-K 9-Jul-2026 ($25.0bn: 2029 FRN $0.75bn, 4.60% 2029 $3.5bn, 4.80% 2031 $4.25bn, 5.10% 2033 $3.0bn, 5.30% 2036 $4.5bn, 6.00% 2046 $2.75bn, 6.10% 2056 $4.0bn, 6.25% 2066 $2.25bn); 8-K 14-Sep-2026 (£4.25bn: 5.20% 2029 £1.25bn, 5.55% 2032 £1.0bn, 6.25% 2038 £1.0bn, 6.65% 2045 £1.0bn). GBP at an assumed 1.35 USD/GBP. 2027E+: maturities refinanced with new notes (assumption).</t>
        </is>
      </c>
    </row>
    <row r="362" ht="15" customHeight="1" s="251">
      <c r="B362" s="69" t="inlineStr">
        <is>
          <t xml:space="preserve">  Notes repaid at maturity (input)</t>
        </is>
      </c>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c r="AA362" s="44" t="n"/>
      <c r="AB362" s="44" t="n"/>
      <c r="AC362" s="44" t="n"/>
      <c r="AD362" s="44" t="n"/>
      <c r="AE362" s="44" t="n"/>
      <c r="AF362" s="44" t="n"/>
      <c r="AG362" s="44" t="n"/>
      <c r="AH362" s="44" t="n"/>
      <c r="AI362" s="44" t="n"/>
      <c r="AJ362" s="44" t="n"/>
      <c r="AK362" s="44" t="n"/>
      <c r="AL362" s="44" t="n"/>
      <c r="AM362" s="44" t="n"/>
      <c r="AN362" s="44" t="n"/>
      <c r="AO362" s="44" t="n"/>
      <c r="AP362" s="44" t="n"/>
      <c r="AQ362" s="44" t="n"/>
      <c r="AR362" s="44" t="n"/>
      <c r="AS362" s="44" t="n"/>
      <c r="AT362" s="44" t="n"/>
      <c r="AU362" s="44" t="n"/>
      <c r="AV362" s="44" t="n"/>
      <c r="AW362" s="44" t="n"/>
      <c r="AX362" s="44" t="n"/>
      <c r="AY362" s="44" t="n"/>
      <c r="AZ362" s="44" t="n"/>
      <c r="BA362" s="44" t="n"/>
      <c r="BB362" s="44" t="n"/>
      <c r="BC362" s="44" t="n"/>
      <c r="BD362" s="44" t="n"/>
      <c r="BE362" s="44" t="n"/>
      <c r="BF362" s="44" t="n"/>
      <c r="BG362" s="44" t="n"/>
      <c r="BH362" s="44" t="n"/>
      <c r="BI362" s="44" t="n"/>
      <c r="BJ362" s="44" t="n"/>
      <c r="BK362" s="44" t="n"/>
      <c r="BL362" s="44" t="n"/>
      <c r="BM362" s="44" t="n"/>
      <c r="BN362" s="44" t="n"/>
      <c r="BO362" s="44" t="n"/>
      <c r="BP362" s="44" t="n"/>
      <c r="BQ362" s="44" t="n"/>
      <c r="BR362" s="44" t="n"/>
      <c r="BS362" s="44" t="n"/>
      <c r="BT362" s="44" t="n"/>
      <c r="BU362" s="44" t="n"/>
      <c r="BV362" s="44" t="n"/>
      <c r="BW362" s="44" t="n"/>
      <c r="BX362" s="44" t="n"/>
      <c r="BY362" s="153" t="n"/>
      <c r="BZ362" s="153" t="n"/>
      <c r="CA362" s="268" t="n">
        <v>0</v>
      </c>
      <c r="CB362" s="268" t="n">
        <v>8832</v>
      </c>
      <c r="CC362" s="268" t="n">
        <v>12176</v>
      </c>
      <c r="CD362" s="268" t="n">
        <v>13818</v>
      </c>
      <c r="CE362" s="268" t="n">
        <v>6783</v>
      </c>
      <c r="CF362" s="19" t="inlineStr">
        <is>
          <t>Maturities: existing notes per the FY2025 10-K schedule (XBRL; 2026 $2,752m — repaid in 1H-26; 2027 $8,832m; 2028 $4,752m; 2029 $3,000m; 2030 $4,500m) + 2026 issues due 2028–30 ($7,424m / $10,818m / $2,283m; 8-Ks 13-Mar-2026 (USD: 2028 FRN $1.75bn + 3.85% $2.25bn; 2029 FRN $1.0bn + 4.00% $3.0bn), 16-Mar-2026 (EUR: 2028 FRN €1.75bn + 2.80% €1.25bn; 2030 3.10% €2.0bn — at the 30-Jun-2026 carrying rate $16,550m / €14.5bn = 1.1414), 12-Jun-2026 (CAD 2029 3.40% C$1.25bn at $9,853m / C$14.0bn), 9-Jul-2026 (USD 2029 FRN $0.75bn + 4.60% $3.5bn), 14-Sep-2026 (GBP 2029 5.20% £1.25bn at an assumed 1.35 USD/GBP). The CHF notes (May-2026, CHF 2.8bn, 2029–2051) have no tranche detail on EDGAR: assumed to mature after 2030.). 2031 maturities $10.0bn assumed. 2027E+ maturities refinanced with new notes (input row above).</t>
        </is>
      </c>
    </row>
    <row r="363" ht="15" customHeight="1" s="251">
      <c r="B363" s="69" t="inlineStr">
        <is>
          <t xml:space="preserve">  Maturities in the following year (current portion)</t>
        </is>
      </c>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c r="AA363" s="44" t="n"/>
      <c r="AB363" s="44" t="n"/>
      <c r="AC363" s="44" t="n"/>
      <c r="AD363" s="44" t="n"/>
      <c r="AE363" s="44" t="n"/>
      <c r="AF363" s="44" t="n"/>
      <c r="AG363" s="44" t="n"/>
      <c r="AH363" s="44" t="n"/>
      <c r="AI363" s="44" t="n"/>
      <c r="AJ363" s="44" t="n"/>
      <c r="AK363" s="44" t="n"/>
      <c r="AL363" s="44" t="n"/>
      <c r="AM363" s="44" t="n"/>
      <c r="AN363" s="44" t="n"/>
      <c r="AO363" s="44" t="n"/>
      <c r="AP363" s="44" t="n"/>
      <c r="AQ363" s="44" t="n"/>
      <c r="AR363" s="44" t="n"/>
      <c r="AS363" s="44" t="n"/>
      <c r="AT363" s="44" t="n"/>
      <c r="AU363" s="44" t="n"/>
      <c r="AV363" s="44" t="n"/>
      <c r="AW363" s="44" t="n"/>
      <c r="AX363" s="44" t="n"/>
      <c r="AY363" s="44" t="n"/>
      <c r="AZ363" s="44" t="n"/>
      <c r="BA363" s="44" t="n"/>
      <c r="BB363" s="44" t="n"/>
      <c r="BC363" s="44" t="n"/>
      <c r="BD363" s="44" t="n"/>
      <c r="BE363" s="44" t="n"/>
      <c r="BF363" s="44" t="n"/>
      <c r="BG363" s="44" t="n"/>
      <c r="BH363" s="44" t="n"/>
      <c r="BI363" s="44" t="n"/>
      <c r="BJ363" s="44" t="n"/>
      <c r="BK363" s="44" t="n"/>
      <c r="BL363" s="44" t="n"/>
      <c r="BM363" s="44" t="n"/>
      <c r="BN363" s="44" t="n"/>
      <c r="BO363" s="44" t="n"/>
      <c r="BP363" s="44" t="n"/>
      <c r="BQ363" s="44" t="n"/>
      <c r="BR363" s="44" t="n"/>
      <c r="BS363" s="44" t="n"/>
      <c r="BT363" s="44" t="n"/>
      <c r="BU363" s="44" t="n"/>
      <c r="BV363" s="44" t="n"/>
      <c r="BW363" s="44" t="n"/>
      <c r="BX363" s="44" t="n"/>
      <c r="BY363" s="153" t="n"/>
      <c r="BZ363" s="153" t="n"/>
      <c r="CA363" s="268" t="n">
        <v>8832</v>
      </c>
      <c r="CB363" s="268" t="n">
        <v>12176</v>
      </c>
      <c r="CC363" s="268" t="n">
        <v>13818</v>
      </c>
      <c r="CD363" s="268" t="n">
        <v>6783</v>
      </c>
      <c r="CE363" s="268" t="n">
        <v>10000</v>
      </c>
      <c r="CF363" s="19" t="n"/>
    </row>
    <row r="364" ht="15" customHeight="1" s="251">
      <c r="B364" s="69" t="inlineStr">
        <is>
          <t xml:space="preserve">  Property and equipment acquired under finance leases (non-cash; supplemental cash-flow information)</t>
        </is>
      </c>
      <c r="C364" s="44" t="n"/>
      <c r="D364" s="44" t="n"/>
      <c r="E364" s="44" t="n"/>
      <c r="F364" s="44" t="n"/>
      <c r="G364" s="44" t="n"/>
      <c r="H364" s="44" t="n"/>
      <c r="I364" s="253" t="n">
        <v>802</v>
      </c>
      <c r="J364" s="253" t="n">
        <v>340</v>
      </c>
      <c r="K364" s="253" t="n">
        <v>447</v>
      </c>
      <c r="L364" s="253" t="n">
        <v>526</v>
      </c>
      <c r="M364" s="253" t="n">
        <v>554</v>
      </c>
      <c r="N364" s="253" t="n">
        <v>1867</v>
      </c>
      <c r="O364" s="253" t="n">
        <v>716</v>
      </c>
      <c r="P364" s="253" t="n">
        <v>920</v>
      </c>
      <c r="Q364" s="253" t="n">
        <v>1158</v>
      </c>
      <c r="R364" s="253" t="n">
        <v>1214</v>
      </c>
      <c r="S364" s="253" t="n">
        <v>4008</v>
      </c>
      <c r="T364" s="253" t="n">
        <v>954</v>
      </c>
      <c r="U364" s="253" t="n">
        <v>1384</v>
      </c>
      <c r="V364" s="253" t="n">
        <v>1047</v>
      </c>
      <c r="W364" s="253" t="n">
        <v>1332</v>
      </c>
      <c r="X364" s="253" t="n">
        <v>4717</v>
      </c>
      <c r="Y364" s="253" t="n">
        <v>875</v>
      </c>
      <c r="Z364" s="253" t="n">
        <v>1422</v>
      </c>
      <c r="AA364" s="253" t="n">
        <v>1369</v>
      </c>
      <c r="AB364" s="253" t="n">
        <v>2038</v>
      </c>
      <c r="AC364" s="253" t="n">
        <v>5704</v>
      </c>
      <c r="AD364" s="253" t="n">
        <v>1888</v>
      </c>
      <c r="AE364" s="253" t="n">
        <v>2724</v>
      </c>
      <c r="AF364" s="253" t="n">
        <v>2256</v>
      </c>
      <c r="AG364" s="253" t="n">
        <v>2770</v>
      </c>
      <c r="AH364" s="253" t="n">
        <v>9637</v>
      </c>
      <c r="AI364" s="253" t="n">
        <v>2270</v>
      </c>
      <c r="AJ364" s="253" t="n">
        <v>2335</v>
      </c>
      <c r="AK364" s="253" t="n">
        <v>2329</v>
      </c>
      <c r="AL364" s="253" t="n">
        <v>3680</v>
      </c>
      <c r="AM364" s="253" t="n">
        <v>10615</v>
      </c>
      <c r="AN364" s="253" t="n">
        <v>2628</v>
      </c>
      <c r="AO364" s="253" t="n">
        <v>3307</v>
      </c>
      <c r="AP364" s="253" t="n">
        <v>3606</v>
      </c>
      <c r="AQ364" s="253" t="n">
        <v>4182</v>
      </c>
      <c r="AR364" s="253" t="n">
        <v>13723</v>
      </c>
      <c r="AS364" s="253" t="n">
        <v>2166</v>
      </c>
      <c r="AT364" s="253" t="n">
        <v>3155</v>
      </c>
      <c r="AU364" s="253" t="n">
        <v>3571</v>
      </c>
      <c r="AV364" s="253" t="n">
        <v>2695</v>
      </c>
      <c r="AW364" s="253" t="n">
        <v>11588</v>
      </c>
      <c r="AX364" s="253" t="n">
        <v>2067</v>
      </c>
      <c r="AY364" s="253" t="n">
        <v>1642</v>
      </c>
      <c r="AZ364" s="253" t="n">
        <v>1744</v>
      </c>
      <c r="BA364" s="253" t="n">
        <v>1608</v>
      </c>
      <c r="BB364" s="253" t="n">
        <v>7061</v>
      </c>
      <c r="BC364" s="253" t="n">
        <v>166</v>
      </c>
      <c r="BD364" s="253" t="n">
        <v>61</v>
      </c>
      <c r="BE364" s="253" t="n">
        <v>131</v>
      </c>
      <c r="BF364" s="253" t="n">
        <v>317</v>
      </c>
      <c r="BG364" s="253" t="n">
        <v>675</v>
      </c>
      <c r="BH364" s="253" t="n">
        <v>8</v>
      </c>
      <c r="BI364" s="253" t="n">
        <v>240</v>
      </c>
      <c r="BJ364" s="253" t="n">
        <v>183</v>
      </c>
      <c r="BK364" s="253" t="n">
        <v>211</v>
      </c>
      <c r="BL364" s="253" t="n">
        <v>642</v>
      </c>
      <c r="BM364" s="253" t="n">
        <v>42</v>
      </c>
      <c r="BN364" s="253" t="n">
        <v>181</v>
      </c>
      <c r="BO364" s="253" t="n">
        <v>186</v>
      </c>
      <c r="BP364" s="253" t="n">
        <v>445</v>
      </c>
      <c r="BQ364" s="253" t="n">
        <v>854</v>
      </c>
      <c r="BR364" s="253" t="n">
        <v>54</v>
      </c>
      <c r="BS364" s="253" t="n">
        <v>937</v>
      </c>
      <c r="BT364" s="253" t="n">
        <v>977</v>
      </c>
      <c r="BU364" s="253" t="n">
        <v>943</v>
      </c>
      <c r="BV364" s="253" t="n">
        <v>2911</v>
      </c>
      <c r="BW364" s="253" t="n">
        <v>1565</v>
      </c>
      <c r="BX364" s="253" t="n">
        <v>563</v>
      </c>
      <c r="BY364" s="153" t="n"/>
      <c r="BZ364" s="153" t="n"/>
      <c r="CA364" s="254">
        <f>SUM(BW364:BX364)+$CP$27</f>
        <v>3628</v>
      </c>
      <c r="CB364" s="268" t="n">
        <v>3000</v>
      </c>
      <c r="CC364" s="268" t="n">
        <v>3000</v>
      </c>
      <c r="CD364" s="268" t="n">
        <v>3000</v>
      </c>
      <c r="CE364" s="268" t="n">
        <v>3000</v>
      </c>
      <c r="CF364" s="19" t="n"/>
    </row>
    <row r="365" ht="15" customHeight="1" s="251">
      <c r="B365" s="69" t="inlineStr">
        <is>
          <t xml:space="preserve">  Cash before commercial-paper / revolver draws or repayments (opening cash + CFO + CFI + repurchases, lease principal, other financing + FX − notes repaid + issued)</t>
        </is>
      </c>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c r="AA365" s="44" t="n"/>
      <c r="AB365" s="44" t="n"/>
      <c r="AC365" s="44" t="n"/>
      <c r="AD365" s="44" t="n"/>
      <c r="AE365" s="44" t="n"/>
      <c r="AF365" s="44" t="n"/>
      <c r="AG365" s="44" t="n"/>
      <c r="AH365" s="44" t="n"/>
      <c r="AI365" s="44" t="n"/>
      <c r="AJ365" s="44" t="n"/>
      <c r="AK365" s="44" t="n"/>
      <c r="AL365" s="44" t="n"/>
      <c r="AM365" s="44" t="n"/>
      <c r="AN365" s="44" t="n"/>
      <c r="AO365" s="44" t="n"/>
      <c r="AP365" s="44" t="n"/>
      <c r="AQ365" s="44" t="n"/>
      <c r="AR365" s="44" t="n"/>
      <c r="AS365" s="44" t="n"/>
      <c r="AT365" s="44" t="n"/>
      <c r="AU365" s="44" t="n"/>
      <c r="AV365" s="44" t="n"/>
      <c r="AW365" s="44" t="n"/>
      <c r="AX365" s="44" t="n"/>
      <c r="AY365" s="44" t="n"/>
      <c r="AZ365" s="44" t="n"/>
      <c r="BA365" s="44" t="n"/>
      <c r="BB365" s="44" t="n"/>
      <c r="BC365" s="44" t="n"/>
      <c r="BD365" s="44" t="n"/>
      <c r="BE365" s="44" t="n"/>
      <c r="BF365" s="44" t="n"/>
      <c r="BG365" s="44" t="n"/>
      <c r="BH365" s="44" t="n"/>
      <c r="BI365" s="44" t="n"/>
      <c r="BJ365" s="44" t="n"/>
      <c r="BK365" s="44" t="n"/>
      <c r="BL365" s="44" t="n"/>
      <c r="BM365" s="44" t="n"/>
      <c r="BN365" s="44" t="n"/>
      <c r="BO365" s="44" t="n"/>
      <c r="BP365" s="44" t="n"/>
      <c r="BQ365" s="44" t="n"/>
      <c r="BR365" s="44" t="n"/>
      <c r="BS365" s="44" t="n"/>
      <c r="BT365" s="44" t="n"/>
      <c r="BU365" s="44" t="n"/>
      <c r="BV365" s="44" t="n"/>
      <c r="BW365" s="44" t="n"/>
      <c r="BX365" s="44" t="n"/>
      <c r="BY365" s="153" t="n"/>
      <c r="BZ365" s="153" t="n"/>
      <c r="CA365" s="254">
        <f>BX311+(CA257-SUM(BW257:BX257))+(CA263-SUM(BW263:BX263))+(CA264-SUM(BW264:BX264))+(CA266-SUM(BW266:BX266))+(CA267-SUM(BW267:BX267))+(CA269-SUM(BW269:BX269))-CA362+CA361</f>
        <v>106098.740698678</v>
      </c>
      <c r="CB365" s="254">
        <f>CA311+CB257+CB263+CB264+CB266+CB267+CB269-CB362+CB361</f>
        <v>118186.5</v>
      </c>
      <c r="CC365" s="254">
        <f>CB311+CC257+CC263+CC264+CC266+CC267+CC269-CC362+CC361</f>
        <v>118186.5</v>
      </c>
      <c r="CD365" s="254">
        <f>CC311+CD257+CD263+CD264+CD266+CD267+CD269-CD362+CD361</f>
        <v>118186.5</v>
      </c>
      <c r="CE365" s="254">
        <f>CD311+CE257+CE263+CE264+CE266+CE267+CE269-CE362+CE361</f>
        <v>118186.5</v>
      </c>
      <c r="CF365" s="19" t="n"/>
    </row>
    <row r="366" ht="15" customHeight="1" s="251">
      <c r="B366" s="69" t="inlineStr">
        <is>
          <t xml:space="preserve">  Minimum cash balance (cash and cash equivalents)</t>
        </is>
      </c>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c r="AA366" s="44" t="n"/>
      <c r="AB366" s="44" t="n"/>
      <c r="AC366" s="44" t="n"/>
      <c r="AD366" s="44" t="n"/>
      <c r="AE366" s="44" t="n"/>
      <c r="AF366" s="44" t="n"/>
      <c r="AG366" s="44" t="n"/>
      <c r="AH366" s="44" t="n"/>
      <c r="AI366" s="44" t="n"/>
      <c r="AJ366" s="44" t="n"/>
      <c r="AK366" s="44" t="n"/>
      <c r="AL366" s="44" t="n"/>
      <c r="AM366" s="44" t="n"/>
      <c r="AN366" s="44" t="n"/>
      <c r="AO366" s="44" t="n"/>
      <c r="AP366" s="44" t="n"/>
      <c r="AQ366" s="44" t="n"/>
      <c r="AR366" s="44" t="n"/>
      <c r="AS366" s="44" t="n"/>
      <c r="AT366" s="44" t="n"/>
      <c r="AU366" s="44" t="n"/>
      <c r="AV366" s="44" t="n"/>
      <c r="AW366" s="44" t="n"/>
      <c r="AX366" s="44" t="n"/>
      <c r="AY366" s="44" t="n"/>
      <c r="AZ366" s="44" t="n"/>
      <c r="BA366" s="44" t="n"/>
      <c r="BB366" s="44" t="n"/>
      <c r="BC366" s="44" t="n"/>
      <c r="BD366" s="44" t="n"/>
      <c r="BE366" s="44" t="n"/>
      <c r="BF366" s="44" t="n"/>
      <c r="BG366" s="44" t="n"/>
      <c r="BH366" s="44" t="n"/>
      <c r="BI366" s="44" t="n"/>
      <c r="BJ366" s="44" t="n"/>
      <c r="BK366" s="44" t="n"/>
      <c r="BL366" s="44" t="n"/>
      <c r="BM366" s="44" t="n"/>
      <c r="BN366" s="44" t="n"/>
      <c r="BO366" s="44" t="n"/>
      <c r="BP366" s="44" t="n"/>
      <c r="BQ366" s="44" t="n"/>
      <c r="BR366" s="44" t="n"/>
      <c r="BS366" s="44" t="n"/>
      <c r="BT366" s="44" t="n"/>
      <c r="BU366" s="44" t="n"/>
      <c r="BV366" s="44" t="n"/>
      <c r="BW366" s="44" t="n"/>
      <c r="BX366" s="44" t="n"/>
      <c r="BY366" s="153" t="n"/>
      <c r="BZ366" s="153" t="n"/>
      <c r="CA366" s="268" t="n">
        <v>50000</v>
      </c>
      <c r="CB366" s="268" t="n">
        <v>50000</v>
      </c>
      <c r="CC366" s="268" t="n">
        <v>50000</v>
      </c>
      <c r="CD366" s="268" t="n">
        <v>50000</v>
      </c>
      <c r="CE366" s="268" t="n">
        <v>50000</v>
      </c>
      <c r="CF366" s="19" t="n"/>
    </row>
    <row r="367" ht="15" customHeight="1" s="251">
      <c r="B367" s="69" t="inlineStr">
        <is>
          <t xml:space="preserve">  Commercial paper / revolver / short-term borrowings (year end)</t>
        </is>
      </c>
      <c r="C367" s="253" t="n">
        <v>0</v>
      </c>
      <c r="D367" s="253" t="n">
        <v>0</v>
      </c>
      <c r="E367" s="253" t="n">
        <v>0</v>
      </c>
      <c r="F367" s="253" t="n">
        <v>0</v>
      </c>
      <c r="G367" s="253" t="n">
        <v>0</v>
      </c>
      <c r="H367" s="253" t="n">
        <v>0</v>
      </c>
      <c r="I367" s="253" t="n">
        <v>0</v>
      </c>
      <c r="J367" s="253" t="n">
        <v>0</v>
      </c>
      <c r="K367" s="253" t="n">
        <v>0</v>
      </c>
      <c r="L367" s="253" t="n">
        <v>0</v>
      </c>
      <c r="M367" s="253" t="n">
        <v>0</v>
      </c>
      <c r="N367" s="253" t="n">
        <v>0</v>
      </c>
      <c r="O367" s="253" t="n">
        <v>0</v>
      </c>
      <c r="P367" s="253" t="n">
        <v>0</v>
      </c>
      <c r="Q367" s="253" t="n">
        <v>0</v>
      </c>
      <c r="R367" s="253" t="n">
        <v>0</v>
      </c>
      <c r="S367" s="253" t="n">
        <v>0</v>
      </c>
      <c r="T367" s="253" t="n">
        <v>0</v>
      </c>
      <c r="U367" s="253" t="n">
        <v>0</v>
      </c>
      <c r="V367" s="253" t="n">
        <v>0</v>
      </c>
      <c r="W367" s="253" t="n">
        <v>0</v>
      </c>
      <c r="X367" s="253" t="n">
        <v>0</v>
      </c>
      <c r="Y367" s="253" t="n">
        <v>0</v>
      </c>
      <c r="Z367" s="253" t="n">
        <v>0</v>
      </c>
      <c r="AA367" s="253" t="n">
        <v>0</v>
      </c>
      <c r="AB367" s="253" t="n">
        <v>0</v>
      </c>
      <c r="AC367" s="253" t="n">
        <v>0</v>
      </c>
      <c r="AD367" s="253" t="n">
        <v>0</v>
      </c>
      <c r="AE367" s="253" t="n">
        <v>0</v>
      </c>
      <c r="AF367" s="253" t="n">
        <v>0</v>
      </c>
      <c r="AG367" s="253" t="n">
        <v>0</v>
      </c>
      <c r="AH367" s="253" t="n">
        <v>0</v>
      </c>
      <c r="AI367" s="253" t="n">
        <v>0</v>
      </c>
      <c r="AJ367" s="253" t="n">
        <v>0</v>
      </c>
      <c r="AK367" s="253" t="n">
        <v>0</v>
      </c>
      <c r="AL367" s="253" t="n">
        <v>0</v>
      </c>
      <c r="AM367" s="253" t="n">
        <v>0</v>
      </c>
      <c r="AN367" s="253" t="n">
        <v>0</v>
      </c>
      <c r="AO367" s="253" t="n">
        <v>0</v>
      </c>
      <c r="AP367" s="253" t="n">
        <v>0</v>
      </c>
      <c r="AQ367" s="253" t="n">
        <v>0</v>
      </c>
      <c r="AR367" s="253" t="n">
        <v>0</v>
      </c>
      <c r="AS367" s="253" t="n">
        <v>0</v>
      </c>
      <c r="AT367" s="253" t="n">
        <v>0</v>
      </c>
      <c r="AU367" s="253" t="n">
        <v>0</v>
      </c>
      <c r="AV367" s="253" t="n">
        <v>0</v>
      </c>
      <c r="AW367" s="253" t="n">
        <v>0</v>
      </c>
      <c r="AX367" s="253" t="n">
        <v>0</v>
      </c>
      <c r="AY367" s="253" t="n">
        <v>0</v>
      </c>
      <c r="AZ367" s="253" t="n">
        <v>0</v>
      </c>
      <c r="BA367" s="253" t="n">
        <v>318</v>
      </c>
      <c r="BB367" s="253" t="n">
        <v>318</v>
      </c>
      <c r="BC367" s="253" t="n">
        <v>0</v>
      </c>
      <c r="BD367" s="253" t="n">
        <v>235</v>
      </c>
      <c r="BE367" s="253" t="n">
        <v>1100</v>
      </c>
      <c r="BF367" s="253" t="n">
        <v>1200</v>
      </c>
      <c r="BG367" s="253" t="n">
        <v>1200</v>
      </c>
      <c r="BH367" s="253" t="n">
        <v>1100</v>
      </c>
      <c r="BI367" s="253" t="n">
        <v>1100</v>
      </c>
      <c r="BJ367" s="253" t="n">
        <v>166</v>
      </c>
      <c r="BK367" s="253" t="n">
        <v>147</v>
      </c>
      <c r="BL367" s="253" t="n">
        <v>147</v>
      </c>
      <c r="BM367" s="253" t="n">
        <v>50</v>
      </c>
      <c r="BN367" s="253" t="n">
        <v>76</v>
      </c>
      <c r="BO367" s="253" t="n">
        <v>88</v>
      </c>
      <c r="BP367" s="253" t="n">
        <v>151</v>
      </c>
      <c r="BQ367" s="253" t="n">
        <v>151</v>
      </c>
      <c r="BR367" s="253" t="n">
        <v>76</v>
      </c>
      <c r="BS367" s="253" t="n">
        <v>173</v>
      </c>
      <c r="BT367" s="253" t="n">
        <v>220</v>
      </c>
      <c r="BU367" s="253" t="n">
        <v>455</v>
      </c>
      <c r="BV367" s="253" t="n">
        <v>455</v>
      </c>
      <c r="BW367" s="253" t="n">
        <v>152</v>
      </c>
      <c r="BX367" s="253" t="n">
        <v>325</v>
      </c>
      <c r="BY367" s="153" t="n"/>
      <c r="BZ367" s="153" t="n"/>
      <c r="CA367" s="254">
        <f>MAX(0,BX367+CA366-CA365)</f>
        <v>0</v>
      </c>
      <c r="CB367" s="254">
        <f>MAX(0,CA367+CB366-CB365)</f>
        <v>0</v>
      </c>
      <c r="CC367" s="254">
        <f>MAX(0,CB367+CC366-CC365)</f>
        <v>0</v>
      </c>
      <c r="CD367" s="254">
        <f>MAX(0,CC367+CD366-CD365)</f>
        <v>0</v>
      </c>
      <c r="CE367" s="254">
        <f>MAX(0,CD367+CE366-CE365)</f>
        <v>0</v>
      </c>
      <c r="CF367" s="19" t="inlineStr">
        <is>
          <t>Q2-26 10-Q Note 5: $30.0bn USD / EUR commercial paper programs (none outstanding); $15.0bn revolving credit facility (to Nov-2028) and $5.0bn 364-day facility (undrawn). Shortfalls below the minimum cash balance are drawn; surplus repays. 8-K 10-Jun-2026: $17.5bn senior unsecured delayed-draw term loan facility; commitments expire 30-Sep-2026 unless borrowed; loans mature three years after borrowing. Drawdown not disclosed on EDGAR by the build date — not modelled (flag).</t>
        </is>
      </c>
    </row>
    <row r="368" ht="15" customHeight="1" s="251">
      <c r="B368" s="156" t="inlineStr">
        <is>
          <t xml:space="preserve">  Memo: headroom vs $30bn CP programs + $20bn revolving facilities (negative = would need other financing)</t>
        </is>
      </c>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c r="AA368" s="44" t="n"/>
      <c r="AB368" s="44" t="n"/>
      <c r="AC368" s="44" t="n"/>
      <c r="AD368" s="44" t="n"/>
      <c r="AE368" s="44" t="n"/>
      <c r="AF368" s="44" t="n"/>
      <c r="AG368" s="44" t="n"/>
      <c r="AH368" s="44" t="n"/>
      <c r="AI368" s="44" t="n"/>
      <c r="AJ368" s="44" t="n"/>
      <c r="AK368" s="44" t="n"/>
      <c r="AL368" s="44" t="n"/>
      <c r="AM368" s="44" t="n"/>
      <c r="AN368" s="44" t="n"/>
      <c r="AO368" s="44" t="n"/>
      <c r="AP368" s="44" t="n"/>
      <c r="AQ368" s="44" t="n"/>
      <c r="AR368" s="44" t="n"/>
      <c r="AS368" s="44" t="n"/>
      <c r="AT368" s="44" t="n"/>
      <c r="AU368" s="44" t="n"/>
      <c r="AV368" s="44" t="n"/>
      <c r="AW368" s="44" t="n"/>
      <c r="AX368" s="44" t="n"/>
      <c r="AY368" s="44" t="n"/>
      <c r="AZ368" s="44" t="n"/>
      <c r="BA368" s="44" t="n"/>
      <c r="BB368" s="44" t="n"/>
      <c r="BC368" s="44" t="n"/>
      <c r="BD368" s="44" t="n"/>
      <c r="BE368" s="44" t="n"/>
      <c r="BF368" s="44" t="n"/>
      <c r="BG368" s="44" t="n"/>
      <c r="BH368" s="44" t="n"/>
      <c r="BI368" s="44" t="n"/>
      <c r="BJ368" s="44" t="n"/>
      <c r="BK368" s="44" t="n"/>
      <c r="BL368" s="44" t="n"/>
      <c r="BM368" s="44" t="n"/>
      <c r="BN368" s="44" t="n"/>
      <c r="BO368" s="44" t="n"/>
      <c r="BP368" s="44" t="n"/>
      <c r="BQ368" s="44" t="n"/>
      <c r="BR368" s="44" t="n"/>
      <c r="BS368" s="44" t="n"/>
      <c r="BT368" s="44" t="n"/>
      <c r="BU368" s="44" t="n"/>
      <c r="BV368" s="44" t="n"/>
      <c r="BW368" s="44" t="n"/>
      <c r="BX368" s="44" t="n"/>
      <c r="BY368" s="35" t="n"/>
      <c r="BZ368" s="35" t="n"/>
      <c r="CA368" s="254">
        <f>50000-CA367</f>
        <v>50000</v>
      </c>
      <c r="CB368" s="254">
        <f>50000-CB367</f>
        <v>50000</v>
      </c>
      <c r="CC368" s="254">
        <f>50000-CC367</f>
        <v>50000</v>
      </c>
      <c r="CD368" s="254">
        <f>50000-CD367</f>
        <v>50000</v>
      </c>
      <c r="CE368" s="254">
        <f>50000-CE367</f>
        <v>50000</v>
      </c>
      <c r="CF368" s="153" t="n"/>
    </row>
    <row r="369" ht="15" customHeight="1" s="251">
      <c r="B369" s="69" t="inlineStr">
        <is>
          <t xml:space="preserve">  Net issuance / (repayment)</t>
        </is>
      </c>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c r="AA369" s="44" t="n"/>
      <c r="AB369" s="44" t="n"/>
      <c r="AC369" s="44" t="n"/>
      <c r="AD369" s="44" t="n"/>
      <c r="AE369" s="44" t="n"/>
      <c r="AF369" s="44" t="n"/>
      <c r="AG369" s="44" t="n"/>
      <c r="AH369" s="44" t="n"/>
      <c r="AI369" s="44" t="n"/>
      <c r="AJ369" s="44" t="n"/>
      <c r="AK369" s="44" t="n"/>
      <c r="AL369" s="44" t="n"/>
      <c r="AM369" s="44" t="n"/>
      <c r="AN369" s="44" t="n"/>
      <c r="AO369" s="44" t="n"/>
      <c r="AP369" s="44" t="n"/>
      <c r="AQ369" s="44" t="n"/>
      <c r="AR369" s="44" t="n"/>
      <c r="AS369" s="44" t="n"/>
      <c r="AT369" s="44" t="n"/>
      <c r="AU369" s="44" t="n"/>
      <c r="AV369" s="44" t="n"/>
      <c r="AW369" s="44" t="n"/>
      <c r="AX369" s="44" t="n"/>
      <c r="AY369" s="44" t="n"/>
      <c r="AZ369" s="44" t="n"/>
      <c r="BA369" s="44" t="n"/>
      <c r="BB369" s="44" t="n"/>
      <c r="BC369" s="44" t="n"/>
      <c r="BD369" s="44" t="n"/>
      <c r="BE369" s="44" t="n"/>
      <c r="BF369" s="44" t="n"/>
      <c r="BG369" s="44" t="n"/>
      <c r="BH369" s="44" t="n"/>
      <c r="BI369" s="44" t="n"/>
      <c r="BJ369" s="44" t="n"/>
      <c r="BK369" s="44" t="n"/>
      <c r="BL369" s="44" t="n"/>
      <c r="BM369" s="44" t="n"/>
      <c r="BN369" s="44" t="n"/>
      <c r="BO369" s="44" t="n"/>
      <c r="BP369" s="44" t="n"/>
      <c r="BQ369" s="44" t="n"/>
      <c r="BR369" s="44" t="n"/>
      <c r="BS369" s="44" t="n"/>
      <c r="BT369" s="44" t="n"/>
      <c r="BU369" s="44" t="n"/>
      <c r="BV369" s="44" t="n"/>
      <c r="BW369" s="44" t="n"/>
      <c r="BX369" s="44" t="n"/>
      <c r="BY369" s="153" t="n"/>
      <c r="BZ369" s="153" t="n"/>
      <c r="CA369" s="254">
        <f>IFERROR(CA359-BV359,"")</f>
        <v>94110.5</v>
      </c>
      <c r="CB369" s="254">
        <f>IFERROR(CB359-CA359,"")</f>
        <v>0</v>
      </c>
      <c r="CC369" s="254">
        <f>IFERROR(CC359-CB359,"")</f>
        <v>0</v>
      </c>
      <c r="CD369" s="254">
        <f>IFERROR(CD359-CC359,"")</f>
        <v>0</v>
      </c>
      <c r="CE369" s="254">
        <f>IFERROR(CE359-CD359,"")</f>
        <v>0</v>
      </c>
      <c r="CF369" s="19" t="n"/>
    </row>
    <row r="370" ht="15" customHeight="1" s="251">
      <c r="B370" s="69" t="inlineStr">
        <is>
          <t xml:space="preserve">  Interest rate on opening notes %</t>
        </is>
      </c>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c r="AA370" s="44" t="n"/>
      <c r="AB370" s="44" t="n"/>
      <c r="AC370" s="44" t="n"/>
      <c r="AD370" s="44" t="n"/>
      <c r="AE370" s="44" t="n"/>
      <c r="AF370" s="44" t="n"/>
      <c r="AG370" s="44" t="n"/>
      <c r="AH370" s="44" t="n"/>
      <c r="AI370" s="44" t="n"/>
      <c r="AJ370" s="44" t="n"/>
      <c r="AK370" s="44" t="n"/>
      <c r="AL370" s="44" t="n"/>
      <c r="AM370" s="44" t="n"/>
      <c r="AN370" s="44" t="n"/>
      <c r="AO370" s="44" t="n"/>
      <c r="AP370" s="44" t="n"/>
      <c r="AQ370" s="44" t="n"/>
      <c r="AR370" s="44" t="n"/>
      <c r="AS370" s="44" t="n"/>
      <c r="AT370" s="44" t="n"/>
      <c r="AU370" s="44" t="n"/>
      <c r="AV370" s="44" t="n"/>
      <c r="AW370" s="44" t="n"/>
      <c r="AX370" s="44" t="n"/>
      <c r="AY370" s="44" t="n"/>
      <c r="AZ370" s="44" t="n"/>
      <c r="BA370" s="44" t="n"/>
      <c r="BB370" s="44" t="n"/>
      <c r="BC370" s="44" t="n"/>
      <c r="BD370" s="44" t="n"/>
      <c r="BE370" s="44" t="n"/>
      <c r="BF370" s="44" t="n"/>
      <c r="BG370" s="44" t="n"/>
      <c r="BH370" s="44" t="n"/>
      <c r="BI370" s="44" t="n"/>
      <c r="BJ370" s="44" t="n"/>
      <c r="BK370" s="44" t="n"/>
      <c r="BL370" s="44" t="n"/>
      <c r="BM370" s="44" t="n"/>
      <c r="BN370" s="44" t="n"/>
      <c r="BO370" s="44" t="n"/>
      <c r="BP370" s="44" t="n"/>
      <c r="BQ370" s="44" t="n"/>
      <c r="BR370" s="44" t="n"/>
      <c r="BS370" s="44" t="n"/>
      <c r="BT370" s="44" t="n"/>
      <c r="BU370" s="44" t="n"/>
      <c r="BV370" s="44" t="n"/>
      <c r="BW370" s="44" t="n"/>
      <c r="BX370" s="44" t="n"/>
      <c r="BY370" s="153" t="n"/>
      <c r="BZ370" s="153" t="n"/>
      <c r="CA370" s="35" t="n"/>
      <c r="CB370" s="269" t="n">
        <v>0.045</v>
      </c>
      <c r="CC370" s="269" t="n">
        <v>0.046</v>
      </c>
      <c r="CD370" s="269" t="n">
        <v>0.047</v>
      </c>
      <c r="CE370" s="269" t="n">
        <v>0.047</v>
      </c>
      <c r="CF370" s="19" t="inlineStr">
        <is>
          <t>Q2-26 interest expense $1,314m ≈ 4.3% annualised on opening debt (incl. lease interest); 2026 issues priced at 3.85–6.25% (USD), 2.80–4.85% (EUR), 0.84–2.08% (CHF), 3.40–5.00% (CAD), 5.20–6.65% (GBP). Weighted rate drifting up (assumption).</t>
        </is>
      </c>
    </row>
    <row r="371" ht="15" customHeight="1" s="251">
      <c r="B371" s="69" t="inlineStr">
        <is>
          <t xml:space="preserve">  Interest rate on opening commercial paper / revolver %</t>
        </is>
      </c>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c r="AA371" s="44" t="n"/>
      <c r="AB371" s="44" t="n"/>
      <c r="AC371" s="44" t="n"/>
      <c r="AD371" s="44" t="n"/>
      <c r="AE371" s="44" t="n"/>
      <c r="AF371" s="44" t="n"/>
      <c r="AG371" s="44" t="n"/>
      <c r="AH371" s="44" t="n"/>
      <c r="AI371" s="44" t="n"/>
      <c r="AJ371" s="44" t="n"/>
      <c r="AK371" s="44" t="n"/>
      <c r="AL371" s="44" t="n"/>
      <c r="AM371" s="44" t="n"/>
      <c r="AN371" s="44" t="n"/>
      <c r="AO371" s="44" t="n"/>
      <c r="AP371" s="44" t="n"/>
      <c r="AQ371" s="44" t="n"/>
      <c r="AR371" s="44" t="n"/>
      <c r="AS371" s="44" t="n"/>
      <c r="AT371" s="44" t="n"/>
      <c r="AU371" s="44" t="n"/>
      <c r="AV371" s="44" t="n"/>
      <c r="AW371" s="44" t="n"/>
      <c r="AX371" s="44" t="n"/>
      <c r="AY371" s="44" t="n"/>
      <c r="AZ371" s="44" t="n"/>
      <c r="BA371" s="44" t="n"/>
      <c r="BB371" s="44" t="n"/>
      <c r="BC371" s="44" t="n"/>
      <c r="BD371" s="44" t="n"/>
      <c r="BE371" s="44" t="n"/>
      <c r="BF371" s="44" t="n"/>
      <c r="BG371" s="44" t="n"/>
      <c r="BH371" s="44" t="n"/>
      <c r="BI371" s="44" t="n"/>
      <c r="BJ371" s="44" t="n"/>
      <c r="BK371" s="44" t="n"/>
      <c r="BL371" s="44" t="n"/>
      <c r="BM371" s="44" t="n"/>
      <c r="BN371" s="44" t="n"/>
      <c r="BO371" s="44" t="n"/>
      <c r="BP371" s="44" t="n"/>
      <c r="BQ371" s="44" t="n"/>
      <c r="BR371" s="44" t="n"/>
      <c r="BS371" s="44" t="n"/>
      <c r="BT371" s="44" t="n"/>
      <c r="BU371" s="44" t="n"/>
      <c r="BV371" s="44" t="n"/>
      <c r="BW371" s="44" t="n"/>
      <c r="BX371" s="44" t="n"/>
      <c r="BY371" s="153" t="n"/>
      <c r="BZ371" s="153" t="n"/>
      <c r="CA371" s="35" t="n"/>
      <c r="CB371" s="269" t="n">
        <v>0.045</v>
      </c>
      <c r="CC371" s="269" t="n">
        <v>0.045</v>
      </c>
      <c r="CD371" s="269" t="n">
        <v>0.045</v>
      </c>
      <c r="CE371" s="269" t="n">
        <v>0.045</v>
      </c>
      <c r="CF371" s="19" t="inlineStr">
        <is>
          <t>Assumption (CP ~SOFR; revolver benchmark + 0.45%).</t>
        </is>
      </c>
    </row>
    <row r="372" ht="15" customHeight="1" s="251">
      <c r="B372" s="69" t="inlineStr">
        <is>
          <t xml:space="preserve">  Finance-lease &amp; financing-obligation interest ($m)</t>
        </is>
      </c>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c r="AA372" s="44" t="n"/>
      <c r="AB372" s="44" t="n"/>
      <c r="AC372" s="44" t="n"/>
      <c r="AD372" s="44" t="n"/>
      <c r="AE372" s="44" t="n"/>
      <c r="AF372" s="44" t="n"/>
      <c r="AG372" s="44" t="n"/>
      <c r="AH372" s="44" t="n"/>
      <c r="AI372" s="44" t="n"/>
      <c r="AJ372" s="44" t="n"/>
      <c r="AK372" s="44" t="n"/>
      <c r="AL372" s="44" t="n"/>
      <c r="AM372" s="44" t="n"/>
      <c r="AN372" s="44" t="n"/>
      <c r="AO372" s="44" t="n"/>
      <c r="AP372" s="44" t="n"/>
      <c r="AQ372" s="44" t="n"/>
      <c r="AR372" s="44" t="n"/>
      <c r="AS372" s="44" t="n"/>
      <c r="AT372" s="44" t="n"/>
      <c r="AU372" s="44" t="n"/>
      <c r="AV372" s="44" t="n"/>
      <c r="AW372" s="44" t="n"/>
      <c r="AX372" s="44" t="n"/>
      <c r="AY372" s="44" t="n"/>
      <c r="AZ372" s="44" t="n"/>
      <c r="BA372" s="44" t="n"/>
      <c r="BB372" s="44" t="n"/>
      <c r="BC372" s="44" t="n"/>
      <c r="BD372" s="44" t="n"/>
      <c r="BE372" s="44" t="n"/>
      <c r="BF372" s="44" t="n"/>
      <c r="BG372" s="44" t="n"/>
      <c r="BH372" s="44" t="n"/>
      <c r="BI372" s="44" t="n"/>
      <c r="BJ372" s="44" t="n"/>
      <c r="BK372" s="44" t="n"/>
      <c r="BL372" s="44" t="n"/>
      <c r="BM372" s="44" t="n"/>
      <c r="BN372" s="44" t="n"/>
      <c r="BO372" s="44" t="n"/>
      <c r="BP372" s="44" t="n"/>
      <c r="BQ372" s="44" t="n"/>
      <c r="BR372" s="44" t="n"/>
      <c r="BS372" s="44" t="n"/>
      <c r="BT372" s="44" t="n"/>
      <c r="BU372" s="44" t="n"/>
      <c r="BV372" s="44" t="n"/>
      <c r="BW372" s="44" t="n"/>
      <c r="BX372" s="44" t="n"/>
      <c r="BY372" s="153" t="n"/>
      <c r="BZ372" s="153" t="n"/>
      <c r="CA372" s="35" t="n"/>
      <c r="CB372" s="268" t="n">
        <v>600</v>
      </c>
      <c r="CC372" s="268" t="n">
        <v>600</v>
      </c>
      <c r="CD372" s="268" t="n">
        <v>600</v>
      </c>
      <c r="CE372" s="268" t="n">
        <v>600</v>
      </c>
      <c r="CF372" s="19" t="inlineStr">
        <is>
          <t>Cash paid for interest on finance leases $295m (2025); financing obligations ~$0.3bn (10-Q commitments).</t>
        </is>
      </c>
    </row>
    <row r="373" ht="15" customHeight="1" s="251">
      <c r="B373" s="69" t="inlineStr">
        <is>
          <t xml:space="preserve">  Interest income yield on opening cash &amp; marketable securities %</t>
        </is>
      </c>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c r="AA373" s="44" t="n"/>
      <c r="AB373" s="44" t="n"/>
      <c r="AC373" s="44" t="n"/>
      <c r="AD373" s="44" t="n"/>
      <c r="AE373" s="44" t="n"/>
      <c r="AF373" s="44" t="n"/>
      <c r="AG373" s="44" t="n"/>
      <c r="AH373" s="44" t="n"/>
      <c r="AI373" s="44" t="n"/>
      <c r="AJ373" s="44" t="n"/>
      <c r="AK373" s="44" t="n"/>
      <c r="AL373" s="44" t="n"/>
      <c r="AM373" s="44" t="n"/>
      <c r="AN373" s="44" t="n"/>
      <c r="AO373" s="44" t="n"/>
      <c r="AP373" s="44" t="n"/>
      <c r="AQ373" s="44" t="n"/>
      <c r="AR373" s="44" t="n"/>
      <c r="AS373" s="44" t="n"/>
      <c r="AT373" s="44" t="n"/>
      <c r="AU373" s="44" t="n"/>
      <c r="AV373" s="44" t="n"/>
      <c r="AW373" s="44" t="n"/>
      <c r="AX373" s="44" t="n"/>
      <c r="AY373" s="44" t="n"/>
      <c r="AZ373" s="44" t="n"/>
      <c r="BA373" s="44" t="n"/>
      <c r="BB373" s="44" t="n"/>
      <c r="BC373" s="44" t="n"/>
      <c r="BD373" s="44" t="n"/>
      <c r="BE373" s="44" t="n"/>
      <c r="BF373" s="44" t="n"/>
      <c r="BG373" s="44" t="n"/>
      <c r="BH373" s="44" t="n"/>
      <c r="BI373" s="44" t="n"/>
      <c r="BJ373" s="44" t="n"/>
      <c r="BK373" s="44" t="n"/>
      <c r="BL373" s="44" t="n"/>
      <c r="BM373" s="44" t="n"/>
      <c r="BN373" s="44" t="n"/>
      <c r="BO373" s="44" t="n"/>
      <c r="BP373" s="44" t="n"/>
      <c r="BQ373" s="44" t="n"/>
      <c r="BR373" s="44" t="n"/>
      <c r="BS373" s="44" t="n"/>
      <c r="BT373" s="44" t="n"/>
      <c r="BU373" s="44" t="n"/>
      <c r="BV373" s="44" t="n"/>
      <c r="BW373" s="44" t="n"/>
      <c r="BX373" s="44" t="n"/>
      <c r="BY373" s="153" t="n"/>
      <c r="BZ373" s="153" t="n"/>
      <c r="CA373" s="35" t="n"/>
      <c r="CB373" s="269" t="n">
        <v>0.033</v>
      </c>
      <c r="CC373" s="269" t="n">
        <v>0.033</v>
      </c>
      <c r="CD373" s="269" t="n">
        <v>0.033</v>
      </c>
      <c r="CE373" s="269" t="n">
        <v>0.033</v>
      </c>
      <c r="CF373" s="19" t="inlineStr">
        <is>
          <t>Q2-26 3.6% annualised; drifting down with policy rates (assumption).</t>
        </is>
      </c>
    </row>
    <row r="374" ht="15" customHeight="1" s="251">
      <c r="B374" s="25" t="inlineStr">
        <is>
          <t>Leverage-targeted buybacks (repurchases plug to a target net debt / adjusted EBITDA, 2027E+)</t>
        </is>
      </c>
      <c r="CF374" s="153" t="n"/>
    </row>
    <row r="375" ht="15" customHeight="1" s="251">
      <c r="B375" s="69" t="inlineStr">
        <is>
          <t xml:space="preserve">  Target net debt / adjusted EBITDA (x) (scenario)</t>
        </is>
      </c>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c r="AA375" s="44" t="n"/>
      <c r="AB375" s="44" t="n"/>
      <c r="AC375" s="44" t="n"/>
      <c r="AD375" s="44" t="n"/>
      <c r="AE375" s="44" t="n"/>
      <c r="AF375" s="44" t="n"/>
      <c r="AG375" s="44" t="n"/>
      <c r="AH375" s="44" t="n"/>
      <c r="AI375" s="44" t="n"/>
      <c r="AJ375" s="44" t="n"/>
      <c r="AK375" s="44" t="n"/>
      <c r="AL375" s="44" t="n"/>
      <c r="AM375" s="44" t="n"/>
      <c r="AN375" s="44" t="n"/>
      <c r="AO375" s="44" t="n"/>
      <c r="AP375" s="44" t="n"/>
      <c r="AQ375" s="44" t="n"/>
      <c r="AR375" s="44" t="n"/>
      <c r="AS375" s="44" t="n"/>
      <c r="AT375" s="44" t="n"/>
      <c r="AU375" s="44" t="n"/>
      <c r="AV375" s="44" t="n"/>
      <c r="AW375" s="44" t="n"/>
      <c r="AX375" s="44" t="n"/>
      <c r="AY375" s="44" t="n"/>
      <c r="AZ375" s="44" t="n"/>
      <c r="BA375" s="44" t="n"/>
      <c r="BB375" s="44" t="n"/>
      <c r="BC375" s="44" t="n"/>
      <c r="BD375" s="44" t="n"/>
      <c r="BE375" s="44" t="n"/>
      <c r="BF375" s="44" t="n"/>
      <c r="BG375" s="44" t="n"/>
      <c r="BH375" s="44" t="n"/>
      <c r="BI375" s="44" t="n"/>
      <c r="BJ375" s="44" t="n"/>
      <c r="BK375" s="44" t="n"/>
      <c r="BL375" s="44" t="n"/>
      <c r="BM375" s="44" t="n"/>
      <c r="BN375" s="44" t="n"/>
      <c r="BO375" s="44" t="n"/>
      <c r="BP375" s="44" t="n"/>
      <c r="BQ375" s="44" t="n"/>
      <c r="BR375" s="44" t="n"/>
      <c r="BS375" s="44" t="n"/>
      <c r="BT375" s="44" t="n"/>
      <c r="BU375" s="44" t="n"/>
      <c r="BV375" s="44" t="n"/>
      <c r="BW375" s="44" t="n"/>
      <c r="BX375" s="44" t="n"/>
      <c r="BY375" s="153" t="n"/>
      <c r="BZ375" s="153" t="n"/>
      <c r="CA375" s="35" t="n"/>
      <c r="CB375" s="289">
        <f>CHOOSE(MATCH($CF$2,{"Bull","Base","Bear"},0),$CO$29,$CP$29,$CQ$29)</f>
        <v>0</v>
      </c>
      <c r="CC375" s="289">
        <f>CHOOSE(MATCH($CF$2,{"Bull","Base","Bear"},0),$CO$29,$CP$29,$CQ$29)</f>
        <v>0</v>
      </c>
      <c r="CD375" s="289">
        <f>CHOOSE(MATCH($CF$2,{"Bull","Base","Bear"},0),$CO$29,$CP$29,$CQ$29)</f>
        <v>0</v>
      </c>
      <c r="CE375" s="289">
        <f>CHOOSE(MATCH($CF$2,{"Bull","Base","Bear"},0),$CO$29,$CP$29,$CQ$29)</f>
        <v>0</v>
      </c>
      <c r="CF375" s="19" t="inlineStr">
        <is>
          <t>Amazon has not repurchased shares since 2022 ($10bn authorization of Mar-2022, $6bn used) and has financed the AI build-out with $66bn of notes in 1H-26. Target = net debt / adjusted EBITDA up to which surplus cash is returned via buybacks (model assumption; no company target): Base 0.0x (free cash flow beyond net-debt neutrality returned), Bull 0.25x, Bear −0.25x (keeps a net-cash cushion). Net debt was −$54bn at YE2025 and +$9bn at 30-Jun-2026.</t>
        </is>
      </c>
    </row>
    <row r="376" ht="15" customHeight="1" s="251">
      <c r="B376" s="69" t="inlineStr">
        <is>
          <t xml:space="preserve">  Net debt before buybacks (year end; debt − cash − marketable securities)</t>
        </is>
      </c>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c r="AA376" s="44" t="n"/>
      <c r="AB376" s="44" t="n"/>
      <c r="AC376" s="44" t="n"/>
      <c r="AD376" s="44" t="n"/>
      <c r="AE376" s="44" t="n"/>
      <c r="AF376" s="44" t="n"/>
      <c r="AG376" s="44" t="n"/>
      <c r="AH376" s="44" t="n"/>
      <c r="AI376" s="44" t="n"/>
      <c r="AJ376" s="44" t="n"/>
      <c r="AK376" s="44" t="n"/>
      <c r="AL376" s="44" t="n"/>
      <c r="AM376" s="44" t="n"/>
      <c r="AN376" s="44" t="n"/>
      <c r="AO376" s="44" t="n"/>
      <c r="AP376" s="44" t="n"/>
      <c r="AQ376" s="44" t="n"/>
      <c r="AR376" s="44" t="n"/>
      <c r="AS376" s="44" t="n"/>
      <c r="AT376" s="44" t="n"/>
      <c r="AU376" s="44" t="n"/>
      <c r="AV376" s="44" t="n"/>
      <c r="AW376" s="44" t="n"/>
      <c r="AX376" s="44" t="n"/>
      <c r="AY376" s="44" t="n"/>
      <c r="AZ376" s="44" t="n"/>
      <c r="BA376" s="44" t="n"/>
      <c r="BB376" s="44" t="n"/>
      <c r="BC376" s="44" t="n"/>
      <c r="BD376" s="44" t="n"/>
      <c r="BE376" s="44" t="n"/>
      <c r="BF376" s="44" t="n"/>
      <c r="BG376" s="44" t="n"/>
      <c r="BH376" s="44" t="n"/>
      <c r="BI376" s="44" t="n"/>
      <c r="BJ376" s="44" t="n"/>
      <c r="BK376" s="44" t="n"/>
      <c r="BL376" s="44" t="n"/>
      <c r="BM376" s="44" t="n"/>
      <c r="BN376" s="44" t="n"/>
      <c r="BO376" s="44" t="n"/>
      <c r="BP376" s="44" t="n"/>
      <c r="BQ376" s="44" t="n"/>
      <c r="BR376" s="44" t="n"/>
      <c r="BS376" s="44" t="n"/>
      <c r="BT376" s="44" t="n"/>
      <c r="BU376" s="44" t="n"/>
      <c r="BV376" s="44" t="n"/>
      <c r="BW376" s="44" t="n"/>
      <c r="BX376" s="44" t="n"/>
      <c r="BY376" s="153" t="n"/>
      <c r="BZ376" s="153" t="n"/>
      <c r="CA376" s="35" t="n"/>
      <c r="CB376" s="254">
        <f>CA359-CA311-CA312-CB257-CB263-CB266-CB267-CB269</f>
        <v>-1813.65338590299</v>
      </c>
      <c r="CC376" s="254">
        <f>CB359-CB311-CB312-CC257-CC263-CC266-CC267-CC269</f>
        <v>-53379.4887425318</v>
      </c>
      <c r="CD376" s="254">
        <f>CC359-CC311-CC312-CD257-CD263-CD266-CD267-CD269</f>
        <v>-93541.7867880099</v>
      </c>
      <c r="CE376" s="254">
        <f>CD359-CD311-CD312-CE257-CE263-CE266-CE267-CE269</f>
        <v>-137462.641068111</v>
      </c>
      <c r="CF376" s="19" t="n"/>
    </row>
    <row r="377" ht="15" customHeight="1" s="251">
      <c r="B377" s="69" t="inlineStr">
        <is>
          <t xml:space="preserve">  Target net debt = target leverage × adjusted EBITDA</t>
        </is>
      </c>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c r="AA377" s="44" t="n"/>
      <c r="AB377" s="44" t="n"/>
      <c r="AC377" s="44" t="n"/>
      <c r="AD377" s="44" t="n"/>
      <c r="AE377" s="44" t="n"/>
      <c r="AF377" s="44" t="n"/>
      <c r="AG377" s="44" t="n"/>
      <c r="AH377" s="44" t="n"/>
      <c r="AI377" s="44" t="n"/>
      <c r="AJ377" s="44" t="n"/>
      <c r="AK377" s="44" t="n"/>
      <c r="AL377" s="44" t="n"/>
      <c r="AM377" s="44" t="n"/>
      <c r="AN377" s="44" t="n"/>
      <c r="AO377" s="44" t="n"/>
      <c r="AP377" s="44" t="n"/>
      <c r="AQ377" s="44" t="n"/>
      <c r="AR377" s="44" t="n"/>
      <c r="AS377" s="44" t="n"/>
      <c r="AT377" s="44" t="n"/>
      <c r="AU377" s="44" t="n"/>
      <c r="AV377" s="44" t="n"/>
      <c r="AW377" s="44" t="n"/>
      <c r="AX377" s="44" t="n"/>
      <c r="AY377" s="44" t="n"/>
      <c r="AZ377" s="44" t="n"/>
      <c r="BA377" s="44" t="n"/>
      <c r="BB377" s="44" t="n"/>
      <c r="BC377" s="44" t="n"/>
      <c r="BD377" s="44" t="n"/>
      <c r="BE377" s="44" t="n"/>
      <c r="BF377" s="44" t="n"/>
      <c r="BG377" s="44" t="n"/>
      <c r="BH377" s="44" t="n"/>
      <c r="BI377" s="44" t="n"/>
      <c r="BJ377" s="44" t="n"/>
      <c r="BK377" s="44" t="n"/>
      <c r="BL377" s="44" t="n"/>
      <c r="BM377" s="44" t="n"/>
      <c r="BN377" s="44" t="n"/>
      <c r="BO377" s="44" t="n"/>
      <c r="BP377" s="44" t="n"/>
      <c r="BQ377" s="44" t="n"/>
      <c r="BR377" s="44" t="n"/>
      <c r="BS377" s="44" t="n"/>
      <c r="BT377" s="44" t="n"/>
      <c r="BU377" s="44" t="n"/>
      <c r="BV377" s="44" t="n"/>
      <c r="BW377" s="44" t="n"/>
      <c r="BX377" s="44" t="n"/>
      <c r="BY377" s="153" t="n"/>
      <c r="BZ377" s="153" t="n"/>
      <c r="CA377" s="35" t="n"/>
      <c r="CB377" s="254">
        <f>CB375*CB202</f>
        <v>0</v>
      </c>
      <c r="CC377" s="254">
        <f>CC375*CC202</f>
        <v>0</v>
      </c>
      <c r="CD377" s="254">
        <f>CD375*CD202</f>
        <v>0</v>
      </c>
      <c r="CE377" s="254">
        <f>CE375*CE202</f>
        <v>0</v>
      </c>
      <c r="CF377" s="19" t="n"/>
    </row>
    <row r="378" ht="15" customHeight="1" s="251">
      <c r="B378" s="69" t="inlineStr">
        <is>
          <t xml:space="preserve">  Share repurchases: plug to target leverage</t>
        </is>
      </c>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c r="AA378" s="44" t="n"/>
      <c r="AB378" s="44" t="n"/>
      <c r="AC378" s="44" t="n"/>
      <c r="AD378" s="44" t="n"/>
      <c r="AE378" s="44" t="n"/>
      <c r="AF378" s="44" t="n"/>
      <c r="AG378" s="44" t="n"/>
      <c r="AH378" s="44" t="n"/>
      <c r="AI378" s="44" t="n"/>
      <c r="AJ378" s="44" t="n"/>
      <c r="AK378" s="44" t="n"/>
      <c r="AL378" s="44" t="n"/>
      <c r="AM378" s="44" t="n"/>
      <c r="AN378" s="44" t="n"/>
      <c r="AO378" s="44" t="n"/>
      <c r="AP378" s="44" t="n"/>
      <c r="AQ378" s="44" t="n"/>
      <c r="AR378" s="44" t="n"/>
      <c r="AS378" s="44" t="n"/>
      <c r="AT378" s="44" t="n"/>
      <c r="AU378" s="44" t="n"/>
      <c r="AV378" s="44" t="n"/>
      <c r="AW378" s="44" t="n"/>
      <c r="AX378" s="44" t="n"/>
      <c r="AY378" s="44" t="n"/>
      <c r="AZ378" s="44" t="n"/>
      <c r="BA378" s="44" t="n"/>
      <c r="BB378" s="44" t="n"/>
      <c r="BC378" s="44" t="n"/>
      <c r="BD378" s="44" t="n"/>
      <c r="BE378" s="44" t="n"/>
      <c r="BF378" s="44" t="n"/>
      <c r="BG378" s="44" t="n"/>
      <c r="BH378" s="44" t="n"/>
      <c r="BI378" s="44" t="n"/>
      <c r="BJ378" s="44" t="n"/>
      <c r="BK378" s="44" t="n"/>
      <c r="BL378" s="44" t="n"/>
      <c r="BM378" s="44" t="n"/>
      <c r="BN378" s="44" t="n"/>
      <c r="BO378" s="44" t="n"/>
      <c r="BP378" s="44" t="n"/>
      <c r="BQ378" s="44" t="n"/>
      <c r="BR378" s="44" t="n"/>
      <c r="BS378" s="44" t="n"/>
      <c r="BT378" s="44" t="n"/>
      <c r="BU378" s="44" t="n"/>
      <c r="BV378" s="44" t="n"/>
      <c r="BW378" s="44" t="n"/>
      <c r="BX378" s="44" t="n"/>
      <c r="BY378" s="153" t="n"/>
      <c r="BZ378" s="153" t="n"/>
      <c r="CA378" s="35" t="n"/>
      <c r="CB378" s="254">
        <f>MAX(0,CB377-CB376)</f>
        <v>1813.65338590299</v>
      </c>
      <c r="CC378" s="254">
        <f>MAX(0,CC377-CC376)</f>
        <v>53379.4887425318</v>
      </c>
      <c r="CD378" s="254">
        <f>MAX(0,CD377-CD376)</f>
        <v>93541.7867880099</v>
      </c>
      <c r="CE378" s="254">
        <f>MAX(0,CE377-CE376)</f>
        <v>137462.641068111</v>
      </c>
      <c r="CF378" s="19" t="inlineStr">
        <is>
          <t>Surplus cash beyond the leverage target is returned via buybacks; feeds the cash-flow repurchase line.</t>
        </is>
      </c>
    </row>
    <row r="379" ht="15" customHeight="1" s="251">
      <c r="B379" s="25" t="inlineStr">
        <is>
          <t>Historical reference (driver context)</t>
        </is>
      </c>
      <c r="CF379" s="153" t="n"/>
    </row>
    <row r="380" ht="15" customHeight="1" s="251">
      <c r="B380" s="25" t="inlineStr">
        <is>
          <t xml:space="preserve">  Total D&amp;A % of net sales</t>
        </is>
      </c>
      <c r="C380" s="215">
        <f>IF(AND(ISNUMBER(C166),ISNUMBER(C144)),IFERROR(C166/C144,""),"")</f>
        <v>0.0191392026888246</v>
      </c>
      <c r="D380" s="215">
        <f>IF(AND(ISNUMBER(D166),ISNUMBER(D144)),IFERROR(D166/D144,""),"")</f>
        <v>0.016582406471183</v>
      </c>
      <c r="E380" s="215">
        <f>IF(AND(ISNUMBER(E166),ISNUMBER(E144)),IFERROR(E166/E144,""),"")</f>
        <v>0.0149744338933528</v>
      </c>
      <c r="F380" s="215">
        <f>IF(AND(ISNUMBER(F166),ISNUMBER(F144)),IFERROR(F166/F144,""),"")</f>
        <v>0.0154229058713126</v>
      </c>
      <c r="G380" s="215">
        <f>IF(AND(ISNUMBER(G166),ISNUMBER(G144)),IFERROR(G166/G144,""),"")</f>
        <v>0.0166062448836393</v>
      </c>
      <c r="H380" s="215">
        <f>IF(AND(ISNUMBER(H166),ISNUMBER(H144)),IFERROR(H166/H144,""),"")</f>
        <v>0.0225263639578177</v>
      </c>
      <c r="I380" s="215">
        <f>IF(AND(ISNUMBER(I166),ISNUMBER(I144)),IFERROR(I166/I144,""),"")</f>
        <v>0.0353395642708657</v>
      </c>
      <c r="J380" s="215">
        <f>IF(AND(ISNUMBER(J166),ISNUMBER(J144)),IFERROR(J166/J144,""),"")</f>
        <v>0.0435594275046671</v>
      </c>
      <c r="K380" s="215">
        <f>IF(AND(ISNUMBER(K166),ISNUMBER(K144)),IFERROR(K166/K144,""),"")</f>
        <v>0.0481406011207336</v>
      </c>
      <c r="L380" s="215">
        <f>IF(AND(ISNUMBER(L166),ISNUMBER(L144)),IFERROR(L166/L144,""),"")</f>
        <v>0.0487947577814182</v>
      </c>
      <c r="M380" s="215">
        <f>IF(AND(ISNUMBER(M166),ISNUMBER(M144)),IFERROR(M166/M144,""),"")</f>
        <v>0.037636299683433</v>
      </c>
      <c r="N380" s="215">
        <f>IF(AND(ISNUMBER(N166),ISNUMBER(N144)),IFERROR(N166/N144,""),"")</f>
        <v>0.043692580454521</v>
      </c>
      <c r="O380" s="215">
        <f>IF(AND(ISNUMBER(O166),ISNUMBER(O144)),IFERROR(O166/O144,""),"")</f>
        <v>0.0511625550883947</v>
      </c>
      <c r="P380" s="215">
        <f>IF(AND(ISNUMBER(P166),ISNUMBER(P144)),IFERROR(P166/P144,""),"")</f>
        <v>0.0573422957600827</v>
      </c>
      <c r="Q380" s="215">
        <f>IF(AND(ISNUMBER(Q166),ISNUMBER(Q144)),IFERROR(Q166/Q144,""),"")</f>
        <v>0.0605957529520385</v>
      </c>
      <c r="R380" s="215">
        <f>IF(AND(ISNUMBER(R166),ISNUMBER(R144)),IFERROR(R166/R144,""),"")</f>
        <v>0.0470199127114021</v>
      </c>
      <c r="S380" s="215">
        <f>IF(AND(ISNUMBER(S166),ISNUMBER(S144)),IFERROR(S166/S144,""),"")</f>
        <v>0.0533330336674608</v>
      </c>
      <c r="T380" s="215">
        <f>IF(AND(ISNUMBER(T166),ISNUMBER(T144)),IFERROR(T166/T144,""),"")</f>
        <v>0.0627723731126469</v>
      </c>
      <c r="U380" s="215">
        <f>IF(AND(ISNUMBER(U166),ISNUMBER(U144)),IFERROR(U166/U144,""),"")</f>
        <v>0.0648695277118827</v>
      </c>
      <c r="V380" s="215">
        <f>IF(AND(ISNUMBER(V166),ISNUMBER(V144)),IFERROR(V166/V144,""),"")</f>
        <v>0.0630570234245603</v>
      </c>
      <c r="W380" s="215">
        <f>IF(AND(ISNUMBER(W166),ISNUMBER(W144)),IFERROR(W166/W144,""),"")</f>
        <v>0.0490111058270624</v>
      </c>
      <c r="X380" s="215">
        <f>IF(AND(ISNUMBER(X166),ISNUMBER(X144)),IFERROR(X166/X144,""),"")</f>
        <v>0.0586976431228155</v>
      </c>
      <c r="Y380" s="215">
        <f>IF(AND(ISNUMBER(Y166),ISNUMBER(Y144)),IFERROR(Y166/Y144,""),"")</f>
        <v>0.0627231529799506</v>
      </c>
      <c r="Z380" s="215">
        <f>IF(AND(ISNUMBER(Z166),ISNUMBER(Z144)),IFERROR(Z166/Z144,""),"")</f>
        <v>0.062787791080121</v>
      </c>
      <c r="AA380" s="215">
        <f>IF(AND(ISNUMBER(AA166),ISNUMBER(AA144)),IFERROR(AA166/AA144,""),"")</f>
        <v>0.0637036131319924</v>
      </c>
      <c r="AB380" s="215">
        <f>IF(AND(ISNUMBER(AB166),ISNUMBER(AB144)),IFERROR(AB166/AB144,""),"")</f>
        <v>0.0525136599529046</v>
      </c>
      <c r="AC380" s="215">
        <f>IF(AND(ISNUMBER(AC166),ISNUMBER(AC144)),IFERROR(AC166/AC144,""),"")</f>
        <v>0.0596821755020701</v>
      </c>
      <c r="AD380" s="215">
        <f>IF(AND(ISNUMBER(AD166),ISNUMBER(AD144)),IFERROR(AD166/AD144,""),"")</f>
        <v>0.0681805454443636</v>
      </c>
      <c r="AE380" s="215">
        <f>IF(AND(ISNUMBER(AE166),ISNUMBER(AE144)),IFERROR(AE166/AE144,""),"")</f>
        <v>0.0693716242919246</v>
      </c>
      <c r="AF380" s="215">
        <f>IF(AND(ISNUMBER(AF166),ISNUMBER(AF144)),IFERROR(AF166/AF144,""),"")</f>
        <v>0.0665691294806145</v>
      </c>
      <c r="AG380" s="215">
        <f>IF(AND(ISNUMBER(AG166),ISNUMBER(AG144)),IFERROR(AG166/AG144,""),"")</f>
        <v>0.0578631333432584</v>
      </c>
      <c r="AH380" s="215">
        <f>IF(AND(ISNUMBER(AH166),ISNUMBER(AH144)),IFERROR(AH166/AH144,""),"")</f>
        <v>0.0645317261309075</v>
      </c>
      <c r="AI380" s="215">
        <f>IF(AND(ISNUMBER(AI166),ISNUMBER(AI144)),IFERROR(AI166/AI144,""),"")</f>
        <v>0.0719211629638337</v>
      </c>
      <c r="AJ380" s="215">
        <f>IF(AND(ISNUMBER(AJ166),ISNUMBER(AJ144)),IFERROR(AJ166/AJ144,""),"")</f>
        <v>0.0686382029270506</v>
      </c>
      <c r="AK380" s="215">
        <f>IF(AND(ISNUMBER(AK166),ISNUMBER(AK144)),IFERROR(AK166/AK144,""),"")</f>
        <v>0.0667774321266968</v>
      </c>
      <c r="AL380" s="215">
        <f>IF(AND(ISNUMBER(AL166),ISNUMBER(AL144)),IFERROR(AL166/AL144,""),"")</f>
        <v>0.0588812290178633</v>
      </c>
      <c r="AM380" s="215">
        <f>IF(AND(ISNUMBER(AM166),ISNUMBER(AM144)),IFERROR(AM166/AM144,""),"")</f>
        <v>0.0658731487803098</v>
      </c>
      <c r="AN380" s="215">
        <f>IF(AND(ISNUMBER(AN166),ISNUMBER(AN144)),IFERROR(AN166/AN144,""),"")</f>
        <v>0.0813065326633166</v>
      </c>
      <c r="AO380" s="215">
        <f>IF(AND(ISNUMBER(AO166),ISNUMBER(AO144)),IFERROR(AO166/AO144,""),"")</f>
        <v>0.0820452968266986</v>
      </c>
      <c r="AP380" s="215">
        <f>IF(AND(ISNUMBER(AP166),ISNUMBER(AP144)),IFERROR(AP166/AP144,""),"")</f>
        <v>0.0794930052442806</v>
      </c>
      <c r="AQ380" s="215">
        <f>IF(AND(ISNUMBER(AQ166),ISNUMBER(AQ144)),IFERROR(AQ166/AQ144,""),"")</f>
        <v>0.070565092580944</v>
      </c>
      <c r="AR380" s="215">
        <f>IF(AND(ISNUMBER(AR166),ISNUMBER(AR144)),IFERROR(AR166/AR144,""),"")</f>
        <v>0.0776730523809184</v>
      </c>
      <c r="AS380" s="215">
        <f>IF(AND(ISNUMBER(AS166),ISNUMBER(AS144)),IFERROR(AS166/AS144,""),"")</f>
        <v>0.0710650479775221</v>
      </c>
      <c r="AT380" s="215">
        <f>IF(AND(ISNUMBER(AT166),ISNUMBER(AT144)),IFERROR(AT166/AT144,""),"")</f>
        <v>0.0646481914702178</v>
      </c>
      <c r="AU380" s="215">
        <f>IF(AND(ISNUMBER(AU166),ISNUMBER(AU144)),IFERROR(AU166/AU144,""),"")</f>
        <v>0.0678454417806438</v>
      </c>
      <c r="AV380" s="215">
        <f>IF(AND(ISNUMBER(AV166),ISNUMBER(AV144)),IFERROR(AV166/AV144,""),"")</f>
        <v>0.0606746047548883</v>
      </c>
      <c r="AW380" s="215">
        <f>IF(AND(ISNUMBER(AW166),ISNUMBER(AW144)),IFERROR(AW166/AW144,""),"")</f>
        <v>0.0654062538853662</v>
      </c>
      <c r="AX380" s="215">
        <f>IF(AND(ISNUMBER(AX166),ISNUMBER(AX144)),IFERROR(AX166/AX144,""),"")</f>
        <v>0.0691866787076798</v>
      </c>
      <c r="AY380" s="215">
        <f>IF(AND(ISNUMBER(AY166),ISNUMBER(AY144)),IFERROR(AY166/AY144,""),"")</f>
        <v>0.0710824195259993</v>
      </c>
      <c r="AZ380" s="215">
        <f>IF(AND(ISNUMBER(AZ166),ISNUMBER(AZ144)),IFERROR(AZ166/AZ144,""),"")</f>
        <v>0.0807493773237556</v>
      </c>
      <c r="BA380" s="215">
        <f>IF(AND(ISNUMBER(BA166),ISNUMBER(BA144)),IFERROR(BA166/BA144,""),"")</f>
        <v>0.0713329257997846</v>
      </c>
      <c r="BB380" s="215">
        <f>IF(AND(ISNUMBER(BB166),ISNUMBER(BB144)),IFERROR(BB166/BB144,""),"")</f>
        <v>0.0729978587635317</v>
      </c>
      <c r="BC380" s="215">
        <f>IF(AND(ISNUMBER(BC166),ISNUMBER(BC144)),IFERROR(BC166/BC144,""),"")</f>
        <v>0.0771014393184707</v>
      </c>
      <c r="BD380" s="215">
        <f>IF(AND(ISNUMBER(BD166),ISNUMBER(BD144)),IFERROR(BD166/BD144,""),"")</f>
        <v>0.0791362159130277</v>
      </c>
      <c r="BE380" s="215">
        <f>IF(AND(ISNUMBER(BE166),ISNUMBER(BE144)),IFERROR(BE166/BE144,""),"")</f>
        <v>0.0802826098929198</v>
      </c>
      <c r="BF380" s="215">
        <f>IF(AND(ISNUMBER(BF166),ISNUMBER(BF144)),IFERROR(BF166/BF144,""),"")</f>
        <v>0.0850178279402697</v>
      </c>
      <c r="BG380" s="215">
        <f>IF(AND(ISNUMBER(BG166),ISNUMBER(BG144)),IFERROR(BG166/BG144,""),"")</f>
        <v>0.0815610633036501</v>
      </c>
      <c r="BH380" s="215">
        <f>IF(AND(ISNUMBER(BH166),ISNUMBER(BH144)),IFERROR(BH166/BH144,""),"")</f>
        <v>0.0873364845553479</v>
      </c>
      <c r="BI380" s="215">
        <f>IF(AND(ISNUMBER(BI166),ISNUMBER(BI144)),IFERROR(BI166/BI144,""),"")</f>
        <v>0.0862385867259996</v>
      </c>
      <c r="BJ380" s="215">
        <f>IF(AND(ISNUMBER(BJ166),ISNUMBER(BJ144)),IFERROR(BJ166/BJ144,""),"")</f>
        <v>0.0847829581431756</v>
      </c>
      <c r="BK380" s="215">
        <f>IF(AND(ISNUMBER(BK166),ISNUMBER(BK144)),IFERROR(BK166/BK144,""),"")</f>
        <v>0.0813127717535199</v>
      </c>
      <c r="BL380" s="215">
        <f>IF(AND(ISNUMBER(BL166),ISNUMBER(BL144)),IFERROR(BL166/BL144,""),"")</f>
        <v>0.0846629609332185</v>
      </c>
      <c r="BM380" s="215">
        <f>IF(AND(ISNUMBER(BM166),ISNUMBER(BM144)),IFERROR(BM166/BM144,""),"")</f>
        <v>0.0815278446477291</v>
      </c>
      <c r="BN380" s="215">
        <f>IF(AND(ISNUMBER(BN166),ISNUMBER(BN144)),IFERROR(BN166/BN144,""),"")</f>
        <v>0.0813504801421843</v>
      </c>
      <c r="BO380" s="215">
        <f>IF(AND(ISNUMBER(BO166),ISNUMBER(BO144)),IFERROR(BO166/BO144,""),"")</f>
        <v>0.0846063306834847</v>
      </c>
      <c r="BP380" s="215">
        <f>IF(AND(ISNUMBER(BP166),ISNUMBER(BP144)),IFERROR(BP166/BP144,""),"")</f>
        <v>0.0832357075913777</v>
      </c>
      <c r="BQ380" s="215">
        <f>IF(AND(ISNUMBER(BQ166),ISNUMBER(BQ144)),IFERROR(BQ166/BQ144,""),"")</f>
        <v>0.0827561018811554</v>
      </c>
      <c r="BR380" s="215">
        <f>IF(AND(ISNUMBER(BR166),ISNUMBER(BR144)),IFERROR(BR166/BR144,""),"")</f>
        <v>0.0916186474975428</v>
      </c>
      <c r="BS380" s="215">
        <f>IF(AND(ISNUMBER(BS166),ISNUMBER(BS144)),IFERROR(BS166/BS144,""),"")</f>
        <v>0.0907979630535116</v>
      </c>
      <c r="BT380" s="215">
        <f>IF(AND(ISNUMBER(BT166),ISNUMBER(BT144)),IFERROR(BT166/BT144,""),"")</f>
        <v>0.0932235845234197</v>
      </c>
      <c r="BU380" s="215">
        <f>IF(AND(ISNUMBER(BU166),ISNUMBER(BU144)),IFERROR(BU166/BU144,""),"")</f>
        <v>0.0912477857029046</v>
      </c>
      <c r="BV380" s="215">
        <f>IF(AND(ISNUMBER(BV166),ISNUMBER(BV144)),IFERROR(BV166/BV144,""),"")</f>
        <v>0.0917196243953334</v>
      </c>
      <c r="BW380" s="215">
        <f>IF(AND(ISNUMBER(BW166),ISNUMBER(BW144)),IFERROR(BW166/BW144,""),"")</f>
        <v>0.104369239583735</v>
      </c>
      <c r="BX380" s="215">
        <f>IF(AND(ISNUMBER(BX166),ISNUMBER(BX144)),IFERROR(BX166/BX144,""),"")</f>
        <v>0.0996380965674008</v>
      </c>
      <c r="BY380" s="24" t="n"/>
      <c r="BZ380" s="24" t="n"/>
      <c r="CA380" s="256">
        <f>IF(AND(ISNUMBER(CA166),ISNUMBER(CA144)),IFERROR(CA166/CA144,""),"")</f>
        <v>0.1036477305218</v>
      </c>
      <c r="CB380" s="256">
        <f>IF(AND(ISNUMBER(CB166),ISNUMBER(CB144)),IFERROR(CB166/CB144,""),"")</f>
        <v>0.121990112817014</v>
      </c>
      <c r="CC380" s="256">
        <f>IF(AND(ISNUMBER(CC166),ISNUMBER(CC144)),IFERROR(CC166/CC144,""),"")</f>
        <v>0.128409075978439</v>
      </c>
      <c r="CD380" s="256">
        <f>IF(AND(ISNUMBER(CD166),ISNUMBER(CD144)),IFERROR(CD166/CD144,""),"")</f>
        <v>0.131698928579385</v>
      </c>
      <c r="CE380" s="256">
        <f>IF(AND(ISNUMBER(CE166),ISNUMBER(CE144)),IFERROR(CE166/CE144,""),"")</f>
        <v>0.132589455431084</v>
      </c>
      <c r="CF380" s="153" t="n"/>
    </row>
    <row r="381" ht="15" customHeight="1" s="251">
      <c r="B381" s="25" t="inlineStr">
        <is>
          <t xml:space="preserve">  Interest expense ÷ average total debt %</t>
        </is>
      </c>
      <c r="C381" s="36" t="n"/>
      <c r="D381" s="215">
        <f>IFERROR(D157*1/AVERAGE(D359,C359),"")</f>
        <v>0.0608936338473705</v>
      </c>
      <c r="E381" s="215">
        <f>IFERROR(E157*1/AVERAGE(E359,D359),"")</f>
        <v>0.0811428571428571</v>
      </c>
      <c r="F381" s="215">
        <f>IFERROR(F157*1/AVERAGE(F359,E359),"")</f>
        <v>0.117850953206239</v>
      </c>
      <c r="G381" s="215">
        <f>IFERROR(G157*1/AVERAGE(G359,F359),"")</f>
        <v>0.715596330275229</v>
      </c>
      <c r="H381" s="215">
        <f>IFERROR(H157*1/AVERAGE(H359,G359),"")</f>
        <v>1.0077519379845</v>
      </c>
      <c r="I381" s="215">
        <f>IFERROR(I157*1/AVERAGE(I359,H359),"")</f>
        <v>0.0485232067510549</v>
      </c>
      <c r="J381" s="36" t="n"/>
      <c r="K381" s="215">
        <f>IFERROR(K157*4/AVERAGE(K359,J359),"")</f>
        <v>0.0355555555555556</v>
      </c>
      <c r="L381" s="215">
        <f>IFERROR(L157*4/AVERAGE(L359,K359),"")</f>
        <v>0.0386266094420601</v>
      </c>
      <c r="M381" s="215">
        <f>IFERROR(M157*4/AVERAGE(M359,L359),"")</f>
        <v>0.0406938828746576</v>
      </c>
      <c r="N381" s="215">
        <f>IFERROR(N157*1/AVERAGE(N359,I359),"")</f>
        <v>0.0370711187064546</v>
      </c>
      <c r="O381" s="215">
        <f>IFERROR(O157*4/AVERAGE(O359,M359),"")</f>
        <v>0.0426666666666667</v>
      </c>
      <c r="P381" s="215">
        <f>IFERROR(P157*4/AVERAGE(P359,O359),"")</f>
        <v>0.04551201011378</v>
      </c>
      <c r="Q381" s="215">
        <f>IFERROR(Q157*4/AVERAGE(Q359,P359),"")</f>
        <v>0.0493578443716948</v>
      </c>
      <c r="R381" s="215">
        <f>IFERROR(R157*4/AVERAGE(R359,Q359),"")</f>
        <v>0.0430608088449229</v>
      </c>
      <c r="S381" s="215">
        <f>IFERROR(S157*1/AVERAGE(S359,N359),"")</f>
        <v>0.0305921771432734</v>
      </c>
      <c r="T381" s="215">
        <f>IFERROR(T157*4/AVERAGE(T359,R359),"")</f>
        <v>0.0473762809619445</v>
      </c>
      <c r="U381" s="215">
        <f>IFERROR(U157*4/AVERAGE(U359,T359),"")</f>
        <v>0.0476414355116753</v>
      </c>
      <c r="V381" s="215">
        <f>IFERROR(V157*4/AVERAGE(V359,U359),"")</f>
        <v>0.0491811966717897</v>
      </c>
      <c r="W381" s="215">
        <f>IFERROR(W157*4/AVERAGE(W359,V359),"")</f>
        <v>0.0515897493411092</v>
      </c>
      <c r="X381" s="215">
        <f>IFERROR(X157*1/AVERAGE(X359,S359),"")</f>
        <v>0.0502793296089386</v>
      </c>
      <c r="Y381" s="215">
        <f>IFERROR(Y157*4/AVERAGE(Y359,W359),"")</f>
        <v>0.0557740436181623</v>
      </c>
      <c r="Z381" s="215">
        <f>IFERROR(Z157*4/AVERAGE(Z359,Y359),"")</f>
        <v>0.0560318802077044</v>
      </c>
      <c r="AA381" s="215">
        <f>IFERROR(AA157*4/AVERAGE(AA359,Z359),"")</f>
        <v>0.0571913243668969</v>
      </c>
      <c r="AB381" s="215">
        <f>IFERROR(AB157*4/AVERAGE(AB359,AA359),"")</f>
        <v>0.0625771922601894</v>
      </c>
      <c r="AC381" s="215">
        <f>IFERROR(AC157*1/AVERAGE(AC359,X359),"")</f>
        <v>0.0562039133716542</v>
      </c>
      <c r="AD381" s="215">
        <f>IFERROR(AD157*4/AVERAGE(AD359,AB359),"")</f>
        <v>0.06357918810749</v>
      </c>
      <c r="AE381" s="215">
        <f>IFERROR(AE157*4/AVERAGE(AE359,AD359),"")</f>
        <v>0.065423767585497</v>
      </c>
      <c r="AF381" s="215">
        <f>IFERROR(AF157*4/AVERAGE(AF359,AE359),"")</f>
        <v>0.0528802945525179</v>
      </c>
      <c r="AG381" s="215">
        <f>IFERROR(AG157*4/AVERAGE(AG359,AF359),"")</f>
        <v>0.0536074322988733</v>
      </c>
      <c r="AH381" s="215">
        <f>IFERROR(AH157*1/AVERAGE(AH359,AC359),"")</f>
        <v>0.0504867085404697</v>
      </c>
      <c r="AI381" s="215">
        <f>IFERROR(AI157*4/AVERAGE(AI359,AG359),"")</f>
        <v>0.0532945736434109</v>
      </c>
      <c r="AJ381" s="215">
        <f>IFERROR(AJ157*4/AVERAGE(AJ359,AI359),"")</f>
        <v>0.0555893197196224</v>
      </c>
      <c r="AK381" s="215">
        <f>IFERROR(AK157*4/AVERAGE(AK359,AJ359),"")</f>
        <v>0.0579792295078649</v>
      </c>
      <c r="AL381" s="215">
        <f>IFERROR(AL157*4/AVERAGE(AL359,AK359),"")</f>
        <v>0.0624269064806227</v>
      </c>
      <c r="AM381" s="215">
        <f>IFERROR(AM157*1/AVERAGE(AM359,AH359),"")</f>
        <v>0.0570118087267899</v>
      </c>
      <c r="AN381" s="215">
        <f>IFERROR(AN157*4/AVERAGE(AN359,AL359),"")</f>
        <v>0.0587999036067154</v>
      </c>
      <c r="AO381" s="215">
        <f>IFERROR(AO157*4/AVERAGE(AO359,AN359),"")</f>
        <v>0.0614089588135084</v>
      </c>
      <c r="AP381" s="215">
        <f>IFERROR(AP157*4/AVERAGE(AP359,AO359),"")</f>
        <v>0.0630096662556188</v>
      </c>
      <c r="AQ381" s="215">
        <f>IFERROR(AQ157*4/AVERAGE(AQ359,AP359),"")</f>
        <v>0.0727505296398449</v>
      </c>
      <c r="AR381" s="215">
        <f>IFERROR(AR157*1/AVERAGE(AR359,AM359),"")</f>
        <v>0.0645330429346401</v>
      </c>
      <c r="AS381" s="215">
        <f>IFERROR(AS157*4/AVERAGE(AS359,AQ359),"")</f>
        <v>0.0650104105601488</v>
      </c>
      <c r="AT381" s="215">
        <f>IFERROR(AT157*4/AVERAGE(AT359,AS359),"")</f>
        <v>0.0546162967982382</v>
      </c>
      <c r="AU381" s="215">
        <f>IFERROR(AU157*4/AVERAGE(AU359,AT359),"")</f>
        <v>0.0508268265890806</v>
      </c>
      <c r="AV381" s="215">
        <f>IFERROR(AV157*4/AVERAGE(AV359,AU359),"")</f>
        <v>0.0501400348194686</v>
      </c>
      <c r="AW381" s="215">
        <f>IFERROR(AW157*1/AVERAGE(AW359,AR359),"")</f>
        <v>0.0570963045136241</v>
      </c>
      <c r="AX381" s="215">
        <f>IFERROR(AX157*4/AVERAGE(AX359,AV359),"")</f>
        <v>0.0483673005530722</v>
      </c>
      <c r="AY381" s="215">
        <f>IFERROR(AY157*4/AVERAGE(AY359,AX359),"")</f>
        <v>0.04120244846734</v>
      </c>
      <c r="AZ381" s="215">
        <f>IFERROR(AZ157*4/AVERAGE(AZ359,AY359),"")</f>
        <v>0.0384810521796823</v>
      </c>
      <c r="BA381" s="215">
        <f>IFERROR(BA157*4/AVERAGE(BA359,AZ359),"")</f>
        <v>0.037949767734824</v>
      </c>
      <c r="BB381" s="215">
        <f>IFERROR(BB157*1/AVERAGE(BB359,AW359),"")</f>
        <v>0.0433168909534984</v>
      </c>
      <c r="BC381" s="215">
        <f>IFERROR(BC157*4/AVERAGE(BC359,BA359),"")</f>
        <v>0.0374640341303701</v>
      </c>
      <c r="BD381" s="215">
        <f>IFERROR(BD157*4/AVERAGE(BD359,BC359),"")</f>
        <v>0.0411546558847106</v>
      </c>
      <c r="BE381" s="215">
        <f>IFERROR(BE157*4/AVERAGE(BE359,BD359),"")</f>
        <v>0.0386979427997993</v>
      </c>
      <c r="BF381" s="215">
        <f>IFERROR(BF157*4/AVERAGE(BF359,BE359),"")</f>
        <v>0.0409394241050031</v>
      </c>
      <c r="BG381" s="215">
        <f>IFERROR(BG157*1/AVERAGE(BG359,BB359),"")</f>
        <v>0.0388344735935424</v>
      </c>
      <c r="BH381" s="215">
        <f>IFERROR(BH157*4/AVERAGE(BH359,BF359),"")</f>
        <v>0.0465191863381685</v>
      </c>
      <c r="BI381" s="215">
        <f>IFERROR(BI157*4/AVERAGE(BI359,BH359),"")</f>
        <v>0.0485643875611572</v>
      </c>
      <c r="BJ381" s="215">
        <f>IFERROR(BJ157*4/AVERAGE(BJ359,BI359),"")</f>
        <v>0.0476049849388695</v>
      </c>
      <c r="BK381" s="215">
        <f>IFERROR(BK157*4/AVERAGE(BK359,BJ359),"")</f>
        <v>0.0424992921751829</v>
      </c>
      <c r="BL381" s="215">
        <f>IFERROR(BL157*1/AVERAGE(BL359,BG359),"")</f>
        <v>0.0460145765849144</v>
      </c>
      <c r="BM381" s="215">
        <f>IFERROR(BM157*4/AVERAGE(BM359,BK359),"")</f>
        <v>0.0385955186647389</v>
      </c>
      <c r="BN381" s="215">
        <f>IFERROR(BN157*4/AVERAGE(BN359,BM359),"")</f>
        <v>0.0365480973581745</v>
      </c>
      <c r="BO381" s="215">
        <f>IFERROR(BO157*4/AVERAGE(BO359,BN359),"")</f>
        <v>0.0393410536617191</v>
      </c>
      <c r="BP381" s="215">
        <f>IFERROR(BP157*4/AVERAGE(BP359,BO359),"")</f>
        <v>0.0386385012328732</v>
      </c>
      <c r="BQ381" s="215">
        <f>IFERROR(BQ157*1/AVERAGE(BQ359,BL359),"")</f>
        <v>0.0385743831465538</v>
      </c>
      <c r="BR381" s="215">
        <f>IFERROR(BR157*4/AVERAGE(BR359,BP359),"")</f>
        <v>0.0372285063008043</v>
      </c>
      <c r="BS381" s="215">
        <f>IFERROR(BS157*4/AVERAGE(BS359,BR359),"")</f>
        <v>0.036096537250787</v>
      </c>
      <c r="BT381" s="215">
        <f>IFERROR(BT157*4/AVERAGE(BT359,BS359),"")</f>
        <v>0.0388254927608137</v>
      </c>
      <c r="BU381" s="215">
        <f>IFERROR(BU157*4/AVERAGE(BU359,BT359),"")</f>
        <v>0.043873677408933</v>
      </c>
      <c r="BV381" s="215">
        <f>IFERROR(BV157*1/AVERAGE(BV359,BQ359),"")</f>
        <v>0.0359122565973374</v>
      </c>
      <c r="BW381" s="215">
        <f>IFERROR(BW157*4/AVERAGE(BW359,BU359),"")</f>
        <v>0.033523825487536</v>
      </c>
      <c r="BX381" s="215">
        <f>IFERROR(BX157*4/AVERAGE(BX359,BW359),"")</f>
        <v>0.0412871602116203</v>
      </c>
      <c r="BY381" s="24" t="n"/>
      <c r="BZ381" s="24" t="n"/>
      <c r="CA381" s="256">
        <f>IFERROR(CA157*1/AVERAGE(CA359,BV359),"")</f>
        <v>0.0501612294418981</v>
      </c>
      <c r="CB381" s="256">
        <f>IFERROR(CB157*1/AVERAGE(CB359,CA359),"")</f>
        <v>0.0486818512348009</v>
      </c>
      <c r="CC381" s="256">
        <f>IFERROR(CC157*1/AVERAGE(CC359,CB359),"")</f>
        <v>0.0496818512348009</v>
      </c>
      <c r="CD381" s="256">
        <f>IFERROR(CD157*1/AVERAGE(CD359,CC359),"")</f>
        <v>0.0506818512348009</v>
      </c>
      <c r="CE381" s="256">
        <f>IFERROR(CE157*1/AVERAGE(CE359,CD359),"")</f>
        <v>0.0506818512348009</v>
      </c>
      <c r="CF381" s="153" t="n"/>
    </row>
    <row r="382" ht="15" customHeight="1" s="251">
      <c r="B382" s="156" t="inlineStr">
        <is>
          <t xml:space="preserve">  Memo: finance-lease liabilities (capital leases to 2018; XBRL; excluded from net debt)</t>
        </is>
      </c>
      <c r="C382" s="34" t="n"/>
      <c r="D382" s="34" t="n"/>
      <c r="E382" s="34" t="n"/>
      <c r="F382" s="34" t="n"/>
      <c r="G382" s="253" t="n">
        <v>494</v>
      </c>
      <c r="H382" s="253" t="n">
        <v>975</v>
      </c>
      <c r="I382" s="253" t="n">
        <v>1292</v>
      </c>
      <c r="J382" s="34" t="n"/>
      <c r="K382" s="34" t="n"/>
      <c r="L382" s="34" t="n"/>
      <c r="M382" s="253" t="n">
        <v>2390</v>
      </c>
      <c r="N382" s="253" t="n">
        <v>2390</v>
      </c>
      <c r="O382" s="34" t="n"/>
      <c r="P382" s="34" t="n"/>
      <c r="Q382" s="34" t="n"/>
      <c r="R382" s="253" t="n">
        <v>5039</v>
      </c>
      <c r="S382" s="253" t="n">
        <v>5039</v>
      </c>
      <c r="T382" s="34" t="n"/>
      <c r="U382" s="34" t="n"/>
      <c r="V382" s="34" t="n"/>
      <c r="W382" s="253" t="n">
        <v>7239</v>
      </c>
      <c r="X382" s="253" t="n">
        <v>7239</v>
      </c>
      <c r="Y382" s="253" t="n">
        <v>7400</v>
      </c>
      <c r="Z382" s="253" t="n">
        <v>7700</v>
      </c>
      <c r="AA382" s="253" t="n">
        <v>8200</v>
      </c>
      <c r="AB382" s="253" t="n">
        <v>9077</v>
      </c>
      <c r="AC382" s="253" t="n">
        <v>9077</v>
      </c>
      <c r="AD382" s="253" t="n">
        <v>10200</v>
      </c>
      <c r="AE382" s="34" t="n"/>
      <c r="AF382" s="34" t="n"/>
      <c r="AG382" s="253" t="n">
        <v>14277</v>
      </c>
      <c r="AH382" s="253" t="n">
        <v>14277</v>
      </c>
      <c r="AI382" s="253" t="n">
        <v>14700</v>
      </c>
      <c r="AJ382" s="253" t="n">
        <v>15600</v>
      </c>
      <c r="AK382" s="253" t="n">
        <v>15600</v>
      </c>
      <c r="AL382" s="253" t="n">
        <v>17370</v>
      </c>
      <c r="AM382" s="253" t="n">
        <v>17370</v>
      </c>
      <c r="AN382" s="253" t="n">
        <v>23194</v>
      </c>
      <c r="AO382" s="253" t="n">
        <v>24234</v>
      </c>
      <c r="AP382" s="253" t="n">
        <v>25374</v>
      </c>
      <c r="AQ382" s="253" t="n">
        <v>26979</v>
      </c>
      <c r="AR382" s="253" t="n">
        <v>26979</v>
      </c>
      <c r="AS382" s="253" t="n">
        <v>26319</v>
      </c>
      <c r="AT382" s="253" t="n">
        <v>26790</v>
      </c>
      <c r="AU382" s="253" t="n">
        <v>27750</v>
      </c>
      <c r="AV382" s="253" t="n">
        <v>28434</v>
      </c>
      <c r="AW382" s="253" t="n">
        <v>28434</v>
      </c>
      <c r="AX382" s="253" t="n">
        <v>26792</v>
      </c>
      <c r="AY382" s="253" t="n">
        <v>25670</v>
      </c>
      <c r="AZ382" s="253" t="n">
        <v>24519</v>
      </c>
      <c r="BA382" s="253" t="n">
        <v>23753</v>
      </c>
      <c r="BB382" s="253" t="n">
        <v>23753</v>
      </c>
      <c r="BC382" s="253" t="n">
        <v>20927</v>
      </c>
      <c r="BD382" s="253" t="n">
        <v>18417</v>
      </c>
      <c r="BE382" s="253" t="n">
        <v>16631</v>
      </c>
      <c r="BF382" s="253" t="n">
        <v>15783</v>
      </c>
      <c r="BG382" s="253" t="n">
        <v>15783</v>
      </c>
      <c r="BH382" s="253" t="n">
        <v>14447</v>
      </c>
      <c r="BI382" s="253" t="n">
        <v>13458</v>
      </c>
      <c r="BJ382" s="253" t="n">
        <v>12466</v>
      </c>
      <c r="BK382" s="253" t="n">
        <v>12109</v>
      </c>
      <c r="BL382" s="253" t="n">
        <v>12109</v>
      </c>
      <c r="BM382" s="253" t="n">
        <v>11240</v>
      </c>
      <c r="BN382" s="253" t="n">
        <v>10827</v>
      </c>
      <c r="BO382" s="253" t="n">
        <v>10819</v>
      </c>
      <c r="BP382" s="253" t="n">
        <v>10602</v>
      </c>
      <c r="BQ382" s="253" t="n">
        <v>10602</v>
      </c>
      <c r="BR382" s="253" t="n">
        <v>10383</v>
      </c>
      <c r="BS382" s="253" t="n">
        <v>11203</v>
      </c>
      <c r="BT382" s="253" t="n">
        <v>11765</v>
      </c>
      <c r="BU382" s="253" t="n">
        <v>12286</v>
      </c>
      <c r="BV382" s="253" t="n">
        <v>12286</v>
      </c>
      <c r="BW382" s="253" t="n">
        <v>13325</v>
      </c>
      <c r="BX382" s="253" t="n">
        <v>13451</v>
      </c>
      <c r="BY382" s="153" t="n"/>
      <c r="BZ382" s="153" t="n"/>
      <c r="CA382" s="153" t="n"/>
      <c r="CB382" s="153" t="n"/>
      <c r="CC382" s="153" t="n"/>
      <c r="CD382" s="153" t="n"/>
      <c r="CE382" s="153" t="n"/>
      <c r="CF382" s="153" t="n"/>
    </row>
    <row r="383" ht="15" customHeight="1" s="251">
      <c r="CN383" s="11" t="n"/>
      <c r="CO383" s="12" t="n"/>
      <c r="CP383" s="12" t="n"/>
      <c r="CQ383" s="12" t="n"/>
      <c r="CR383" s="13" t="n"/>
    </row>
    <row r="384" ht="15" customHeight="1" s="251">
      <c r="B384" s="10" t="inlineStr">
        <is>
          <t>RATIO ANALYSIS</t>
        </is>
      </c>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0" t="n"/>
      <c r="BC384" s="10" t="n"/>
      <c r="BD384" s="10" t="n"/>
      <c r="BE384" s="10" t="n"/>
      <c r="BF384" s="10" t="n"/>
      <c r="BG384" s="10" t="n"/>
      <c r="BH384" s="10" t="n"/>
      <c r="BI384" s="10" t="n"/>
      <c r="BJ384" s="10" t="n"/>
      <c r="BK384" s="10" t="n"/>
      <c r="BL384" s="10" t="n"/>
      <c r="BM384" s="10" t="n"/>
      <c r="BN384" s="10" t="n"/>
      <c r="BO384" s="10" t="n"/>
      <c r="BP384" s="10" t="n"/>
      <c r="BQ384" s="10" t="n"/>
      <c r="BR384" s="10" t="n"/>
      <c r="BS384" s="10" t="n"/>
      <c r="BT384" s="10" t="n"/>
      <c r="BU384" s="10" t="n"/>
      <c r="BV384" s="10" t="n"/>
      <c r="BW384" s="10" t="n"/>
      <c r="BX384" s="10" t="n"/>
      <c r="BY384" s="10" t="n"/>
      <c r="BZ384" s="10" t="n"/>
      <c r="CA384" s="10" t="n"/>
      <c r="CB384" s="10" t="n"/>
      <c r="CC384" s="10" t="n"/>
      <c r="CD384" s="10" t="n"/>
      <c r="CE384" s="10" t="n"/>
      <c r="CF384" s="10" t="inlineStr">
        <is>
          <t>RETURNS — annual columns (NOPAT on adjusted EBIT, full-cost)</t>
        </is>
      </c>
    </row>
    <row r="385" ht="15" customHeight="1" s="251">
      <c r="B385" s="25" t="inlineStr">
        <is>
          <t>DuPont decomposition of ROIC</t>
        </is>
      </c>
      <c r="CF385" s="153" t="n"/>
    </row>
    <row r="386" ht="15" customHeight="1" s="251">
      <c r="B386" s="25" t="inlineStr">
        <is>
          <t>Adjusted EBIT, full-cost (adjusted operating income)</t>
        </is>
      </c>
      <c r="C386" s="211">
        <f>C209</f>
        <v>389</v>
      </c>
      <c r="D386" s="211">
        <f>D209</f>
        <v>655</v>
      </c>
      <c r="E386" s="211">
        <f>E209</f>
        <v>842</v>
      </c>
      <c r="F386" s="211">
        <f>F209</f>
        <v>1129</v>
      </c>
      <c r="G386" s="211">
        <f>G209</f>
        <v>1406</v>
      </c>
      <c r="H386" s="211">
        <f>H209</f>
        <v>862</v>
      </c>
      <c r="I386" s="211">
        <f>I209</f>
        <v>676</v>
      </c>
      <c r="J386" s="34" t="n"/>
      <c r="K386" s="34" t="n"/>
      <c r="L386" s="34" t="n"/>
      <c r="M386" s="34" t="n"/>
      <c r="N386" s="211">
        <f>N209</f>
        <v>745</v>
      </c>
      <c r="O386" s="34" t="n"/>
      <c r="P386" s="34" t="n"/>
      <c r="Q386" s="34" t="n"/>
      <c r="R386" s="34" t="n"/>
      <c r="S386" s="211">
        <f>S209</f>
        <v>178</v>
      </c>
      <c r="T386" s="34" t="n"/>
      <c r="U386" s="34" t="n"/>
      <c r="V386" s="34" t="n"/>
      <c r="W386" s="34" t="n"/>
      <c r="X386" s="211">
        <f>X209</f>
        <v>2233</v>
      </c>
      <c r="Y386" s="34" t="n"/>
      <c r="Z386" s="34" t="n"/>
      <c r="AA386" s="34" t="n"/>
      <c r="AB386" s="34" t="n"/>
      <c r="AC386" s="211">
        <f>AC209</f>
        <v>4186</v>
      </c>
      <c r="AD386" s="34" t="n"/>
      <c r="AE386" s="34" t="n"/>
      <c r="AF386" s="34" t="n"/>
      <c r="AG386" s="34" t="n"/>
      <c r="AH386" s="211">
        <f>AH209</f>
        <v>4106</v>
      </c>
      <c r="AI386" s="34" t="n"/>
      <c r="AJ386" s="34" t="n"/>
      <c r="AK386" s="34" t="n"/>
      <c r="AL386" s="34" t="n"/>
      <c r="AM386" s="211">
        <f>AM209</f>
        <v>12421</v>
      </c>
      <c r="AN386" s="34" t="n"/>
      <c r="AO386" s="34" t="n"/>
      <c r="AP386" s="34" t="n"/>
      <c r="AQ386" s="34" t="n"/>
      <c r="AR386" s="211">
        <f>AR209</f>
        <v>14541</v>
      </c>
      <c r="AS386" s="34" t="n"/>
      <c r="AT386" s="34" t="n"/>
      <c r="AU386" s="34" t="n"/>
      <c r="AV386" s="34" t="n"/>
      <c r="AW386" s="211">
        <f>AW209</f>
        <v>22899</v>
      </c>
      <c r="AX386" s="34" t="n"/>
      <c r="AY386" s="34" t="n"/>
      <c r="AZ386" s="34" t="n"/>
      <c r="BA386" s="34" t="n"/>
      <c r="BB386" s="211">
        <f>BB209</f>
        <v>24879</v>
      </c>
      <c r="BC386" s="34" t="n"/>
      <c r="BD386" s="34" t="n"/>
      <c r="BE386" s="34" t="n"/>
      <c r="BF386" s="34" t="n"/>
      <c r="BG386" s="211">
        <f>BG209</f>
        <v>14948</v>
      </c>
      <c r="BH386" s="34" t="n"/>
      <c r="BI386" s="34" t="n"/>
      <c r="BJ386" s="34" t="n"/>
      <c r="BK386" s="34" t="n"/>
      <c r="BL386" s="211">
        <f>BL209</f>
        <v>37352</v>
      </c>
      <c r="BM386" s="34" t="n"/>
      <c r="BN386" s="34" t="n"/>
      <c r="BO386" s="34" t="n"/>
      <c r="BP386" s="34" t="n"/>
      <c r="BQ386" s="211">
        <f>BQ209</f>
        <v>68593</v>
      </c>
      <c r="BR386" s="34" t="n"/>
      <c r="BS386" s="34" t="n"/>
      <c r="BT386" s="34" t="n"/>
      <c r="BU386" s="34" t="n"/>
      <c r="BV386" s="211">
        <f>BV209</f>
        <v>86715</v>
      </c>
      <c r="BW386" s="34" t="n"/>
      <c r="BX386" s="34" t="n"/>
      <c r="BY386" s="35" t="n"/>
      <c r="BZ386" s="35" t="n"/>
      <c r="CA386" s="254">
        <f>CA209</f>
        <v>106154.60601331</v>
      </c>
      <c r="CB386" s="254">
        <f>CB209</f>
        <v>133285.411379273</v>
      </c>
      <c r="CC386" s="254">
        <f>CC209</f>
        <v>160376.095923195</v>
      </c>
      <c r="CD386" s="254">
        <f>CD209</f>
        <v>188437.124716498</v>
      </c>
      <c r="CE386" s="254">
        <f>CE209</f>
        <v>219090.509680543</v>
      </c>
      <c r="CF386" s="19" t="n"/>
    </row>
    <row r="387" ht="15" customHeight="1" s="251">
      <c r="B387" s="25" t="inlineStr">
        <is>
          <t>Effective tax rate (adjusted)</t>
        </is>
      </c>
      <c r="C387" s="215">
        <f>IFERROR(MAX(0,MIN(0.4,C227+0)),0.21)</f>
        <v>0.4</v>
      </c>
      <c r="D387" s="215">
        <f>IFERROR(MAX(0,MIN(0.4,D227+0)),0.21)</f>
        <v>0.279640718562874</v>
      </c>
      <c r="E387" s="215">
        <f>IFERROR(MAX(0,MIN(0.4,E227+0)),0.21)</f>
        <v>0.269964871194379</v>
      </c>
      <c r="F387" s="215">
        <f>IFERROR(MAX(0,MIN(0.4,F227+0)),0.21)</f>
        <v>0.214531802120141</v>
      </c>
      <c r="G387" s="215">
        <f>IFERROR(MAX(0,MIN(0.4,G227+0)),0.21)</f>
        <v>0.228737658674189</v>
      </c>
      <c r="H387" s="215">
        <f>IFERROR(MAX(0,MIN(0.4,H227+0)),0.21)</f>
        <v>0.308158508158508</v>
      </c>
      <c r="I387" s="215">
        <f>IFERROR(MAX(0,MIN(0.4,I227+0)),0.21)</f>
        <v>0.4</v>
      </c>
      <c r="J387" s="34" t="n"/>
      <c r="K387" s="34" t="n"/>
      <c r="L387" s="34" t="n"/>
      <c r="M387" s="34" t="n"/>
      <c r="N387" s="215">
        <f>IFERROR(MAX(0,MIN(0.4,N227+0)),0.21)</f>
        <v>0.324922118380062</v>
      </c>
      <c r="O387" s="34" t="n"/>
      <c r="P387" s="34" t="n"/>
      <c r="Q387" s="34" t="n"/>
      <c r="R387" s="34" t="n"/>
      <c r="S387" s="215">
        <f>IFERROR(MAX(0,MIN(0.4,S227+0)),0.21)</f>
        <v>0.4</v>
      </c>
      <c r="T387" s="34" t="n"/>
      <c r="U387" s="34" t="n"/>
      <c r="V387" s="34" t="n"/>
      <c r="W387" s="34" t="n"/>
      <c r="X387" s="215">
        <f>IFERROR(MAX(0,MIN(0.4,X227+0)),0.21)</f>
        <v>0.4</v>
      </c>
      <c r="Y387" s="34" t="n"/>
      <c r="Z387" s="34" t="n"/>
      <c r="AA387" s="34" t="n"/>
      <c r="AB387" s="34" t="n"/>
      <c r="AC387" s="215">
        <f>IFERROR(MAX(0,MIN(0.4,AC227+0)),0.21)</f>
        <v>0.366517622304051</v>
      </c>
      <c r="AD387" s="34" t="n"/>
      <c r="AE387" s="34" t="n"/>
      <c r="AF387" s="34" t="n"/>
      <c r="AG387" s="34" t="n"/>
      <c r="AH387" s="215">
        <f>IFERROR(MAX(0,MIN(0.4,AH227+0)),0.21)</f>
        <v>0.187254335260116</v>
      </c>
      <c r="AI387" s="34" t="n"/>
      <c r="AJ387" s="34" t="n"/>
      <c r="AK387" s="34" t="n"/>
      <c r="AL387" s="34" t="n"/>
      <c r="AM387" s="215">
        <f>IFERROR(MAX(0,MIN(0.4,AM227+0)),0.21)</f>
        <v>0.10795438657812</v>
      </c>
      <c r="AN387" s="34" t="n"/>
      <c r="AO387" s="34" t="n"/>
      <c r="AP387" s="34" t="n"/>
      <c r="AQ387" s="34" t="n"/>
      <c r="AR387" s="215">
        <f>IFERROR(MAX(0,MIN(0.4,AR227+0)),0.21)</f>
        <v>0.169271037537211</v>
      </c>
      <c r="AS387" s="34" t="n"/>
      <c r="AT387" s="34" t="n"/>
      <c r="AU387" s="34" t="n"/>
      <c r="AV387" s="34" t="n"/>
      <c r="AW387" s="215">
        <f>IFERROR(MAX(0,MIN(0.4,AW227+0)),0.21)</f>
        <v>0.108455541798505</v>
      </c>
      <c r="AX387" s="34" t="n"/>
      <c r="AY387" s="34" t="n"/>
      <c r="AZ387" s="34" t="n"/>
      <c r="BA387" s="34" t="n"/>
      <c r="BB387" s="215">
        <f>IFERROR(MAX(0,MIN(0.4,BB227+0)),0.21)</f>
        <v>0.0730534059018624</v>
      </c>
      <c r="BC387" s="34" t="n"/>
      <c r="BD387" s="34" t="n"/>
      <c r="BE387" s="34" t="n"/>
      <c r="BF387" s="34" t="n"/>
      <c r="BG387" s="215">
        <f>IFERROR(MAX(0,MIN(0.4,BG227+0)),0.21)</f>
        <v>0.0647943994104643</v>
      </c>
      <c r="BH387" s="34" t="n"/>
      <c r="BI387" s="34" t="n"/>
      <c r="BJ387" s="34" t="n"/>
      <c r="BK387" s="34" t="n"/>
      <c r="BL387" s="215">
        <f>IFERROR(MAX(0,MIN(0.4,BL227+0)),0.21)</f>
        <v>0.18933753603276</v>
      </c>
      <c r="BM387" s="34" t="n"/>
      <c r="BN387" s="34" t="n"/>
      <c r="BO387" s="34" t="n"/>
      <c r="BP387" s="34" t="n"/>
      <c r="BQ387" s="215">
        <f>IFERROR(MAX(0,MIN(0.4,BQ227+0)),0.21)</f>
        <v>0.137411097313163</v>
      </c>
      <c r="BR387" s="34" t="n"/>
      <c r="BS387" s="34" t="n"/>
      <c r="BT387" s="34" t="n"/>
      <c r="BU387" s="34" t="n"/>
      <c r="BV387" s="215">
        <f>IFERROR(MAX(0,MIN(0.4,BV227+0)),0.21)</f>
        <v>0.194820089617437</v>
      </c>
      <c r="BW387" s="34" t="n"/>
      <c r="BX387" s="34" t="n"/>
      <c r="BY387" s="35" t="n"/>
      <c r="BZ387" s="35" t="n"/>
      <c r="CA387" s="256">
        <f>IFERROR(MAX(0,MIN(0.4,CA227+0)),0.21)</f>
        <v>0.222714292092039</v>
      </c>
      <c r="CB387" s="256">
        <f>IFERROR(MAX(0,MIN(0.4,CB227+0)),0.21)</f>
        <v>0.19</v>
      </c>
      <c r="CC387" s="256">
        <f>IFERROR(MAX(0,MIN(0.4,CC227+0)),0.21)</f>
        <v>0.19</v>
      </c>
      <c r="CD387" s="256">
        <f>IFERROR(MAX(0,MIN(0.4,CD227+0)),0.21)</f>
        <v>0.19</v>
      </c>
      <c r="CE387" s="256">
        <f>IFERROR(MAX(0,MIN(0.4,CE227+0)),0.21)</f>
        <v>0.19</v>
      </c>
      <c r="CF387" s="19" t="n"/>
    </row>
    <row r="388" ht="15" customHeight="1" s="251">
      <c r="B388" s="25" t="inlineStr">
        <is>
          <t>NOPAT = Adjusted EBIT × (1 − tax rate)</t>
        </is>
      </c>
      <c r="C388" s="211">
        <f>IFERROR(C386*(1-C387),"n/a")</f>
        <v>233.4</v>
      </c>
      <c r="D388" s="211">
        <f>IFERROR(D386*(1-D387),"n/a")</f>
        <v>471.835329341317</v>
      </c>
      <c r="E388" s="211">
        <f>IFERROR(E386*(1-E387),"n/a")</f>
        <v>614.689578454333</v>
      </c>
      <c r="F388" s="211">
        <f>IFERROR(F386*(1-F387),"n/a")</f>
        <v>886.79359540636</v>
      </c>
      <c r="G388" s="211">
        <f>IFERROR(G386*(1-G387),"n/a")</f>
        <v>1084.39485190409</v>
      </c>
      <c r="H388" s="211">
        <f>IFERROR(H386*(1-H387),"n/a")</f>
        <v>596.367365967366</v>
      </c>
      <c r="I388" s="211">
        <f>IFERROR(I386*(1-I387),"n/a")</f>
        <v>405.6</v>
      </c>
      <c r="J388" s="34" t="n"/>
      <c r="K388" s="34" t="n"/>
      <c r="L388" s="34" t="n"/>
      <c r="M388" s="34" t="n"/>
      <c r="N388" s="211">
        <f>IFERROR(N386*(1-N387),"n/a")</f>
        <v>502.933021806854</v>
      </c>
      <c r="O388" s="34" t="n"/>
      <c r="P388" s="34" t="n"/>
      <c r="Q388" s="34" t="n"/>
      <c r="R388" s="34" t="n"/>
      <c r="S388" s="211">
        <f>IFERROR(S386*(1-S387),"n/a")</f>
        <v>106.8</v>
      </c>
      <c r="T388" s="34" t="n"/>
      <c r="U388" s="34" t="n"/>
      <c r="V388" s="34" t="n"/>
      <c r="W388" s="34" t="n"/>
      <c r="X388" s="211">
        <f>IFERROR(X386*(1-X387),"n/a")</f>
        <v>1339.8</v>
      </c>
      <c r="Y388" s="34" t="n"/>
      <c r="Z388" s="34" t="n"/>
      <c r="AA388" s="34" t="n"/>
      <c r="AB388" s="34" t="n"/>
      <c r="AC388" s="211">
        <f>IFERROR(AC386*(1-AC387),"n/a")</f>
        <v>2651.75723303524</v>
      </c>
      <c r="AD388" s="34" t="n"/>
      <c r="AE388" s="34" t="n"/>
      <c r="AF388" s="34" t="n"/>
      <c r="AG388" s="34" t="n"/>
      <c r="AH388" s="211">
        <f>IFERROR(AH386*(1-AH387),"n/a")</f>
        <v>3337.13369942197</v>
      </c>
      <c r="AI388" s="34" t="n"/>
      <c r="AJ388" s="34" t="n"/>
      <c r="AK388" s="34" t="n"/>
      <c r="AL388" s="34" t="n"/>
      <c r="AM388" s="211">
        <f>IFERROR(AM386*(1-AM387),"n/a")</f>
        <v>11080.0985643132</v>
      </c>
      <c r="AN388" s="34" t="n"/>
      <c r="AO388" s="34" t="n"/>
      <c r="AP388" s="34" t="n"/>
      <c r="AQ388" s="34" t="n"/>
      <c r="AR388" s="211">
        <f>IFERROR(AR386*(1-AR387),"n/a")</f>
        <v>12079.6298431714</v>
      </c>
      <c r="AS388" s="34" t="n"/>
      <c r="AT388" s="34" t="n"/>
      <c r="AU388" s="34" t="n"/>
      <c r="AV388" s="34" t="n"/>
      <c r="AW388" s="211">
        <f>IFERROR(AW386*(1-AW387),"n/a")</f>
        <v>20415.476548356</v>
      </c>
      <c r="AX388" s="34" t="n"/>
      <c r="AY388" s="34" t="n"/>
      <c r="AZ388" s="34" t="n"/>
      <c r="BA388" s="34" t="n"/>
      <c r="BB388" s="211">
        <f>IFERROR(BB386*(1-BB387),"n/a")</f>
        <v>23061.5043145676</v>
      </c>
      <c r="BC388" s="34" t="n"/>
      <c r="BD388" s="34" t="n"/>
      <c r="BE388" s="34" t="n"/>
      <c r="BF388" s="34" t="n"/>
      <c r="BG388" s="211">
        <f>IFERROR(BG386*(1-BG387),"n/a")</f>
        <v>13979.4533176124</v>
      </c>
      <c r="BH388" s="34" t="n"/>
      <c r="BI388" s="34" t="n"/>
      <c r="BJ388" s="34" t="n"/>
      <c r="BK388" s="34" t="n"/>
      <c r="BL388" s="211">
        <f>IFERROR(BL386*(1-BL387),"n/a")</f>
        <v>30279.8643541044</v>
      </c>
      <c r="BM388" s="34" t="n"/>
      <c r="BN388" s="34" t="n"/>
      <c r="BO388" s="34" t="n"/>
      <c r="BP388" s="34" t="n"/>
      <c r="BQ388" s="211">
        <f>IFERROR(BQ386*(1-BQ387),"n/a")</f>
        <v>59167.5606019982</v>
      </c>
      <c r="BR388" s="34" t="n"/>
      <c r="BS388" s="34" t="n"/>
      <c r="BT388" s="34" t="n"/>
      <c r="BU388" s="34" t="n"/>
      <c r="BV388" s="211">
        <f>IFERROR(BV386*(1-BV387),"n/a")</f>
        <v>69821.1759288239</v>
      </c>
      <c r="BW388" s="34" t="n"/>
      <c r="BX388" s="34" t="n"/>
      <c r="BY388" s="35" t="n"/>
      <c r="BZ388" s="35" t="n"/>
      <c r="CA388" s="254">
        <f>IFERROR(CA386*(1-CA387),"n/a")</f>
        <v>82512.4580827464</v>
      </c>
      <c r="CB388" s="254">
        <f>IFERROR(CB386*(1-CB387),"n/a")</f>
        <v>107961.183217211</v>
      </c>
      <c r="CC388" s="254">
        <f>IFERROR(CC386*(1-CC387),"n/a")</f>
        <v>129904.637697788</v>
      </c>
      <c r="CD388" s="254">
        <f>IFERROR(CD386*(1-CD387),"n/a")</f>
        <v>152634.071020364</v>
      </c>
      <c r="CE388" s="254">
        <f>IFERROR(CE386*(1-CE387),"n/a")</f>
        <v>177463.31284124</v>
      </c>
      <c r="CF388" s="19" t="n"/>
    </row>
    <row r="389" ht="15" customHeight="1" s="251">
      <c r="B389" s="25" t="inlineStr">
        <is>
          <t>Invested capital (IC) = Equity + Net debt</t>
        </is>
      </c>
      <c r="C389" s="211">
        <f>IFERROR(C390+C391,"n/a")</f>
        <v>-341</v>
      </c>
      <c r="D389" s="211">
        <f>IFERROR(D390+D391,"n/a")</f>
        <v>-633</v>
      </c>
      <c r="E389" s="211">
        <f>IFERROR(E390+E391,"n/a")</f>
        <v>-587</v>
      </c>
      <c r="F389" s="211">
        <f>IFERROR(F390+F391,"n/a")</f>
        <v>-1000</v>
      </c>
      <c r="G389" s="211">
        <f>IFERROR(G390+G391,"n/a")</f>
        <v>-1898</v>
      </c>
      <c r="H389" s="211">
        <f>IFERROR(H390+H391,"n/a")</f>
        <v>-1690</v>
      </c>
      <c r="I389" s="211">
        <f>IFERROR(I390+I391,"n/a")</f>
        <v>407</v>
      </c>
      <c r="J389" s="34" t="n"/>
      <c r="K389" s="34" t="n"/>
      <c r="L389" s="34" t="n"/>
      <c r="M389" s="34" t="n"/>
      <c r="N389" s="211">
        <f>IFERROR(N390+N391,"n/a")</f>
        <v>1243</v>
      </c>
      <c r="O389" s="34" t="n"/>
      <c r="P389" s="34" t="n"/>
      <c r="Q389" s="34" t="n"/>
      <c r="R389" s="34" t="n"/>
      <c r="S389" s="211">
        <f>IFERROR(S390+S391,"n/a")</f>
        <v>3110</v>
      </c>
      <c r="T389" s="34" t="n"/>
      <c r="U389" s="34" t="n"/>
      <c r="V389" s="34" t="n"/>
      <c r="W389" s="34" t="n"/>
      <c r="X389" s="211">
        <f>IFERROR(X390+X391,"n/a")</f>
        <v>2049</v>
      </c>
      <c r="Y389" s="34" t="n"/>
      <c r="Z389" s="34" t="n"/>
      <c r="AA389" s="34" t="n"/>
      <c r="AB389" s="34" t="n"/>
      <c r="AC389" s="211">
        <f>IFERROR(AC390+AC391,"n/a")</f>
        <v>2054</v>
      </c>
      <c r="AD389" s="34" t="n"/>
      <c r="AE389" s="34" t="n"/>
      <c r="AF389" s="34" t="n"/>
      <c r="AG389" s="34" t="n"/>
      <c r="AH389" s="211">
        <f>IFERROR(AH390+AH391,"n/a")</f>
        <v>21566</v>
      </c>
      <c r="AI389" s="34" t="n"/>
      <c r="AJ389" s="34" t="n"/>
      <c r="AK389" s="34" t="n"/>
      <c r="AL389" s="34" t="n"/>
      <c r="AM389" s="211">
        <f>IFERROR(AM390+AM391,"n/a")</f>
        <v>27165</v>
      </c>
      <c r="AN389" s="34" t="n"/>
      <c r="AO389" s="34" t="n"/>
      <c r="AP389" s="34" t="n"/>
      <c r="AQ389" s="34" t="n"/>
      <c r="AR389" s="211">
        <f>IFERROR(AR390+AR391,"n/a")</f>
        <v>31760</v>
      </c>
      <c r="AS389" s="34" t="n"/>
      <c r="AT389" s="34" t="n"/>
      <c r="AU389" s="34" t="n"/>
      <c r="AV389" s="34" t="n"/>
      <c r="AW389" s="211">
        <f>IFERROR(AW390+AW391,"n/a")</f>
        <v>41979</v>
      </c>
      <c r="AX389" s="34" t="n"/>
      <c r="AY389" s="34" t="n"/>
      <c r="AZ389" s="34" t="n"/>
      <c r="BA389" s="34" t="n"/>
      <c r="BB389" s="211">
        <f>IFERROR(BB390+BB391,"n/a")</f>
        <v>92749</v>
      </c>
      <c r="BC389" s="34" t="n"/>
      <c r="BD389" s="34" t="n"/>
      <c r="BE389" s="34" t="n"/>
      <c r="BF389" s="34" t="n"/>
      <c r="BG389" s="211">
        <f>IFERROR(BG390+BG391,"n/a")</f>
        <v>147366</v>
      </c>
      <c r="BH389" s="34" t="n"/>
      <c r="BI389" s="34" t="n"/>
      <c r="BJ389" s="34" t="n"/>
      <c r="BK389" s="34" t="n"/>
      <c r="BL389" s="211">
        <f>IFERROR(BL390+BL391,"n/a")</f>
        <v>182050</v>
      </c>
      <c r="BM389" s="34" t="n"/>
      <c r="BN389" s="34" t="n"/>
      <c r="BO389" s="34" t="n"/>
      <c r="BP389" s="34" t="n"/>
      <c r="BQ389" s="211">
        <f>IFERROR(BQ390+BQ391,"n/a")</f>
        <v>242559</v>
      </c>
      <c r="BR389" s="34" t="n"/>
      <c r="BS389" s="34" t="n"/>
      <c r="BT389" s="34" t="n"/>
      <c r="BU389" s="34" t="n"/>
      <c r="BV389" s="211">
        <f>IFERROR(BV390+BV391,"n/a")</f>
        <v>356887</v>
      </c>
      <c r="BW389" s="34" t="n"/>
      <c r="BX389" s="34" t="n"/>
      <c r="BY389" s="35" t="n"/>
      <c r="BZ389" s="35" t="n"/>
      <c r="CA389" s="254">
        <f>IFERROR(CA390+CA391,"n/a")</f>
        <v>616841.467173367</v>
      </c>
      <c r="CB389" s="254">
        <f>IFERROR(CB390+CB391,"n/a")</f>
        <v>732717.463384703</v>
      </c>
      <c r="CC389" s="254">
        <f>IFERROR(CC390+CC391,"n/a")</f>
        <v>834845.64400717</v>
      </c>
      <c r="CD389" s="254">
        <f>IFERROR(CD390+CD391,"n/a")</f>
        <v>922770.447774104</v>
      </c>
      <c r="CE389" s="254">
        <f>IFERROR(CE390+CE391,"n/a")</f>
        <v>995022.935367707</v>
      </c>
      <c r="CF389" s="19" t="n"/>
    </row>
    <row r="390" ht="15" customHeight="1" s="251">
      <c r="B390" s="25" t="inlineStr">
        <is>
          <t xml:space="preserve">  Total stockholders' equity</t>
        </is>
      </c>
      <c r="C390" s="211">
        <f>IF(ISNUMBER(C332),C332,"n/a")</f>
        <v>431</v>
      </c>
      <c r="D390" s="211">
        <f>IF(ISNUMBER(D332),D332,"n/a")</f>
        <v>1197</v>
      </c>
      <c r="E390" s="211">
        <f>IF(ISNUMBER(E332),E332,"n/a")</f>
        <v>2672</v>
      </c>
      <c r="F390" s="211">
        <f>IF(ISNUMBER(F332),F332,"n/a")</f>
        <v>5257</v>
      </c>
      <c r="G390" s="211">
        <f>IF(ISNUMBER(G332),G332,"n/a")</f>
        <v>6864</v>
      </c>
      <c r="H390" s="211">
        <f>IF(ISNUMBER(H332),H332,"n/a")</f>
        <v>7757</v>
      </c>
      <c r="I390" s="211">
        <f>IF(ISNUMBER(I332),I332,"n/a")</f>
        <v>8192</v>
      </c>
      <c r="J390" s="34" t="n"/>
      <c r="K390" s="34" t="n"/>
      <c r="L390" s="34" t="n"/>
      <c r="M390" s="34" t="n"/>
      <c r="N390" s="211">
        <f>IF(ISNUMBER(N332),N332,"n/a")</f>
        <v>9746</v>
      </c>
      <c r="O390" s="34" t="n"/>
      <c r="P390" s="34" t="n"/>
      <c r="Q390" s="34" t="n"/>
      <c r="R390" s="34" t="n"/>
      <c r="S390" s="211">
        <f>IF(ISNUMBER(S332),S332,"n/a")</f>
        <v>10741</v>
      </c>
      <c r="T390" s="34" t="n"/>
      <c r="U390" s="34" t="n"/>
      <c r="V390" s="34" t="n"/>
      <c r="W390" s="34" t="n"/>
      <c r="X390" s="211">
        <f>IF(ISNUMBER(X332),X332,"n/a")</f>
        <v>13384</v>
      </c>
      <c r="Y390" s="34" t="n"/>
      <c r="Z390" s="34" t="n"/>
      <c r="AA390" s="34" t="n"/>
      <c r="AB390" s="34" t="n"/>
      <c r="AC390" s="211">
        <f>IF(ISNUMBER(AC332),AC332,"n/a")</f>
        <v>19285</v>
      </c>
      <c r="AD390" s="34" t="n"/>
      <c r="AE390" s="34" t="n"/>
      <c r="AF390" s="34" t="n"/>
      <c r="AG390" s="34" t="n"/>
      <c r="AH390" s="211">
        <f>IF(ISNUMBER(AH332),AH332,"n/a")</f>
        <v>27709</v>
      </c>
      <c r="AI390" s="34" t="n"/>
      <c r="AJ390" s="34" t="n"/>
      <c r="AK390" s="34" t="n"/>
      <c r="AL390" s="34" t="n"/>
      <c r="AM390" s="211">
        <f>IF(ISNUMBER(AM332),AM332,"n/a")</f>
        <v>43549</v>
      </c>
      <c r="AN390" s="34" t="n"/>
      <c r="AO390" s="34" t="n"/>
      <c r="AP390" s="34" t="n"/>
      <c r="AQ390" s="34" t="n"/>
      <c r="AR390" s="211">
        <f>IF(ISNUMBER(AR332),AR332,"n/a")</f>
        <v>62060</v>
      </c>
      <c r="AS390" s="34" t="n"/>
      <c r="AT390" s="34" t="n"/>
      <c r="AU390" s="34" t="n"/>
      <c r="AV390" s="34" t="n"/>
      <c r="AW390" s="211">
        <f>IF(ISNUMBER(AW332),AW332,"n/a")</f>
        <v>93404</v>
      </c>
      <c r="AX390" s="34" t="n"/>
      <c r="AY390" s="34" t="n"/>
      <c r="AZ390" s="34" t="n"/>
      <c r="BA390" s="34" t="n"/>
      <c r="BB390" s="211">
        <f>IF(ISNUMBER(BB332),BB332,"n/a")</f>
        <v>138245</v>
      </c>
      <c r="BC390" s="34" t="n"/>
      <c r="BD390" s="34" t="n"/>
      <c r="BE390" s="34" t="n"/>
      <c r="BF390" s="34" t="n"/>
      <c r="BG390" s="211">
        <f>IF(ISNUMBER(BG332),BG332,"n/a")</f>
        <v>146043</v>
      </c>
      <c r="BH390" s="34" t="n"/>
      <c r="BI390" s="34" t="n"/>
      <c r="BJ390" s="34" t="n"/>
      <c r="BK390" s="34" t="n"/>
      <c r="BL390" s="211">
        <f>IF(ISNUMBER(BL332),BL332,"n/a")</f>
        <v>201875</v>
      </c>
      <c r="BM390" s="34" t="n"/>
      <c r="BN390" s="34" t="n"/>
      <c r="BO390" s="34" t="n"/>
      <c r="BP390" s="34" t="n"/>
      <c r="BQ390" s="211">
        <f>IF(ISNUMBER(BQ332),BQ332,"n/a")</f>
        <v>285970</v>
      </c>
      <c r="BR390" s="34" t="n"/>
      <c r="BS390" s="34" t="n"/>
      <c r="BT390" s="34" t="n"/>
      <c r="BU390" s="34" t="n"/>
      <c r="BV390" s="211">
        <f>IF(ISNUMBER(BV332),BV332,"n/a")</f>
        <v>411065</v>
      </c>
      <c r="BW390" s="34" t="n"/>
      <c r="BX390" s="34" t="n"/>
      <c r="BY390" s="35" t="n"/>
      <c r="BZ390" s="35" t="n"/>
      <c r="CA390" s="254">
        <f>IF(ISNUMBER(CA332),CA332,"n/a")</f>
        <v>604428.707872045</v>
      </c>
      <c r="CB390" s="254">
        <f>IF(ISNUMBER(CB332),CB332,"n/a")</f>
        <v>732717.463384703</v>
      </c>
      <c r="CC390" s="254">
        <f>IF(ISNUMBER(CC332),CC332,"n/a")</f>
        <v>834845.64400717</v>
      </c>
      <c r="CD390" s="254">
        <f>IF(ISNUMBER(CD332),CD332,"n/a")</f>
        <v>922770.447774104</v>
      </c>
      <c r="CE390" s="254">
        <f>IF(ISNUMBER(CE332),CE332,"n/a")</f>
        <v>995022.935367707</v>
      </c>
      <c r="CF390" s="19" t="n"/>
    </row>
    <row r="391" ht="15" customHeight="1" s="251">
      <c r="B391" s="25" t="inlineStr">
        <is>
          <t xml:space="preserve">  Net debt = Total debt − cash − marketable securities</t>
        </is>
      </c>
      <c r="C391" s="211">
        <f>IFERROR(C359-C311-C312,"n/a")</f>
        <v>-772</v>
      </c>
      <c r="D391" s="211">
        <f>IFERROR(D359-D311-D312,"n/a")</f>
        <v>-1830</v>
      </c>
      <c r="E391" s="211">
        <f>IFERROR(E359-E311-E312,"n/a")</f>
        <v>-3259</v>
      </c>
      <c r="F391" s="211">
        <f>IFERROR(F359-F311-F312,"n/a")</f>
        <v>-6257</v>
      </c>
      <c r="G391" s="211">
        <f>IFERROR(G359-G311-G312,"n/a")</f>
        <v>-8762</v>
      </c>
      <c r="H391" s="211">
        <f>IFERROR(H359-H311-H312,"n/a")</f>
        <v>-9447</v>
      </c>
      <c r="I391" s="211">
        <f>IFERROR(I359-I311-I312,"n/a")</f>
        <v>-7785</v>
      </c>
      <c r="J391" s="34" t="n"/>
      <c r="K391" s="34" t="n"/>
      <c r="L391" s="34" t="n"/>
      <c r="M391" s="34" t="n"/>
      <c r="N391" s="211">
        <f>IFERROR(N359-N311-N312,"n/a")</f>
        <v>-8503</v>
      </c>
      <c r="O391" s="34" t="n"/>
      <c r="P391" s="34" t="n"/>
      <c r="Q391" s="34" t="n"/>
      <c r="R391" s="34" t="n"/>
      <c r="S391" s="211">
        <f>IFERROR(S359-S311-S312,"n/a")</f>
        <v>-7631</v>
      </c>
      <c r="T391" s="34" t="n"/>
      <c r="U391" s="34" t="n"/>
      <c r="V391" s="34" t="n"/>
      <c r="W391" s="34" t="n"/>
      <c r="X391" s="211">
        <f>IFERROR(X359-X311-X312,"n/a")</f>
        <v>-11335</v>
      </c>
      <c r="Y391" s="34" t="n"/>
      <c r="Z391" s="34" t="n"/>
      <c r="AA391" s="34" t="n"/>
      <c r="AB391" s="34" t="n"/>
      <c r="AC391" s="211">
        <f>IFERROR(AC359-AC311-AC312,"n/a")</f>
        <v>-17231</v>
      </c>
      <c r="AD391" s="34" t="n"/>
      <c r="AE391" s="34" t="n"/>
      <c r="AF391" s="34" t="n"/>
      <c r="AG391" s="34" t="n"/>
      <c r="AH391" s="211">
        <f>IFERROR(AH359-AH311-AH312,"n/a")</f>
        <v>-6143</v>
      </c>
      <c r="AI391" s="34" t="n"/>
      <c r="AJ391" s="34" t="n"/>
      <c r="AK391" s="34" t="n"/>
      <c r="AL391" s="34" t="n"/>
      <c r="AM391" s="211">
        <f>IFERROR(AM359-AM311-AM312,"n/a")</f>
        <v>-16384</v>
      </c>
      <c r="AN391" s="34" t="n"/>
      <c r="AO391" s="34" t="n"/>
      <c r="AP391" s="34" t="n"/>
      <c r="AQ391" s="34" t="n"/>
      <c r="AR391" s="211">
        <f>IFERROR(AR359-AR311-AR312,"n/a")</f>
        <v>-30300</v>
      </c>
      <c r="AS391" s="34" t="n"/>
      <c r="AT391" s="34" t="n"/>
      <c r="AU391" s="34" t="n"/>
      <c r="AV391" s="34" t="n"/>
      <c r="AW391" s="211">
        <f>IFERROR(AW359-AW311-AW312,"n/a")</f>
        <v>-51425</v>
      </c>
      <c r="AX391" s="34" t="n"/>
      <c r="AY391" s="34" t="n"/>
      <c r="AZ391" s="34" t="n"/>
      <c r="BA391" s="34" t="n"/>
      <c r="BB391" s="211">
        <f>IFERROR(BB359-BB311-BB312,"n/a")</f>
        <v>-45496</v>
      </c>
      <c r="BC391" s="34" t="n"/>
      <c r="BD391" s="34" t="n"/>
      <c r="BE391" s="34" t="n"/>
      <c r="BF391" s="34" t="n"/>
      <c r="BG391" s="211">
        <f>IFERROR(BG359-BG311-BG312,"n/a")</f>
        <v>1323</v>
      </c>
      <c r="BH391" s="34" t="n"/>
      <c r="BI391" s="34" t="n"/>
      <c r="BJ391" s="34" t="n"/>
      <c r="BK391" s="34" t="n"/>
      <c r="BL391" s="211">
        <f>IFERROR(BL359-BL311-BL312,"n/a")</f>
        <v>-19825</v>
      </c>
      <c r="BM391" s="34" t="n"/>
      <c r="BN391" s="34" t="n"/>
      <c r="BO391" s="34" t="n"/>
      <c r="BP391" s="34" t="n"/>
      <c r="BQ391" s="211">
        <f>IFERROR(BQ359-BQ311-BQ312,"n/a")</f>
        <v>-43411</v>
      </c>
      <c r="BR391" s="34" t="n"/>
      <c r="BS391" s="34" t="n"/>
      <c r="BT391" s="34" t="n"/>
      <c r="BU391" s="34" t="n"/>
      <c r="BV391" s="211">
        <f>IFERROR(BV359-BV311-BV312,"n/a")</f>
        <v>-54178</v>
      </c>
      <c r="BW391" s="34" t="n"/>
      <c r="BX391" s="34" t="n"/>
      <c r="BY391" s="35" t="n"/>
      <c r="BZ391" s="35" t="n"/>
      <c r="CA391" s="254">
        <f>IFERROR(CA359-CA311-CA312,"n/a")</f>
        <v>12412.7593013222</v>
      </c>
      <c r="CB391" s="254">
        <f>IFERROR(CB359-CB311-CB312,"n/a")</f>
        <v>0</v>
      </c>
      <c r="CC391" s="254">
        <f>IFERROR(CC359-CC311-CC312,"n/a")</f>
        <v>0</v>
      </c>
      <c r="CD391" s="254">
        <f>IFERROR(CD359-CD311-CD312,"n/a")</f>
        <v>0</v>
      </c>
      <c r="CE391" s="254">
        <f>IFERROR(CE359-CE311-CE312,"n/a")</f>
        <v>0</v>
      </c>
      <c r="CF391" s="19" t="n"/>
    </row>
    <row r="392" ht="15" customHeight="1" s="251">
      <c r="B392" s="55" t="inlineStr">
        <is>
          <t>ROIC = NOPAT / IC</t>
        </is>
      </c>
      <c r="C392" s="290" t="str">
        <f>IFERROR(IF(C389&lt;=0,"n/m",C388/C389),"n/a")</f>
        <v>n/m</v>
      </c>
      <c r="D392" s="290" t="str">
        <f>IFERROR(IF(D389&lt;=0,"n/m",D388/D389),"n/a")</f>
        <v>n/m</v>
      </c>
      <c r="E392" s="290" t="str">
        <f>IFERROR(IF(E389&lt;=0,"n/m",E388/E389),"n/a")</f>
        <v>n/m</v>
      </c>
      <c r="F392" s="290" t="str">
        <f>IFERROR(IF(F389&lt;=0,"n/m",F388/F389),"n/a")</f>
        <v>n/m</v>
      </c>
      <c r="G392" s="290" t="str">
        <f>IFERROR(IF(G389&lt;=0,"n/m",G388/G389),"n/a")</f>
        <v>n/m</v>
      </c>
      <c r="H392" s="290" t="str">
        <f>IFERROR(IF(H389&lt;=0,"n/m",H388/H389),"n/a")</f>
        <v>n/m</v>
      </c>
      <c r="I392" s="290">
        <f>IFERROR(IF(I389&lt;=0,"n/m",I388/I389),"n/a")</f>
        <v>0.996560196560197</v>
      </c>
      <c r="J392" s="56" t="n"/>
      <c r="K392" s="56" t="n"/>
      <c r="L392" s="56" t="n"/>
      <c r="M392" s="56" t="n"/>
      <c r="N392" s="290">
        <f>IFERROR(IF(N389&lt;=0,"n/m",N388/N389),"n/a")</f>
        <v>0.404612246023213</v>
      </c>
      <c r="O392" s="56" t="n"/>
      <c r="P392" s="56" t="n"/>
      <c r="Q392" s="56" t="n"/>
      <c r="R392" s="56" t="n"/>
      <c r="S392" s="290">
        <f>IFERROR(IF(S389&lt;=0,"n/m",S388/S389),"n/a")</f>
        <v>0.0343408360128617</v>
      </c>
      <c r="T392" s="56" t="n"/>
      <c r="U392" s="56" t="n"/>
      <c r="V392" s="56" t="n"/>
      <c r="W392" s="56" t="n"/>
      <c r="X392" s="290">
        <f>IFERROR(IF(X389&lt;=0,"n/m",X388/X389),"n/a")</f>
        <v>0.653879941434846</v>
      </c>
      <c r="Y392" s="56" t="n"/>
      <c r="Z392" s="56" t="n"/>
      <c r="AA392" s="56" t="n"/>
      <c r="AB392" s="56" t="n"/>
      <c r="AC392" s="290">
        <f>IFERROR(IF(AC389&lt;=0,"n/m",AC388/AC389),"n/a")</f>
        <v>1.2910210482158</v>
      </c>
      <c r="AD392" s="56" t="n"/>
      <c r="AE392" s="56" t="n"/>
      <c r="AF392" s="56" t="n"/>
      <c r="AG392" s="56" t="n"/>
      <c r="AH392" s="290">
        <f>IFERROR(IF(AH389&lt;=0,"n/m",AH388/AH389),"n/a")</f>
        <v>0.154740503543632</v>
      </c>
      <c r="AI392" s="56" t="n"/>
      <c r="AJ392" s="56" t="n"/>
      <c r="AK392" s="56" t="n"/>
      <c r="AL392" s="56" t="n"/>
      <c r="AM392" s="290">
        <f>IFERROR(IF(AM389&lt;=0,"n/m",AM388/AM389),"n/a")</f>
        <v>0.407881412269949</v>
      </c>
      <c r="AN392" s="56" t="n"/>
      <c r="AO392" s="56" t="n"/>
      <c r="AP392" s="56" t="n"/>
      <c r="AQ392" s="56" t="n"/>
      <c r="AR392" s="290">
        <f>IFERROR(IF(AR389&lt;=0,"n/m",AR388/AR389),"n/a")</f>
        <v>0.380340990024289</v>
      </c>
      <c r="AS392" s="56" t="n"/>
      <c r="AT392" s="56" t="n"/>
      <c r="AU392" s="56" t="n"/>
      <c r="AV392" s="56" t="n"/>
      <c r="AW392" s="290">
        <f>IFERROR(IF(AW389&lt;=0,"n/m",AW388/AW389),"n/a")</f>
        <v>0.486325937929823</v>
      </c>
      <c r="AX392" s="56" t="n"/>
      <c r="AY392" s="56" t="n"/>
      <c r="AZ392" s="56" t="n"/>
      <c r="BA392" s="56" t="n"/>
      <c r="BB392" s="290">
        <f>IFERROR(IF(BB389&lt;=0,"n/m",BB388/BB389),"n/a")</f>
        <v>0.248644236752607</v>
      </c>
      <c r="BC392" s="56" t="n"/>
      <c r="BD392" s="56" t="n"/>
      <c r="BE392" s="56" t="n"/>
      <c r="BF392" s="56" t="n"/>
      <c r="BG392" s="290">
        <f>IFERROR(IF(BG389&lt;=0,"n/m",BG388/BG389),"n/a")</f>
        <v>0.0948621345331513</v>
      </c>
      <c r="BH392" s="56" t="n"/>
      <c r="BI392" s="56" t="n"/>
      <c r="BJ392" s="56" t="n"/>
      <c r="BK392" s="56" t="n"/>
      <c r="BL392" s="290">
        <f>IFERROR(IF(BL389&lt;=0,"n/m",BL388/BL389),"n/a")</f>
        <v>0.166327186784424</v>
      </c>
      <c r="BM392" s="56" t="n"/>
      <c r="BN392" s="56" t="n"/>
      <c r="BO392" s="56" t="n"/>
      <c r="BP392" s="56" t="n"/>
      <c r="BQ392" s="290">
        <f>IFERROR(IF(BQ389&lt;=0,"n/m",BQ388/BQ389),"n/a")</f>
        <v>0.2439305925651</v>
      </c>
      <c r="BR392" s="56" t="n"/>
      <c r="BS392" s="56" t="n"/>
      <c r="BT392" s="56" t="n"/>
      <c r="BU392" s="56" t="n"/>
      <c r="BV392" s="290">
        <f>IFERROR(IF(BV389&lt;=0,"n/m",BV388/BV389),"n/a")</f>
        <v>0.195639448701757</v>
      </c>
      <c r="BW392" s="56" t="n"/>
      <c r="BX392" s="56" t="n"/>
      <c r="BY392" s="56" t="n"/>
      <c r="BZ392" s="56" t="n"/>
      <c r="CA392" s="290">
        <f>IFERROR(IF(CA389&lt;=0,"n/m",CA388/CA389),"n/a")</f>
        <v>0.133766068712686</v>
      </c>
      <c r="CB392" s="290">
        <f>IFERROR(IF(CB389&lt;=0,"n/m",CB388/CB389),"n/a")</f>
        <v>0.147343537737584</v>
      </c>
      <c r="CC392" s="290">
        <f>IFERROR(IF(CC389&lt;=0,"n/m",CC388/CC389),"n/a")</f>
        <v>0.155603180815869</v>
      </c>
      <c r="CD392" s="290">
        <f>IFERROR(IF(CD389&lt;=0,"n/m",CD388/CD389),"n/a")</f>
        <v>0.165408495025546</v>
      </c>
      <c r="CE392" s="290">
        <f>IFERROR(IF(CE389&lt;=0,"n/m",CE388/CE389),"n/a")</f>
        <v>0.178350977181907</v>
      </c>
      <c r="CF392" s="153" t="inlineStr">
        <is>
          <t>n/m where invested capital is negative (2006–11: net cash and negative working capital exceeded equity).</t>
        </is>
      </c>
      <c r="CH392" s="37">
        <f>IFERROR(AVERAGE(CA392,CB392,CC392,CD392,CE392),"n/m")</f>
        <v>0.156094451894718</v>
      </c>
      <c r="CI392" s="37">
        <f>IFERROR(AVERAGE(BB392,BG392,BL392,BQ392,BV392),"n/m")</f>
        <v>0.189880719867408</v>
      </c>
      <c r="CJ392" s="37">
        <f>IFERROR(AVERAGE(AC392,AH392,AM392,AR392,AW392,BB392,BG392,BL392,BQ392,BV392),"n/m")</f>
        <v>0.366971349132053</v>
      </c>
      <c r="CK392" s="37">
        <f>IFERROR(AVERAGE(C392,D392,E392,F392,G392,H392,I392,N392,S392,X392,AC392,AH392,AM392,AR392,AW392,BB392,BG392,BL392,BQ392,BV392),"n/m")</f>
        <v>0.411364765096546</v>
      </c>
    </row>
    <row r="393" ht="15" customHeight="1" s="251">
      <c r="B393" s="25" t="inlineStr">
        <is>
          <t xml:space="preserve">  Margin = Adjusted EBIT / Net sales</t>
        </is>
      </c>
      <c r="C393" s="215">
        <f>IFERROR(C386/C144,"n/a")</f>
        <v>0.0363178041265988</v>
      </c>
      <c r="D393" s="215">
        <f>IFERROR(D386/D144,"n/a")</f>
        <v>0.0441523424334344</v>
      </c>
      <c r="E393" s="215">
        <f>IFERROR(E386/E144,"n/a")</f>
        <v>0.0439319628508818</v>
      </c>
      <c r="F393" s="215">
        <f>IFERROR(F386/F144,"n/a")</f>
        <v>0.0460647109225183</v>
      </c>
      <c r="G393" s="215">
        <f>IFERROR(G386/G144,"n/a")</f>
        <v>0.0411063033563326</v>
      </c>
      <c r="H393" s="215">
        <f>IFERROR(H386/H144,"n/a")</f>
        <v>0.0179295713126859</v>
      </c>
      <c r="I393" s="215">
        <f>IFERROR(I386/I144,"n/a")</f>
        <v>0.0110650974743424</v>
      </c>
      <c r="J393" s="34" t="n"/>
      <c r="K393" s="34" t="n"/>
      <c r="L393" s="34" t="n"/>
      <c r="M393" s="34" t="n"/>
      <c r="N393" s="215">
        <f>IFERROR(N386/N144,"n/a")</f>
        <v>0.0100064471068608</v>
      </c>
      <c r="O393" s="34" t="n"/>
      <c r="P393" s="34" t="n"/>
      <c r="Q393" s="34" t="n"/>
      <c r="R393" s="34" t="n"/>
      <c r="S393" s="215">
        <f>IFERROR(S386/S144,"n/a")</f>
        <v>0.0020002696992853</v>
      </c>
      <c r="T393" s="34" t="n"/>
      <c r="U393" s="34" t="n"/>
      <c r="V393" s="34" t="n"/>
      <c r="W393" s="34" t="n"/>
      <c r="X393" s="215">
        <f>IFERROR(X386/X144,"n/a")</f>
        <v>0.0208679887109134</v>
      </c>
      <c r="Y393" s="34" t="n"/>
      <c r="Z393" s="34" t="n"/>
      <c r="AA393" s="34" t="n"/>
      <c r="AB393" s="34" t="n"/>
      <c r="AC393" s="215">
        <f>IFERROR(AC386/AC144,"n/a")</f>
        <v>0.0307823541956216</v>
      </c>
      <c r="AD393" s="34" t="n"/>
      <c r="AE393" s="34" t="n"/>
      <c r="AF393" s="34" t="n"/>
      <c r="AG393" s="34" t="n"/>
      <c r="AH393" s="215">
        <f>IFERROR(AH386/AH144,"n/a")</f>
        <v>0.0230847941708927</v>
      </c>
      <c r="AI393" s="34" t="n"/>
      <c r="AJ393" s="34" t="n"/>
      <c r="AK393" s="34" t="n"/>
      <c r="AL393" s="34" t="n"/>
      <c r="AM393" s="215">
        <f>IFERROR(AM386/AM144,"n/a")</f>
        <v>0.0533348791473977</v>
      </c>
      <c r="AN393" s="34" t="n"/>
      <c r="AO393" s="34" t="n"/>
      <c r="AP393" s="34" t="n"/>
      <c r="AQ393" s="34" t="n"/>
      <c r="AR393" s="215">
        <f>IFERROR(AR386/AR144,"n/a")</f>
        <v>0.0518355066625791</v>
      </c>
      <c r="AS393" s="34" t="n"/>
      <c r="AT393" s="34" t="n"/>
      <c r="AU393" s="34" t="n"/>
      <c r="AV393" s="34" t="n"/>
      <c r="AW393" s="215">
        <f>IFERROR(AW386/AW144,"n/a")</f>
        <v>0.0593139997513366</v>
      </c>
      <c r="AX393" s="34" t="n"/>
      <c r="AY393" s="34" t="n"/>
      <c r="AZ393" s="34" t="n"/>
      <c r="BA393" s="34" t="n"/>
      <c r="BB393" s="215">
        <f>IFERROR(BB386/BB144,"n/a")</f>
        <v>0.0529540975092695</v>
      </c>
      <c r="BC393" s="34" t="n"/>
      <c r="BD393" s="34" t="n"/>
      <c r="BE393" s="34" t="n"/>
      <c r="BF393" s="34" t="n"/>
      <c r="BG393" s="215">
        <f>IFERROR(BG386/BG144,"n/a")</f>
        <v>0.0290826739405778</v>
      </c>
      <c r="BH393" s="34" t="n"/>
      <c r="BI393" s="34" t="n"/>
      <c r="BJ393" s="34" t="n"/>
      <c r="BK393" s="34" t="n"/>
      <c r="BL393" s="215">
        <f>IFERROR(BL386/BL144,"n/a")</f>
        <v>0.0649842984768218</v>
      </c>
      <c r="BM393" s="34" t="n"/>
      <c r="BN393" s="34" t="n"/>
      <c r="BO393" s="34" t="n"/>
      <c r="BP393" s="34" t="n"/>
      <c r="BQ393" s="215">
        <f>IFERROR(BQ386/BQ144,"n/a")</f>
        <v>0.107519448742004</v>
      </c>
      <c r="BR393" s="34" t="n"/>
      <c r="BS393" s="34" t="n"/>
      <c r="BT393" s="34" t="n"/>
      <c r="BU393" s="34" t="n"/>
      <c r="BV393" s="215">
        <f>IFERROR(BV386/BV144,"n/a")</f>
        <v>0.120954243406554</v>
      </c>
      <c r="BW393" s="34" t="n"/>
      <c r="BX393" s="34" t="n"/>
      <c r="BY393" s="35" t="n"/>
      <c r="BZ393" s="35" t="n"/>
      <c r="CA393" s="256">
        <f>IFERROR(CA386/CA144,"n/a")</f>
        <v>0.12859081291609</v>
      </c>
      <c r="CB393" s="256">
        <f>IFERROR(CB386/CB144,"n/a")</f>
        <v>0.141197899930862</v>
      </c>
      <c r="CC393" s="256">
        <f>IFERROR(CC386/CC144,"n/a")</f>
        <v>0.149964972315812</v>
      </c>
      <c r="CD393" s="256">
        <f>IFERROR(CD386/CD144,"n/a")</f>
        <v>0.157199710578401</v>
      </c>
      <c r="CE393" s="256">
        <f>IFERROR(CE386/CE144,"n/a")</f>
        <v>0.164702085203659</v>
      </c>
      <c r="CF393" s="19" t="n"/>
    </row>
    <row r="394" ht="15" customHeight="1" s="251">
      <c r="B394" s="25" t="inlineStr">
        <is>
          <t xml:space="preserve">  Capital turnover = Net sales / IC</t>
        </is>
      </c>
      <c r="C394" s="281">
        <f>IFERROR(C144/C389,"n/a")</f>
        <v>-31.4105571847507</v>
      </c>
      <c r="D394" s="281">
        <f>IFERROR(D144/D389,"n/a")</f>
        <v>-23.436018957346</v>
      </c>
      <c r="E394" s="281">
        <f>IFERROR(E144/E389,"n/a")</f>
        <v>-32.6507666098808</v>
      </c>
      <c r="F394" s="281">
        <f>IFERROR(F144/F389,"n/a")</f>
        <v>-24.509</v>
      </c>
      <c r="G394" s="281">
        <f>IFERROR(G144/G389,"n/a")</f>
        <v>-18.0210748155954</v>
      </c>
      <c r="H394" s="281">
        <f>IFERROR(H144/H389,"n/a")</f>
        <v>-28.4479289940828</v>
      </c>
      <c r="I394" s="281">
        <f>IFERROR(I144/I389,"n/a")</f>
        <v>150.105651105651</v>
      </c>
      <c r="J394" s="34" t="n"/>
      <c r="K394" s="34" t="n"/>
      <c r="L394" s="34" t="n"/>
      <c r="M394" s="34" t="n"/>
      <c r="N394" s="281">
        <f>IFERROR(N144/N389,"n/a")</f>
        <v>59.8970233306517</v>
      </c>
      <c r="O394" s="34" t="n"/>
      <c r="P394" s="34" t="n"/>
      <c r="Q394" s="34" t="n"/>
      <c r="R394" s="34" t="n"/>
      <c r="S394" s="281">
        <f>IFERROR(S144/S389,"n/a")</f>
        <v>28.6135048231511</v>
      </c>
      <c r="T394" s="34" t="n"/>
      <c r="U394" s="34" t="n"/>
      <c r="V394" s="34" t="n"/>
      <c r="W394" s="34" t="n"/>
      <c r="X394" s="281">
        <f>IFERROR(X144/X389,"n/a")</f>
        <v>52.223523670083</v>
      </c>
      <c r="Y394" s="34" t="n"/>
      <c r="Z394" s="34" t="n"/>
      <c r="AA394" s="34" t="n"/>
      <c r="AB394" s="34" t="n"/>
      <c r="AC394" s="281">
        <f>IFERROR(AC144/AC389,"n/a")</f>
        <v>66.2059396299903</v>
      </c>
      <c r="AD394" s="34" t="n"/>
      <c r="AE394" s="34" t="n"/>
      <c r="AF394" s="34" t="n"/>
      <c r="AG394" s="34" t="n"/>
      <c r="AH394" s="281">
        <f>IFERROR(AH144/AH389,"n/a")</f>
        <v>8.24751924325327</v>
      </c>
      <c r="AI394" s="34" t="n"/>
      <c r="AJ394" s="34" t="n"/>
      <c r="AK394" s="34" t="n"/>
      <c r="AL394" s="34" t="n"/>
      <c r="AM394" s="281">
        <f>IFERROR(AM144/AM389,"n/a")</f>
        <v>8.57305356156819</v>
      </c>
      <c r="AN394" s="34" t="n"/>
      <c r="AO394" s="34" t="n"/>
      <c r="AP394" s="34" t="n"/>
      <c r="AQ394" s="34" t="n"/>
      <c r="AR394" s="281">
        <f>IFERROR(AR144/AR389,"n/a")</f>
        <v>8.83255667506297</v>
      </c>
      <c r="AS394" s="34" t="n"/>
      <c r="AT394" s="34" t="n"/>
      <c r="AU394" s="34" t="n"/>
      <c r="AV394" s="34" t="n"/>
      <c r="AW394" s="281">
        <f>IFERROR(AW144/AW389,"n/a")</f>
        <v>9.19659829914957</v>
      </c>
      <c r="AX394" s="34" t="n"/>
      <c r="AY394" s="34" t="n"/>
      <c r="AZ394" s="34" t="n"/>
      <c r="BA394" s="34" t="n"/>
      <c r="BB394" s="281">
        <f>IFERROR(BB144/BB389,"n/a")</f>
        <v>5.06552092205846</v>
      </c>
      <c r="BC394" s="34" t="n"/>
      <c r="BD394" s="34" t="n"/>
      <c r="BE394" s="34" t="n"/>
      <c r="BF394" s="34" t="n"/>
      <c r="BG394" s="281">
        <f>IFERROR(BG144/BG389,"n/a")</f>
        <v>3.48779908527069</v>
      </c>
      <c r="BH394" s="34" t="n"/>
      <c r="BI394" s="34" t="n"/>
      <c r="BJ394" s="34" t="n"/>
      <c r="BK394" s="34" t="n"/>
      <c r="BL394" s="281">
        <f>IFERROR(BL144/BL389,"n/a")</f>
        <v>3.15729195276023</v>
      </c>
      <c r="BM394" s="34" t="n"/>
      <c r="BN394" s="34" t="n"/>
      <c r="BO394" s="34" t="n"/>
      <c r="BP394" s="34" t="n"/>
      <c r="BQ394" s="281">
        <f>IFERROR(BQ144/BQ389,"n/a")</f>
        <v>2.63011885767999</v>
      </c>
      <c r="BR394" s="34" t="n"/>
      <c r="BS394" s="34" t="n"/>
      <c r="BT394" s="34" t="n"/>
      <c r="BU394" s="34" t="n"/>
      <c r="BV394" s="281">
        <f>IFERROR(BV144/BV389,"n/a")</f>
        <v>2.00882632317793</v>
      </c>
      <c r="BW394" s="34" t="n"/>
      <c r="BX394" s="34" t="n"/>
      <c r="BY394" s="35" t="n"/>
      <c r="BZ394" s="35" t="n"/>
      <c r="CA394" s="282">
        <f>IFERROR(CA144/CA389,"n/a")</f>
        <v>1.33830573646715</v>
      </c>
      <c r="CB394" s="282">
        <f>IFERROR(CB144/CB389,"n/a")</f>
        <v>1.28830246224793</v>
      </c>
      <c r="CC394" s="282">
        <f>IFERROR(CC144/CC389,"n/a")</f>
        <v>1.28098374839639</v>
      </c>
      <c r="CD394" s="282">
        <f>IFERROR(CD144/CD389,"n/a")</f>
        <v>1.29903558854334</v>
      </c>
      <c r="CE394" s="282">
        <f>IFERROR(CE144/CE389,"n/a")</f>
        <v>1.33687676941269</v>
      </c>
      <c r="CF394" s="19" t="n"/>
    </row>
    <row r="395" ht="15" customHeight="1" s="251">
      <c r="B395" s="25" t="inlineStr">
        <is>
          <t xml:space="preserve">  Tax burden = (1 − tax rate)</t>
        </is>
      </c>
      <c r="C395" s="215">
        <f>IFERROR(1-C387,"n/a")</f>
        <v>0.6</v>
      </c>
      <c r="D395" s="215">
        <f>IFERROR(1-D387,"n/a")</f>
        <v>0.720359281437126</v>
      </c>
      <c r="E395" s="215">
        <f>IFERROR(1-E387,"n/a")</f>
        <v>0.730035128805621</v>
      </c>
      <c r="F395" s="215">
        <f>IFERROR(1-F387,"n/a")</f>
        <v>0.785468197879859</v>
      </c>
      <c r="G395" s="215">
        <f>IFERROR(1-G387,"n/a")</f>
        <v>0.771262341325811</v>
      </c>
      <c r="H395" s="215">
        <f>IFERROR(1-H387,"n/a")</f>
        <v>0.691841491841492</v>
      </c>
      <c r="I395" s="215">
        <f>IFERROR(1-I387,"n/a")</f>
        <v>0.6</v>
      </c>
      <c r="J395" s="34" t="n"/>
      <c r="K395" s="34" t="n"/>
      <c r="L395" s="34" t="n"/>
      <c r="M395" s="34" t="n"/>
      <c r="N395" s="215">
        <f>IFERROR(1-N387,"n/a")</f>
        <v>0.675077881619938</v>
      </c>
      <c r="O395" s="34" t="n"/>
      <c r="P395" s="34" t="n"/>
      <c r="Q395" s="34" t="n"/>
      <c r="R395" s="34" t="n"/>
      <c r="S395" s="215">
        <f>IFERROR(1-S387,"n/a")</f>
        <v>0.6</v>
      </c>
      <c r="T395" s="34" t="n"/>
      <c r="U395" s="34" t="n"/>
      <c r="V395" s="34" t="n"/>
      <c r="W395" s="34" t="n"/>
      <c r="X395" s="215">
        <f>IFERROR(1-X387,"n/a")</f>
        <v>0.6</v>
      </c>
      <c r="Y395" s="34" t="n"/>
      <c r="Z395" s="34" t="n"/>
      <c r="AA395" s="34" t="n"/>
      <c r="AB395" s="34" t="n"/>
      <c r="AC395" s="215">
        <f>IFERROR(1-AC387,"n/a")</f>
        <v>0.63348237769595</v>
      </c>
      <c r="AD395" s="34" t="n"/>
      <c r="AE395" s="34" t="n"/>
      <c r="AF395" s="34" t="n"/>
      <c r="AG395" s="34" t="n"/>
      <c r="AH395" s="215">
        <f>IFERROR(1-AH387,"n/a")</f>
        <v>0.812745664739884</v>
      </c>
      <c r="AI395" s="34" t="n"/>
      <c r="AJ395" s="34" t="n"/>
      <c r="AK395" s="34" t="n"/>
      <c r="AL395" s="34" t="n"/>
      <c r="AM395" s="215">
        <f>IFERROR(1-AM387,"n/a")</f>
        <v>0.89204561342188</v>
      </c>
      <c r="AN395" s="34" t="n"/>
      <c r="AO395" s="34" t="n"/>
      <c r="AP395" s="34" t="n"/>
      <c r="AQ395" s="34" t="n"/>
      <c r="AR395" s="215">
        <f>IFERROR(1-AR387,"n/a")</f>
        <v>0.83072896246279</v>
      </c>
      <c r="AS395" s="34" t="n"/>
      <c r="AT395" s="34" t="n"/>
      <c r="AU395" s="34" t="n"/>
      <c r="AV395" s="34" t="n"/>
      <c r="AW395" s="215">
        <f>IFERROR(1-AW387,"n/a")</f>
        <v>0.891544458201495</v>
      </c>
      <c r="AX395" s="34" t="n"/>
      <c r="AY395" s="34" t="n"/>
      <c r="AZ395" s="34" t="n"/>
      <c r="BA395" s="34" t="n"/>
      <c r="BB395" s="215">
        <f>IFERROR(1-BB387,"n/a")</f>
        <v>0.926946594098138</v>
      </c>
      <c r="BC395" s="34" t="n"/>
      <c r="BD395" s="34" t="n"/>
      <c r="BE395" s="34" t="n"/>
      <c r="BF395" s="34" t="n"/>
      <c r="BG395" s="215">
        <f>IFERROR(1-BG387,"n/a")</f>
        <v>0.935205600589536</v>
      </c>
      <c r="BH395" s="34" t="n"/>
      <c r="BI395" s="34" t="n"/>
      <c r="BJ395" s="34" t="n"/>
      <c r="BK395" s="34" t="n"/>
      <c r="BL395" s="215">
        <f>IFERROR(1-BL387,"n/a")</f>
        <v>0.810662463967241</v>
      </c>
      <c r="BM395" s="34" t="n"/>
      <c r="BN395" s="34" t="n"/>
      <c r="BO395" s="34" t="n"/>
      <c r="BP395" s="34" t="n"/>
      <c r="BQ395" s="215">
        <f>IFERROR(1-BQ387,"n/a")</f>
        <v>0.862588902686837</v>
      </c>
      <c r="BR395" s="34" t="n"/>
      <c r="BS395" s="34" t="n"/>
      <c r="BT395" s="34" t="n"/>
      <c r="BU395" s="34" t="n"/>
      <c r="BV395" s="215">
        <f>IFERROR(1-BV387,"n/a")</f>
        <v>0.805179910382563</v>
      </c>
      <c r="BW395" s="34" t="n"/>
      <c r="BX395" s="34" t="n"/>
      <c r="BY395" s="35" t="n"/>
      <c r="BZ395" s="35" t="n"/>
      <c r="CA395" s="256">
        <f>IFERROR(1-CA387,"n/a")</f>
        <v>0.777285707907961</v>
      </c>
      <c r="CB395" s="256">
        <f>IFERROR(1-CB387,"n/a")</f>
        <v>0.81</v>
      </c>
      <c r="CC395" s="256">
        <f>IFERROR(1-CC387,"n/a")</f>
        <v>0.81</v>
      </c>
      <c r="CD395" s="256">
        <f>IFERROR(1-CD387,"n/a")</f>
        <v>0.81</v>
      </c>
      <c r="CE395" s="256">
        <f>IFERROR(1-CE387,"n/a")</f>
        <v>0.81</v>
      </c>
      <c r="CF395" s="19" t="n"/>
    </row>
    <row r="396" ht="15" customHeight="1" s="251">
      <c r="B396" s="25" t="inlineStr">
        <is>
          <t xml:space="preserve">  Check: Margin × Turnover × Tax burden = ROIC</t>
        </is>
      </c>
      <c r="C396" s="215">
        <f>IFERROR(C393*C394*C395,"n/a")</f>
        <v>-0.684457478005865</v>
      </c>
      <c r="D396" s="215">
        <f>IFERROR(D393*D394*D395,"n/a")</f>
        <v>-0.745395464994182</v>
      </c>
      <c r="E396" s="215">
        <f>IFERROR(E393*E394*E395,"n/a")</f>
        <v>-1.04717134319307</v>
      </c>
      <c r="F396" s="215">
        <f>IFERROR(F393*F394*F395,"n/a")</f>
        <v>-0.886793595406361</v>
      </c>
      <c r="G396" s="215">
        <f>IFERROR(G393*G394*G395,"n/a")</f>
        <v>-0.571335538411007</v>
      </c>
      <c r="H396" s="215">
        <f>IFERROR(H393*H394*H395,"n/a")</f>
        <v>-0.352880098205542</v>
      </c>
      <c r="I396" s="215">
        <f>IFERROR(I393*I394*I395,"n/a")</f>
        <v>0.996560196560197</v>
      </c>
      <c r="J396" s="34" t="n"/>
      <c r="K396" s="34" t="n"/>
      <c r="L396" s="34" t="n"/>
      <c r="M396" s="34" t="n"/>
      <c r="N396" s="215">
        <f>IFERROR(N393*N394*N395,"n/a")</f>
        <v>0.404612246023213</v>
      </c>
      <c r="O396" s="34" t="n"/>
      <c r="P396" s="34" t="n"/>
      <c r="Q396" s="34" t="n"/>
      <c r="R396" s="34" t="n"/>
      <c r="S396" s="215">
        <f>IFERROR(S393*S394*S395,"n/a")</f>
        <v>0.0343408360128617</v>
      </c>
      <c r="T396" s="34" t="n"/>
      <c r="U396" s="34" t="n"/>
      <c r="V396" s="34" t="n"/>
      <c r="W396" s="34" t="n"/>
      <c r="X396" s="215">
        <f>IFERROR(X393*X394*X395,"n/a")</f>
        <v>0.653879941434846</v>
      </c>
      <c r="Y396" s="34" t="n"/>
      <c r="Z396" s="34" t="n"/>
      <c r="AA396" s="34" t="n"/>
      <c r="AB396" s="34" t="n"/>
      <c r="AC396" s="215">
        <f>IFERROR(AC393*AC394*AC395,"n/a")</f>
        <v>1.2910210482158</v>
      </c>
      <c r="AD396" s="34" t="n"/>
      <c r="AE396" s="34" t="n"/>
      <c r="AF396" s="34" t="n"/>
      <c r="AG396" s="34" t="n"/>
      <c r="AH396" s="215">
        <f>IFERROR(AH393*AH394*AH395,"n/a")</f>
        <v>0.154740503543632</v>
      </c>
      <c r="AI396" s="34" t="n"/>
      <c r="AJ396" s="34" t="n"/>
      <c r="AK396" s="34" t="n"/>
      <c r="AL396" s="34" t="n"/>
      <c r="AM396" s="215">
        <f>IFERROR(AM393*AM394*AM395,"n/a")</f>
        <v>0.407881412269949</v>
      </c>
      <c r="AN396" s="34" t="n"/>
      <c r="AO396" s="34" t="n"/>
      <c r="AP396" s="34" t="n"/>
      <c r="AQ396" s="34" t="n"/>
      <c r="AR396" s="215">
        <f>IFERROR(AR393*AR394*AR395,"n/a")</f>
        <v>0.380340990024289</v>
      </c>
      <c r="AS396" s="34" t="n"/>
      <c r="AT396" s="34" t="n"/>
      <c r="AU396" s="34" t="n"/>
      <c r="AV396" s="34" t="n"/>
      <c r="AW396" s="215">
        <f>IFERROR(AW393*AW394*AW395,"n/a")</f>
        <v>0.486325937929823</v>
      </c>
      <c r="AX396" s="34" t="n"/>
      <c r="AY396" s="34" t="n"/>
      <c r="AZ396" s="34" t="n"/>
      <c r="BA396" s="34" t="n"/>
      <c r="BB396" s="215">
        <f>IFERROR(BB393*BB394*BB395,"n/a")</f>
        <v>0.248644236752607</v>
      </c>
      <c r="BC396" s="34" t="n"/>
      <c r="BD396" s="34" t="n"/>
      <c r="BE396" s="34" t="n"/>
      <c r="BF396" s="34" t="n"/>
      <c r="BG396" s="215">
        <f>IFERROR(BG393*BG394*BG395,"n/a")</f>
        <v>0.0948621345331513</v>
      </c>
      <c r="BH396" s="34" t="n"/>
      <c r="BI396" s="34" t="n"/>
      <c r="BJ396" s="34" t="n"/>
      <c r="BK396" s="34" t="n"/>
      <c r="BL396" s="215">
        <f>IFERROR(BL393*BL394*BL395,"n/a")</f>
        <v>0.166327186784424</v>
      </c>
      <c r="BM396" s="34" t="n"/>
      <c r="BN396" s="34" t="n"/>
      <c r="BO396" s="34" t="n"/>
      <c r="BP396" s="34" t="n"/>
      <c r="BQ396" s="215">
        <f>IFERROR(BQ393*BQ394*BQ395,"n/a")</f>
        <v>0.2439305925651</v>
      </c>
      <c r="BR396" s="34" t="n"/>
      <c r="BS396" s="34" t="n"/>
      <c r="BT396" s="34" t="n"/>
      <c r="BU396" s="34" t="n"/>
      <c r="BV396" s="215">
        <f>IFERROR(BV393*BV394*BV395,"n/a")</f>
        <v>0.195639448701757</v>
      </c>
      <c r="BW396" s="34" t="n"/>
      <c r="BX396" s="34" t="n"/>
      <c r="BY396" s="35" t="n"/>
      <c r="BZ396" s="35" t="n"/>
      <c r="CA396" s="256">
        <f>IFERROR(CA393*CA394*CA395,"n/a")</f>
        <v>0.133766068712686</v>
      </c>
      <c r="CB396" s="256">
        <f>IFERROR(CB393*CB394*CB395,"n/a")</f>
        <v>0.147343537737584</v>
      </c>
      <c r="CC396" s="256">
        <f>IFERROR(CC393*CC394*CC395,"n/a")</f>
        <v>0.155603180815869</v>
      </c>
      <c r="CD396" s="256">
        <f>IFERROR(CD393*CD394*CD395,"n/a")</f>
        <v>0.165408495025546</v>
      </c>
      <c r="CE396" s="256">
        <f>IFERROR(CE393*CE394*CE395,"n/a")</f>
        <v>0.178350977181907</v>
      </c>
      <c r="CF396" s="19" t="n"/>
    </row>
    <row r="397" ht="15" customHeight="1" s="251">
      <c r="B397" s="25" t="inlineStr">
        <is>
          <t>RONTA decomposition</t>
        </is>
      </c>
      <c r="CF397" s="153" t="n"/>
    </row>
    <row r="398" ht="15" customHeight="1" s="251">
      <c r="B398" s="25" t="inlineStr">
        <is>
          <t>NOPAT = Adjusted EBIT × (1 − tax rate)</t>
        </is>
      </c>
      <c r="C398" s="211">
        <f>C388</f>
        <v>233.4</v>
      </c>
      <c r="D398" s="211">
        <f>D388</f>
        <v>471.835329341317</v>
      </c>
      <c r="E398" s="211">
        <f>E388</f>
        <v>614.689578454333</v>
      </c>
      <c r="F398" s="211">
        <f>F388</f>
        <v>886.79359540636</v>
      </c>
      <c r="G398" s="211">
        <f>G388</f>
        <v>1084.39485190409</v>
      </c>
      <c r="H398" s="211">
        <f>H388</f>
        <v>596.367365967366</v>
      </c>
      <c r="I398" s="211">
        <f>I388</f>
        <v>405.6</v>
      </c>
      <c r="J398" s="34" t="n"/>
      <c r="K398" s="34" t="n"/>
      <c r="L398" s="34" t="n"/>
      <c r="M398" s="34" t="n"/>
      <c r="N398" s="211">
        <f>N388</f>
        <v>502.933021806854</v>
      </c>
      <c r="O398" s="34" t="n"/>
      <c r="P398" s="34" t="n"/>
      <c r="Q398" s="34" t="n"/>
      <c r="R398" s="34" t="n"/>
      <c r="S398" s="211">
        <f>S388</f>
        <v>106.8</v>
      </c>
      <c r="T398" s="34" t="n"/>
      <c r="U398" s="34" t="n"/>
      <c r="V398" s="34" t="n"/>
      <c r="W398" s="34" t="n"/>
      <c r="X398" s="211">
        <f>X388</f>
        <v>1339.8</v>
      </c>
      <c r="Y398" s="34" t="n"/>
      <c r="Z398" s="34" t="n"/>
      <c r="AA398" s="34" t="n"/>
      <c r="AB398" s="34" t="n"/>
      <c r="AC398" s="211">
        <f>AC388</f>
        <v>2651.75723303524</v>
      </c>
      <c r="AD398" s="34" t="n"/>
      <c r="AE398" s="34" t="n"/>
      <c r="AF398" s="34" t="n"/>
      <c r="AG398" s="34" t="n"/>
      <c r="AH398" s="211">
        <f>AH388</f>
        <v>3337.13369942197</v>
      </c>
      <c r="AI398" s="34" t="n"/>
      <c r="AJ398" s="34" t="n"/>
      <c r="AK398" s="34" t="n"/>
      <c r="AL398" s="34" t="n"/>
      <c r="AM398" s="211">
        <f>AM388</f>
        <v>11080.0985643132</v>
      </c>
      <c r="AN398" s="34" t="n"/>
      <c r="AO398" s="34" t="n"/>
      <c r="AP398" s="34" t="n"/>
      <c r="AQ398" s="34" t="n"/>
      <c r="AR398" s="211">
        <f>AR388</f>
        <v>12079.6298431714</v>
      </c>
      <c r="AS398" s="34" t="n"/>
      <c r="AT398" s="34" t="n"/>
      <c r="AU398" s="34" t="n"/>
      <c r="AV398" s="34" t="n"/>
      <c r="AW398" s="211">
        <f>AW388</f>
        <v>20415.476548356</v>
      </c>
      <c r="AX398" s="34" t="n"/>
      <c r="AY398" s="34" t="n"/>
      <c r="AZ398" s="34" t="n"/>
      <c r="BA398" s="34" t="n"/>
      <c r="BB398" s="211">
        <f>BB388</f>
        <v>23061.5043145676</v>
      </c>
      <c r="BC398" s="34" t="n"/>
      <c r="BD398" s="34" t="n"/>
      <c r="BE398" s="34" t="n"/>
      <c r="BF398" s="34" t="n"/>
      <c r="BG398" s="211">
        <f>BG388</f>
        <v>13979.4533176124</v>
      </c>
      <c r="BH398" s="34" t="n"/>
      <c r="BI398" s="34" t="n"/>
      <c r="BJ398" s="34" t="n"/>
      <c r="BK398" s="34" t="n"/>
      <c r="BL398" s="211">
        <f>BL388</f>
        <v>30279.8643541044</v>
      </c>
      <c r="BM398" s="34" t="n"/>
      <c r="BN398" s="34" t="n"/>
      <c r="BO398" s="34" t="n"/>
      <c r="BP398" s="34" t="n"/>
      <c r="BQ398" s="211">
        <f>BQ388</f>
        <v>59167.5606019982</v>
      </c>
      <c r="BR398" s="34" t="n"/>
      <c r="BS398" s="34" t="n"/>
      <c r="BT398" s="34" t="n"/>
      <c r="BU398" s="34" t="n"/>
      <c r="BV398" s="211">
        <f>BV388</f>
        <v>69821.1759288239</v>
      </c>
      <c r="BW398" s="34" t="n"/>
      <c r="BX398" s="34" t="n"/>
      <c r="BY398" s="35" t="n"/>
      <c r="BZ398" s="35" t="n"/>
      <c r="CA398" s="254">
        <f>CA388</f>
        <v>82512.4580827464</v>
      </c>
      <c r="CB398" s="254">
        <f>CB388</f>
        <v>107961.183217211</v>
      </c>
      <c r="CC398" s="254">
        <f>CC388</f>
        <v>129904.637697788</v>
      </c>
      <c r="CD398" s="254">
        <f>CD388</f>
        <v>152634.071020364</v>
      </c>
      <c r="CE398" s="254">
        <f>CE388</f>
        <v>177463.31284124</v>
      </c>
      <c r="CF398" s="19" t="n"/>
    </row>
    <row r="399" ht="15" customHeight="1" s="251">
      <c r="B399" s="25" t="inlineStr">
        <is>
          <t xml:space="preserve">  Total assets</t>
        </is>
      </c>
      <c r="C399" s="211">
        <f>C321</f>
        <v>4363</v>
      </c>
      <c r="D399" s="211">
        <f>D321</f>
        <v>6485</v>
      </c>
      <c r="E399" s="211">
        <f>E321</f>
        <v>8314</v>
      </c>
      <c r="F399" s="211">
        <f>F321</f>
        <v>13813</v>
      </c>
      <c r="G399" s="211">
        <f>G321</f>
        <v>18797</v>
      </c>
      <c r="H399" s="211">
        <f>H321</f>
        <v>25278</v>
      </c>
      <c r="I399" s="211">
        <f>I321</f>
        <v>32555</v>
      </c>
      <c r="J399" s="34" t="n"/>
      <c r="K399" s="34" t="n"/>
      <c r="L399" s="34" t="n"/>
      <c r="M399" s="34" t="n"/>
      <c r="N399" s="211">
        <f>N321</f>
        <v>40159</v>
      </c>
      <c r="O399" s="34" t="n"/>
      <c r="P399" s="34" t="n"/>
      <c r="Q399" s="34" t="n"/>
      <c r="R399" s="34" t="n"/>
      <c r="S399" s="211">
        <f>S321</f>
        <v>54505</v>
      </c>
      <c r="T399" s="34" t="n"/>
      <c r="U399" s="34" t="n"/>
      <c r="V399" s="34" t="n"/>
      <c r="W399" s="34" t="n"/>
      <c r="X399" s="211">
        <f>X321</f>
        <v>65444</v>
      </c>
      <c r="Y399" s="34" t="n"/>
      <c r="Z399" s="34" t="n"/>
      <c r="AA399" s="34" t="n"/>
      <c r="AB399" s="34" t="n"/>
      <c r="AC399" s="211">
        <f>AC321</f>
        <v>83402</v>
      </c>
      <c r="AD399" s="34" t="n"/>
      <c r="AE399" s="34" t="n"/>
      <c r="AF399" s="34" t="n"/>
      <c r="AG399" s="34" t="n"/>
      <c r="AH399" s="211">
        <f>AH321</f>
        <v>131310</v>
      </c>
      <c r="AI399" s="34" t="n"/>
      <c r="AJ399" s="34" t="n"/>
      <c r="AK399" s="34" t="n"/>
      <c r="AL399" s="34" t="n"/>
      <c r="AM399" s="211">
        <f>AM321</f>
        <v>162648</v>
      </c>
      <c r="AN399" s="34" t="n"/>
      <c r="AO399" s="34" t="n"/>
      <c r="AP399" s="34" t="n"/>
      <c r="AQ399" s="34" t="n"/>
      <c r="AR399" s="211">
        <f>AR321</f>
        <v>225248</v>
      </c>
      <c r="AS399" s="34" t="n"/>
      <c r="AT399" s="34" t="n"/>
      <c r="AU399" s="34" t="n"/>
      <c r="AV399" s="34" t="n"/>
      <c r="AW399" s="211">
        <f>AW321</f>
        <v>321195</v>
      </c>
      <c r="AX399" s="34" t="n"/>
      <c r="AY399" s="34" t="n"/>
      <c r="AZ399" s="34" t="n"/>
      <c r="BA399" s="34" t="n"/>
      <c r="BB399" s="211">
        <f>BB321</f>
        <v>420549</v>
      </c>
      <c r="BC399" s="34" t="n"/>
      <c r="BD399" s="34" t="n"/>
      <c r="BE399" s="34" t="n"/>
      <c r="BF399" s="34" t="n"/>
      <c r="BG399" s="211">
        <f>BG321</f>
        <v>462675</v>
      </c>
      <c r="BH399" s="34" t="n"/>
      <c r="BI399" s="34" t="n"/>
      <c r="BJ399" s="34" t="n"/>
      <c r="BK399" s="34" t="n"/>
      <c r="BL399" s="211">
        <f>BL321</f>
        <v>527854</v>
      </c>
      <c r="BM399" s="34" t="n"/>
      <c r="BN399" s="34" t="n"/>
      <c r="BO399" s="34" t="n"/>
      <c r="BP399" s="34" t="n"/>
      <c r="BQ399" s="211">
        <f>BQ321</f>
        <v>624894</v>
      </c>
      <c r="BR399" s="34" t="n"/>
      <c r="BS399" s="34" t="n"/>
      <c r="BT399" s="34" t="n"/>
      <c r="BU399" s="34" t="n"/>
      <c r="BV399" s="211">
        <f>BV321</f>
        <v>818042</v>
      </c>
      <c r="BW399" s="34" t="n"/>
      <c r="BX399" s="34" t="n"/>
      <c r="BY399" s="35" t="n"/>
      <c r="BZ399" s="35" t="n"/>
      <c r="CA399" s="254">
        <f>CA321</f>
        <v>1192746.8969665</v>
      </c>
      <c r="CB399" s="254">
        <f>CB321</f>
        <v>1355905.64289187</v>
      </c>
      <c r="CC399" s="254">
        <f>CC321</f>
        <v>1497672.1932082</v>
      </c>
      <c r="CD399" s="254">
        <f>CD321</f>
        <v>1626847.54964809</v>
      </c>
      <c r="CE399" s="254">
        <f>CE321</f>
        <v>1740217.09324459</v>
      </c>
      <c r="CF399" s="19" t="n"/>
    </row>
    <row r="400" ht="15" customHeight="1" s="251">
      <c r="B400" s="25" t="inlineStr">
        <is>
          <t xml:space="preserve">  − Goodwill</t>
        </is>
      </c>
      <c r="C400" s="211">
        <f>IFERROR(-C319,"n/a")</f>
        <v>-195</v>
      </c>
      <c r="D400" s="211">
        <f>IFERROR(-D319,"n/a")</f>
        <v>-222</v>
      </c>
      <c r="E400" s="211">
        <f>IFERROR(-E319,"n/a")</f>
        <v>-438</v>
      </c>
      <c r="F400" s="211">
        <f>IFERROR(-F319,"n/a")</f>
        <v>-1234</v>
      </c>
      <c r="G400" s="211">
        <f>IFERROR(-G319,"n/a")</f>
        <v>-1349</v>
      </c>
      <c r="H400" s="211">
        <f>IFERROR(-H319,"n/a")</f>
        <v>-1955</v>
      </c>
      <c r="I400" s="211">
        <f>IFERROR(-I319,"n/a")</f>
        <v>-2552</v>
      </c>
      <c r="J400" s="34" t="n"/>
      <c r="K400" s="34" t="n"/>
      <c r="L400" s="34" t="n"/>
      <c r="M400" s="34" t="n"/>
      <c r="N400" s="211">
        <f>IFERROR(-N319,"n/a")</f>
        <v>-2655</v>
      </c>
      <c r="O400" s="34" t="n"/>
      <c r="P400" s="34" t="n"/>
      <c r="Q400" s="34" t="n"/>
      <c r="R400" s="34" t="n"/>
      <c r="S400" s="211">
        <f>IFERROR(-S319,"n/a")</f>
        <v>-3319</v>
      </c>
      <c r="T400" s="34" t="n"/>
      <c r="U400" s="34" t="n"/>
      <c r="V400" s="34" t="n"/>
      <c r="W400" s="34" t="n"/>
      <c r="X400" s="211">
        <f>IFERROR(-X319,"n/a")</f>
        <v>-3759</v>
      </c>
      <c r="Y400" s="34" t="n"/>
      <c r="Z400" s="34" t="n"/>
      <c r="AA400" s="34" t="n"/>
      <c r="AB400" s="34" t="n"/>
      <c r="AC400" s="211">
        <f>IFERROR(-AC319,"n/a")</f>
        <v>-3784</v>
      </c>
      <c r="AD400" s="34" t="n"/>
      <c r="AE400" s="34" t="n"/>
      <c r="AF400" s="34" t="n"/>
      <c r="AG400" s="34" t="n"/>
      <c r="AH400" s="211">
        <f>IFERROR(-AH319,"n/a")</f>
        <v>-13350</v>
      </c>
      <c r="AI400" s="34" t="n"/>
      <c r="AJ400" s="34" t="n"/>
      <c r="AK400" s="34" t="n"/>
      <c r="AL400" s="34" t="n"/>
      <c r="AM400" s="211">
        <f>IFERROR(-AM319,"n/a")</f>
        <v>-14548</v>
      </c>
      <c r="AN400" s="34" t="n"/>
      <c r="AO400" s="34" t="n"/>
      <c r="AP400" s="34" t="n"/>
      <c r="AQ400" s="34" t="n"/>
      <c r="AR400" s="211">
        <f>IFERROR(-AR319,"n/a")</f>
        <v>-14754</v>
      </c>
      <c r="AS400" s="34" t="n"/>
      <c r="AT400" s="34" t="n"/>
      <c r="AU400" s="34" t="n"/>
      <c r="AV400" s="34" t="n"/>
      <c r="AW400" s="211">
        <f>IFERROR(-AW319,"n/a")</f>
        <v>-15017</v>
      </c>
      <c r="AX400" s="34" t="n"/>
      <c r="AY400" s="34" t="n"/>
      <c r="AZ400" s="34" t="n"/>
      <c r="BA400" s="34" t="n"/>
      <c r="BB400" s="211">
        <f>IFERROR(-BB319,"n/a")</f>
        <v>-15371</v>
      </c>
      <c r="BC400" s="34" t="n"/>
      <c r="BD400" s="34" t="n"/>
      <c r="BE400" s="34" t="n"/>
      <c r="BF400" s="34" t="n"/>
      <c r="BG400" s="211">
        <f>IFERROR(-BG319,"n/a")</f>
        <v>-20288</v>
      </c>
      <c r="BH400" s="34" t="n"/>
      <c r="BI400" s="34" t="n"/>
      <c r="BJ400" s="34" t="n"/>
      <c r="BK400" s="34" t="n"/>
      <c r="BL400" s="211">
        <f>IFERROR(-BL319,"n/a")</f>
        <v>-22789</v>
      </c>
      <c r="BM400" s="34" t="n"/>
      <c r="BN400" s="34" t="n"/>
      <c r="BO400" s="34" t="n"/>
      <c r="BP400" s="34" t="n"/>
      <c r="BQ400" s="211">
        <f>IFERROR(-BQ319,"n/a")</f>
        <v>-23074</v>
      </c>
      <c r="BR400" s="34" t="n"/>
      <c r="BS400" s="34" t="n"/>
      <c r="BT400" s="34" t="n"/>
      <c r="BU400" s="34" t="n"/>
      <c r="BV400" s="211">
        <f>IFERROR(-BV319,"n/a")</f>
        <v>-23273</v>
      </c>
      <c r="BW400" s="34" t="n"/>
      <c r="BX400" s="34" t="n"/>
      <c r="BY400" s="35" t="n"/>
      <c r="BZ400" s="35" t="n"/>
      <c r="CA400" s="254">
        <f>IFERROR(-CA319,"n/a")</f>
        <v>-23504</v>
      </c>
      <c r="CB400" s="254">
        <f>IFERROR(-CB319,"n/a")</f>
        <v>-25254</v>
      </c>
      <c r="CC400" s="254">
        <f>IFERROR(-CC319,"n/a")</f>
        <v>-27004</v>
      </c>
      <c r="CD400" s="254">
        <f>IFERROR(-CD319,"n/a")</f>
        <v>-28754</v>
      </c>
      <c r="CE400" s="254">
        <f>IFERROR(-CE319,"n/a")</f>
        <v>-30504</v>
      </c>
      <c r="CF400" s="19" t="n"/>
    </row>
    <row r="401" ht="15" customHeight="1" s="251">
      <c r="B401" s="25" t="inlineStr">
        <is>
          <t xml:space="preserve">  − Cash and marketable securities</t>
        </is>
      </c>
      <c r="C401" s="211">
        <f>IFERROR(-(C311+C312),"n/a")</f>
        <v>-2019</v>
      </c>
      <c r="D401" s="211">
        <f>IFERROR(-(D311+D312),"n/a")</f>
        <v>-3112</v>
      </c>
      <c r="E401" s="211">
        <f>IFERROR(-(E311+E312),"n/a")</f>
        <v>-3727</v>
      </c>
      <c r="F401" s="211">
        <f>IFERROR(-(F311+F312),"n/a")</f>
        <v>-6366</v>
      </c>
      <c r="G401" s="211">
        <f>IFERROR(-(G311+G312),"n/a")</f>
        <v>-8762</v>
      </c>
      <c r="H401" s="211">
        <f>IFERROR(-(H311+H312),"n/a")</f>
        <v>-9576</v>
      </c>
      <c r="I401" s="211">
        <f>IFERROR(-(I311+I312),"n/a")</f>
        <v>-11448</v>
      </c>
      <c r="J401" s="34" t="n"/>
      <c r="K401" s="34" t="n"/>
      <c r="L401" s="34" t="n"/>
      <c r="M401" s="34" t="n"/>
      <c r="N401" s="211">
        <f>IFERROR(-(N311+N312),"n/a")</f>
        <v>-12447</v>
      </c>
      <c r="O401" s="34" t="n"/>
      <c r="P401" s="34" t="n"/>
      <c r="Q401" s="34" t="n"/>
      <c r="R401" s="34" t="n"/>
      <c r="S401" s="211">
        <f>IFERROR(-(S311+S312),"n/a")</f>
        <v>-17416</v>
      </c>
      <c r="T401" s="34" t="n"/>
      <c r="U401" s="34" t="n"/>
      <c r="V401" s="34" t="n"/>
      <c r="W401" s="34" t="n"/>
      <c r="X401" s="211">
        <f>IFERROR(-(X311+X312),"n/a")</f>
        <v>-19808</v>
      </c>
      <c r="Y401" s="34" t="n"/>
      <c r="Z401" s="34" t="n"/>
      <c r="AA401" s="34" t="n"/>
      <c r="AB401" s="34" t="n"/>
      <c r="AC401" s="211">
        <f>IFERROR(-(AC311+AC312),"n/a")</f>
        <v>-25981</v>
      </c>
      <c r="AD401" s="34" t="n"/>
      <c r="AE401" s="34" t="n"/>
      <c r="AF401" s="34" t="n"/>
      <c r="AG401" s="34" t="n"/>
      <c r="AH401" s="211">
        <f>IFERROR(-(AH311+AH312),"n/a")</f>
        <v>-30986</v>
      </c>
      <c r="AI401" s="34" t="n"/>
      <c r="AJ401" s="34" t="n"/>
      <c r="AK401" s="34" t="n"/>
      <c r="AL401" s="34" t="n"/>
      <c r="AM401" s="211">
        <f>IFERROR(-(AM311+AM312),"n/a")</f>
        <v>-41250</v>
      </c>
      <c r="AN401" s="34" t="n"/>
      <c r="AO401" s="34" t="n"/>
      <c r="AP401" s="34" t="n"/>
      <c r="AQ401" s="34" t="n"/>
      <c r="AR401" s="211">
        <f>IFERROR(-(AR311+AR312),"n/a")</f>
        <v>-55021</v>
      </c>
      <c r="AS401" s="34" t="n"/>
      <c r="AT401" s="34" t="n"/>
      <c r="AU401" s="34" t="n"/>
      <c r="AV401" s="34" t="n"/>
      <c r="AW401" s="211">
        <f>IFERROR(-(AW311+AW312),"n/a")</f>
        <v>-84396</v>
      </c>
      <c r="AX401" s="34" t="n"/>
      <c r="AY401" s="34" t="n"/>
      <c r="AZ401" s="34" t="n"/>
      <c r="BA401" s="34" t="n"/>
      <c r="BB401" s="211">
        <f>IFERROR(-(BB311+BB312),"n/a")</f>
        <v>-96049</v>
      </c>
      <c r="BC401" s="34" t="n"/>
      <c r="BD401" s="34" t="n"/>
      <c r="BE401" s="34" t="n"/>
      <c r="BF401" s="34" t="n"/>
      <c r="BG401" s="211">
        <f>IFERROR(-(BG311+BG312),"n/a")</f>
        <v>-70026</v>
      </c>
      <c r="BH401" s="34" t="n"/>
      <c r="BI401" s="34" t="n"/>
      <c r="BJ401" s="34" t="n"/>
      <c r="BK401" s="34" t="n"/>
      <c r="BL401" s="211">
        <f>IFERROR(-(BL311+BL312),"n/a")</f>
        <v>-86780</v>
      </c>
      <c r="BM401" s="34" t="n"/>
      <c r="BN401" s="34" t="n"/>
      <c r="BO401" s="34" t="n"/>
      <c r="BP401" s="34" t="n"/>
      <c r="BQ401" s="211">
        <f>IFERROR(-(BQ311+BQ312),"n/a")</f>
        <v>-101202</v>
      </c>
      <c r="BR401" s="34" t="n"/>
      <c r="BS401" s="34" t="n"/>
      <c r="BT401" s="34" t="n"/>
      <c r="BU401" s="34" t="n"/>
      <c r="BV401" s="211">
        <f>IFERROR(-(BV311+BV312),"n/a")</f>
        <v>-123029</v>
      </c>
      <c r="BW401" s="34" t="n"/>
      <c r="BX401" s="34" t="n"/>
      <c r="BY401" s="35" t="n"/>
      <c r="BZ401" s="35" t="n"/>
      <c r="CA401" s="254">
        <f>IFERROR(-(CA311+CA312),"n/a")</f>
        <v>-150548.740698678</v>
      </c>
      <c r="CB401" s="254">
        <f>IFERROR(-(CB311+CB312),"n/a")</f>
        <v>-162961.5</v>
      </c>
      <c r="CC401" s="254">
        <f>IFERROR(-(CC311+CC312),"n/a")</f>
        <v>-162961.5</v>
      </c>
      <c r="CD401" s="254">
        <f>IFERROR(-(CD311+CD312),"n/a")</f>
        <v>-162961.5</v>
      </c>
      <c r="CE401" s="254">
        <f>IFERROR(-(CE311+CE312),"n/a")</f>
        <v>-162961.5</v>
      </c>
      <c r="CF401" s="19" t="n"/>
    </row>
    <row r="402" ht="15" customHeight="1" s="251">
      <c r="B402" s="25" t="inlineStr">
        <is>
          <t xml:space="preserve">  − Non-interest-bearing current liabilities (total CL excl. debt)</t>
        </is>
      </c>
      <c r="C402" s="211">
        <f>IFERROR(-(C327-N(C325)),"n/a")</f>
        <v>-2532</v>
      </c>
      <c r="D402" s="211">
        <f>IFERROR(-(D327-N(D325)),"n/a")</f>
        <v>-3714</v>
      </c>
      <c r="E402" s="211">
        <f>IFERROR(-(E327-N(E325)),"n/a")</f>
        <v>-4687</v>
      </c>
      <c r="F402" s="211">
        <f>IFERROR(-(F327-N(F325)),"n/a")</f>
        <v>-7364</v>
      </c>
      <c r="G402" s="211">
        <f>IFERROR(-(G327-N(G325)),"n/a")</f>
        <v>-10372</v>
      </c>
      <c r="H402" s="211">
        <f>IFERROR(-(H327-N(H325)),"n/a")</f>
        <v>-14767</v>
      </c>
      <c r="I402" s="211">
        <f>IFERROR(-(I327-N(I325)),"n/a")</f>
        <v>-18423</v>
      </c>
      <c r="J402" s="34" t="n"/>
      <c r="K402" s="34" t="n"/>
      <c r="L402" s="34" t="n"/>
      <c r="M402" s="34" t="n"/>
      <c r="N402" s="211">
        <f>IFERROR(-(N327-N(N325)),"n/a")</f>
        <v>-22227</v>
      </c>
      <c r="O402" s="34" t="n"/>
      <c r="P402" s="34" t="n"/>
      <c r="Q402" s="34" t="n"/>
      <c r="R402" s="34" t="n"/>
      <c r="S402" s="211">
        <f>IFERROR(-(S327-N(S325)),"n/a")</f>
        <v>-26569</v>
      </c>
      <c r="T402" s="34" t="n"/>
      <c r="U402" s="34" t="n"/>
      <c r="V402" s="34" t="n"/>
      <c r="W402" s="34" t="n"/>
      <c r="X402" s="211">
        <f>IFERROR(-(X327-N(X325)),"n/a")</f>
        <v>-33661</v>
      </c>
      <c r="Y402" s="34" t="n"/>
      <c r="Z402" s="34" t="n"/>
      <c r="AA402" s="34" t="n"/>
      <c r="AB402" s="34" t="n"/>
      <c r="AC402" s="211">
        <f>IFERROR(-(AC327-N(AC325)),"n/a")</f>
        <v>-42760</v>
      </c>
      <c r="AD402" s="34" t="n"/>
      <c r="AE402" s="34" t="n"/>
      <c r="AF402" s="34" t="n"/>
      <c r="AG402" s="34" t="n"/>
      <c r="AH402" s="211">
        <f>IFERROR(-(AH327-N(AH325)),"n/a")</f>
        <v>-57783</v>
      </c>
      <c r="AI402" s="34" t="n"/>
      <c r="AJ402" s="34" t="n"/>
      <c r="AK402" s="34" t="n"/>
      <c r="AL402" s="34" t="n"/>
      <c r="AM402" s="211">
        <f>IFERROR(-(AM327-N(AM325)),"n/a")</f>
        <v>-67020</v>
      </c>
      <c r="AN402" s="34" t="n"/>
      <c r="AO402" s="34" t="n"/>
      <c r="AP402" s="34" t="n"/>
      <c r="AQ402" s="34" t="n"/>
      <c r="AR402" s="211">
        <f>IFERROR(-(AR327-N(AR325)),"n/a")</f>
        <v>-86505</v>
      </c>
      <c r="AS402" s="34" t="n"/>
      <c r="AT402" s="34" t="n"/>
      <c r="AU402" s="34" t="n"/>
      <c r="AV402" s="34" t="n"/>
      <c r="AW402" s="211">
        <f>IFERROR(-(AW327-N(AW325)),"n/a")</f>
        <v>-125230</v>
      </c>
      <c r="AX402" s="34" t="n"/>
      <c r="AY402" s="34" t="n"/>
      <c r="AZ402" s="34" t="n"/>
      <c r="BA402" s="34" t="n"/>
      <c r="BB402" s="211">
        <f>IFERROR(-(BB327-N(BB325)),"n/a")</f>
        <v>-140457</v>
      </c>
      <c r="BC402" s="34" t="n"/>
      <c r="BD402" s="34" t="n"/>
      <c r="BE402" s="34" t="n"/>
      <c r="BF402" s="34" t="n"/>
      <c r="BG402" s="211">
        <f>IFERROR(-(BG327-N(BG325)),"n/a")</f>
        <v>-151194</v>
      </c>
      <c r="BH402" s="34" t="n"/>
      <c r="BI402" s="34" t="n"/>
      <c r="BJ402" s="34" t="n"/>
      <c r="BK402" s="34" t="n"/>
      <c r="BL402" s="211">
        <f>IFERROR(-(BL327-N(BL325)),"n/a")</f>
        <v>-156276</v>
      </c>
      <c r="BM402" s="34" t="n"/>
      <c r="BN402" s="34" t="n"/>
      <c r="BO402" s="34" t="n"/>
      <c r="BP402" s="34" t="n"/>
      <c r="BQ402" s="211">
        <f>IFERROR(-(BQ327-N(BQ325)),"n/a")</f>
        <v>-174263</v>
      </c>
      <c r="BR402" s="34" t="n"/>
      <c r="BS402" s="34" t="n"/>
      <c r="BT402" s="34" t="n"/>
      <c r="BU402" s="34" t="n"/>
      <c r="BV402" s="211">
        <f>IFERROR(-(BV327-N(BV325)),"n/a")</f>
        <v>-214802</v>
      </c>
      <c r="BW402" s="34" t="n"/>
      <c r="BX402" s="34" t="n"/>
      <c r="BY402" s="35" t="n"/>
      <c r="BZ402" s="35" t="n"/>
      <c r="CA402" s="254">
        <f>IFERROR(-(CA327-N(CA325)),"n/a")</f>
        <v>-246955.689094459</v>
      </c>
      <c r="CB402" s="254">
        <f>IFERROR(-(CB327-N(CB325)),"n/a")</f>
        <v>-274825.67950717</v>
      </c>
      <c r="CC402" s="254">
        <f>IFERROR(-(CC327-N(CC325)),"n/a")</f>
        <v>-307464.049201034</v>
      </c>
      <c r="CD402" s="254">
        <f>IFERROR(-(CD327-N(CD325)),"n/a")</f>
        <v>-341714.60187398</v>
      </c>
      <c r="CE402" s="254">
        <f>IFERROR(-(CE327-N(CE325)),"n/a")</f>
        <v>-375831.657876886</v>
      </c>
      <c r="CF402" s="19" t="n"/>
    </row>
    <row r="403" ht="15" customHeight="1" s="251">
      <c r="B403" s="25" t="inlineStr">
        <is>
          <t xml:space="preserve">  = Net tangible operating assets</t>
        </is>
      </c>
      <c r="C403" s="211">
        <f>IFERROR(SUM(C399:C402),"n/a")</f>
        <v>-383</v>
      </c>
      <c r="D403" s="211">
        <f>IFERROR(SUM(D399:D402),"n/a")</f>
        <v>-563</v>
      </c>
      <c r="E403" s="211">
        <f>IFERROR(SUM(E399:E402),"n/a")</f>
        <v>-538</v>
      </c>
      <c r="F403" s="211">
        <f>IFERROR(SUM(F399:F402),"n/a")</f>
        <v>-1151</v>
      </c>
      <c r="G403" s="211">
        <f>IFERROR(SUM(G399:G402),"n/a")</f>
        <v>-1686</v>
      </c>
      <c r="H403" s="211">
        <f>IFERROR(SUM(H399:H402),"n/a")</f>
        <v>-1020</v>
      </c>
      <c r="I403" s="211">
        <f>IFERROR(SUM(I399:I402),"n/a")</f>
        <v>132</v>
      </c>
      <c r="J403" s="34" t="n"/>
      <c r="K403" s="34" t="n"/>
      <c r="L403" s="34" t="n"/>
      <c r="M403" s="34" t="n"/>
      <c r="N403" s="211">
        <f>IFERROR(SUM(N399:N402),"n/a")</f>
        <v>2830</v>
      </c>
      <c r="O403" s="34" t="n"/>
      <c r="P403" s="34" t="n"/>
      <c r="Q403" s="34" t="n"/>
      <c r="R403" s="34" t="n"/>
      <c r="S403" s="211">
        <f>IFERROR(SUM(S399:S402),"n/a")</f>
        <v>7201</v>
      </c>
      <c r="T403" s="34" t="n"/>
      <c r="U403" s="34" t="n"/>
      <c r="V403" s="34" t="n"/>
      <c r="W403" s="34" t="n"/>
      <c r="X403" s="211">
        <f>IFERROR(SUM(X399:X402),"n/a")</f>
        <v>8216</v>
      </c>
      <c r="Y403" s="34" t="n"/>
      <c r="Z403" s="34" t="n"/>
      <c r="AA403" s="34" t="n"/>
      <c r="AB403" s="34" t="n"/>
      <c r="AC403" s="211">
        <f>IFERROR(SUM(AC399:AC402),"n/a")</f>
        <v>10877</v>
      </c>
      <c r="AD403" s="34" t="n"/>
      <c r="AE403" s="34" t="n"/>
      <c r="AF403" s="34" t="n"/>
      <c r="AG403" s="34" t="n"/>
      <c r="AH403" s="211">
        <f>IFERROR(SUM(AH399:AH402),"n/a")</f>
        <v>29191</v>
      </c>
      <c r="AI403" s="34" t="n"/>
      <c r="AJ403" s="34" t="n"/>
      <c r="AK403" s="34" t="n"/>
      <c r="AL403" s="34" t="n"/>
      <c r="AM403" s="211">
        <f>IFERROR(SUM(AM399:AM402),"n/a")</f>
        <v>39830</v>
      </c>
      <c r="AN403" s="34" t="n"/>
      <c r="AO403" s="34" t="n"/>
      <c r="AP403" s="34" t="n"/>
      <c r="AQ403" s="34" t="n"/>
      <c r="AR403" s="211">
        <f>IFERROR(SUM(AR399:AR402),"n/a")</f>
        <v>68968</v>
      </c>
      <c r="AS403" s="34" t="n"/>
      <c r="AT403" s="34" t="n"/>
      <c r="AU403" s="34" t="n"/>
      <c r="AV403" s="34" t="n"/>
      <c r="AW403" s="211">
        <f>IFERROR(SUM(AW399:AW402),"n/a")</f>
        <v>96552</v>
      </c>
      <c r="AX403" s="34" t="n"/>
      <c r="AY403" s="34" t="n"/>
      <c r="AZ403" s="34" t="n"/>
      <c r="BA403" s="34" t="n"/>
      <c r="BB403" s="211">
        <f>IFERROR(SUM(BB399:BB402),"n/a")</f>
        <v>168672</v>
      </c>
      <c r="BC403" s="34" t="n"/>
      <c r="BD403" s="34" t="n"/>
      <c r="BE403" s="34" t="n"/>
      <c r="BF403" s="34" t="n"/>
      <c r="BG403" s="211">
        <f>IFERROR(SUM(BG399:BG402),"n/a")</f>
        <v>221167</v>
      </c>
      <c r="BH403" s="34" t="n"/>
      <c r="BI403" s="34" t="n"/>
      <c r="BJ403" s="34" t="n"/>
      <c r="BK403" s="34" t="n"/>
      <c r="BL403" s="211">
        <f>IFERROR(SUM(BL399:BL402),"n/a")</f>
        <v>262009</v>
      </c>
      <c r="BM403" s="34" t="n"/>
      <c r="BN403" s="34" t="n"/>
      <c r="BO403" s="34" t="n"/>
      <c r="BP403" s="34" t="n"/>
      <c r="BQ403" s="211">
        <f>IFERROR(SUM(BQ399:BQ402),"n/a")</f>
        <v>326355</v>
      </c>
      <c r="BR403" s="34" t="n"/>
      <c r="BS403" s="34" t="n"/>
      <c r="BT403" s="34" t="n"/>
      <c r="BU403" s="34" t="n"/>
      <c r="BV403" s="211">
        <f>IFERROR(SUM(BV399:BV402),"n/a")</f>
        <v>456938</v>
      </c>
      <c r="BW403" s="34" t="n"/>
      <c r="BX403" s="34" t="n"/>
      <c r="BY403" s="35" t="n"/>
      <c r="BZ403" s="35" t="n"/>
      <c r="CA403" s="254">
        <f>IFERROR(SUM(CA399:CA402),"n/a")</f>
        <v>771738.467173367</v>
      </c>
      <c r="CB403" s="254">
        <f>IFERROR(SUM(CB399:CB402),"n/a")</f>
        <v>892864.463384703</v>
      </c>
      <c r="CC403" s="254">
        <f>IFERROR(SUM(CC399:CC402),"n/a")</f>
        <v>1000242.64400717</v>
      </c>
      <c r="CD403" s="254">
        <f>IFERROR(SUM(CD399:CD402),"n/a")</f>
        <v>1093417.4477741</v>
      </c>
      <c r="CE403" s="254">
        <f>IFERROR(SUM(CE399:CE402),"n/a")</f>
        <v>1170919.93536771</v>
      </c>
      <c r="CF403" s="19" t="n"/>
    </row>
    <row r="404" ht="15" customHeight="1" s="251">
      <c r="B404" s="55" t="inlineStr">
        <is>
          <t>RONTA = NOPAT / NTA</t>
        </is>
      </c>
      <c r="C404" s="290" t="str">
        <f>IFERROR(IF(C403&lt;=0,"n/m",C398/C403),"n/a")</f>
        <v>n/m</v>
      </c>
      <c r="D404" s="290" t="str">
        <f>IFERROR(IF(D403&lt;=0,"n/m",D398/D403),"n/a")</f>
        <v>n/m</v>
      </c>
      <c r="E404" s="290" t="str">
        <f>IFERROR(IF(E403&lt;=0,"n/m",E398/E403),"n/a")</f>
        <v>n/m</v>
      </c>
      <c r="F404" s="290" t="str">
        <f>IFERROR(IF(F403&lt;=0,"n/m",F398/F403),"n/a")</f>
        <v>n/m</v>
      </c>
      <c r="G404" s="290" t="str">
        <f>IFERROR(IF(G403&lt;=0,"n/m",G398/G403),"n/a")</f>
        <v>n/m</v>
      </c>
      <c r="H404" s="290" t="str">
        <f>IFERROR(IF(H403&lt;=0,"n/m",H398/H403),"n/a")</f>
        <v>n/m</v>
      </c>
      <c r="I404" s="290">
        <f>IFERROR(IF(I403&lt;=0,"n/m",I398/I403),"n/a")</f>
        <v>3.07272727272727</v>
      </c>
      <c r="J404" s="56" t="n"/>
      <c r="K404" s="56" t="n"/>
      <c r="L404" s="56" t="n"/>
      <c r="M404" s="56" t="n"/>
      <c r="N404" s="290">
        <f>IFERROR(IF(N403&lt;=0,"n/m",N398/N403),"n/a")</f>
        <v>0.177714848695001</v>
      </c>
      <c r="O404" s="56" t="n"/>
      <c r="P404" s="56" t="n"/>
      <c r="Q404" s="56" t="n"/>
      <c r="R404" s="56" t="n"/>
      <c r="S404" s="290">
        <f>IFERROR(IF(S403&lt;=0,"n/m",S398/S403),"n/a")</f>
        <v>0.0148312734342452</v>
      </c>
      <c r="T404" s="56" t="n"/>
      <c r="U404" s="56" t="n"/>
      <c r="V404" s="56" t="n"/>
      <c r="W404" s="56" t="n"/>
      <c r="X404" s="290">
        <f>IFERROR(IF(X403&lt;=0,"n/m",X398/X403),"n/a")</f>
        <v>0.163072054527751</v>
      </c>
      <c r="Y404" s="56" t="n"/>
      <c r="Z404" s="56" t="n"/>
      <c r="AA404" s="56" t="n"/>
      <c r="AB404" s="56" t="n"/>
      <c r="AC404" s="290">
        <f>IFERROR(IF(AC403&lt;=0,"n/m",AC398/AC403),"n/a")</f>
        <v>0.243794909720993</v>
      </c>
      <c r="AD404" s="56" t="n"/>
      <c r="AE404" s="56" t="n"/>
      <c r="AF404" s="56" t="n"/>
      <c r="AG404" s="56" t="n"/>
      <c r="AH404" s="290">
        <f>IFERROR(IF(AH403&lt;=0,"n/m",AH398/AH403),"n/a")</f>
        <v>0.114320636477749</v>
      </c>
      <c r="AI404" s="56" t="n"/>
      <c r="AJ404" s="56" t="n"/>
      <c r="AK404" s="56" t="n"/>
      <c r="AL404" s="56" t="n"/>
      <c r="AM404" s="290">
        <f>IFERROR(IF(AM403&lt;=0,"n/m",AM398/AM403),"n/a")</f>
        <v>0.278184749292322</v>
      </c>
      <c r="AN404" s="56" t="n"/>
      <c r="AO404" s="56" t="n"/>
      <c r="AP404" s="56" t="n"/>
      <c r="AQ404" s="56" t="n"/>
      <c r="AR404" s="290">
        <f>IFERROR(IF(AR403&lt;=0,"n/m",AR398/AR403),"n/a")</f>
        <v>0.1751483273862</v>
      </c>
      <c r="AS404" s="56" t="n"/>
      <c r="AT404" s="56" t="n"/>
      <c r="AU404" s="56" t="n"/>
      <c r="AV404" s="56" t="n"/>
      <c r="AW404" s="290">
        <f>IFERROR(IF(AW403&lt;=0,"n/m",AW398/AW403),"n/a")</f>
        <v>0.21144540297825</v>
      </c>
      <c r="AX404" s="56" t="n"/>
      <c r="AY404" s="56" t="n"/>
      <c r="AZ404" s="56" t="n"/>
      <c r="BA404" s="56" t="n"/>
      <c r="BB404" s="290">
        <f>IFERROR(IF(BB403&lt;=0,"n/m",BB398/BB403),"n/a")</f>
        <v>0.136723963162633</v>
      </c>
      <c r="BC404" s="56" t="n"/>
      <c r="BD404" s="56" t="n"/>
      <c r="BE404" s="56" t="n"/>
      <c r="BF404" s="56" t="n"/>
      <c r="BG404" s="290">
        <f>IFERROR(IF(BG403&lt;=0,"n/m",BG398/BG403),"n/a")</f>
        <v>0.0632076816053588</v>
      </c>
      <c r="BH404" s="56" t="n"/>
      <c r="BI404" s="56" t="n"/>
      <c r="BJ404" s="56" t="n"/>
      <c r="BK404" s="56" t="n"/>
      <c r="BL404" s="290">
        <f>IFERROR(IF(BL403&lt;=0,"n/m",BL398/BL403),"n/a")</f>
        <v>0.115568031457333</v>
      </c>
      <c r="BM404" s="56" t="n"/>
      <c r="BN404" s="56" t="n"/>
      <c r="BO404" s="56" t="n"/>
      <c r="BP404" s="56" t="n"/>
      <c r="BQ404" s="290">
        <f>IFERROR(IF(BQ403&lt;=0,"n/m",BQ398/BQ403),"n/a")</f>
        <v>0.181298158759627</v>
      </c>
      <c r="BR404" s="56" t="n"/>
      <c r="BS404" s="56" t="n"/>
      <c r="BT404" s="56" t="n"/>
      <c r="BU404" s="56" t="n"/>
      <c r="BV404" s="290">
        <f>IFERROR(IF(BV403&lt;=0,"n/m",BV398/BV403),"n/a")</f>
        <v>0.152802296873589</v>
      </c>
      <c r="BW404" s="56" t="n"/>
      <c r="BX404" s="56" t="n"/>
      <c r="BY404" s="56" t="n"/>
      <c r="BZ404" s="56" t="n"/>
      <c r="CA404" s="290">
        <f>IFERROR(IF(CA403&lt;=0,"n/m",CA398/CA403),"n/a")</f>
        <v>0.106917643207502</v>
      </c>
      <c r="CB404" s="290">
        <f>IFERROR(IF(CB403&lt;=0,"n/m",CB398/CB403),"n/a")</f>
        <v>0.120915533817919</v>
      </c>
      <c r="CC404" s="290">
        <f>IFERROR(IF(CC403&lt;=0,"n/m",CC398/CC403),"n/a")</f>
        <v>0.129873124762372</v>
      </c>
      <c r="CD404" s="290">
        <f>IFERROR(IF(CD403&lt;=0,"n/m",CD398/CD403),"n/a")</f>
        <v>0.139593593765203</v>
      </c>
      <c r="CE404" s="290">
        <f>IFERROR(IF(CE403&lt;=0,"n/m",CE398/CE403),"n/a")</f>
        <v>0.151558879032588</v>
      </c>
      <c r="CF404" s="153" t="n"/>
      <c r="CH404" s="37">
        <f>IFERROR(AVERAGE(CA404,CB404,CC404,CD404,CE404),"n/m")</f>
        <v>0.129771754917117</v>
      </c>
      <c r="CI404" s="37">
        <f>IFERROR(AVERAGE(BB404,BG404,BL404,BQ404,BV404),"n/m")</f>
        <v>0.129920026371708</v>
      </c>
      <c r="CJ404" s="37">
        <f>IFERROR(AVERAGE(AC404,AH404,AM404,AR404,AW404,BB404,BG404,BL404,BQ404,BV404),"n/m")</f>
        <v>0.167249415771405</v>
      </c>
      <c r="CK404" s="37">
        <f>IFERROR(AVERAGE(C404,D404,E404,F404,G404,H404,I404,N404,S404,X404,AC404,AH404,AM404,AR404,AW404,BB404,BG404,BL404,BQ404,BV404),"n/m")</f>
        <v>0.364345686221309</v>
      </c>
    </row>
    <row r="405" ht="15" customHeight="1" s="251">
      <c r="B405" s="25" t="inlineStr">
        <is>
          <t>Return on Equity (ROE)</t>
        </is>
      </c>
      <c r="CF405" s="153" t="n"/>
    </row>
    <row r="406" ht="15" customHeight="1" s="251">
      <c r="B406" s="25" t="inlineStr">
        <is>
          <t>Net income</t>
        </is>
      </c>
      <c r="C406" s="211">
        <f>C163</f>
        <v>190</v>
      </c>
      <c r="D406" s="211">
        <f>D163</f>
        <v>476</v>
      </c>
      <c r="E406" s="211">
        <f>E163</f>
        <v>645</v>
      </c>
      <c r="F406" s="211">
        <f>F163</f>
        <v>902</v>
      </c>
      <c r="G406" s="211">
        <f>G163</f>
        <v>1152</v>
      </c>
      <c r="H406" s="211">
        <f>H163</f>
        <v>631</v>
      </c>
      <c r="I406" s="211">
        <f>I163</f>
        <v>-39</v>
      </c>
      <c r="J406" s="34" t="n"/>
      <c r="K406" s="34" t="n"/>
      <c r="L406" s="34" t="n"/>
      <c r="M406" s="34" t="n"/>
      <c r="N406" s="211">
        <f>N163</f>
        <v>274</v>
      </c>
      <c r="O406" s="34" t="n"/>
      <c r="P406" s="34" t="n"/>
      <c r="Q406" s="34" t="n"/>
      <c r="R406" s="34" t="n"/>
      <c r="S406" s="211">
        <f>S163</f>
        <v>-241</v>
      </c>
      <c r="T406" s="34" t="n"/>
      <c r="U406" s="34" t="n"/>
      <c r="V406" s="34" t="n"/>
      <c r="W406" s="34" t="n"/>
      <c r="X406" s="211">
        <f>X163</f>
        <v>596</v>
      </c>
      <c r="Y406" s="34" t="n"/>
      <c r="Z406" s="34" t="n"/>
      <c r="AA406" s="34" t="n"/>
      <c r="AB406" s="34" t="n"/>
      <c r="AC406" s="211">
        <f>AC163</f>
        <v>2371</v>
      </c>
      <c r="AD406" s="34" t="n"/>
      <c r="AE406" s="34" t="n"/>
      <c r="AF406" s="34" t="n"/>
      <c r="AG406" s="34" t="n"/>
      <c r="AH406" s="211">
        <f>AH163</f>
        <v>3033</v>
      </c>
      <c r="AI406" s="34" t="n"/>
      <c r="AJ406" s="34" t="n"/>
      <c r="AK406" s="34" t="n"/>
      <c r="AL406" s="34" t="n"/>
      <c r="AM406" s="211">
        <f>AM163</f>
        <v>10073</v>
      </c>
      <c r="AN406" s="34" t="n"/>
      <c r="AO406" s="34" t="n"/>
      <c r="AP406" s="34" t="n"/>
      <c r="AQ406" s="34" t="n"/>
      <c r="AR406" s="211">
        <f>AR163</f>
        <v>11588</v>
      </c>
      <c r="AS406" s="34" t="n"/>
      <c r="AT406" s="34" t="n"/>
      <c r="AU406" s="34" t="n"/>
      <c r="AV406" s="34" t="n"/>
      <c r="AW406" s="211">
        <f>AW163</f>
        <v>21331</v>
      </c>
      <c r="AX406" s="34" t="n"/>
      <c r="AY406" s="34" t="n"/>
      <c r="AZ406" s="34" t="n"/>
      <c r="BA406" s="34" t="n"/>
      <c r="BB406" s="211">
        <f>BB163</f>
        <v>33364</v>
      </c>
      <c r="BC406" s="34" t="n"/>
      <c r="BD406" s="34" t="n"/>
      <c r="BE406" s="34" t="n"/>
      <c r="BF406" s="34" t="n"/>
      <c r="BG406" s="211">
        <f>BG163</f>
        <v>-2722</v>
      </c>
      <c r="BH406" s="34" t="n"/>
      <c r="BI406" s="34" t="n"/>
      <c r="BJ406" s="34" t="n"/>
      <c r="BK406" s="34" t="n"/>
      <c r="BL406" s="211">
        <f>BL163</f>
        <v>30425</v>
      </c>
      <c r="BM406" s="34" t="n"/>
      <c r="BN406" s="34" t="n"/>
      <c r="BO406" s="34" t="n"/>
      <c r="BP406" s="34" t="n"/>
      <c r="BQ406" s="211">
        <f>BQ163</f>
        <v>59248</v>
      </c>
      <c r="BR406" s="34" t="n"/>
      <c r="BS406" s="34" t="n"/>
      <c r="BT406" s="34" t="n"/>
      <c r="BU406" s="34" t="n"/>
      <c r="BV406" s="211">
        <f>BV163</f>
        <v>77670</v>
      </c>
      <c r="BW406" s="34" t="n"/>
      <c r="BX406" s="34" t="n"/>
      <c r="BY406" s="35" t="n"/>
      <c r="BZ406" s="35" t="n"/>
      <c r="CA406" s="254">
        <f>CA163</f>
        <v>136605.055910781</v>
      </c>
      <c r="CB406" s="254">
        <f>CB163</f>
        <v>105559.404381086</v>
      </c>
      <c r="CC406" s="254">
        <f>CC163</f>
        <v>127702.653102788</v>
      </c>
      <c r="CD406" s="254">
        <f>CD163</f>
        <v>150300.087610364</v>
      </c>
      <c r="CE406" s="254">
        <f>CE163</f>
        <v>175129.32943124</v>
      </c>
      <c r="CF406" s="19" t="n"/>
    </row>
    <row r="407" ht="15" customHeight="1" s="251">
      <c r="B407" s="25" t="inlineStr">
        <is>
          <t>Stockholders' equity</t>
        </is>
      </c>
      <c r="C407" s="211">
        <f>C332</f>
        <v>431</v>
      </c>
      <c r="D407" s="211">
        <f>D332</f>
        <v>1197</v>
      </c>
      <c r="E407" s="211">
        <f>E332</f>
        <v>2672</v>
      </c>
      <c r="F407" s="211">
        <f>F332</f>
        <v>5257</v>
      </c>
      <c r="G407" s="211">
        <f>G332</f>
        <v>6864</v>
      </c>
      <c r="H407" s="211">
        <f>H332</f>
        <v>7757</v>
      </c>
      <c r="I407" s="211">
        <f>I332</f>
        <v>8192</v>
      </c>
      <c r="J407" s="34" t="n"/>
      <c r="K407" s="34" t="n"/>
      <c r="L407" s="34" t="n"/>
      <c r="M407" s="34" t="n"/>
      <c r="N407" s="211">
        <f>N332</f>
        <v>9746</v>
      </c>
      <c r="O407" s="34" t="n"/>
      <c r="P407" s="34" t="n"/>
      <c r="Q407" s="34" t="n"/>
      <c r="R407" s="34" t="n"/>
      <c r="S407" s="211">
        <f>S332</f>
        <v>10741</v>
      </c>
      <c r="T407" s="34" t="n"/>
      <c r="U407" s="34" t="n"/>
      <c r="V407" s="34" t="n"/>
      <c r="W407" s="34" t="n"/>
      <c r="X407" s="211">
        <f>X332</f>
        <v>13384</v>
      </c>
      <c r="Y407" s="34" t="n"/>
      <c r="Z407" s="34" t="n"/>
      <c r="AA407" s="34" t="n"/>
      <c r="AB407" s="34" t="n"/>
      <c r="AC407" s="211">
        <f>AC332</f>
        <v>19285</v>
      </c>
      <c r="AD407" s="34" t="n"/>
      <c r="AE407" s="34" t="n"/>
      <c r="AF407" s="34" t="n"/>
      <c r="AG407" s="34" t="n"/>
      <c r="AH407" s="211">
        <f>AH332</f>
        <v>27709</v>
      </c>
      <c r="AI407" s="34" t="n"/>
      <c r="AJ407" s="34" t="n"/>
      <c r="AK407" s="34" t="n"/>
      <c r="AL407" s="34" t="n"/>
      <c r="AM407" s="211">
        <f>AM332</f>
        <v>43549</v>
      </c>
      <c r="AN407" s="34" t="n"/>
      <c r="AO407" s="34" t="n"/>
      <c r="AP407" s="34" t="n"/>
      <c r="AQ407" s="34" t="n"/>
      <c r="AR407" s="211">
        <f>AR332</f>
        <v>62060</v>
      </c>
      <c r="AS407" s="34" t="n"/>
      <c r="AT407" s="34" t="n"/>
      <c r="AU407" s="34" t="n"/>
      <c r="AV407" s="34" t="n"/>
      <c r="AW407" s="211">
        <f>AW332</f>
        <v>93404</v>
      </c>
      <c r="AX407" s="34" t="n"/>
      <c r="AY407" s="34" t="n"/>
      <c r="AZ407" s="34" t="n"/>
      <c r="BA407" s="34" t="n"/>
      <c r="BB407" s="211">
        <f>BB332</f>
        <v>138245</v>
      </c>
      <c r="BC407" s="34" t="n"/>
      <c r="BD407" s="34" t="n"/>
      <c r="BE407" s="34" t="n"/>
      <c r="BF407" s="34" t="n"/>
      <c r="BG407" s="211">
        <f>BG332</f>
        <v>146043</v>
      </c>
      <c r="BH407" s="34" t="n"/>
      <c r="BI407" s="34" t="n"/>
      <c r="BJ407" s="34" t="n"/>
      <c r="BK407" s="34" t="n"/>
      <c r="BL407" s="211">
        <f>BL332</f>
        <v>201875</v>
      </c>
      <c r="BM407" s="34" t="n"/>
      <c r="BN407" s="34" t="n"/>
      <c r="BO407" s="34" t="n"/>
      <c r="BP407" s="34" t="n"/>
      <c r="BQ407" s="211">
        <f>BQ332</f>
        <v>285970</v>
      </c>
      <c r="BR407" s="34" t="n"/>
      <c r="BS407" s="34" t="n"/>
      <c r="BT407" s="34" t="n"/>
      <c r="BU407" s="34" t="n"/>
      <c r="BV407" s="211">
        <f>BV332</f>
        <v>411065</v>
      </c>
      <c r="BW407" s="34" t="n"/>
      <c r="BX407" s="34" t="n"/>
      <c r="BY407" s="35" t="n"/>
      <c r="BZ407" s="35" t="n"/>
      <c r="CA407" s="254">
        <f>CA332</f>
        <v>604428.707872045</v>
      </c>
      <c r="CB407" s="254">
        <f>CB332</f>
        <v>732717.463384703</v>
      </c>
      <c r="CC407" s="254">
        <f>CC332</f>
        <v>834845.64400717</v>
      </c>
      <c r="CD407" s="254">
        <f>CD332</f>
        <v>922770.447774104</v>
      </c>
      <c r="CE407" s="254">
        <f>CE332</f>
        <v>995022.935367707</v>
      </c>
      <c r="CF407" s="19" t="n"/>
    </row>
    <row r="408" ht="15" customHeight="1" s="251">
      <c r="B408" s="25" t="inlineStr">
        <is>
          <t>ROE = Net income / Equity</t>
        </is>
      </c>
      <c r="C408" s="215">
        <f>IFERROR(C406/C407,"n/a")</f>
        <v>0.440835266821346</v>
      </c>
      <c r="D408" s="215">
        <f>IFERROR(D406/D407,"n/a")</f>
        <v>0.39766081871345</v>
      </c>
      <c r="E408" s="215">
        <f>IFERROR(E406/E407,"n/a")</f>
        <v>0.241392215568862</v>
      </c>
      <c r="F408" s="215">
        <f>IFERROR(F406/F407,"n/a")</f>
        <v>0.171580749476888</v>
      </c>
      <c r="G408" s="215">
        <f>IFERROR(G406/G407,"n/a")</f>
        <v>0.167832167832168</v>
      </c>
      <c r="H408" s="215">
        <f>IFERROR(H406/H407,"n/a")</f>
        <v>0.0813458811396158</v>
      </c>
      <c r="I408" s="215">
        <f>IFERROR(I406/I407,"n/a")</f>
        <v>-0.0047607421875</v>
      </c>
      <c r="J408" s="34" t="n"/>
      <c r="K408" s="34" t="n"/>
      <c r="L408" s="34" t="n"/>
      <c r="M408" s="34" t="n"/>
      <c r="N408" s="215">
        <f>IFERROR(N406/N407,"n/a")</f>
        <v>0.0281140980915247</v>
      </c>
      <c r="O408" s="34" t="n"/>
      <c r="P408" s="34" t="n"/>
      <c r="Q408" s="34" t="n"/>
      <c r="R408" s="34" t="n"/>
      <c r="S408" s="215">
        <f>IFERROR(S406/S407,"n/a")</f>
        <v>-0.0224373894423238</v>
      </c>
      <c r="T408" s="34" t="n"/>
      <c r="U408" s="34" t="n"/>
      <c r="V408" s="34" t="n"/>
      <c r="W408" s="34" t="n"/>
      <c r="X408" s="215">
        <f>IFERROR(X406/X407,"n/a")</f>
        <v>0.0445307830245069</v>
      </c>
      <c r="Y408" s="34" t="n"/>
      <c r="Z408" s="34" t="n"/>
      <c r="AA408" s="34" t="n"/>
      <c r="AB408" s="34" t="n"/>
      <c r="AC408" s="215">
        <f>IFERROR(AC406/AC407,"n/a")</f>
        <v>0.122945294270158</v>
      </c>
      <c r="AD408" s="34" t="n"/>
      <c r="AE408" s="34" t="n"/>
      <c r="AF408" s="34" t="n"/>
      <c r="AG408" s="34" t="n"/>
      <c r="AH408" s="215">
        <f>IFERROR(AH406/AH407,"n/a")</f>
        <v>0.109459020534844</v>
      </c>
      <c r="AI408" s="34" t="n"/>
      <c r="AJ408" s="34" t="n"/>
      <c r="AK408" s="34" t="n"/>
      <c r="AL408" s="34" t="n"/>
      <c r="AM408" s="215">
        <f>IFERROR(AM406/AM407,"n/a")</f>
        <v>0.231302670555007</v>
      </c>
      <c r="AN408" s="34" t="n"/>
      <c r="AO408" s="34" t="n"/>
      <c r="AP408" s="34" t="n"/>
      <c r="AQ408" s="34" t="n"/>
      <c r="AR408" s="215">
        <f>IFERROR(AR406/AR407,"n/a")</f>
        <v>0.186722526587174</v>
      </c>
      <c r="AS408" s="34" t="n"/>
      <c r="AT408" s="34" t="n"/>
      <c r="AU408" s="34" t="n"/>
      <c r="AV408" s="34" t="n"/>
      <c r="AW408" s="215">
        <f>IFERROR(AW406/AW407,"n/a")</f>
        <v>0.228373517194124</v>
      </c>
      <c r="AX408" s="34" t="n"/>
      <c r="AY408" s="34" t="n"/>
      <c r="AZ408" s="34" t="n"/>
      <c r="BA408" s="34" t="n"/>
      <c r="BB408" s="215">
        <f>IFERROR(BB406/BB407,"n/a")</f>
        <v>0.241339650620276</v>
      </c>
      <c r="BC408" s="34" t="n"/>
      <c r="BD408" s="34" t="n"/>
      <c r="BE408" s="34" t="n"/>
      <c r="BF408" s="34" t="n"/>
      <c r="BG408" s="215">
        <f>IFERROR(BG406/BG407,"n/a")</f>
        <v>-0.0186383462404908</v>
      </c>
      <c r="BH408" s="34" t="n"/>
      <c r="BI408" s="34" t="n"/>
      <c r="BJ408" s="34" t="n"/>
      <c r="BK408" s="34" t="n"/>
      <c r="BL408" s="215">
        <f>IFERROR(BL406/BL407,"n/a")</f>
        <v>0.150712074303406</v>
      </c>
      <c r="BM408" s="34" t="n"/>
      <c r="BN408" s="34" t="n"/>
      <c r="BO408" s="34" t="n"/>
      <c r="BP408" s="34" t="n"/>
      <c r="BQ408" s="215">
        <f>IFERROR(BQ406/BQ407,"n/a")</f>
        <v>0.207182571598419</v>
      </c>
      <c r="BR408" s="34" t="n"/>
      <c r="BS408" s="34" t="n"/>
      <c r="BT408" s="34" t="n"/>
      <c r="BU408" s="34" t="n"/>
      <c r="BV408" s="215">
        <f>IFERROR(BV406/BV407,"n/a")</f>
        <v>0.188948219867904</v>
      </c>
      <c r="BW408" s="34" t="n"/>
      <c r="BX408" s="34" t="n"/>
      <c r="BY408" s="35" t="n"/>
      <c r="BZ408" s="35" t="n"/>
      <c r="CA408" s="256">
        <f>IFERROR(CA406/CA407,"n/a")</f>
        <v>0.226006895654764</v>
      </c>
      <c r="CB408" s="256">
        <f>IFERROR(CB406/CB407,"n/a")</f>
        <v>0.144065631919658</v>
      </c>
      <c r="CC408" s="256">
        <f>IFERROR(CC406/CC407,"n/a")</f>
        <v>0.152965585937334</v>
      </c>
      <c r="CD408" s="256">
        <f>IFERROR(CD406/CD407,"n/a")</f>
        <v>0.162879173225493</v>
      </c>
      <c r="CE408" s="256">
        <f>IFERROR(CE406/CE407,"n/a")</f>
        <v>0.176005319280929</v>
      </c>
      <c r="CF408" s="19" t="n"/>
      <c r="CH408" s="37">
        <f>IFERROR(AVERAGE(CA408,CB408,CC408,CD408,CE408),"n/m")</f>
        <v>0.172384521203636</v>
      </c>
      <c r="CI408" s="37">
        <f>IFERROR(AVERAGE(BB408,BG408,BL408,BQ408,BV408),"n/m")</f>
        <v>0.153908834029903</v>
      </c>
      <c r="CJ408" s="37">
        <f>IFERROR(AVERAGE(AC408,AH408,AM408,AR408,AW408,BB408,BG408,BL408,BQ408,BV408),"n/m")</f>
        <v>0.164834719929082</v>
      </c>
      <c r="CK408" s="37">
        <f>IFERROR(AVERAGE(C408,D408,E408,F408,G408,H408,I408,N408,S408,X408,AC408,AH408,AM408,AR408,AW408,BB408,BG408,BL408,BQ408,BV408),"n/m")</f>
        <v>0.159722052416468</v>
      </c>
    </row>
    <row r="409" ht="15" customHeight="1" s="251">
      <c r="B409" s="25" t="inlineStr">
        <is>
          <t>Leverage</t>
        </is>
      </c>
      <c r="CF409" s="153" t="n"/>
    </row>
    <row r="410" ht="15" customHeight="1" s="251">
      <c r="B410" s="25" t="inlineStr">
        <is>
          <t>Net debt = Total debt − cash − marketable securities</t>
        </is>
      </c>
      <c r="C410" s="211">
        <f>C391</f>
        <v>-772</v>
      </c>
      <c r="D410" s="211">
        <f>D391</f>
        <v>-1830</v>
      </c>
      <c r="E410" s="211">
        <f>E391</f>
        <v>-3259</v>
      </c>
      <c r="F410" s="211">
        <f>F391</f>
        <v>-6257</v>
      </c>
      <c r="G410" s="211">
        <f>G391</f>
        <v>-8762</v>
      </c>
      <c r="H410" s="211">
        <f>H391</f>
        <v>-9447</v>
      </c>
      <c r="I410" s="211">
        <f>I391</f>
        <v>-7785</v>
      </c>
      <c r="J410" s="34" t="n"/>
      <c r="K410" s="34" t="n"/>
      <c r="L410" s="34" t="n"/>
      <c r="M410" s="34" t="n"/>
      <c r="N410" s="211">
        <f>N391</f>
        <v>-8503</v>
      </c>
      <c r="O410" s="34" t="n"/>
      <c r="P410" s="34" t="n"/>
      <c r="Q410" s="34" t="n"/>
      <c r="R410" s="34" t="n"/>
      <c r="S410" s="211">
        <f>S391</f>
        <v>-7631</v>
      </c>
      <c r="T410" s="34" t="n"/>
      <c r="U410" s="34" t="n"/>
      <c r="V410" s="34" t="n"/>
      <c r="W410" s="34" t="n"/>
      <c r="X410" s="211">
        <f>X391</f>
        <v>-11335</v>
      </c>
      <c r="Y410" s="34" t="n"/>
      <c r="Z410" s="34" t="n"/>
      <c r="AA410" s="34" t="n"/>
      <c r="AB410" s="34" t="n"/>
      <c r="AC410" s="211">
        <f>AC391</f>
        <v>-17231</v>
      </c>
      <c r="AD410" s="34" t="n"/>
      <c r="AE410" s="34" t="n"/>
      <c r="AF410" s="34" t="n"/>
      <c r="AG410" s="34" t="n"/>
      <c r="AH410" s="211">
        <f>AH391</f>
        <v>-6143</v>
      </c>
      <c r="AI410" s="34" t="n"/>
      <c r="AJ410" s="34" t="n"/>
      <c r="AK410" s="34" t="n"/>
      <c r="AL410" s="34" t="n"/>
      <c r="AM410" s="211">
        <f>AM391</f>
        <v>-16384</v>
      </c>
      <c r="AN410" s="34" t="n"/>
      <c r="AO410" s="34" t="n"/>
      <c r="AP410" s="34" t="n"/>
      <c r="AQ410" s="34" t="n"/>
      <c r="AR410" s="211">
        <f>AR391</f>
        <v>-30300</v>
      </c>
      <c r="AS410" s="34" t="n"/>
      <c r="AT410" s="34" t="n"/>
      <c r="AU410" s="34" t="n"/>
      <c r="AV410" s="34" t="n"/>
      <c r="AW410" s="211">
        <f>AW391</f>
        <v>-51425</v>
      </c>
      <c r="AX410" s="34" t="n"/>
      <c r="AY410" s="34" t="n"/>
      <c r="AZ410" s="34" t="n"/>
      <c r="BA410" s="34" t="n"/>
      <c r="BB410" s="211">
        <f>BB391</f>
        <v>-45496</v>
      </c>
      <c r="BC410" s="34" t="n"/>
      <c r="BD410" s="34" t="n"/>
      <c r="BE410" s="34" t="n"/>
      <c r="BF410" s="34" t="n"/>
      <c r="BG410" s="211">
        <f>BG391</f>
        <v>1323</v>
      </c>
      <c r="BH410" s="34" t="n"/>
      <c r="BI410" s="34" t="n"/>
      <c r="BJ410" s="34" t="n"/>
      <c r="BK410" s="34" t="n"/>
      <c r="BL410" s="211">
        <f>BL391</f>
        <v>-19825</v>
      </c>
      <c r="BM410" s="34" t="n"/>
      <c r="BN410" s="34" t="n"/>
      <c r="BO410" s="34" t="n"/>
      <c r="BP410" s="34" t="n"/>
      <c r="BQ410" s="211">
        <f>BQ391</f>
        <v>-43411</v>
      </c>
      <c r="BR410" s="34" t="n"/>
      <c r="BS410" s="34" t="n"/>
      <c r="BT410" s="34" t="n"/>
      <c r="BU410" s="34" t="n"/>
      <c r="BV410" s="211">
        <f>BV391</f>
        <v>-54178</v>
      </c>
      <c r="BW410" s="34" t="n"/>
      <c r="BX410" s="34" t="n"/>
      <c r="BY410" s="35" t="n"/>
      <c r="BZ410" s="35" t="n"/>
      <c r="CA410" s="254">
        <f>CA391</f>
        <v>12412.7593013222</v>
      </c>
      <c r="CB410" s="254">
        <f>CB391</f>
        <v>0</v>
      </c>
      <c r="CC410" s="254">
        <f>CC391</f>
        <v>0</v>
      </c>
      <c r="CD410" s="254">
        <f>CD391</f>
        <v>0</v>
      </c>
      <c r="CE410" s="254">
        <f>CE391</f>
        <v>0</v>
      </c>
      <c r="CF410" s="19" t="n"/>
    </row>
    <row r="411" ht="15" customHeight="1" s="251">
      <c r="B411" s="25" t="inlineStr">
        <is>
          <t>Adjusted EBITDA</t>
        </is>
      </c>
      <c r="C411" s="211">
        <f>C202</f>
        <v>594</v>
      </c>
      <c r="D411" s="211">
        <f>D202</f>
        <v>901</v>
      </c>
      <c r="E411" s="211">
        <f>E202</f>
        <v>1129</v>
      </c>
      <c r="F411" s="211">
        <f>F202</f>
        <v>1507</v>
      </c>
      <c r="G411" s="211">
        <f>G202</f>
        <v>1974</v>
      </c>
      <c r="H411" s="211">
        <f>H202</f>
        <v>1945</v>
      </c>
      <c r="I411" s="211">
        <f>I202</f>
        <v>2835</v>
      </c>
      <c r="J411" s="34" t="n"/>
      <c r="K411" s="34" t="n"/>
      <c r="L411" s="34" t="n"/>
      <c r="M411" s="34" t="n"/>
      <c r="N411" s="211">
        <f>N202</f>
        <v>3998</v>
      </c>
      <c r="O411" s="34" t="n"/>
      <c r="P411" s="34" t="n"/>
      <c r="Q411" s="34" t="n"/>
      <c r="R411" s="34" t="n"/>
      <c r="S411" s="211">
        <f>S202</f>
        <v>4924</v>
      </c>
      <c r="T411" s="34" t="n"/>
      <c r="U411" s="34" t="n"/>
      <c r="V411" s="34" t="n"/>
      <c r="W411" s="34" t="n"/>
      <c r="X411" s="211">
        <f>X202</f>
        <v>8514</v>
      </c>
      <c r="Y411" s="34" t="n"/>
      <c r="Z411" s="34" t="n"/>
      <c r="AA411" s="34" t="n"/>
      <c r="AB411" s="34" t="n"/>
      <c r="AC411" s="211">
        <f>AC202</f>
        <v>12302</v>
      </c>
      <c r="AD411" s="34" t="n"/>
      <c r="AE411" s="34" t="n"/>
      <c r="AF411" s="34" t="n"/>
      <c r="AG411" s="34" t="n"/>
      <c r="AH411" s="211">
        <f>AH202</f>
        <v>15584</v>
      </c>
      <c r="AI411" s="34" t="n"/>
      <c r="AJ411" s="34" t="n"/>
      <c r="AK411" s="34" t="n"/>
      <c r="AL411" s="34" t="n"/>
      <c r="AM411" s="211">
        <f>AM202</f>
        <v>27762</v>
      </c>
      <c r="AN411" s="34" t="n"/>
      <c r="AO411" s="34" t="n"/>
      <c r="AP411" s="34" t="n"/>
      <c r="AQ411" s="34" t="n"/>
      <c r="AR411" s="211">
        <f>AR202</f>
        <v>36330</v>
      </c>
      <c r="AS411" s="34" t="n"/>
      <c r="AT411" s="34" t="n"/>
      <c r="AU411" s="34" t="n"/>
      <c r="AV411" s="34" t="n"/>
      <c r="AW411" s="211">
        <f>AW202</f>
        <v>48150</v>
      </c>
      <c r="AX411" s="34" t="n"/>
      <c r="AY411" s="34" t="n"/>
      <c r="AZ411" s="34" t="n"/>
      <c r="BA411" s="34" t="n"/>
      <c r="BB411" s="211">
        <f>BB202</f>
        <v>59175</v>
      </c>
      <c r="BC411" s="34" t="n"/>
      <c r="BD411" s="34" t="n"/>
      <c r="BE411" s="34" t="n"/>
      <c r="BF411" s="34" t="n"/>
      <c r="BG411" s="211">
        <f>BG202</f>
        <v>56869</v>
      </c>
      <c r="BH411" s="34" t="n"/>
      <c r="BI411" s="34" t="n"/>
      <c r="BJ411" s="34" t="n"/>
      <c r="BK411" s="34" t="n"/>
      <c r="BL411" s="211">
        <f>BL202</f>
        <v>86015</v>
      </c>
      <c r="BM411" s="34" t="n"/>
      <c r="BN411" s="34" t="n"/>
      <c r="BO411" s="34" t="n"/>
      <c r="BP411" s="34" t="n"/>
      <c r="BQ411" s="211">
        <f>BQ202</f>
        <v>121388</v>
      </c>
      <c r="BR411" s="34" t="n"/>
      <c r="BS411" s="34" t="n"/>
      <c r="BT411" s="34" t="n"/>
      <c r="BU411" s="34" t="n"/>
      <c r="BV411" s="211">
        <f>BV202</f>
        <v>152471</v>
      </c>
      <c r="BW411" s="34" t="n"/>
      <c r="BX411" s="34" t="n"/>
      <c r="BY411" s="35" t="n"/>
      <c r="BZ411" s="35" t="n"/>
      <c r="CA411" s="254">
        <f>CA202</f>
        <v>191718.136939077</v>
      </c>
      <c r="CB411" s="254">
        <f>CB202</f>
        <v>248439.407146781</v>
      </c>
      <c r="CC411" s="254">
        <f>CC202</f>
        <v>297699.805376884</v>
      </c>
      <c r="CD411" s="254">
        <f>CD202</f>
        <v>346306.164922942</v>
      </c>
      <c r="CE411" s="254">
        <f>CE202</f>
        <v>395464.059127364</v>
      </c>
      <c r="CF411" s="19" t="n"/>
    </row>
    <row r="412" ht="15" customHeight="1" s="251">
      <c r="B412" s="55" t="inlineStr">
        <is>
          <t>Net debt / adjusted EBITDA (x)</t>
        </is>
      </c>
      <c r="C412" s="291">
        <f>IFERROR(C410/C411,"n/a")</f>
        <v>-1.2996632996633</v>
      </c>
      <c r="D412" s="291">
        <f>IFERROR(D410/D411,"n/a")</f>
        <v>-2.03107658157603</v>
      </c>
      <c r="E412" s="291">
        <f>IFERROR(E410/E411,"n/a")</f>
        <v>-2.88662533215235</v>
      </c>
      <c r="F412" s="291">
        <f>IFERROR(F410/F411,"n/a")</f>
        <v>-4.15195753151958</v>
      </c>
      <c r="G412" s="291">
        <f>IFERROR(G410/G411,"n/a")</f>
        <v>-4.4387031408308</v>
      </c>
      <c r="H412" s="291">
        <f>IFERROR(H410/H411,"n/a")</f>
        <v>-4.85706940874036</v>
      </c>
      <c r="I412" s="291">
        <f>IFERROR(I410/I411,"n/a")</f>
        <v>-2.74603174603175</v>
      </c>
      <c r="J412" s="56" t="n"/>
      <c r="K412" s="56" t="n"/>
      <c r="L412" s="56" t="n"/>
      <c r="M412" s="56" t="n"/>
      <c r="N412" s="291">
        <f>IFERROR(N410/N411,"n/a")</f>
        <v>-2.12681340670335</v>
      </c>
      <c r="O412" s="56" t="n"/>
      <c r="P412" s="56" t="n"/>
      <c r="Q412" s="56" t="n"/>
      <c r="R412" s="56" t="n"/>
      <c r="S412" s="291">
        <f>IFERROR(S410/S411,"n/a")</f>
        <v>-1.54975629569456</v>
      </c>
      <c r="T412" s="56" t="n"/>
      <c r="U412" s="56" t="n"/>
      <c r="V412" s="56" t="n"/>
      <c r="W412" s="56" t="n"/>
      <c r="X412" s="291">
        <f>IFERROR(X410/X411,"n/a")</f>
        <v>-1.3313366220343</v>
      </c>
      <c r="Y412" s="56" t="n"/>
      <c r="Z412" s="56" t="n"/>
      <c r="AA412" s="56" t="n"/>
      <c r="AB412" s="56" t="n"/>
      <c r="AC412" s="291">
        <f>IFERROR(AC410/AC411,"n/a")</f>
        <v>-1.40066655828321</v>
      </c>
      <c r="AD412" s="56" t="n"/>
      <c r="AE412" s="56" t="n"/>
      <c r="AF412" s="56" t="n"/>
      <c r="AG412" s="56" t="n"/>
      <c r="AH412" s="291">
        <f>IFERROR(AH410/AH411,"n/a")</f>
        <v>-0.394186344969199</v>
      </c>
      <c r="AI412" s="56" t="n"/>
      <c r="AJ412" s="56" t="n"/>
      <c r="AK412" s="56" t="n"/>
      <c r="AL412" s="56" t="n"/>
      <c r="AM412" s="291">
        <f>IFERROR(AM410/AM411,"n/a")</f>
        <v>-0.590159210431525</v>
      </c>
      <c r="AN412" s="56" t="n"/>
      <c r="AO412" s="56" t="n"/>
      <c r="AP412" s="56" t="n"/>
      <c r="AQ412" s="56" t="n"/>
      <c r="AR412" s="291">
        <f>IFERROR(AR410/AR411,"n/a")</f>
        <v>-0.83402146985962</v>
      </c>
      <c r="AS412" s="56" t="n"/>
      <c r="AT412" s="56" t="n"/>
      <c r="AU412" s="56" t="n"/>
      <c r="AV412" s="56" t="n"/>
      <c r="AW412" s="291">
        <f>IFERROR(AW410/AW411,"n/a")</f>
        <v>-1.06801661474559</v>
      </c>
      <c r="AX412" s="56" t="n"/>
      <c r="AY412" s="56" t="n"/>
      <c r="AZ412" s="56" t="n"/>
      <c r="BA412" s="56" t="n"/>
      <c r="BB412" s="291">
        <f>IFERROR(BB410/BB411,"n/a")</f>
        <v>-0.768838191803971</v>
      </c>
      <c r="BC412" s="56" t="n"/>
      <c r="BD412" s="56" t="n"/>
      <c r="BE412" s="56" t="n"/>
      <c r="BF412" s="56" t="n"/>
      <c r="BG412" s="291">
        <f>IFERROR(BG410/BG411,"n/a")</f>
        <v>0.0232639926849426</v>
      </c>
      <c r="BH412" s="56" t="n"/>
      <c r="BI412" s="56" t="n"/>
      <c r="BJ412" s="56" t="n"/>
      <c r="BK412" s="56" t="n"/>
      <c r="BL412" s="291">
        <f>IFERROR(BL410/BL411,"n/a")</f>
        <v>-0.230483055281056</v>
      </c>
      <c r="BM412" s="56" t="n"/>
      <c r="BN412" s="56" t="n"/>
      <c r="BO412" s="56" t="n"/>
      <c r="BP412" s="56" t="n"/>
      <c r="BQ412" s="291">
        <f>IFERROR(BQ410/BQ411,"n/a")</f>
        <v>-0.357621840709131</v>
      </c>
      <c r="BR412" s="56" t="n"/>
      <c r="BS412" s="56" t="n"/>
      <c r="BT412" s="56" t="n"/>
      <c r="BU412" s="56" t="n"/>
      <c r="BV412" s="291">
        <f>IFERROR(BV410/BV411,"n/a")</f>
        <v>-0.355333145319438</v>
      </c>
      <c r="BW412" s="56" t="n"/>
      <c r="BX412" s="56" t="n"/>
      <c r="BY412" s="56" t="n"/>
      <c r="BZ412" s="56" t="n"/>
      <c r="CA412" s="291">
        <f>IFERROR(CA410/CA411,"n/a")</f>
        <v>0.0647448358277477</v>
      </c>
      <c r="CB412" s="291">
        <f>IFERROR(CB410/CB411,"n/a")</f>
        <v>0</v>
      </c>
      <c r="CC412" s="291">
        <f>IFERROR(CC410/CC411,"n/a")</f>
        <v>0</v>
      </c>
      <c r="CD412" s="291">
        <f>IFERROR(CD410/CD411,"n/a")</f>
        <v>0</v>
      </c>
      <c r="CE412" s="291">
        <f>IFERROR(CE410/CE411,"n/a")</f>
        <v>0</v>
      </c>
      <c r="CF412" s="153" t="n"/>
      <c r="CH412" s="37">
        <f>IFERROR(AVERAGE(CA412,CB412,CC412,CD412,CE412),"n/m")</f>
        <v>0.0129489671655495</v>
      </c>
      <c r="CI412" s="37">
        <f>IFERROR(AVERAGE(BB412,BG412,BL412,BQ412,BV412),"n/m")</f>
        <v>-0.337802448085731</v>
      </c>
      <c r="CJ412" s="37">
        <f>IFERROR(AVERAGE(AC412,AH412,AM412,AR412,AW412,BB412,BG412,BL412,BQ412,BV412),"n/m")</f>
        <v>-0.597606243871779</v>
      </c>
      <c r="CK412" s="37">
        <f>IFERROR(AVERAGE(C412,D412,E412,F412,G412,H412,I412,N412,S412,X412,AC412,AH412,AM412,AR412,AW412,BB412,BG412,BL412,BQ412,BV412),"n/m")</f>
        <v>-1.66975479018321</v>
      </c>
    </row>
    <row r="413" ht="15" customHeight="1" s="251">
      <c r="B413" s="25" t="inlineStr">
        <is>
          <t>Total debt / adjusted EBITDA (x)</t>
        </is>
      </c>
      <c r="C413" s="281">
        <f>IFERROR(C359/C202,"n/a")</f>
        <v>2.0993265993266</v>
      </c>
      <c r="D413" s="281">
        <f>IFERROR(D359/D202,"n/a")</f>
        <v>1.42286348501665</v>
      </c>
      <c r="E413" s="281">
        <f>IFERROR(E359/E202,"n/a")</f>
        <v>0.414526129317981</v>
      </c>
      <c r="F413" s="281">
        <f>IFERROR(F359/F202,"n/a")</f>
        <v>0.0723291307232913</v>
      </c>
      <c r="G413" s="281">
        <f>IFERROR(G359/G202,"n/a")</f>
        <v>0</v>
      </c>
      <c r="H413" s="281">
        <f>IFERROR(H359/H202,"n/a")</f>
        <v>0.0663239074550129</v>
      </c>
      <c r="I413" s="281">
        <f>IFERROR(I359/I202,"n/a")</f>
        <v>1.29206349206349</v>
      </c>
      <c r="J413" s="34" t="n"/>
      <c r="K413" s="34" t="n"/>
      <c r="L413" s="34" t="n"/>
      <c r="M413" s="34" t="n"/>
      <c r="N413" s="281">
        <f>IFERROR(N359/N202,"n/a")</f>
        <v>0.986493246623312</v>
      </c>
      <c r="O413" s="34" t="n"/>
      <c r="P413" s="34" t="n"/>
      <c r="Q413" s="34" t="n"/>
      <c r="R413" s="34" t="n"/>
      <c r="S413" s="281">
        <f>IFERROR(S359/S202,"n/a")</f>
        <v>1.98720552396426</v>
      </c>
      <c r="T413" s="34" t="n"/>
      <c r="U413" s="34" t="n"/>
      <c r="V413" s="34" t="n"/>
      <c r="W413" s="34" t="n"/>
      <c r="X413" s="281">
        <f>IFERROR(X359/X202,"n/a")</f>
        <v>0.995184402161146</v>
      </c>
      <c r="Y413" s="34" t="n"/>
      <c r="Z413" s="34" t="n"/>
      <c r="AA413" s="34" t="n"/>
      <c r="AB413" s="34" t="n"/>
      <c r="AC413" s="281">
        <f>IFERROR(AC359/AC202,"n/a")</f>
        <v>0.711266460738091</v>
      </c>
      <c r="AD413" s="34" t="n"/>
      <c r="AE413" s="34" t="n"/>
      <c r="AF413" s="34" t="n"/>
      <c r="AG413" s="34" t="n"/>
      <c r="AH413" s="281">
        <f>IFERROR(AH359/AH202,"n/a")</f>
        <v>1.59413501026694</v>
      </c>
      <c r="AI413" s="34" t="n"/>
      <c r="AJ413" s="34" t="n"/>
      <c r="AK413" s="34" t="n"/>
      <c r="AL413" s="34" t="n"/>
      <c r="AM413" s="281">
        <f>IFERROR(AM359/AM202,"n/a")</f>
        <v>0.895684748937397</v>
      </c>
      <c r="AN413" s="34" t="n"/>
      <c r="AO413" s="34" t="n"/>
      <c r="AP413" s="34" t="n"/>
      <c r="AQ413" s="34" t="n"/>
      <c r="AR413" s="281">
        <f>IFERROR(AR359/AR202,"n/a")</f>
        <v>0.680456922653455</v>
      </c>
      <c r="AS413" s="34" t="n"/>
      <c r="AT413" s="34" t="n"/>
      <c r="AU413" s="34" t="n"/>
      <c r="AV413" s="34" t="n"/>
      <c r="AW413" s="281">
        <f>IFERROR(AW359/AW202,"n/a")</f>
        <v>0.684755970924195</v>
      </c>
      <c r="AX413" s="34" t="n"/>
      <c r="AY413" s="34" t="n"/>
      <c r="AZ413" s="34" t="n"/>
      <c r="BA413" s="34" t="n"/>
      <c r="BB413" s="281">
        <f>IFERROR(BB359/BB202,"n/a")</f>
        <v>0.854296577946768</v>
      </c>
      <c r="BC413" s="34" t="n"/>
      <c r="BD413" s="34" t="n"/>
      <c r="BE413" s="34" t="n"/>
      <c r="BF413" s="34" t="n"/>
      <c r="BG413" s="281">
        <f>IFERROR(BG359/BG202,"n/a")</f>
        <v>1.25462026763263</v>
      </c>
      <c r="BH413" s="34" t="n"/>
      <c r="BI413" s="34" t="n"/>
      <c r="BJ413" s="34" t="n"/>
      <c r="BK413" s="34" t="n"/>
      <c r="BL413" s="281">
        <f>IFERROR(BL359/BL202,"n/a")</f>
        <v>0.778410742312387</v>
      </c>
      <c r="BM413" s="34" t="n"/>
      <c r="BN413" s="34" t="n"/>
      <c r="BO413" s="34" t="n"/>
      <c r="BP413" s="34" t="n"/>
      <c r="BQ413" s="281">
        <f>IFERROR(BQ359/BQ202,"n/a")</f>
        <v>0.476084950736481</v>
      </c>
      <c r="BR413" s="34" t="n"/>
      <c r="BS413" s="34" t="n"/>
      <c r="BT413" s="34" t="n"/>
      <c r="BU413" s="34" t="n"/>
      <c r="BV413" s="281">
        <f>IFERROR(BV359/BV202,"n/a")</f>
        <v>0.451567839130064</v>
      </c>
      <c r="BW413" s="34" t="n"/>
      <c r="BX413" s="34" t="n"/>
      <c r="BY413" s="35" t="n"/>
      <c r="BZ413" s="35" t="n"/>
      <c r="CA413" s="282">
        <f>IFERROR(CA359/CA202,"n/a")</f>
        <v>0.850005652056722</v>
      </c>
      <c r="CB413" s="282">
        <f>IFERROR(CB359/CB202,"n/a")</f>
        <v>0.655940625006081</v>
      </c>
      <c r="CC413" s="282">
        <f>IFERROR(CC359/CC202,"n/a")</f>
        <v>0.547402104592218</v>
      </c>
      <c r="CD413" s="282">
        <f>IFERROR(CD359/CD202,"n/a")</f>
        <v>0.470570600544352</v>
      </c>
      <c r="CE413" s="282">
        <f>IFERROR(CE359/CE202,"n/a")</f>
        <v>0.41207663816427</v>
      </c>
      <c r="CF413" s="19" t="n"/>
    </row>
    <row r="414" ht="15" customHeight="1" s="251">
      <c r="CN414" s="11" t="n"/>
      <c r="CO414" s="12" t="n"/>
      <c r="CP414" s="12" t="n"/>
      <c r="CQ414" s="12" t="n"/>
      <c r="CR414" s="13" t="n"/>
    </row>
    <row r="415" ht="15" customHeight="1" s="251">
      <c r="B415" s="10" t="inlineStr">
        <is>
          <t>VALUATION</t>
        </is>
      </c>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c r="AH415" s="10" t="n"/>
      <c r="AI415" s="10" t="n"/>
      <c r="AJ415" s="10" t="n"/>
      <c r="AK415" s="10" t="n"/>
      <c r="AL415" s="10" t="n"/>
      <c r="AM415" s="10" t="n"/>
      <c r="AN415" s="10" t="n"/>
      <c r="AO415" s="10" t="n"/>
      <c r="AP415" s="10" t="n"/>
      <c r="AQ415" s="10" t="n"/>
      <c r="AR415" s="10" t="n"/>
      <c r="AS415" s="10" t="n"/>
      <c r="AT415" s="10" t="n"/>
      <c r="AU415" s="10" t="n"/>
      <c r="AV415" s="10" t="n"/>
      <c r="AW415" s="10" t="n"/>
      <c r="AX415" s="10" t="n"/>
      <c r="AY415" s="10" t="n"/>
      <c r="AZ415" s="10" t="n"/>
      <c r="BA415" s="10" t="n"/>
      <c r="BB415" s="10" t="n"/>
      <c r="BC415" s="10" t="n"/>
      <c r="BD415" s="10" t="n"/>
      <c r="BE415" s="10" t="n"/>
      <c r="BF415" s="10" t="n"/>
      <c r="BG415" s="10" t="n"/>
      <c r="BH415" s="10" t="n"/>
      <c r="BI415" s="10" t="n"/>
      <c r="BJ415" s="10" t="n"/>
      <c r="BK415" s="10" t="n"/>
      <c r="BL415" s="10" t="n"/>
      <c r="BM415" s="10" t="n"/>
      <c r="BN415" s="10" t="n"/>
      <c r="BO415" s="10" t="n"/>
      <c r="BP415" s="10" t="n"/>
      <c r="BQ415" s="10" t="n"/>
      <c r="BR415" s="10" t="n"/>
      <c r="BS415" s="10" t="n"/>
      <c r="BT415" s="10" t="n"/>
      <c r="BU415" s="10" t="n"/>
      <c r="BV415" s="10" t="n"/>
      <c r="BW415" s="10" t="n"/>
      <c r="BX415" s="10" t="n"/>
      <c r="BY415" s="10" t="n"/>
      <c r="BZ415" s="10" t="n"/>
      <c r="CA415" s="10" t="n"/>
      <c r="CB415" s="10" t="n"/>
      <c r="CC415" s="10" t="n"/>
      <c r="CD415" s="10" t="n"/>
      <c r="CE415" s="10" t="n"/>
      <c r="CF415" s="10" t="inlineStr">
        <is>
          <t>VALUATION — share price input $260.00 (provided by the user, 12-Oct-2026); update to market</t>
        </is>
      </c>
    </row>
    <row r="416" ht="15" customHeight="1" s="251">
      <c r="B416" s="69" t="inlineStr">
        <is>
          <t>Share price ($) — current</t>
        </is>
      </c>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c r="AA416" s="44" t="n"/>
      <c r="AB416" s="44" t="n"/>
      <c r="AC416" s="44" t="n"/>
      <c r="AD416" s="44" t="n"/>
      <c r="AE416" s="44" t="n"/>
      <c r="AF416" s="44" t="n"/>
      <c r="AG416" s="44" t="n"/>
      <c r="AH416" s="44" t="n"/>
      <c r="AI416" s="44" t="n"/>
      <c r="AJ416" s="44" t="n"/>
      <c r="AK416" s="44" t="n"/>
      <c r="AL416" s="44" t="n"/>
      <c r="AM416" s="44" t="n"/>
      <c r="AN416" s="44" t="n"/>
      <c r="AO416" s="44" t="n"/>
      <c r="AP416" s="44" t="n"/>
      <c r="AQ416" s="44" t="n"/>
      <c r="AR416" s="44" t="n"/>
      <c r="AS416" s="44" t="n"/>
      <c r="AT416" s="44" t="n"/>
      <c r="AU416" s="44" t="n"/>
      <c r="AV416" s="44" t="n"/>
      <c r="AW416" s="44" t="n"/>
      <c r="AX416" s="44" t="n"/>
      <c r="AY416" s="44" t="n"/>
      <c r="AZ416" s="44" t="n"/>
      <c r="BA416" s="44" t="n"/>
      <c r="BB416" s="44" t="n"/>
      <c r="BC416" s="44" t="n"/>
      <c r="BD416" s="44" t="n"/>
      <c r="BE416" s="44" t="n"/>
      <c r="BF416" s="44" t="n"/>
      <c r="BG416" s="44" t="n"/>
      <c r="BH416" s="44" t="n"/>
      <c r="BI416" s="44" t="n"/>
      <c r="BJ416" s="44" t="n"/>
      <c r="BK416" s="44" t="n"/>
      <c r="BL416" s="44" t="n"/>
      <c r="BM416" s="44" t="n"/>
      <c r="BN416" s="44" t="n"/>
      <c r="BO416" s="44" t="n"/>
      <c r="BP416" s="44" t="n"/>
      <c r="BQ416" s="44" t="n"/>
      <c r="BR416" s="44" t="n"/>
      <c r="BS416" s="44" t="n"/>
      <c r="BT416" s="44" t="n"/>
      <c r="BU416" s="44" t="n"/>
      <c r="BV416" s="44" t="n"/>
      <c r="BW416" s="44" t="n"/>
      <c r="BX416" s="44" t="n"/>
      <c r="BY416" s="153" t="n"/>
      <c r="BZ416" s="153" t="n"/>
      <c r="CA416" s="284" t="n">
        <v>260</v>
      </c>
      <c r="CB416" s="283">
        <f>CA416</f>
        <v>260</v>
      </c>
      <c r="CC416" s="283">
        <f>CB416</f>
        <v>260</v>
      </c>
      <c r="CD416" s="283">
        <f>CC416</f>
        <v>260</v>
      </c>
      <c r="CE416" s="283">
        <f>CD416</f>
        <v>260</v>
      </c>
      <c r="CF416" s="19" t="n"/>
    </row>
    <row r="417" ht="15" customHeight="1" s="251">
      <c r="B417" s="25" t="inlineStr">
        <is>
          <t>Diluted shares at period end (m)</t>
        </is>
      </c>
      <c r="C417" s="34" t="n"/>
      <c r="D417" s="34" t="n"/>
      <c r="E417" s="34" t="n"/>
      <c r="F417" s="34" t="n"/>
      <c r="G417" s="34" t="n"/>
      <c r="H417" s="34" t="n"/>
      <c r="I417" s="34" t="n"/>
      <c r="J417" s="34" t="n"/>
      <c r="K417" s="34" t="n"/>
      <c r="L417" s="34" t="n"/>
      <c r="M417" s="34" t="n"/>
      <c r="N417" s="34" t="n"/>
      <c r="O417" s="34" t="n"/>
      <c r="P417" s="34" t="n"/>
      <c r="Q417" s="34" t="n"/>
      <c r="R417" s="34" t="n"/>
      <c r="S417" s="34" t="n"/>
      <c r="T417" s="34" t="n"/>
      <c r="U417" s="34" t="n"/>
      <c r="V417" s="34" t="n"/>
      <c r="W417" s="34" t="n"/>
      <c r="X417" s="34" t="n"/>
      <c r="Y417" s="34" t="n"/>
      <c r="Z417" s="34" t="n"/>
      <c r="AA417" s="34" t="n"/>
      <c r="AB417" s="34" t="n"/>
      <c r="AC417" s="34" t="n"/>
      <c r="AD417" s="34" t="n"/>
      <c r="AE417" s="34" t="n"/>
      <c r="AF417" s="34" t="n"/>
      <c r="AG417" s="34" t="n"/>
      <c r="AH417" s="34" t="n"/>
      <c r="AI417" s="34" t="n"/>
      <c r="AJ417" s="34" t="n"/>
      <c r="AK417" s="34" t="n"/>
      <c r="AL417" s="34" t="n"/>
      <c r="AM417" s="34" t="n"/>
      <c r="AN417" s="34" t="n"/>
      <c r="AO417" s="34" t="n"/>
      <c r="AP417" s="34" t="n"/>
      <c r="AQ417" s="34" t="n"/>
      <c r="AR417" s="34" t="n"/>
      <c r="AS417" s="34" t="n"/>
      <c r="AT417" s="34" t="n"/>
      <c r="AU417" s="34" t="n"/>
      <c r="AV417" s="34" t="n"/>
      <c r="AW417" s="34" t="n"/>
      <c r="AX417" s="34" t="n"/>
      <c r="AY417" s="34" t="n"/>
      <c r="AZ417" s="34" t="n"/>
      <c r="BA417" s="34" t="n"/>
      <c r="BB417" s="34" t="n"/>
      <c r="BC417" s="34" t="n"/>
      <c r="BD417" s="34" t="n"/>
      <c r="BE417" s="34" t="n"/>
      <c r="BF417" s="34" t="n"/>
      <c r="BG417" s="34" t="n"/>
      <c r="BH417" s="34" t="n"/>
      <c r="BI417" s="34" t="n"/>
      <c r="BJ417" s="34" t="n"/>
      <c r="BK417" s="34" t="n"/>
      <c r="BL417" s="34" t="n"/>
      <c r="BM417" s="34" t="n"/>
      <c r="BN417" s="34" t="n"/>
      <c r="BO417" s="34" t="n"/>
      <c r="BP417" s="34" t="n"/>
      <c r="BQ417" s="34" t="n"/>
      <c r="BR417" s="34" t="n"/>
      <c r="BS417" s="34" t="n"/>
      <c r="BT417" s="34" t="n"/>
      <c r="BU417" s="34" t="n"/>
      <c r="BV417" s="34" t="n"/>
      <c r="BW417" s="34" t="n"/>
      <c r="BX417" s="34" t="n"/>
      <c r="BY417" s="35" t="n"/>
      <c r="BZ417" s="35" t="n"/>
      <c r="CA417" s="254">
        <f>CA305+(BX170-BX169)</f>
        <v>10977</v>
      </c>
      <c r="CB417" s="254">
        <f>CB305+N(CB356)</f>
        <v>11091.5411204206</v>
      </c>
      <c r="CC417" s="254">
        <f>CC305+N(CC356)</f>
        <v>11035.5245515481</v>
      </c>
      <c r="CD417" s="254">
        <f>CD305+N(CD356)</f>
        <v>10869.9226814137</v>
      </c>
      <c r="CE417" s="254">
        <f>CE305+N(CE356)</f>
        <v>10601.3105859164</v>
      </c>
      <c r="CF417" s="19" t="n"/>
    </row>
    <row r="418" ht="15" customHeight="1" s="251">
      <c r="B418" s="25" t="inlineStr">
        <is>
          <t>Market capitalisation (USDm)</t>
        </is>
      </c>
      <c r="C418" s="34" t="n"/>
      <c r="D418" s="34" t="n"/>
      <c r="E418" s="34" t="n"/>
      <c r="F418" s="34" t="n"/>
      <c r="G418" s="34" t="n"/>
      <c r="H418" s="34" t="n"/>
      <c r="I418" s="34" t="n"/>
      <c r="J418" s="34" t="n"/>
      <c r="K418" s="34" t="n"/>
      <c r="L418" s="34" t="n"/>
      <c r="M418" s="34" t="n"/>
      <c r="N418" s="34" t="n"/>
      <c r="O418" s="34" t="n"/>
      <c r="P418" s="34" t="n"/>
      <c r="Q418" s="34" t="n"/>
      <c r="R418" s="34" t="n"/>
      <c r="S418" s="34" t="n"/>
      <c r="T418" s="34" t="n"/>
      <c r="U418" s="34" t="n"/>
      <c r="V418" s="34" t="n"/>
      <c r="W418" s="34" t="n"/>
      <c r="X418" s="34" t="n"/>
      <c r="Y418" s="34" t="n"/>
      <c r="Z418" s="34" t="n"/>
      <c r="AA418" s="34" t="n"/>
      <c r="AB418" s="34" t="n"/>
      <c r="AC418" s="34" t="n"/>
      <c r="AD418" s="34" t="n"/>
      <c r="AE418" s="34" t="n"/>
      <c r="AF418" s="34" t="n"/>
      <c r="AG418" s="34" t="n"/>
      <c r="AH418" s="34" t="n"/>
      <c r="AI418" s="34" t="n"/>
      <c r="AJ418" s="34" t="n"/>
      <c r="AK418" s="34" t="n"/>
      <c r="AL418" s="34" t="n"/>
      <c r="AM418" s="34" t="n"/>
      <c r="AN418" s="34" t="n"/>
      <c r="AO418" s="34" t="n"/>
      <c r="AP418" s="34" t="n"/>
      <c r="AQ418" s="34" t="n"/>
      <c r="AR418" s="34" t="n"/>
      <c r="AS418" s="34" t="n"/>
      <c r="AT418" s="34" t="n"/>
      <c r="AU418" s="34" t="n"/>
      <c r="AV418" s="34" t="n"/>
      <c r="AW418" s="34" t="n"/>
      <c r="AX418" s="34" t="n"/>
      <c r="AY418" s="34" t="n"/>
      <c r="AZ418" s="34" t="n"/>
      <c r="BA418" s="34" t="n"/>
      <c r="BB418" s="34" t="n"/>
      <c r="BC418" s="34" t="n"/>
      <c r="BD418" s="34" t="n"/>
      <c r="BE418" s="34" t="n"/>
      <c r="BF418" s="34" t="n"/>
      <c r="BG418" s="34" t="n"/>
      <c r="BH418" s="34" t="n"/>
      <c r="BI418" s="34" t="n"/>
      <c r="BJ418" s="34" t="n"/>
      <c r="BK418" s="34" t="n"/>
      <c r="BL418" s="34" t="n"/>
      <c r="BM418" s="34" t="n"/>
      <c r="BN418" s="34" t="n"/>
      <c r="BO418" s="34" t="n"/>
      <c r="BP418" s="34" t="n"/>
      <c r="BQ418" s="34" t="n"/>
      <c r="BR418" s="34" t="n"/>
      <c r="BS418" s="34" t="n"/>
      <c r="BT418" s="34" t="n"/>
      <c r="BU418" s="34" t="n"/>
      <c r="BV418" s="34" t="n"/>
      <c r="BW418" s="34" t="n"/>
      <c r="BX418" s="34" t="n"/>
      <c r="BY418" s="35" t="n"/>
      <c r="BZ418" s="35" t="n"/>
      <c r="CA418" s="254">
        <f>IFERROR(CA416*CA417,"n/a")</f>
        <v>2854020</v>
      </c>
      <c r="CB418" s="254">
        <f>IFERROR(CB416*CB417,"n/a")</f>
        <v>2883800.69130935</v>
      </c>
      <c r="CC418" s="254">
        <f>IFERROR(CC416*CC417,"n/a")</f>
        <v>2869236.38340251</v>
      </c>
      <c r="CD418" s="254">
        <f>IFERROR(CD416*CD417,"n/a")</f>
        <v>2826179.89716756</v>
      </c>
      <c r="CE418" s="254">
        <f>IFERROR(CE416*CE417,"n/a")</f>
        <v>2756340.75233825</v>
      </c>
      <c r="CF418" s="19" t="n"/>
    </row>
    <row r="419" ht="15" customHeight="1" s="251">
      <c r="B419" s="25" t="inlineStr">
        <is>
          <t>Net debt (USDm; finance leases excluded — their principal repayments are deducted in UFCF)</t>
        </is>
      </c>
      <c r="C419" s="34" t="n"/>
      <c r="D419" s="34" t="n"/>
      <c r="E419" s="34" t="n"/>
      <c r="F419" s="34" t="n"/>
      <c r="G419" s="34" t="n"/>
      <c r="H419" s="34" t="n"/>
      <c r="I419" s="34" t="n"/>
      <c r="J419" s="34" t="n"/>
      <c r="K419" s="34" t="n"/>
      <c r="L419" s="34" t="n"/>
      <c r="M419" s="34" t="n"/>
      <c r="N419" s="34" t="n"/>
      <c r="O419" s="34" t="n"/>
      <c r="P419" s="34" t="n"/>
      <c r="Q419" s="34" t="n"/>
      <c r="R419" s="34" t="n"/>
      <c r="S419" s="34" t="n"/>
      <c r="T419" s="34" t="n"/>
      <c r="U419" s="34" t="n"/>
      <c r="V419" s="34" t="n"/>
      <c r="W419" s="34" t="n"/>
      <c r="X419" s="34" t="n"/>
      <c r="Y419" s="34" t="n"/>
      <c r="Z419" s="34" t="n"/>
      <c r="AA419" s="34" t="n"/>
      <c r="AB419" s="34" t="n"/>
      <c r="AC419" s="34" t="n"/>
      <c r="AD419" s="34" t="n"/>
      <c r="AE419" s="34" t="n"/>
      <c r="AF419" s="34" t="n"/>
      <c r="AG419" s="34" t="n"/>
      <c r="AH419" s="34" t="n"/>
      <c r="AI419" s="34" t="n"/>
      <c r="AJ419" s="34" t="n"/>
      <c r="AK419" s="34" t="n"/>
      <c r="AL419" s="34" t="n"/>
      <c r="AM419" s="34" t="n"/>
      <c r="AN419" s="34" t="n"/>
      <c r="AO419" s="34" t="n"/>
      <c r="AP419" s="34" t="n"/>
      <c r="AQ419" s="34" t="n"/>
      <c r="AR419" s="34" t="n"/>
      <c r="AS419" s="34" t="n"/>
      <c r="AT419" s="34" t="n"/>
      <c r="AU419" s="34" t="n"/>
      <c r="AV419" s="34" t="n"/>
      <c r="AW419" s="34" t="n"/>
      <c r="AX419" s="34" t="n"/>
      <c r="AY419" s="34" t="n"/>
      <c r="AZ419" s="34" t="n"/>
      <c r="BA419" s="34" t="n"/>
      <c r="BB419" s="34" t="n"/>
      <c r="BC419" s="34" t="n"/>
      <c r="BD419" s="34" t="n"/>
      <c r="BE419" s="34" t="n"/>
      <c r="BF419" s="34" t="n"/>
      <c r="BG419" s="34" t="n"/>
      <c r="BH419" s="34" t="n"/>
      <c r="BI419" s="34" t="n"/>
      <c r="BJ419" s="34" t="n"/>
      <c r="BK419" s="34" t="n"/>
      <c r="BL419" s="34" t="n"/>
      <c r="BM419" s="34" t="n"/>
      <c r="BN419" s="34" t="n"/>
      <c r="BO419" s="34" t="n"/>
      <c r="BP419" s="34" t="n"/>
      <c r="BQ419" s="34" t="n"/>
      <c r="BR419" s="34" t="n"/>
      <c r="BS419" s="34" t="n"/>
      <c r="BT419" s="34" t="n"/>
      <c r="BU419" s="34" t="n"/>
      <c r="BV419" s="34" t="n"/>
      <c r="BW419" s="34" t="n"/>
      <c r="BX419" s="34" t="n"/>
      <c r="BY419" s="35" t="n"/>
      <c r="BZ419" s="35" t="n"/>
      <c r="CA419" s="254">
        <f>CA410</f>
        <v>12412.7593013222</v>
      </c>
      <c r="CB419" s="254">
        <f>CB410</f>
        <v>0</v>
      </c>
      <c r="CC419" s="254">
        <f>CC410</f>
        <v>0</v>
      </c>
      <c r="CD419" s="254">
        <f>CD410</f>
        <v>0</v>
      </c>
      <c r="CE419" s="254">
        <f>CE410</f>
        <v>0</v>
      </c>
      <c r="CF419" s="19" t="n"/>
    </row>
    <row r="420" ht="15" customHeight="1" s="251">
      <c r="B420" s="25" t="inlineStr">
        <is>
          <t>Noncontrolling interests (USDm)</t>
        </is>
      </c>
      <c r="C420" s="34" t="n"/>
      <c r="D420" s="34" t="n"/>
      <c r="E420" s="34" t="n"/>
      <c r="F420" s="34" t="n"/>
      <c r="G420" s="34" t="n"/>
      <c r="H420" s="34" t="n"/>
      <c r="I420" s="34" t="n"/>
      <c r="J420" s="34" t="n"/>
      <c r="K420" s="34" t="n"/>
      <c r="L420" s="34" t="n"/>
      <c r="M420" s="34" t="n"/>
      <c r="N420" s="34" t="n"/>
      <c r="O420" s="34" t="n"/>
      <c r="P420" s="34" t="n"/>
      <c r="Q420" s="34" t="n"/>
      <c r="R420" s="34" t="n"/>
      <c r="S420" s="34" t="n"/>
      <c r="T420" s="34" t="n"/>
      <c r="U420" s="34" t="n"/>
      <c r="V420" s="34" t="n"/>
      <c r="W420" s="34" t="n"/>
      <c r="X420" s="34" t="n"/>
      <c r="Y420" s="34" t="n"/>
      <c r="Z420" s="34" t="n"/>
      <c r="AA420" s="34" t="n"/>
      <c r="AB420" s="34" t="n"/>
      <c r="AC420" s="34" t="n"/>
      <c r="AD420" s="34" t="n"/>
      <c r="AE420" s="34" t="n"/>
      <c r="AF420" s="34" t="n"/>
      <c r="AG420" s="34" t="n"/>
      <c r="AH420" s="34" t="n"/>
      <c r="AI420" s="34" t="n"/>
      <c r="AJ420" s="34" t="n"/>
      <c r="AK420" s="34" t="n"/>
      <c r="AL420" s="34" t="n"/>
      <c r="AM420" s="34" t="n"/>
      <c r="AN420" s="34" t="n"/>
      <c r="AO420" s="34" t="n"/>
      <c r="AP420" s="34" t="n"/>
      <c r="AQ420" s="34" t="n"/>
      <c r="AR420" s="34" t="n"/>
      <c r="AS420" s="34" t="n"/>
      <c r="AT420" s="34" t="n"/>
      <c r="AU420" s="34" t="n"/>
      <c r="AV420" s="34" t="n"/>
      <c r="AW420" s="34" t="n"/>
      <c r="AX420" s="34" t="n"/>
      <c r="AY420" s="34" t="n"/>
      <c r="AZ420" s="34" t="n"/>
      <c r="BA420" s="34" t="n"/>
      <c r="BB420" s="34" t="n"/>
      <c r="BC420" s="34" t="n"/>
      <c r="BD420" s="34" t="n"/>
      <c r="BE420" s="34" t="n"/>
      <c r="BF420" s="34" t="n"/>
      <c r="BG420" s="34" t="n"/>
      <c r="BH420" s="34" t="n"/>
      <c r="BI420" s="34" t="n"/>
      <c r="BJ420" s="34" t="n"/>
      <c r="BK420" s="34" t="n"/>
      <c r="BL420" s="34" t="n"/>
      <c r="BM420" s="34" t="n"/>
      <c r="BN420" s="34" t="n"/>
      <c r="BO420" s="34" t="n"/>
      <c r="BP420" s="34" t="n"/>
      <c r="BQ420" s="34" t="n"/>
      <c r="BR420" s="34" t="n"/>
      <c r="BS420" s="34" t="n"/>
      <c r="BT420" s="34" t="n"/>
      <c r="BU420" s="34" t="n"/>
      <c r="BV420" s="34" t="n"/>
      <c r="BW420" s="34" t="n"/>
      <c r="BX420" s="34" t="n"/>
      <c r="BY420" s="35" t="n"/>
      <c r="BZ420" s="35" t="n"/>
      <c r="CA420" s="254">
        <f>CA333</f>
        <v>0</v>
      </c>
      <c r="CB420" s="254">
        <f>CB333</f>
        <v>0</v>
      </c>
      <c r="CC420" s="254">
        <f>CC333</f>
        <v>0</v>
      </c>
      <c r="CD420" s="254">
        <f>CD333</f>
        <v>0</v>
      </c>
      <c r="CE420" s="254">
        <f>CE333</f>
        <v>0</v>
      </c>
      <c r="CF420" s="19" t="n"/>
    </row>
    <row r="421" ht="15" customHeight="1" s="251">
      <c r="B421" s="16" t="inlineStr">
        <is>
          <t>Enterprise value (USDm)</t>
        </is>
      </c>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c r="AC421" s="43" t="n"/>
      <c r="AD421" s="43" t="n"/>
      <c r="AE421" s="43" t="n"/>
      <c r="AF421" s="43" t="n"/>
      <c r="AG421" s="43" t="n"/>
      <c r="AH421" s="43" t="n"/>
      <c r="AI421" s="43" t="n"/>
      <c r="AJ421" s="43" t="n"/>
      <c r="AK421" s="43" t="n"/>
      <c r="AL421" s="43" t="n"/>
      <c r="AM421" s="43" t="n"/>
      <c r="AN421" s="43" t="n"/>
      <c r="AO421" s="43" t="n"/>
      <c r="AP421" s="43" t="n"/>
      <c r="AQ421" s="43" t="n"/>
      <c r="AR421" s="43" t="n"/>
      <c r="AS421" s="43" t="n"/>
      <c r="AT421" s="43" t="n"/>
      <c r="AU421" s="43" t="n"/>
      <c r="AV421" s="43" t="n"/>
      <c r="AW421" s="43" t="n"/>
      <c r="AX421" s="43" t="n"/>
      <c r="AY421" s="43" t="n"/>
      <c r="AZ421" s="43" t="n"/>
      <c r="BA421" s="43" t="n"/>
      <c r="BB421" s="43" t="n"/>
      <c r="BC421" s="43" t="n"/>
      <c r="BD421" s="43" t="n"/>
      <c r="BE421" s="43" t="n"/>
      <c r="BF421" s="43" t="n"/>
      <c r="BG421" s="43" t="n"/>
      <c r="BH421" s="43" t="n"/>
      <c r="BI421" s="43" t="n"/>
      <c r="BJ421" s="43" t="n"/>
      <c r="BK421" s="43" t="n"/>
      <c r="BL421" s="43" t="n"/>
      <c r="BM421" s="43" t="n"/>
      <c r="BN421" s="43" t="n"/>
      <c r="BO421" s="43" t="n"/>
      <c r="BP421" s="43" t="n"/>
      <c r="BQ421" s="43" t="n"/>
      <c r="BR421" s="43" t="n"/>
      <c r="BS421" s="43" t="n"/>
      <c r="BT421" s="43" t="n"/>
      <c r="BU421" s="43" t="n"/>
      <c r="BV421" s="43" t="n"/>
      <c r="BW421" s="43" t="n"/>
      <c r="BX421" s="43" t="n"/>
      <c r="BY421" s="32" t="n"/>
      <c r="BZ421" s="32" t="n"/>
      <c r="CA421" s="265">
        <f>IFERROR(CA418+CA419+CA420,"n/a")</f>
        <v>2866432.75930132</v>
      </c>
      <c r="CB421" s="265">
        <f>IFERROR(CB418+CB419+CB420,"n/a")</f>
        <v>2883800.69130935</v>
      </c>
      <c r="CC421" s="265">
        <f>IFERROR(CC418+CC419+CC420,"n/a")</f>
        <v>2869236.38340251</v>
      </c>
      <c r="CD421" s="265">
        <f>IFERROR(CD418+CD419+CD420,"n/a")</f>
        <v>2826179.89716756</v>
      </c>
      <c r="CE421" s="265">
        <f>IFERROR(CE418+CE419+CE420,"n/a")</f>
        <v>2756340.75233825</v>
      </c>
      <c r="CF421" s="153" t="n"/>
    </row>
    <row r="422" ht="15" customHeight="1" s="251">
      <c r="B422" s="158" t="inlineStr">
        <is>
          <t xml:space="preserve">  Memo: non-marketable equity investments are not deducted (carried in other assets; Anthropic marks in other income)</t>
        </is>
      </c>
      <c r="C422" s="159" t="n"/>
      <c r="J422" s="159" t="n"/>
      <c r="AJ422" s="159" t="n"/>
      <c r="AN422" s="159" t="n"/>
      <c r="BA422" s="159" t="n"/>
      <c r="BM422" s="159" t="n"/>
      <c r="BT422" s="159" t="n"/>
      <c r="BY422" s="153" t="n"/>
      <c r="BZ422" s="153" t="n"/>
      <c r="CA422" s="153" t="n"/>
      <c r="CB422" s="153" t="n"/>
      <c r="CC422" s="153" t="n"/>
      <c r="CD422" s="153" t="n"/>
      <c r="CE422" s="153" t="n"/>
      <c r="CF422" s="19" t="n"/>
    </row>
    <row r="423" ht="15" customHeight="1" s="251">
      <c r="B423" s="25" t="inlineStr">
        <is>
          <t>Multiples</t>
        </is>
      </c>
      <c r="CF423" s="153" t="n"/>
    </row>
    <row r="424" ht="15" customHeight="1" s="251">
      <c r="B424" s="25" t="inlineStr">
        <is>
          <t xml:space="preserve">  EV / Net sales</t>
        </is>
      </c>
      <c r="C424" s="34" t="n"/>
      <c r="D424" s="34" t="n"/>
      <c r="E424" s="34" t="n"/>
      <c r="F424" s="34" t="n"/>
      <c r="G424" s="34" t="n"/>
      <c r="H424" s="34" t="n"/>
      <c r="I424" s="34" t="n"/>
      <c r="J424" s="34" t="n"/>
      <c r="K424" s="34" t="n"/>
      <c r="L424" s="34" t="n"/>
      <c r="M424" s="34" t="n"/>
      <c r="N424" s="34" t="n"/>
      <c r="O424" s="34" t="n"/>
      <c r="P424" s="34" t="n"/>
      <c r="Q424" s="34" t="n"/>
      <c r="R424" s="34" t="n"/>
      <c r="S424" s="34" t="n"/>
      <c r="T424" s="34" t="n"/>
      <c r="U424" s="34" t="n"/>
      <c r="V424" s="34" t="n"/>
      <c r="W424" s="34" t="n"/>
      <c r="X424" s="34" t="n"/>
      <c r="Y424" s="34" t="n"/>
      <c r="Z424" s="34" t="n"/>
      <c r="AA424" s="34" t="n"/>
      <c r="AB424" s="34" t="n"/>
      <c r="AC424" s="34" t="n"/>
      <c r="AD424" s="34" t="n"/>
      <c r="AE424" s="34" t="n"/>
      <c r="AF424" s="34" t="n"/>
      <c r="AG424" s="34" t="n"/>
      <c r="AH424" s="34" t="n"/>
      <c r="AI424" s="34" t="n"/>
      <c r="AJ424" s="34" t="n"/>
      <c r="AK424" s="34" t="n"/>
      <c r="AL424" s="34" t="n"/>
      <c r="AM424" s="34" t="n"/>
      <c r="AN424" s="34" t="n"/>
      <c r="AO424" s="34" t="n"/>
      <c r="AP424" s="34" t="n"/>
      <c r="AQ424" s="34" t="n"/>
      <c r="AR424" s="34" t="n"/>
      <c r="AS424" s="34" t="n"/>
      <c r="AT424" s="34" t="n"/>
      <c r="AU424" s="34" t="n"/>
      <c r="AV424" s="34" t="n"/>
      <c r="AW424" s="34" t="n"/>
      <c r="AX424" s="34" t="n"/>
      <c r="AY424" s="34" t="n"/>
      <c r="AZ424" s="34" t="n"/>
      <c r="BA424" s="34" t="n"/>
      <c r="BB424" s="34" t="n"/>
      <c r="BC424" s="34" t="n"/>
      <c r="BD424" s="34" t="n"/>
      <c r="BE424" s="34" t="n"/>
      <c r="BF424" s="34" t="n"/>
      <c r="BG424" s="34" t="n"/>
      <c r="BH424" s="34" t="n"/>
      <c r="BI424" s="34" t="n"/>
      <c r="BJ424" s="34" t="n"/>
      <c r="BK424" s="34" t="n"/>
      <c r="BL424" s="34" t="n"/>
      <c r="BM424" s="34" t="n"/>
      <c r="BN424" s="34" t="n"/>
      <c r="BO424" s="34" t="n"/>
      <c r="BP424" s="34" t="n"/>
      <c r="BQ424" s="34" t="n"/>
      <c r="BR424" s="34" t="n"/>
      <c r="BS424" s="34" t="n"/>
      <c r="BT424" s="34" t="n"/>
      <c r="BU424" s="34" t="n"/>
      <c r="BV424" s="34" t="n"/>
      <c r="BW424" s="34" t="n"/>
      <c r="BX424" s="34" t="n"/>
      <c r="BY424" s="35" t="n"/>
      <c r="BZ424" s="35" t="n"/>
      <c r="CA424" s="289">
        <f>IFERROR(CA421/CA144,"n/a")</f>
        <v>3.472264958919</v>
      </c>
      <c r="CB424" s="289">
        <f>IFERROR(CB421/CB144,"n/a")</f>
        <v>3.05499752162201</v>
      </c>
      <c r="CC424" s="289">
        <f>IFERROR(CC421/CC144,"n/a")</f>
        <v>2.68297436926351</v>
      </c>
      <c r="CD424" s="289">
        <f>IFERROR(CD421/CD144,"n/a")</f>
        <v>2.35768117639049</v>
      </c>
      <c r="CE424" s="289">
        <f>IFERROR(CE421/CE144,"n/a")</f>
        <v>2.07208915668631</v>
      </c>
      <c r="CF424" s="19" t="n"/>
    </row>
    <row r="425" ht="15" customHeight="1" s="251">
      <c r="B425" s="25" t="inlineStr">
        <is>
          <t xml:space="preserve">  EV / Adjusted EBITDA</t>
        </is>
      </c>
      <c r="C425" s="34" t="n"/>
      <c r="D425" s="34" t="n"/>
      <c r="E425" s="34" t="n"/>
      <c r="F425" s="34" t="n"/>
      <c r="G425" s="34" t="n"/>
      <c r="H425" s="34" t="n"/>
      <c r="I425" s="34" t="n"/>
      <c r="J425" s="34" t="n"/>
      <c r="K425" s="34" t="n"/>
      <c r="L425" s="34" t="n"/>
      <c r="M425" s="34" t="n"/>
      <c r="N425" s="34" t="n"/>
      <c r="O425" s="34" t="n"/>
      <c r="P425" s="34" t="n"/>
      <c r="Q425" s="34" t="n"/>
      <c r="R425" s="34" t="n"/>
      <c r="S425" s="34" t="n"/>
      <c r="T425" s="34" t="n"/>
      <c r="U425" s="34" t="n"/>
      <c r="V425" s="34" t="n"/>
      <c r="W425" s="34" t="n"/>
      <c r="X425" s="34" t="n"/>
      <c r="Y425" s="34" t="n"/>
      <c r="Z425" s="34" t="n"/>
      <c r="AA425" s="34" t="n"/>
      <c r="AB425" s="34" t="n"/>
      <c r="AC425" s="34" t="n"/>
      <c r="AD425" s="34" t="n"/>
      <c r="AE425" s="34" t="n"/>
      <c r="AF425" s="34" t="n"/>
      <c r="AG425" s="34" t="n"/>
      <c r="AH425" s="34" t="n"/>
      <c r="AI425" s="34" t="n"/>
      <c r="AJ425" s="34" t="n"/>
      <c r="AK425" s="34" t="n"/>
      <c r="AL425" s="34" t="n"/>
      <c r="AM425" s="34" t="n"/>
      <c r="AN425" s="34" t="n"/>
      <c r="AO425" s="34" t="n"/>
      <c r="AP425" s="34" t="n"/>
      <c r="AQ425" s="34" t="n"/>
      <c r="AR425" s="34" t="n"/>
      <c r="AS425" s="34" t="n"/>
      <c r="AT425" s="34" t="n"/>
      <c r="AU425" s="34" t="n"/>
      <c r="AV425" s="34" t="n"/>
      <c r="AW425" s="34" t="n"/>
      <c r="AX425" s="34" t="n"/>
      <c r="AY425" s="34" t="n"/>
      <c r="AZ425" s="34" t="n"/>
      <c r="BA425" s="34" t="n"/>
      <c r="BB425" s="34" t="n"/>
      <c r="BC425" s="34" t="n"/>
      <c r="BD425" s="34" t="n"/>
      <c r="BE425" s="34" t="n"/>
      <c r="BF425" s="34" t="n"/>
      <c r="BG425" s="34" t="n"/>
      <c r="BH425" s="34" t="n"/>
      <c r="BI425" s="34" t="n"/>
      <c r="BJ425" s="34" t="n"/>
      <c r="BK425" s="34" t="n"/>
      <c r="BL425" s="34" t="n"/>
      <c r="BM425" s="34" t="n"/>
      <c r="BN425" s="34" t="n"/>
      <c r="BO425" s="34" t="n"/>
      <c r="BP425" s="34" t="n"/>
      <c r="BQ425" s="34" t="n"/>
      <c r="BR425" s="34" t="n"/>
      <c r="BS425" s="34" t="n"/>
      <c r="BT425" s="34" t="n"/>
      <c r="BU425" s="34" t="n"/>
      <c r="BV425" s="34" t="n"/>
      <c r="BW425" s="34" t="n"/>
      <c r="BX425" s="34" t="n"/>
      <c r="BY425" s="35" t="n"/>
      <c r="BZ425" s="35" t="n"/>
      <c r="CA425" s="289">
        <f>IFERROR(CA421/CA202,"n/a")</f>
        <v>14.9512863261977</v>
      </c>
      <c r="CB425" s="289">
        <f>IFERROR(CB421/CB202,"n/a")</f>
        <v>11.6076621033215</v>
      </c>
      <c r="CC425" s="289">
        <f>IFERROR(CC421/CC202,"n/a")</f>
        <v>9.63801900968694</v>
      </c>
      <c r="CD425" s="289">
        <f>IFERROR(CD421/CD202,"n/a")</f>
        <v>8.16092863318338</v>
      </c>
      <c r="CE425" s="289">
        <f>IFERROR(CE421/CE202,"n/a")</f>
        <v>6.96988939632196</v>
      </c>
      <c r="CF425" s="19" t="n"/>
    </row>
    <row r="426" ht="15" customHeight="1" s="251">
      <c r="B426" s="25" t="inlineStr">
        <is>
          <t xml:space="preserve">  EV / Adjusted operating income</t>
        </is>
      </c>
      <c r="C426" s="34" t="n"/>
      <c r="D426" s="34" t="n"/>
      <c r="E426" s="34" t="n"/>
      <c r="F426" s="34" t="n"/>
      <c r="G426" s="34" t="n"/>
      <c r="H426" s="34" t="n"/>
      <c r="I426" s="34" t="n"/>
      <c r="J426" s="34" t="n"/>
      <c r="K426" s="34" t="n"/>
      <c r="L426" s="34" t="n"/>
      <c r="M426" s="34" t="n"/>
      <c r="N426" s="34" t="n"/>
      <c r="O426" s="34" t="n"/>
      <c r="P426" s="34" t="n"/>
      <c r="Q426" s="34" t="n"/>
      <c r="R426" s="34" t="n"/>
      <c r="S426" s="34" t="n"/>
      <c r="T426" s="34" t="n"/>
      <c r="U426" s="34" t="n"/>
      <c r="V426" s="34" t="n"/>
      <c r="W426" s="34" t="n"/>
      <c r="X426" s="34" t="n"/>
      <c r="Y426" s="34" t="n"/>
      <c r="Z426" s="34" t="n"/>
      <c r="AA426" s="34" t="n"/>
      <c r="AB426" s="34" t="n"/>
      <c r="AC426" s="34" t="n"/>
      <c r="AD426" s="34" t="n"/>
      <c r="AE426" s="34" t="n"/>
      <c r="AF426" s="34" t="n"/>
      <c r="AG426" s="34" t="n"/>
      <c r="AH426" s="34" t="n"/>
      <c r="AI426" s="34" t="n"/>
      <c r="AJ426" s="34" t="n"/>
      <c r="AK426" s="34" t="n"/>
      <c r="AL426" s="34" t="n"/>
      <c r="AM426" s="34" t="n"/>
      <c r="AN426" s="34" t="n"/>
      <c r="AO426" s="34" t="n"/>
      <c r="AP426" s="34" t="n"/>
      <c r="AQ426" s="34" t="n"/>
      <c r="AR426" s="34" t="n"/>
      <c r="AS426" s="34" t="n"/>
      <c r="AT426" s="34" t="n"/>
      <c r="AU426" s="34" t="n"/>
      <c r="AV426" s="34" t="n"/>
      <c r="AW426" s="34" t="n"/>
      <c r="AX426" s="34" t="n"/>
      <c r="AY426" s="34" t="n"/>
      <c r="AZ426" s="34" t="n"/>
      <c r="BA426" s="34" t="n"/>
      <c r="BB426" s="34" t="n"/>
      <c r="BC426" s="34" t="n"/>
      <c r="BD426" s="34" t="n"/>
      <c r="BE426" s="34" t="n"/>
      <c r="BF426" s="34" t="n"/>
      <c r="BG426" s="34" t="n"/>
      <c r="BH426" s="34" t="n"/>
      <c r="BI426" s="34" t="n"/>
      <c r="BJ426" s="34" t="n"/>
      <c r="BK426" s="34" t="n"/>
      <c r="BL426" s="34" t="n"/>
      <c r="BM426" s="34" t="n"/>
      <c r="BN426" s="34" t="n"/>
      <c r="BO426" s="34" t="n"/>
      <c r="BP426" s="34" t="n"/>
      <c r="BQ426" s="34" t="n"/>
      <c r="BR426" s="34" t="n"/>
      <c r="BS426" s="34" t="n"/>
      <c r="BT426" s="34" t="n"/>
      <c r="BU426" s="34" t="n"/>
      <c r="BV426" s="34" t="n"/>
      <c r="BW426" s="34" t="n"/>
      <c r="BX426" s="34" t="n"/>
      <c r="BY426" s="35" t="n"/>
      <c r="BZ426" s="35" t="n"/>
      <c r="CA426" s="289">
        <f>IFERROR(CA421/CA182,"n/a")</f>
        <v>27.0024341566669</v>
      </c>
      <c r="CB426" s="289">
        <f>IFERROR(CB421/CB182,"n/a")</f>
        <v>21.6362815815101</v>
      </c>
      <c r="CC426" s="289">
        <f>IFERROR(CC421/CC182,"n/a")</f>
        <v>17.890673587519</v>
      </c>
      <c r="CD426" s="289">
        <f>IFERROR(CD421/CD182,"n/a")</f>
        <v>14.997999472872</v>
      </c>
      <c r="CE426" s="289">
        <f>IFERROR(CE421/CE182,"n/a")</f>
        <v>12.5808313484563</v>
      </c>
      <c r="CF426" s="19" t="n"/>
    </row>
    <row r="427" ht="15" customHeight="1" s="251">
      <c r="B427" s="25" t="inlineStr">
        <is>
          <t xml:space="preserve">  EV / IC</t>
        </is>
      </c>
      <c r="C427" s="34" t="n"/>
      <c r="D427" s="34" t="n"/>
      <c r="E427" s="34" t="n"/>
      <c r="F427" s="34" t="n"/>
      <c r="G427" s="34" t="n"/>
      <c r="H427" s="34" t="n"/>
      <c r="I427" s="34" t="n"/>
      <c r="J427" s="34" t="n"/>
      <c r="K427" s="34" t="n"/>
      <c r="L427" s="34" t="n"/>
      <c r="M427" s="34" t="n"/>
      <c r="N427" s="34" t="n"/>
      <c r="O427" s="34" t="n"/>
      <c r="P427" s="34" t="n"/>
      <c r="Q427" s="34" t="n"/>
      <c r="R427" s="34" t="n"/>
      <c r="S427" s="34" t="n"/>
      <c r="T427" s="34" t="n"/>
      <c r="U427" s="34" t="n"/>
      <c r="V427" s="34" t="n"/>
      <c r="W427" s="34" t="n"/>
      <c r="X427" s="34" t="n"/>
      <c r="Y427" s="34" t="n"/>
      <c r="Z427" s="34" t="n"/>
      <c r="AA427" s="34" t="n"/>
      <c r="AB427" s="34" t="n"/>
      <c r="AC427" s="34" t="n"/>
      <c r="AD427" s="34" t="n"/>
      <c r="AE427" s="34" t="n"/>
      <c r="AF427" s="34" t="n"/>
      <c r="AG427" s="34" t="n"/>
      <c r="AH427" s="34" t="n"/>
      <c r="AI427" s="34" t="n"/>
      <c r="AJ427" s="34" t="n"/>
      <c r="AK427" s="34" t="n"/>
      <c r="AL427" s="34" t="n"/>
      <c r="AM427" s="34" t="n"/>
      <c r="AN427" s="34" t="n"/>
      <c r="AO427" s="34" t="n"/>
      <c r="AP427" s="34" t="n"/>
      <c r="AQ427" s="34" t="n"/>
      <c r="AR427" s="34" t="n"/>
      <c r="AS427" s="34" t="n"/>
      <c r="AT427" s="34" t="n"/>
      <c r="AU427" s="34" t="n"/>
      <c r="AV427" s="34" t="n"/>
      <c r="AW427" s="34" t="n"/>
      <c r="AX427" s="34" t="n"/>
      <c r="AY427" s="34" t="n"/>
      <c r="AZ427" s="34" t="n"/>
      <c r="BA427" s="34" t="n"/>
      <c r="BB427" s="34" t="n"/>
      <c r="BC427" s="34" t="n"/>
      <c r="BD427" s="34" t="n"/>
      <c r="BE427" s="34" t="n"/>
      <c r="BF427" s="34" t="n"/>
      <c r="BG427" s="34" t="n"/>
      <c r="BH427" s="34" t="n"/>
      <c r="BI427" s="34" t="n"/>
      <c r="BJ427" s="34" t="n"/>
      <c r="BK427" s="34" t="n"/>
      <c r="BL427" s="34" t="n"/>
      <c r="BM427" s="34" t="n"/>
      <c r="BN427" s="34" t="n"/>
      <c r="BO427" s="34" t="n"/>
      <c r="BP427" s="34" t="n"/>
      <c r="BQ427" s="34" t="n"/>
      <c r="BR427" s="34" t="n"/>
      <c r="BS427" s="34" t="n"/>
      <c r="BT427" s="34" t="n"/>
      <c r="BU427" s="34" t="n"/>
      <c r="BV427" s="34" t="n"/>
      <c r="BW427" s="34" t="n"/>
      <c r="BX427" s="34" t="n"/>
      <c r="BY427" s="35" t="n"/>
      <c r="BZ427" s="35" t="n"/>
      <c r="CA427" s="289">
        <f>IFERROR(CA421/CA389,"n/a")</f>
        <v>4.64695211305516</v>
      </c>
      <c r="CB427" s="289">
        <f>IFERROR(CB421/CB389,"n/a")</f>
        <v>3.93576082926694</v>
      </c>
      <c r="CC427" s="289">
        <f>IFERROR(CC421/CC389,"n/a")</f>
        <v>3.43684656439062</v>
      </c>
      <c r="CD427" s="289">
        <f>IFERROR(CD421/CD389,"n/a")</f>
        <v>3.06271175456999</v>
      </c>
      <c r="CE427" s="289">
        <f>IFERROR(CE421/CE389,"n/a")</f>
        <v>2.77012785772587</v>
      </c>
      <c r="CF427" s="19" t="n"/>
    </row>
    <row r="428" ht="15" customHeight="1" s="251">
      <c r="B428" s="25" t="inlineStr">
        <is>
          <t xml:space="preserve">  P / E (GAAP diluted)</t>
        </is>
      </c>
      <c r="C428" s="34" t="n"/>
      <c r="D428" s="34" t="n"/>
      <c r="E428" s="34" t="n"/>
      <c r="F428" s="34" t="n"/>
      <c r="G428" s="34" t="n"/>
      <c r="H428" s="34" t="n"/>
      <c r="I428" s="34" t="n"/>
      <c r="J428" s="34" t="n"/>
      <c r="K428" s="34" t="n"/>
      <c r="L428" s="34" t="n"/>
      <c r="M428" s="34" t="n"/>
      <c r="N428" s="34" t="n"/>
      <c r="O428" s="34" t="n"/>
      <c r="P428" s="34" t="n"/>
      <c r="Q428" s="34" t="n"/>
      <c r="R428" s="34" t="n"/>
      <c r="S428" s="34" t="n"/>
      <c r="T428" s="34" t="n"/>
      <c r="U428" s="34" t="n"/>
      <c r="V428" s="34" t="n"/>
      <c r="W428" s="34" t="n"/>
      <c r="X428" s="34" t="n"/>
      <c r="Y428" s="34" t="n"/>
      <c r="Z428" s="34" t="n"/>
      <c r="AA428" s="34" t="n"/>
      <c r="AB428" s="34" t="n"/>
      <c r="AC428" s="34" t="n"/>
      <c r="AD428" s="34" t="n"/>
      <c r="AE428" s="34" t="n"/>
      <c r="AF428" s="34" t="n"/>
      <c r="AG428" s="34" t="n"/>
      <c r="AH428" s="34" t="n"/>
      <c r="AI428" s="34" t="n"/>
      <c r="AJ428" s="34" t="n"/>
      <c r="AK428" s="34" t="n"/>
      <c r="AL428" s="34" t="n"/>
      <c r="AM428" s="34" t="n"/>
      <c r="AN428" s="34" t="n"/>
      <c r="AO428" s="34" t="n"/>
      <c r="AP428" s="34" t="n"/>
      <c r="AQ428" s="34" t="n"/>
      <c r="AR428" s="34" t="n"/>
      <c r="AS428" s="34" t="n"/>
      <c r="AT428" s="34" t="n"/>
      <c r="AU428" s="34" t="n"/>
      <c r="AV428" s="34" t="n"/>
      <c r="AW428" s="34" t="n"/>
      <c r="AX428" s="34" t="n"/>
      <c r="AY428" s="34" t="n"/>
      <c r="AZ428" s="34" t="n"/>
      <c r="BA428" s="34" t="n"/>
      <c r="BB428" s="34" t="n"/>
      <c r="BC428" s="34" t="n"/>
      <c r="BD428" s="34" t="n"/>
      <c r="BE428" s="34" t="n"/>
      <c r="BF428" s="34" t="n"/>
      <c r="BG428" s="34" t="n"/>
      <c r="BH428" s="34" t="n"/>
      <c r="BI428" s="34" t="n"/>
      <c r="BJ428" s="34" t="n"/>
      <c r="BK428" s="34" t="n"/>
      <c r="BL428" s="34" t="n"/>
      <c r="BM428" s="34" t="n"/>
      <c r="BN428" s="34" t="n"/>
      <c r="BO428" s="34" t="n"/>
      <c r="BP428" s="34" t="n"/>
      <c r="BQ428" s="34" t="n"/>
      <c r="BR428" s="34" t="n"/>
      <c r="BS428" s="34" t="n"/>
      <c r="BT428" s="34" t="n"/>
      <c r="BU428" s="34" t="n"/>
      <c r="BV428" s="34" t="n"/>
      <c r="BW428" s="34" t="n"/>
      <c r="BX428" s="34" t="n"/>
      <c r="BY428" s="35" t="n"/>
      <c r="BZ428" s="35" t="n"/>
      <c r="CA428" s="289">
        <f>IFERROR(CA416/CA171,"n/a")</f>
        <v>20.7797213732261</v>
      </c>
      <c r="CB428" s="289">
        <f>IFERROR(CB416/CB171,"n/a")</f>
        <v>27.1793911918731</v>
      </c>
      <c r="CC428" s="289">
        <f>IFERROR(CC416/CC171,"n/a")</f>
        <v>22.5251274540132</v>
      </c>
      <c r="CD428" s="289">
        <f>IFERROR(CD416/CD171,"n/a")</f>
        <v>18.9468162365108</v>
      </c>
      <c r="CE428" s="289">
        <f>IFERROR(CE416/CE171,"n/a")</f>
        <v>15.9382802059367</v>
      </c>
      <c r="CF428" s="19" t="n"/>
    </row>
    <row r="429" ht="15" customHeight="1" s="251">
      <c r="B429" s="25" t="inlineStr">
        <is>
          <t xml:space="preserve">  P / E (adjusted EPS, model)</t>
        </is>
      </c>
      <c r="C429" s="34" t="n"/>
      <c r="D429" s="34" t="n"/>
      <c r="E429" s="34" t="n"/>
      <c r="F429" s="34" t="n"/>
      <c r="G429" s="34" t="n"/>
      <c r="H429" s="34" t="n"/>
      <c r="I429" s="34" t="n"/>
      <c r="J429" s="34" t="n"/>
      <c r="K429" s="34" t="n"/>
      <c r="L429" s="34" t="n"/>
      <c r="M429" s="34" t="n"/>
      <c r="N429" s="34" t="n"/>
      <c r="O429" s="34" t="n"/>
      <c r="P429" s="34" t="n"/>
      <c r="Q429" s="34" t="n"/>
      <c r="R429" s="34" t="n"/>
      <c r="S429" s="34" t="n"/>
      <c r="T429" s="34" t="n"/>
      <c r="U429" s="34" t="n"/>
      <c r="V429" s="34" t="n"/>
      <c r="W429" s="34" t="n"/>
      <c r="X429" s="34" t="n"/>
      <c r="Y429" s="34" t="n"/>
      <c r="Z429" s="34" t="n"/>
      <c r="AA429" s="34" t="n"/>
      <c r="AB429" s="34" t="n"/>
      <c r="AC429" s="34" t="n"/>
      <c r="AD429" s="34" t="n"/>
      <c r="AE429" s="34" t="n"/>
      <c r="AF429" s="34" t="n"/>
      <c r="AG429" s="34" t="n"/>
      <c r="AH429" s="34" t="n"/>
      <c r="AI429" s="34" t="n"/>
      <c r="AJ429" s="34" t="n"/>
      <c r="AK429" s="34" t="n"/>
      <c r="AL429" s="34" t="n"/>
      <c r="AM429" s="34" t="n"/>
      <c r="AN429" s="34" t="n"/>
      <c r="AO429" s="34" t="n"/>
      <c r="AP429" s="34" t="n"/>
      <c r="AQ429" s="34" t="n"/>
      <c r="AR429" s="34" t="n"/>
      <c r="AS429" s="34" t="n"/>
      <c r="AT429" s="34" t="n"/>
      <c r="AU429" s="34" t="n"/>
      <c r="AV429" s="34" t="n"/>
      <c r="AW429" s="34" t="n"/>
      <c r="AX429" s="34" t="n"/>
      <c r="AY429" s="34" t="n"/>
      <c r="AZ429" s="34" t="n"/>
      <c r="BA429" s="34" t="n"/>
      <c r="BB429" s="34" t="n"/>
      <c r="BC429" s="34" t="n"/>
      <c r="BD429" s="34" t="n"/>
      <c r="BE429" s="34" t="n"/>
      <c r="BF429" s="34" t="n"/>
      <c r="BG429" s="34" t="n"/>
      <c r="BH429" s="34" t="n"/>
      <c r="BI429" s="34" t="n"/>
      <c r="BJ429" s="34" t="n"/>
      <c r="BK429" s="34" t="n"/>
      <c r="BL429" s="34" t="n"/>
      <c r="BM429" s="34" t="n"/>
      <c r="BN429" s="34" t="n"/>
      <c r="BO429" s="34" t="n"/>
      <c r="BP429" s="34" t="n"/>
      <c r="BQ429" s="34" t="n"/>
      <c r="BR429" s="34" t="n"/>
      <c r="BS429" s="34" t="n"/>
      <c r="BT429" s="34" t="n"/>
      <c r="BU429" s="34" t="n"/>
      <c r="BV429" s="34" t="n"/>
      <c r="BW429" s="34" t="n"/>
      <c r="BX429" s="34" t="n"/>
      <c r="BY429" s="35" t="n"/>
      <c r="BZ429" s="35" t="n"/>
      <c r="CA429" s="289">
        <f>IFERROR(CA416/CA222,"n/a")</f>
        <v>34.7857268040505</v>
      </c>
      <c r="CB429" s="289">
        <f>IFERROR(CB416/CB222,"n/a")</f>
        <v>27.1793911918731</v>
      </c>
      <c r="CC429" s="289">
        <f>IFERROR(CC416/CC222,"n/a")</f>
        <v>22.5251274540132</v>
      </c>
      <c r="CD429" s="289">
        <f>IFERROR(CD416/CD222,"n/a")</f>
        <v>18.9468162365108</v>
      </c>
      <c r="CE429" s="289">
        <f>IFERROR(CE416/CE222,"n/a")</f>
        <v>15.9382802059367</v>
      </c>
      <c r="CF429" s="19" t="n"/>
    </row>
    <row r="430" ht="15" customHeight="1" s="251">
      <c r="B430" s="25" t="inlineStr">
        <is>
          <t xml:space="preserve">  FCF yield</t>
        </is>
      </c>
      <c r="C430" s="34" t="n"/>
      <c r="D430" s="34" t="n"/>
      <c r="E430" s="34" t="n"/>
      <c r="F430" s="34" t="n"/>
      <c r="G430" s="34" t="n"/>
      <c r="H430" s="34" t="n"/>
      <c r="I430" s="34" t="n"/>
      <c r="J430" s="34" t="n"/>
      <c r="K430" s="34" t="n"/>
      <c r="L430" s="34" t="n"/>
      <c r="M430" s="34" t="n"/>
      <c r="N430" s="34" t="n"/>
      <c r="O430" s="34" t="n"/>
      <c r="P430" s="34" t="n"/>
      <c r="Q430" s="34" t="n"/>
      <c r="R430" s="34" t="n"/>
      <c r="S430" s="34" t="n"/>
      <c r="T430" s="34" t="n"/>
      <c r="U430" s="34" t="n"/>
      <c r="V430" s="34" t="n"/>
      <c r="W430" s="34" t="n"/>
      <c r="X430" s="34" t="n"/>
      <c r="Y430" s="34" t="n"/>
      <c r="Z430" s="34" t="n"/>
      <c r="AA430" s="34" t="n"/>
      <c r="AB430" s="34" t="n"/>
      <c r="AC430" s="34" t="n"/>
      <c r="AD430" s="34" t="n"/>
      <c r="AE430" s="34" t="n"/>
      <c r="AF430" s="34" t="n"/>
      <c r="AG430" s="34" t="n"/>
      <c r="AH430" s="34" t="n"/>
      <c r="AI430" s="34" t="n"/>
      <c r="AJ430" s="34" t="n"/>
      <c r="AK430" s="34" t="n"/>
      <c r="AL430" s="34" t="n"/>
      <c r="AM430" s="34" t="n"/>
      <c r="AN430" s="34" t="n"/>
      <c r="AO430" s="34" t="n"/>
      <c r="AP430" s="34" t="n"/>
      <c r="AQ430" s="34" t="n"/>
      <c r="AR430" s="34" t="n"/>
      <c r="AS430" s="34" t="n"/>
      <c r="AT430" s="34" t="n"/>
      <c r="AU430" s="34" t="n"/>
      <c r="AV430" s="34" t="n"/>
      <c r="AW430" s="34" t="n"/>
      <c r="AX430" s="34" t="n"/>
      <c r="AY430" s="34" t="n"/>
      <c r="AZ430" s="34" t="n"/>
      <c r="BA430" s="34" t="n"/>
      <c r="BB430" s="34" t="n"/>
      <c r="BC430" s="34" t="n"/>
      <c r="BD430" s="34" t="n"/>
      <c r="BE430" s="34" t="n"/>
      <c r="BF430" s="34" t="n"/>
      <c r="BG430" s="34" t="n"/>
      <c r="BH430" s="34" t="n"/>
      <c r="BI430" s="34" t="n"/>
      <c r="BJ430" s="34" t="n"/>
      <c r="BK430" s="34" t="n"/>
      <c r="BL430" s="34" t="n"/>
      <c r="BM430" s="34" t="n"/>
      <c r="BN430" s="34" t="n"/>
      <c r="BO430" s="34" t="n"/>
      <c r="BP430" s="34" t="n"/>
      <c r="BQ430" s="34" t="n"/>
      <c r="BR430" s="34" t="n"/>
      <c r="BS430" s="34" t="n"/>
      <c r="BT430" s="34" t="n"/>
      <c r="BU430" s="34" t="n"/>
      <c r="BV430" s="34" t="n"/>
      <c r="BW430" s="34" t="n"/>
      <c r="BX430" s="34" t="n"/>
      <c r="BY430" s="35" t="n"/>
      <c r="BZ430" s="35" t="n"/>
      <c r="CA430" s="256">
        <f>IFERROR(CA277/CA418,"n/a")</f>
        <v>-0.00937020739214238</v>
      </c>
      <c r="CB430" s="256">
        <f>IFERROR(CB277/CB418,"n/a")</f>
        <v>0.00736056855496058</v>
      </c>
      <c r="CC430" s="256">
        <f>IFERROR(CC277/CC418,"n/a")</f>
        <v>0.0210437484662488</v>
      </c>
      <c r="CD430" s="256">
        <f>IFERROR(CD277/CD418,"n/a")</f>
        <v>0.035575154606674</v>
      </c>
      <c r="CE430" s="256">
        <f>IFERROR(CE277/CE418,"n/a")</f>
        <v>0.0524110239075344</v>
      </c>
      <c r="CF430" s="19" t="n"/>
    </row>
    <row r="431" ht="15" customHeight="1" s="251">
      <c r="B431" s="25" t="inlineStr">
        <is>
          <t xml:space="preserve">  Dividend yield (none)</t>
        </is>
      </c>
      <c r="C431" s="34" t="n"/>
      <c r="D431" s="34" t="n"/>
      <c r="E431" s="34" t="n"/>
      <c r="F431" s="34" t="n"/>
      <c r="G431" s="34" t="n"/>
      <c r="H431" s="34" t="n"/>
      <c r="I431" s="34" t="n"/>
      <c r="J431" s="34" t="n"/>
      <c r="K431" s="34" t="n"/>
      <c r="L431" s="34" t="n"/>
      <c r="M431" s="34" t="n"/>
      <c r="N431" s="34" t="n"/>
      <c r="O431" s="34" t="n"/>
      <c r="P431" s="34" t="n"/>
      <c r="Q431" s="34" t="n"/>
      <c r="R431" s="34" t="n"/>
      <c r="S431" s="34" t="n"/>
      <c r="T431" s="34" t="n"/>
      <c r="U431" s="34" t="n"/>
      <c r="V431" s="34" t="n"/>
      <c r="W431" s="34" t="n"/>
      <c r="X431" s="34" t="n"/>
      <c r="Y431" s="34" t="n"/>
      <c r="Z431" s="34" t="n"/>
      <c r="AA431" s="34" t="n"/>
      <c r="AB431" s="34" t="n"/>
      <c r="AC431" s="34" t="n"/>
      <c r="AD431" s="34" t="n"/>
      <c r="AE431" s="34" t="n"/>
      <c r="AF431" s="34" t="n"/>
      <c r="AG431" s="34" t="n"/>
      <c r="AH431" s="34" t="n"/>
      <c r="AI431" s="34" t="n"/>
      <c r="AJ431" s="34" t="n"/>
      <c r="AK431" s="34" t="n"/>
      <c r="AL431" s="34" t="n"/>
      <c r="AM431" s="34" t="n"/>
      <c r="AN431" s="34" t="n"/>
      <c r="AO431" s="34" t="n"/>
      <c r="AP431" s="34" t="n"/>
      <c r="AQ431" s="34" t="n"/>
      <c r="AR431" s="34" t="n"/>
      <c r="AS431" s="34" t="n"/>
      <c r="AT431" s="34" t="n"/>
      <c r="AU431" s="34" t="n"/>
      <c r="AV431" s="34" t="n"/>
      <c r="AW431" s="34" t="n"/>
      <c r="AX431" s="34" t="n"/>
      <c r="AY431" s="34" t="n"/>
      <c r="AZ431" s="34" t="n"/>
      <c r="BA431" s="34" t="n"/>
      <c r="BB431" s="34" t="n"/>
      <c r="BC431" s="34" t="n"/>
      <c r="BD431" s="34" t="n"/>
      <c r="BE431" s="34" t="n"/>
      <c r="BF431" s="34" t="n"/>
      <c r="BG431" s="34" t="n"/>
      <c r="BH431" s="34" t="n"/>
      <c r="BI431" s="34" t="n"/>
      <c r="BJ431" s="34" t="n"/>
      <c r="BK431" s="34" t="n"/>
      <c r="BL431" s="34" t="n"/>
      <c r="BM431" s="34" t="n"/>
      <c r="BN431" s="34" t="n"/>
      <c r="BO431" s="34" t="n"/>
      <c r="BP431" s="34" t="n"/>
      <c r="BQ431" s="34" t="n"/>
      <c r="BR431" s="34" t="n"/>
      <c r="BS431" s="34" t="n"/>
      <c r="BT431" s="34" t="n"/>
      <c r="BU431" s="34" t="n"/>
      <c r="BV431" s="34" t="n"/>
      <c r="BW431" s="34" t="n"/>
      <c r="BX431" s="34" t="n"/>
      <c r="BY431" s="35" t="n"/>
      <c r="BZ431" s="35" t="n"/>
      <c r="CA431" s="256">
        <f>IFERROR(CA175/CA416,"n/a")</f>
        <v>0</v>
      </c>
      <c r="CB431" s="256">
        <f>IFERROR(CB175/CB416,"n/a")</f>
        <v>0</v>
      </c>
      <c r="CC431" s="256">
        <f>IFERROR(CC175/CC416,"n/a")</f>
        <v>0</v>
      </c>
      <c r="CD431" s="256">
        <f>IFERROR(CD175/CD416,"n/a")</f>
        <v>0</v>
      </c>
      <c r="CE431" s="256">
        <f>IFERROR(CE175/CE416,"n/a")</f>
        <v>0</v>
      </c>
      <c r="CF431" s="19" t="n"/>
    </row>
    <row r="432" ht="15" customHeight="1" s="251"/>
    <row r="433" ht="15" customHeight="1" s="251"/>
    <row r="434" ht="15" customHeight="1" s="251"/>
    <row r="435" ht="15" customHeight="1" s="251"/>
    <row r="436" ht="15" customHeight="1" s="251"/>
    <row r="437" ht="15" customHeight="1" s="251"/>
    <row r="438" ht="15" customHeight="1" s="251"/>
    <row r="439" ht="15" customHeight="1" s="251"/>
    <row r="440" ht="15" customHeight="1" s="251"/>
    <row r="441" ht="15" customHeight="1" s="251"/>
    <row r="442" ht="15" customHeight="1" s="251"/>
    <row r="443" ht="15" customHeight="1" s="251"/>
    <row r="444" ht="15" customHeight="1" s="251"/>
    <row r="445" ht="15" customHeight="1" s="251"/>
    <row r="446" ht="15" customHeight="1" s="251"/>
    <row r="447" ht="15" customHeight="1" s="251"/>
  </sheetData>
  <dataValidations count="1">
    <dataValidation sqref="CF2" showDropDown="0" showInputMessage="0" showErrorMessage="0" allowBlank="0" type="list">
      <formula1>"Bull,Base,Bear"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Amazon.com, Inc. (AMZN) — Bull / Base / Bear Case P&amp;L Summary</t>
        </is>
      </c>
      <c r="J2" s="152" t="inlineStr">
        <is>
          <t>Share price ($):</t>
        </is>
      </c>
      <c r="K2" s="74">
        <f>Model!$CA$416</f>
        <v>260</v>
      </c>
    </row>
    <row r="3" ht="15" customHeight="1" s="251">
      <c r="B3" s="4" t="inlineStr">
        <is>
          <t>Model definitions (Amazon publishes no adjusted measures besides free cash flow): adjusted operating income / EBITDA add back only the special charges Amazon quantified and energy-contract remeasurements; adjusted EPS also excludes other income (expense) — investment marks (Anthropic, Rivian) — and equity-method activity. USD millions · Live panel linked to Model — toggle the scenario with the switch on the Model sheet (cell CF2). Bull and Bear panels are value snapshots generated from the Model with the switch set to each case. 2026E = 1H actual + Q3 calibrated to the Q3-26 guidance + Q4 carrying the Q3 Δs.</t>
        </is>
      </c>
      <c r="J3" s="152" t="inlineStr">
        <is>
          <t>As of:</t>
        </is>
      </c>
      <c r="K3" s="292" t="str">
        <f>TODAY()</f>
        <v>2026-10-12 00:00:00</v>
      </c>
    </row>
    <row r="5" ht="15" customHeight="1" s="251">
      <c r="B5" s="10" t="inlineStr">
        <is>
          <t>Scenario:</t>
        </is>
      </c>
      <c r="C5" s="75" t="str">
        <f>Model!$CF$2</f>
        <v>Base</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2025A</t>
        </is>
      </c>
      <c r="D7" s="150" t="inlineStr">
        <is>
          <t>2026E</t>
        </is>
      </c>
      <c r="E7" s="150" t="inlineStr">
        <is>
          <t>2027E</t>
        </is>
      </c>
      <c r="F7" s="150" t="inlineStr">
        <is>
          <t>2028E</t>
        </is>
      </c>
      <c r="G7" s="150" t="inlineStr">
        <is>
          <t>2029E</t>
        </is>
      </c>
      <c r="H7" s="150" t="inlineStr">
        <is>
          <t>2030E</t>
        </is>
      </c>
      <c r="I7" s="150" t="inlineStr">
        <is>
          <t>25-'30 CAGR</t>
        </is>
      </c>
      <c r="J7" s="151" t="inlineStr">
        <is>
          <t>LT Hist Avg</t>
        </is>
      </c>
      <c r="K7" s="151" t="inlineStr">
        <is>
          <t>LT Hist Min</t>
        </is>
      </c>
      <c r="L7" s="151" t="inlineStr">
        <is>
          <t>LT Hist Max</t>
        </is>
      </c>
      <c r="N7" s="78" t="inlineStr">
        <is>
          <t>(USDm, except EPS and shares)</t>
        </is>
      </c>
      <c r="O7" s="150" t="inlineStr">
        <is>
          <t>2025A</t>
        </is>
      </c>
      <c r="P7" s="150" t="inlineStr">
        <is>
          <t>2026E</t>
        </is>
      </c>
      <c r="Q7" s="150" t="inlineStr">
        <is>
          <t>2027E</t>
        </is>
      </c>
      <c r="R7" s="150" t="inlineStr">
        <is>
          <t>2028E</t>
        </is>
      </c>
      <c r="S7" s="150" t="inlineStr">
        <is>
          <t>2029E</t>
        </is>
      </c>
      <c r="T7" s="150" t="inlineStr">
        <is>
          <t>2030E</t>
        </is>
      </c>
      <c r="U7" s="150" t="inlineStr">
        <is>
          <t>25-'30 CAGR</t>
        </is>
      </c>
      <c r="V7" s="151" t="inlineStr">
        <is>
          <t>LT Hist Avg</t>
        </is>
      </c>
      <c r="W7" s="151" t="inlineStr">
        <is>
          <t>LT Hist Min</t>
        </is>
      </c>
      <c r="X7" s="151" t="inlineStr">
        <is>
          <t>LT Hist Max</t>
        </is>
      </c>
      <c r="Z7" s="78" t="inlineStr">
        <is>
          <t>(USDm, except EPS and shares)</t>
        </is>
      </c>
      <c r="AA7" s="150" t="inlineStr">
        <is>
          <t>2025A</t>
        </is>
      </c>
      <c r="AB7" s="150" t="inlineStr">
        <is>
          <t>2026E</t>
        </is>
      </c>
      <c r="AC7" s="150" t="inlineStr">
        <is>
          <t>2027E</t>
        </is>
      </c>
      <c r="AD7" s="150" t="inlineStr">
        <is>
          <t>2028E</t>
        </is>
      </c>
      <c r="AE7" s="150" t="inlineStr">
        <is>
          <t>2029E</t>
        </is>
      </c>
      <c r="AF7" s="150" t="inlineStr">
        <is>
          <t>2030E</t>
        </is>
      </c>
      <c r="AG7" s="150" t="inlineStr">
        <is>
          <t>25-'30 CAGR</t>
        </is>
      </c>
      <c r="AH7" s="151" t="inlineStr">
        <is>
          <t>LT Hist Avg</t>
        </is>
      </c>
      <c r="AI7" s="151" t="inlineStr">
        <is>
          <t>LT Hist Min</t>
        </is>
      </c>
      <c r="AJ7" s="151" t="inlineStr">
        <is>
          <t>LT Hist Max</t>
        </is>
      </c>
    </row>
    <row r="9" ht="15" customHeight="1" s="251">
      <c r="B9" s="79" t="inlineStr">
        <is>
          <t>Net sales</t>
        </is>
      </c>
      <c r="C9" s="80">
        <f>Model!BV144</f>
        <v>716924</v>
      </c>
      <c r="D9" s="81">
        <f>Model!CA144</f>
        <v>825522.474008928</v>
      </c>
      <c r="E9" s="81">
        <f>Model!CB144</f>
        <v>943961.712210567</v>
      </c>
      <c r="F9" s="81">
        <f>Model!CC144</f>
        <v>1069423.70239271</v>
      </c>
      <c r="G9" s="81">
        <f>Model!CD144</f>
        <v>1198711.65171464</v>
      </c>
      <c r="H9" s="81">
        <f>Model!CE144</f>
        <v>1330223.04732592</v>
      </c>
      <c r="I9" s="293">
        <f>IFERROR((H9/C9)^(1/5)-1,"n/m")</f>
        <v>0.131593045640937</v>
      </c>
      <c r="N9" s="79" t="inlineStr">
        <is>
          <t>Net sales</t>
        </is>
      </c>
      <c r="O9" s="80" t="n">
        <v>716924</v>
      </c>
      <c r="P9" s="81" t="n">
        <v>831043.053230607</v>
      </c>
      <c r="Q9" s="81" t="n">
        <v>972979.4581598249</v>
      </c>
      <c r="R9" s="81" t="n">
        <v>1130482.77089222</v>
      </c>
      <c r="S9" s="81" t="n">
        <v>1301136.43874631</v>
      </c>
      <c r="T9" s="81" t="n">
        <v>1484139.74189482</v>
      </c>
      <c r="U9" s="293" t="n">
        <v>0.156645666594765</v>
      </c>
      <c r="Z9" s="79" t="inlineStr">
        <is>
          <t>Net sales</t>
        </is>
      </c>
      <c r="AA9" s="80" t="n">
        <v>716924</v>
      </c>
      <c r="AB9" s="81" t="n">
        <v>820001.894787248</v>
      </c>
      <c r="AC9" s="81" t="n">
        <v>902684.537344705</v>
      </c>
      <c r="AD9" s="81" t="n">
        <v>982133.814119231</v>
      </c>
      <c r="AE9" s="81" t="n">
        <v>1055392.4333895</v>
      </c>
      <c r="AF9" s="81" t="n">
        <v>1121336.56373609</v>
      </c>
      <c r="AG9" s="293" t="n">
        <v>0.0935850710118364</v>
      </c>
    </row>
    <row r="10" ht="15" customHeight="1" s="251">
      <c r="B10" s="83" t="inlineStr">
        <is>
          <t xml:space="preserve">   Net sales y/y %</t>
        </is>
      </c>
      <c r="C10" s="294" t="n"/>
      <c r="D10" s="295">
        <f>IFERROR(D9/C9-1,"")</f>
        <v>0.15147836313044</v>
      </c>
      <c r="E10" s="295">
        <f>IFERROR(E9/D9-1,"")</f>
        <v>0.143471851985412</v>
      </c>
      <c r="F10" s="295">
        <f>IFERROR(F9/E9-1,"")</f>
        <v>0.132910041328194</v>
      </c>
      <c r="G10" s="295">
        <f>IFERROR(G9/F9-1,"")</f>
        <v>0.120894972715366</v>
      </c>
      <c r="H10" s="295">
        <f>IFERROR(H9/G9-1,"")</f>
        <v>0.109710617581103</v>
      </c>
      <c r="N10" s="83" t="inlineStr">
        <is>
          <t xml:space="preserve">   Net sales y/y %</t>
        </is>
      </c>
      <c r="O10" s="294" t="n"/>
      <c r="P10" s="295" t="n">
        <v>0.159178731958488</v>
      </c>
      <c r="Q10" s="295" t="n">
        <v>0.17079308271389</v>
      </c>
      <c r="R10" s="295" t="n">
        <v>0.161877325786791</v>
      </c>
      <c r="S10" s="295" t="n">
        <v>0.150956451746195</v>
      </c>
      <c r="T10" s="295" t="n">
        <v>0.140648818754807</v>
      </c>
      <c r="Z10" s="83" t="inlineStr">
        <is>
          <t xml:space="preserve">   Net sales y/y %</t>
        </is>
      </c>
      <c r="AA10" s="294" t="n"/>
      <c r="AB10" s="295" t="n">
        <v>0.143777994302392</v>
      </c>
      <c r="AC10" s="295" t="n">
        <v>0.100832257929</v>
      </c>
      <c r="AD10" s="295" t="n">
        <v>0.08801444301708219</v>
      </c>
      <c r="AE10" s="295" t="n">
        <v>0.07459128096100701</v>
      </c>
      <c r="AF10" s="295" t="n">
        <v>0.0624830425728915</v>
      </c>
    </row>
    <row r="11" ht="15" customHeight="1" s="251">
      <c r="B11" s="79" t="inlineStr">
        <is>
          <t xml:space="preserve">   AWS segment net sales y/y %</t>
        </is>
      </c>
      <c r="C11" s="86">
        <f>Model!BV232</f>
        <v>0.196818401576853</v>
      </c>
      <c r="D11" s="87">
        <f>Model!CA232</f>
        <v>0.348908529638871</v>
      </c>
      <c r="E11" s="87">
        <f>Model!CB232</f>
        <v>0.28</v>
      </c>
      <c r="F11" s="87">
        <f>Model!CC232</f>
        <v>0.24</v>
      </c>
      <c r="G11" s="87">
        <f>Model!CD232</f>
        <v>0.2</v>
      </c>
      <c r="H11" s="87">
        <f>Model!CE232</f>
        <v>0.17</v>
      </c>
      <c r="N11" s="79" t="inlineStr">
        <is>
          <t xml:space="preserve">   AWS segment net sales y/y %</t>
        </is>
      </c>
      <c r="O11" s="86" t="n">
        <v>0.196818401576853</v>
      </c>
      <c r="P11" s="87" t="n">
        <v>0.348908529638871</v>
      </c>
      <c r="Q11" s="87" t="n">
        <v>0.33</v>
      </c>
      <c r="R11" s="87" t="n">
        <v>0.29</v>
      </c>
      <c r="S11" s="87" t="n">
        <v>0.25</v>
      </c>
      <c r="T11" s="87" t="n">
        <v>0.22</v>
      </c>
      <c r="Z11" s="79" t="inlineStr">
        <is>
          <t xml:space="preserve">   AWS segment net sales y/y %</t>
        </is>
      </c>
      <c r="AA11" s="86" t="n">
        <v>0.196818401576853</v>
      </c>
      <c r="AB11" s="87" t="n">
        <v>0.348908529638871</v>
      </c>
      <c r="AC11" s="87" t="n">
        <v>0.2</v>
      </c>
      <c r="AD11" s="87" t="n">
        <v>0.16</v>
      </c>
      <c r="AE11" s="87" t="n">
        <v>0.12</v>
      </c>
      <c r="AF11" s="87" t="n">
        <v>0.09000000000000009</v>
      </c>
    </row>
    <row r="12" ht="15" customHeight="1" s="251">
      <c r="B12" s="79" t="inlineStr">
        <is>
          <t>Adjusted EBITDA (model definition)</t>
        </is>
      </c>
      <c r="C12" s="80">
        <f>Model!BV202</f>
        <v>152471</v>
      </c>
      <c r="D12" s="81">
        <f>Model!CA202</f>
        <v>191718.136939077</v>
      </c>
      <c r="E12" s="81">
        <f>Model!CB202</f>
        <v>248439.407146781</v>
      </c>
      <c r="F12" s="81">
        <f>Model!CC202</f>
        <v>297699.805376884</v>
      </c>
      <c r="G12" s="81">
        <f>Model!CD202</f>
        <v>346306.164922942</v>
      </c>
      <c r="H12" s="81">
        <f>Model!CE202</f>
        <v>395464.059127364</v>
      </c>
      <c r="I12" s="293">
        <f>IFERROR((H12/C12)^(1/5)-1,"n/m")</f>
        <v>0.209996054555946</v>
      </c>
      <c r="N12" s="79" t="inlineStr">
        <is>
          <t>Adjusted EBITDA (model definition)</t>
        </is>
      </c>
      <c r="O12" s="80" t="n">
        <v>152471</v>
      </c>
      <c r="P12" s="81" t="n">
        <v>196379.811543019</v>
      </c>
      <c r="Q12" s="81" t="n">
        <v>265817.5473378</v>
      </c>
      <c r="R12" s="81" t="n">
        <v>324590.574836341</v>
      </c>
      <c r="S12" s="81" t="n">
        <v>386199.227977647</v>
      </c>
      <c r="T12" s="81" t="n">
        <v>452333.434850294</v>
      </c>
      <c r="U12" s="293" t="n">
        <v>0.242951802098932</v>
      </c>
      <c r="Z12" s="79" t="inlineStr">
        <is>
          <t>Adjusted EBITDA (model definition)</t>
        </is>
      </c>
      <c r="AA12" s="80" t="n">
        <v>152471</v>
      </c>
      <c r="AB12" s="81" t="n">
        <v>187055.792874742</v>
      </c>
      <c r="AC12" s="81" t="n">
        <v>223707.875890834</v>
      </c>
      <c r="AD12" s="81" t="n">
        <v>260600.952720098</v>
      </c>
      <c r="AE12" s="81" t="n">
        <v>293137.12442588</v>
      </c>
      <c r="AF12" s="81" t="n">
        <v>322431.633994866</v>
      </c>
      <c r="AG12" s="293" t="n">
        <v>0.161582549804316</v>
      </c>
    </row>
    <row r="13" ht="15" customHeight="1" s="251">
      <c r="B13" s="83" t="inlineStr">
        <is>
          <t xml:space="preserve">   Adjusted EBITDA margin %</t>
        </is>
      </c>
      <c r="C13" s="88">
        <f>IFERROR(C12/C9,"")</f>
        <v>0.212673867801887</v>
      </c>
      <c r="D13" s="89">
        <f>IFERROR(D12/D9,"")</f>
        <v>0.23223854343789</v>
      </c>
      <c r="E13" s="89">
        <f>IFERROR(E12/E9,"")</f>
        <v>0.263188012747876</v>
      </c>
      <c r="F13" s="89">
        <f>IFERROR(F12/F9,"")</f>
        <v>0.278374048294251</v>
      </c>
      <c r="G13" s="89">
        <f>IFERROR(G12/G9,"")</f>
        <v>0.288898639157786</v>
      </c>
      <c r="H13" s="89">
        <f>IFERROR(H12/H9,"")</f>
        <v>0.297291540634743</v>
      </c>
      <c r="J13" s="90">
        <f>IFERROR(AVERAGE(Model!C203,Model!D203,Model!E203,Model!F203,Model!G203,Model!H203,Model!I203,Model!N203,Model!S203,Model!X203,Model!AC203,Model!AH203,Model!AM203,Model!AR203,Model!AW203,Model!BB203,Model!BG203,Model!BL203,Model!BQ203,Model!BV203),"")</f>
        <v>0.0955233569617581</v>
      </c>
      <c r="K13" s="90">
        <f>IFERROR(MIN(Model!C203,Model!D203,Model!E203,Model!F203,Model!G203,Model!H203,Model!I203,Model!N203,Model!S203,Model!X203,Model!AC203,Model!AH203,Model!AM203,Model!AR203,Model!AW203,Model!BB203,Model!BG203,Model!BL203,Model!BQ203,Model!BV203),"")</f>
        <v>0.0404559352705036</v>
      </c>
      <c r="L13" s="90">
        <f>IFERROR(MAX(Model!C203,Model!D203,Model!E203,Model!F203,Model!G203,Model!H203,Model!I203,Model!N203,Model!S203,Model!X203,Model!AC203,Model!AH203,Model!AM203,Model!AR203,Model!AW203,Model!BB203,Model!BG203,Model!BL203,Model!BQ203,Model!BV203),"")</f>
        <v>0.212673867801887</v>
      </c>
      <c r="N13" s="83" t="inlineStr">
        <is>
          <t xml:space="preserve">   Adjusted EBITDA margin %</t>
        </is>
      </c>
      <c r="O13" s="88" t="n">
        <v>0.212673867801887</v>
      </c>
      <c r="P13" s="89" t="n">
        <v>0.236305220023932</v>
      </c>
      <c r="Q13" s="89" t="n">
        <v>0.273199547131791</v>
      </c>
      <c r="R13" s="89" t="n">
        <v>0.287125627381444</v>
      </c>
      <c r="S13" s="89" t="n">
        <v>0.296816856770042</v>
      </c>
      <c r="T13" s="89" t="n">
        <v>0.304778197147928</v>
      </c>
      <c r="V13" s="90" t="n">
        <v>0.09552335696175809</v>
      </c>
      <c r="W13" s="90" t="n">
        <v>0.0404559352705036</v>
      </c>
      <c r="X13" s="90" t="n">
        <v>0.212673867801887</v>
      </c>
      <c r="Z13" s="83" t="inlineStr">
        <is>
          <t xml:space="preserve">   Adjusted EBITDA margin %</t>
        </is>
      </c>
      <c r="AA13" s="88" t="n">
        <v>0.212673867801887</v>
      </c>
      <c r="AB13" s="89" t="n">
        <v>0.228116293466948</v>
      </c>
      <c r="AC13" s="89" t="n">
        <v>0.247825089093564</v>
      </c>
      <c r="AD13" s="89" t="n">
        <v>0.265341594977872</v>
      </c>
      <c r="AE13" s="89" t="n">
        <v>0.277751777587072</v>
      </c>
      <c r="AF13" s="89" t="n">
        <v>0.287542245943165</v>
      </c>
      <c r="AH13" s="90" t="n">
        <v>0.09552335696175809</v>
      </c>
      <c r="AI13" s="90" t="n">
        <v>0.0404559352705036</v>
      </c>
      <c r="AJ13" s="90" t="n">
        <v>0.212673867801887</v>
      </c>
    </row>
    <row r="15" ht="15" customHeight="1" s="251">
      <c r="B15" s="79" t="inlineStr">
        <is>
          <t>Operating Income (GAAP)</t>
        </is>
      </c>
      <c r="C15" s="80">
        <f>Model!BV154</f>
        <v>79975</v>
      </c>
      <c r="D15" s="81">
        <f>Model!CA154</f>
        <v>106753.60601331</v>
      </c>
      <c r="E15" s="81">
        <f>Model!CB154</f>
        <v>133285.411379273</v>
      </c>
      <c r="F15" s="81">
        <f>Model!CC154</f>
        <v>160376.095923195</v>
      </c>
      <c r="G15" s="81">
        <f>Model!CD154</f>
        <v>188437.124716498</v>
      </c>
      <c r="H15" s="81">
        <f>Model!CE154</f>
        <v>219090.509680543</v>
      </c>
      <c r="I15" s="293">
        <f>IFERROR((H15/C15)^(1/5)-1,"n/m")</f>
        <v>0.223302500295774</v>
      </c>
      <c r="N15" s="79" t="inlineStr">
        <is>
          <t>Operating Income (GAAP)</t>
        </is>
      </c>
      <c r="O15" s="80" t="n">
        <v>79975</v>
      </c>
      <c r="P15" s="81" t="n">
        <v>111238.593188057</v>
      </c>
      <c r="Q15" s="81" t="n">
        <v>149937.119115742</v>
      </c>
      <c r="R15" s="81" t="n">
        <v>185589.570044071</v>
      </c>
      <c r="S15" s="81" t="n">
        <v>224764.837255691</v>
      </c>
      <c r="T15" s="81" t="n">
        <v>269609.905155299</v>
      </c>
      <c r="U15" s="293" t="n">
        <v>0.275135447808872</v>
      </c>
      <c r="Z15" s="79" t="inlineStr">
        <is>
          <t>Operating Income (GAAP)</t>
        </is>
      </c>
      <c r="AA15" s="80" t="n">
        <v>79975</v>
      </c>
      <c r="AB15" s="81" t="n">
        <v>102267.94937817</v>
      </c>
      <c r="AC15" s="81" t="n">
        <v>109607.072563849</v>
      </c>
      <c r="AD15" s="81" t="n">
        <v>125809.367002634</v>
      </c>
      <c r="AE15" s="81" t="n">
        <v>140620.561789646</v>
      </c>
      <c r="AF15" s="81" t="n">
        <v>155395.750357242</v>
      </c>
      <c r="AG15" s="293" t="n">
        <v>0.142081187454829</v>
      </c>
    </row>
    <row r="16" ht="15" customHeight="1" s="251">
      <c r="B16" s="83" t="inlineStr">
        <is>
          <t xml:space="preserve">   Operating income y/y %</t>
        </is>
      </c>
      <c r="C16" s="294" t="n"/>
      <c r="D16" s="295">
        <f>IFERROR(D15/C15-1,"")</f>
        <v>0.334837211795063</v>
      </c>
      <c r="E16" s="295">
        <f>IFERROR(E15/D15-1,"")</f>
        <v>0.248533106812845</v>
      </c>
      <c r="F16" s="295">
        <f>IFERROR(F15/E15-1,"")</f>
        <v>0.203253186253327</v>
      </c>
      <c r="G16" s="295">
        <f>IFERROR(G15/F15-1,"")</f>
        <v>0.174970145218785</v>
      </c>
      <c r="H16" s="295">
        <f>IFERROR(H15/G15-1,"")</f>
        <v>0.162671686962761</v>
      </c>
      <c r="N16" s="83" t="inlineStr">
        <is>
          <t xml:space="preserve">   Operating income y/y %</t>
        </is>
      </c>
      <c r="O16" s="294" t="n"/>
      <c r="P16" s="295" t="n">
        <v>0.390917076437096</v>
      </c>
      <c r="Q16" s="295" t="n">
        <v>0.347887588458289</v>
      </c>
      <c r="R16" s="295" t="n">
        <v>0.237782686092606</v>
      </c>
      <c r="S16" s="295" t="n">
        <v>0.211085500129765</v>
      </c>
      <c r="T16" s="295" t="n">
        <v>0.19951994469932</v>
      </c>
      <c r="Z16" s="83" t="inlineStr">
        <is>
          <t xml:space="preserve">   Operating income y/y %</t>
        </is>
      </c>
      <c r="AA16" s="294" t="n"/>
      <c r="AB16" s="295" t="n">
        <v>0.27874897628221</v>
      </c>
      <c r="AC16" s="295" t="n">
        <v>0.07176366819031869</v>
      </c>
      <c r="AD16" s="295" t="n">
        <v>0.147821614607455</v>
      </c>
      <c r="AE16" s="295" t="n">
        <v>0.11772728167929</v>
      </c>
      <c r="AF16" s="295" t="n">
        <v>0.105071323706545</v>
      </c>
    </row>
    <row r="17" ht="15" customHeight="1" s="251">
      <c r="B17" s="83" t="inlineStr">
        <is>
          <t xml:space="preserve">   Operating margin (GAAP) %</t>
        </is>
      </c>
      <c r="C17" s="88">
        <f>IFERROR(C15/C9,"")</f>
        <v>0.111552967957552</v>
      </c>
      <c r="D17" s="89">
        <f>IFERROR(D15/D9,"")</f>
        <v>0.129316413997659</v>
      </c>
      <c r="E17" s="89">
        <f>IFERROR(E15/E9,"")</f>
        <v>0.141197899930862</v>
      </c>
      <c r="F17" s="89">
        <f>IFERROR(F15/F9,"")</f>
        <v>0.149964972315812</v>
      </c>
      <c r="G17" s="89">
        <f>IFERROR(G15/G9,"")</f>
        <v>0.157199710578401</v>
      </c>
      <c r="H17" s="89">
        <f>IFERROR(H15/H9,"")</f>
        <v>0.164702085203659</v>
      </c>
      <c r="J17" s="90">
        <f>IFERROR(AVERAGE(Model!C243,Model!D243,Model!E243,Model!F243,Model!G243,Model!H243,Model!I243,Model!N243,Model!S243,Model!X243,Model!AC243,Model!AH243,Model!AM243,Model!AR243,Model!AW243,Model!BB243,Model!BG243,Model!BL243,Model!BQ243,Model!BV243),"")</f>
        <v>0.0425882268019391</v>
      </c>
      <c r="K17" s="90">
        <f>IFERROR(MIN(Model!C243,Model!D243,Model!E243,Model!F243,Model!G243,Model!H243,Model!I243,Model!N243,Model!S243,Model!X243,Model!AC243,Model!AH243,Model!AM243,Model!AR243,Model!AW243,Model!BB243,Model!BG243,Model!BL243,Model!BQ243,Model!BV243),"")</f>
        <v>0.0020002696992853</v>
      </c>
      <c r="L17" s="90">
        <f>IFERROR(MAX(Model!C243,Model!D243,Model!E243,Model!F243,Model!G243,Model!H243,Model!I243,Model!N243,Model!S243,Model!X243,Model!AC243,Model!AH243,Model!AM243,Model!AR243,Model!AW243,Model!BB243,Model!BG243,Model!BL243,Model!BQ243,Model!BV243),"")</f>
        <v>0.111552967957552</v>
      </c>
      <c r="N17" s="83" t="inlineStr">
        <is>
          <t xml:space="preserve">   Operating margin (GAAP) %</t>
        </is>
      </c>
      <c r="O17" s="88" t="n">
        <v>0.111552967957552</v>
      </c>
      <c r="P17" s="89" t="n">
        <v>0.133854188126146</v>
      </c>
      <c r="Q17" s="89" t="n">
        <v>0.154101011956938</v>
      </c>
      <c r="R17" s="89" t="n">
        <v>0.164168419743006</v>
      </c>
      <c r="S17" s="89" t="n">
        <v>0.17274501778788</v>
      </c>
      <c r="T17" s="89" t="n">
        <v>0.181660727453524</v>
      </c>
      <c r="V17" s="90" t="n">
        <v>0.0425882268019391</v>
      </c>
      <c r="W17" s="90" t="n">
        <v>0.0020002696992853</v>
      </c>
      <c r="X17" s="90" t="n">
        <v>0.111552967957552</v>
      </c>
      <c r="Z17" s="83" t="inlineStr">
        <is>
          <t xml:space="preserve">   Operating margin (GAAP) %</t>
        </is>
      </c>
      <c r="AA17" s="88" t="n">
        <v>0.111552967957552</v>
      </c>
      <c r="AB17" s="89" t="n">
        <v>0.124716723251845</v>
      </c>
      <c r="AC17" s="89" t="n">
        <v>0.12142345196946</v>
      </c>
      <c r="AD17" s="89" t="n">
        <v>0.128097989493884</v>
      </c>
      <c r="AE17" s="89" t="n">
        <v>0.133240070082773</v>
      </c>
      <c r="AF17" s="89" t="n">
        <v>0.13858082879193</v>
      </c>
      <c r="AH17" s="90" t="n">
        <v>0.0425882268019391</v>
      </c>
      <c r="AI17" s="90" t="n">
        <v>0.0020002696992853</v>
      </c>
      <c r="AJ17" s="90" t="n">
        <v>0.111552967957552</v>
      </c>
    </row>
    <row r="19" ht="15" customHeight="1" s="251">
      <c r="B19" s="79" t="inlineStr">
        <is>
          <t>Adjusted Net Income (model definition)</t>
        </is>
      </c>
      <c r="C19" s="80">
        <f>Model!BV220</f>
        <v>71517.69</v>
      </c>
      <c r="D19" s="81">
        <f>Model!CA220</f>
        <v>81602.8659107812</v>
      </c>
      <c r="E19" s="81">
        <f>Model!CB220</f>
        <v>105559.404381086</v>
      </c>
      <c r="F19" s="81">
        <f>Model!CC220</f>
        <v>127702.653102788</v>
      </c>
      <c r="G19" s="81">
        <f>Model!CD220</f>
        <v>150300.087610364</v>
      </c>
      <c r="H19" s="81">
        <f>Model!CE220</f>
        <v>175129.32943124</v>
      </c>
      <c r="I19" s="293">
        <f>IFERROR((H19/C19)^(1/5)-1,"n/m")</f>
        <v>0.196159465409704</v>
      </c>
      <c r="N19" s="79" t="inlineStr">
        <is>
          <t>Adjusted Net Income (model definition)</t>
        </is>
      </c>
      <c r="O19" s="80" t="n">
        <v>71517.69</v>
      </c>
      <c r="P19" s="81" t="n">
        <v>85235.70552232589</v>
      </c>
      <c r="Q19" s="81" t="n">
        <v>119143.579691327</v>
      </c>
      <c r="R19" s="81" t="n">
        <v>146349.241380612</v>
      </c>
      <c r="S19" s="81" t="n">
        <v>177430.475933914</v>
      </c>
      <c r="T19" s="81" t="n">
        <v>213193.572080846</v>
      </c>
      <c r="U19" s="293" t="n">
        <v>0.244148228656686</v>
      </c>
      <c r="Z19" s="79" t="inlineStr">
        <is>
          <t>Adjusted Net Income (model definition)</t>
        </is>
      </c>
      <c r="AA19" s="80" t="n">
        <v>71517.69</v>
      </c>
      <c r="AB19" s="81" t="n">
        <v>77969.4840363175</v>
      </c>
      <c r="AC19" s="81" t="n">
        <v>86283.6476184854</v>
      </c>
      <c r="AD19" s="81" t="n">
        <v>99041.48953766959</v>
      </c>
      <c r="AE19" s="81" t="n">
        <v>111534.771363511</v>
      </c>
      <c r="AF19" s="81" t="n">
        <v>125038.228130214</v>
      </c>
      <c r="AG19" s="293" t="n">
        <v>0.118216423314346</v>
      </c>
    </row>
    <row r="21" ht="15" customHeight="1" s="251">
      <c r="B21" s="79" t="inlineStr">
        <is>
          <t>FDSO (m)</t>
        </is>
      </c>
      <c r="C21" s="91">
        <f>Model!BV170</f>
        <v>10827</v>
      </c>
      <c r="D21" s="92">
        <f>Model!CA170</f>
        <v>10917.75</v>
      </c>
      <c r="E21" s="92">
        <f>Model!CB170</f>
        <v>11034.7705602103</v>
      </c>
      <c r="F21" s="92">
        <f>Model!CC170</f>
        <v>11063.5328359844</v>
      </c>
      <c r="G21" s="92">
        <f>Model!CD170</f>
        <v>10952.7236164809</v>
      </c>
      <c r="H21" s="92">
        <f>Model!CE170</f>
        <v>10735.616633665</v>
      </c>
      <c r="I21" s="293">
        <f>IFERROR((H21/C21)^(1/5)-1,"n/m")</f>
        <v>-0.00169379255667967</v>
      </c>
      <c r="N21" s="79" t="inlineStr">
        <is>
          <t>FDSO (m)</t>
        </is>
      </c>
      <c r="O21" s="91" t="n">
        <v>10827</v>
      </c>
      <c r="P21" s="92" t="n">
        <v>10917.75</v>
      </c>
      <c r="Q21" s="92" t="n">
        <v>10882.4284822101</v>
      </c>
      <c r="R21" s="92" t="n">
        <v>10702.9138902051</v>
      </c>
      <c r="S21" s="92" t="n">
        <v>10473.5431225248</v>
      </c>
      <c r="T21" s="92" t="n">
        <v>10120.4578828654</v>
      </c>
      <c r="U21" s="293" t="n">
        <v>-0.0134061475324198</v>
      </c>
      <c r="Z21" s="79" t="inlineStr">
        <is>
          <t>FDSO (m)</t>
        </is>
      </c>
      <c r="AA21" s="91" t="n">
        <v>10827</v>
      </c>
      <c r="AB21" s="92" t="n">
        <v>10917.75</v>
      </c>
      <c r="AC21" s="92" t="n">
        <v>11038</v>
      </c>
      <c r="AD21" s="92" t="n">
        <v>11158</v>
      </c>
      <c r="AE21" s="92" t="n">
        <v>11278</v>
      </c>
      <c r="AF21" s="92" t="n">
        <v>11301.7950515755</v>
      </c>
      <c r="AG21" s="293" t="n">
        <v>0.0086206562573854</v>
      </c>
    </row>
    <row r="23" ht="15" customHeight="1" s="251">
      <c r="B23" s="79" t="inlineStr">
        <is>
          <t>Adjusted EPS — Diluted ($)</t>
        </is>
      </c>
      <c r="C23" s="93">
        <f>Model!BV222</f>
        <v>6.60549459684123</v>
      </c>
      <c r="D23" s="94">
        <f>Model!CA222</f>
        <v>7.47432995908326</v>
      </c>
      <c r="E23" s="94">
        <f>Model!CB222</f>
        <v>9.56607151957628</v>
      </c>
      <c r="F23" s="94">
        <f>Model!CC222</f>
        <v>11.5426649873929</v>
      </c>
      <c r="G23" s="94">
        <f>Model!CD222</f>
        <v>13.7226221416016</v>
      </c>
      <c r="H23" s="94">
        <f>Model!CE222</f>
        <v>16.3129269055738</v>
      </c>
      <c r="I23" s="293">
        <f>IFERROR((H23/C23)^(1/5)-1,"n/m")</f>
        <v>0.198188948932903</v>
      </c>
      <c r="N23" s="79" t="inlineStr">
        <is>
          <t>Adjusted EPS — Diluted ($)</t>
        </is>
      </c>
      <c r="O23" s="93" t="n">
        <v>6.60549459684123</v>
      </c>
      <c r="P23" s="94" t="n">
        <v>7.80707613952746</v>
      </c>
      <c r="Q23" s="94" t="n">
        <v>10.9482529461228</v>
      </c>
      <c r="R23" s="94" t="n">
        <v>13.6737754673095</v>
      </c>
      <c r="S23" s="94" t="n">
        <v>16.9408264097682</v>
      </c>
      <c r="T23" s="94" t="n">
        <v>21.0656053854832</v>
      </c>
      <c r="U23" s="293" t="n">
        <v>0.261054106048739</v>
      </c>
      <c r="Z23" s="79" t="inlineStr">
        <is>
          <t>Adjusted EPS — Diluted ($)</t>
        </is>
      </c>
      <c r="AA23" s="93" t="n">
        <v>6.60549459684123</v>
      </c>
      <c r="AB23" s="94" t="n">
        <v>7.14153411062879</v>
      </c>
      <c r="AC23" s="94" t="n">
        <v>7.8169639081795</v>
      </c>
      <c r="AD23" s="94" t="n">
        <v>8.87627617294045</v>
      </c>
      <c r="AE23" s="94" t="n">
        <v>9.88958781375341</v>
      </c>
      <c r="AF23" s="94" t="n">
        <v>11.0635724289465</v>
      </c>
      <c r="AG23" s="293" t="n">
        <v>0.108659054697164</v>
      </c>
    </row>
    <row r="24" ht="15" customHeight="1" s="251">
      <c r="B24" s="83" t="inlineStr">
        <is>
          <t xml:space="preserve">   EPS y/y %</t>
        </is>
      </c>
      <c r="C24" s="294" t="n"/>
      <c r="D24" s="295">
        <f>IFERROR(D23/C23-1,"")</f>
        <v>0.131532219049502</v>
      </c>
      <c r="E24" s="295">
        <f>IFERROR(E23/D23-1,"")</f>
        <v>0.279856732569187</v>
      </c>
      <c r="F24" s="295">
        <f>IFERROR(F23/E23-1,"")</f>
        <v>0.20662541188111</v>
      </c>
      <c r="G24" s="295">
        <f>IFERROR(G23/F23-1,"")</f>
        <v>0.188860818241689</v>
      </c>
      <c r="H24" s="295">
        <f>IFERROR(H23/G23-1,"")</f>
        <v>0.188761647536694</v>
      </c>
      <c r="N24" s="83" t="inlineStr">
        <is>
          <t xml:space="preserve">   EPS y/y %</t>
        </is>
      </c>
      <c r="O24" s="294" t="n"/>
      <c r="P24" s="295" t="n">
        <v>0.181906369775979</v>
      </c>
      <c r="Q24" s="295" t="n">
        <v>0.402349964372889</v>
      </c>
      <c r="R24" s="295" t="n">
        <v>0.248945885211024</v>
      </c>
      <c r="S24" s="295" t="n">
        <v>0.238928227998873</v>
      </c>
      <c r="T24" s="295" t="n">
        <v>0.243481567896628</v>
      </c>
      <c r="Z24" s="83" t="inlineStr">
        <is>
          <t xml:space="preserve">   EPS y/y %</t>
        </is>
      </c>
      <c r="AA24" s="294" t="n"/>
      <c r="AB24" s="295" t="n">
        <v>0.0811505491267675</v>
      </c>
      <c r="AC24" s="295" t="n">
        <v>0.09457768976352909</v>
      </c>
      <c r="AD24" s="295" t="n">
        <v>0.13551453955832</v>
      </c>
      <c r="AE24" s="295" t="n">
        <v>0.11415954405543</v>
      </c>
      <c r="AF24" s="295" t="n">
        <v>0.11870915525523</v>
      </c>
    </row>
    <row r="26" ht="15" customHeight="1" s="251">
      <c r="B26" s="83" t="inlineStr">
        <is>
          <t>P / E (x) — assumed (adjusted EPS)</t>
        </is>
      </c>
      <c r="C26" s="296" t="n"/>
      <c r="D26" s="296" t="n"/>
      <c r="E26" s="296" t="n"/>
      <c r="F26" s="296" t="n"/>
      <c r="G26" s="296" t="n">
        <v>28</v>
      </c>
      <c r="H26" s="296" t="n">
        <v>28</v>
      </c>
      <c r="N26" s="83" t="inlineStr">
        <is>
          <t>P / E (x) — assumed (adjusted EPS)</t>
        </is>
      </c>
      <c r="O26" s="296" t="n"/>
      <c r="P26" s="296" t="n"/>
      <c r="Q26" s="296" t="n"/>
      <c r="R26" s="296" t="n"/>
      <c r="S26" s="296" t="n">
        <v>32</v>
      </c>
      <c r="T26" s="296" t="n">
        <v>32</v>
      </c>
      <c r="Z26" s="83" t="inlineStr">
        <is>
          <t>P / E (x) — assumed (adjusted EPS)</t>
        </is>
      </c>
      <c r="AA26" s="296" t="n"/>
      <c r="AB26" s="296" t="n"/>
      <c r="AC26" s="296" t="n"/>
      <c r="AD26" s="296" t="n"/>
      <c r="AE26" s="296" t="n">
        <v>22</v>
      </c>
      <c r="AF26" s="296" t="n">
        <v>22</v>
      </c>
    </row>
    <row r="27" ht="15" customHeight="1" s="251">
      <c r="B27" s="10" t="inlineStr">
        <is>
          <t>Price Target ($)</t>
        </is>
      </c>
      <c r="C27" s="96" t="n"/>
      <c r="D27" s="96" t="n"/>
      <c r="E27" s="96" t="n"/>
      <c r="F27" s="96" t="n"/>
      <c r="G27" s="96">
        <f>G26*G23</f>
        <v>384.233419964845</v>
      </c>
      <c r="H27" s="96">
        <f>H26*H23</f>
        <v>456.761953356067</v>
      </c>
      <c r="N27" s="10" t="inlineStr">
        <is>
          <t>Price Target ($)</t>
        </is>
      </c>
      <c r="O27" s="96" t="n"/>
      <c r="P27" s="96" t="n"/>
      <c r="Q27" s="96" t="n"/>
      <c r="R27" s="96" t="n"/>
      <c r="S27" s="96">
        <f>S26*S23</f>
        <v>542.106445112582</v>
      </c>
      <c r="T27" s="96">
        <f>T26*T23</f>
        <v>674.099372335462</v>
      </c>
      <c r="Z27" s="10" t="inlineStr">
        <is>
          <t>Price Target ($)</t>
        </is>
      </c>
      <c r="AA27" s="96" t="n"/>
      <c r="AB27" s="96" t="n"/>
      <c r="AC27" s="96" t="n"/>
      <c r="AD27" s="96">
        <f>AD26*AD23</f>
        <v>0</v>
      </c>
      <c r="AE27" s="96">
        <f>AE26*AE23</f>
        <v>217.570931902575</v>
      </c>
      <c r="AF27" s="96">
        <f>AF26*AF23</f>
        <v>243.398593436823</v>
      </c>
    </row>
    <row r="28" ht="15" customHeight="1" s="251">
      <c r="B28" t="inlineStr">
        <is>
          <t xml:space="preserve">   Upside / (Downside) vs current</t>
        </is>
      </c>
      <c r="E28" s="297" t="n"/>
      <c r="F28" s="297" t="n"/>
      <c r="G28" s="297">
        <f>IFERROR(G27/$K$2-1,"")</f>
        <v>0.477820846018634</v>
      </c>
      <c r="H28" s="297">
        <f>IFERROR(H27/$K$2-1,"")</f>
        <v>0.756776743677183</v>
      </c>
      <c r="N28" t="inlineStr">
        <is>
          <t xml:space="preserve">   Upside / (Downside) vs current</t>
        </is>
      </c>
      <c r="O28" s="297" t="n"/>
      <c r="P28" s="297" t="n"/>
      <c r="Q28" s="297" t="n"/>
      <c r="R28" s="297" t="n"/>
      <c r="S28" s="297">
        <f>IFERROR(S27/$K$2-1,"")</f>
        <v>1.08502478889455</v>
      </c>
      <c r="T28" s="297">
        <f>IFERROR(T27/$K$2-1,"")</f>
        <v>1.59268989359793</v>
      </c>
      <c r="Z28" t="inlineStr">
        <is>
          <t xml:space="preserve">   Upside / (Downside) vs current</t>
        </is>
      </c>
      <c r="AA28" s="297" t="n"/>
      <c r="AB28" s="297" t="n"/>
      <c r="AC28" s="297" t="n"/>
      <c r="AD28" s="297">
        <f>IFERROR(AD27/$K$2-1,"")</f>
        <v>-1</v>
      </c>
      <c r="AE28" s="297">
        <f>IFERROR(AE27/$K$2-1,"")</f>
        <v>-0.163188723451635</v>
      </c>
      <c r="AF28" s="297">
        <f>IFERROR(AF27/$K$2-1,"")</f>
        <v>-0.0638515637045269</v>
      </c>
    </row>
    <row r="29" ht="15" customHeight="1" s="251">
      <c r="B29" s="75" t="inlineStr">
        <is>
          <t>IRR (to Dec-Y-1)</t>
        </is>
      </c>
      <c r="C29" s="298" t="n"/>
      <c r="D29" s="298" t="n"/>
      <c r="E29" s="298" t="n"/>
      <c r="F29" s="298" t="n"/>
      <c r="G29" s="298">
        <f>IFERROR((G27/$K$2)^(1/((DATE(2029-1,12,31)-$K$3)/365.25))-1,"")</f>
        <v>0.192319234894937</v>
      </c>
      <c r="H29" s="298">
        <f>IFERROR((H27/$K$2)^(1/((DATE(2030-1,12,31)-$K$3)/365.25))-1,"")</f>
        <v>0.191257701885601</v>
      </c>
      <c r="N29" s="75" t="inlineStr">
        <is>
          <t>IRR (to Dec-Y-1)</t>
        </is>
      </c>
      <c r="O29" s="298" t="n"/>
      <c r="P29" s="298" t="n"/>
      <c r="Q29" s="298" t="n"/>
      <c r="R29" s="298" t="n"/>
      <c r="S29" s="298">
        <f>IFERROR((S27/$K$2)^(1/((DATE(2029-1,12,31)-$K$3)/365.25))-1,"")</f>
        <v>0.392252780212776</v>
      </c>
      <c r="T29" s="298">
        <f>IFERROR((T27/$K$2)^(1/((DATE(2030-1,12,31)-$K$3)/365.25))-1,"")</f>
        <v>0.344328605715656</v>
      </c>
      <c r="Z29" s="75" t="inlineStr">
        <is>
          <t>IRR (to Dec-Y-1)</t>
        </is>
      </c>
      <c r="AA29" s="298" t="n"/>
      <c r="AB29" s="298" t="n"/>
      <c r="AC29" s="298" t="n"/>
      <c r="AD29" s="298">
        <f>IFERROR((AD27/$K$2)^(1/((DATE(2028-1,12,31)-$K$3)/365.25))-1,"")</f>
        <v>-1</v>
      </c>
      <c r="AE29" s="298">
        <f>IFERROR((AE27/$K$2)^(1/((DATE(2029-1,12,31)-$K$3)/365.25))-1,"")</f>
        <v>-0.0771018729114325</v>
      </c>
      <c r="AF29" s="298">
        <f>IFERROR((AF27/$K$2)^(1/((DATE(2030-1,12,31)-$K$3)/365.25))-1,"")</f>
        <v>-0.0202843422363984</v>
      </c>
    </row>
    <row r="31" ht="15" customHeight="1" s="251">
      <c r="B31" s="79" t="inlineStr">
        <is>
          <t>Free Cash Flow</t>
        </is>
      </c>
      <c r="C31" s="80">
        <f>Model!BV277</f>
        <v>11194</v>
      </c>
      <c r="D31" s="81">
        <f>Model!CA277</f>
        <v>-26742.7593013222</v>
      </c>
      <c r="E31" s="81">
        <f>Model!CB277</f>
        <v>21226.4126872252</v>
      </c>
      <c r="F31" s="81">
        <f>Model!CC277</f>
        <v>60379.4887425318</v>
      </c>
      <c r="G31" s="81">
        <f>Model!CD277</f>
        <v>100541.78678801</v>
      </c>
      <c r="H31" s="81">
        <f>Model!CE277</f>
        <v>144462.641068111</v>
      </c>
      <c r="I31" s="293">
        <f>IFERROR((H31/C31)^(1/5)-1,"n/m")</f>
        <v>0.667838710414626</v>
      </c>
      <c r="N31" s="79" t="inlineStr">
        <is>
          <t>Free Cash Flow</t>
        </is>
      </c>
      <c r="O31" s="80" t="n">
        <v>11194</v>
      </c>
      <c r="P31" s="81" t="n">
        <v>-23140.3633529459</v>
      </c>
      <c r="Q31" s="81" t="n">
        <v>39724.9409092967</v>
      </c>
      <c r="R31" s="81" t="n">
        <v>82612.2480429214</v>
      </c>
      <c r="S31" s="81" t="n">
        <v>129163.296621691</v>
      </c>
      <c r="T31" s="81" t="n">
        <v>182821.919343919</v>
      </c>
      <c r="U31" s="293" t="n">
        <v>0.748270350530532</v>
      </c>
      <c r="Z31" s="79" t="inlineStr">
        <is>
          <t>Free Cash Flow</t>
        </is>
      </c>
      <c r="AA31" s="80" t="n">
        <v>11194</v>
      </c>
      <c r="AB31" s="81" t="n">
        <v>-30345.5397767439</v>
      </c>
      <c r="AC31" s="81" t="n">
        <v>-4754.8732222716</v>
      </c>
      <c r="AD31" s="81" t="n">
        <v>27502.164734807</v>
      </c>
      <c r="AE31" s="81" t="n">
        <v>61446.8397661905</v>
      </c>
      <c r="AF31" s="81" t="n">
        <v>96489.9175157943</v>
      </c>
      <c r="AG31" s="293" t="n">
        <v>0.53850646842631</v>
      </c>
    </row>
    <row r="32" ht="15" customHeight="1" s="251">
      <c r="B32" s="83" t="inlineStr">
        <is>
          <t xml:space="preserve">   FCF %</t>
        </is>
      </c>
      <c r="C32" s="88">
        <f>IFERROR(C31/C9,"")</f>
        <v>0.0156139283940836</v>
      </c>
      <c r="D32" s="89">
        <f>IFERROR(D31/D9,"")</f>
        <v>-0.0323949500386745</v>
      </c>
      <c r="E32" s="89">
        <f>IFERROR(E31/E9,"")</f>
        <v>0.0224865186931335</v>
      </c>
      <c r="F32" s="89">
        <f>IFERROR(F31/F9,"")</f>
        <v>0.0564598377681736</v>
      </c>
      <c r="G32" s="89">
        <f>IFERROR(G31/G9,"")</f>
        <v>0.0838748723633367</v>
      </c>
      <c r="H32" s="89">
        <f>IFERROR(H31/H9,"")</f>
        <v>0.108600314329629</v>
      </c>
      <c r="J32" s="90">
        <f>IFERROR(AVERAGE(Model!C290,Model!D290,Model!E290,Model!F290,Model!G290,Model!H290,Model!I290,Model!N290,Model!S290,Model!X290,Model!AC290,Model!AH290,Model!AM290,Model!AR290,Model!AW290,Model!BB290,Model!BG290,Model!BL290,Model!BQ290,Model!BV290),"")</f>
        <v>0.0514227469372102</v>
      </c>
      <c r="K32" s="90">
        <f>IFERROR(MIN(Model!C290,Model!D290,Model!E290,Model!F290,Model!G290,Model!H290,Model!I290,Model!N290,Model!S290,Model!X290,Model!AC290,Model!AH290,Model!AM290,Model!AR290,Model!AW290,Model!BB290,Model!BG290,Model!BL290,Model!BQ290,Model!BV290),"")</f>
        <v>-0.0225085265465978</v>
      </c>
      <c r="L32" s="90">
        <f>IFERROR(MAX(Model!C290,Model!D290,Model!E290,Model!F290,Model!G290,Model!H290,Model!I290,Model!N290,Model!S290,Model!X290,Model!AC290,Model!AH290,Model!AM290,Model!AR290,Model!AW290,Model!BB290,Model!BG290,Model!BL290,Model!BQ290,Model!BV290),"")</f>
        <v>0.119139907788975</v>
      </c>
      <c r="N32" s="83" t="inlineStr">
        <is>
          <t xml:space="preserve">   FCF %</t>
        </is>
      </c>
      <c r="O32" s="88" t="n">
        <v>0.0156139283940836</v>
      </c>
      <c r="P32" s="89" t="n">
        <v>-0.0278449633421395</v>
      </c>
      <c r="Q32" s="89" t="n">
        <v>0.0408281393570504</v>
      </c>
      <c r="R32" s="89" t="n">
        <v>0.0730769633735513</v>
      </c>
      <c r="S32" s="89" t="n">
        <v>0.0992696021534408</v>
      </c>
      <c r="T32" s="89" t="n">
        <v>0.123183763754286</v>
      </c>
      <c r="V32" s="90" t="n">
        <v>0.0514227469372102</v>
      </c>
      <c r="W32" s="90" t="n">
        <v>-0.0225085265465978</v>
      </c>
      <c r="X32" s="90" t="n">
        <v>0.119139907788975</v>
      </c>
      <c r="Z32" s="83" t="inlineStr">
        <is>
          <t xml:space="preserve">   FCF %</t>
        </is>
      </c>
      <c r="AA32" s="88" t="n">
        <v>0.0156139283940836</v>
      </c>
      <c r="AB32" s="89" t="n">
        <v>-0.0370066703133864</v>
      </c>
      <c r="AC32" s="89" t="n">
        <v>-0.00526748052676112</v>
      </c>
      <c r="AD32" s="89" t="n">
        <v>0.0280024619246724</v>
      </c>
      <c r="AE32" s="89" t="n">
        <v>0.0582217929769001</v>
      </c>
      <c r="AF32" s="89" t="n">
        <v>0.0860490245625342</v>
      </c>
      <c r="AH32" s="90" t="n">
        <v>0.0514227469372102</v>
      </c>
      <c r="AI32" s="90" t="n">
        <v>-0.0225085265465978</v>
      </c>
      <c r="AJ32" s="90" t="n">
        <v>0.119139907788975</v>
      </c>
    </row>
    <row r="33" ht="15" customHeight="1" s="251">
      <c r="B33" s="83" t="inlineStr">
        <is>
          <t xml:space="preserve">   FCF / share ($)</t>
        </is>
      </c>
      <c r="C33" s="99">
        <f>IFERROR(C31/C21,"")</f>
        <v>1.0338967396324</v>
      </c>
      <c r="D33" s="100">
        <f>IFERROR(D31/D21,"")</f>
        <v>-2.44947533157676</v>
      </c>
      <c r="E33" s="100">
        <f>IFERROR(E31/E21,"")</f>
        <v>1.92359347857802</v>
      </c>
      <c r="F33" s="100">
        <f>IFERROR(F31/F21,"")</f>
        <v>5.45752334608222</v>
      </c>
      <c r="G33" s="100">
        <f>IFERROR(G31/G21,"")</f>
        <v>9.17961507188235</v>
      </c>
      <c r="H33" s="100">
        <f>IFERROR(H31/H21,"")</f>
        <v>13.4563896977377</v>
      </c>
      <c r="N33" s="83" t="inlineStr">
        <is>
          <t xml:space="preserve">   FCF / share ($)</t>
        </is>
      </c>
      <c r="O33" s="99" t="n">
        <v>1.0338967396324</v>
      </c>
      <c r="P33" s="100" t="n">
        <v>-2.11951760691955</v>
      </c>
      <c r="Q33" s="100" t="n">
        <v>3.6503746359773</v>
      </c>
      <c r="R33" s="100" t="n">
        <v>7.71866884947333</v>
      </c>
      <c r="S33" s="100" t="n">
        <v>12.3323401747312</v>
      </c>
      <c r="T33" s="100" t="n">
        <v>18.064589711247</v>
      </c>
      <c r="Z33" s="83" t="inlineStr">
        <is>
          <t xml:space="preserve">   FCF / share ($)</t>
        </is>
      </c>
      <c r="AA33" s="99" t="n">
        <v>1.0338967396324</v>
      </c>
      <c r="AB33" s="100" t="n">
        <v>-2.77946827659031</v>
      </c>
      <c r="AC33" s="100" t="n">
        <v>-0.430773076850118</v>
      </c>
      <c r="AD33" s="100" t="n">
        <v>2.4647933979931</v>
      </c>
      <c r="AE33" s="100" t="n">
        <v>5.44838089787112</v>
      </c>
      <c r="AF33" s="100" t="n">
        <v>8.53757452470736</v>
      </c>
    </row>
    <row r="34" ht="15" customHeight="1" s="251">
      <c r="B34" s="83" t="inlineStr">
        <is>
          <t xml:space="preserve">   FCF Yield (on PT)</t>
        </is>
      </c>
      <c r="E34" s="101" t="n"/>
      <c r="F34" s="101">
        <f>IFERROR(F33/F$27,"")</f>
      </c>
      <c r="G34" s="101">
        <f>IFERROR(G33/G$27,"")</f>
        <v>0.0238907252594588</v>
      </c>
      <c r="H34" s="101">
        <f>IFERROR(H33/H$27,"")</f>
        <v>0.029460399665223</v>
      </c>
      <c r="N34" s="83" t="inlineStr">
        <is>
          <t xml:space="preserve">   FCF Yield (on PT)</t>
        </is>
      </c>
      <c r="Q34" s="101" t="n"/>
      <c r="R34" s="101">
        <f>IFERROR(R33/R$27,"")</f>
      </c>
      <c r="S34" s="101">
        <f>IFERROR(S33/S$27,"")</f>
        <v>0.022748927421754</v>
      </c>
      <c r="T34" s="101">
        <f>IFERROR(T33/T$27,"")</f>
        <v>0.026798110861105</v>
      </c>
      <c r="Z34" s="83" t="inlineStr">
        <is>
          <t xml:space="preserve">   FCF Yield (on PT)</t>
        </is>
      </c>
      <c r="AC34" s="101" t="n"/>
      <c r="AD34" s="101">
        <f>IFERROR(AD33/AD$27,"")</f>
      </c>
      <c r="AE34" s="101">
        <f>IFERROR(AE33/AE$27,"")</f>
        <v>0.0250418603727396</v>
      </c>
      <c r="AF34" s="101">
        <f>IFERROR(AF33/AF$27,"")</f>
        <v>0.0350765154562136</v>
      </c>
    </row>
    <row r="35" ht="15" customHeight="1" s="251">
      <c r="B35" s="79" t="inlineStr">
        <is>
          <t>Adjusted EBITDA (leverage basis)</t>
        </is>
      </c>
      <c r="C35" s="80">
        <f>Model!BV202</f>
        <v>152471</v>
      </c>
      <c r="D35" s="81">
        <f>Model!CA202</f>
        <v>191718.136939077</v>
      </c>
      <c r="E35" s="81">
        <f>Model!CB202</f>
        <v>248439.407146781</v>
      </c>
      <c r="F35" s="81">
        <f>Model!CC202</f>
        <v>297699.805376884</v>
      </c>
      <c r="G35" s="81">
        <f>Model!CD202</f>
        <v>346306.164922942</v>
      </c>
      <c r="H35" s="81">
        <f>Model!CE202</f>
        <v>395464.059127364</v>
      </c>
      <c r="I35" s="293">
        <f>IFERROR((H35/C35)^(1/5)-1,"n/m")</f>
        <v>0.209996054555946</v>
      </c>
      <c r="N35" s="79" t="inlineStr">
        <is>
          <t>Adjusted EBITDA (leverage basis)</t>
        </is>
      </c>
      <c r="O35" s="80" t="n">
        <v>152471</v>
      </c>
      <c r="P35" s="81" t="n">
        <v>196379.811543019</v>
      </c>
      <c r="Q35" s="81" t="n">
        <v>265817.5473378</v>
      </c>
      <c r="R35" s="81" t="n">
        <v>324590.574836341</v>
      </c>
      <c r="S35" s="81" t="n">
        <v>386199.227977647</v>
      </c>
      <c r="T35" s="81" t="n">
        <v>452333.434850294</v>
      </c>
      <c r="U35" s="293" t="n">
        <v>0.242951802098932</v>
      </c>
      <c r="Z35" s="79" t="inlineStr">
        <is>
          <t>Adjusted EBITDA (leverage basis)</t>
        </is>
      </c>
      <c r="AA35" s="80" t="n">
        <v>152471</v>
      </c>
      <c r="AB35" s="81" t="n">
        <v>187055.792874742</v>
      </c>
      <c r="AC35" s="81" t="n">
        <v>223707.875890834</v>
      </c>
      <c r="AD35" s="81" t="n">
        <v>260600.952720098</v>
      </c>
      <c r="AE35" s="81" t="n">
        <v>293137.12442588</v>
      </c>
      <c r="AF35" s="81" t="n">
        <v>322431.633994866</v>
      </c>
      <c r="AG35" s="293" t="n">
        <v>0.161582549804316</v>
      </c>
    </row>
    <row r="36" ht="15" customHeight="1" s="251">
      <c r="B36" s="83" t="inlineStr">
        <is>
          <t xml:space="preserve">   Adjusted EBITDA % of net sales</t>
        </is>
      </c>
      <c r="C36" s="88">
        <f>IFERROR(C35/C9,"")</f>
        <v>0.212673867801887</v>
      </c>
      <c r="D36" s="89">
        <f>IFERROR(D35/D9,"")</f>
        <v>0.23223854343789</v>
      </c>
      <c r="E36" s="89">
        <f>IFERROR(E35/E9,"")</f>
        <v>0.263188012747876</v>
      </c>
      <c r="F36" s="89">
        <f>IFERROR(F35/F9,"")</f>
        <v>0.278374048294251</v>
      </c>
      <c r="G36" s="89">
        <f>IFERROR(G35/G9,"")</f>
        <v>0.288898639157786</v>
      </c>
      <c r="H36" s="89">
        <f>IFERROR(H35/H9,"")</f>
        <v>0.297291540634743</v>
      </c>
      <c r="J36" s="90">
        <f>IFERROR(AVERAGE(Model!C242,Model!D242,Model!E242,Model!F242,Model!G242,Model!H242,Model!I242,Model!N242,Model!S242,Model!X242,Model!AC242,Model!AH242,Model!AM242,Model!AR242,Model!AW242,Model!BB242,Model!BG242,Model!BL242,Model!BQ242,Model!BV242),"")</f>
        <v>0.0955233569617581</v>
      </c>
      <c r="K36" s="90">
        <f>IFERROR(MIN(Model!C242,Model!D242,Model!E242,Model!F242,Model!G242,Model!H242,Model!I242,Model!N242,Model!S242,Model!X242,Model!AC242,Model!AH242,Model!AM242,Model!AR242,Model!AW242,Model!BB242,Model!BG242,Model!BL242,Model!BQ242,Model!BV242),"")</f>
        <v>0.0404559352705036</v>
      </c>
      <c r="L36" s="90">
        <f>IFERROR(MAX(Model!C242,Model!D242,Model!E242,Model!F242,Model!G242,Model!H242,Model!I242,Model!N242,Model!S242,Model!X242,Model!AC242,Model!AH242,Model!AM242,Model!AR242,Model!AW242,Model!BB242,Model!BG242,Model!BL242,Model!BQ242,Model!BV242),"")</f>
        <v>0.212673867801887</v>
      </c>
      <c r="N36" s="83" t="inlineStr">
        <is>
          <t xml:space="preserve">   Adjusted EBITDA % of net sales</t>
        </is>
      </c>
      <c r="O36" s="88" t="n">
        <v>0.212673867801887</v>
      </c>
      <c r="P36" s="89" t="n">
        <v>0.236305220023932</v>
      </c>
      <c r="Q36" s="89" t="n">
        <v>0.273199547131791</v>
      </c>
      <c r="R36" s="89" t="n">
        <v>0.287125627381444</v>
      </c>
      <c r="S36" s="89" t="n">
        <v>0.296816856770042</v>
      </c>
      <c r="T36" s="89" t="n">
        <v>0.304778197147928</v>
      </c>
      <c r="V36" s="90" t="n">
        <v>0.09552335696175809</v>
      </c>
      <c r="W36" s="90" t="n">
        <v>0.0404559352705036</v>
      </c>
      <c r="X36" s="90" t="n">
        <v>0.212673867801887</v>
      </c>
      <c r="Z36" s="83" t="inlineStr">
        <is>
          <t xml:space="preserve">   Adjusted EBITDA % of net sales</t>
        </is>
      </c>
      <c r="AA36" s="88" t="n">
        <v>0.212673867801887</v>
      </c>
      <c r="AB36" s="89" t="n">
        <v>0.228116293466948</v>
      </c>
      <c r="AC36" s="89" t="n">
        <v>0.247825089093564</v>
      </c>
      <c r="AD36" s="89" t="n">
        <v>0.265341594977872</v>
      </c>
      <c r="AE36" s="89" t="n">
        <v>0.277751777587072</v>
      </c>
      <c r="AF36" s="89" t="n">
        <v>0.287542245943165</v>
      </c>
      <c r="AH36" s="90" t="n">
        <v>0.09552335696175809</v>
      </c>
      <c r="AI36" s="90" t="n">
        <v>0.0404559352705036</v>
      </c>
      <c r="AJ36" s="90" t="n">
        <v>0.212673867801887</v>
      </c>
    </row>
    <row r="38" ht="15" customHeight="1" s="251">
      <c r="B38" s="79" t="inlineStr">
        <is>
          <t>Net Debt</t>
        </is>
      </c>
      <c r="C38" s="80">
        <f>Model!BV410</f>
        <v>-54178</v>
      </c>
      <c r="D38" s="81">
        <f>Model!CA410</f>
        <v>12412.7593013222</v>
      </c>
      <c r="E38" s="81">
        <f>Model!CB410</f>
        <v>0</v>
      </c>
      <c r="F38" s="81">
        <f>Model!CC410</f>
        <v>0</v>
      </c>
      <c r="G38" s="81">
        <f>Model!CD410</f>
        <v>0</v>
      </c>
      <c r="H38" s="81">
        <f>Model!CE410</f>
        <v>0</v>
      </c>
      <c r="N38" s="79" t="inlineStr">
        <is>
          <t>Net Debt</t>
        </is>
      </c>
      <c r="O38" s="80" t="n">
        <v>-54178</v>
      </c>
      <c r="P38" s="81" t="n">
        <v>8810.36335294592</v>
      </c>
      <c r="Q38" s="81" t="n">
        <v>66454.38683444991</v>
      </c>
      <c r="R38" s="81" t="n">
        <v>81147.6437090853</v>
      </c>
      <c r="S38" s="81" t="n">
        <v>96549.8069944118</v>
      </c>
      <c r="T38" s="81" t="n">
        <v>113083.358712573</v>
      </c>
      <c r="Z38" s="79" t="inlineStr">
        <is>
          <t>Net Debt</t>
        </is>
      </c>
      <c r="AA38" s="80" t="n">
        <v>-54178</v>
      </c>
      <c r="AB38" s="81" t="n">
        <v>16015.5397767439</v>
      </c>
      <c r="AC38" s="81" t="n">
        <v>24770.4129990154</v>
      </c>
      <c r="AD38" s="81" t="n">
        <v>1268.24826420844</v>
      </c>
      <c r="AE38" s="81" t="n">
        <v>-56178.5915019821</v>
      </c>
      <c r="AF38" s="81" t="n">
        <v>-80607.9084987165</v>
      </c>
    </row>
    <row r="39" ht="15" customHeight="1" s="251">
      <c r="B39" s="83" t="inlineStr">
        <is>
          <t xml:space="preserve">   Net Debt / Adjusted EBITDA (x)</t>
        </is>
      </c>
      <c r="C39" s="102">
        <f>IFERROR(C38/C35,"")</f>
        <v>-0.355333145319438</v>
      </c>
      <c r="D39" s="103">
        <f>IFERROR(D38/D35,"")</f>
        <v>0.0647448358277477</v>
      </c>
      <c r="E39" s="103">
        <f>IFERROR(E38/E35,"")</f>
        <v>0</v>
      </c>
      <c r="F39" s="103">
        <f>IFERROR(F38/F35,"")</f>
        <v>0</v>
      </c>
      <c r="G39" s="103">
        <f>IFERROR(G38/G35,"")</f>
        <v>0</v>
      </c>
      <c r="H39" s="103">
        <f>IFERROR(H38/H35,"")</f>
        <v>0</v>
      </c>
      <c r="N39" s="83" t="inlineStr">
        <is>
          <t xml:space="preserve">   Net Debt / Adjusted EBITDA (x)</t>
        </is>
      </c>
      <c r="O39" s="102" t="n">
        <v>-0.355333145319438</v>
      </c>
      <c r="P39" s="103" t="n">
        <v>0.0448638955487333</v>
      </c>
      <c r="Q39" s="103" t="n">
        <v>0.25</v>
      </c>
      <c r="R39" s="103" t="n">
        <v>0.25</v>
      </c>
      <c r="S39" s="103" t="n">
        <v>0.25</v>
      </c>
      <c r="T39" s="103" t="n">
        <v>0.25</v>
      </c>
      <c r="Z39" s="83" t="inlineStr">
        <is>
          <t xml:space="preserve">   Net Debt / Adjusted EBITDA (x)</t>
        </is>
      </c>
      <c r="AA39" s="102" t="n">
        <v>-0.355333145319438</v>
      </c>
      <c r="AB39" s="103" t="n">
        <v>0.0856190526399167</v>
      </c>
      <c r="AC39" s="103" t="n">
        <v>0.110726602272613</v>
      </c>
      <c r="AD39" s="103" t="n">
        <v>0.00486662942314956</v>
      </c>
      <c r="AE39" s="103" t="n">
        <v>-0.191646116512912</v>
      </c>
      <c r="AF39" s="103" t="n">
        <v>-0.25</v>
      </c>
    </row>
    <row r="40" ht="15" customHeight="1" s="251">
      <c r="B40" s="252" t="inlineStr">
        <is>
          <t xml:space="preserve">   Share repurchases ($m; 2026E = 2H)</t>
        </is>
      </c>
      <c r="C40" s="102" t="n"/>
      <c r="D40" s="248">
        <f>Model!CA301</f>
        <v>0</v>
      </c>
      <c r="E40" s="248">
        <f>Model!CB301</f>
        <v>1813.65338590299</v>
      </c>
      <c r="F40" s="248">
        <f>Model!CC301</f>
        <v>53379.4887425318</v>
      </c>
      <c r="G40" s="248">
        <f>Model!CD301</f>
        <v>93541.7867880099</v>
      </c>
      <c r="H40" s="248">
        <f>Model!CE301</f>
        <v>137462.641068111</v>
      </c>
      <c r="N40" s="252" t="inlineStr">
        <is>
          <t xml:space="preserve">   Share repurchases ($m; 2026E = 2H)</t>
        </is>
      </c>
      <c r="O40" s="102" t="n"/>
      <c r="P40" s="248" t="n">
        <v>0</v>
      </c>
      <c r="Q40" s="248" t="n">
        <v>87368.9643908007</v>
      </c>
      <c r="R40" s="248" t="n">
        <v>87305.5049175568</v>
      </c>
      <c r="S40" s="248" t="n">
        <v>134565.459907018</v>
      </c>
      <c r="T40" s="248" t="n">
        <v>189355.471062081</v>
      </c>
      <c r="Z40" s="83" t="n"/>
      <c r="AA40" s="102" t="n"/>
      <c r="AB40" s="103" t="n">
        <v>0</v>
      </c>
      <c r="AC40" s="103" t="n">
        <v>0</v>
      </c>
      <c r="AD40" s="103" t="n">
        <v>0</v>
      </c>
      <c r="AE40" s="103" t="n">
        <v>0</v>
      </c>
      <c r="AF40" s="103" t="n">
        <v>68060.6005190599</v>
      </c>
    </row>
    <row r="41" ht="15" customHeight="1" s="251">
      <c r="B41" s="252" t="inlineStr">
        <is>
          <t xml:space="preserve">   Implied avg buyback price ($)</t>
        </is>
      </c>
      <c r="C41" s="102" t="n"/>
      <c r="D41" s="249">
        <f>Model!CA300</f>
        <v>260</v>
      </c>
      <c r="E41" s="249">
        <f>Model!CB300</f>
        <v>280.8</v>
      </c>
      <c r="F41" s="249">
        <f>Model!CC300</f>
        <v>303.264</v>
      </c>
      <c r="G41" s="249">
        <f>Model!CD300</f>
        <v>327.52512</v>
      </c>
      <c r="H41" s="249">
        <f>Model!CE300</f>
        <v>353.7271296</v>
      </c>
      <c r="N41" s="252" t="inlineStr">
        <is>
          <t xml:space="preserve">   Implied avg buyback price ($)</t>
        </is>
      </c>
      <c r="O41" s="102" t="n"/>
      <c r="P41" s="249" t="n">
        <v>260</v>
      </c>
      <c r="Q41" s="249" t="n">
        <v>280.8</v>
      </c>
      <c r="R41" s="249" t="n">
        <v>303.264</v>
      </c>
      <c r="S41" s="249" t="n">
        <v>327.52512</v>
      </c>
      <c r="T41" s="249" t="n">
        <v>353.7271296</v>
      </c>
      <c r="Z41" s="83" t="n"/>
      <c r="AA41" s="102" t="n"/>
      <c r="AB41" s="103" t="n">
        <v>260</v>
      </c>
      <c r="AC41" s="103" t="n">
        <v>280.8</v>
      </c>
      <c r="AD41" s="103" t="n">
        <v>303.264</v>
      </c>
      <c r="AE41" s="103" t="n">
        <v>327.52512</v>
      </c>
      <c r="AF41" s="103" t="n">
        <v>353.7271296</v>
      </c>
    </row>
    <row r="42" ht="15" customHeight="1" s="251">
      <c r="B42" s="252" t="inlineStr">
        <is>
          <t xml:space="preserve">   Shares repurchased (m)</t>
        </is>
      </c>
      <c r="C42" s="102" t="n"/>
      <c r="D42" s="250">
        <f>Model!CA302</f>
        <v>0</v>
      </c>
      <c r="E42" s="250">
        <f>Model!CB302</f>
        <v>6.45887957942659</v>
      </c>
      <c r="F42" s="250">
        <f>Model!CC302</f>
        <v>176.01656887244</v>
      </c>
      <c r="G42" s="250">
        <f>Model!CD302</f>
        <v>285.601870134449</v>
      </c>
      <c r="H42" s="250">
        <f>Model!CE302</f>
        <v>388.612095497329</v>
      </c>
      <c r="N42" s="252" t="inlineStr">
        <is>
          <t xml:space="preserve">   Shares repurchased (m)</t>
        </is>
      </c>
      <c r="O42" s="102" t="n"/>
      <c r="P42" s="250" t="n">
        <v>0</v>
      </c>
      <c r="Q42" s="250" t="n">
        <v>311.143035579775</v>
      </c>
      <c r="R42" s="250" t="n">
        <v>287.886148430268</v>
      </c>
      <c r="S42" s="250" t="n">
        <v>410.855386930376</v>
      </c>
      <c r="T42" s="250" t="n">
        <v>535.315092388324</v>
      </c>
      <c r="Z42" s="83" t="n"/>
      <c r="AA42" s="102" t="n"/>
      <c r="AB42" s="103" t="n">
        <v>0</v>
      </c>
      <c r="AC42" s="103" t="n">
        <v>0</v>
      </c>
      <c r="AD42" s="103" t="n">
        <v>0</v>
      </c>
      <c r="AE42" s="103" t="n">
        <v>0</v>
      </c>
      <c r="AF42" s="103" t="n">
        <v>192.409896849088</v>
      </c>
    </row>
    <row r="44" ht="15" customHeight="1" s="251">
      <c r="B44" s="79" t="inlineStr">
        <is>
          <t>ROIC</t>
        </is>
      </c>
      <c r="C44" s="86">
        <f>Model!BV392</f>
        <v>0.195639448701757</v>
      </c>
      <c r="D44" s="87">
        <f>Model!CA392</f>
        <v>0.133766068712686</v>
      </c>
      <c r="E44" s="87">
        <f>Model!CB392</f>
        <v>0.147343537737584</v>
      </c>
      <c r="F44" s="87">
        <f>Model!CC392</f>
        <v>0.155603180815869</v>
      </c>
      <c r="G44" s="87">
        <f>Model!CD392</f>
        <v>0.165408495025546</v>
      </c>
      <c r="H44" s="87">
        <f>Model!CE392</f>
        <v>0.178350977181907</v>
      </c>
      <c r="J44" s="90">
        <f>IFERROR(AVERAGE(Model!C392,Model!D392,Model!E392,Model!F392,Model!G392,Model!H392,Model!I392,Model!N392,Model!S392,Model!X392,Model!AC392,Model!AH392,Model!AM392,Model!AR392,Model!AW392,Model!BB392,Model!BG392,Model!BL392,Model!BQ392,Model!BV392),"")</f>
        <v>0.411364765096546</v>
      </c>
      <c r="K44" s="90">
        <f>IFERROR(MIN(Model!C392,Model!D392,Model!E392,Model!F392,Model!G392,Model!H392,Model!I392,Model!N392,Model!S392,Model!X392,Model!AC392,Model!AH392,Model!AM392,Model!AR392,Model!AW392,Model!BB392,Model!BG392,Model!BL392,Model!BQ392,Model!BV392),"")</f>
        <v>0.0343408360128617</v>
      </c>
      <c r="L44" s="90">
        <f>IFERROR(MAX(Model!C392,Model!D392,Model!E392,Model!F392,Model!G392,Model!H392,Model!I392,Model!N392,Model!S392,Model!X392,Model!AC392,Model!AH392,Model!AM392,Model!AR392,Model!AW392,Model!BB392,Model!BG392,Model!BL392,Model!BQ392,Model!BV392),"")</f>
        <v>1.2910210482158</v>
      </c>
      <c r="N44" s="79" t="inlineStr">
        <is>
          <t>ROIC</t>
        </is>
      </c>
      <c r="O44" s="86" t="n">
        <v>0.195639448701757</v>
      </c>
      <c r="P44" s="87" t="n">
        <v>0.139651140919454</v>
      </c>
      <c r="Q44" s="87" t="n">
        <v>0.166007457620321</v>
      </c>
      <c r="R44" s="87" t="n">
        <v>0.180093912929688</v>
      </c>
      <c r="S44" s="87" t="n">
        <v>0.196435813093063</v>
      </c>
      <c r="T44" s="87" t="n">
        <v>0.217130404790467</v>
      </c>
      <c r="V44" s="90" t="n">
        <v>0.411364765096546</v>
      </c>
      <c r="W44" s="90" t="n">
        <v>0.0343408360128617</v>
      </c>
      <c r="X44" s="90" t="n">
        <v>1.2910210482158</v>
      </c>
      <c r="Z44" s="79" t="inlineStr">
        <is>
          <t>ROIC</t>
        </is>
      </c>
      <c r="AA44" s="86" t="n">
        <v>0.195639448701757</v>
      </c>
      <c r="AB44" s="87" t="n">
        <v>0.127879341744022</v>
      </c>
      <c r="AC44" s="87" t="n">
        <v>0.120739035017423</v>
      </c>
      <c r="AD44" s="87" t="n">
        <v>0.12183921532969</v>
      </c>
      <c r="AE44" s="87" t="n">
        <v>0.124087492983668</v>
      </c>
      <c r="AF44" s="87" t="n">
        <v>0.128488486980672</v>
      </c>
      <c r="AH44" s="90" t="n">
        <v>0.411364765096546</v>
      </c>
      <c r="AI44" s="90" t="n">
        <v>0.0343408360128617</v>
      </c>
      <c r="AJ44" s="90" t="n">
        <v>1.2910210482158</v>
      </c>
    </row>
    <row r="45" ht="15" customHeight="1" s="251">
      <c r="B45" s="79" t="inlineStr">
        <is>
          <t>RONTA</t>
        </is>
      </c>
      <c r="C45" s="86">
        <f>Model!BV404</f>
        <v>0.152802296873589</v>
      </c>
      <c r="D45" s="87">
        <f>Model!CA404</f>
        <v>0.106917643207502</v>
      </c>
      <c r="E45" s="87">
        <f>Model!CB404</f>
        <v>0.120915533817919</v>
      </c>
      <c r="F45" s="87">
        <f>Model!CC404</f>
        <v>0.129873124762372</v>
      </c>
      <c r="G45" s="87">
        <f>Model!CD404</f>
        <v>0.139593593765203</v>
      </c>
      <c r="H45" s="87">
        <f>Model!CE404</f>
        <v>0.151558879032588</v>
      </c>
      <c r="J45" s="90">
        <f>IFERROR(AVERAGE(Model!C404,Model!D404,Model!E404,Model!F404,Model!G404,Model!H404,Model!I404,Model!N404,Model!S404,Model!X404,Model!AC404,Model!AH404,Model!AM404,Model!AR404,Model!AW404,Model!BB404,Model!BG404,Model!BL404,Model!BQ404,Model!BV404),"")</f>
        <v>0.364345686221309</v>
      </c>
      <c r="K45" s="90">
        <f>IFERROR(MIN(Model!C404,Model!D404,Model!E404,Model!F404,Model!G404,Model!H404,Model!I404,Model!N404,Model!S404,Model!X404,Model!AC404,Model!AH404,Model!AM404,Model!AR404,Model!AW404,Model!BB404,Model!BG404,Model!BL404,Model!BQ404,Model!BV404),"")</f>
        <v>0.0148312734342452</v>
      </c>
      <c r="L45" s="90">
        <f>IFERROR(MAX(Model!C404,Model!D404,Model!E404,Model!F404,Model!G404,Model!H404,Model!I404,Model!N404,Model!S404,Model!X404,Model!AC404,Model!AH404,Model!AM404,Model!AR404,Model!AW404,Model!BB404,Model!BG404,Model!BL404,Model!BQ404,Model!BV404),"")</f>
        <v>3.07272727272727</v>
      </c>
      <c r="N45" s="79" t="inlineStr">
        <is>
          <t>RONTA</t>
        </is>
      </c>
      <c r="O45" s="86" t="n">
        <v>0.152802296873589</v>
      </c>
      <c r="P45" s="87" t="n">
        <v>0.111622617780898</v>
      </c>
      <c r="Q45" s="87" t="n">
        <v>0.136354675745145</v>
      </c>
      <c r="R45" s="87" t="n">
        <v>0.150626611698315</v>
      </c>
      <c r="S45" s="87" t="n">
        <v>0.1663690398106</v>
      </c>
      <c r="T45" s="87" t="n">
        <v>0.185468773540092</v>
      </c>
      <c r="V45" s="90" t="n">
        <v>0.364345686221309</v>
      </c>
      <c r="W45" s="90" t="n">
        <v>0.0148312734342452</v>
      </c>
      <c r="X45" s="90" t="n">
        <v>3.07272727272727</v>
      </c>
      <c r="Z45" s="79" t="inlineStr">
        <is>
          <t>RONTA</t>
        </is>
      </c>
      <c r="AA45" s="86" t="n">
        <v>0.152802296873589</v>
      </c>
      <c r="AB45" s="87" t="n">
        <v>0.102211433878072</v>
      </c>
      <c r="AC45" s="87" t="n">
        <v>0.09902969996878699</v>
      </c>
      <c r="AD45" s="87" t="n">
        <v>0.101510610647789</v>
      </c>
      <c r="AE45" s="87" t="n">
        <v>0.104333296546681</v>
      </c>
      <c r="AF45" s="87" t="n">
        <v>0.108535095258771</v>
      </c>
      <c r="AH45" s="90" t="n">
        <v>0.364345686221309</v>
      </c>
      <c r="AI45" s="90" t="n">
        <v>0.0148312734342452</v>
      </c>
      <c r="AJ45" s="90" t="n">
        <v>3.07272727272727</v>
      </c>
    </row>
    <row r="47" ht="15" customHeight="1" s="251">
      <c r="B47" s="83" t="inlineStr">
        <is>
          <t>Implied Market Cap (USDm)</t>
        </is>
      </c>
      <c r="E47" s="104" t="n"/>
      <c r="F47" s="104">
        <f>F27*F21</f>
        <v>0</v>
      </c>
      <c r="G47" s="104">
        <f>G27*G21</f>
        <v>4208402.45309018</v>
      </c>
      <c r="H47" s="104">
        <f>H27*H21</f>
        <v>4903621.22407472</v>
      </c>
      <c r="N47" s="83" t="inlineStr">
        <is>
          <t>Implied Market Cap (USDm)</t>
        </is>
      </c>
      <c r="Q47" s="104" t="n"/>
      <c r="R47" s="104">
        <f>R27*R21</f>
        <v>0</v>
      </c>
      <c r="S47" s="104">
        <f>S27*S21</f>
        <v>5677775.22988526</v>
      </c>
      <c r="T47" s="104">
        <f>T27*T21</f>
        <v>6822194.30658705</v>
      </c>
      <c r="Z47" s="83" t="inlineStr">
        <is>
          <t>Implied Market Cap (USDm)</t>
        </is>
      </c>
      <c r="AC47" s="104" t="n"/>
      <c r="AD47" s="104">
        <f>AD27*AD21</f>
        <v>0</v>
      </c>
      <c r="AE47" s="104">
        <f>AE27*AE21</f>
        <v>2453764.96999724</v>
      </c>
      <c r="AF47" s="104">
        <f>AF27*AF21</f>
        <v>2750841.01886472</v>
      </c>
    </row>
    <row r="48" ht="15" customHeight="1" s="251">
      <c r="B48" s="83" t="inlineStr">
        <is>
          <t>(+) Net Debt &amp; NCI</t>
        </is>
      </c>
      <c r="E48" s="104" t="n"/>
      <c r="F48" s="104">
        <f>F38+Model!CC333</f>
        <v>0</v>
      </c>
      <c r="G48" s="104">
        <f>G38+Model!CD333</f>
        <v>0</v>
      </c>
      <c r="H48" s="104">
        <f>H38+Model!CE333</f>
        <v>0</v>
      </c>
      <c r="N48" s="83" t="inlineStr">
        <is>
          <t>(+) Net Debt &amp; NCI</t>
        </is>
      </c>
      <c r="Q48" s="104" t="n"/>
      <c r="R48" s="104">
        <f>R38+Model!CC333</f>
        <v>81147.6437090853</v>
      </c>
      <c r="S48" s="104">
        <f>S38+Model!CD333</f>
        <v>96549.8069944118</v>
      </c>
      <c r="T48" s="104">
        <f>T38+Model!CE333</f>
        <v>113083.358712573</v>
      </c>
      <c r="Z48" s="83" t="inlineStr">
        <is>
          <t>(+) Net Debt &amp; NCI</t>
        </is>
      </c>
      <c r="AC48" s="104" t="n"/>
      <c r="AD48" s="104">
        <f>AD38+Model!CC333</f>
        <v>1268.24826420844</v>
      </c>
      <c r="AE48" s="104">
        <f>AE38+Model!CD333</f>
        <v>-56178.5915019821</v>
      </c>
      <c r="AF48" s="104">
        <f>AF38+Model!CE333</f>
        <v>-80607.9084987165</v>
      </c>
    </row>
    <row r="49" ht="15" customHeight="1" s="251">
      <c r="B49" s="83" t="inlineStr">
        <is>
          <t>Implied Enterprise Value (USDm)</t>
        </is>
      </c>
      <c r="E49" s="104" t="n"/>
      <c r="F49" s="104">
        <f>F47+F48</f>
        <v>0</v>
      </c>
      <c r="G49" s="104">
        <f>G47+G48</f>
        <v>4208402.45309018</v>
      </c>
      <c r="H49" s="104">
        <f>H47+H48</f>
        <v>4903621.22407472</v>
      </c>
      <c r="N49" s="83" t="inlineStr">
        <is>
          <t>Implied Enterprise Value (USDm)</t>
        </is>
      </c>
      <c r="Q49" s="104" t="n"/>
      <c r="R49" s="104">
        <f>R47+R48</f>
        <v>81147.6437090853</v>
      </c>
      <c r="S49" s="104">
        <f>S47+S48</f>
        <v>5774325.03687967</v>
      </c>
      <c r="T49" s="104">
        <f>T47+T48</f>
        <v>6935277.66529962</v>
      </c>
      <c r="Z49" s="83" t="inlineStr">
        <is>
          <t>Implied Enterprise Value (USDm)</t>
        </is>
      </c>
      <c r="AC49" s="104" t="n"/>
      <c r="AD49" s="104">
        <f>AD47+AD48</f>
        <v>1268.24826420844</v>
      </c>
      <c r="AE49" s="104">
        <f>AE47+AE48</f>
        <v>2397586.37849526</v>
      </c>
      <c r="AF49" s="104">
        <f>AF47+AF48</f>
        <v>2670233.11036601</v>
      </c>
    </row>
    <row r="50" ht="15" customHeight="1" s="251">
      <c r="B50" s="83" t="inlineStr">
        <is>
          <t>Implied EV / Adjusted EBITDA (x)</t>
        </is>
      </c>
      <c r="E50" s="105" t="n"/>
      <c r="F50" s="105">
        <f>IFERROR(F49/F35,"")</f>
        <v>0</v>
      </c>
      <c r="G50" s="105">
        <f>IFERROR(G49/G35,"")</f>
        <v>12.1522597035678</v>
      </c>
      <c r="H50" s="105">
        <f>IFERROR(H49/H35,"")</f>
        <v>12.3996634103618</v>
      </c>
      <c r="N50" s="83" t="inlineStr">
        <is>
          <t>Implied EV / Adjusted EBITDA (x)</t>
        </is>
      </c>
      <c r="Q50" s="105" t="n"/>
      <c r="R50" s="105">
        <f>IFERROR(R49/R35,"")</f>
        <v>0.25</v>
      </c>
      <c r="S50" s="105">
        <f>IFERROR(S49/S35,"")</f>
        <v>14.9516742100113</v>
      </c>
      <c r="T50" s="105">
        <f>IFERROR(T49/T35,"")</f>
        <v>15.3322242641536</v>
      </c>
      <c r="Z50" s="83" t="inlineStr">
        <is>
          <t>Implied EV / Adjusted EBITDA (x)</t>
        </is>
      </c>
      <c r="AC50" s="105" t="n"/>
      <c r="AD50" s="105">
        <f>IFERROR(AD49/AD35,"")</f>
        <v>0.00486662942314957</v>
      </c>
      <c r="AE50" s="105">
        <f>IFERROR(AE49/AE35,"")</f>
        <v>8.17906085143948</v>
      </c>
      <c r="AF50" s="105">
        <f>IFERROR(AF49/AF35,"")</f>
        <v>8.28154817591045</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AMAZON.COM, INC. (AMZN)</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0.0425</v>
      </c>
      <c r="D5" s="198" t="inlineStr">
        <is>
          <t>Assumption (~US 10Y Treasury yield, Oct-2026; government rate sources not reachable from the build environment);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Assumption: US implied ERP ~4.5–5.5%</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1.1</v>
      </c>
      <c r="D7" s="198" t="inlineStr">
        <is>
          <t>Assumption: mega-cap internet / cloud peers (MSFT, GOOGL, META, ORCL) ~1.0–1.3; Amazon's retail cyclicality offset by AWS / advertising contract revenue; heavy AI capex raises operating leverage</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0.0975</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0.053</v>
      </c>
      <c r="D9" s="198" t="inlineStr">
        <is>
          <t>AA / A1 issuer; 2026 issues priced at 3.85–6.25% (USD, 8-Ks 13-Mar and 9-Jul-2026); marginal long-dated cost ~5.3%</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0.19</v>
      </c>
      <c r="D10" s="198" t="inlineStr">
        <is>
          <t>Model 2027E+ effective tax rate (FY2025 19.6%)</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0.04293</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0.05</v>
      </c>
      <c r="D12" s="198" t="inlineStr">
        <is>
          <t>Gross debt ~$165bn after the Jul/Sep-2026 notes vs ~$2.8tn market cap ($260 × ~10.9bn shares) → ~5% D/V; net debt near zero</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0.0947715</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t="str">
        <f>TODAY()</f>
        <v>2026-10-12 00:00:00</v>
      </c>
      <c r="D15" s="198" t="inlineStr">
        <is>
          <t>Periods = (Dec-31-Year − today) / 365.25; cash flows assumed at year-end. 2026E UFCF is excluded (row 24) because valuation net debt is taken at YE2026E</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2026E</t>
        </is>
      </c>
      <c r="E17" s="203" t="inlineStr">
        <is>
          <t>2027E</t>
        </is>
      </c>
      <c r="F17" s="203" t="inlineStr">
        <is>
          <t>2028E</t>
        </is>
      </c>
      <c r="G17" s="203" t="inlineStr">
        <is>
          <t>2029E</t>
        </is>
      </c>
      <c r="H17" s="203" t="inlineStr">
        <is>
          <t>2030E</t>
        </is>
      </c>
      <c r="I17" s="203" t="inlineStr">
        <is>
          <t>2031E</t>
        </is>
      </c>
      <c r="J17" s="203" t="inlineStr">
        <is>
          <t>2032E</t>
        </is>
      </c>
      <c r="K17" s="203" t="inlineStr">
        <is>
          <t>2033E</t>
        </is>
      </c>
      <c r="L17" s="203" t="inlineStr">
        <is>
          <t>2034E</t>
        </is>
      </c>
      <c r="M17" s="203" t="inlineStr">
        <is>
          <t>2035E</t>
        </is>
      </c>
      <c r="N17" s="203" t="inlineStr">
        <is>
          <t>Terminal</t>
        </is>
      </c>
      <c r="O17" s="192" t="n"/>
      <c r="P17" s="204" t="inlineStr">
        <is>
          <t>CAGR 26–30E</t>
        </is>
      </c>
      <c r="Q17" s="204" t="inlineStr">
        <is>
          <t>CAGR 26–35E</t>
        </is>
      </c>
    </row>
    <row r="18" ht="15.75" customHeight="1" s="251">
      <c r="A18" s="192" t="n"/>
      <c r="B18" s="197" t="inlineStr">
        <is>
          <t>Adjusted operating income (full-cost: after SBC and all D&amp;A) less cash special charges</t>
        </is>
      </c>
      <c r="C18" s="192" t="n"/>
      <c r="D18" s="173">
        <f>Model!CA209-Model!CA211</f>
        <v>106154.60601331</v>
      </c>
      <c r="E18" s="173">
        <f>Model!CB209-Model!CB211</f>
        <v>133285.411379273</v>
      </c>
      <c r="F18" s="173">
        <f>Model!CC209-Model!CC211</f>
        <v>160376.095923195</v>
      </c>
      <c r="G18" s="173">
        <f>Model!CD209-Model!CD211</f>
        <v>188437.124716498</v>
      </c>
      <c r="H18" s="173">
        <f>Model!CE209-Model!CE211</f>
        <v>219090.509680543</v>
      </c>
      <c r="I18" s="174">
        <f>H18*(1+I$26)</f>
        <v>238808.655551792</v>
      </c>
      <c r="J18" s="174">
        <f>I18*(1+J$26)</f>
        <v>257913.347995936</v>
      </c>
      <c r="K18" s="174">
        <f>J18*(1+K$26)</f>
        <v>275967.282355651</v>
      </c>
      <c r="L18" s="174">
        <f>K18*(1+L$26)</f>
        <v>292525.31929699</v>
      </c>
      <c r="M18" s="174">
        <f>L18*(1+M$26)</f>
        <v>307151.58526184</v>
      </c>
      <c r="N18" s="192" t="n"/>
      <c r="O18" s="192" t="n"/>
      <c r="P18" s="176">
        <f>(H18/D18)^(1/(COLUMNS(D18:H18)-1))-1</f>
        <v>0.198591464716343</v>
      </c>
      <c r="Q18" s="176">
        <f>(M18/D18)^(1/(COLUMNS(D18:M18)-1))-1</f>
        <v>0.125299726060675</v>
      </c>
    </row>
    <row r="19" ht="15.75" customHeight="1" s="251">
      <c r="A19" s="192" t="n"/>
      <c r="B19" s="197" t="inlineStr">
        <is>
          <t>× (1 − tax rate)</t>
        </is>
      </c>
      <c r="C19" s="192" t="n"/>
      <c r="D19" s="177">
        <f>1-$C$10</f>
        <v>0.81</v>
      </c>
      <c r="E19" s="177">
        <f>1-$C$10</f>
        <v>0.81</v>
      </c>
      <c r="F19" s="177">
        <f>1-$C$10</f>
        <v>0.81</v>
      </c>
      <c r="G19" s="177">
        <f>1-$C$10</f>
        <v>0.81</v>
      </c>
      <c r="H19" s="177">
        <f>1-$C$10</f>
        <v>0.81</v>
      </c>
      <c r="I19" s="177">
        <f>1-$C$10</f>
        <v>0.81</v>
      </c>
      <c r="J19" s="177">
        <f>1-$C$10</f>
        <v>0.81</v>
      </c>
      <c r="K19" s="177">
        <f>1-$C$10</f>
        <v>0.81</v>
      </c>
      <c r="L19" s="177">
        <f>1-$C$10</f>
        <v>0.81</v>
      </c>
      <c r="M19" s="177">
        <f>1-$C$10</f>
        <v>0.81</v>
      </c>
      <c r="N19" s="192" t="n"/>
      <c r="O19" s="192" t="n"/>
      <c r="P19" s="176" t="n"/>
      <c r="Q19" s="176" t="n"/>
    </row>
    <row r="20" ht="15.75" customHeight="1" s="251">
      <c r="A20" s="192" t="n"/>
      <c r="B20" s="199" t="inlineStr">
        <is>
          <t>NOPAT</t>
        </is>
      </c>
      <c r="C20" s="192" t="n"/>
      <c r="D20" s="174">
        <f>D18*D19</f>
        <v>85985.2308707812</v>
      </c>
      <c r="E20" s="174">
        <f>E18*E19</f>
        <v>107961.183217211</v>
      </c>
      <c r="F20" s="174">
        <f>F18*F19</f>
        <v>129904.637697788</v>
      </c>
      <c r="G20" s="174">
        <f>G18*G19</f>
        <v>152634.071020364</v>
      </c>
      <c r="H20" s="174">
        <f>H18*H19</f>
        <v>177463.31284124</v>
      </c>
      <c r="I20" s="174">
        <f>I18*I19</f>
        <v>193435.010996952</v>
      </c>
      <c r="J20" s="174">
        <f>J18*J19</f>
        <v>208909.811876708</v>
      </c>
      <c r="K20" s="174">
        <f>K18*K19</f>
        <v>223533.498708077</v>
      </c>
      <c r="L20" s="174">
        <f>L18*L19</f>
        <v>236945.508630562</v>
      </c>
      <c r="M20" s="174">
        <f>M18*M19</f>
        <v>248792.78406209</v>
      </c>
      <c r="N20" s="192" t="n"/>
      <c r="O20" s="192" t="n"/>
      <c r="P20" s="176" t="n"/>
      <c r="Q20" s="176" t="n"/>
    </row>
    <row r="21" ht="15.75" customHeight="1" s="251">
      <c r="A21" s="192" t="n"/>
      <c r="B21" s="197" t="inlineStr">
        <is>
          <t>plus depreciation of property &amp; equipment (operating-lease, content and other amortization is reinvested — see Model cash-flow offset line)</t>
        </is>
      </c>
      <c r="C21" s="192" t="n"/>
      <c r="D21" s="173">
        <f>Model!CA127</f>
        <v>59142.4910641269</v>
      </c>
      <c r="E21" s="173">
        <f>Model!CB127</f>
        <v>84947.2209767706</v>
      </c>
      <c r="F21" s="173">
        <f>Model!CC127</f>
        <v>103102.150977123</v>
      </c>
      <c r="G21" s="173">
        <f>Model!CD127</f>
        <v>119510.267351575</v>
      </c>
      <c r="H21" s="173">
        <f>Model!CE127</f>
        <v>133806.411932391</v>
      </c>
      <c r="I21" s="174">
        <f>H21*(1+I$26)</f>
        <v>145848.989006306</v>
      </c>
      <c r="J21" s="174">
        <f>I21*(1+J$26)</f>
        <v>157516.908126811</v>
      </c>
      <c r="K21" s="174">
        <f>J21*(1+K$26)</f>
        <v>168543.091695688</v>
      </c>
      <c r="L21" s="174">
        <f>K21*(1+L$26)</f>
        <v>178655.677197429</v>
      </c>
      <c r="M21" s="174">
        <f>L21*(1+M$26)</f>
        <v>187588.4610573</v>
      </c>
      <c r="N21" s="192" t="n"/>
      <c r="O21" s="192" t="n"/>
      <c r="P21" s="176" t="n"/>
      <c r="Q21" s="176" t="n"/>
    </row>
    <row r="22" ht="15.75" customHeight="1" s="251">
      <c r="A22" s="192" t="n"/>
      <c r="B22" s="197" t="inlineStr">
        <is>
          <t>− Capex net of proceeds, acquisitions &amp; investments (M&amp;A lever 2027E–30E) and finance-lease principal</t>
        </is>
      </c>
      <c r="C22" s="192" t="n"/>
      <c r="D22" s="173">
        <f>Model!CA258+Model!CA259+Model!CA260+Model!CA266</f>
        <v>-244361.68</v>
      </c>
      <c r="E22" s="173">
        <f>Model!CB258+Model!CB259+Model!CB260+Model!CB266</f>
        <v>-219768.969932262</v>
      </c>
      <c r="F22" s="173">
        <f>Model!CC258+Model!CC259+Model!CC260+Model!CC266</f>
        <v>-227087.397952419</v>
      </c>
      <c r="G22" s="173">
        <f>Model!CD258+Model!CD259+Model!CD260+Model!CD266</f>
        <v>-230200.109549266</v>
      </c>
      <c r="H22" s="173">
        <f>Model!CE258+Model!CE259+Model!CE260+Model!CE266</f>
        <v>-228615.159684497</v>
      </c>
      <c r="I22" s="174">
        <f>H22*(1+I$26)</f>
        <v>-249190.524056102</v>
      </c>
      <c r="J22" s="174">
        <f>I22*(1+J$26)</f>
        <v>-269125.765980591</v>
      </c>
      <c r="K22" s="174">
        <f>J22*(1+K$26)</f>
        <v>-287964.569599232</v>
      </c>
      <c r="L22" s="174">
        <f>K22*(1+L$26)</f>
        <v>-305242.443775186</v>
      </c>
      <c r="M22" s="174">
        <f>L22*(1+M$26)</f>
        <v>-320504.565963945</v>
      </c>
      <c r="N22" s="192" t="n"/>
      <c r="O22" s="192" t="n"/>
      <c r="P22" s="176" t="n"/>
      <c r="Q22" s="176" t="n"/>
    </row>
    <row r="23" ht="15.75" customHeight="1" s="251">
      <c r="A23" s="192" t="n"/>
      <c r="B23" s="197" t="inlineStr">
        <is>
          <t>− Δ Working capital (CF statement)</t>
        </is>
      </c>
      <c r="C23" s="192" t="n"/>
      <c r="D23" s="173">
        <f>Model!CA256</f>
        <v>-16814.2782374941</v>
      </c>
      <c r="E23" s="173">
        <f>Model!CB256</f>
        <v>12945.7527441554</v>
      </c>
      <c r="F23" s="173">
        <f>Model!CC256</f>
        <v>15857.0663528299</v>
      </c>
      <c r="G23" s="173">
        <f>Model!CD256</f>
        <v>16765.0384307566</v>
      </c>
      <c r="H23" s="173">
        <f>Model!CE256</f>
        <v>16556.2601585039</v>
      </c>
      <c r="I23" s="174">
        <f>H23*(1+I$26)</f>
        <v>18046.3235727693</v>
      </c>
      <c r="J23" s="174">
        <f>I23*(1+J$26)</f>
        <v>19490.0294585908</v>
      </c>
      <c r="K23" s="174">
        <f>J23*(1+K$26)</f>
        <v>20854.3315206922</v>
      </c>
      <c r="L23" s="174">
        <f>K23*(1+L$26)</f>
        <v>22105.5914119337</v>
      </c>
      <c r="M23" s="174">
        <f>L23*(1+M$26)</f>
        <v>23210.8709825304</v>
      </c>
      <c r="N23" s="192" t="n"/>
      <c r="O23" s="192" t="n"/>
      <c r="P23" s="176" t="n"/>
      <c r="Q23" s="176" t="n"/>
    </row>
    <row r="24" ht="15.75" customHeight="1" s="251">
      <c r="A24" s="192" t="n"/>
      <c r="B24" s="217" t="inlineStr">
        <is>
          <t>Unlevered FCF</t>
        </is>
      </c>
      <c r="C24" s="218" t="n"/>
      <c r="D24" s="219">
        <f>0*(D20+D21+D22+D23)</f>
        <v>0</v>
      </c>
      <c r="E24" s="219">
        <f>E20+E21+E22+E23</f>
        <v>-13914.8129941252</v>
      </c>
      <c r="F24" s="219">
        <f>F20+F21+F22+F23</f>
        <v>21776.4570753215</v>
      </c>
      <c r="G24" s="219">
        <f>G20+G21+G22+G23</f>
        <v>58709.2672534293</v>
      </c>
      <c r="H24" s="219">
        <f>H20+H21+H22+H23</f>
        <v>99210.8252476377</v>
      </c>
      <c r="I24" s="219">
        <f>I20+I21+I22+I23</f>
        <v>108139.799519925</v>
      </c>
      <c r="J24" s="219">
        <f>J20+J21+J22+J23</f>
        <v>116790.983481519</v>
      </c>
      <c r="K24" s="219">
        <f>K20+K21+K22+K23</f>
        <v>124966.352325225</v>
      </c>
      <c r="L24" s="219">
        <f>L20+L21+L22+L23</f>
        <v>132464.333464739</v>
      </c>
      <c r="M24" s="219">
        <f>M20+M21+M22+M23</f>
        <v>139087.550137976</v>
      </c>
      <c r="N24" s="219">
        <f>M24*(1+$C$27)</f>
        <v>143955.614392805</v>
      </c>
      <c r="O24" s="192" t="n"/>
      <c r="P24" s="181">
        <f>IFERROR((H24/E24)^(1/(COLUMNS(E24:H24)-1))-1,"n/m")</f>
        <v>-2.92468899316637</v>
      </c>
      <c r="Q24" s="181" t="str">
        <f>IFERROR((M24/E24)^(1/(COLUMNS(E24:M24)-1))-1,"n/m")</f>
        <v>n/m</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2408432.35309144</v>
      </c>
      <c r="O25" s="192" t="n"/>
      <c r="P25" s="192" t="n"/>
      <c r="Q25" s="192" t="n"/>
    </row>
    <row r="26" ht="15.75" customHeight="1" s="251">
      <c r="A26" s="192" t="n"/>
      <c r="B26" s="197" t="inlineStr">
        <is>
          <t>Fade-period growth (2031E–35E; 9% → 5% linear)</t>
        </is>
      </c>
      <c r="C26" s="192" t="n"/>
      <c r="D26" s="192" t="n"/>
      <c r="E26" s="192" t="n"/>
      <c r="F26" s="192" t="n"/>
      <c r="G26" s="192" t="n"/>
      <c r="H26" s="192" t="n"/>
      <c r="I26" s="182" t="n">
        <v>0.09</v>
      </c>
      <c r="J26" s="183">
        <f>I26+($M$26-$I$26)/4</f>
        <v>0.08</v>
      </c>
      <c r="K26" s="183">
        <f>J26+($M$26-$I$26)/4</f>
        <v>0.07</v>
      </c>
      <c r="L26" s="183">
        <f>K26+($M$26-$I$26)/4</f>
        <v>0.06</v>
      </c>
      <c r="M26" s="182" t="n">
        <v>0.05</v>
      </c>
      <c r="N26" s="192" t="n"/>
      <c r="O26" s="192" t="n"/>
      <c r="P26" s="192" t="n"/>
      <c r="Q26" s="192" t="n"/>
    </row>
    <row r="27" ht="15.75" customHeight="1" s="251">
      <c r="A27" s="192" t="n"/>
      <c r="B27" s="197" t="inlineStr">
        <is>
          <t>Terminal growth rate</t>
        </is>
      </c>
      <c r="C27" s="184" t="n">
        <v>0.035</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(DATE(2026,12,31)-$C$15)/365.25</f>
        <v>0.219028062970568</v>
      </c>
      <c r="E29" s="177">
        <f>(DATE(2027,12,31)-$C$15)/365.25</f>
        <v>1.21834360027379</v>
      </c>
      <c r="F29" s="177">
        <f>(DATE(2028,12,31)-$C$15)/365.25</f>
        <v>2.22039698836413</v>
      </c>
      <c r="G29" s="177">
        <f>(DATE(2029,12,31)-$C$15)/365.25</f>
        <v>3.21971252566735</v>
      </c>
      <c r="H29" s="177">
        <f>(DATE(2030,12,31)-$C$15)/365.25</f>
        <v>4.21902806297057</v>
      </c>
      <c r="I29" s="177">
        <f>(DATE(2031,12,31)-$C$15)/365.25</f>
        <v>5.21834360027379</v>
      </c>
      <c r="J29" s="177">
        <f>(DATE(2032,12,31)-$C$15)/365.25</f>
        <v>6.22039698836414</v>
      </c>
      <c r="K29" s="177">
        <f>(DATE(2033,12,31)-$C$15)/365.25</f>
        <v>7.21971252566735</v>
      </c>
      <c r="L29" s="177">
        <f>(DATE(2034,12,31)-$C$15)/365.25</f>
        <v>8.21902806297057</v>
      </c>
      <c r="M29" s="177">
        <f>(DATE(2035,12,31)-$C$15)/365.25</f>
        <v>9.21834360027379</v>
      </c>
      <c r="N29" s="177">
        <f>M29</f>
        <v>9.21834360027379</v>
      </c>
      <c r="O29" s="192" t="n"/>
      <c r="P29" s="192" t="n"/>
      <c r="Q29" s="192" t="n"/>
    </row>
    <row r="30" ht="15.75" customHeight="1" s="251">
      <c r="A30" s="192" t="n"/>
      <c r="B30" s="197" t="inlineStr">
        <is>
          <t>Discount factor</t>
        </is>
      </c>
      <c r="C30" s="192" t="n"/>
      <c r="D30" s="185">
        <f>1/(1+$C$13)^D29</f>
        <v>0.980363319570139</v>
      </c>
      <c r="E30" s="185">
        <f>1/(1+$C$13)^E29</f>
        <v>0.895551336144222</v>
      </c>
      <c r="F30" s="185">
        <f>1/(1+$C$13)^F29</f>
        <v>0.817873726059952</v>
      </c>
      <c r="G30" s="185">
        <f>1/(1+$C$13)^G29</f>
        <v>0.747118842116004</v>
      </c>
      <c r="H30" s="185">
        <f>1/(1+$C$13)^H29</f>
        <v>0.682485017502374</v>
      </c>
      <c r="I30" s="185">
        <f>1/(1+$C$13)^I29</f>
        <v>0.623442714677103</v>
      </c>
      <c r="J30" s="185">
        <f>1/(1+$C$13)^J29</f>
        <v>0.569367042913751</v>
      </c>
      <c r="K30" s="185">
        <f>1/(1+$C$13)^K29</f>
        <v>0.520110662913694</v>
      </c>
      <c r="L30" s="185">
        <f>1/(1+$C$13)^L29</f>
        <v>0.47511549016282</v>
      </c>
      <c r="M30" s="185">
        <f>1/(1+$C$13)^M29</f>
        <v>0.434012884350565</v>
      </c>
      <c r="N30" s="185">
        <f>1/(1+$C$13)^N29</f>
        <v>0.434012884350565</v>
      </c>
      <c r="O30" s="192" t="n"/>
      <c r="P30" s="192" t="n"/>
      <c r="Q30" s="192" t="n"/>
    </row>
    <row r="31" ht="15.75" customHeight="1" s="251">
      <c r="A31" s="192" t="n"/>
      <c r="B31" s="220" t="inlineStr">
        <is>
          <t>PV of UFCF</t>
        </is>
      </c>
      <c r="C31" s="221" t="n"/>
      <c r="D31" s="222">
        <f>D24*D30</f>
        <v>0</v>
      </c>
      <c r="E31" s="222">
        <f>E24*E30</f>
        <v>-12461.4293690858</v>
      </c>
      <c r="F31" s="222">
        <f>F24*F30</f>
        <v>17810.3920885778</v>
      </c>
      <c r="G31" s="222">
        <f>G24*G30</f>
        <v>43862.7997718611</v>
      </c>
      <c r="H31" s="222">
        <f>H24*H30</f>
        <v>67709.901805559</v>
      </c>
      <c r="I31" s="222">
        <f>I24*I30</f>
        <v>67418.9701773398</v>
      </c>
      <c r="J31" s="222">
        <f>J24*J30</f>
        <v>66496.9369038613</v>
      </c>
      <c r="K31" s="222">
        <f>K24*K30</f>
        <v>64996.3323497792</v>
      </c>
      <c r="L31" s="222">
        <f>L24*L30</f>
        <v>62935.8567231907</v>
      </c>
      <c r="M31" s="222">
        <f>M24*M30</f>
        <v>60365.7888126367</v>
      </c>
      <c r="N31" s="222">
        <f>N25*N30</f>
        <v>1045290.67232843</v>
      </c>
      <c r="O31" s="192" t="n"/>
      <c r="P31" s="192" t="n"/>
      <c r="Q31" s="192" t="n"/>
    </row>
    <row r="32" ht="15" customHeight="1" s="251">
      <c r="A32" s="192" t="n"/>
      <c r="B32" s="192" t="n"/>
      <c r="C32" s="192" t="n"/>
      <c r="D32" s="198" t="inlineStr">
        <is>
          <t>Amazon's operating income expenses stock-based compensation (not adjusted out) and all D&amp;A, so NOPAT is taxed on full-cost adjusted operating income less cash special charges (settlements, severance). Only P&amp;E depreciation is added back: operating-lease and content amortization is matched by lease payments / content spend (held flat in the Model). Finance-lease and financing-obligation principal is deducted with capex because leases are excluded from net debt. Non-marketable equity investments (Anthropic) are neither in UFCF nor added to EV (conservative; their marks sit in other income). 2026E UFCF is set to zero (cash flows already in YE2026E net debt).</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Model!BV389</f>
        <v>356887</v>
      </c>
      <c r="E34" s="174">
        <f>D38</f>
        <v>558920.467173367</v>
      </c>
      <c r="F34" s="174">
        <f>E38</f>
        <v>680796.463384703</v>
      </c>
      <c r="G34" s="174">
        <f>F38</f>
        <v>788924.64400717</v>
      </c>
      <c r="H34" s="174">
        <f>G38</f>
        <v>882849.447774104</v>
      </c>
      <c r="I34" s="174">
        <f>H38</f>
        <v>961101.935367707</v>
      </c>
      <c r="J34" s="174">
        <f>I38</f>
        <v>1046397.14684473</v>
      </c>
      <c r="K34" s="174">
        <f>J38</f>
        <v>1138515.97523992</v>
      </c>
      <c r="L34" s="174">
        <f>K38</f>
        <v>1237083.12162277</v>
      </c>
      <c r="M34" s="174">
        <f>L38</f>
        <v>1341564.2967886</v>
      </c>
      <c r="N34" s="174" t="n"/>
      <c r="O34" s="192" t="n"/>
      <c r="P34" s="192" t="n"/>
      <c r="Q34" s="192" t="n"/>
    </row>
    <row r="35" ht="15.75" customHeight="1" s="251">
      <c r="A35" s="192" t="n"/>
      <c r="B35" s="197" t="inlineStr">
        <is>
          <t>plus Capex and acquisitions</t>
        </is>
      </c>
      <c r="C35" s="192" t="n"/>
      <c r="D35" s="174">
        <f>-D22</f>
        <v>244361.68</v>
      </c>
      <c r="E35" s="174">
        <f>-E22</f>
        <v>219768.969932262</v>
      </c>
      <c r="F35" s="174">
        <f>-F22</f>
        <v>227087.397952419</v>
      </c>
      <c r="G35" s="174">
        <f>-G22</f>
        <v>230200.109549266</v>
      </c>
      <c r="H35" s="174">
        <f>-H22</f>
        <v>228615.159684497</v>
      </c>
      <c r="I35" s="174">
        <f>-I22</f>
        <v>249190.524056102</v>
      </c>
      <c r="J35" s="174">
        <f>-J22</f>
        <v>269125.765980591</v>
      </c>
      <c r="K35" s="174">
        <f>-K22</f>
        <v>287964.569599232</v>
      </c>
      <c r="L35" s="174">
        <f>-L22</f>
        <v>305242.443775186</v>
      </c>
      <c r="M35" s="174">
        <f>-M22</f>
        <v>320504.565963945</v>
      </c>
      <c r="N35" s="174" t="n"/>
      <c r="O35" s="192" t="n"/>
      <c r="P35" s="192" t="n"/>
      <c r="Q35" s="192" t="n"/>
    </row>
    <row r="36" ht="15.75" customHeight="1" s="251">
      <c r="A36" s="192" t="n"/>
      <c r="B36" s="197" t="inlineStr">
        <is>
          <t>less P&amp;E depreciation</t>
        </is>
      </c>
      <c r="C36" s="192" t="n"/>
      <c r="D36" s="174">
        <f>-D21</f>
        <v>-59142.4910641269</v>
      </c>
      <c r="E36" s="174">
        <f>-E21</f>
        <v>-84947.2209767706</v>
      </c>
      <c r="F36" s="174">
        <f>-F21</f>
        <v>-103102.150977123</v>
      </c>
      <c r="G36" s="174">
        <f>-G21</f>
        <v>-119510.267351575</v>
      </c>
      <c r="H36" s="174">
        <f>-H21</f>
        <v>-133806.411932391</v>
      </c>
      <c r="I36" s="174">
        <f>-I21</f>
        <v>-145848.989006306</v>
      </c>
      <c r="J36" s="174">
        <f>-J21</f>
        <v>-157516.908126811</v>
      </c>
      <c r="K36" s="174">
        <f>-K21</f>
        <v>-168543.091695688</v>
      </c>
      <c r="L36" s="174">
        <f>-L21</f>
        <v>-178655.677197429</v>
      </c>
      <c r="M36" s="174">
        <f>-M21</f>
        <v>-187588.4610573</v>
      </c>
      <c r="N36" s="174" t="n"/>
      <c r="O36" s="192" t="n"/>
      <c r="P36" s="192" t="n"/>
      <c r="Q36" s="192" t="n"/>
    </row>
    <row r="37" ht="15.75" customHeight="1" s="251">
      <c r="A37" s="192" t="n"/>
      <c r="B37" s="197" t="inlineStr">
        <is>
          <t>plus Δ Working capital investment</t>
        </is>
      </c>
      <c r="C37" s="192" t="n"/>
      <c r="D37" s="174">
        <f>-D23</f>
        <v>16814.2782374941</v>
      </c>
      <c r="E37" s="174">
        <f>-E23</f>
        <v>-12945.7527441554</v>
      </c>
      <c r="F37" s="174">
        <f>-F23</f>
        <v>-15857.0663528299</v>
      </c>
      <c r="G37" s="174">
        <f>-G23</f>
        <v>-16765.0384307566</v>
      </c>
      <c r="H37" s="174">
        <f>-H23</f>
        <v>-16556.2601585039</v>
      </c>
      <c r="I37" s="174">
        <f>-I23</f>
        <v>-18046.3235727693</v>
      </c>
      <c r="J37" s="174">
        <f>-J23</f>
        <v>-19490.0294585908</v>
      </c>
      <c r="K37" s="174">
        <f>-K23</f>
        <v>-20854.3315206922</v>
      </c>
      <c r="L37" s="174">
        <f>-L23</f>
        <v>-22105.5914119337</v>
      </c>
      <c r="M37" s="174">
        <f>-M23</f>
        <v>-23210.8709825304</v>
      </c>
      <c r="N37" s="174" t="n"/>
      <c r="O37" s="192" t="n"/>
      <c r="P37" s="192" t="n"/>
      <c r="Q37" s="192" t="n"/>
    </row>
    <row r="38" ht="15.75" customHeight="1" s="251">
      <c r="A38" s="192" t="n"/>
      <c r="B38" s="223" t="inlineStr">
        <is>
          <t>Closing invested capital</t>
        </is>
      </c>
      <c r="C38" s="223" t="n"/>
      <c r="D38" s="224">
        <f>SUM(D34:D37)</f>
        <v>558920.467173367</v>
      </c>
      <c r="E38" s="224">
        <f>SUM(E34:E37)</f>
        <v>680796.463384703</v>
      </c>
      <c r="F38" s="224">
        <f>SUM(F34:F37)</f>
        <v>788924.64400717</v>
      </c>
      <c r="G38" s="224">
        <f>SUM(G34:G37)</f>
        <v>882849.447774104</v>
      </c>
      <c r="H38" s="224">
        <f>SUM(H34:H37)</f>
        <v>961101.935367707</v>
      </c>
      <c r="I38" s="224">
        <f>SUM(I34:I37)</f>
        <v>1046397.14684473</v>
      </c>
      <c r="J38" s="224">
        <f>SUM(J34:J37)</f>
        <v>1138515.97523992</v>
      </c>
      <c r="K38" s="224">
        <f>SUM(K34:K37)</f>
        <v>1237083.12162277</v>
      </c>
      <c r="L38" s="224">
        <f>SUM(L34:L37)</f>
        <v>1341564.2967886</v>
      </c>
      <c r="M38" s="224">
        <f>SUM(M34:M37)</f>
        <v>1451269.53071271</v>
      </c>
      <c r="N38" s="178" t="n"/>
      <c r="O38" s="192" t="n"/>
      <c r="P38" s="192" t="n"/>
      <c r="Q38" s="192" t="n"/>
    </row>
    <row r="39" ht="15.75" customHeight="1" s="251">
      <c r="A39" s="192" t="n"/>
      <c r="B39" s="197" t="inlineStr">
        <is>
          <t>NOPAT (row 20)</t>
        </is>
      </c>
      <c r="C39" s="192" t="n"/>
      <c r="D39" s="174">
        <f>D20</f>
        <v>85985.2308707812</v>
      </c>
      <c r="E39" s="174">
        <f>E20</f>
        <v>107961.183217211</v>
      </c>
      <c r="F39" s="174">
        <f>F20</f>
        <v>129904.637697788</v>
      </c>
      <c r="G39" s="174">
        <f>G20</f>
        <v>152634.071020364</v>
      </c>
      <c r="H39" s="174">
        <f>H20</f>
        <v>177463.31284124</v>
      </c>
      <c r="I39" s="174">
        <f>I20</f>
        <v>193435.010996952</v>
      </c>
      <c r="J39" s="174">
        <f>J20</f>
        <v>208909.811876708</v>
      </c>
      <c r="K39" s="174">
        <f>K20</f>
        <v>223533.498708077</v>
      </c>
      <c r="L39" s="174">
        <f>L20</f>
        <v>236945.508630562</v>
      </c>
      <c r="M39" s="174">
        <f>M20</f>
        <v>248792.78406209</v>
      </c>
      <c r="N39" s="174" t="n"/>
      <c r="O39" s="192" t="n"/>
      <c r="P39" s="192" t="n"/>
      <c r="Q39" s="192" t="n"/>
    </row>
    <row r="40" ht="15.75" customHeight="1" s="251">
      <c r="A40" s="192" t="n"/>
      <c r="B40" s="200" t="inlineStr">
        <is>
          <t>Implied ROIC (NOPAT / avg. invested capital)</t>
        </is>
      </c>
      <c r="C40" s="200" t="n"/>
      <c r="D40" s="180">
        <f>IFERROR(D39/AVERAGE(D34,D38),"")</f>
        <v>0.187780148017736</v>
      </c>
      <c r="E40" s="180">
        <f>IFERROR(E39/AVERAGE(E34,E38),"")</f>
        <v>0.174170700675373</v>
      </c>
      <c r="F40" s="180">
        <f>IFERROR(F39/AVERAGE(F34,F38),"")</f>
        <v>0.176774541842586</v>
      </c>
      <c r="G40" s="180">
        <f>IFERROR(G39/AVERAGE(G34,G38),"")</f>
        <v>0.182601311709206</v>
      </c>
      <c r="H40" s="180">
        <f>IFERROR(H39/AVERAGE(H34,H38),"")</f>
        <v>0.192481552890912</v>
      </c>
      <c r="I40" s="180">
        <f>IFERROR(I39/AVERAGE(I34,I38),"")</f>
        <v>0.192712427827135</v>
      </c>
      <c r="J40" s="180">
        <f>IFERROR(J39/AVERAGE(J34,J38),"")</f>
        <v>0.191229399251705</v>
      </c>
      <c r="K40" s="180">
        <f>IFERROR(K39/AVERAGE(K34,K38),"")</f>
        <v>0.188191264261116</v>
      </c>
      <c r="L40" s="180">
        <f>IFERROR(L39/AVERAGE(L34,L38),"")</f>
        <v>0.183775034104149</v>
      </c>
      <c r="M40" s="180">
        <f>IFERROR(M39/AVERAGE(M34,M38),"")</f>
        <v>0.178165117890082</v>
      </c>
      <c r="N40" s="180" t="n"/>
      <c r="O40" s="192" t="n"/>
      <c r="P40" s="192" t="n"/>
      <c r="Q40" s="192" t="n"/>
    </row>
    <row r="41" ht="15.75" customHeight="1" s="251">
      <c r="A41" s="192" t="n"/>
      <c r="B41" s="197" t="inlineStr">
        <is>
          <t>Reinvestment rate (net investment / NOPAT)</t>
        </is>
      </c>
      <c r="C41" s="192" t="n"/>
      <c r="D41" s="175">
        <f>IFERROR(SUM(D35:D37)/D39,"")</f>
        <v>2.34962987396037</v>
      </c>
      <c r="E41" s="175">
        <f>IFERROR(SUM(E35:E37)/E39,"")</f>
        <v>1.1288871849999</v>
      </c>
      <c r="F41" s="175">
        <f>IFERROR(SUM(F35:F37)/F39,"")</f>
        <v>0.832365822643049</v>
      </c>
      <c r="G41" s="175">
        <f>IFERROR(SUM(G35:G37)/G39,"")</f>
        <v>0.615359356787407</v>
      </c>
      <c r="H41" s="175">
        <f>IFERROR(SUM(H35:H37)/H39,"")</f>
        <v>0.440950224250618</v>
      </c>
      <c r="I41" s="175">
        <f>IFERROR(SUM(I35:I37)/I39,"")</f>
        <v>0.440950224250618</v>
      </c>
      <c r="J41" s="175">
        <f>IFERROR(SUM(J35:J37)/J39,"")</f>
        <v>0.440950224250618</v>
      </c>
      <c r="K41" s="175">
        <f>IFERROR(SUM(K35:K37)/K39,"")</f>
        <v>0.440950224250618</v>
      </c>
      <c r="L41" s="175">
        <f>IFERROR(SUM(L35:L37)/L39,"")</f>
        <v>0.440950224250618</v>
      </c>
      <c r="M41" s="175">
        <f>IFERROR(SUM(M35:M37)/M39,"")</f>
        <v>0.440950224250618</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0.079374038327073</v>
      </c>
      <c r="O42" s="192" t="n"/>
      <c r="P42" s="192" t="n"/>
      <c r="Q42" s="192" t="n"/>
    </row>
    <row r="43" ht="15" customHeight="1" s="251">
      <c r="A43" s="192" t="n"/>
      <c r="B43" s="192" t="n"/>
      <c r="C43" s="192" t="n"/>
      <c r="D43" s="198" t="inlineStr">
        <is>
          <t>Opening IC = Model 2025A book invested capital (equity + net debt; includes the non-marketable investments in other assets), rolled forward with DCF net investment (net capex + M&amp;A + lease principal − P&amp;E depreciation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 fade)</t>
        </is>
      </c>
      <c r="C45" s="174">
        <f>SUM(D31:M31)</f>
        <v>439135.54926372</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1045290.67232843</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1484426.22159215</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NCI (Model 2026E year end)</t>
        </is>
      </c>
      <c r="C48" s="173">
        <f>Model!CA410+Model!CA333</f>
        <v>12412.7593013222</v>
      </c>
      <c r="D48" s="198" t="inlineStr">
        <is>
          <t>AMZN: no noncontrolling interests; net debt = debt (incl. Jul/Sep-2026 notes) − cash − marketable securities; finance-lease liabilities excluded (principal deducted in UFCF).</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1472013.46229083</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2026E period end)</t>
        </is>
      </c>
      <c r="C50" s="186">
        <f>Model!CA417</f>
        <v>10977</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134.099796145653</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Model!CA416</f>
        <v>260</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-0.48423155328595</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0.137265971978097</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115.692457285655</v>
      </c>
      <c r="D55" s="175">
        <f>C55/C52-1</f>
        <v>-0.555029010439788</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0.0847715</v>
      </c>
      <c r="E61" s="228">
        <f>F61-0.005</f>
        <v>0.0897715</v>
      </c>
      <c r="F61" s="228">
        <f>$C$13</f>
        <v>0.0947715</v>
      </c>
      <c r="G61" s="228">
        <f>F61+0.005</f>
        <v>0.0997715</v>
      </c>
      <c r="H61" s="234">
        <f>F61+0.01</f>
        <v>0.1047715</v>
      </c>
      <c r="I61" s="192" t="n"/>
      <c r="J61" s="192" t="n"/>
      <c r="K61" s="192" t="n"/>
      <c r="L61" s="192" t="n"/>
      <c r="M61" s="192" t="n"/>
      <c r="N61" s="192" t="n"/>
      <c r="O61" s="192" t="n"/>
      <c r="P61" s="192" t="n"/>
      <c r="Q61" s="192" t="n"/>
    </row>
    <row r="62" ht="15.75" customHeight="1" s="251">
      <c r="A62" s="192" t="n"/>
      <c r="B62" s="232">
        <f>B64-0.01</f>
        <v>0.025</v>
      </c>
      <c r="C62" s="192" t="n"/>
      <c r="D62" s="225">
        <f t="array" ref="D62">IFERROR((SUMPRODUCT($D$24:$M$24/(1+D$61)^$D$29:$M$29)+($M$24*(1+$B62)/(D$61-$B62))/(1+D$61)^$M$29-$C$48)/$C$50,"")</f>
        <v>143.885369258976</v>
      </c>
      <c r="E62" s="225">
        <f t="array" ref="E62">IFERROR((SUMPRODUCT($D$24:$M$24/(1+E$61)^$D$29:$M$29)+($M$24*(1+$B62)/(E$61-$B62))/(1+E$61)^$M$29-$C$48)/$C$50,"")</f>
        <v>130.819889118931</v>
      </c>
      <c r="F62" s="225">
        <f t="array" ref="F62">IFERROR((SUMPRODUCT($D$24:$M$24/(1+F$61)^$D$29:$M$29)+($M$24*(1+$B62)/(F$61-$B62))/(1+F$61)^$M$29-$C$48)/$C$50,"")</f>
        <v>119.663410199636</v>
      </c>
      <c r="G62" s="225">
        <f t="array" ref="G62">IFERROR((SUMPRODUCT($D$24:$M$24/(1+G$61)^$D$29:$M$29)+($M$24*(1+$B62)/(G$61-$B62))/(1+G$61)^$M$29-$C$48)/$C$50,"")</f>
        <v>110.031988199919</v>
      </c>
      <c r="H62" s="235">
        <f t="array" ref="H62">IFERROR((SUMPRODUCT($D$24:$M$24/(1+H$61)^$D$29:$M$29)+($M$24*(1+$B62)/(H$61-$B62))/(1+H$61)^$M$29-$C$48)/$C$50,"")</f>
        <v>101.63797292966</v>
      </c>
      <c r="I62" s="192" t="n"/>
      <c r="J62" s="192" t="n"/>
      <c r="K62" s="192" t="n"/>
      <c r="L62" s="192" t="n"/>
      <c r="M62" s="192" t="n"/>
      <c r="N62" s="192" t="n"/>
      <c r="O62" s="192" t="n"/>
      <c r="P62" s="192" t="n"/>
      <c r="Q62" s="192" t="n"/>
    </row>
    <row r="63" ht="15.75" customHeight="1" s="251">
      <c r="A63" s="192" t="n"/>
      <c r="B63" s="232">
        <f>B64-0.005</f>
        <v>0.03</v>
      </c>
      <c r="C63" s="192" t="n"/>
      <c r="D63" s="225">
        <f t="array" ref="D63">IFERROR((SUMPRODUCT($D$24:$M$24/(1+D$61)^$D$29:$M$29)+($M$24*(1+$B63)/(D$61-$B63))/(1+D$61)^$M$29-$C$48)/$C$50,"")</f>
        <v>153.800622056573</v>
      </c>
      <c r="E63" s="225">
        <f t="array" ref="E63">IFERROR((SUMPRODUCT($D$24:$M$24/(1+E$61)^$D$29:$M$29)+($M$24*(1+$B63)/(E$61-$B63))/(1+E$61)^$M$29-$C$48)/$C$50,"")</f>
        <v>138.893372675501</v>
      </c>
      <c r="F63" s="225">
        <f t="array" ref="F63">IFERROR((SUMPRODUCT($D$24:$M$24/(1+F$61)^$D$29:$M$29)+($M$24*(1+$B63)/(F$61-$B63))/(1+F$61)^$M$29-$C$48)/$C$50,"")</f>
        <v>126.324398771557</v>
      </c>
      <c r="G63" s="225">
        <f t="array" ref="G63">IFERROR((SUMPRODUCT($D$24:$M$24/(1+G$61)^$D$29:$M$29)+($M$24*(1+$B63)/(G$61-$B63))/(1+G$61)^$M$29-$C$48)/$C$50,"")</f>
        <v>115.590040497013</v>
      </c>
      <c r="H63" s="235">
        <f t="array" ref="H63">IFERROR((SUMPRODUCT($D$24:$M$24/(1+H$61)^$D$29:$M$29)+($M$24*(1+$B63)/(H$61-$B63))/(1+H$61)^$M$29-$C$48)/$C$50,"")</f>
        <v>106.321389452959</v>
      </c>
      <c r="I63" s="192" t="n"/>
      <c r="J63" s="192" t="n"/>
      <c r="K63" s="192" t="n"/>
      <c r="L63" s="192" t="n"/>
      <c r="M63" s="192" t="n"/>
      <c r="N63" s="192" t="n"/>
      <c r="O63" s="192" t="n"/>
      <c r="P63" s="192" t="n"/>
      <c r="Q63" s="192" t="n"/>
    </row>
    <row r="64" ht="15.75" customHeight="1" s="251">
      <c r="A64" s="192" t="n"/>
      <c r="B64" s="232">
        <f>$C$27</f>
        <v>0.035</v>
      </c>
      <c r="C64" s="192" t="n"/>
      <c r="D64" s="225">
        <f t="array" ref="D64">IFERROR((SUMPRODUCT($D$24:$M$24/(1+D$61)^$D$29:$M$29)+($M$24*(1+$B64)/(D$61-$B64))/(1+D$61)^$M$29-$C$48)/$C$50,"")</f>
        <v>165.708029560699</v>
      </c>
      <c r="E64" s="225">
        <f t="array" ref="E64">IFERROR((SUMPRODUCT($D$24:$M$24/(1+E$61)^$D$29:$M$29)+($M$24*(1+$B64)/(E$61-$B64))/(1+E$61)^$M$29-$C$48)/$C$50,"")</f>
        <v>148.440886258009</v>
      </c>
      <c r="F64" s="226">
        <f t="array" ref="F64">IFERROR((SUMPRODUCT($D$24:$M$24/(1+F$61)^$D$29:$M$29)+($M$24*(1+$B64)/(F$61-$B64))/(1+F$61)^$M$29-$C$48)/$C$50,"")</f>
        <v>134.099796145653</v>
      </c>
      <c r="G64" s="225">
        <f t="array" ref="G64">IFERROR((SUMPRODUCT($D$24:$M$24/(1+G$61)^$D$29:$M$29)+($M$24*(1+$B64)/(G$61-$B64))/(1+G$61)^$M$29-$C$48)/$C$50,"")</f>
        <v>122.006194319793</v>
      </c>
      <c r="H64" s="235">
        <f t="array" ref="H64">IFERROR((SUMPRODUCT($D$24:$M$24/(1+H$61)^$D$29:$M$29)+($M$24*(1+$B64)/(H$61-$B64))/(1+H$61)^$M$29-$C$48)/$C$50,"")</f>
        <v>111.676056633518</v>
      </c>
      <c r="I64" s="192" t="n"/>
      <c r="J64" s="192" t="n"/>
      <c r="K64" s="192" t="n"/>
      <c r="L64" s="192" t="n"/>
      <c r="M64" s="192" t="n"/>
      <c r="N64" s="192" t="n"/>
      <c r="O64" s="192" t="n"/>
      <c r="P64" s="192" t="n"/>
      <c r="Q64" s="192" t="n"/>
    </row>
    <row r="65" ht="15.75" customHeight="1" s="251">
      <c r="A65" s="192" t="n"/>
      <c r="B65" s="232">
        <f>B64+0.005</f>
        <v>0.04</v>
      </c>
      <c r="C65" s="192" t="n"/>
      <c r="D65" s="225">
        <f t="array" ref="D65">IFERROR((SUMPRODUCT($D$24:$M$24/(1+D$61)^$D$29:$M$29)+($M$24*(1+$B65)/(D$61-$B65))/(1+D$61)^$M$29-$C$48)/$C$50,"")</f>
        <v>180.275032455671</v>
      </c>
      <c r="E65" s="225">
        <f t="array" ref="E65">IFERROR((SUMPRODUCT($D$24:$M$24/(1+E$61)^$D$29:$M$29)+($M$24*(1+$B65)/(E$61-$B65))/(1+E$61)^$M$29-$C$48)/$C$50,"")</f>
        <v>159.906669047293</v>
      </c>
      <c r="F65" s="225">
        <f t="array" ref="F65">IFERROR((SUMPRODUCT($D$24:$M$24/(1+F$61)^$D$29:$M$29)+($M$24*(1+$B65)/(F$61-$B65))/(1+F$61)^$M$29-$C$48)/$C$50,"")</f>
        <v>143.294799952674</v>
      </c>
      <c r="G65" s="225">
        <f t="array" ref="G65">IFERROR((SUMPRODUCT($D$24:$M$24/(1+G$61)^$D$29:$M$29)+($M$24*(1+$B65)/(G$61-$B65))/(1+G$61)^$M$29-$C$48)/$C$50,"")</f>
        <v>129.495795157083</v>
      </c>
      <c r="H65" s="235">
        <f t="array" ref="H65">IFERROR((SUMPRODUCT($D$24:$M$24/(1+H$61)^$D$29:$M$29)+($M$24*(1+$B65)/(H$61-$B65))/(1+H$61)^$M$29-$C$48)/$C$50,"")</f>
        <v>117.857424937343</v>
      </c>
      <c r="I65" s="192" t="n"/>
      <c r="J65" s="192" t="n"/>
      <c r="K65" s="192" t="n"/>
      <c r="L65" s="192" t="n"/>
      <c r="M65" s="192" t="n"/>
      <c r="N65" s="192" t="n"/>
      <c r="O65" s="192" t="n"/>
      <c r="P65" s="192" t="n"/>
      <c r="Q65" s="192" t="n"/>
    </row>
    <row r="66" ht="15.75" customHeight="1" s="251">
      <c r="A66" s="192" t="n"/>
      <c r="B66" s="233">
        <f>B64+0.01</f>
        <v>0.045</v>
      </c>
      <c r="C66" s="229" t="n"/>
      <c r="D66" s="230">
        <f t="array" ref="D66">IFERROR((SUMPRODUCT($D$24:$M$24/(1+D$61)^$D$29:$M$29)+($M$24*(1+$B66)/(D$61-$B66))/(1+D$61)^$M$29-$C$48)/$C$50,"")</f>
        <v>198.504709098168</v>
      </c>
      <c r="E66" s="230">
        <f t="array" ref="E66">IFERROR((SUMPRODUCT($D$24:$M$24/(1+E$61)^$D$29:$M$29)+($M$24*(1+$B66)/(E$61-$B66))/(1+E$61)^$M$29-$C$48)/$C$50,"")</f>
        <v>173.933407531447</v>
      </c>
      <c r="F66" s="230">
        <f t="array" ref="F66">IFERROR((SUMPRODUCT($D$24:$M$24/(1+F$61)^$D$29:$M$29)+($M$24*(1+$B66)/(F$61-$B66))/(1+F$61)^$M$29-$C$48)/$C$50,"")</f>
        <v>154.337247338253</v>
      </c>
      <c r="G66" s="230">
        <f t="array" ref="G66">IFERROR((SUMPRODUCT($D$24:$M$24/(1+G$61)^$D$29:$M$29)+($M$24*(1+$B66)/(G$61-$B66))/(1+G$61)^$M$29-$C$48)/$C$50,"")</f>
        <v>138.352822637297</v>
      </c>
      <c r="H66" s="236">
        <f t="array" ref="H66">IFERROR((SUMPRODUCT($D$24:$M$24/(1+H$61)^$D$29:$M$29)+($M$24*(1+$B66)/(H$61-$B66))/(1+H$61)^$M$29-$C$48)/$C$50,"")</f>
        <v>125.072959742564</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(Amazon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0.0947715</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0.12</v>
      </c>
      <c r="D78" s="198" t="inlineStr">
        <is>
          <t>Model adjusted operating income CAGR 2025–30E (~15%): AWS growth on the AI build-out, advertising mix and retail margin expansion, partly offset by rising depreciation</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0.2</v>
      </c>
      <c r="D79" s="198" t="inlineStr">
        <is>
          <t>Advertising, AWS and third-party services earn high incremental returns on a shared logistics / data-centre base; the 2025–27 AI capex wave lowers near-term returns until utilisation catches up</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15</v>
      </c>
      <c r="D80" s="198" t="inlineStr">
        <is>
          <t>Scale in fulfilment, Prime ecosystem, AWS installed base and switching costs sustain a long competitive-advantage period; capital intensity and regulatory risk cap it</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10.5516953936574</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0.5261425</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-26.4067799210768</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-0.407401778464154</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10.7581691033582</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299">
        <f>C83+C87</f>
        <v>21.3098644970156</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2028E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2028E adjusted operating income less cash special charges</t>
        </is>
      </c>
      <c r="C91" s="209">
        <f>Model!CC209-Model!CC211</f>
        <v>160376.095923195</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0.19</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2028E NOPAT</t>
        </is>
      </c>
      <c r="C93" s="211">
        <f>C91*(1-C92)</f>
        <v>129904.637697788</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300">
        <f>C88</f>
        <v>21.3098644970156</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(2028E basis)</t>
        </is>
      </c>
      <c r="C95" s="211">
        <f>C93*C94</f>
        <v>2768250.22687376</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YE2027 net debt + NCI (Model)</t>
        </is>
      </c>
      <c r="C96" s="209">
        <f>Model!CB410+Model!CB333</f>
        <v>0</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2768250.22687376</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2028E (m, Model)</t>
        </is>
      </c>
      <c r="C98" s="212">
        <f>Model!CC417</f>
        <v>11035.5245515481</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2028 ($)</t>
        </is>
      </c>
      <c r="C99" s="213">
        <f>C97/C98</f>
        <v>250.848993533834</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260</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-0.0351961787160233</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2854020</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YE2026 net debt + NCI</t>
        </is>
      </c>
      <c r="C106" s="211">
        <f>C48</f>
        <v>12412.7593013222</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2866432.75930132</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AMZN market-implied EV/NOPAT (on 2028E NOPAT)</t>
        </is>
      </c>
      <c r="C108" s="301">
        <f>C107/C93</f>
        <v>22.0656691716414</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-0.755804674625797</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-0.034252515468561</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Amazon.com, Inc. — Historical Operating Performance (2006–2025)</t>
        </is>
      </c>
    </row>
    <row r="3" ht="15" customHeight="1" s="251">
      <c r="B3" s="4" t="inlineStr">
        <is>
          <t>All historicals · USDm · Linked to Model. Bars = contribution to net-sales growth of North America + International vs AWS (pp; stacked = total growth; AWS a segment from 2015, recast 2013–14, so 2006–13 bars show total growth). Adjusted EBITDA = model definition (operating income + total D&amp;A + Amazon-quantified special items). ROIC / RONTA on adjusted operating income (full-cost); blank (plotted at zero) where invested capital is negative (2006–11, n/m).</t>
        </is>
      </c>
    </row>
    <row r="7" ht="15" customHeight="1" s="251">
      <c r="C7" s="10" t="n">
        <v>2006</v>
      </c>
      <c r="D7" s="10" t="n">
        <v>2007</v>
      </c>
      <c r="E7" s="10" t="n">
        <v>2008</v>
      </c>
      <c r="F7" s="10" t="n">
        <v>2009</v>
      </c>
      <c r="G7" s="10" t="n">
        <v>2010</v>
      </c>
      <c r="H7" s="10" t="n">
        <v>2011</v>
      </c>
      <c r="I7" s="10" t="n">
        <v>2012</v>
      </c>
      <c r="J7" s="10" t="n">
        <v>2013</v>
      </c>
      <c r="K7" s="10" t="n">
        <v>2014</v>
      </c>
      <c r="L7" s="10" t="n">
        <v>2015</v>
      </c>
      <c r="M7" s="10" t="n">
        <v>2016</v>
      </c>
      <c r="N7" s="10" t="n">
        <v>2017</v>
      </c>
      <c r="O7" s="10" t="n">
        <v>2018</v>
      </c>
      <c r="P7" s="10" t="n">
        <v>2019</v>
      </c>
      <c r="Q7" s="10" t="n">
        <v>2020</v>
      </c>
      <c r="R7" s="10" t="n">
        <v>2021</v>
      </c>
      <c r="S7" s="10" t="n">
        <v>2022</v>
      </c>
      <c r="T7" s="10" t="n">
        <v>2023</v>
      </c>
      <c r="U7" s="10" t="n">
        <v>2024</v>
      </c>
      <c r="V7" s="10" t="n">
        <v>2025</v>
      </c>
    </row>
    <row r="8" ht="15" customHeight="1" s="251">
      <c r="B8" t="inlineStr">
        <is>
          <t>North America + International contribution (pp; total growth before 2014)</t>
        </is>
      </c>
      <c r="C8" s="108">
        <f>IFERROR(Model!C85+Model!C86,IFERROR(Model!C231+0,0))</f>
        <v>0</v>
      </c>
      <c r="D8" s="108">
        <f>IFERROR(Model!D85+Model!D86,IFERROR(Model!D231+0,0))</f>
        <v>0.385024740920549</v>
      </c>
      <c r="E8" s="108">
        <f>IFERROR(Model!E85+Model!E86,IFERROR(Model!E231+0,0))</f>
        <v>0.291944725311763</v>
      </c>
      <c r="F8" s="108">
        <f>IFERROR(Model!F85+Model!F86,IFERROR(Model!F231+0,0))</f>
        <v>0.278774913910049</v>
      </c>
      <c r="G8" s="108">
        <f>IFERROR(Model!G85+Model!G86,IFERROR(Model!G231+0,0))</f>
        <v>0.395568974662369</v>
      </c>
      <c r="H8" s="108">
        <f>IFERROR(Model!H85+Model!H86,IFERROR(Model!H231+0,0))</f>
        <v>0.405595836744241</v>
      </c>
      <c r="I8" s="108">
        <f>IFERROR(Model!I85+Model!I86,IFERROR(Model!I231+0,0))</f>
        <v>0.270732366828213</v>
      </c>
      <c r="J8" s="108">
        <f>IFERROR(Model!N85+Model!N86,IFERROR(Model!N231+0,0))</f>
        <v>0.218666623017367</v>
      </c>
      <c r="K8" s="108">
        <f>IFERROR(Model!S85+Model!S86,IFERROR(Model!S231+0,0))</f>
        <v>0.174609144146564</v>
      </c>
      <c r="L8" s="108">
        <f>IFERROR(Model!X85+Model!X86,IFERROR(Model!X231+0,0))</f>
        <v>0.166112284802445</v>
      </c>
      <c r="M8" s="108">
        <f>IFERROR(Model!AC85+Model!AC86,IFERROR(Model!AC231+0,0))</f>
        <v>0.230286152178383</v>
      </c>
      <c r="N8" s="108">
        <f>IFERROR(Model!AH85+Model!AH86,IFERROR(Model!AH231+0,0))</f>
        <v>0.26943016611882</v>
      </c>
      <c r="O8" s="108">
        <f>IFERROR(Model!AM85+Model!AM86,IFERROR(Model!AM231+0,0))</f>
        <v>0.263259982233816</v>
      </c>
      <c r="P8" s="108">
        <f>IFERROR(Model!AR85+Model!AR86,IFERROR(Model!AR231+0,0))</f>
        <v>0.164302859326626</v>
      </c>
      <c r="Q8" s="108">
        <f>IFERROR(Model!AW85+Model!AW86,IFERROR(Model!AW231+0,0))</f>
        <v>0.339360192783454</v>
      </c>
      <c r="R8" s="108">
        <f>IFERROR(Model!BB85+Model!BB86,IFERROR(Model!BB231+0,0))</f>
        <v>0.173354676944755</v>
      </c>
      <c r="S8" s="108">
        <f>IFERROR(Model!BG85+Model!BG86,IFERROR(Model!BG231+0,0))</f>
        <v>0.0559084078651064</v>
      </c>
      <c r="T8" s="108">
        <f>IFERROR(Model!BL85+Model!BL86,IFERROR(Model!BL231+0,0))</f>
        <v>0.0975538101454717</v>
      </c>
      <c r="U8" s="108">
        <f>IFERROR(Model!BQ85+Model!BQ86,IFERROR(Model!BQ231+0,0))</f>
        <v>0.0806823420931305</v>
      </c>
      <c r="V8" s="108">
        <f>IFERROR(Model!BV85+Model!BV86,IFERROR(Model!BV231+0,0))</f>
        <v>0.0905951636390426</v>
      </c>
    </row>
    <row r="9" ht="15" customHeight="1" s="251">
      <c r="B9" t="inlineStr">
        <is>
          <t>AWS contribution (pp)</t>
        </is>
      </c>
      <c r="C9" s="108">
        <f>IFERROR(Model!C87+0,0)</f>
        <v>0</v>
      </c>
      <c r="D9" s="108">
        <f>IFERROR(Model!D87+0,0)</f>
        <v>0</v>
      </c>
      <c r="E9" s="108">
        <f>IFERROR(Model!E87+0,0)</f>
        <v>0</v>
      </c>
      <c r="F9" s="108">
        <f>IFERROR(Model!F87+0,0)</f>
        <v>0</v>
      </c>
      <c r="G9" s="108">
        <f>IFERROR(Model!G87+0,0)</f>
        <v>0</v>
      </c>
      <c r="H9" s="108">
        <f>IFERROR(Model!H87+0,0)</f>
        <v>0</v>
      </c>
      <c r="I9" s="108">
        <f>IFERROR(Model!I87+0,0)</f>
        <v>0</v>
      </c>
      <c r="J9" s="108">
        <f>IFERROR(Model!N87+0,0)</f>
        <v>0</v>
      </c>
      <c r="K9" s="108">
        <f>IFERROR(Model!S87+0,0)</f>
        <v>0.0206307419545479</v>
      </c>
      <c r="L9" s="108">
        <f>IFERROR(Model!X87+0,0)</f>
        <v>0.0363644536341979</v>
      </c>
      <c r="M9" s="108">
        <f>IFERROR(Model!AC87+0,0)</f>
        <v>0.0405491280862755</v>
      </c>
      <c r="N9" s="108">
        <f>IFERROR(Model!AH87+0,0)</f>
        <v>0.0385330950752646</v>
      </c>
      <c r="O9" s="108">
        <f>IFERROR(Model!AM87+0,0)</f>
        <v>0.0460796329821326</v>
      </c>
      <c r="P9" s="108">
        <f>IFERROR(Model!AR87+0,0)</f>
        <v>0.0402383988801436</v>
      </c>
      <c r="Q9" s="108">
        <f>IFERROR(Model!AW87+0,0)</f>
        <v>0.0368741132602791</v>
      </c>
      <c r="R9" s="108">
        <f>IFERROR(Model!BB87+0,0)</f>
        <v>0.0435989887687016</v>
      </c>
      <c r="S9" s="108">
        <f>IFERROR(Model!BG87+0,0)</f>
        <v>0.0380867647747445</v>
      </c>
      <c r="T9" s="108">
        <f>IFERROR(Model!BL87+0,0)</f>
        <v>0.020741931153365</v>
      </c>
      <c r="U9" s="108">
        <f>IFERROR(Model!BQ87+0,0)</f>
        <v>0.029226580373531</v>
      </c>
      <c r="V9" s="108">
        <f>IFERROR(Model!BV87+0,0)</f>
        <v>0.0331823831939043</v>
      </c>
    </row>
    <row r="11" ht="15" customHeight="1" s="251">
      <c r="C11" s="10">
        <f>C7</f>
        <v>2006</v>
      </c>
      <c r="D11" s="10">
        <f>D7</f>
        <v>2007</v>
      </c>
      <c r="E11" s="10">
        <f>E7</f>
        <v>2008</v>
      </c>
      <c r="F11" s="10">
        <f>F7</f>
        <v>2009</v>
      </c>
      <c r="G11" s="10">
        <f>G7</f>
        <v>2010</v>
      </c>
      <c r="H11" s="10">
        <f>H7</f>
        <v>2011</v>
      </c>
      <c r="I11" s="10">
        <f>I7</f>
        <v>2012</v>
      </c>
      <c r="J11" s="10">
        <f>J7</f>
        <v>2013</v>
      </c>
      <c r="K11" s="10">
        <f>K7</f>
        <v>2014</v>
      </c>
      <c r="L11" s="10">
        <f>L7</f>
        <v>2015</v>
      </c>
      <c r="M11" s="10">
        <f>M7</f>
        <v>2016</v>
      </c>
      <c r="N11" s="10">
        <f>N7</f>
        <v>2017</v>
      </c>
      <c r="O11" s="10">
        <f>O7</f>
        <v>2018</v>
      </c>
      <c r="P11" s="10">
        <f>P7</f>
        <v>2019</v>
      </c>
      <c r="Q11" s="10">
        <f>Q7</f>
        <v>2020</v>
      </c>
      <c r="R11" s="10">
        <f>R7</f>
        <v>2021</v>
      </c>
      <c r="S11" s="10">
        <f>S7</f>
        <v>2022</v>
      </c>
      <c r="T11" s="10">
        <f>T7</f>
        <v>2023</v>
      </c>
      <c r="U11" s="10">
        <f>U7</f>
        <v>2024</v>
      </c>
      <c r="V11" s="10">
        <f>V7</f>
        <v>2025</v>
      </c>
    </row>
    <row r="12" ht="15" customHeight="1" s="251">
      <c r="B12" t="inlineStr">
        <is>
          <t>Adjusted EBITDA (model)</t>
        </is>
      </c>
      <c r="C12" s="106">
        <f>Model!C202</f>
        <v>594</v>
      </c>
      <c r="D12" s="106">
        <f>Model!D202</f>
        <v>901</v>
      </c>
      <c r="E12" s="106">
        <f>Model!E202</f>
        <v>1129</v>
      </c>
      <c r="F12" s="106">
        <f>Model!F202</f>
        <v>1507</v>
      </c>
      <c r="G12" s="106">
        <f>Model!G202</f>
        <v>1974</v>
      </c>
      <c r="H12" s="106">
        <f>Model!H202</f>
        <v>1945</v>
      </c>
      <c r="I12" s="106">
        <f>Model!I202</f>
        <v>2835</v>
      </c>
      <c r="J12" s="106">
        <f>Model!N202</f>
        <v>3998</v>
      </c>
      <c r="K12" s="106">
        <f>Model!S202</f>
        <v>4924</v>
      </c>
      <c r="L12" s="106">
        <f>Model!X202</f>
        <v>8514</v>
      </c>
      <c r="M12" s="106">
        <f>Model!AC202</f>
        <v>12302</v>
      </c>
      <c r="N12" s="106">
        <f>Model!AH202</f>
        <v>15584</v>
      </c>
      <c r="O12" s="106">
        <f>Model!AM202</f>
        <v>27762</v>
      </c>
      <c r="P12" s="106">
        <f>Model!AR202</f>
        <v>36330</v>
      </c>
      <c r="Q12" s="106">
        <f>Model!AW202</f>
        <v>48150</v>
      </c>
      <c r="R12" s="106">
        <f>Model!BB202</f>
        <v>59175</v>
      </c>
      <c r="S12" s="106">
        <f>Model!BG202</f>
        <v>56869</v>
      </c>
      <c r="T12" s="106">
        <f>Model!BL202</f>
        <v>86015</v>
      </c>
      <c r="U12" s="106">
        <f>Model!BQ202</f>
        <v>121388</v>
      </c>
      <c r="V12" s="106">
        <f>Model!BV202</f>
        <v>152471</v>
      </c>
    </row>
    <row r="13" ht="15" customHeight="1" s="251">
      <c r="B13" t="inlineStr">
        <is>
          <t>Operating Income (GAAP)</t>
        </is>
      </c>
      <c r="C13" s="106">
        <f>Model!C154</f>
        <v>389</v>
      </c>
      <c r="D13" s="106">
        <f>Model!D154</f>
        <v>655</v>
      </c>
      <c r="E13" s="106">
        <f>Model!E154</f>
        <v>842</v>
      </c>
      <c r="F13" s="106">
        <f>Model!F154</f>
        <v>1129</v>
      </c>
      <c r="G13" s="106">
        <f>Model!G154</f>
        <v>1406</v>
      </c>
      <c r="H13" s="106">
        <f>Model!H154</f>
        <v>862</v>
      </c>
      <c r="I13" s="106">
        <f>Model!I154</f>
        <v>676</v>
      </c>
      <c r="J13" s="106">
        <f>Model!N154</f>
        <v>745</v>
      </c>
      <c r="K13" s="106">
        <f>Model!S154</f>
        <v>178</v>
      </c>
      <c r="L13" s="106">
        <f>Model!X154</f>
        <v>2233</v>
      </c>
      <c r="M13" s="106">
        <f>Model!AC154</f>
        <v>4186</v>
      </c>
      <c r="N13" s="106">
        <f>Model!AH154</f>
        <v>4106</v>
      </c>
      <c r="O13" s="106">
        <f>Model!AM154</f>
        <v>12421</v>
      </c>
      <c r="P13" s="106">
        <f>Model!AR154</f>
        <v>14541</v>
      </c>
      <c r="Q13" s="106">
        <f>Model!AW154</f>
        <v>22899</v>
      </c>
      <c r="R13" s="106">
        <f>Model!BB154</f>
        <v>24879</v>
      </c>
      <c r="S13" s="106">
        <f>Model!BG154</f>
        <v>12248</v>
      </c>
      <c r="T13" s="106">
        <f>Model!BL154</f>
        <v>36852</v>
      </c>
      <c r="U13" s="106">
        <f>Model!BQ154</f>
        <v>68593</v>
      </c>
      <c r="V13" s="106">
        <f>Model!BV154</f>
        <v>79975</v>
      </c>
    </row>
    <row r="14" ht="15" customHeight="1" s="251">
      <c r="B14" t="inlineStr">
        <is>
          <t>Adj. EBITDA Margin %</t>
        </is>
      </c>
      <c r="C14" s="108">
        <f>Model!C242</f>
        <v>0.0554570068154234</v>
      </c>
      <c r="D14" s="108">
        <f>Model!D242</f>
        <v>0.0607347489046175</v>
      </c>
      <c r="E14" s="108">
        <f>Model!E242</f>
        <v>0.0589063967442346</v>
      </c>
      <c r="F14" s="108">
        <f>Model!F242</f>
        <v>0.0614876167938308</v>
      </c>
      <c r="G14" s="108">
        <f>Model!G242</f>
        <v>0.0577125482399719</v>
      </c>
      <c r="H14" s="108">
        <f>Model!H242</f>
        <v>0.0404559352705036</v>
      </c>
      <c r="I14" s="108">
        <f>Model!I242</f>
        <v>0.0464046617452081</v>
      </c>
      <c r="J14" s="108">
        <f>Model!N242</f>
        <v>0.0536990275613818</v>
      </c>
      <c r="K14" s="108">
        <f>Model!S242</f>
        <v>0.0553333033667461</v>
      </c>
      <c r="L14" s="108">
        <f>Model!X242</f>
        <v>0.0795656318337289</v>
      </c>
      <c r="M14" s="108">
        <f>Model!AC242</f>
        <v>0.0904645296976917</v>
      </c>
      <c r="N14" s="108">
        <f>Model!AH242</f>
        <v>0.0876165203018002</v>
      </c>
      <c r="O14" s="108">
        <f>Model!AM242</f>
        <v>0.119208027927707</v>
      </c>
      <c r="P14" s="108">
        <f>Model!AR242</f>
        <v>0.129508559043497</v>
      </c>
      <c r="Q14" s="108">
        <f>Model!AW242</f>
        <v>0.124720253636703</v>
      </c>
      <c r="R14" s="108">
        <f>Model!BB242</f>
        <v>0.125951956272801</v>
      </c>
      <c r="S14" s="108">
        <f>Model!BG242</f>
        <v>0.110643737244228</v>
      </c>
      <c r="T14" s="108">
        <f>Model!BL242</f>
        <v>0.14964725941004</v>
      </c>
      <c r="U14" s="108">
        <f>Model!BQ242</f>
        <v>0.190275550623159</v>
      </c>
      <c r="V14" s="108">
        <f>Model!BV242</f>
        <v>0.212673867801887</v>
      </c>
    </row>
    <row r="15" ht="15" customHeight="1" s="251">
      <c r="B15" t="inlineStr">
        <is>
          <t>GAAP Op. Margin %</t>
        </is>
      </c>
      <c r="C15" s="108">
        <f>Model!C243</f>
        <v>0.0363178041265988</v>
      </c>
      <c r="D15" s="108">
        <f>Model!D243</f>
        <v>0.0441523424334344</v>
      </c>
      <c r="E15" s="108">
        <f>Model!E243</f>
        <v>0.0439319628508818</v>
      </c>
      <c r="F15" s="108">
        <f>Model!F243</f>
        <v>0.0460647109225183</v>
      </c>
      <c r="G15" s="108">
        <f>Model!G243</f>
        <v>0.0411063033563326</v>
      </c>
      <c r="H15" s="108">
        <f>Model!H243</f>
        <v>0.0179295713126859</v>
      </c>
      <c r="I15" s="108">
        <f>Model!I243</f>
        <v>0.0110650974743424</v>
      </c>
      <c r="J15" s="108">
        <f>Model!N243</f>
        <v>0.0100064471068608</v>
      </c>
      <c r="K15" s="108">
        <f>Model!S243</f>
        <v>0.0020002696992853</v>
      </c>
      <c r="L15" s="108">
        <f>Model!X243</f>
        <v>0.0208679887109134</v>
      </c>
      <c r="M15" s="108">
        <f>Model!AC243</f>
        <v>0.0307823541956216</v>
      </c>
      <c r="N15" s="108">
        <f>Model!AH243</f>
        <v>0.0230847941708927</v>
      </c>
      <c r="O15" s="108">
        <f>Model!AM243</f>
        <v>0.0533348791473977</v>
      </c>
      <c r="P15" s="108">
        <f>Model!AR243</f>
        <v>0.0518355066625791</v>
      </c>
      <c r="Q15" s="108">
        <f>Model!AW243</f>
        <v>0.0593139997513366</v>
      </c>
      <c r="R15" s="108">
        <f>Model!BB243</f>
        <v>0.0529540975092695</v>
      </c>
      <c r="S15" s="108">
        <f>Model!BG243</f>
        <v>0.0238295819122422</v>
      </c>
      <c r="T15" s="108">
        <f>Model!BL243</f>
        <v>0.0641144079960333</v>
      </c>
      <c r="U15" s="108">
        <f>Model!BQ243</f>
        <v>0.107519448742004</v>
      </c>
      <c r="V15" s="108">
        <f>Model!BV243</f>
        <v>0.111552967957552</v>
      </c>
    </row>
    <row r="17" ht="15" customHeight="1" s="251">
      <c r="C17" s="10">
        <f>C7</f>
        <v>2006</v>
      </c>
      <c r="D17" s="10">
        <f>D7</f>
        <v>2007</v>
      </c>
      <c r="E17" s="10">
        <f>E7</f>
        <v>2008</v>
      </c>
      <c r="F17" s="10">
        <f>F7</f>
        <v>2009</v>
      </c>
      <c r="G17" s="10">
        <f>G7</f>
        <v>2010</v>
      </c>
      <c r="H17" s="10">
        <f>H7</f>
        <v>2011</v>
      </c>
      <c r="I17" s="10">
        <f>I7</f>
        <v>2012</v>
      </c>
      <c r="J17" s="10">
        <f>J7</f>
        <v>2013</v>
      </c>
      <c r="K17" s="10">
        <f>K7</f>
        <v>2014</v>
      </c>
      <c r="L17" s="10">
        <f>L7</f>
        <v>2015</v>
      </c>
      <c r="M17" s="10">
        <f>M7</f>
        <v>2016</v>
      </c>
      <c r="N17" s="10">
        <f>N7</f>
        <v>2017</v>
      </c>
      <c r="O17" s="10">
        <f>O7</f>
        <v>2018</v>
      </c>
      <c r="P17" s="10">
        <f>P7</f>
        <v>2019</v>
      </c>
      <c r="Q17" s="10">
        <f>Q7</f>
        <v>2020</v>
      </c>
      <c r="R17" s="10">
        <f>R7</f>
        <v>2021</v>
      </c>
      <c r="S17" s="10">
        <f>S7</f>
        <v>2022</v>
      </c>
      <c r="T17" s="10">
        <f>T7</f>
        <v>2023</v>
      </c>
      <c r="U17" s="10">
        <f>U7</f>
        <v>2024</v>
      </c>
      <c r="V17" s="10">
        <f>V7</f>
        <v>2025</v>
      </c>
    </row>
    <row r="18" ht="15" customHeight="1" s="251">
      <c r="B18" t="inlineStr">
        <is>
          <t>ROIC</t>
        </is>
      </c>
      <c r="C18" s="108">
        <f>IFERROR(Model!C392+0,"")</f>
      </c>
      <c r="D18" s="108">
        <f>IFERROR(Model!D392+0,"")</f>
      </c>
      <c r="E18" s="108">
        <f>IFERROR(Model!E392+0,"")</f>
      </c>
      <c r="F18" s="108">
        <f>IFERROR(Model!F392+0,"")</f>
      </c>
      <c r="G18" s="108">
        <f>IFERROR(Model!G392+0,"")</f>
      </c>
      <c r="H18" s="108">
        <f>IFERROR(Model!H392+0,"")</f>
      </c>
      <c r="I18" s="108">
        <f>IFERROR(Model!I392+0,"")</f>
        <v>0.996560196560197</v>
      </c>
      <c r="J18" s="108">
        <f>IFERROR(Model!N392+0,"")</f>
        <v>0.404612246023213</v>
      </c>
      <c r="K18" s="108">
        <f>IFERROR(Model!S392+0,"")</f>
        <v>0.0343408360128617</v>
      </c>
      <c r="L18" s="108">
        <f>IFERROR(Model!X392+0,"")</f>
        <v>0.653879941434846</v>
      </c>
      <c r="M18" s="108">
        <f>IFERROR(Model!AC392+0,"")</f>
        <v>1.2910210482158</v>
      </c>
      <c r="N18" s="108">
        <f>IFERROR(Model!AH392+0,"")</f>
        <v>0.154740503543632</v>
      </c>
      <c r="O18" s="108">
        <f>IFERROR(Model!AM392+0,"")</f>
        <v>0.407881412269949</v>
      </c>
      <c r="P18" s="108">
        <f>IFERROR(Model!AR392+0,"")</f>
        <v>0.380340990024289</v>
      </c>
      <c r="Q18" s="108">
        <f>IFERROR(Model!AW392+0,"")</f>
        <v>0.486325937929823</v>
      </c>
      <c r="R18" s="108">
        <f>IFERROR(Model!BB392+0,"")</f>
        <v>0.248644236752607</v>
      </c>
      <c r="S18" s="108">
        <f>IFERROR(Model!BG392+0,"")</f>
        <v>0.0948621345331513</v>
      </c>
      <c r="T18" s="108">
        <f>IFERROR(Model!BL392+0,"")</f>
        <v>0.166327186784424</v>
      </c>
      <c r="U18" s="108">
        <f>IFERROR(Model!BQ392+0,"")</f>
        <v>0.2439305925651</v>
      </c>
      <c r="V18" s="108">
        <f>IFERROR(Model!BV392+0,"")</f>
        <v>0.195639448701757</v>
      </c>
    </row>
    <row r="19" ht="15" customHeight="1" s="251">
      <c r="B19" t="inlineStr">
        <is>
          <t>RONTA</t>
        </is>
      </c>
      <c r="C19" s="108">
        <f>IFERROR(Model!C404+0,"")</f>
      </c>
      <c r="D19" s="108">
        <f>IFERROR(Model!D404+0,"")</f>
      </c>
      <c r="E19" s="108">
        <f>IFERROR(Model!E404+0,"")</f>
      </c>
      <c r="F19" s="108">
        <f>IFERROR(Model!F404+0,"")</f>
      </c>
      <c r="G19" s="108">
        <f>IFERROR(Model!G404+0,"")</f>
      </c>
      <c r="H19" s="108">
        <f>IFERROR(Model!H404+0,"")</f>
      </c>
      <c r="I19" s="108">
        <f>IFERROR(Model!I404+0,"")</f>
        <v>3.07272727272727</v>
      </c>
      <c r="J19" s="108">
        <f>IFERROR(Model!N404+0,"")</f>
        <v>0.177714848695001</v>
      </c>
      <c r="K19" s="108">
        <f>IFERROR(Model!S404+0,"")</f>
        <v>0.0148312734342452</v>
      </c>
      <c r="L19" s="108">
        <f>IFERROR(Model!X404+0,"")</f>
        <v>0.163072054527751</v>
      </c>
      <c r="M19" s="108">
        <f>IFERROR(Model!AC404+0,"")</f>
        <v>0.243794909720993</v>
      </c>
      <c r="N19" s="108">
        <f>IFERROR(Model!AH404+0,"")</f>
        <v>0.114320636477749</v>
      </c>
      <c r="O19" s="108">
        <f>IFERROR(Model!AM404+0,"")</f>
        <v>0.278184749292322</v>
      </c>
      <c r="P19" s="108">
        <f>IFERROR(Model!AR404+0,"")</f>
        <v>0.1751483273862</v>
      </c>
      <c r="Q19" s="108">
        <f>IFERROR(Model!AW404+0,"")</f>
        <v>0.21144540297825</v>
      </c>
      <c r="R19" s="108">
        <f>IFERROR(Model!BB404+0,"")</f>
        <v>0.136723963162633</v>
      </c>
      <c r="S19" s="108">
        <f>IFERROR(Model!BG404+0,"")</f>
        <v>0.0632076816053588</v>
      </c>
      <c r="T19" s="108">
        <f>IFERROR(Model!BL404+0,"")</f>
        <v>0.115568031457333</v>
      </c>
      <c r="U19" s="108">
        <f>IFERROR(Model!BQ404+0,"")</f>
        <v>0.181298158759627</v>
      </c>
      <c r="V19" s="108">
        <f>IFERROR(Model!BV404+0,"")</f>
        <v>0.152802296873589</v>
      </c>
    </row>
    <row r="20" ht="15" customHeight="1" s="251">
      <c r="B20" t="inlineStr">
        <is>
          <t>Adj. EBITDA margin %</t>
        </is>
      </c>
      <c r="C20" s="108">
        <f>IFERROR(Model!C242+0,NA())</f>
        <v>0.0554570068154234</v>
      </c>
      <c r="D20" s="108">
        <f>IFERROR(Model!D242+0,NA())</f>
        <v>0.0607347489046175</v>
      </c>
      <c r="E20" s="108">
        <f>IFERROR(Model!E242+0,NA())</f>
        <v>0.0589063967442346</v>
      </c>
      <c r="F20" s="108">
        <f>IFERROR(Model!F242+0,NA())</f>
        <v>0.0614876167938308</v>
      </c>
      <c r="G20" s="108">
        <f>IFERROR(Model!G242+0,NA())</f>
        <v>0.0577125482399719</v>
      </c>
      <c r="H20" s="108">
        <f>IFERROR(Model!H242+0,NA())</f>
        <v>0.0404559352705036</v>
      </c>
      <c r="I20" s="108">
        <f>IFERROR(Model!I242+0,NA())</f>
        <v>0.0464046617452081</v>
      </c>
      <c r="J20" s="108">
        <f>IFERROR(Model!N242+0,NA())</f>
        <v>0.0536990275613818</v>
      </c>
      <c r="K20" s="108">
        <f>IFERROR(Model!S242+0,NA())</f>
        <v>0.0553333033667461</v>
      </c>
      <c r="L20" s="108">
        <f>IFERROR(Model!X242+0,NA())</f>
        <v>0.0795656318337289</v>
      </c>
      <c r="M20" s="108">
        <f>IFERROR(Model!AC242+0,NA())</f>
        <v>0.0904645296976917</v>
      </c>
      <c r="N20" s="108">
        <f>IFERROR(Model!AH242+0,NA())</f>
        <v>0.0876165203018002</v>
      </c>
      <c r="O20" s="108">
        <f>IFERROR(Model!AM242+0,NA())</f>
        <v>0.119208027927707</v>
      </c>
      <c r="P20" s="108">
        <f>IFERROR(Model!AR242+0,NA())</f>
        <v>0.129508559043497</v>
      </c>
      <c r="Q20" s="108">
        <f>IFERROR(Model!AW242+0,NA())</f>
        <v>0.124720253636703</v>
      </c>
      <c r="R20" s="108">
        <f>IFERROR(Model!BB242+0,NA())</f>
        <v>0.125951956272801</v>
      </c>
      <c r="S20" s="108">
        <f>IFERROR(Model!BG242+0,NA())</f>
        <v>0.110643737244228</v>
      </c>
      <c r="T20" s="108">
        <f>IFERROR(Model!BL242+0,NA())</f>
        <v>0.14964725941004</v>
      </c>
      <c r="U20" s="108">
        <f>IFERROR(Model!BQ242+0,NA())</f>
        <v>0.190275550623159</v>
      </c>
      <c r="V20" s="108">
        <f>IFERROR(Model!BV242+0,NA())</f>
        <v>0.212673867801887</v>
      </c>
    </row>
    <row r="21" ht="15" customHeight="1" s="251">
      <c r="B21" t="inlineStr">
        <is>
          <t>FCF margin %</t>
        </is>
      </c>
      <c r="C21" s="108">
        <f>IFERROR(Model!C290+0,NA())</f>
        <v>0.0453739146671646</v>
      </c>
      <c r="D21" s="108">
        <f>IFERROR(Model!D290+0,NA())</f>
        <v>0.0796090326929558</v>
      </c>
      <c r="E21" s="108">
        <f>IFERROR(Model!E290+0,NA())</f>
        <v>0.0711676927893144</v>
      </c>
      <c r="F21" s="108">
        <f>IFERROR(Model!F290+0,NA())</f>
        <v>0.119139907788975</v>
      </c>
      <c r="G21" s="108">
        <f>IFERROR(Model!G290+0,NA())</f>
        <v>0.073558648111332</v>
      </c>
      <c r="H21" s="108">
        <f>IFERROR(Model!H290+0,NA())</f>
        <v>0.0435135303783514</v>
      </c>
      <c r="I21" s="108">
        <f>IFERROR(Model!I290+0,NA())</f>
        <v>0.00646555251829179</v>
      </c>
      <c r="J21" s="108">
        <f>IFERROR(Model!N290+0,NA())</f>
        <v>0.027279320904744</v>
      </c>
      <c r="K21" s="108">
        <f>IFERROR(Model!S290+0,NA())</f>
        <v>0.0219018294601519</v>
      </c>
      <c r="L21" s="108">
        <f>IFERROR(Model!X290+0,NA())</f>
        <v>0.0685101769994206</v>
      </c>
      <c r="M21" s="108">
        <f>IFERROR(Model!AC290+0,NA())</f>
        <v>0.0713744696184194</v>
      </c>
      <c r="N21" s="108">
        <f>IFERROR(Model!AH290+0,NA())</f>
        <v>0.0470916307782263</v>
      </c>
      <c r="O21" s="108">
        <f>IFERROR(Model!AM290+0,NA())</f>
        <v>0.0833022023556489</v>
      </c>
      <c r="P21" s="108">
        <f>IFERROR(Model!AR290+0,NA())</f>
        <v>0.0920605157527752</v>
      </c>
      <c r="Q21" s="108">
        <f>IFERROR(Model!AW290+0,NA())</f>
        <v>0.080349372124829</v>
      </c>
      <c r="R21" s="108">
        <f>IFERROR(Model!BB290+0,NA())</f>
        <v>-0.0193030551996288</v>
      </c>
      <c r="S21" s="108">
        <f>IFERROR(Model!BG290+0,NA())</f>
        <v>-0.0225085265465978</v>
      </c>
      <c r="T21" s="108">
        <f>IFERROR(Model!BL290+0,NA())</f>
        <v>0.0640465565385318</v>
      </c>
      <c r="U21" s="108">
        <f>IFERROR(Model!BQ290+0,NA())</f>
        <v>0.0599082386172152</v>
      </c>
      <c r="V21" s="108">
        <f>IFERROR(Model!BV290+0,NA())</f>
        <v>0.0156139283940836</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2026-10-12T23:09:22Z</dcterms:modified>
  <cp:lastModifiedBy>Payton Liske</cp:lastModifiedBy>
  <cp:revision>3</cp:revision>
</cp:coreProperties>
</file>