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505" yWindow="5505" windowWidth="14400" windowHeight="7275" tabRatio="500" firstSheet="0" activeTab="0" autoFilterDateGrouping="1"/>
  </bookViews>
  <sheets>
    <sheet xmlns:r="http://schemas.openxmlformats.org/officeDocument/2006/relationships" name="Model" sheetId="1" state="visible" r:id="rId1"/>
    <sheet xmlns:r="http://schemas.openxmlformats.org/officeDocument/2006/relationships" name="Bull-Base-Bear" sheetId="2" state="visible" r:id="rId2"/>
    <sheet xmlns:r="http://schemas.openxmlformats.org/officeDocument/2006/relationships" name="DCF" sheetId="3" state="visible" r:id="rId3"/>
    <sheet xmlns:r="http://schemas.openxmlformats.org/officeDocument/2006/relationships" name="Charts" sheetId="4" state="visible" r:id="rId4"/>
  </sheets>
  <definedNames/>
  <calcPr calcId="191029" fullCalcOnLoad="1" iterate="1" iterateDelta="0.0001"/>
</workbook>
</file>

<file path=xl/styles.xml><?xml version="1.0" encoding="utf-8"?>
<styleSheet xmlns="http://schemas.openxmlformats.org/spreadsheetml/2006/main">
  <numFmts count="23">
    <numFmt numFmtId="164" formatCode="#,##0.0;\(#,##0.0\);\-"/>
    <numFmt numFmtId="165" formatCode="0%;\(0%\);&quot;n/m&quot;"/>
    <numFmt numFmtId="166" formatCode="0.0%;\(0.0%\);\-"/>
    <numFmt numFmtId="167" formatCode="#,##0;\(#,##0\);\-"/>
    <numFmt numFmtId="168" formatCode="0.00;\(0.00\);\-"/>
    <numFmt numFmtId="169" formatCode="0.000\x;\(0.000&quot;x)&quot;;\-"/>
    <numFmt numFmtId="170" formatCode="0.0\x;\(0.0&quot;x)&quot;;\-"/>
    <numFmt numFmtId="171" formatCode="\+0.0%;\-0.0%"/>
    <numFmt numFmtId="172" formatCode="\+#,##0;\-#,##0"/>
    <numFmt numFmtId="173" formatCode="0.00\x;\(0.00&quot;x)&quot;;\-"/>
    <numFmt numFmtId="174" formatCode="0\d;\(0&quot;)d&quot;;\-"/>
    <numFmt numFmtId="175" formatCode="0%;\(0%\);\-"/>
    <numFmt numFmtId="176" formatCode="0.0\x"/>
    <numFmt numFmtId="177" formatCode="dd\-mmm\-yy"/>
    <numFmt numFmtId="178" formatCode="0.0%"/>
    <numFmt numFmtId="179" formatCode="0.000"/>
    <numFmt numFmtId="180" formatCode="d/mmm/yyyy"/>
    <numFmt numFmtId="181" formatCode="#,##0.0"/>
    <numFmt numFmtId="182" formatCode="0.0%;\(0.0%\)"/>
    <numFmt numFmtId="183" formatCode="0.00\x"/>
    <numFmt numFmtId="184" formatCode="0.0\x;\(0.0\x\)"/>
    <numFmt numFmtId="185" formatCode="&quot;$&quot;#,##0.00;\(&quot;$&quot;#,##0.00\);\-"/>
    <numFmt numFmtId="186" formatCode="#,##0.00;\(#,##0.00\);\-"/>
  </numFmts>
  <fonts count="58">
    <font>
      <name val="Calibri"/>
      <charset val="1"/>
      <family val="2"/>
      <color theme="1"/>
      <sz val="11"/>
    </font>
    <font>
      <name val="Calibri"/>
      <family val="2"/>
      <b val="1"/>
      <color rgb="FFC00000"/>
      <sz val="10"/>
    </font>
    <font>
      <name val="Calibri"/>
      <family val="2"/>
      <b val="1"/>
      <color rgb="FF1F3864"/>
      <sz val="16"/>
    </font>
    <font>
      <name val="Calibri"/>
      <family val="2"/>
      <b val="1"/>
      <color rgb="FF0000FF"/>
      <sz val="12"/>
    </font>
    <font>
      <name val="Calibri"/>
      <family val="2"/>
      <color rgb="FF595959"/>
      <sz val="10"/>
    </font>
    <font>
      <name val="Calibri"/>
      <family val="2"/>
      <color rgb="FFC00000"/>
      <sz val="10"/>
    </font>
    <font>
      <name val="Calibri"/>
      <family val="2"/>
      <b val="1"/>
      <color rgb="FFFFFFFF"/>
      <sz val="12"/>
    </font>
    <font>
      <name val="Calibri"/>
      <family val="2"/>
      <color rgb="FF666666"/>
      <sz val="9"/>
    </font>
    <font>
      <name val="Calibri"/>
      <family val="2"/>
      <b val="1"/>
      <color rgb="FF000000"/>
      <sz val="11"/>
    </font>
    <font>
      <name val="Calibri"/>
      <family val="2"/>
      <b val="1"/>
      <color rgb="FF000000"/>
      <sz val="12"/>
    </font>
    <font>
      <name val="Calibri"/>
      <family val="2"/>
      <sz val="10"/>
    </font>
    <font>
      <name val="Calibri"/>
      <family val="2"/>
      <b val="1"/>
      <color rgb="FFFFFFFF"/>
      <sz val="11"/>
    </font>
    <font>
      <name val="Calibri"/>
      <family val="2"/>
      <b val="1"/>
      <sz val="12"/>
    </font>
    <font>
      <name val="Calibri"/>
      <family val="2"/>
      <color rgb="FF404040"/>
      <sz val="12"/>
    </font>
    <font>
      <name val="Calibri"/>
      <family val="2"/>
      <color rgb="FFA6A6A6"/>
      <sz val="12"/>
    </font>
    <font>
      <name val="Calibri"/>
      <family val="2"/>
      <color rgb="FF000000"/>
      <sz val="12"/>
    </font>
    <font>
      <name val="Calibri"/>
      <family val="2"/>
      <sz val="12"/>
    </font>
    <font>
      <name val="Calibri"/>
      <family val="2"/>
      <color rgb="FF0000FF"/>
      <sz val="12"/>
    </font>
    <font>
      <name val="Calibri"/>
      <family val="2"/>
      <b val="1"/>
      <color rgb="FF595959"/>
      <sz val="12"/>
    </font>
    <font>
      <name val="Arial"/>
      <family val="2"/>
      <sz val="10"/>
    </font>
    <font>
      <name val="Calibri"/>
      <family val="2"/>
      <b val="1"/>
      <color rgb="FF2F3E46"/>
      <sz val="16"/>
    </font>
    <font>
      <name val="Calibri"/>
      <family val="2"/>
      <b val="1"/>
      <color rgb="FF008000"/>
      <sz val="12"/>
    </font>
    <font>
      <name val="Calibri"/>
      <family val="2"/>
      <b val="1"/>
      <color rgb="FF2F3E46"/>
      <sz val="12"/>
    </font>
    <font>
      <name val="Calibri"/>
      <family val="2"/>
      <b val="1"/>
      <color rgb="FFFFFFFF"/>
      <sz val="9"/>
    </font>
    <font>
      <name val="Calibri"/>
      <family val="2"/>
      <color rgb="FF595959"/>
      <sz val="12"/>
    </font>
    <font>
      <name val="Calibri"/>
      <family val="2"/>
      <color rgb="FF008000"/>
      <sz val="12"/>
    </font>
    <font>
      <name val="Calibri"/>
      <family val="2"/>
      <b val="1"/>
      <sz val="14"/>
    </font>
    <font>
      <name val="Calibri"/>
      <charset val="1"/>
      <family val="2"/>
      <color theme="1"/>
      <sz val="11"/>
    </font>
    <font>
      <name val="Calibri"/>
      <family val="2"/>
      <b val="1"/>
      <color rgb="FFFFFFFF"/>
      <sz val="14"/>
    </font>
    <font>
      <name val="Calibri"/>
      <family val="2"/>
      <color theme="1"/>
      <sz val="11"/>
    </font>
    <font>
      <name val="Calibri"/>
      <family val="2"/>
      <color rgb="FF000000"/>
      <sz val="11"/>
    </font>
    <font>
      <name val="Calibri"/>
      <family val="2"/>
      <b val="1"/>
      <color theme="1"/>
      <sz val="11"/>
    </font>
    <font>
      <name val="Calibri"/>
      <family val="2"/>
      <color rgb="FF0000FF"/>
      <sz val="11"/>
    </font>
    <font>
      <name val="Calibri"/>
      <family val="2"/>
      <sz val="11"/>
    </font>
    <font>
      <name val="Calibri"/>
      <family val="2"/>
      <color rgb="FF595959"/>
      <sz val="11"/>
    </font>
    <font>
      <name val="Calibri"/>
      <family val="2"/>
      <b val="1"/>
      <sz val="11"/>
    </font>
    <font>
      <name val="Calibri"/>
      <family val="2"/>
      <color rgb="FF008000"/>
      <sz val="11"/>
    </font>
    <font>
      <name val="Calibri"/>
      <family val="2"/>
      <b val="1"/>
      <color rgb="FF0000FF"/>
      <sz val="11"/>
    </font>
    <font>
      <name val="Calibri"/>
      <charset val="1"/>
      <family val="2"/>
      <color theme="1"/>
      <sz val="10"/>
    </font>
    <font>
      <name val="Calibri"/>
      <family val="2"/>
      <b val="1"/>
      <color rgb="FF666666"/>
      <sz val="12"/>
    </font>
    <font>
      <name val="Calibri"/>
      <family val="2"/>
      <b val="1"/>
      <color rgb="FFC00000"/>
      <sz val="11"/>
    </font>
    <font>
      <name val="Calibri"/>
      <color rgb="FF000000"/>
      <sz val="11"/>
    </font>
    <font>
      <name val="Calibri"/>
      <b val="1"/>
      <color rgb="FFFFFFFF"/>
      <sz val="14"/>
    </font>
    <font>
      <name val="Calibri"/>
      <b val="1"/>
      <color rgb="FFFFFFFF"/>
      <sz val="11"/>
    </font>
    <font>
      <name val="Calibri"/>
      <b val="1"/>
      <color rgb="FFFFFFFF"/>
      <sz val="12"/>
    </font>
    <font>
      <name val="Calibri"/>
      <color rgb="FF000000"/>
      <sz val="12"/>
    </font>
    <font>
      <name val="Calibri"/>
      <color rgb="FF0000FF"/>
      <sz val="12"/>
    </font>
    <font>
      <name val="Calibri"/>
      <color rgb="FF595959"/>
      <sz val="9"/>
    </font>
    <font>
      <name val="Calibri"/>
      <b val="1"/>
      <color rgb="FF000000"/>
      <sz val="12"/>
    </font>
    <font>
      <name val="Calibri"/>
      <color rgb="FF008000"/>
      <sz val="12"/>
    </font>
    <font>
      <name val="Calibri"/>
      <b val="1"/>
      <color rgb="FF000000"/>
      <sz val="11"/>
    </font>
    <font>
      <name val="Calibri"/>
      <b val="1"/>
      <color rgb="FF0000FF"/>
      <sz val="12"/>
    </font>
    <font>
      <name val="Tahoma"/>
      <charset val="1"/>
      <color indexed="81"/>
      <sz val="9"/>
    </font>
    <font>
      <name val="Tahoma"/>
      <charset val="1"/>
      <b val="1"/>
      <color indexed="81"/>
      <sz val="9"/>
    </font>
    <font>
      <name val="Calibri"/>
      <family val="2"/>
      <color rgb="FF2F3E46"/>
      <sz val="12"/>
    </font>
    <font>
      <name val="Calibri"/>
      <color rgb="FFA6A6A6"/>
      <sz val="12"/>
    </font>
    <font>
      <name val="Calibri"/>
      <b val="1"/>
      <i val="1"/>
      <color rgb="FFC00000"/>
      <sz val="10"/>
    </font>
    <font>
      <name val="Calibri"/>
      <color rgb="FF0000FF"/>
      <sz val="11"/>
    </font>
  </fonts>
  <fills count="18">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DE7"/>
        <bgColor indexed="64"/>
      </patternFill>
    </fill>
    <fill>
      <patternFill patternType="solid">
        <fgColor rgb="FF2F3E46"/>
        <bgColor indexed="64"/>
      </patternFill>
    </fill>
    <fill>
      <patternFill patternType="solid">
        <fgColor rgb="FF52796F"/>
        <bgColor indexed="64"/>
      </patternFill>
    </fill>
    <fill>
      <patternFill patternType="solid">
        <fgColor rgb="FFCAD2C5"/>
        <bgColor indexed="64"/>
      </patternFill>
    </fill>
    <fill>
      <patternFill patternType="solid">
        <fgColor rgb="FFFFFF00"/>
        <bgColor indexed="64"/>
      </patternFill>
    </fill>
  </fills>
  <borders count="12">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
      <left/>
      <right/>
      <top/>
      <bottom style="thin">
        <color indexed="64"/>
      </bottom>
      <diagonal/>
    </border>
    <border>
      <left/>
      <right/>
      <top style="thin">
        <color rgb="FF2F3E46"/>
      </top>
      <bottom/>
      <diagonal/>
    </border>
    <border>
      <left/>
      <right/>
      <top/>
      <bottom style="thin">
        <color rgb="FF2F3E46"/>
      </bottom>
      <diagonal/>
    </border>
    <border>
      <left style="thin">
        <color rgb="FF2F3E46"/>
      </left>
      <right/>
      <top style="thin">
        <color rgb="FF2F3E46"/>
      </top>
      <bottom/>
      <diagonal/>
    </border>
    <border>
      <left style="thin">
        <color rgb="FF2F3E46"/>
      </left>
      <right/>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diagonal/>
    </border>
    <border>
      <left/>
      <right style="thin">
        <color rgb="FF2F3E46"/>
      </right>
      <top/>
      <bottom style="thin">
        <color rgb="FF2F3E46"/>
      </bottom>
      <diagonal/>
    </border>
  </borders>
  <cellStyleXfs count="2">
    <xf numFmtId="0" fontId="27" fillId="0" borderId="0"/>
    <xf numFmtId="9" fontId="27" fillId="0" borderId="0"/>
  </cellStyleXfs>
  <cellXfs count="305">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6" borderId="0" applyAlignment="1" pivotButton="0" quotePrefix="0" xfId="0">
      <alignment horizontal="center"/>
    </xf>
    <xf numFmtId="0" fontId="10" fillId="0" borderId="0" pivotButton="0" quotePrefix="0" xfId="0"/>
    <xf numFmtId="0" fontId="11" fillId="7" borderId="0" pivotButton="0" quotePrefix="0" xfId="0"/>
    <xf numFmtId="0" fontId="6" fillId="7" borderId="0" pivotButton="0" quotePrefix="0" xfId="0"/>
    <xf numFmtId="0" fontId="12" fillId="0" borderId="2" pivotButton="0" quotePrefix="0" xfId="0"/>
    <xf numFmtId="164" fontId="3" fillId="0" borderId="2" applyAlignment="1" pivotButton="0" quotePrefix="0" xfId="0">
      <alignment horizontal="right"/>
    </xf>
    <xf numFmtId="164" fontId="9" fillId="2" borderId="2" applyAlignment="1" pivotButton="0" quotePrefix="0" xfId="0">
      <alignment horizontal="right"/>
    </xf>
    <xf numFmtId="0" fontId="10" fillId="2" borderId="0" pivotButton="0" quotePrefix="0" xfId="0"/>
    <xf numFmtId="165" fontId="12" fillId="6" borderId="0" pivotButton="0" quotePrefix="0" xfId="0"/>
    <xf numFmtId="0" fontId="6" fillId="7" borderId="0" applyAlignment="1" pivotButton="0" quotePrefix="0" xfId="0">
      <alignment horizontal="center"/>
    </xf>
    <xf numFmtId="0" fontId="13" fillId="0" borderId="0" pivotButton="0" quotePrefix="0" xfId="0"/>
    <xf numFmtId="166" fontId="14" fillId="0" borderId="0" applyAlignment="1" pivotButton="0" quotePrefix="0" xfId="0">
      <alignment horizontal="right"/>
    </xf>
    <xf numFmtId="166" fontId="15" fillId="2" borderId="0" applyAlignment="1" pivotButton="0" quotePrefix="0" xfId="0">
      <alignment horizontal="right"/>
    </xf>
    <xf numFmtId="0" fontId="16" fillId="0" borderId="0" pivotButton="0" quotePrefix="0" xfId="0"/>
    <xf numFmtId="167" fontId="17" fillId="0" borderId="0" pivotButton="0" quotePrefix="0" xfId="0"/>
    <xf numFmtId="168" fontId="17" fillId="0" borderId="0" applyAlignment="1" pivotButton="0" quotePrefix="0" xfId="0">
      <alignment horizontal="right"/>
    </xf>
    <xf numFmtId="168" fontId="15" fillId="2" borderId="0" applyAlignment="1" pivotButton="0" quotePrefix="0" xfId="0">
      <alignment horizontal="right"/>
    </xf>
    <xf numFmtId="169" fontId="15" fillId="0" borderId="0" applyAlignment="1" pivotButton="0" quotePrefix="0" xfId="0">
      <alignment horizontal="right"/>
    </xf>
    <xf numFmtId="169" fontId="15" fillId="2" borderId="0" applyAlignment="1" pivotButton="0" quotePrefix="0" xfId="0">
      <alignment horizontal="right"/>
    </xf>
    <xf numFmtId="167" fontId="3" fillId="0" borderId="2" applyAlignment="1" pivotButton="0" quotePrefix="0" xfId="0">
      <alignment horizontal="right"/>
    </xf>
    <xf numFmtId="167" fontId="9" fillId="2" borderId="2" applyAlignment="1" pivotButton="0" quotePrefix="0" xfId="0">
      <alignment horizontal="right"/>
    </xf>
    <xf numFmtId="166" fontId="15" fillId="0" borderId="0" pivotButton="0" quotePrefix="0" xfId="0"/>
    <xf numFmtId="167" fontId="17" fillId="0" borderId="0" applyAlignment="1" pivotButton="0" quotePrefix="0" xfId="0">
      <alignment horizontal="right"/>
    </xf>
    <xf numFmtId="167" fontId="15" fillId="2" borderId="0" applyAlignment="1" pivotButton="0" quotePrefix="0" xfId="0">
      <alignment horizontal="right"/>
    </xf>
    <xf numFmtId="166" fontId="15" fillId="0" borderId="0" applyAlignment="1" pivotButton="0" quotePrefix="0" xfId="0">
      <alignment horizontal="right"/>
    </xf>
    <xf numFmtId="166" fontId="12" fillId="6" borderId="0" pivotButton="0" quotePrefix="0" xfId="0"/>
    <xf numFmtId="168" fontId="15" fillId="0" borderId="0" applyAlignment="1" pivotButton="0" quotePrefix="0" xfId="0">
      <alignment horizontal="right"/>
    </xf>
    <xf numFmtId="170" fontId="17" fillId="0" borderId="0" pivotButton="0" quotePrefix="0" xfId="0"/>
    <xf numFmtId="166" fontId="17" fillId="0" borderId="0" applyAlignment="1" pivotButton="0" quotePrefix="0" xfId="0">
      <alignment horizontal="right"/>
    </xf>
    <xf numFmtId="171" fontId="3" fillId="8" borderId="0" applyAlignment="1" pivotButton="0" quotePrefix="0" xfId="0">
      <alignment horizontal="center"/>
    </xf>
    <xf numFmtId="166" fontId="17" fillId="0" borderId="0" pivotButton="0" quotePrefix="0" xfId="0"/>
    <xf numFmtId="167" fontId="9" fillId="0" borderId="2" applyAlignment="1" pivotButton="0" quotePrefix="0" xfId="0">
      <alignment horizontal="right"/>
    </xf>
    <xf numFmtId="167" fontId="15" fillId="0" borderId="0" applyAlignment="1" pivotButton="0" quotePrefix="0" xfId="0">
      <alignment horizontal="right"/>
    </xf>
    <xf numFmtId="164" fontId="17" fillId="0" borderId="0" applyAlignment="1" pivotButton="0" quotePrefix="0" xfId="0">
      <alignment horizontal="right"/>
    </xf>
    <xf numFmtId="166" fontId="3" fillId="2" borderId="0" applyAlignment="1" pivotButton="0" quotePrefix="0" xfId="0">
      <alignment horizontal="right"/>
    </xf>
    <xf numFmtId="1" fontId="3" fillId="2" borderId="0" applyAlignment="1" pivotButton="0" quotePrefix="0" xfId="0">
      <alignment horizontal="right"/>
    </xf>
    <xf numFmtId="1" fontId="15" fillId="2" borderId="0" applyAlignment="1" pivotButton="0" quotePrefix="0" xfId="0">
      <alignment horizontal="right"/>
    </xf>
    <xf numFmtId="167" fontId="3" fillId="2" borderId="0" applyAlignment="1" pivotButton="0" quotePrefix="0" xfId="0">
      <alignment horizontal="right"/>
    </xf>
    <xf numFmtId="172" fontId="3" fillId="8" borderId="0" applyAlignment="1" pivotButton="0" quotePrefix="0" xfId="0">
      <alignment horizontal="center"/>
    </xf>
    <xf numFmtId="167" fontId="15" fillId="0" borderId="0" pivotButton="0" quotePrefix="0" xfId="0"/>
    <xf numFmtId="170" fontId="3" fillId="2" borderId="0" applyAlignment="1" pivotButton="0" quotePrefix="0" xfId="0">
      <alignment horizontal="right"/>
    </xf>
    <xf numFmtId="170" fontId="15" fillId="2" borderId="0" applyAlignment="1" pivotButton="0" quotePrefix="0" xfId="0">
      <alignment horizontal="right"/>
    </xf>
    <xf numFmtId="167" fontId="3" fillId="2" borderId="2" applyAlignment="1" pivotButton="0" quotePrefix="0" xfId="0">
      <alignment horizontal="right"/>
    </xf>
    <xf numFmtId="0" fontId="11" fillId="5" borderId="2" pivotButton="0" quotePrefix="0" xfId="0"/>
    <xf numFmtId="167" fontId="9" fillId="6" borderId="2" applyAlignment="1" pivotButton="0" quotePrefix="0" xfId="0">
      <alignment horizontal="right"/>
    </xf>
    <xf numFmtId="0" fontId="18" fillId="0" borderId="0" pivotButton="0" quotePrefix="0" xfId="0"/>
    <xf numFmtId="167" fontId="3" fillId="6" borderId="2" applyAlignment="1" pivotButton="0" quotePrefix="0" xfId="0">
      <alignment horizontal="right"/>
    </xf>
    <xf numFmtId="164" fontId="15" fillId="2" borderId="0" applyAlignment="1" pivotButton="0" quotePrefix="0" xfId="0">
      <alignment horizontal="right"/>
    </xf>
    <xf numFmtId="168" fontId="9" fillId="6" borderId="2" applyAlignment="1" pivotButton="0" quotePrefix="0" xfId="0">
      <alignment horizontal="right"/>
    </xf>
    <xf numFmtId="168" fontId="9" fillId="0" borderId="2" applyAlignment="1" pivotButton="0" quotePrefix="0" xfId="0">
      <alignment horizontal="right"/>
    </xf>
    <xf numFmtId="168" fontId="9" fillId="2" borderId="2" applyAlignment="1" pivotButton="0" quotePrefix="0" xfId="0">
      <alignment horizontal="right"/>
    </xf>
    <xf numFmtId="164" fontId="15" fillId="0" borderId="0" applyAlignment="1" pivotButton="0" quotePrefix="0" xfId="0">
      <alignment horizontal="right"/>
    </xf>
    <xf numFmtId="173" fontId="15" fillId="0" borderId="0" applyAlignment="1" pivotButton="0" quotePrefix="0" xfId="0">
      <alignment horizontal="right"/>
    </xf>
    <xf numFmtId="173" fontId="15" fillId="2" borderId="0" applyAlignment="1" pivotButton="0" quotePrefix="0" xfId="0">
      <alignment horizontal="right"/>
    </xf>
    <xf numFmtId="164" fontId="3" fillId="2" borderId="0" applyAlignment="1" pivotButton="0" quotePrefix="0" xfId="0">
      <alignment horizontal="right"/>
    </xf>
    <xf numFmtId="174" fontId="15" fillId="0" borderId="0" applyAlignment="1" pivotButton="0" quotePrefix="0" xfId="0">
      <alignment horizontal="right"/>
    </xf>
    <xf numFmtId="174" fontId="3" fillId="2" borderId="0" applyAlignment="1" pivotButton="0" quotePrefix="0" xfId="0">
      <alignment horizontal="right"/>
    </xf>
    <xf numFmtId="0" fontId="13" fillId="8" borderId="0" pivotButton="0" quotePrefix="0" xfId="0"/>
    <xf numFmtId="166" fontId="9" fillId="6" borderId="2" applyAlignment="1" pivotButton="0" quotePrefix="0" xfId="0">
      <alignment horizontal="right"/>
    </xf>
    <xf numFmtId="173" fontId="9" fillId="6" borderId="2" applyAlignment="1" pivotButton="0" quotePrefix="0" xfId="0">
      <alignment horizontal="right"/>
    </xf>
    <xf numFmtId="168" fontId="3" fillId="2" borderId="0" applyAlignment="1" pivotButton="0" quotePrefix="0" xfId="0">
      <alignment horizontal="right"/>
    </xf>
    <xf numFmtId="0" fontId="20" fillId="0" borderId="0" pivotButton="0" quotePrefix="0" xfId="0"/>
    <xf numFmtId="4" fontId="21" fillId="2" borderId="0" pivotButton="0" quotePrefix="0" xfId="0"/>
    <xf numFmtId="0" fontId="22" fillId="6" borderId="0" pivotButton="0" quotePrefix="0" xfId="0"/>
    <xf numFmtId="0" fontId="12" fillId="0" borderId="0" pivotButton="0" quotePrefix="0" xfId="0"/>
    <xf numFmtId="0" fontId="21" fillId="3" borderId="0" pivotButton="0" quotePrefix="0" xfId="0"/>
    <xf numFmtId="0" fontId="23" fillId="5" borderId="0" pivotButton="0" quotePrefix="0" xfId="0"/>
    <xf numFmtId="0" fontId="22" fillId="0" borderId="0" pivotButton="0" quotePrefix="0" xfId="0"/>
    <xf numFmtId="167" fontId="21" fillId="9" borderId="0" pivotButton="0" quotePrefix="0" xfId="0"/>
    <xf numFmtId="167" fontId="21" fillId="2" borderId="0" pivotButton="0" quotePrefix="0" xfId="0"/>
    <xf numFmtId="175" fontId="12" fillId="10" borderId="0" pivotButton="0" quotePrefix="0" xfId="0"/>
    <xf numFmtId="0" fontId="24" fillId="0" borderId="0" pivotButton="0" quotePrefix="0" xfId="0"/>
    <xf numFmtId="175" fontId="24" fillId="9" borderId="0" pivotButton="0" quotePrefix="0" xfId="0"/>
    <xf numFmtId="175" fontId="24" fillId="2" borderId="0" pivotButton="0" quotePrefix="0" xfId="0"/>
    <xf numFmtId="166" fontId="21" fillId="9" borderId="0" pivotButton="0" quotePrefix="0" xfId="0"/>
    <xf numFmtId="166" fontId="21" fillId="2" borderId="0" pivotButton="0" quotePrefix="0" xfId="0"/>
    <xf numFmtId="166" fontId="24" fillId="9" borderId="0" pivotButton="0" quotePrefix="0" xfId="0"/>
    <xf numFmtId="166" fontId="24" fillId="2" borderId="0" pivotButton="0" quotePrefix="0" xfId="0"/>
    <xf numFmtId="166" fontId="24" fillId="11" borderId="0" pivotButton="0" quotePrefix="0" xfId="0"/>
    <xf numFmtId="164" fontId="21" fillId="9" borderId="0" pivotButton="0" quotePrefix="0" xfId="0"/>
    <xf numFmtId="164" fontId="21" fillId="2" borderId="0" pivotButton="0" quotePrefix="0" xfId="0"/>
    <xf numFmtId="168" fontId="21" fillId="9" borderId="0" pivotButton="0" quotePrefix="0" xfId="0"/>
    <xf numFmtId="168" fontId="21" fillId="2" borderId="0" pivotButton="0" quotePrefix="0" xfId="0"/>
    <xf numFmtId="176" fontId="3" fillId="12" borderId="0" pivotButton="0" quotePrefix="0" xfId="0"/>
    <xf numFmtId="167" fontId="6" fillId="5" borderId="0" pivotButton="0" quotePrefix="0" xfId="0"/>
    <xf numFmtId="175" fontId="24" fillId="0" borderId="0" pivotButton="0" quotePrefix="0" xfId="0"/>
    <xf numFmtId="175" fontId="22" fillId="6" borderId="0" pivotButton="0" quotePrefix="0" xfId="0"/>
    <xf numFmtId="168" fontId="24" fillId="9" borderId="0" pivotButton="0" quotePrefix="0" xfId="0"/>
    <xf numFmtId="168" fontId="24" fillId="2" borderId="0" pivotButton="0" quotePrefix="0" xfId="0"/>
    <xf numFmtId="166" fontId="24" fillId="0" borderId="0" pivotButton="0" quotePrefix="0" xfId="0"/>
    <xf numFmtId="173" fontId="24" fillId="9" borderId="0" pivotButton="0" quotePrefix="0" xfId="0"/>
    <xf numFmtId="173" fontId="24" fillId="2" borderId="0" pivotButton="0" quotePrefix="0" xfId="0"/>
    <xf numFmtId="167" fontId="24" fillId="0" borderId="0" pivotButton="0" quotePrefix="0" xfId="0"/>
    <xf numFmtId="173" fontId="24" fillId="0" borderId="0" pivotButton="0" quotePrefix="0" xfId="0"/>
    <xf numFmtId="167" fontId="25" fillId="0" borderId="0" pivotButton="0" quotePrefix="0" xfId="0"/>
    <xf numFmtId="0" fontId="26" fillId="0" borderId="0" pivotButton="0" quotePrefix="0" xfId="0"/>
    <xf numFmtId="166" fontId="25" fillId="0" borderId="0" pivotButton="0" quotePrefix="0" xfId="0"/>
    <xf numFmtId="0" fontId="28" fillId="5" borderId="0" pivotButton="0" quotePrefix="0" xfId="0"/>
    <xf numFmtId="0" fontId="29" fillId="0" borderId="0" pivotButton="0" quotePrefix="0" xfId="0"/>
    <xf numFmtId="177" fontId="29" fillId="0" borderId="0" pivotButton="0" quotePrefix="0" xfId="0"/>
    <xf numFmtId="167" fontId="29" fillId="0" borderId="0" pivotButton="0" quotePrefix="0" xfId="0"/>
    <xf numFmtId="166" fontId="30" fillId="0" borderId="0" pivotButton="0" quotePrefix="0" xfId="0"/>
    <xf numFmtId="178" fontId="29" fillId="0" borderId="0" pivotButton="0" quotePrefix="0" xfId="0"/>
    <xf numFmtId="2" fontId="29" fillId="0" borderId="0" pivotButton="0" quotePrefix="0" xfId="0"/>
    <xf numFmtId="179" fontId="29" fillId="0" borderId="0" pivotButton="0" quotePrefix="0" xfId="0"/>
    <xf numFmtId="167" fontId="30" fillId="0" borderId="0" pivotButton="0" quotePrefix="0" xfId="0"/>
    <xf numFmtId="0" fontId="31" fillId="0" borderId="0" pivotButton="0" quotePrefix="0" xfId="0"/>
    <xf numFmtId="166" fontId="31" fillId="0" borderId="0" pivotButton="0" quotePrefix="0" xfId="0"/>
    <xf numFmtId="166" fontId="29" fillId="0" borderId="0" pivotButton="0" quotePrefix="0" xfId="0"/>
    <xf numFmtId="164" fontId="29" fillId="0" borderId="0" pivotButton="0" quotePrefix="0" xfId="0"/>
    <xf numFmtId="4" fontId="29" fillId="0" borderId="0" pivotButton="0" quotePrefix="0" xfId="0"/>
    <xf numFmtId="178" fontId="32" fillId="0" borderId="0" pivotButton="0" quotePrefix="0" xfId="0"/>
    <xf numFmtId="3" fontId="29" fillId="0" borderId="0" pivotButton="0" quotePrefix="0" xfId="0"/>
    <xf numFmtId="3" fontId="29" fillId="3" borderId="0" pivotButton="0" quotePrefix="0" xfId="0"/>
    <xf numFmtId="176" fontId="29" fillId="0" borderId="0" pivotButton="0" quotePrefix="0" xfId="0"/>
    <xf numFmtId="0" fontId="33" fillId="0" borderId="0" pivotButton="0" quotePrefix="0" xfId="0"/>
    <xf numFmtId="10" fontId="32" fillId="2" borderId="0" pivotButton="0" quotePrefix="0" xfId="0"/>
    <xf numFmtId="0" fontId="34" fillId="0" borderId="0" pivotButton="0" quotePrefix="0" xfId="0"/>
    <xf numFmtId="2" fontId="32" fillId="2" borderId="0" pivotButton="0" quotePrefix="0" xfId="0"/>
    <xf numFmtId="10" fontId="33" fillId="0" borderId="0" pivotButton="0" quotePrefix="0" xfId="0"/>
    <xf numFmtId="0" fontId="35" fillId="0" borderId="0" pivotButton="0" quotePrefix="0" xfId="0"/>
    <xf numFmtId="10" fontId="35" fillId="6" borderId="0" pivotButton="0" quotePrefix="0" xfId="0"/>
    <xf numFmtId="167" fontId="36" fillId="0" borderId="0" pivotButton="0" quotePrefix="0" xfId="0"/>
    <xf numFmtId="0" fontId="35" fillId="6" borderId="0" pivotButton="0" quotePrefix="0" xfId="0"/>
    <xf numFmtId="167" fontId="35" fillId="6" borderId="0" pivotButton="0" quotePrefix="0" xfId="0"/>
    <xf numFmtId="178" fontId="32" fillId="2" borderId="0" pivotButton="0" quotePrefix="0" xfId="0"/>
    <xf numFmtId="178" fontId="30" fillId="2" borderId="0" pivotButton="0" quotePrefix="0" xfId="0"/>
    <xf numFmtId="178" fontId="37" fillId="3" borderId="0" pivotButton="0" quotePrefix="0" xfId="0"/>
    <xf numFmtId="10" fontId="30" fillId="0" borderId="0" pivotButton="0" quotePrefix="0" xfId="0"/>
    <xf numFmtId="1" fontId="32" fillId="2" borderId="0" pivotButton="0" quotePrefix="0" xfId="0"/>
    <xf numFmtId="0" fontId="30" fillId="0" borderId="0" applyAlignment="1" pivotButton="0" quotePrefix="0" xfId="0">
      <alignment horizontal="right"/>
    </xf>
    <xf numFmtId="178" fontId="32" fillId="13" borderId="0" pivotButton="0" quotePrefix="0" xfId="0"/>
    <xf numFmtId="1" fontId="32" fillId="13" borderId="0" pivotButton="0" quotePrefix="0" xfId="0"/>
    <xf numFmtId="0" fontId="38" fillId="2" borderId="0" pivotButton="0" quotePrefix="0" xfId="0"/>
    <xf numFmtId="0" fontId="16" fillId="0" borderId="3" pivotButton="0" quotePrefix="0" xfId="0"/>
    <xf numFmtId="168" fontId="15" fillId="0" borderId="3" applyAlignment="1" pivotButton="0" quotePrefix="0" xfId="0">
      <alignment horizontal="right"/>
    </xf>
    <xf numFmtId="168" fontId="15" fillId="2" borderId="3" applyAlignment="1" pivotButton="0" quotePrefix="0" xfId="0">
      <alignment horizontal="right"/>
    </xf>
    <xf numFmtId="9" fontId="30" fillId="0" borderId="0" applyAlignment="1" pivotButton="0" quotePrefix="0" xfId="1">
      <alignment horizontal="left"/>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6" fillId="5" borderId="0" applyAlignment="1" pivotButton="0" quotePrefix="0" xfId="0">
      <alignment shrinkToFit="1"/>
    </xf>
    <xf numFmtId="0" fontId="0" fillId="2" borderId="0" pivotButton="0" quotePrefix="0" xfId="0"/>
    <xf numFmtId="0" fontId="0" fillId="0" borderId="2" pivotButton="0" quotePrefix="0" xfId="0"/>
    <xf numFmtId="166" fontId="17" fillId="2" borderId="0" applyAlignment="1" pivotButton="0" quotePrefix="0" xfId="0">
      <alignment horizontal="right"/>
    </xf>
    <xf numFmtId="0" fontId="39" fillId="0" borderId="0" pivotButton="0" quotePrefix="0" xfId="0"/>
    <xf numFmtId="0" fontId="0" fillId="2" borderId="2" pivotButton="0" quotePrefix="0" xfId="0"/>
    <xf numFmtId="0" fontId="40" fillId="0" borderId="0" pivotButton="0" quotePrefix="0" xfId="0"/>
    <xf numFmtId="0" fontId="1" fillId="0" borderId="0" pivotButton="0" quotePrefix="0" xfId="0"/>
    <xf numFmtId="0" fontId="0" fillId="6" borderId="2" pivotButton="0" quotePrefix="0" xfId="0"/>
    <xf numFmtId="177" fontId="0" fillId="0" borderId="0" pivotButton="0" quotePrefix="0" xfId="0"/>
    <xf numFmtId="0" fontId="11" fillId="5" borderId="0" pivotButton="0" quotePrefix="0" xfId="0"/>
    <xf numFmtId="0" fontId="11" fillId="5" borderId="0" applyAlignment="1" pivotButton="0" quotePrefix="0" xfId="0">
      <alignment horizontal="right"/>
    </xf>
    <xf numFmtId="166" fontId="8" fillId="0" borderId="0" pivotButton="0" quotePrefix="0" xfId="0"/>
    <xf numFmtId="4" fontId="11" fillId="5" borderId="0" pivotButton="0" quotePrefix="0" xfId="0"/>
    <xf numFmtId="4" fontId="8" fillId="0" borderId="0" pivotButton="0" quotePrefix="0" xfId="0"/>
    <xf numFmtId="178" fontId="8" fillId="0" borderId="0" pivotButton="0" quotePrefix="0" xfId="0"/>
    <xf numFmtId="176" fontId="11" fillId="5" borderId="0" pivotButton="0" quotePrefix="0" xfId="0"/>
    <xf numFmtId="10" fontId="46" fillId="13" borderId="0" pivotButton="0" quotePrefix="0" xfId="0"/>
    <xf numFmtId="2" fontId="46" fillId="13" borderId="0" pivotButton="0" quotePrefix="0" xfId="0"/>
    <xf numFmtId="10" fontId="45" fillId="0" borderId="0" pivotButton="0" quotePrefix="0" xfId="0"/>
    <xf numFmtId="180" fontId="46" fillId="0" borderId="0" applyAlignment="1" pivotButton="0" quotePrefix="0" xfId="0">
      <alignment horizontal="center"/>
    </xf>
    <xf numFmtId="167" fontId="49" fillId="0" borderId="0" pivotButton="0" quotePrefix="0" xfId="0"/>
    <xf numFmtId="167" fontId="45" fillId="0" borderId="0" pivotButton="0" quotePrefix="0" xfId="0"/>
    <xf numFmtId="166" fontId="45" fillId="0" borderId="0" pivotButton="0" quotePrefix="0" xfId="0"/>
    <xf numFmtId="166" fontId="45" fillId="0" borderId="0" applyAlignment="1" pivotButton="0" quotePrefix="0" xfId="0">
      <alignment horizontal="center"/>
    </xf>
    <xf numFmtId="2" fontId="45" fillId="0" borderId="0" pivotButton="0" quotePrefix="0" xfId="0"/>
    <xf numFmtId="167" fontId="48" fillId="0" borderId="0" pivotButton="0" quotePrefix="0" xfId="0"/>
    <xf numFmtId="167" fontId="48" fillId="16" borderId="0" pivotButton="0" quotePrefix="0" xfId="0"/>
    <xf numFmtId="166" fontId="48" fillId="16" borderId="0" pivotButton="0" quotePrefix="0" xfId="0"/>
    <xf numFmtId="166" fontId="48" fillId="16" borderId="0" applyAlignment="1" pivotButton="0" quotePrefix="0" xfId="0">
      <alignment horizontal="center"/>
    </xf>
    <xf numFmtId="178" fontId="46" fillId="13" borderId="0" pivotButton="0" quotePrefix="0" xfId="0"/>
    <xf numFmtId="178" fontId="45" fillId="13" borderId="0" pivotButton="0" quotePrefix="0" xfId="0"/>
    <xf numFmtId="178" fontId="51" fillId="17" borderId="0" pivotButton="0" quotePrefix="0" xfId="0"/>
    <xf numFmtId="179" fontId="45" fillId="0" borderId="0" pivotButton="0" quotePrefix="0" xfId="0"/>
    <xf numFmtId="181" fontId="49" fillId="0" borderId="0" pivotButton="0" quotePrefix="0" xfId="0"/>
    <xf numFmtId="4" fontId="44" fillId="14" borderId="0" pivotButton="0" quotePrefix="0" xfId="0"/>
    <xf numFmtId="4" fontId="49" fillId="0" borderId="0" pivotButton="0" quotePrefix="0" xfId="0"/>
    <xf numFmtId="182" fontId="48" fillId="16" borderId="0" pivotButton="0" quotePrefix="0" xfId="0"/>
    <xf numFmtId="4" fontId="48" fillId="16" borderId="0" pivotButton="0" quotePrefix="0" xfId="0"/>
    <xf numFmtId="1" fontId="46" fillId="13" borderId="0" pivotButton="0" quotePrefix="0" xfId="0"/>
    <xf numFmtId="0" fontId="41" fillId="0" borderId="0" pivotButton="0" quotePrefix="0" xfId="0"/>
    <xf numFmtId="0" fontId="42" fillId="14" borderId="0" pivotButton="0" quotePrefix="0" xfId="0"/>
    <xf numFmtId="0" fontId="43" fillId="14" borderId="0" pivotButton="0" quotePrefix="0" xfId="0"/>
    <xf numFmtId="0" fontId="44" fillId="15" borderId="0" pivotButton="0" quotePrefix="0" xfId="0"/>
    <xf numFmtId="0" fontId="43" fillId="15" borderId="0" pivotButton="0" quotePrefix="0" xfId="0"/>
    <xf numFmtId="0" fontId="45" fillId="0" borderId="0" pivotButton="0" quotePrefix="0" xfId="0"/>
    <xf numFmtId="0" fontId="47" fillId="0" borderId="0" pivotButton="0" quotePrefix="0" xfId="0"/>
    <xf numFmtId="0" fontId="48" fillId="0" borderId="0" pivotButton="0" quotePrefix="0" xfId="0"/>
    <xf numFmtId="0" fontId="48" fillId="16" borderId="0" pivotButton="0" quotePrefix="0" xfId="0"/>
    <xf numFmtId="0" fontId="41" fillId="15" borderId="0" pivotButton="0" quotePrefix="0" xfId="0"/>
    <xf numFmtId="0" fontId="44" fillId="14" borderId="0" pivotButton="0" quotePrefix="0" xfId="0"/>
    <xf numFmtId="0" fontId="44" fillId="14" borderId="0" applyAlignment="1" pivotButton="0" quotePrefix="0" xfId="0">
      <alignment horizontal="center"/>
    </xf>
    <xf numFmtId="0" fontId="43" fillId="14" borderId="0" applyAlignment="1" pivotButton="0" quotePrefix="0" xfId="0">
      <alignment horizontal="center"/>
    </xf>
    <xf numFmtId="0" fontId="47" fillId="0" borderId="0" applyAlignment="1" pivotButton="0" quotePrefix="0" xfId="0">
      <alignment horizontal="right"/>
    </xf>
    <xf numFmtId="0" fontId="50" fillId="0" borderId="0" applyAlignment="1" pivotButton="0" quotePrefix="0" xfId="0">
      <alignment horizontal="centerContinuous"/>
    </xf>
    <xf numFmtId="0" fontId="44" fillId="15" borderId="0" applyAlignment="1" pivotButton="0" quotePrefix="0" xfId="0">
      <alignment horizontal="right"/>
    </xf>
    <xf numFmtId="1" fontId="46" fillId="13" borderId="0" applyAlignment="1" pivotButton="0" quotePrefix="0" xfId="0">
      <alignment horizontal="center"/>
    </xf>
    <xf numFmtId="167" fontId="49" fillId="0" borderId="0" applyAlignment="1" pivotButton="0" quotePrefix="0" xfId="0">
      <alignment horizontal="right"/>
    </xf>
    <xf numFmtId="178" fontId="49" fillId="0" borderId="0" applyAlignment="1" pivotButton="0" quotePrefix="0" xfId="0">
      <alignment horizontal="right"/>
    </xf>
    <xf numFmtId="167" fontId="45" fillId="0" borderId="0" applyAlignment="1" pivotButton="0" quotePrefix="0" xfId="0">
      <alignment horizontal="right"/>
    </xf>
    <xf numFmtId="181" fontId="49" fillId="0" borderId="0" applyAlignment="1" pivotButton="0" quotePrefix="0" xfId="0">
      <alignment horizontal="right"/>
    </xf>
    <xf numFmtId="4" fontId="44" fillId="14" borderId="0" applyAlignment="1" pivotButton="0" quotePrefix="0" xfId="0">
      <alignment horizontal="right"/>
    </xf>
    <xf numFmtId="4" fontId="45" fillId="0" borderId="0" applyAlignment="1" pivotButton="0" quotePrefix="0" xfId="0">
      <alignment horizontal="right"/>
    </xf>
    <xf numFmtId="166" fontId="45" fillId="0" borderId="0" applyAlignment="1" pivotButton="0" quotePrefix="0" xfId="0">
      <alignment horizontal="right"/>
    </xf>
    <xf numFmtId="10" fontId="48" fillId="16" borderId="4" pivotButton="0" quotePrefix="0" xfId="0"/>
    <xf numFmtId="0" fontId="48" fillId="16" borderId="4" pivotButton="0" quotePrefix="0" xfId="0"/>
    <xf numFmtId="0" fontId="50" fillId="16" borderId="4" pivotButton="0" quotePrefix="0" xfId="0"/>
    <xf numFmtId="167" fontId="48" fillId="16" borderId="4" pivotButton="0" quotePrefix="0" xfId="0"/>
    <xf numFmtId="0" fontId="45" fillId="0" borderId="4" pivotButton="0" quotePrefix="0" xfId="0"/>
    <xf numFmtId="0" fontId="41" fillId="0" borderId="4" pivotButton="0" quotePrefix="0" xfId="0"/>
    <xf numFmtId="167" fontId="45" fillId="0" borderId="4" pivotButton="0" quotePrefix="0" xfId="0"/>
    <xf numFmtId="0" fontId="48" fillId="0" borderId="4" pivotButton="0" quotePrefix="0" xfId="0"/>
    <xf numFmtId="167" fontId="48" fillId="0" borderId="4" pivotButton="0" quotePrefix="0" xfId="0"/>
    <xf numFmtId="3" fontId="45" fillId="0" borderId="0" applyAlignment="1" pivotButton="0" quotePrefix="0" xfId="0">
      <alignment horizontal="center"/>
    </xf>
    <xf numFmtId="3" fontId="48" fillId="17" borderId="0" applyAlignment="1" pivotButton="0" quotePrefix="0" xfId="0">
      <alignment horizontal="center"/>
    </xf>
    <xf numFmtId="0" fontId="43" fillId="14" borderId="4" pivotButton="0" quotePrefix="0" xfId="0"/>
    <xf numFmtId="10" fontId="44" fillId="14" borderId="4" applyAlignment="1" pivotButton="0" quotePrefix="0" xfId="0">
      <alignment horizontal="center"/>
    </xf>
    <xf numFmtId="0" fontId="41" fillId="0" borderId="5" pivotButton="0" quotePrefix="0" xfId="0"/>
    <xf numFmtId="3" fontId="45" fillId="0" borderId="5" applyAlignment="1" pivotButton="0" quotePrefix="0" xfId="0">
      <alignment horizontal="center"/>
    </xf>
    <xf numFmtId="0" fontId="44" fillId="14" borderId="6" pivotButton="0" quotePrefix="0" xfId="0"/>
    <xf numFmtId="10" fontId="48" fillId="0" borderId="7" applyAlignment="1" pivotButton="0" quotePrefix="0" xfId="0">
      <alignment horizontal="right"/>
    </xf>
    <xf numFmtId="10" fontId="48" fillId="0" borderId="8" applyAlignment="1" pivotButton="0" quotePrefix="0" xfId="0">
      <alignment horizontal="right"/>
    </xf>
    <xf numFmtId="10" fontId="44" fillId="14" borderId="9" applyAlignment="1" pivotButton="0" quotePrefix="0" xfId="0">
      <alignment horizontal="center"/>
    </xf>
    <xf numFmtId="3" fontId="45" fillId="0" borderId="10" applyAlignment="1" pivotButton="0" quotePrefix="0" xfId="0">
      <alignment horizontal="center"/>
    </xf>
    <xf numFmtId="3" fontId="45" fillId="0" borderId="11" applyAlignment="1" pivotButton="0" quotePrefix="0" xfId="0">
      <alignment horizontal="center"/>
    </xf>
    <xf numFmtId="0" fontId="45" fillId="0" borderId="0" applyAlignment="1" pivotButton="0" quotePrefix="0" xfId="0">
      <alignment horizontal="left" indent="2"/>
    </xf>
    <xf numFmtId="10" fontId="49" fillId="0" borderId="0" applyAlignment="1" pivotButton="0" quotePrefix="0" xfId="0">
      <alignment horizontal="center"/>
    </xf>
    <xf numFmtId="10" fontId="46" fillId="13" borderId="0" applyAlignment="1" pivotButton="0" quotePrefix="0" xfId="0">
      <alignment horizontal="center"/>
    </xf>
    <xf numFmtId="183" fontId="45" fillId="0" borderId="0" applyAlignment="1" pivotButton="0" quotePrefix="0" xfId="0">
      <alignment horizontal="center"/>
    </xf>
    <xf numFmtId="2" fontId="45" fillId="0" borderId="0" applyAlignment="1" pivotButton="0" quotePrefix="0" xfId="0">
      <alignment horizontal="center"/>
    </xf>
    <xf numFmtId="179" fontId="45" fillId="0" borderId="0" applyAlignment="1" pivotButton="0" quotePrefix="0" xfId="0">
      <alignment horizontal="center"/>
    </xf>
    <xf numFmtId="176" fontId="44" fillId="14" borderId="0" applyAlignment="1" pivotButton="0" quotePrefix="0" xfId="0">
      <alignment horizontal="center"/>
    </xf>
    <xf numFmtId="176" fontId="45" fillId="0" borderId="0" applyAlignment="1" pivotButton="0" quotePrefix="0" xfId="0">
      <alignment horizontal="right"/>
    </xf>
    <xf numFmtId="182" fontId="48" fillId="16" borderId="0" applyAlignment="1" pivotButton="0" quotePrefix="0" xfId="0">
      <alignment horizontal="right"/>
    </xf>
    <xf numFmtId="176" fontId="44" fillId="14" borderId="0" applyAlignment="1" pivotButton="0" quotePrefix="0" xfId="0">
      <alignment horizontal="right"/>
    </xf>
    <xf numFmtId="184" fontId="48" fillId="0" borderId="0" applyAlignment="1" pivotButton="0" quotePrefix="0" xfId="0">
      <alignment horizontal="right"/>
    </xf>
    <xf numFmtId="167" fontId="25" fillId="2" borderId="0" pivotButton="0" quotePrefix="0" xfId="0"/>
    <xf numFmtId="185" fontId="25" fillId="2" borderId="0" pivotButton="0" quotePrefix="0" xfId="0"/>
    <xf numFmtId="168" fontId="25" fillId="2" borderId="0" pivotButton="0" quotePrefix="0" xfId="0"/>
    <xf numFmtId="0" fontId="0" fillId="0" borderId="0" pivotButton="0" quotePrefix="0" xfId="0"/>
    <xf numFmtId="0" fontId="54" fillId="0" borderId="0" pivotButton="0" quotePrefix="0" xfId="0"/>
    <xf numFmtId="164" fontId="46" fillId="0" borderId="0" applyAlignment="1" pivotButton="0" quotePrefix="0" xfId="0">
      <alignment horizontal="right"/>
    </xf>
    <xf numFmtId="164" fontId="45" fillId="2" borderId="0" applyAlignment="1" pivotButton="0" quotePrefix="0" xfId="0">
      <alignment horizontal="right"/>
    </xf>
    <xf numFmtId="166" fontId="55" fillId="0" borderId="0" applyAlignment="1" pivotButton="0" quotePrefix="0" xfId="0">
      <alignment horizontal="right"/>
    </xf>
    <xf numFmtId="166" fontId="45" fillId="2" borderId="0" applyAlignment="1" pivotButton="0" quotePrefix="0" xfId="0">
      <alignment horizontal="right"/>
    </xf>
    <xf numFmtId="166" fontId="46" fillId="0" borderId="0" pivotButton="0" quotePrefix="0" xfId="0"/>
    <xf numFmtId="168" fontId="46" fillId="0" borderId="0" pivotButton="0" quotePrefix="0" xfId="0"/>
    <xf numFmtId="167" fontId="46" fillId="0" borderId="0" pivotButton="0" quotePrefix="0" xfId="0"/>
    <xf numFmtId="164" fontId="46" fillId="0" borderId="0" pivotButton="0" quotePrefix="0" xfId="0"/>
    <xf numFmtId="164" fontId="48" fillId="0" borderId="2" applyAlignment="1" pivotButton="0" quotePrefix="0" xfId="0">
      <alignment horizontal="right"/>
    </xf>
    <xf numFmtId="164" fontId="48" fillId="2" borderId="2" applyAlignment="1" pivotButton="0" quotePrefix="0" xfId="0">
      <alignment horizontal="right"/>
    </xf>
    <xf numFmtId="164" fontId="45" fillId="0" borderId="0" applyAlignment="1" pivotButton="0" quotePrefix="0" xfId="0">
      <alignment horizontal="right"/>
    </xf>
    <xf numFmtId="176" fontId="17" fillId="0" borderId="0" pivotButton="0" quotePrefix="0" xfId="0"/>
    <xf numFmtId="166" fontId="51" fillId="2" borderId="0" applyAlignment="1" pivotButton="0" quotePrefix="0" xfId="0">
      <alignment horizontal="right"/>
    </xf>
    <xf numFmtId="164" fontId="51" fillId="2" borderId="0" applyAlignment="1" pivotButton="0" quotePrefix="0" xfId="0">
      <alignment horizontal="right"/>
    </xf>
    <xf numFmtId="166" fontId="46" fillId="0" borderId="0" applyAlignment="1" pivotButton="0" quotePrefix="0" xfId="0">
      <alignment horizontal="right"/>
    </xf>
    <xf numFmtId="167" fontId="51" fillId="2" borderId="0" applyAlignment="1" pivotButton="0" quotePrefix="0" xfId="0">
      <alignment horizontal="right"/>
    </xf>
    <xf numFmtId="167" fontId="45" fillId="2" borderId="0" applyAlignment="1" pivotButton="0" quotePrefix="0" xfId="0">
      <alignment horizontal="right"/>
    </xf>
    <xf numFmtId="173" fontId="51" fillId="2" borderId="0" applyAlignment="1" pivotButton="0" quotePrefix="0" xfId="0">
      <alignment horizontal="right"/>
    </xf>
    <xf numFmtId="167" fontId="51" fillId="2" borderId="2" applyAlignment="1" pivotButton="0" quotePrefix="0" xfId="0">
      <alignment horizontal="right"/>
    </xf>
    <xf numFmtId="167" fontId="48" fillId="2" borderId="2" applyAlignment="1" pivotButton="0" quotePrefix="0" xfId="0">
      <alignment horizontal="right"/>
    </xf>
    <xf numFmtId="0" fontId="51" fillId="2" borderId="0" applyAlignment="1" pivotButton="0" quotePrefix="0" xfId="0">
      <alignment horizontal="right"/>
    </xf>
    <xf numFmtId="164" fontId="48" fillId="6" borderId="2" applyAlignment="1" pivotButton="0" quotePrefix="0" xfId="0">
      <alignment horizontal="right"/>
    </xf>
    <xf numFmtId="164" fontId="41" fillId="2" borderId="0" pivotButton="0" quotePrefix="0" xfId="0"/>
    <xf numFmtId="168" fontId="41" fillId="2" borderId="0" pivotButton="0" quotePrefix="0" xfId="0"/>
    <xf numFmtId="164" fontId="51" fillId="6" borderId="2" applyAlignment="1" pivotButton="0" quotePrefix="0" xfId="0">
      <alignment horizontal="right"/>
    </xf>
    <xf numFmtId="168" fontId="48" fillId="6" borderId="2" applyAlignment="1" pivotButton="0" quotePrefix="0" xfId="0">
      <alignment horizontal="right"/>
    </xf>
    <xf numFmtId="168" fontId="46" fillId="0" borderId="0" applyAlignment="1" pivotButton="0" quotePrefix="0" xfId="0">
      <alignment horizontal="right"/>
    </xf>
    <xf numFmtId="168" fontId="45" fillId="0" borderId="0" applyAlignment="1" pivotButton="0" quotePrefix="0" xfId="0">
      <alignment horizontal="right"/>
    </xf>
    <xf numFmtId="168" fontId="45" fillId="2" borderId="0" applyAlignment="1" pivotButton="0" quotePrefix="0" xfId="0">
      <alignment horizontal="right"/>
    </xf>
    <xf numFmtId="168" fontId="51" fillId="2" borderId="0" applyAlignment="1" pivotButton="0" quotePrefix="0" xfId="0">
      <alignment horizontal="right"/>
    </xf>
    <xf numFmtId="0" fontId="56" fillId="0" borderId="0" pivotButton="0" quotePrefix="0" xfId="0"/>
    <xf numFmtId="164" fontId="51" fillId="0" borderId="2" applyAlignment="1" pivotButton="0" quotePrefix="0" xfId="0">
      <alignment horizontal="right"/>
    </xf>
    <xf numFmtId="173" fontId="45" fillId="0" borderId="0" applyAlignment="1" pivotButton="0" quotePrefix="0" xfId="0">
      <alignment horizontal="right"/>
    </xf>
    <xf numFmtId="173" fontId="45" fillId="2" borderId="0" applyAlignment="1" pivotButton="0" quotePrefix="0" xfId="0">
      <alignment horizontal="right"/>
    </xf>
    <xf numFmtId="186" fontId="45" fillId="2" borderId="0" applyAlignment="1" pivotButton="0" quotePrefix="0" xfId="0">
      <alignment horizontal="right"/>
    </xf>
    <xf numFmtId="186" fontId="51" fillId="2" borderId="0" applyAlignment="1" pivotButton="0" quotePrefix="0" xfId="0">
      <alignment horizontal="right"/>
    </xf>
    <xf numFmtId="174" fontId="45" fillId="0" borderId="0" applyAlignment="1" pivotButton="0" quotePrefix="0" xfId="0">
      <alignment horizontal="right"/>
    </xf>
    <xf numFmtId="174" fontId="51" fillId="2" borderId="0" applyAlignment="1" pivotButton="0" quotePrefix="0" xfId="0">
      <alignment horizontal="right"/>
    </xf>
    <xf numFmtId="0" fontId="57" fillId="0" borderId="0" pivotButton="0" quotePrefix="0" xfId="0"/>
    <xf numFmtId="176" fontId="45" fillId="2" borderId="0" applyAlignment="1" pivotButton="0" quotePrefix="0" xfId="0">
      <alignment horizontal="right"/>
    </xf>
    <xf numFmtId="166" fontId="48" fillId="6" borderId="2" applyAlignment="1" pivotButton="0" quotePrefix="0" xfId="0">
      <alignment horizontal="right"/>
    </xf>
    <xf numFmtId="173" fontId="48" fillId="6" borderId="2" applyAlignment="1" pivotButton="0" quotePrefix="0" xfId="0">
      <alignment horizontal="right"/>
    </xf>
    <xf numFmtId="177" fontId="0" fillId="0" borderId="0" pivotButton="0" quotePrefix="0" xfId="0"/>
    <xf numFmtId="175" fontId="12" fillId="10" borderId="0" pivotButton="0" quotePrefix="0" xfId="0"/>
    <xf numFmtId="175" fontId="24" fillId="9" borderId="0" pivotButton="0" quotePrefix="0" xfId="0"/>
    <xf numFmtId="175" fontId="24" fillId="2" borderId="0" pivotButton="0" quotePrefix="0" xfId="0"/>
    <xf numFmtId="176" fontId="3" fillId="12" borderId="0" pivotButton="0" quotePrefix="0" xfId="0"/>
    <xf numFmtId="175" fontId="24" fillId="0" borderId="0" pivotButton="0" quotePrefix="0" xfId="0"/>
    <xf numFmtId="175" fontId="22" fillId="6" borderId="0" pivotButton="0" quotePrefix="0" xfId="0"/>
    <xf numFmtId="176" fontId="44" fillId="14" borderId="0" applyAlignment="1" pivotButton="0" quotePrefix="0" xfId="0">
      <alignment horizontal="center"/>
    </xf>
    <xf numFmtId="176" fontId="45" fillId="0" borderId="0" applyAlignment="1" pivotButton="0" quotePrefix="0" xfId="0">
      <alignment horizontal="right"/>
    </xf>
    <xf numFmtId="176" fontId="44" fillId="14" borderId="0" applyAlignment="1" pivotButton="0" quotePrefix="0" xfId="0">
      <alignment horizontal="right"/>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Revenue Growth: Constant-Currency Organic vs. Acquisitions, Divestitures &amp; FX, y/y %</a:t>
            </a:r>
          </a:p>
        </c:rich>
      </c:tx>
      <c:overlay val="0"/>
      <c:spPr>
        <a:noFill/>
        <a:ln w="0">
          <a:noFill/>
        </a:ln>
      </c:spPr>
    </c:title>
    <c:autoTitleDeleted val="0"/>
    <c:plotArea>
      <c:layout/>
      <c:barChart>
        <c:barDir val="col"/>
        <c:grouping val="stacked"/>
        <c:varyColors val="0"/>
        <c:ser>
          <c:idx val="0"/>
          <c:order val="0"/>
          <c:tx>
            <c:strRef>
              <c:f>Charts!$B$8</c:f>
            </c:strRef>
          </c:tx>
          <c:spPr>
            <a:solidFill>
              <a:srgbClr val="2F3E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Charts!$C$8:$V$8</c:f>
            </c:numRef>
          </c:val>
          <c:extLst>
            <c:ext xmlns:c16="http://schemas.microsoft.com/office/drawing/2014/chart" uri="{C3380CC4-5D6E-409C-BE32-E72D297353CC}">
              <c16:uniqueId val="{00000000-FF49-44E0-9EFD-670A32200F47}"/>
            </c:ext>
          </c:extLst>
        </c:ser>
        <c:ser>
          <c:idx val="1"/>
          <c:order val="1"/>
          <c:tx>
            <c:strRef>
              <c:f>Charts!$B$9</c:f>
            </c:strRef>
          </c:tx>
          <c:spPr>
            <a:solidFill>
              <a:srgbClr val="84A98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Charts!$C$9:$V$9</c:f>
            </c:numRef>
          </c:val>
          <c:extLst>
            <c:ext xmlns:c16="http://schemas.microsoft.com/office/drawing/2014/chart" uri="{C3380CC4-5D6E-409C-BE32-E72D297353CC}">
              <c16:uniqueId val="{00000001-FF49-44E0-9EFD-670A32200F47}"/>
            </c:ext>
          </c:extLst>
        </c:ser>
        <c:dLbls>
          <c:showLegendKey val="0"/>
          <c:showVal val="0"/>
          <c:showCatName val="0"/>
          <c:showSerName val="0"/>
          <c:showPercent val="0"/>
          <c:showBubbleSize val="0"/>
        </c:dLbls>
        <c:gapWidth val="150"/>
        <c:overlap val="100"/>
        <c:axId val="20044735"/>
        <c:axId val="65342648"/>
      </c:barChart>
      <c:catAx>
        <c:axId val="200447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342648"/>
        <c:crosses val="autoZero"/>
        <c:auto val="1"/>
        <c:lblAlgn val="ctr"/>
        <c:lblOffset val="100"/>
        <c:noMultiLvlLbl val="0"/>
      </c:catAx>
      <c:valAx>
        <c:axId val="6534264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447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Adjusted EBITDA &amp; Income from Operations (USDm)</a:t>
            </a:r>
          </a:p>
        </c:rich>
      </c:tx>
      <c:overlay val="0"/>
      <c:spPr>
        <a:noFill/>
        <a:ln w="0">
          <a:noFill/>
        </a:ln>
      </c:spPr>
    </c:title>
    <c:autoTitleDeleted val="0"/>
    <c:plotArea>
      <c:layout/>
      <c:barChart>
        <c:barDir val="col"/>
        <c:grouping val="clustered"/>
        <c:varyColors val="0"/>
        <c:ser>
          <c:idx val="0"/>
          <c:order val="0"/>
          <c:tx>
            <c:strRef>
              <c:f>Charts!$B$12</c:f>
            </c:strRef>
          </c:tx>
          <c:spPr>
            <a:solidFill>
              <a:srgbClr val="A8C5D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Charts!$C$12:$V$12</c:f>
            </c:numRef>
          </c:val>
          <c:extLst>
            <c:ext xmlns:c16="http://schemas.microsoft.com/office/drawing/2014/chart" uri="{C3380CC4-5D6E-409C-BE32-E72D297353CC}">
              <c16:uniqueId val="{00000000-70F1-4400-9151-F0905619F4D5}"/>
            </c:ext>
          </c:extLst>
        </c:ser>
        <c:ser>
          <c:idx val="1"/>
          <c:order val="1"/>
          <c:tx>
            <c:strRef>
              <c:f>Charts!$B$13</c:f>
            </c:strRef>
          </c:tx>
          <c:spPr>
            <a:solidFill>
              <a:srgbClr val="1F4E7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Charts!$C$13:$V$13</c:f>
            </c:numRef>
          </c:val>
          <c:extLst>
            <c:ext xmlns:c16="http://schemas.microsoft.com/office/drawing/2014/chart" uri="{C3380CC4-5D6E-409C-BE32-E72D297353CC}">
              <c16:uniqueId val="{00000001-70F1-4400-9151-F0905619F4D5}"/>
            </c:ext>
          </c:extLst>
        </c:ser>
        <c:dLbls>
          <c:showLegendKey val="0"/>
          <c:showVal val="0"/>
          <c:showCatName val="0"/>
          <c:showSerName val="0"/>
          <c:showPercent val="0"/>
          <c:showBubbleSize val="0"/>
        </c:dLbls>
        <c:gapWidth val="150"/>
        <c:axId val="22608424"/>
        <c:axId val="81960370"/>
      </c:barChart>
      <c:lineChart>
        <c:grouping val="standard"/>
        <c:varyColors val="0"/>
        <c:ser>
          <c:idx val="2"/>
          <c:order val="2"/>
          <c:tx>
            <c:strRef>
              <c:f>Charts!$B$14</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Charts!$C$14:$V$14</c:f>
            </c:numRef>
          </c:val>
          <c:smooth val="1"/>
          <c:extLst>
            <c:ext xmlns:c16="http://schemas.microsoft.com/office/drawing/2014/chart" uri="{C3380CC4-5D6E-409C-BE32-E72D297353CC}">
              <c16:uniqueId val="{00000002-70F1-4400-9151-F0905619F4D5}"/>
            </c:ext>
          </c:extLst>
        </c:ser>
        <c:ser>
          <c:idx val="3"/>
          <c:order val="3"/>
          <c:tx>
            <c:strRef>
              <c:f>Charts!$B$15</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Charts!$C$15:$V$15</c:f>
            </c:numRef>
          </c:val>
          <c:smooth val="1"/>
          <c:extLst>
            <c:ext xmlns:c16="http://schemas.microsoft.com/office/drawing/2014/chart" uri="{C3380CC4-5D6E-409C-BE32-E72D297353CC}">
              <c16:uniqueId val="{00000003-70F1-4400-9151-F0905619F4D5}"/>
            </c:ext>
          </c:extLst>
        </c:ser>
        <c:dLbls>
          <c:showLegendKey val="0"/>
          <c:showVal val="0"/>
          <c:showCatName val="0"/>
          <c:showSerName val="0"/>
          <c:showPercent val="0"/>
          <c:showBubbleSize val="0"/>
        </c:dLbls>
        <c:hiLowLines>
          <c:spPr>
            <a:ln w="0">
              <a:noFill/>
            </a:ln>
          </c:spPr>
        </c:hiLowLines>
        <c:marker val="1"/>
        <c:smooth val="0"/>
        <c:axId val="99874911"/>
        <c:axId val="65694817"/>
      </c:lineChart>
      <c:catAx>
        <c:axId val="226084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60370"/>
        <c:crosses val="autoZero"/>
        <c:auto val="1"/>
        <c:lblAlgn val="ctr"/>
        <c:lblOffset val="100"/>
        <c:noMultiLvlLbl val="0"/>
      </c:catAx>
      <c:valAx>
        <c:axId val="8196037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608424"/>
        <c:crosses val="autoZero"/>
        <c:crossBetween val="between"/>
      </c:valAx>
      <c:catAx>
        <c:axId val="998749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94817"/>
        <c:crosses val="autoZero"/>
        <c:auto val="1"/>
        <c:lblAlgn val="ctr"/>
        <c:lblOffset val="100"/>
        <c:noMultiLvlLbl val="0"/>
      </c:catAx>
      <c:valAx>
        <c:axId val="6569481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74911"/>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Returns Profile: ROIC, RONTA, Adjusted EBITDA Margin &amp; FCF Margin</a:t>
            </a:r>
          </a:p>
        </c:rich>
      </c:tx>
      <c:overlay val="0"/>
      <c:spPr>
        <a:noFill/>
        <a:ln w="0">
          <a:noFill/>
        </a:ln>
      </c:spPr>
    </c:title>
    <c:autoTitleDeleted val="0"/>
    <c:plotArea>
      <c:layout/>
      <c:lineChart>
        <c:grouping val="standard"/>
        <c:varyColors val="0"/>
        <c:ser>
          <c:idx val="0"/>
          <c:order val="0"/>
          <c:tx>
            <c:strRef>
              <c:f>Charts!$B$18</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Charts!$C$18:$V$18</c:f>
            </c:numRef>
          </c:val>
          <c:smooth val="1"/>
          <c:extLst>
            <c:ext xmlns:c16="http://schemas.microsoft.com/office/drawing/2014/chart" uri="{C3380CC4-5D6E-409C-BE32-E72D297353CC}">
              <c16:uniqueId val="{00000000-D2EB-4AF7-A066-6A1A3BE056BF}"/>
            </c:ext>
          </c:extLst>
        </c:ser>
        <c:ser>
          <c:idx val="1"/>
          <c:order val="1"/>
          <c:tx>
            <c:strRef>
              <c:f>Charts!$B$19</c:f>
            </c:strRef>
          </c:tx>
          <c:spPr>
            <a:ln w="28440">
              <a:solidFill>
                <a:srgbClr val="84A98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Charts!$C$19:$V$19</c:f>
            </c:numRef>
          </c:val>
          <c:smooth val="1"/>
          <c:extLst>
            <c:ext xmlns:c16="http://schemas.microsoft.com/office/drawing/2014/chart" uri="{C3380CC4-5D6E-409C-BE32-E72D297353CC}">
              <c16:uniqueId val="{00000001-D2EB-4AF7-A066-6A1A3BE056BF}"/>
            </c:ext>
          </c:extLst>
        </c:ser>
        <c:ser>
          <c:idx val="2"/>
          <c:order val="2"/>
          <c:tx>
            <c:strRef>
              <c:f>Charts!$B$20</c:f>
            </c:strRef>
          </c:tx>
          <c:spPr>
            <a:ln w="28440">
              <a:solidFill>
                <a:srgbClr val="1F4E7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Charts!$C$20:$V$20</c:f>
            </c:numRef>
          </c:val>
          <c:smooth val="1"/>
          <c:extLst>
            <c:ext xmlns:c16="http://schemas.microsoft.com/office/drawing/2014/chart" uri="{C3380CC4-5D6E-409C-BE32-E72D297353CC}">
              <c16:uniqueId val="{00000002-D2EB-4AF7-A066-6A1A3BE056BF}"/>
            </c:ext>
          </c:extLst>
        </c:ser>
        <c:ser>
          <c:idx val="3"/>
          <c:order val="3"/>
          <c:tx>
            <c:strRef>
              <c:f>Charts!$B$21</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Charts!$C$21:$V$21</c:f>
            </c:numRef>
          </c:val>
          <c:smooth val="1"/>
          <c:extLst>
            <c:ext xmlns:c16="http://schemas.microsoft.com/office/drawing/2014/chart" uri="{C3380CC4-5D6E-409C-BE32-E72D297353CC}">
              <c16:uniqueId val="{00000003-D2EB-4AF7-A066-6A1A3BE056BF}"/>
            </c:ext>
          </c:extLst>
        </c:ser>
        <c:dLbls>
          <c:showLegendKey val="0"/>
          <c:showVal val="0"/>
          <c:showCatName val="0"/>
          <c:showSerName val="0"/>
          <c:showPercent val="0"/>
          <c:showBubbleSize val="0"/>
        </c:dLbls>
        <c:hiLowLines>
          <c:spPr>
            <a:ln w="0">
              <a:noFill/>
            </a:ln>
          </c:spPr>
        </c:hiLowLines>
        <c:smooth val="0"/>
        <c:axId val="27004353"/>
        <c:axId val="61682655"/>
      </c:lineChart>
      <c:catAx>
        <c:axId val="270043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682655"/>
        <c:crosses val="autoZero"/>
        <c:auto val="1"/>
        <c:lblAlgn val="ctr"/>
        <c:lblOffset val="100"/>
        <c:noMultiLvlLbl val="0"/>
      </c:catAx>
      <c:valAx>
        <c:axId val="616826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043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STE model</author>
  </authors>
  <commentList>
    <comment ref="AU2" authorId="0" shapeId="0">
      <text>
        <t>Scenario toggle. Choose Bull / Base / Bear. Drives: FY27 revenue-growth and adjusted-EPS outlook end-points (high / mid / low), Q2–Q4/27E buybacks, 2028E–2031E segment revenue-by-type growth, segment margins, M&amp;A spend and the leverage target for 2028E+ buybacks (scenario table BC:BG).</t>
      </text>
    </comment>
    <comment ref="B11" authorId="0" shapeId="0">
      <text>
        <t>Source: STERIS earnings releases (Form 8-K Ex. 99.1) — "Unaudited Supplemental Financial Data" revenue by type per segment (Healthcare Products + Healthcare Specialty Services (all service) FY2016–20; FY2017 from the FY2018 release comparative, scaled to the original segment revenue).</t>
      </text>
    </comment>
    <comment ref="B26" authorId="0" shapeId="0">
      <text>
        <t>Source: STERIS earnings releases (Form 8-K Ex. 99.1) — Segment Data ("income from operations before adjustments"); FY2012–15: adjusted segment operating income from the Non-GAAP reconciliation tables.</t>
      </text>
    </comment>
    <comment ref="B95" authorId="0" shapeId="0">
      <text>
        <t>Source: STERIS earnings releases (Form 8-K Ex. 99.1) — Non-GAAP table "Impact of Acquisitions / Divestitures / Foreign Currency Movements" (published from FY2017).</t>
      </text>
    </comment>
    <comment ref="B142" authorId="0" shapeId="0">
      <text>
        <t>Source: 10-K / 10-Q cash-flow statements via SEC XBRL (DepreciationDepletionAndAmortization, year to date as first filed; discrete quarters derived).</t>
      </text>
    </comment>
    <comment ref="B159" authorId="0" shapeId="0">
      <text>
        <t>Source: release consolidated condensed statements of operations (FY2012–FY2022 and FY2025+ as reported). FY2023 quarters: Dental discontinued-operations recast in the Q4 FY24 release (8-May-2024; opex lines derived — R&amp;D / restructuring / other scaled to the FY2023 restated totals, SG&amp;A plug); Q4 FY23 / FY2023 and FY2024: Q4 FY24 release; Q1–Q3 FY24: comparatives in the Q1–Q3 FY25 releases.</t>
      </text>
    </comment>
    <comment ref="B185" authorId="0" shapeId="0">
      <text>
        <t>Source: STERIS earnings releases (Form 8-K Ex. 99.1) — statements of operations (weighted average shares). STERIS Corp common shares to Nov-2015; STERIS plc (UK) to Mar-2019; STERIS plc (Ireland) since.</t>
      </text>
    </comment>
    <comment ref="B210" authorId="0" shapeId="0">
      <text>
        <t>Source: STERIS earnings releases (Form 8-K Ex. 99.1) — Non-GAAP Financial Measures ("Income from Operations" adjusted column; FY2012–15 vertical reconciliation "Adjusted operating income").</t>
      </text>
    </comment>
    <comment ref="C212" authorId="0" shapeId="0">
      <text>
        <t>Segment operating income published on a GAAP basis; the adjusted segment figures from the Non-GAAP tables are used. Healthcare revenue net of the SYSTEM 1 rebate program.</t>
      </text>
    </comment>
    <comment ref="R212" authorId="0" shapeId="0">
      <text>
        <t>FY2023 Q1–Q3: GAAP and adjusted totals from the recast; segment lines from the original releases (Healthcare, AST and Life Sciences unaffected); corporate = adjusted OI − segments.</t>
      </text>
    </comment>
    <comment ref="B252" authorId="0" shapeId="0">
      <text>
        <t>Source: STERIS earnings releases (Form 8-K Ex. 99.1) — Non-GAAP Financial Measures (adjusted diluted EPS; from Q4 FY24: continuing operations).</t>
      </text>
    </comment>
    <comment ref="B260" authorId="0" shapeId="0">
      <text>
        <t>Source: Q4 FY24 release "Adjusted Quarterly Results (Non-GAAP)" recast tables (income from discontinued operations, net of tax, adjusted) and Non-GAAP tables.</t>
      </text>
    </comment>
    <comment ref="B262" authorId="0" shapeId="0">
      <text>
        <t>Source: STERIS earnings releases (Form 8-K Ex. 99.1) — adjusted EPS as originally reported, incl. Dental (Q1 FY23 – Q3 FY24 releases); Q4 FY24 / FY2024: total company adjusted EPS in the Q4 FY24 release.</t>
      </text>
    </comment>
    <comment ref="B286" authorId="0" shapeId="0">
      <text>
        <t>Source: release cash-flow statements (year to date; discrete quarters derived, Q4 = FY − 9M); D&amp;A, share-based compensation and deferred taxes from the 10-K / 10-Q (XBRL).</t>
      </text>
    </comment>
    <comment ref="B337" authorId="0" shapeId="0">
      <text>
        <t>Source: release condensed balance sheets (quarter ends); goodwill / intangibles split FY2012–15 and noncontrolling interests / shares outstanding from XBRL.</t>
      </text>
    </comment>
    <comment ref="B379" authorId="0" shapeId="0">
      <text>
        <t>Source: FY2016 10-K Note 3 (Synergy, preliminary); FY2023 10-K Note 2 (Cantel, final); FY2024 10-K Note 2 (BD surgical instrumentation, final).</t>
      </text>
    </comment>
    <comment ref="B394" authorId="0" shapeId="0">
      <text>
        <t>Source: release balance sheets; FY2026 10-K Note 8 (Debt).</t>
      </text>
    </comment>
  </commentList>
</comments>
</file>

<file path=xl/comments/comment2.xml><?xml version="1.0" encoding="utf-8"?>
<comments xmlns="http://schemas.openxmlformats.org/spreadsheetml/2006/main">
  <authors>
    <author>Unknown Author</author>
    <author>User</author>
  </authors>
  <commentList>
    <comment ref="N26" authorId="0" shapeId="0">
      <text>
        <t>P/E on adjusted EPS (continuing operations). MLM has traded at ~25–35x NTM EPS over 2019–26 (≈28x 2027E adjusted EPS at $518.70). Base 26x, Bull 30x, Bear 21x applied to 2028E–2030E.</t>
      </text>
    </comment>
    <comment ref="P40" authorId="1" shapeId="0">
      <text>
        <t>User:
Snapshot (values) of Model rows 290–292 (Share Buyback Schedule) with Model!CF2 = Bull, captured 6-Oct-2026. Base panel (D40:H42) is live-linked.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1</col>
      <colOff>0</colOff>
      <row>22</row>
      <rowOff>160560</rowOff>
    </from>
    <to>
      <col>12</col>
      <colOff>543600</colOff>
      <row>37</row>
      <rowOff>2160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43</row>
      <rowOff>160560</rowOff>
    </from>
    <to>
      <col>12</col>
      <colOff>543600</colOff>
      <row>58</row>
      <rowOff>1800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64</row>
      <rowOff>160560</rowOff>
    </from>
    <to>
      <col>12</col>
      <colOff>543600</colOff>
      <row>79</row>
      <rowOff>2160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BG460"/>
  <sheetViews>
    <sheetView showGridLines="0" tabSelected="1" zoomScale="70" zoomScaleNormal="70" workbookViewId="0">
      <pane xSplit="2" ySplit="7" topLeftCell="C8" activePane="bottomRight" state="frozen"/>
      <selection pane="topRight" activeCell="A1" sqref="A1"/>
      <selection pane="bottomLeft" activeCell="A1" sqref="A1"/>
      <selection pane="bottomRight" activeCell="C1" sqref="C1"/>
      <selection pane="bottomLeft" activeCell="A8" sqref="A8"/>
      <selection pane="bottomRight" activeCell="CA164" sqref="CA164"/>
    </sheetView>
  </sheetViews>
  <sheetFormatPr baseColWidth="8" defaultColWidth="8.5703125" defaultRowHeight="15" outlineLevelRow="2"/>
  <cols>
    <col width="2.42578125" customWidth="1" style="251" min="1" max="1"/>
    <col width="62" customWidth="1" style="251" min="2" max="2"/>
    <col width="13" customWidth="1" style="251" min="3" max="3"/>
    <col width="13" customWidth="1" style="251" min="4" max="4"/>
    <col width="13" customWidth="1" style="251" min="5" max="5"/>
    <col width="13" customWidth="1" style="251" min="6" max="6"/>
    <col width="13" customWidth="1" style="251" min="7" max="7"/>
    <col width="13" customWidth="1" style="251" min="8" max="8"/>
    <col width="13" customWidth="1" style="251" min="9" max="9"/>
    <col width="13" customWidth="1" style="251" min="10" max="10"/>
    <col width="13" customWidth="1" style="251" min="11" max="11"/>
    <col width="13" customWidth="1" style="251" min="12" max="12"/>
    <col hidden="1" outlineLevel="1" width="9.5703125" customWidth="1" style="251" min="13" max="13"/>
    <col hidden="1" outlineLevel="1" width="9.5703125" customWidth="1" style="251" min="14" max="14"/>
    <col hidden="1" outlineLevel="1" width="9.5703125" customWidth="1" style="251" min="15" max="15"/>
    <col hidden="1" outlineLevel="1" width="9.5703125" customWidth="1" style="251" min="16" max="16"/>
    <col width="13" customWidth="1" style="251" min="17" max="17"/>
    <col hidden="1" outlineLevel="1" width="9.5703125" customWidth="1" style="251" min="18" max="18"/>
    <col hidden="1" outlineLevel="1" width="9.5703125" customWidth="1" style="251" min="19" max="19"/>
    <col hidden="1" outlineLevel="1" width="9.5703125" customWidth="1" style="251" min="20" max="20"/>
    <col hidden="1" outlineLevel="1" width="9.5703125" customWidth="1" style="251" min="21" max="21"/>
    <col width="13" customWidth="1" style="251" min="22" max="22"/>
    <col hidden="1" outlineLevel="1" width="9.5703125" customWidth="1" style="251" min="23" max="23"/>
    <col hidden="1" outlineLevel="1" width="9.5703125" customWidth="1" style="251" min="24" max="24"/>
    <col hidden="1" outlineLevel="1" width="9.5703125" customWidth="1" style="251" min="25" max="25"/>
    <col hidden="1" outlineLevel="1" width="9.5703125" customWidth="1" style="251" min="26" max="26"/>
    <col width="13" customWidth="1" style="251" min="27" max="27"/>
    <col hidden="1" outlineLevel="1" width="9.5703125" customWidth="1" style="251" min="28" max="28"/>
    <col hidden="1" outlineLevel="1" width="9.5703125" customWidth="1" style="251" min="29" max="29"/>
    <col hidden="1" outlineLevel="1" width="9.5703125" customWidth="1" style="251" min="30" max="30"/>
    <col hidden="1" outlineLevel="1" width="9.5703125" customWidth="1" style="251" min="31" max="31"/>
    <col width="13" customWidth="1" style="251" min="32" max="32"/>
    <col hidden="1" outlineLevel="1" width="9.5703125" customWidth="1" style="251" min="33" max="33"/>
    <col hidden="1" outlineLevel="1" width="9.5703125" customWidth="1" style="251" min="34" max="34"/>
    <col hidden="1" outlineLevel="1" width="9.5703125" customWidth="1" style="251" min="35" max="35"/>
    <col hidden="1" outlineLevel="1" width="9.5703125" customWidth="1" style="251" min="36" max="36"/>
    <col width="13" customWidth="1" style="251" min="37" max="37"/>
    <col hidden="1" outlineLevel="1" width="9.5703125" customWidth="1" style="251" min="38" max="38"/>
    <col hidden="1" outlineLevel="1" width="11.42578125" customWidth="1" style="251" min="39" max="39"/>
    <col hidden="1" outlineLevel="1" width="11.42578125" customWidth="1" style="251" min="40" max="40"/>
    <col hidden="1" outlineLevel="1" width="11.42578125" customWidth="1" style="251" min="41" max="41"/>
    <col width="14.140625" customWidth="1" style="251" min="42" max="42"/>
    <col width="13" customWidth="1" style="251" min="43" max="43"/>
    <col width="13" customWidth="1" style="251" min="44" max="44"/>
    <col width="13" customWidth="1" style="251" min="45" max="45"/>
    <col width="13" customWidth="1" style="251" min="46" max="46"/>
    <col width="86.85546875" customWidth="1" style="251" min="47" max="47"/>
    <col width="2" customWidth="1" style="251" min="48" max="48"/>
    <col width="14.140625" customWidth="1" style="251" min="49" max="49"/>
    <col width="12.42578125" customWidth="1" style="251" min="50" max="50"/>
    <col width="13.42578125" customWidth="1" style="251" min="51" max="51"/>
    <col width="13" customWidth="1" style="251" min="52" max="52"/>
    <col width="2" customWidth="1" style="251" min="53" max="53"/>
    <col width="6" customWidth="1" style="251" min="54" max="54"/>
    <col width="46" customWidth="1" style="251" min="55" max="55"/>
    <col width="11.5703125" customWidth="1" style="251" min="56" max="56"/>
    <col width="13" customWidth="1" style="251" min="57" max="57"/>
    <col width="13" customWidth="1" style="251" min="58" max="58"/>
    <col width="60" customWidth="1" style="251" min="59" max="59"/>
  </cols>
  <sheetData>
    <row r="1" ht="15" customHeight="1" s="251">
      <c r="AU1" s="1" t="inlineStr">
        <is>
          <t>SCENARIO SWITCH ▼ (Bull / Base / Bear) — drives all scenario-linked forecast drivers</t>
        </is>
      </c>
    </row>
    <row r="2" ht="21" customHeight="1" s="251">
      <c r="B2" s="2" t="inlineStr">
        <is>
          <t>STERIS plc (NYSE: STE) — 3-Statement Financial Model</t>
        </is>
      </c>
      <c r="AU2" s="3" t="inlineStr">
        <is>
          <t>Base</t>
        </is>
      </c>
    </row>
    <row r="3" ht="15" customHeight="1" s="251">
      <c r="B3" s="4" t="inlineStr">
        <is>
          <t>US GAAP as reported · USD millions (per-share data in USD; shares in millions) · Fiscal years ended 31 March (2027 = Apr-2026 – Mar-2027) · Source: STERIS Forms 10-K / 10-Q and Form 8-K earnings releases (Ex. 99.1), SEC EDGAR (STERIS Corp CIK 815065 to FY2015; STERIS plc (UK) CIK 1624899 FY2016–19; STERIS plc (Ireland) CIK 1757898 from FY2019); investor-relations releases at steris-ir.com are the same documents as filed on EDGAR</t>
        </is>
      </c>
    </row>
    <row r="4" ht="15" customHeight="1" s="251">
      <c r="B4" s="5" t="inlineStr">
        <is>
          <t>Basis notes: FY2012–FY2022 as originally reported; FY2023 onward continuing operations (Dental, acquired with Cantel Jun-2021, sold Sep-2024, recast in the Q4 FY24 and FY25 releases) — originally reported adjusted EPS rebuilt and checked in memo rows. Segments: Healthcare, Applied Sterilization Technologies (AST), Life Sciences (+ Dental FY2022). Acquisitions: Synergy Health Nov-15, Cantel Jun-21, BD surgical instrumentation Aug-23. Q2/27E–Q4/27E calibrated to FY27 revenue-growth and adjusted-EPS guidance.</t>
        </is>
      </c>
    </row>
    <row r="5" ht="15" customHeight="1" s="251">
      <c r="AM5" s="153" t="n"/>
      <c r="AN5" s="153" t="n"/>
      <c r="AO5" s="153" t="n"/>
      <c r="AP5" s="153" t="n"/>
      <c r="AQ5" s="153" t="n"/>
      <c r="AR5" s="153" t="n"/>
      <c r="AS5" s="153" t="n"/>
      <c r="AT5" s="153" t="n"/>
      <c r="AW5" s="6" t="inlineStr">
        <is>
          <t>Forecast</t>
        </is>
      </c>
      <c r="AX5" s="6" t="inlineStr">
        <is>
          <t>Historical</t>
        </is>
      </c>
      <c r="AY5" s="6" t="inlineStr">
        <is>
          <t>Historical</t>
        </is>
      </c>
      <c r="AZ5" s="6" t="inlineStr">
        <is>
          <t>Historical</t>
        </is>
      </c>
    </row>
    <row r="6" ht="15" customHeight="1" s="251">
      <c r="B6" s="7" t="inlineStr">
        <is>
          <t>(USDm)</t>
        </is>
      </c>
      <c r="C6" s="8" t="n">
        <v>2012</v>
      </c>
      <c r="D6" s="8" t="n">
        <v>2013</v>
      </c>
      <c r="E6" s="8" t="n">
        <v>2014</v>
      </c>
      <c r="F6" s="8" t="n">
        <v>2015</v>
      </c>
      <c r="G6" s="8" t="n">
        <v>2016</v>
      </c>
      <c r="H6" s="8" t="n">
        <v>2017</v>
      </c>
      <c r="I6" s="8" t="n">
        <v>2018</v>
      </c>
      <c r="J6" s="8" t="n">
        <v>2019</v>
      </c>
      <c r="K6" s="8" t="n">
        <v>2020</v>
      </c>
      <c r="L6" s="8" t="n">
        <v>2021</v>
      </c>
      <c r="M6" s="8" t="inlineStr">
        <is>
          <t>Q1/22</t>
        </is>
      </c>
      <c r="N6" s="8" t="inlineStr">
        <is>
          <t>Q2/22</t>
        </is>
      </c>
      <c r="O6" s="8" t="inlineStr">
        <is>
          <t>Q3/22</t>
        </is>
      </c>
      <c r="P6" s="8" t="inlineStr">
        <is>
          <t>Q4/22</t>
        </is>
      </c>
      <c r="Q6" s="8" t="n">
        <v>2022</v>
      </c>
      <c r="R6" s="8" t="inlineStr">
        <is>
          <t>Q1/23</t>
        </is>
      </c>
      <c r="S6" s="8" t="inlineStr">
        <is>
          <t>Q2/23</t>
        </is>
      </c>
      <c r="T6" s="8" t="inlineStr">
        <is>
          <t>Q3/23</t>
        </is>
      </c>
      <c r="U6" s="8" t="inlineStr">
        <is>
          <t>Q4/23</t>
        </is>
      </c>
      <c r="V6" s="8" t="n">
        <v>2023</v>
      </c>
      <c r="W6" s="8" t="inlineStr">
        <is>
          <t>Q1/24</t>
        </is>
      </c>
      <c r="X6" s="8" t="inlineStr">
        <is>
          <t>Q2/24</t>
        </is>
      </c>
      <c r="Y6" s="8" t="inlineStr">
        <is>
          <t>Q3/24</t>
        </is>
      </c>
      <c r="Z6" s="8" t="inlineStr">
        <is>
          <t>Q4/24</t>
        </is>
      </c>
      <c r="AA6" s="8" t="n">
        <v>2024</v>
      </c>
      <c r="AB6" s="8" t="inlineStr">
        <is>
          <t>Q1/25</t>
        </is>
      </c>
      <c r="AC6" s="8" t="inlineStr">
        <is>
          <t>Q2/25</t>
        </is>
      </c>
      <c r="AD6" s="8" t="inlineStr">
        <is>
          <t>Q3/25</t>
        </is>
      </c>
      <c r="AE6" s="8" t="inlineStr">
        <is>
          <t>Q4/25</t>
        </is>
      </c>
      <c r="AF6" s="8" t="n">
        <v>2025</v>
      </c>
      <c r="AG6" s="8" t="inlineStr">
        <is>
          <t>Q1/26</t>
        </is>
      </c>
      <c r="AH6" s="8" t="inlineStr">
        <is>
          <t>Q2/26</t>
        </is>
      </c>
      <c r="AI6" s="8" t="inlineStr">
        <is>
          <t>Q3/26</t>
        </is>
      </c>
      <c r="AJ6" s="8" t="inlineStr">
        <is>
          <t>Q4/26</t>
        </is>
      </c>
      <c r="AK6" s="8" t="n">
        <v>2026</v>
      </c>
      <c r="AL6" s="8" t="inlineStr">
        <is>
          <t>Q1/27</t>
        </is>
      </c>
      <c r="AM6" s="8" t="inlineStr">
        <is>
          <t>Q2/27E</t>
        </is>
      </c>
      <c r="AN6" s="8" t="inlineStr">
        <is>
          <t>Q3/27E</t>
        </is>
      </c>
      <c r="AO6" s="8" t="inlineStr">
        <is>
          <t>Q4/27E</t>
        </is>
      </c>
      <c r="AP6" s="8" t="inlineStr">
        <is>
          <t>2027E</t>
        </is>
      </c>
      <c r="AQ6" s="8" t="inlineStr">
        <is>
          <t>2028E</t>
        </is>
      </c>
      <c r="AR6" s="8" t="inlineStr">
        <is>
          <t>2029E</t>
        </is>
      </c>
      <c r="AS6" s="8" t="inlineStr">
        <is>
          <t>2030E</t>
        </is>
      </c>
      <c r="AT6" s="8" t="inlineStr">
        <is>
          <t>2031E</t>
        </is>
      </c>
      <c r="AU6" s="8" t="inlineStr">
        <is>
          <t>Modelling Notes</t>
        </is>
      </c>
      <c r="AW6" s="6" t="inlineStr">
        <is>
          <t>5Y CAGR</t>
        </is>
      </c>
      <c r="AX6" s="6" t="inlineStr">
        <is>
          <t>5Y CAGR</t>
        </is>
      </c>
      <c r="AY6" s="6" t="inlineStr">
        <is>
          <t>10Y CAGR</t>
        </is>
      </c>
      <c r="AZ6" s="6" t="inlineStr">
        <is>
          <t>14Y CAGR</t>
        </is>
      </c>
    </row>
    <row r="7" ht="15" customHeight="1" s="251">
      <c r="AW7" s="9" t="inlineStr">
        <is>
          <t>26-'31</t>
        </is>
      </c>
      <c r="AX7" s="9" t="inlineStr">
        <is>
          <t>21-'26</t>
        </is>
      </c>
      <c r="AY7" s="9" t="inlineStr">
        <is>
          <t>16-'26</t>
        </is>
      </c>
      <c r="AZ7" s="9" t="inlineStr">
        <is>
          <t>12-'26</t>
        </is>
      </c>
    </row>
    <row r="8" ht="15" customHeight="1" s="251">
      <c r="B8" s="10" t="inlineStr">
        <is>
          <t>SEGMENT P&amp;L — HEALTHCARE · AST · LIFE SCIENCES (revenue by type × segment operating margin)</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inlineStr">
        <is>
          <t>SEGMENT BUILD — modelling logic (capital / consumables / service revenue by segment → segment operating income at the segment margin → + corporate = adjusted operating income → GAAP P&amp;L)</t>
        </is>
      </c>
    </row>
    <row r="9" ht="15" customHeight="1" s="251">
      <c r="BC9" s="11" t="inlineStr">
        <is>
          <t>SCENARIO INPUT TABLE — driver assumptions per Bull / Base / Bear</t>
        </is>
      </c>
      <c r="BD9" s="12" t="inlineStr">
        <is>
          <t>Bull</t>
        </is>
      </c>
      <c r="BE9" s="12" t="inlineStr">
        <is>
          <t>Base</t>
        </is>
      </c>
      <c r="BF9" s="12" t="inlineStr">
        <is>
          <t>Bear</t>
        </is>
      </c>
      <c r="BG9" s="13" t="inlineStr">
        <is>
          <t>Bull / Bear = Base + Δ (Δ inputs on each block header). Outlook block = high / mid / low end of the FY27 guidance ranges.</t>
        </is>
      </c>
    </row>
    <row r="10" ht="15" customHeight="1" s="251">
      <c r="B10" s="14" t="inlineStr">
        <is>
          <t>Healthcare (infection prevention consumables, sterilizers &amp; washers, surgical tables / lights / OR integration, endoscopy (Cantel), repair &amp; instrument services)</t>
        </is>
      </c>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5" t="inlineStr">
        <is>
          <t>HEALTHCARE — modelling logic</t>
        </is>
      </c>
    </row>
    <row r="11" ht="15" customHeight="1" s="251">
      <c r="B11" s="25" t="inlineStr">
        <is>
          <t xml:space="preserve">  Capital equipment revenue</t>
        </is>
      </c>
      <c r="C11" s="253" t="n">
        <v>545.596</v>
      </c>
      <c r="D11" s="253" t="n">
        <v>521.806</v>
      </c>
      <c r="E11" s="253" t="n">
        <v>515.38</v>
      </c>
      <c r="F11" s="253" t="n">
        <v>517.0069999999999</v>
      </c>
      <c r="G11" s="253" t="n">
        <v>524.992</v>
      </c>
      <c r="H11" s="253" t="n">
        <v>547.542502</v>
      </c>
      <c r="I11" s="253" t="n">
        <v>527.402</v>
      </c>
      <c r="J11" s="253" t="n">
        <v>568.811</v>
      </c>
      <c r="K11" s="253" t="n">
        <v>592.436</v>
      </c>
      <c r="L11" s="253" t="n">
        <v>588.864</v>
      </c>
      <c r="M11" s="253" t="n">
        <v>150.89</v>
      </c>
      <c r="N11" s="253" t="n">
        <v>202.405</v>
      </c>
      <c r="O11" s="253" t="n">
        <v>217.214</v>
      </c>
      <c r="P11" s="253" t="n">
        <v>211.996</v>
      </c>
      <c r="Q11" s="253" t="n">
        <v>782.505</v>
      </c>
      <c r="R11" s="253" t="n">
        <v>179.134</v>
      </c>
      <c r="S11" s="253" t="n">
        <v>212.484</v>
      </c>
      <c r="T11" s="253" t="n">
        <v>227.226</v>
      </c>
      <c r="U11" s="253" t="n">
        <v>277.746</v>
      </c>
      <c r="V11" s="253" t="n">
        <v>896.59</v>
      </c>
      <c r="W11" s="253" t="n">
        <v>238.099</v>
      </c>
      <c r="X11" s="253" t="n">
        <v>254.905</v>
      </c>
      <c r="Y11" s="253" t="n">
        <v>266.838</v>
      </c>
      <c r="Z11" s="253" t="n">
        <v>331.695</v>
      </c>
      <c r="AA11" s="253" t="n">
        <v>1091.537</v>
      </c>
      <c r="AB11" s="253" t="n">
        <v>214.639</v>
      </c>
      <c r="AC11" s="253" t="n">
        <v>249.732</v>
      </c>
      <c r="AD11" s="253" t="n">
        <v>254.804</v>
      </c>
      <c r="AE11" s="253" t="n">
        <v>318.025</v>
      </c>
      <c r="AF11" s="253" t="n">
        <v>1037.2</v>
      </c>
      <c r="AG11" s="253" t="n">
        <v>227.3</v>
      </c>
      <c r="AH11" s="253" t="n">
        <v>259.4</v>
      </c>
      <c r="AI11" s="253" t="n">
        <v>272.1</v>
      </c>
      <c r="AJ11" s="253" t="n">
        <v>337.1</v>
      </c>
      <c r="AK11" s="253" t="n">
        <v>1095.9</v>
      </c>
      <c r="AL11" s="253" t="n">
        <v>230.5</v>
      </c>
      <c r="AM11" s="254">
        <f>AH11*(1+AM12)</f>
        <v/>
      </c>
      <c r="AN11" s="254">
        <f>AI11*(1+AN12)</f>
        <v/>
      </c>
      <c r="AO11" s="254">
        <f>AJ11*(1+AO12)</f>
        <v/>
      </c>
      <c r="AP11" s="254">
        <f>SUM(AL11,AM11,AN11,AO11)</f>
        <v/>
      </c>
      <c r="AQ11" s="254">
        <f>AP11*(1+AQ12)</f>
        <v/>
      </c>
      <c r="AR11" s="254">
        <f>AQ11*(1+AR12)</f>
        <v/>
      </c>
      <c r="AS11" s="254">
        <f>AR11*(1+AS12)</f>
        <v/>
      </c>
      <c r="AT11" s="254">
        <f>AS11*(1+AT12)</f>
        <v/>
      </c>
      <c r="AU11" s="19" t="inlineStr">
        <is>
          <t>Revenue by type as published (release "Unaudited Supplemental Financial Data"). Q2–Q4/27E: prior-year quarter × (1 + growth). 2028E+: prior year × (1 + scenario lever).</t>
        </is>
      </c>
      <c r="AW11" s="20">
        <f>IFERROR((AT11/AK11)^(1/5)-1,"n/m")</f>
        <v/>
      </c>
      <c r="AX11" s="20">
        <f>IFERROR((AK11/L11)^(1/5)-1,"n/m")</f>
        <v/>
      </c>
      <c r="AY11" s="20">
        <f>IFERROR((AK11/G11)^(1/10)-1,"n/m")</f>
        <v/>
      </c>
      <c r="AZ11" s="20">
        <f>IFERROR((AK11/C11)^(1/14)-1,"n/m")</f>
        <v/>
      </c>
      <c r="BC11" s="15" t="inlineStr">
        <is>
          <t>FY27 outlook — Q4 FY26 release (11-May-26), reiterated 5-Aug-26</t>
        </is>
      </c>
      <c r="BD11" s="21" t="inlineStr">
        <is>
          <t>High</t>
        </is>
      </c>
      <c r="BE11" s="21" t="inlineStr">
        <is>
          <t>Mid</t>
        </is>
      </c>
      <c r="BF11" s="21" t="inlineStr">
        <is>
          <t>Low</t>
        </is>
      </c>
      <c r="BG11" s="13" t="inlineStr">
        <is>
          <t>As-reported revenue growth 7–8% (incl. Healthcare tuck-ins, slightly favourable FX); constant-currency organic 6–7%; adjusted EPS $11.10–11.30 (+9–11% vs $10.17); ~25% tax rate; capex ~$450m (raised from $375m in Aug-26); free cash flow ~$800m (from $850m).</t>
        </is>
      </c>
    </row>
    <row r="12" ht="15" customHeight="1" s="251">
      <c r="B12" s="22" t="inlineStr">
        <is>
          <t xml:space="preserve">    y/y %</t>
        </is>
      </c>
      <c r="C12" s="23" t="n"/>
      <c r="D12" s="255">
        <f>IF(AND(ISNUMBER(D11),ISNUMBER(C11)),IFERROR(D11/C11-1,""),"")</f>
        <v/>
      </c>
      <c r="E12" s="255">
        <f>IF(AND(ISNUMBER(E11),ISNUMBER(D11)),IFERROR(E11/D11-1,""),"")</f>
        <v/>
      </c>
      <c r="F12" s="255">
        <f>IF(AND(ISNUMBER(F11),ISNUMBER(E11)),IFERROR(F11/E11-1,""),"")</f>
        <v/>
      </c>
      <c r="G12" s="255">
        <f>IF(AND(ISNUMBER(G11),ISNUMBER(F11)),IFERROR(G11/F11-1,""),"")</f>
        <v/>
      </c>
      <c r="H12" s="255">
        <f>IF(AND(ISNUMBER(H11),ISNUMBER(G11)),IFERROR(H11/G11-1,""),"")</f>
        <v/>
      </c>
      <c r="I12" s="255">
        <f>IF(AND(ISNUMBER(I11),ISNUMBER(H11)),IFERROR(I11/H11-1,""),"")</f>
        <v/>
      </c>
      <c r="J12" s="255">
        <f>IF(AND(ISNUMBER(J11),ISNUMBER(I11)),IFERROR(J11/I11-1,""),"")</f>
        <v/>
      </c>
      <c r="K12" s="255">
        <f>IF(AND(ISNUMBER(K11),ISNUMBER(J11)),IFERROR(K11/J11-1,""),"")</f>
        <v/>
      </c>
      <c r="L12" s="255">
        <f>IF(AND(ISNUMBER(L11),ISNUMBER(K11)),IFERROR(L11/K11-1,""),"")</f>
        <v/>
      </c>
      <c r="M12" s="23" t="n"/>
      <c r="N12" s="23" t="n"/>
      <c r="O12" s="23" t="n"/>
      <c r="P12" s="23" t="n"/>
      <c r="Q12" s="255">
        <f>IF(AND(ISNUMBER(Q11),ISNUMBER(L11)),IFERROR(Q11/L11-1,""),"")</f>
        <v/>
      </c>
      <c r="R12" s="255">
        <f>IF(AND(ISNUMBER(R11),ISNUMBER(M11)),IFERROR(R11/M11-1,""),"")</f>
        <v/>
      </c>
      <c r="S12" s="255">
        <f>IF(AND(ISNUMBER(S11),ISNUMBER(N11)),IFERROR(S11/N11-1,""),"")</f>
        <v/>
      </c>
      <c r="T12" s="255">
        <f>IF(AND(ISNUMBER(T11),ISNUMBER(O11)),IFERROR(T11/O11-1,""),"")</f>
        <v/>
      </c>
      <c r="U12" s="255">
        <f>IF(AND(ISNUMBER(U11),ISNUMBER(P11)),IFERROR(U11/P11-1,""),"")</f>
        <v/>
      </c>
      <c r="V12" s="255">
        <f>IF(AND(ISNUMBER(V11),ISNUMBER(Q11)),IFERROR(V11/Q11-1,""),"")</f>
        <v/>
      </c>
      <c r="W12" s="255">
        <f>IF(AND(ISNUMBER(W11),ISNUMBER(R11)),IFERROR(W11/R11-1,""),"")</f>
        <v/>
      </c>
      <c r="X12" s="255">
        <f>IF(AND(ISNUMBER(X11),ISNUMBER(S11)),IFERROR(X11/S11-1,""),"")</f>
        <v/>
      </c>
      <c r="Y12" s="255">
        <f>IF(AND(ISNUMBER(Y11),ISNUMBER(T11)),IFERROR(Y11/T11-1,""),"")</f>
        <v/>
      </c>
      <c r="Z12" s="255">
        <f>IF(AND(ISNUMBER(Z11),ISNUMBER(U11)),IFERROR(Z11/U11-1,""),"")</f>
        <v/>
      </c>
      <c r="AA12" s="255">
        <f>IF(AND(ISNUMBER(AA11),ISNUMBER(V11)),IFERROR(AA11/V11-1,""),"")</f>
        <v/>
      </c>
      <c r="AB12" s="255">
        <f>IF(AND(ISNUMBER(AB11),ISNUMBER(W11)),IFERROR(AB11/W11-1,""),"")</f>
        <v/>
      </c>
      <c r="AC12" s="255">
        <f>IF(AND(ISNUMBER(AC11),ISNUMBER(X11)),IFERROR(AC11/X11-1,""),"")</f>
        <v/>
      </c>
      <c r="AD12" s="255">
        <f>IF(AND(ISNUMBER(AD11),ISNUMBER(Y11)),IFERROR(AD11/Y11-1,""),"")</f>
        <v/>
      </c>
      <c r="AE12" s="255">
        <f>IF(AND(ISNUMBER(AE11),ISNUMBER(Z11)),IFERROR(AE11/Z11-1,""),"")</f>
        <v/>
      </c>
      <c r="AF12" s="255">
        <f>IF(AND(ISNUMBER(AF11),ISNUMBER(AA11)),IFERROR(AF11/AA11-1,""),"")</f>
        <v/>
      </c>
      <c r="AG12" s="255">
        <f>IF(AND(ISNUMBER(AG11),ISNUMBER(AB11)),IFERROR(AG11/AB11-1,""),"")</f>
        <v/>
      </c>
      <c r="AH12" s="255">
        <f>IF(AND(ISNUMBER(AH11),ISNUMBER(AC11)),IFERROR(AH11/AC11-1,""),"")</f>
        <v/>
      </c>
      <c r="AI12" s="255">
        <f>IF(AND(ISNUMBER(AI11),ISNUMBER(AD11)),IFERROR(AI11/AD11-1,""),"")</f>
        <v/>
      </c>
      <c r="AJ12" s="255">
        <f>IF(AND(ISNUMBER(AJ11),ISNUMBER(AE11)),IFERROR(AJ11/AE11-1,""),"")</f>
        <v/>
      </c>
      <c r="AK12" s="255">
        <f>IF(AND(ISNUMBER(AK11),ISNUMBER(AF11)),IFERROR(AK11/AF11-1,""),"")</f>
        <v/>
      </c>
      <c r="AL12" s="255">
        <f>IF(AND(ISNUMBER(AL11),ISNUMBER(AG11)),IFERROR(AL11/AG11-1,""),"")</f>
        <v/>
      </c>
      <c r="AM12" s="256">
        <f>AM13+$AM$127</f>
        <v/>
      </c>
      <c r="AN12" s="256">
        <f>AN13+$AM$127</f>
        <v/>
      </c>
      <c r="AO12" s="256">
        <f>AO13+$AM$127</f>
        <v/>
      </c>
      <c r="AP12" s="256">
        <f>IF(AND(ISNUMBER(AP11),ISNUMBER(AK11)),IFERROR(AP11/AK11-1,""),"")</f>
        <v/>
      </c>
      <c r="AQ12" s="256">
        <f>CHOOSE(MATCH($AU$2,{"Bull","Base","Bear"},0),$BD$30,$BE$30,$BF$30)</f>
        <v/>
      </c>
      <c r="AR12" s="256">
        <f>CHOOSE(MATCH($AU$2,{"Bull","Base","Bear"},0),$BD$31,$BE$31,$BF$31)</f>
        <v/>
      </c>
      <c r="AS12" s="256">
        <f>CHOOSE(MATCH($AU$2,{"Bull","Base","Bear"},0),$BD$32,$BE$32,$BF$32)</f>
        <v/>
      </c>
      <c r="AT12" s="256">
        <f>CHOOSE(MATCH($AU$2,{"Bull","Base","Bear"},0),$BD$33,$BE$33,$BF$33)</f>
        <v/>
      </c>
      <c r="AU12" s="153" t="inlineStr">
        <is>
          <t>Q2–Q4/27E: Q1/27 y/y growth of the line + revenue-outlook calibration Δ (Group block). 2028E–2031E: scenario lever (Bull/Base/Bear table →).</t>
        </is>
      </c>
      <c r="BC12" s="25" t="inlineStr">
        <is>
          <t xml:space="preserve">  FY27 revenue growth, as reported</t>
        </is>
      </c>
      <c r="BD12" s="257" t="n">
        <v>0.08</v>
      </c>
      <c r="BE12" s="257" t="n">
        <v>0.075</v>
      </c>
      <c r="BF12" s="257" t="n">
        <v>0.07000000000000001</v>
      </c>
      <c r="BG12" s="13" t="inlineStr">
        <is>
          <t>Guided 7–8%. Drives the Q2–Q4/27E revenue calibration.</t>
        </is>
      </c>
    </row>
    <row r="13" ht="15" customHeight="1" s="251">
      <c r="B13" s="25" t="inlineStr">
        <is>
          <t xml:space="preserve">    Q2–Q4/27E growth before revenue calibration (Q1/27 y/y)</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256">
        <f>IFERROR(AL11/AG11-1,0)</f>
        <v/>
      </c>
      <c r="AN13" s="256">
        <f>IFERROR(AL11/AG11-1,0)</f>
        <v/>
      </c>
      <c r="AO13" s="256">
        <f>IFERROR(AL11/AG11-1,0)</f>
        <v/>
      </c>
      <c r="AP13" s="24" t="n"/>
      <c r="AQ13" s="46" t="n"/>
      <c r="AR13" s="46" t="n"/>
      <c r="AS13" s="46" t="n"/>
      <c r="AT13" s="46" t="n"/>
      <c r="AU13" s="19" t="n"/>
      <c r="BC13" s="25" t="inlineStr">
        <is>
          <t xml:space="preserve">  FY27 constant-currency organic growth — memo</t>
        </is>
      </c>
      <c r="BD13" s="257" t="n">
        <v>0.07000000000000001</v>
      </c>
      <c r="BE13" s="257" t="n">
        <v>0.065</v>
      </c>
      <c r="BF13" s="257" t="n">
        <v>0.06</v>
      </c>
      <c r="BG13" s="13" t="inlineStr">
        <is>
          <t>Guided 6–7% (memo; compare the growth-bridge row).</t>
        </is>
      </c>
    </row>
    <row r="14" ht="15" customHeight="1" s="251">
      <c r="B14" s="25" t="inlineStr">
        <is>
          <t xml:space="preserve">  Consumables revenue</t>
        </is>
      </c>
      <c r="C14" s="253" t="n">
        <v>229.504</v>
      </c>
      <c r="D14" s="253" t="n">
        <v>278.15</v>
      </c>
      <c r="E14" s="253" t="n">
        <v>325.703</v>
      </c>
      <c r="F14" s="253" t="n">
        <v>359.49</v>
      </c>
      <c r="G14" s="253" t="n">
        <v>381.477</v>
      </c>
      <c r="H14" s="253" t="n">
        <v>402.500633</v>
      </c>
      <c r="I14" s="253" t="n">
        <v>412.495</v>
      </c>
      <c r="J14" s="253" t="n">
        <v>414.969</v>
      </c>
      <c r="K14" s="253" t="n">
        <v>454.518</v>
      </c>
      <c r="L14" s="253" t="n">
        <v>510.946</v>
      </c>
      <c r="M14" s="253" t="n">
        <v>206.692</v>
      </c>
      <c r="N14" s="253" t="n">
        <v>270.089</v>
      </c>
      <c r="O14" s="253" t="n">
        <v>273.75</v>
      </c>
      <c r="P14" s="253" t="n">
        <v>254.074</v>
      </c>
      <c r="Q14" s="253" t="n">
        <v>1004.605</v>
      </c>
      <c r="R14" s="253" t="n">
        <v>252.032</v>
      </c>
      <c r="S14" s="253" t="n">
        <v>246.05</v>
      </c>
      <c r="T14" s="253" t="n">
        <v>259.81</v>
      </c>
      <c r="U14" s="253" t="n">
        <v>292.424</v>
      </c>
      <c r="V14" s="253" t="n">
        <v>1050.316</v>
      </c>
      <c r="W14" s="253" t="n">
        <v>280.281</v>
      </c>
      <c r="X14" s="253" t="n">
        <v>306.025</v>
      </c>
      <c r="Y14" s="253" t="n">
        <v>329.435</v>
      </c>
      <c r="Z14" s="253" t="n">
        <v>332.683</v>
      </c>
      <c r="AA14" s="253" t="n">
        <v>1248.424</v>
      </c>
      <c r="AB14" s="253" t="n">
        <v>343.354</v>
      </c>
      <c r="AC14" s="253" t="n">
        <v>341.707</v>
      </c>
      <c r="AD14" s="253" t="n">
        <v>358.233</v>
      </c>
      <c r="AE14" s="253" t="n">
        <v>352.737</v>
      </c>
      <c r="AF14" s="253" t="n">
        <v>1396.031</v>
      </c>
      <c r="AG14" s="253" t="n">
        <v>358.9</v>
      </c>
      <c r="AH14" s="253" t="n">
        <v>374.2</v>
      </c>
      <c r="AI14" s="253" t="n">
        <v>387.1</v>
      </c>
      <c r="AJ14" s="253" t="n">
        <v>376.4</v>
      </c>
      <c r="AK14" s="253" t="n">
        <v>1496.6</v>
      </c>
      <c r="AL14" s="253" t="n">
        <v>391.9</v>
      </c>
      <c r="AM14" s="254">
        <f>AH14*(1+AM15)</f>
        <v/>
      </c>
      <c r="AN14" s="254">
        <f>AI14*(1+AN15)</f>
        <v/>
      </c>
      <c r="AO14" s="254">
        <f>AJ14*(1+AO15)</f>
        <v/>
      </c>
      <c r="AP14" s="254">
        <f>SUM(AL14,AM14,AN14,AO14)</f>
        <v/>
      </c>
      <c r="AQ14" s="254">
        <f>AP14*(1+AQ15)</f>
        <v/>
      </c>
      <c r="AR14" s="254">
        <f>AQ14*(1+AR15)</f>
        <v/>
      </c>
      <c r="AS14" s="254">
        <f>AR14*(1+AS15)</f>
        <v/>
      </c>
      <c r="AT14" s="254">
        <f>AS14*(1+AT15)</f>
        <v/>
      </c>
      <c r="AU14" s="19" t="n"/>
      <c r="AW14" s="20">
        <f>IFERROR((AT14/AK14)^(1/5)-1,"n/m")</f>
        <v/>
      </c>
      <c r="AX14" s="20">
        <f>IFERROR((AK14/L14)^(1/5)-1,"n/m")</f>
        <v/>
      </c>
      <c r="AY14" s="20">
        <f>IFERROR((AK14/G14)^(1/10)-1,"n/m")</f>
        <v/>
      </c>
      <c r="AZ14" s="20">
        <f>IFERROR((AK14/C14)^(1/14)-1,"n/m")</f>
        <v/>
      </c>
      <c r="BC14" s="25" t="inlineStr">
        <is>
          <t xml:space="preserve">  FY27 adjusted EPS ($)</t>
        </is>
      </c>
      <c r="BD14" s="258" t="n">
        <v>11.3</v>
      </c>
      <c r="BE14" s="258" t="n">
        <v>11.2</v>
      </c>
      <c r="BF14" s="258" t="n">
        <v>11.1</v>
      </c>
      <c r="BG14" s="13" t="inlineStr">
        <is>
          <t>Guided $11.10–11.30. Drives the Q2–Q4/27E segment-margin calibration.</t>
        </is>
      </c>
    </row>
    <row r="15" ht="15" customHeight="1" s="251">
      <c r="B15" s="22" t="inlineStr">
        <is>
          <t xml:space="preserve">    y/y %</t>
        </is>
      </c>
      <c r="C15" s="23" t="n"/>
      <c r="D15" s="255">
        <f>IF(AND(ISNUMBER(D14),ISNUMBER(C14)),IFERROR(D14/C14-1,""),"")</f>
        <v/>
      </c>
      <c r="E15" s="255">
        <f>IF(AND(ISNUMBER(E14),ISNUMBER(D14)),IFERROR(E14/D14-1,""),"")</f>
        <v/>
      </c>
      <c r="F15" s="255">
        <f>IF(AND(ISNUMBER(F14),ISNUMBER(E14)),IFERROR(F14/E14-1,""),"")</f>
        <v/>
      </c>
      <c r="G15" s="255">
        <f>IF(AND(ISNUMBER(G14),ISNUMBER(F14)),IFERROR(G14/F14-1,""),"")</f>
        <v/>
      </c>
      <c r="H15" s="255">
        <f>IF(AND(ISNUMBER(H14),ISNUMBER(G14)),IFERROR(H14/G14-1,""),"")</f>
        <v/>
      </c>
      <c r="I15" s="255">
        <f>IF(AND(ISNUMBER(I14),ISNUMBER(H14)),IFERROR(I14/H14-1,""),"")</f>
        <v/>
      </c>
      <c r="J15" s="255">
        <f>IF(AND(ISNUMBER(J14),ISNUMBER(I14)),IFERROR(J14/I14-1,""),"")</f>
        <v/>
      </c>
      <c r="K15" s="255">
        <f>IF(AND(ISNUMBER(K14),ISNUMBER(J14)),IFERROR(K14/J14-1,""),"")</f>
        <v/>
      </c>
      <c r="L15" s="255">
        <f>IF(AND(ISNUMBER(L14),ISNUMBER(K14)),IFERROR(L14/K14-1,""),"")</f>
        <v/>
      </c>
      <c r="M15" s="23" t="n"/>
      <c r="N15" s="23" t="n"/>
      <c r="O15" s="23" t="n"/>
      <c r="P15" s="23" t="n"/>
      <c r="Q15" s="255">
        <f>IF(AND(ISNUMBER(Q14),ISNUMBER(L14)),IFERROR(Q14/L14-1,""),"")</f>
        <v/>
      </c>
      <c r="R15" s="255">
        <f>IF(AND(ISNUMBER(R14),ISNUMBER(M14)),IFERROR(R14/M14-1,""),"")</f>
        <v/>
      </c>
      <c r="S15" s="255">
        <f>IF(AND(ISNUMBER(S14),ISNUMBER(N14)),IFERROR(S14/N14-1,""),"")</f>
        <v/>
      </c>
      <c r="T15" s="255">
        <f>IF(AND(ISNUMBER(T14),ISNUMBER(O14)),IFERROR(T14/O14-1,""),"")</f>
        <v/>
      </c>
      <c r="U15" s="255">
        <f>IF(AND(ISNUMBER(U14),ISNUMBER(P14)),IFERROR(U14/P14-1,""),"")</f>
        <v/>
      </c>
      <c r="V15" s="255">
        <f>IF(AND(ISNUMBER(V14),ISNUMBER(Q14)),IFERROR(V14/Q14-1,""),"")</f>
        <v/>
      </c>
      <c r="W15" s="255">
        <f>IF(AND(ISNUMBER(W14),ISNUMBER(R14)),IFERROR(W14/R14-1,""),"")</f>
        <v/>
      </c>
      <c r="X15" s="255">
        <f>IF(AND(ISNUMBER(X14),ISNUMBER(S14)),IFERROR(X14/S14-1,""),"")</f>
        <v/>
      </c>
      <c r="Y15" s="255">
        <f>IF(AND(ISNUMBER(Y14),ISNUMBER(T14)),IFERROR(Y14/T14-1,""),"")</f>
        <v/>
      </c>
      <c r="Z15" s="255">
        <f>IF(AND(ISNUMBER(Z14),ISNUMBER(U14)),IFERROR(Z14/U14-1,""),"")</f>
        <v/>
      </c>
      <c r="AA15" s="255">
        <f>IF(AND(ISNUMBER(AA14),ISNUMBER(V14)),IFERROR(AA14/V14-1,""),"")</f>
        <v/>
      </c>
      <c r="AB15" s="255">
        <f>IF(AND(ISNUMBER(AB14),ISNUMBER(W14)),IFERROR(AB14/W14-1,""),"")</f>
        <v/>
      </c>
      <c r="AC15" s="255">
        <f>IF(AND(ISNUMBER(AC14),ISNUMBER(X14)),IFERROR(AC14/X14-1,""),"")</f>
        <v/>
      </c>
      <c r="AD15" s="255">
        <f>IF(AND(ISNUMBER(AD14),ISNUMBER(Y14)),IFERROR(AD14/Y14-1,""),"")</f>
        <v/>
      </c>
      <c r="AE15" s="255">
        <f>IF(AND(ISNUMBER(AE14),ISNUMBER(Z14)),IFERROR(AE14/Z14-1,""),"")</f>
        <v/>
      </c>
      <c r="AF15" s="255">
        <f>IF(AND(ISNUMBER(AF14),ISNUMBER(AA14)),IFERROR(AF14/AA14-1,""),"")</f>
        <v/>
      </c>
      <c r="AG15" s="255">
        <f>IF(AND(ISNUMBER(AG14),ISNUMBER(AB14)),IFERROR(AG14/AB14-1,""),"")</f>
        <v/>
      </c>
      <c r="AH15" s="255">
        <f>IF(AND(ISNUMBER(AH14),ISNUMBER(AC14)),IFERROR(AH14/AC14-1,""),"")</f>
        <v/>
      </c>
      <c r="AI15" s="255">
        <f>IF(AND(ISNUMBER(AI14),ISNUMBER(AD14)),IFERROR(AI14/AD14-1,""),"")</f>
        <v/>
      </c>
      <c r="AJ15" s="255">
        <f>IF(AND(ISNUMBER(AJ14),ISNUMBER(AE14)),IFERROR(AJ14/AE14-1,""),"")</f>
        <v/>
      </c>
      <c r="AK15" s="255">
        <f>IF(AND(ISNUMBER(AK14),ISNUMBER(AF14)),IFERROR(AK14/AF14-1,""),"")</f>
        <v/>
      </c>
      <c r="AL15" s="255">
        <f>IF(AND(ISNUMBER(AL14),ISNUMBER(AG14)),IFERROR(AL14/AG14-1,""),"")</f>
        <v/>
      </c>
      <c r="AM15" s="256">
        <f>AM16+$AM$127</f>
        <v/>
      </c>
      <c r="AN15" s="256">
        <f>AN16+$AM$127</f>
        <v/>
      </c>
      <c r="AO15" s="256">
        <f>AO16+$AM$127</f>
        <v/>
      </c>
      <c r="AP15" s="256">
        <f>IF(AND(ISNUMBER(AP14),ISNUMBER(AK14)),IFERROR(AP14/AK14-1,""),"")</f>
        <v/>
      </c>
      <c r="AQ15" s="256">
        <f>CHOOSE(MATCH($AU$2,{"Bull","Base","Bear"},0),$BD$35,$BE$35,$BF$35)</f>
        <v/>
      </c>
      <c r="AR15" s="256">
        <f>CHOOSE(MATCH($AU$2,{"Bull","Base","Bear"},0),$BD$36,$BE$36,$BF$36)</f>
        <v/>
      </c>
      <c r="AS15" s="256">
        <f>CHOOSE(MATCH($AU$2,{"Bull","Base","Bear"},0),$BD$37,$BE$37,$BF$37)</f>
        <v/>
      </c>
      <c r="AT15" s="256">
        <f>CHOOSE(MATCH($AU$2,{"Bull","Base","Bear"},0),$BD$38,$BE$38,$BF$38)</f>
        <v/>
      </c>
      <c r="AU15" s="153" t="n"/>
      <c r="BC15" s="25" t="inlineStr">
        <is>
          <t xml:space="preserve">  FY27 GAAP diluted EPS, continuing ($) — memo</t>
        </is>
      </c>
      <c r="BD15" s="258" t="n">
        <v>9.119999999999999</v>
      </c>
      <c r="BE15" s="258" t="n">
        <v>9.02</v>
      </c>
      <c r="BF15" s="258" t="n">
        <v>8.92</v>
      </c>
      <c r="BG15" s="13" t="inlineStr">
        <is>
          <t>Guided $8.92–9.12 (amortization $2.08, acquisition $0.01, restructuring $0.07, other $0.02 per share); memo, not forced.</t>
        </is>
      </c>
    </row>
    <row r="16" ht="15" customHeight="1" s="251">
      <c r="B16" s="25" t="inlineStr">
        <is>
          <t xml:space="preserve">    Q2–Q4/27E growth before revenue calibration (Q1/27 y/y)</t>
        </is>
      </c>
      <c r="C16" s="36"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256">
        <f>IFERROR(AL14/AG14-1,0)</f>
        <v/>
      </c>
      <c r="AN16" s="256">
        <f>IFERROR(AL14/AG14-1,0)</f>
        <v/>
      </c>
      <c r="AO16" s="256">
        <f>IFERROR(AL14/AG14-1,0)</f>
        <v/>
      </c>
      <c r="AP16" s="24" t="n"/>
      <c r="AQ16" s="46" t="n"/>
      <c r="AR16" s="46" t="n"/>
      <c r="AS16" s="46" t="n"/>
      <c r="AT16" s="46" t="n"/>
      <c r="AU16" s="19" t="n"/>
      <c r="BC16" s="25" t="inlineStr">
        <is>
          <t xml:space="preserve">  Q2–Q4/27E share repurchases ($m)</t>
        </is>
      </c>
      <c r="BD16" s="259" t="n">
        <v>400</v>
      </c>
      <c r="BE16" s="259" t="n">
        <v>300</v>
      </c>
      <c r="BF16" s="259" t="n">
        <v>200</v>
      </c>
      <c r="BG16" s="13" t="inlineStr">
        <is>
          <t>Q1/27 $115.5m; $900m left on the $1.0bn May-2026 authorization.</t>
        </is>
      </c>
    </row>
    <row r="17" ht="15" customHeight="1" s="251">
      <c r="B17" s="25" t="inlineStr">
        <is>
          <t xml:space="preserve">  Service revenue</t>
        </is>
      </c>
      <c r="C17" s="253" t="n">
        <v>238.002</v>
      </c>
      <c r="D17" s="253" t="n">
        <v>274.834</v>
      </c>
      <c r="E17" s="253" t="n">
        <v>338.968</v>
      </c>
      <c r="F17" s="253" t="n">
        <v>515.377</v>
      </c>
      <c r="G17" s="253" t="n">
        <v>723.549</v>
      </c>
      <c r="H17" s="253" t="n">
        <v>871.009866</v>
      </c>
      <c r="I17" s="253" t="n">
        <v>805.222</v>
      </c>
      <c r="J17" s="253" t="n">
        <v>864.705</v>
      </c>
      <c r="K17" s="253" t="n">
        <v>939.855</v>
      </c>
      <c r="L17" s="253" t="n">
        <v>854.245</v>
      </c>
      <c r="M17" s="253" t="n">
        <v>245.235</v>
      </c>
      <c r="N17" s="253" t="n">
        <v>271.64</v>
      </c>
      <c r="O17" s="253" t="n">
        <v>268.711</v>
      </c>
      <c r="P17" s="253" t="n">
        <v>272.771</v>
      </c>
      <c r="Q17" s="253" t="n">
        <v>1058.357</v>
      </c>
      <c r="R17" s="253" t="n">
        <v>267.36</v>
      </c>
      <c r="S17" s="253" t="n">
        <v>274.279</v>
      </c>
      <c r="T17" s="253" t="n">
        <v>282.108</v>
      </c>
      <c r="U17" s="253" t="n">
        <v>314.478</v>
      </c>
      <c r="V17" s="253" t="n">
        <v>1138.225</v>
      </c>
      <c r="W17" s="253" t="n">
        <v>300.494</v>
      </c>
      <c r="X17" s="253" t="n">
        <v>309.126</v>
      </c>
      <c r="Y17" s="253" t="n">
        <v>319.954</v>
      </c>
      <c r="Z17" s="253" t="n">
        <v>343.484</v>
      </c>
      <c r="AA17" s="253" t="n">
        <v>1273.058</v>
      </c>
      <c r="AB17" s="253" t="n">
        <v>343.228</v>
      </c>
      <c r="AC17" s="253" t="n">
        <v>352.791</v>
      </c>
      <c r="AD17" s="253" t="n">
        <v>363.007</v>
      </c>
      <c r="AE17" s="253" t="n">
        <v>386.414</v>
      </c>
      <c r="AF17" s="253" t="n">
        <v>1445.44</v>
      </c>
      <c r="AG17" s="253" t="n">
        <v>388.5</v>
      </c>
      <c r="AH17" s="253" t="n">
        <v>400.1</v>
      </c>
      <c r="AI17" s="253" t="n">
        <v>404.7</v>
      </c>
      <c r="AJ17" s="253" t="n">
        <v>422.8</v>
      </c>
      <c r="AK17" s="253" t="n">
        <v>1616</v>
      </c>
      <c r="AL17" s="253" t="n">
        <v>425.9</v>
      </c>
      <c r="AM17" s="254">
        <f>AH17*(1+AM18)</f>
        <v/>
      </c>
      <c r="AN17" s="254">
        <f>AI17*(1+AN18)</f>
        <v/>
      </c>
      <c r="AO17" s="254">
        <f>AJ17*(1+AO18)</f>
        <v/>
      </c>
      <c r="AP17" s="254">
        <f>SUM(AL17,AM17,AN17,AO17)</f>
        <v/>
      </c>
      <c r="AQ17" s="254">
        <f>AP17*(1+AQ18)</f>
        <v/>
      </c>
      <c r="AR17" s="254">
        <f>AQ17*(1+AR18)</f>
        <v/>
      </c>
      <c r="AS17" s="254">
        <f>AR17*(1+AS18)</f>
        <v/>
      </c>
      <c r="AT17" s="254">
        <f>AS17*(1+AT18)</f>
        <v/>
      </c>
      <c r="AU17" s="19" t="n"/>
      <c r="AW17" s="20">
        <f>IFERROR((AT17/AK17)^(1/5)-1,"n/m")</f>
        <v/>
      </c>
      <c r="AX17" s="20">
        <f>IFERROR((AK17/L17)^(1/5)-1,"n/m")</f>
        <v/>
      </c>
      <c r="AY17" s="20">
        <f>IFERROR((AK17/G17)^(1/10)-1,"n/m")</f>
        <v/>
      </c>
      <c r="AZ17" s="20">
        <f>IFERROR((AK17/C17)^(1/14)-1,"n/m")</f>
        <v/>
      </c>
    </row>
    <row r="18" ht="15" customHeight="1" s="251">
      <c r="B18" s="22" t="inlineStr">
        <is>
          <t xml:space="preserve">    y/y %</t>
        </is>
      </c>
      <c r="C18" s="23" t="n"/>
      <c r="D18" s="255">
        <f>IF(AND(ISNUMBER(D17),ISNUMBER(C17)),IFERROR(D17/C17-1,""),"")</f>
        <v/>
      </c>
      <c r="E18" s="255">
        <f>IF(AND(ISNUMBER(E17),ISNUMBER(D17)),IFERROR(E17/D17-1,""),"")</f>
        <v/>
      </c>
      <c r="F18" s="255">
        <f>IF(AND(ISNUMBER(F17),ISNUMBER(E17)),IFERROR(F17/E17-1,""),"")</f>
        <v/>
      </c>
      <c r="G18" s="255">
        <f>IF(AND(ISNUMBER(G17),ISNUMBER(F17)),IFERROR(G17/F17-1,""),"")</f>
        <v/>
      </c>
      <c r="H18" s="255">
        <f>IF(AND(ISNUMBER(H17),ISNUMBER(G17)),IFERROR(H17/G17-1,""),"")</f>
        <v/>
      </c>
      <c r="I18" s="255">
        <f>IF(AND(ISNUMBER(I17),ISNUMBER(H17)),IFERROR(I17/H17-1,""),"")</f>
        <v/>
      </c>
      <c r="J18" s="255">
        <f>IF(AND(ISNUMBER(J17),ISNUMBER(I17)),IFERROR(J17/I17-1,""),"")</f>
        <v/>
      </c>
      <c r="K18" s="255">
        <f>IF(AND(ISNUMBER(K17),ISNUMBER(J17)),IFERROR(K17/J17-1,""),"")</f>
        <v/>
      </c>
      <c r="L18" s="255">
        <f>IF(AND(ISNUMBER(L17),ISNUMBER(K17)),IFERROR(L17/K17-1,""),"")</f>
        <v/>
      </c>
      <c r="M18" s="23" t="n"/>
      <c r="N18" s="23" t="n"/>
      <c r="O18" s="23" t="n"/>
      <c r="P18" s="23" t="n"/>
      <c r="Q18" s="255">
        <f>IF(AND(ISNUMBER(Q17),ISNUMBER(L17)),IFERROR(Q17/L17-1,""),"")</f>
        <v/>
      </c>
      <c r="R18" s="255">
        <f>IF(AND(ISNUMBER(R17),ISNUMBER(M17)),IFERROR(R17/M17-1,""),"")</f>
        <v/>
      </c>
      <c r="S18" s="255">
        <f>IF(AND(ISNUMBER(S17),ISNUMBER(N17)),IFERROR(S17/N17-1,""),"")</f>
        <v/>
      </c>
      <c r="T18" s="255">
        <f>IF(AND(ISNUMBER(T17),ISNUMBER(O17)),IFERROR(T17/O17-1,""),"")</f>
        <v/>
      </c>
      <c r="U18" s="255">
        <f>IF(AND(ISNUMBER(U17),ISNUMBER(P17)),IFERROR(U17/P17-1,""),"")</f>
        <v/>
      </c>
      <c r="V18" s="255">
        <f>IF(AND(ISNUMBER(V17),ISNUMBER(Q17)),IFERROR(V17/Q17-1,""),"")</f>
        <v/>
      </c>
      <c r="W18" s="255">
        <f>IF(AND(ISNUMBER(W17),ISNUMBER(R17)),IFERROR(W17/R17-1,""),"")</f>
        <v/>
      </c>
      <c r="X18" s="255">
        <f>IF(AND(ISNUMBER(X17),ISNUMBER(S17)),IFERROR(X17/S17-1,""),"")</f>
        <v/>
      </c>
      <c r="Y18" s="255">
        <f>IF(AND(ISNUMBER(Y17),ISNUMBER(T17)),IFERROR(Y17/T17-1,""),"")</f>
        <v/>
      </c>
      <c r="Z18" s="255">
        <f>IF(AND(ISNUMBER(Z17),ISNUMBER(U17)),IFERROR(Z17/U17-1,""),"")</f>
        <v/>
      </c>
      <c r="AA18" s="255">
        <f>IF(AND(ISNUMBER(AA17),ISNUMBER(V17)),IFERROR(AA17/V17-1,""),"")</f>
        <v/>
      </c>
      <c r="AB18" s="255">
        <f>IF(AND(ISNUMBER(AB17),ISNUMBER(W17)),IFERROR(AB17/W17-1,""),"")</f>
        <v/>
      </c>
      <c r="AC18" s="255">
        <f>IF(AND(ISNUMBER(AC17),ISNUMBER(X17)),IFERROR(AC17/X17-1,""),"")</f>
        <v/>
      </c>
      <c r="AD18" s="255">
        <f>IF(AND(ISNUMBER(AD17),ISNUMBER(Y17)),IFERROR(AD17/Y17-1,""),"")</f>
        <v/>
      </c>
      <c r="AE18" s="255">
        <f>IF(AND(ISNUMBER(AE17),ISNUMBER(Z17)),IFERROR(AE17/Z17-1,""),"")</f>
        <v/>
      </c>
      <c r="AF18" s="255">
        <f>IF(AND(ISNUMBER(AF17),ISNUMBER(AA17)),IFERROR(AF17/AA17-1,""),"")</f>
        <v/>
      </c>
      <c r="AG18" s="255">
        <f>IF(AND(ISNUMBER(AG17),ISNUMBER(AB17)),IFERROR(AG17/AB17-1,""),"")</f>
        <v/>
      </c>
      <c r="AH18" s="255">
        <f>IF(AND(ISNUMBER(AH17),ISNUMBER(AC17)),IFERROR(AH17/AC17-1,""),"")</f>
        <v/>
      </c>
      <c r="AI18" s="255">
        <f>IF(AND(ISNUMBER(AI17),ISNUMBER(AD17)),IFERROR(AI17/AD17-1,""),"")</f>
        <v/>
      </c>
      <c r="AJ18" s="255">
        <f>IF(AND(ISNUMBER(AJ17),ISNUMBER(AE17)),IFERROR(AJ17/AE17-1,""),"")</f>
        <v/>
      </c>
      <c r="AK18" s="255">
        <f>IF(AND(ISNUMBER(AK17),ISNUMBER(AF17)),IFERROR(AK17/AF17-1,""),"")</f>
        <v/>
      </c>
      <c r="AL18" s="255">
        <f>IF(AND(ISNUMBER(AL17),ISNUMBER(AG17)),IFERROR(AL17/AG17-1,""),"")</f>
        <v/>
      </c>
      <c r="AM18" s="256">
        <f>AM19+$AM$127</f>
        <v/>
      </c>
      <c r="AN18" s="256">
        <f>AN19+$AM$127</f>
        <v/>
      </c>
      <c r="AO18" s="256">
        <f>AO19+$AM$127</f>
        <v/>
      </c>
      <c r="AP18" s="256">
        <f>IF(AND(ISNUMBER(AP17),ISNUMBER(AK17)),IFERROR(AP17/AK17-1,""),"")</f>
        <v/>
      </c>
      <c r="AQ18" s="256">
        <f>CHOOSE(MATCH($AU$2,{"Bull","Base","Bear"},0),$BD$40,$BE$40,$BF$40)</f>
        <v/>
      </c>
      <c r="AR18" s="256">
        <f>CHOOSE(MATCH($AU$2,{"Bull","Base","Bear"},0),$BD$41,$BE$41,$BF$41)</f>
        <v/>
      </c>
      <c r="AS18" s="256">
        <f>CHOOSE(MATCH($AU$2,{"Bull","Base","Bear"},0),$BD$42,$BE$42,$BF$42)</f>
        <v/>
      </c>
      <c r="AT18" s="256">
        <f>CHOOSE(MATCH($AU$2,{"Bull","Base","Bear"},0),$BD$43,$BE$43,$BF$43)</f>
        <v/>
      </c>
      <c r="AU18" s="153" t="n"/>
      <c r="BC18" s="15" t="inlineStr">
        <is>
          <t>FY27 point estimates (all cases)</t>
        </is>
      </c>
      <c r="BD18" s="21" t="n"/>
      <c r="BE18" s="21" t="n"/>
      <c r="BF18" s="21" t="n"/>
    </row>
    <row r="19" ht="15" customHeight="1" s="251">
      <c r="B19" s="25" t="inlineStr">
        <is>
          <t xml:space="preserve">    Q2–Q4/27E growth before revenue calibration (Q1/27 y/y)</t>
        </is>
      </c>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256">
        <f>IFERROR(AL17/AG17-1,0)</f>
        <v/>
      </c>
      <c r="AN19" s="256">
        <f>IFERROR(AL17/AG17-1,0)</f>
        <v/>
      </c>
      <c r="AO19" s="256">
        <f>IFERROR(AL17/AG17-1,0)</f>
        <v/>
      </c>
      <c r="AP19" s="24" t="n"/>
      <c r="AQ19" s="46" t="n"/>
      <c r="AR19" s="46" t="n"/>
      <c r="AS19" s="46" t="n"/>
      <c r="AT19" s="46" t="n"/>
      <c r="AU19" s="19" t="n"/>
      <c r="BC19" s="25" t="inlineStr">
        <is>
          <t xml:space="preserve">  Interest expense ($m)</t>
        </is>
      </c>
      <c r="BE19" s="260" t="n">
        <v>63</v>
      </c>
      <c r="BG19" s="13" t="inlineStr">
        <is>
          <t>Not guided; FY26 $60.7m, Q1/27 $15.8m; Feb-2027 private-placement maturity refinanced on the revolver.</t>
        </is>
      </c>
    </row>
    <row r="20" ht="15" customHeight="1" s="251">
      <c r="B20" s="16" t="inlineStr">
        <is>
          <t xml:space="preserve">  Healthcare — revenue</t>
        </is>
      </c>
      <c r="C20" s="261">
        <f>IF(ISNUMBER(C11),C11+C14+C17,"")</f>
        <v/>
      </c>
      <c r="D20" s="261">
        <f>IF(ISNUMBER(D11),D11+D14+D17,"")</f>
        <v/>
      </c>
      <c r="E20" s="261">
        <f>IF(ISNUMBER(E11),E11+E14+E17,"")</f>
        <v/>
      </c>
      <c r="F20" s="261">
        <f>IF(ISNUMBER(F11),F11+F14+F17,"")</f>
        <v/>
      </c>
      <c r="G20" s="261">
        <f>IF(ISNUMBER(G11),G11+G14+G17,"")</f>
        <v/>
      </c>
      <c r="H20" s="261">
        <f>IF(ISNUMBER(H11),H11+H14+H17,"")</f>
        <v/>
      </c>
      <c r="I20" s="261">
        <f>IF(ISNUMBER(I11),I11+I14+I17,"")</f>
        <v/>
      </c>
      <c r="J20" s="261">
        <f>IF(ISNUMBER(J11),J11+J14+J17,"")</f>
        <v/>
      </c>
      <c r="K20" s="261">
        <f>IF(ISNUMBER(K11),K11+K14+K17,"")</f>
        <v/>
      </c>
      <c r="L20" s="261">
        <f>IF(ISNUMBER(L11),L11+L14+L17,"")</f>
        <v/>
      </c>
      <c r="M20" s="261">
        <f>IF(ISNUMBER(M11),M11+M14+M17,"")</f>
        <v/>
      </c>
      <c r="N20" s="261">
        <f>IF(ISNUMBER(N11),N11+N14+N17,"")</f>
        <v/>
      </c>
      <c r="O20" s="261">
        <f>IF(ISNUMBER(O11),O11+O14+O17,"")</f>
        <v/>
      </c>
      <c r="P20" s="261">
        <f>IF(ISNUMBER(P11),P11+P14+P17,"")</f>
        <v/>
      </c>
      <c r="Q20" s="261">
        <f>IF(ISNUMBER(Q11),Q11+Q14+Q17,"")</f>
        <v/>
      </c>
      <c r="R20" s="261">
        <f>IF(ISNUMBER(R11),R11+R14+R17,"")</f>
        <v/>
      </c>
      <c r="S20" s="261">
        <f>IF(ISNUMBER(S11),S11+S14+S17,"")</f>
        <v/>
      </c>
      <c r="T20" s="261">
        <f>IF(ISNUMBER(T11),T11+T14+T17,"")</f>
        <v/>
      </c>
      <c r="U20" s="261">
        <f>IF(ISNUMBER(U11),U11+U14+U17,"")</f>
        <v/>
      </c>
      <c r="V20" s="261">
        <f>IF(ISNUMBER(V11),V11+V14+V17,"")</f>
        <v/>
      </c>
      <c r="W20" s="261">
        <f>IF(ISNUMBER(W11),W11+W14+W17,"")</f>
        <v/>
      </c>
      <c r="X20" s="261">
        <f>IF(ISNUMBER(X11),X11+X14+X17,"")</f>
        <v/>
      </c>
      <c r="Y20" s="261">
        <f>IF(ISNUMBER(Y11),Y11+Y14+Y17,"")</f>
        <v/>
      </c>
      <c r="Z20" s="261">
        <f>IF(ISNUMBER(Z11),Z11+Z14+Z17,"")</f>
        <v/>
      </c>
      <c r="AA20" s="261">
        <f>IF(ISNUMBER(AA11),AA11+AA14+AA17,"")</f>
        <v/>
      </c>
      <c r="AB20" s="261">
        <f>IF(ISNUMBER(AB11),AB11+AB14+AB17,"")</f>
        <v/>
      </c>
      <c r="AC20" s="261">
        <f>IF(ISNUMBER(AC11),AC11+AC14+AC17,"")</f>
        <v/>
      </c>
      <c r="AD20" s="261">
        <f>IF(ISNUMBER(AD11),AD11+AD14+AD17,"")</f>
        <v/>
      </c>
      <c r="AE20" s="261">
        <f>IF(ISNUMBER(AE11),AE11+AE14+AE17,"")</f>
        <v/>
      </c>
      <c r="AF20" s="261">
        <f>IF(ISNUMBER(AF11),AF11+AF14+AF17,"")</f>
        <v/>
      </c>
      <c r="AG20" s="261">
        <f>IF(ISNUMBER(AG11),AG11+AG14+AG17,"")</f>
        <v/>
      </c>
      <c r="AH20" s="261">
        <f>IF(ISNUMBER(AH11),AH11+AH14+AH17,"")</f>
        <v/>
      </c>
      <c r="AI20" s="261">
        <f>IF(ISNUMBER(AI11),AI11+AI14+AI17,"")</f>
        <v/>
      </c>
      <c r="AJ20" s="261">
        <f>IF(ISNUMBER(AJ11),AJ11+AJ14+AJ17,"")</f>
        <v/>
      </c>
      <c r="AK20" s="261">
        <f>IF(ISNUMBER(AK11),AK11+AK14+AK17,"")</f>
        <v/>
      </c>
      <c r="AL20" s="261">
        <f>IF(ISNUMBER(AL11),AL11+AL14+AL17,"")</f>
        <v/>
      </c>
      <c r="AM20" s="262">
        <f>IF(ISNUMBER(AM11),AM11+AM14+AM17,"")</f>
        <v/>
      </c>
      <c r="AN20" s="262">
        <f>IF(ISNUMBER(AN11),AN11+AN14+AN17,"")</f>
        <v/>
      </c>
      <c r="AO20" s="262">
        <f>IF(ISNUMBER(AO11),AO11+AO14+AO17,"")</f>
        <v/>
      </c>
      <c r="AP20" s="262">
        <f>IF(ISNUMBER(AP11),AP11+AP14+AP17,"")</f>
        <v/>
      </c>
      <c r="AQ20" s="262">
        <f>IF(ISNUMBER(AQ11),AQ11+AQ14+AQ17,"")</f>
        <v/>
      </c>
      <c r="AR20" s="262">
        <f>IF(ISNUMBER(AR11),AR11+AR14+AR17,"")</f>
        <v/>
      </c>
      <c r="AS20" s="262">
        <f>IF(ISNUMBER(AS11),AS11+AS14+AS17,"")</f>
        <v/>
      </c>
      <c r="AT20" s="262">
        <f>IF(ISNUMBER(AT11),AT11+AT14+AT17,"")</f>
        <v/>
      </c>
      <c r="AU20" s="153" t="n"/>
      <c r="AW20" s="20">
        <f>IFERROR((AT20/AK20)^(1/5)-1,"n/m")</f>
        <v/>
      </c>
      <c r="AX20" s="20">
        <f>IFERROR((AK20/L20)^(1/5)-1,"n/m")</f>
        <v/>
      </c>
      <c r="AY20" s="20">
        <f>IFERROR((AK20/G20)^(1/10)-1,"n/m")</f>
        <v/>
      </c>
      <c r="AZ20" s="20">
        <f>IFERROR((AK20/C20)^(1/14)-1,"n/m")</f>
        <v/>
      </c>
      <c r="BC20" s="25" t="inlineStr">
        <is>
          <t xml:space="preserve">  Other non-operating (income) expense, net ($m)</t>
        </is>
      </c>
      <c r="BE20" s="260" t="n">
        <v>-10</v>
      </c>
      <c r="BG20" s="13" t="inlineStr">
        <is>
          <t>Interest &amp; miscellaneous income (Q1/27 −$3.1m) net of other items.</t>
        </is>
      </c>
    </row>
    <row r="21" ht="15" customHeight="1" s="251">
      <c r="B21" s="22" t="inlineStr">
        <is>
          <t xml:space="preserve">  Revenue y/y %</t>
        </is>
      </c>
      <c r="C21" s="23" t="n"/>
      <c r="D21" s="255">
        <f>IF(AND(ISNUMBER(D20),ISNUMBER(C20)),IFERROR(D20/C20-1,""),"")</f>
        <v/>
      </c>
      <c r="E21" s="255">
        <f>IF(AND(ISNUMBER(E20),ISNUMBER(D20)),IFERROR(E20/D20-1,""),"")</f>
        <v/>
      </c>
      <c r="F21" s="255">
        <f>IF(AND(ISNUMBER(F20),ISNUMBER(E20)),IFERROR(F20/E20-1,""),"")</f>
        <v/>
      </c>
      <c r="G21" s="255">
        <f>IF(AND(ISNUMBER(G20),ISNUMBER(F20)),IFERROR(G20/F20-1,""),"")</f>
        <v/>
      </c>
      <c r="H21" s="255">
        <f>IF(AND(ISNUMBER(H20),ISNUMBER(G20)),IFERROR(H20/G20-1,""),"")</f>
        <v/>
      </c>
      <c r="I21" s="255">
        <f>IF(AND(ISNUMBER(I20),ISNUMBER(H20)),IFERROR(I20/H20-1,""),"")</f>
        <v/>
      </c>
      <c r="J21" s="255">
        <f>IF(AND(ISNUMBER(J20),ISNUMBER(I20)),IFERROR(J20/I20-1,""),"")</f>
        <v/>
      </c>
      <c r="K21" s="255">
        <f>IF(AND(ISNUMBER(K20),ISNUMBER(J20)),IFERROR(K20/J20-1,""),"")</f>
        <v/>
      </c>
      <c r="L21" s="255">
        <f>IF(AND(ISNUMBER(L20),ISNUMBER(K20)),IFERROR(L20/K20-1,""),"")</f>
        <v/>
      </c>
      <c r="M21" s="23" t="n"/>
      <c r="N21" s="23" t="n"/>
      <c r="O21" s="23" t="n"/>
      <c r="P21" s="23" t="n"/>
      <c r="Q21" s="255">
        <f>IF(AND(ISNUMBER(Q20),ISNUMBER(L20)),IFERROR(Q20/L20-1,""),"")</f>
        <v/>
      </c>
      <c r="R21" s="255">
        <f>IF(AND(ISNUMBER(R20),ISNUMBER(M20)),IFERROR(R20/M20-1,""),"")</f>
        <v/>
      </c>
      <c r="S21" s="255">
        <f>IF(AND(ISNUMBER(S20),ISNUMBER(N20)),IFERROR(S20/N20-1,""),"")</f>
        <v/>
      </c>
      <c r="T21" s="255">
        <f>IF(AND(ISNUMBER(T20),ISNUMBER(O20)),IFERROR(T20/O20-1,""),"")</f>
        <v/>
      </c>
      <c r="U21" s="255">
        <f>IF(AND(ISNUMBER(U20),ISNUMBER(P20)),IFERROR(U20/P20-1,""),"")</f>
        <v/>
      </c>
      <c r="V21" s="255">
        <f>IF(AND(ISNUMBER(V20),ISNUMBER(Q20)),IFERROR(V20/Q20-1,""),"")</f>
        <v/>
      </c>
      <c r="W21" s="255">
        <f>IF(AND(ISNUMBER(W20),ISNUMBER(R20)),IFERROR(W20/R20-1,""),"")</f>
        <v/>
      </c>
      <c r="X21" s="255">
        <f>IF(AND(ISNUMBER(X20),ISNUMBER(S20)),IFERROR(X20/S20-1,""),"")</f>
        <v/>
      </c>
      <c r="Y21" s="255">
        <f>IF(AND(ISNUMBER(Y20),ISNUMBER(T20)),IFERROR(Y20/T20-1,""),"")</f>
        <v/>
      </c>
      <c r="Z21" s="255">
        <f>IF(AND(ISNUMBER(Z20),ISNUMBER(U20)),IFERROR(Z20/U20-1,""),"")</f>
        <v/>
      </c>
      <c r="AA21" s="255">
        <f>IF(AND(ISNUMBER(AA20),ISNUMBER(V20)),IFERROR(AA20/V20-1,""),"")</f>
        <v/>
      </c>
      <c r="AB21" s="255">
        <f>IF(AND(ISNUMBER(AB20),ISNUMBER(W20)),IFERROR(AB20/W20-1,""),"")</f>
        <v/>
      </c>
      <c r="AC21" s="255">
        <f>IF(AND(ISNUMBER(AC20),ISNUMBER(X20)),IFERROR(AC20/X20-1,""),"")</f>
        <v/>
      </c>
      <c r="AD21" s="255">
        <f>IF(AND(ISNUMBER(AD20),ISNUMBER(Y20)),IFERROR(AD20/Y20-1,""),"")</f>
        <v/>
      </c>
      <c r="AE21" s="255">
        <f>IF(AND(ISNUMBER(AE20),ISNUMBER(Z20)),IFERROR(AE20/Z20-1,""),"")</f>
        <v/>
      </c>
      <c r="AF21" s="255">
        <f>IF(AND(ISNUMBER(AF20),ISNUMBER(AA20)),IFERROR(AF20/AA20-1,""),"")</f>
        <v/>
      </c>
      <c r="AG21" s="255">
        <f>IF(AND(ISNUMBER(AG20),ISNUMBER(AB20)),IFERROR(AG20/AB20-1,""),"")</f>
        <v/>
      </c>
      <c r="AH21" s="255">
        <f>IF(AND(ISNUMBER(AH20),ISNUMBER(AC20)),IFERROR(AH20/AC20-1,""),"")</f>
        <v/>
      </c>
      <c r="AI21" s="255">
        <f>IF(AND(ISNUMBER(AI20),ISNUMBER(AD20)),IFERROR(AI20/AD20-1,""),"")</f>
        <v/>
      </c>
      <c r="AJ21" s="255">
        <f>IF(AND(ISNUMBER(AJ20),ISNUMBER(AE20)),IFERROR(AJ20/AE20-1,""),"")</f>
        <v/>
      </c>
      <c r="AK21" s="255">
        <f>IF(AND(ISNUMBER(AK20),ISNUMBER(AF20)),IFERROR(AK20/AF20-1,""),"")</f>
        <v/>
      </c>
      <c r="AL21" s="255">
        <f>IF(AND(ISNUMBER(AL20),ISNUMBER(AG20)),IFERROR(AL20/AG20-1,""),"")</f>
        <v/>
      </c>
      <c r="AM21" s="256">
        <f>IF(AND(ISNUMBER(AM20),ISNUMBER(AH20)),IFERROR(AM20/AH20-1,""),"")</f>
        <v/>
      </c>
      <c r="AN21" s="256">
        <f>IF(AND(ISNUMBER(AN20),ISNUMBER(AI20)),IFERROR(AN20/AI20-1,""),"")</f>
        <v/>
      </c>
      <c r="AO21" s="256">
        <f>IF(AND(ISNUMBER(AO20),ISNUMBER(AJ20)),IFERROR(AO20/AJ20-1,""),"")</f>
        <v/>
      </c>
      <c r="AP21" s="256">
        <f>IF(AND(ISNUMBER(AP20),ISNUMBER(AK20)),IFERROR(AP20/AK20-1,""),"")</f>
        <v/>
      </c>
      <c r="AQ21" s="256">
        <f>IF(AND(ISNUMBER(AQ20),ISNUMBER(AP20)),IFERROR(AQ20/AP20-1,""),"")</f>
        <v/>
      </c>
      <c r="AR21" s="256">
        <f>IF(AND(ISNUMBER(AR20),ISNUMBER(AQ20)),IFERROR(AR20/AQ20-1,""),"")</f>
        <v/>
      </c>
      <c r="AS21" s="256">
        <f>IF(AND(ISNUMBER(AS20),ISNUMBER(AR20)),IFERROR(AS20/AR20-1,""),"")</f>
        <v/>
      </c>
      <c r="AT21" s="256">
        <f>IF(AND(ISNUMBER(AT20),ISNUMBER(AS20)),IFERROR(AT20/AS20-1,""),"")</f>
        <v/>
      </c>
      <c r="AU21" s="153" t="n"/>
      <c r="BC21" s="25" t="inlineStr">
        <is>
          <t xml:space="preserve">  Amortization of acquired intangibles ($m)</t>
        </is>
      </c>
      <c r="BE21" s="260" t="n">
        <v>262</v>
      </c>
      <c r="BG21" s="13" t="inlineStr">
        <is>
          <t>Q1/27 $65.3m; 10-K schedule $253.1m + FY27 tuck-ins; FY27 outlook $2.08 per share after tax.</t>
        </is>
      </c>
    </row>
    <row r="22" ht="15" customHeight="1" s="251">
      <c r="B22" s="25" t="inlineStr">
        <is>
          <t xml:space="preserve">  % of total revenue</t>
        </is>
      </c>
      <c r="C22" s="215">
        <f>IF(AND(ISNUMBER(C20),ISNUMBER(C117)),IFERROR(C20/C117,""),"")</f>
        <v/>
      </c>
      <c r="D22" s="215">
        <f>IF(AND(ISNUMBER(D20),ISNUMBER(D117)),IFERROR(D20/D117,""),"")</f>
        <v/>
      </c>
      <c r="E22" s="215">
        <f>IF(AND(ISNUMBER(E20),ISNUMBER(E117)),IFERROR(E20/E117,""),"")</f>
        <v/>
      </c>
      <c r="F22" s="215">
        <f>IF(AND(ISNUMBER(F20),ISNUMBER(F117)),IFERROR(F20/F117,""),"")</f>
        <v/>
      </c>
      <c r="G22" s="215">
        <f>IF(AND(ISNUMBER(G20),ISNUMBER(G117)),IFERROR(G20/G117,""),"")</f>
        <v/>
      </c>
      <c r="H22" s="215">
        <f>IF(AND(ISNUMBER(H20),ISNUMBER(H117)),IFERROR(H20/H117,""),"")</f>
        <v/>
      </c>
      <c r="I22" s="215">
        <f>IF(AND(ISNUMBER(I20),ISNUMBER(I117)),IFERROR(I20/I117,""),"")</f>
        <v/>
      </c>
      <c r="J22" s="215">
        <f>IF(AND(ISNUMBER(J20),ISNUMBER(J117)),IFERROR(J20/J117,""),"")</f>
        <v/>
      </c>
      <c r="K22" s="215">
        <f>IF(AND(ISNUMBER(K20),ISNUMBER(K117)),IFERROR(K20/K117,""),"")</f>
        <v/>
      </c>
      <c r="L22" s="215">
        <f>IF(AND(ISNUMBER(L20),ISNUMBER(L117)),IFERROR(L20/L117,""),"")</f>
        <v/>
      </c>
      <c r="M22" s="215">
        <f>IF(AND(ISNUMBER(M20),ISNUMBER(M117)),IFERROR(M20/M117,""),"")</f>
        <v/>
      </c>
      <c r="N22" s="215">
        <f>IF(AND(ISNUMBER(N20),ISNUMBER(N117)),IFERROR(N20/N117,""),"")</f>
        <v/>
      </c>
      <c r="O22" s="215">
        <f>IF(AND(ISNUMBER(O20),ISNUMBER(O117)),IFERROR(O20/O117,""),"")</f>
        <v/>
      </c>
      <c r="P22" s="215">
        <f>IF(AND(ISNUMBER(P20),ISNUMBER(P117)),IFERROR(P20/P117,""),"")</f>
        <v/>
      </c>
      <c r="Q22" s="215">
        <f>IF(AND(ISNUMBER(Q20),ISNUMBER(Q117)),IFERROR(Q20/Q117,""),"")</f>
        <v/>
      </c>
      <c r="R22" s="215">
        <f>IF(AND(ISNUMBER(R20),ISNUMBER(R117)),IFERROR(R20/R117,""),"")</f>
        <v/>
      </c>
      <c r="S22" s="215">
        <f>IF(AND(ISNUMBER(S20),ISNUMBER(S117)),IFERROR(S20/S117,""),"")</f>
        <v/>
      </c>
      <c r="T22" s="215">
        <f>IF(AND(ISNUMBER(T20),ISNUMBER(T117)),IFERROR(T20/T117,""),"")</f>
        <v/>
      </c>
      <c r="U22" s="215">
        <f>IF(AND(ISNUMBER(U20),ISNUMBER(U117)),IFERROR(U20/U117,""),"")</f>
        <v/>
      </c>
      <c r="V22" s="215">
        <f>IF(AND(ISNUMBER(V20),ISNUMBER(V117)),IFERROR(V20/V117,""),"")</f>
        <v/>
      </c>
      <c r="W22" s="215">
        <f>IF(AND(ISNUMBER(W20),ISNUMBER(W117)),IFERROR(W20/W117,""),"")</f>
        <v/>
      </c>
      <c r="X22" s="215">
        <f>IF(AND(ISNUMBER(X20),ISNUMBER(X117)),IFERROR(X20/X117,""),"")</f>
        <v/>
      </c>
      <c r="Y22" s="215">
        <f>IF(AND(ISNUMBER(Y20),ISNUMBER(Y117)),IFERROR(Y20/Y117,""),"")</f>
        <v/>
      </c>
      <c r="Z22" s="215">
        <f>IF(AND(ISNUMBER(Z20),ISNUMBER(Z117)),IFERROR(Z20/Z117,""),"")</f>
        <v/>
      </c>
      <c r="AA22" s="215">
        <f>IF(AND(ISNUMBER(AA20),ISNUMBER(AA117)),IFERROR(AA20/AA117,""),"")</f>
        <v/>
      </c>
      <c r="AB22" s="215">
        <f>IF(AND(ISNUMBER(AB20),ISNUMBER(AB117)),IFERROR(AB20/AB117,""),"")</f>
        <v/>
      </c>
      <c r="AC22" s="215">
        <f>IF(AND(ISNUMBER(AC20),ISNUMBER(AC117)),IFERROR(AC20/AC117,""),"")</f>
        <v/>
      </c>
      <c r="AD22" s="215">
        <f>IF(AND(ISNUMBER(AD20),ISNUMBER(AD117)),IFERROR(AD20/AD117,""),"")</f>
        <v/>
      </c>
      <c r="AE22" s="215">
        <f>IF(AND(ISNUMBER(AE20),ISNUMBER(AE117)),IFERROR(AE20/AE117,""),"")</f>
        <v/>
      </c>
      <c r="AF22" s="215">
        <f>IF(AND(ISNUMBER(AF20),ISNUMBER(AF117)),IFERROR(AF20/AF117,""),"")</f>
        <v/>
      </c>
      <c r="AG22" s="215">
        <f>IF(AND(ISNUMBER(AG20),ISNUMBER(AG117)),IFERROR(AG20/AG117,""),"")</f>
        <v/>
      </c>
      <c r="AH22" s="215">
        <f>IF(AND(ISNUMBER(AH20),ISNUMBER(AH117)),IFERROR(AH20/AH117,""),"")</f>
        <v/>
      </c>
      <c r="AI22" s="215">
        <f>IF(AND(ISNUMBER(AI20),ISNUMBER(AI117)),IFERROR(AI20/AI117,""),"")</f>
        <v/>
      </c>
      <c r="AJ22" s="215">
        <f>IF(AND(ISNUMBER(AJ20),ISNUMBER(AJ117)),IFERROR(AJ20/AJ117,""),"")</f>
        <v/>
      </c>
      <c r="AK22" s="215">
        <f>IF(AND(ISNUMBER(AK20),ISNUMBER(AK117)),IFERROR(AK20/AK117,""),"")</f>
        <v/>
      </c>
      <c r="AL22" s="215">
        <f>IF(AND(ISNUMBER(AL20),ISNUMBER(AL117)),IFERROR(AL20/AL117,""),"")</f>
        <v/>
      </c>
      <c r="AM22" s="256">
        <f>IF(AND(ISNUMBER(AM20),ISNUMBER(AM117)),IFERROR(AM20/AM117,""),"")</f>
        <v/>
      </c>
      <c r="AN22" s="256">
        <f>IF(AND(ISNUMBER(AN20),ISNUMBER(AN117)),IFERROR(AN20/AN117,""),"")</f>
        <v/>
      </c>
      <c r="AO22" s="256">
        <f>IF(AND(ISNUMBER(AO20),ISNUMBER(AO117)),IFERROR(AO20/AO117,""),"")</f>
        <v/>
      </c>
      <c r="AP22" s="256">
        <f>IF(AND(ISNUMBER(AP20),ISNUMBER(AP117)),IFERROR(AP20/AP117,""),"")</f>
        <v/>
      </c>
      <c r="AQ22" s="256">
        <f>IF(AND(ISNUMBER(AQ20),ISNUMBER(AQ117)),IFERROR(AQ20/AQ117,""),"")</f>
        <v/>
      </c>
      <c r="AR22" s="256">
        <f>IF(AND(ISNUMBER(AR20),ISNUMBER(AR117)),IFERROR(AR20/AR117,""),"")</f>
        <v/>
      </c>
      <c r="AS22" s="256">
        <f>IF(AND(ISNUMBER(AS20),ISNUMBER(AS117)),IFERROR(AS20/AS117,""),"")</f>
        <v/>
      </c>
      <c r="AT22" s="256">
        <f>IF(AND(ISNUMBER(AT20),ISNUMBER(AT117)),IFERROR(AT20/AT117,""),"")</f>
        <v/>
      </c>
      <c r="AU22" s="153" t="n"/>
      <c r="BC22" s="25" t="inlineStr">
        <is>
          <t xml:space="preserve">  Depreciation &amp; other amortization ($m)</t>
        </is>
      </c>
      <c r="BE22" s="260" t="n">
        <v>238</v>
      </c>
      <c r="BG22" s="13" t="inlineStr">
        <is>
          <t>Q1/27 $58.5m (D&amp;A $123.8m − amortization $65.3m); rising with capex.</t>
        </is>
      </c>
    </row>
    <row r="23" ht="15" customHeight="1" s="251">
      <c r="B23" s="25" t="inlineStr">
        <is>
          <t xml:space="preserve">  Recurring (consumables + service) % of segment revenue</t>
        </is>
      </c>
      <c r="C23" s="215">
        <f>IF(ISNUMBER(C14),IFERROR((C14+C17)/C20,""),"")</f>
        <v/>
      </c>
      <c r="D23" s="215">
        <f>IF(ISNUMBER(D14),IFERROR((D14+D17)/D20,""),"")</f>
        <v/>
      </c>
      <c r="E23" s="215">
        <f>IF(ISNUMBER(E14),IFERROR((E14+E17)/E20,""),"")</f>
        <v/>
      </c>
      <c r="F23" s="215">
        <f>IF(ISNUMBER(F14),IFERROR((F14+F17)/F20,""),"")</f>
        <v/>
      </c>
      <c r="G23" s="215">
        <f>IF(ISNUMBER(G14),IFERROR((G14+G17)/G20,""),"")</f>
        <v/>
      </c>
      <c r="H23" s="215">
        <f>IF(ISNUMBER(H14),IFERROR((H14+H17)/H20,""),"")</f>
        <v/>
      </c>
      <c r="I23" s="215">
        <f>IF(ISNUMBER(I14),IFERROR((I14+I17)/I20,""),"")</f>
        <v/>
      </c>
      <c r="J23" s="215">
        <f>IF(ISNUMBER(J14),IFERROR((J14+J17)/J20,""),"")</f>
        <v/>
      </c>
      <c r="K23" s="215">
        <f>IF(ISNUMBER(K14),IFERROR((K14+K17)/K20,""),"")</f>
        <v/>
      </c>
      <c r="L23" s="215">
        <f>IF(ISNUMBER(L14),IFERROR((L14+L17)/L20,""),"")</f>
        <v/>
      </c>
      <c r="M23" s="215">
        <f>IF(ISNUMBER(M14),IFERROR((M14+M17)/M20,""),"")</f>
        <v/>
      </c>
      <c r="N23" s="215">
        <f>IF(ISNUMBER(N14),IFERROR((N14+N17)/N20,""),"")</f>
        <v/>
      </c>
      <c r="O23" s="215">
        <f>IF(ISNUMBER(O14),IFERROR((O14+O17)/O20,""),"")</f>
        <v/>
      </c>
      <c r="P23" s="215">
        <f>IF(ISNUMBER(P14),IFERROR((P14+P17)/P20,""),"")</f>
        <v/>
      </c>
      <c r="Q23" s="215">
        <f>IF(ISNUMBER(Q14),IFERROR((Q14+Q17)/Q20,""),"")</f>
        <v/>
      </c>
      <c r="R23" s="215">
        <f>IF(ISNUMBER(R14),IFERROR((R14+R17)/R20,""),"")</f>
        <v/>
      </c>
      <c r="S23" s="215">
        <f>IF(ISNUMBER(S14),IFERROR((S14+S17)/S20,""),"")</f>
        <v/>
      </c>
      <c r="T23" s="215">
        <f>IF(ISNUMBER(T14),IFERROR((T14+T17)/T20,""),"")</f>
        <v/>
      </c>
      <c r="U23" s="215">
        <f>IF(ISNUMBER(U14),IFERROR((U14+U17)/U20,""),"")</f>
        <v/>
      </c>
      <c r="V23" s="215">
        <f>IF(ISNUMBER(V14),IFERROR((V14+V17)/V20,""),"")</f>
        <v/>
      </c>
      <c r="W23" s="215">
        <f>IF(ISNUMBER(W14),IFERROR((W14+W17)/W20,""),"")</f>
        <v/>
      </c>
      <c r="X23" s="215">
        <f>IF(ISNUMBER(X14),IFERROR((X14+X17)/X20,""),"")</f>
        <v/>
      </c>
      <c r="Y23" s="215">
        <f>IF(ISNUMBER(Y14),IFERROR((Y14+Y17)/Y20,""),"")</f>
        <v/>
      </c>
      <c r="Z23" s="215">
        <f>IF(ISNUMBER(Z14),IFERROR((Z14+Z17)/Z20,""),"")</f>
        <v/>
      </c>
      <c r="AA23" s="215">
        <f>IF(ISNUMBER(AA14),IFERROR((AA14+AA17)/AA20,""),"")</f>
        <v/>
      </c>
      <c r="AB23" s="215">
        <f>IF(ISNUMBER(AB14),IFERROR((AB14+AB17)/AB20,""),"")</f>
        <v/>
      </c>
      <c r="AC23" s="215">
        <f>IF(ISNUMBER(AC14),IFERROR((AC14+AC17)/AC20,""),"")</f>
        <v/>
      </c>
      <c r="AD23" s="215">
        <f>IF(ISNUMBER(AD14),IFERROR((AD14+AD17)/AD20,""),"")</f>
        <v/>
      </c>
      <c r="AE23" s="215">
        <f>IF(ISNUMBER(AE14),IFERROR((AE14+AE17)/AE20,""),"")</f>
        <v/>
      </c>
      <c r="AF23" s="215">
        <f>IF(ISNUMBER(AF14),IFERROR((AF14+AF17)/AF20,""),"")</f>
        <v/>
      </c>
      <c r="AG23" s="215">
        <f>IF(ISNUMBER(AG14),IFERROR((AG14+AG17)/AG20,""),"")</f>
        <v/>
      </c>
      <c r="AH23" s="215">
        <f>IF(ISNUMBER(AH14),IFERROR((AH14+AH17)/AH20,""),"")</f>
        <v/>
      </c>
      <c r="AI23" s="215">
        <f>IF(ISNUMBER(AI14),IFERROR((AI14+AI17)/AI20,""),"")</f>
        <v/>
      </c>
      <c r="AJ23" s="215">
        <f>IF(ISNUMBER(AJ14),IFERROR((AJ14+AJ17)/AJ20,""),"")</f>
        <v/>
      </c>
      <c r="AK23" s="215">
        <f>IF(ISNUMBER(AK14),IFERROR((AK14+AK17)/AK20,""),"")</f>
        <v/>
      </c>
      <c r="AL23" s="215">
        <f>IF(ISNUMBER(AL14),IFERROR((AL14+AL17)/AL20,""),"")</f>
        <v/>
      </c>
      <c r="AM23" s="256">
        <f>IF(ISNUMBER(AM14),IFERROR((AM14+AM17)/AM20,""),"")</f>
        <v/>
      </c>
      <c r="AN23" s="256">
        <f>IF(ISNUMBER(AN14),IFERROR((AN14+AN17)/AN20,""),"")</f>
        <v/>
      </c>
      <c r="AO23" s="256">
        <f>IF(ISNUMBER(AO14),IFERROR((AO14+AO17)/AO20,""),"")</f>
        <v/>
      </c>
      <c r="AP23" s="256">
        <f>IF(ISNUMBER(AP14),IFERROR((AP14+AP17)/AP20,""),"")</f>
        <v/>
      </c>
      <c r="AQ23" s="256">
        <f>IF(ISNUMBER(AQ14),IFERROR((AQ14+AQ17)/AQ20,""),"")</f>
        <v/>
      </c>
      <c r="AR23" s="256">
        <f>IF(ISNUMBER(AR14),IFERROR((AR14+AR17)/AR20,""),"")</f>
        <v/>
      </c>
      <c r="AS23" s="256">
        <f>IF(ISNUMBER(AS14),IFERROR((AS14+AS17)/AS20,""),"")</f>
        <v/>
      </c>
      <c r="AT23" s="256">
        <f>IF(ISNUMBER(AT14),IFERROR((AT14+AT17)/AT20,""),"")</f>
        <v/>
      </c>
      <c r="AU23" s="153" t="n"/>
      <c r="BC23" s="25" t="inlineStr">
        <is>
          <t xml:space="preserve">  Tax rate (GAAP &amp; adjusted)</t>
        </is>
      </c>
      <c r="BE23" s="257" t="n">
        <v>0.25</v>
      </c>
      <c r="BG23" s="13" t="inlineStr">
        <is>
          <t>FY27 outlook ~25% (Q1/27 GAAP 26.5%, adjusted 25.9%).</t>
        </is>
      </c>
    </row>
    <row r="24" ht="15" customHeight="1" s="251">
      <c r="B24" s="156" t="inlineStr">
        <is>
          <t xml:space="preserve">  Memo: Healthcare revenue as published (segment data)</t>
        </is>
      </c>
      <c r="C24" s="253" t="n">
        <v>1013.102</v>
      </c>
      <c r="D24" s="253" t="n">
        <v>1074.79</v>
      </c>
      <c r="E24" s="253" t="n">
        <v>1180.051</v>
      </c>
      <c r="F24" s="253" t="n">
        <v>1391.874</v>
      </c>
      <c r="G24" s="253" t="n">
        <v>1630.018</v>
      </c>
      <c r="H24" s="253" t="n">
        <v>1821.053</v>
      </c>
      <c r="I24" s="253" t="n">
        <v>1745.119</v>
      </c>
      <c r="J24" s="253" t="n">
        <v>1848.485</v>
      </c>
      <c r="K24" s="253" t="n">
        <v>1986.809</v>
      </c>
      <c r="L24" s="253" t="n">
        <v>1954.055</v>
      </c>
      <c r="M24" s="253" t="n">
        <v>602.817</v>
      </c>
      <c r="N24" s="253" t="n">
        <v>744.134</v>
      </c>
      <c r="O24" s="253" t="n">
        <v>759.675</v>
      </c>
      <c r="P24" s="253" t="n">
        <v>738.841</v>
      </c>
      <c r="Q24" s="253" t="n">
        <v>2845.467</v>
      </c>
      <c r="R24" s="253" t="n">
        <v>698.526</v>
      </c>
      <c r="S24" s="253" t="n">
        <v>732.813</v>
      </c>
      <c r="T24" s="253" t="n">
        <v>769.144</v>
      </c>
      <c r="U24" s="253" t="n">
        <v>884.648</v>
      </c>
      <c r="V24" s="253" t="n">
        <v>3085.131</v>
      </c>
      <c r="W24" s="253" t="n">
        <v>818.874</v>
      </c>
      <c r="X24" s="253" t="n">
        <v>870.056</v>
      </c>
      <c r="Y24" s="253" t="n">
        <v>916.227</v>
      </c>
      <c r="Z24" s="253" t="n">
        <v>1007.862</v>
      </c>
      <c r="AA24" s="253" t="n">
        <v>3613.019</v>
      </c>
      <c r="AB24" s="253" t="n">
        <v>901.221</v>
      </c>
      <c r="AC24" s="253" t="n">
        <v>944.23</v>
      </c>
      <c r="AD24" s="253" t="n">
        <v>976.044</v>
      </c>
      <c r="AE24" s="253" t="n">
        <v>1057.176</v>
      </c>
      <c r="AF24" s="253" t="n">
        <v>3878.671</v>
      </c>
      <c r="AG24" s="253" t="n">
        <v>974.7</v>
      </c>
      <c r="AH24" s="253" t="n">
        <v>1033.8</v>
      </c>
      <c r="AI24" s="253" t="n">
        <v>1063.8</v>
      </c>
      <c r="AJ24" s="253" t="n">
        <v>1136.3</v>
      </c>
      <c r="AK24" s="253" t="n">
        <v>4208.6</v>
      </c>
      <c r="AL24" s="253" t="n">
        <v>1048.3</v>
      </c>
      <c r="AM24" s="153" t="n"/>
      <c r="AN24" s="153" t="n"/>
      <c r="AO24" s="153" t="n"/>
      <c r="AP24" s="153" t="n"/>
      <c r="AQ24" s="153" t="n"/>
      <c r="AR24" s="153" t="n"/>
      <c r="AS24" s="153" t="n"/>
      <c r="AT24" s="153" t="n"/>
      <c r="AU24" s="153" t="n"/>
      <c r="BC24" s="25" t="inlineStr">
        <is>
          <t xml:space="preserve">  Capital expenditures ($m)</t>
        </is>
      </c>
      <c r="BE24" s="260" t="n">
        <v>450</v>
      </c>
      <c r="BG24" s="13" t="inlineStr">
        <is>
          <t>FY27 outlook ~$450m (Q1/27 release), incl. the North Carolina chemistries and Mentor, OH plants.</t>
        </is>
      </c>
    </row>
    <row r="25" ht="15" customHeight="1" s="251">
      <c r="B25" s="57" t="inlineStr">
        <is>
          <t xml:space="preserve">  Check: revenue by type vs segment revenue (should be 0)</t>
        </is>
      </c>
      <c r="C25" s="263">
        <f>IF(AND(ISNUMBER(C20),ISNUMBER(C24)),IF(ABS(C20-C24)&lt;=0.15,0,ROUND(C20-C24,1)),"")</f>
        <v/>
      </c>
      <c r="D25" s="263">
        <f>IF(AND(ISNUMBER(D20),ISNUMBER(D24)),IF(ABS(D20-D24)&lt;=0.15,0,ROUND(D20-D24,1)),"")</f>
        <v/>
      </c>
      <c r="E25" s="263">
        <f>IF(AND(ISNUMBER(E20),ISNUMBER(E24)),IF(ABS(E20-E24)&lt;=0.15,0,ROUND(E20-E24,1)),"")</f>
        <v/>
      </c>
      <c r="F25" s="263">
        <f>IF(AND(ISNUMBER(F20),ISNUMBER(F24)),IF(ABS(F20-F24)&lt;=0.15,0,ROUND(F20-F24,1)),"")</f>
        <v/>
      </c>
      <c r="G25" s="263">
        <f>IF(AND(ISNUMBER(G20),ISNUMBER(G24)),IF(ABS(G20-G24)&lt;=0.15,0,ROUND(G20-G24,1)),"")</f>
        <v/>
      </c>
      <c r="H25" s="263">
        <f>IF(AND(ISNUMBER(H20),ISNUMBER(H24)),IF(ABS(H20-H24)&lt;=0.15,0,ROUND(H20-H24,1)),"")</f>
        <v/>
      </c>
      <c r="I25" s="263">
        <f>IF(AND(ISNUMBER(I20),ISNUMBER(I24)),IF(ABS(I20-I24)&lt;=0.15,0,ROUND(I20-I24,1)),"")</f>
        <v/>
      </c>
      <c r="J25" s="263">
        <f>IF(AND(ISNUMBER(J20),ISNUMBER(J24)),IF(ABS(J20-J24)&lt;=0.15,0,ROUND(J20-J24,1)),"")</f>
        <v/>
      </c>
      <c r="K25" s="263">
        <f>IF(AND(ISNUMBER(K20),ISNUMBER(K24)),IF(ABS(K20-K24)&lt;=0.15,0,ROUND(K20-K24,1)),"")</f>
        <v/>
      </c>
      <c r="L25" s="263">
        <f>IF(AND(ISNUMBER(L20),ISNUMBER(L24)),IF(ABS(L20-L24)&lt;=0.15,0,ROUND(L20-L24,1)),"")</f>
        <v/>
      </c>
      <c r="M25" s="263">
        <f>IF(AND(ISNUMBER(M20),ISNUMBER(M24)),IF(ABS(M20-M24)&lt;=0.15,0,ROUND(M20-M24,1)),"")</f>
        <v/>
      </c>
      <c r="N25" s="263">
        <f>IF(AND(ISNUMBER(N20),ISNUMBER(N24)),IF(ABS(N20-N24)&lt;=0.15,0,ROUND(N20-N24,1)),"")</f>
        <v/>
      </c>
      <c r="O25" s="263">
        <f>IF(AND(ISNUMBER(O20),ISNUMBER(O24)),IF(ABS(O20-O24)&lt;=0.15,0,ROUND(O20-O24,1)),"")</f>
        <v/>
      </c>
      <c r="P25" s="263">
        <f>IF(AND(ISNUMBER(P20),ISNUMBER(P24)),IF(ABS(P20-P24)&lt;=0.15,0,ROUND(P20-P24,1)),"")</f>
        <v/>
      </c>
      <c r="Q25" s="263">
        <f>IF(AND(ISNUMBER(Q20),ISNUMBER(Q24)),IF(ABS(Q20-Q24)&lt;=0.15,0,ROUND(Q20-Q24,1)),"")</f>
        <v/>
      </c>
      <c r="R25" s="263">
        <f>IF(AND(ISNUMBER(R20),ISNUMBER(R24)),IF(ABS(R20-R24)&lt;=0.15,0,ROUND(R20-R24,1)),"")</f>
        <v/>
      </c>
      <c r="S25" s="263">
        <f>IF(AND(ISNUMBER(S20),ISNUMBER(S24)),IF(ABS(S20-S24)&lt;=0.15,0,ROUND(S20-S24,1)),"")</f>
        <v/>
      </c>
      <c r="T25" s="263">
        <f>IF(AND(ISNUMBER(T20),ISNUMBER(T24)),IF(ABS(T20-T24)&lt;=0.15,0,ROUND(T20-T24,1)),"")</f>
        <v/>
      </c>
      <c r="U25" s="263">
        <f>IF(AND(ISNUMBER(U20),ISNUMBER(U24)),IF(ABS(U20-U24)&lt;=0.15,0,ROUND(U20-U24,1)),"")</f>
        <v/>
      </c>
      <c r="V25" s="263">
        <f>IF(AND(ISNUMBER(V20),ISNUMBER(V24)),IF(ABS(V20-V24)&lt;=0.15,0,ROUND(V20-V24,1)),"")</f>
        <v/>
      </c>
      <c r="W25" s="263">
        <f>IF(AND(ISNUMBER(W20),ISNUMBER(W24)),IF(ABS(W20-W24)&lt;=0.15,0,ROUND(W20-W24,1)),"")</f>
        <v/>
      </c>
      <c r="X25" s="263">
        <f>IF(AND(ISNUMBER(X20),ISNUMBER(X24)),IF(ABS(X20-X24)&lt;=0.15,0,ROUND(X20-X24,1)),"")</f>
        <v/>
      </c>
      <c r="Y25" s="263">
        <f>IF(AND(ISNUMBER(Y20),ISNUMBER(Y24)),IF(ABS(Y20-Y24)&lt;=0.15,0,ROUND(Y20-Y24,1)),"")</f>
        <v/>
      </c>
      <c r="Z25" s="263">
        <f>IF(AND(ISNUMBER(Z20),ISNUMBER(Z24)),IF(ABS(Z20-Z24)&lt;=0.15,0,ROUND(Z20-Z24,1)),"")</f>
        <v/>
      </c>
      <c r="AA25" s="263">
        <f>IF(AND(ISNUMBER(AA20),ISNUMBER(AA24)),IF(ABS(AA20-AA24)&lt;=0.15,0,ROUND(AA20-AA24,1)),"")</f>
        <v/>
      </c>
      <c r="AB25" s="263">
        <f>IF(AND(ISNUMBER(AB20),ISNUMBER(AB24)),IF(ABS(AB20-AB24)&lt;=0.15,0,ROUND(AB20-AB24,1)),"")</f>
        <v/>
      </c>
      <c r="AC25" s="263">
        <f>IF(AND(ISNUMBER(AC20),ISNUMBER(AC24)),IF(ABS(AC20-AC24)&lt;=0.15,0,ROUND(AC20-AC24,1)),"")</f>
        <v/>
      </c>
      <c r="AD25" s="263">
        <f>IF(AND(ISNUMBER(AD20),ISNUMBER(AD24)),IF(ABS(AD20-AD24)&lt;=0.15,0,ROUND(AD20-AD24,1)),"")</f>
        <v/>
      </c>
      <c r="AE25" s="263">
        <f>IF(AND(ISNUMBER(AE20),ISNUMBER(AE24)),IF(ABS(AE20-AE24)&lt;=0.15,0,ROUND(AE20-AE24,1)),"")</f>
        <v/>
      </c>
      <c r="AF25" s="263">
        <f>IF(AND(ISNUMBER(AF20),ISNUMBER(AF24)),IF(ABS(AF20-AF24)&lt;=0.15,0,ROUND(AF20-AF24,1)),"")</f>
        <v/>
      </c>
      <c r="AG25" s="263">
        <f>IF(AND(ISNUMBER(AG20),ISNUMBER(AG24)),IF(ABS(AG20-AG24)&lt;=0.15,0,ROUND(AG20-AG24,1)),"")</f>
        <v/>
      </c>
      <c r="AH25" s="263">
        <f>IF(AND(ISNUMBER(AH20),ISNUMBER(AH24)),IF(ABS(AH20-AH24)&lt;=0.15,0,ROUND(AH20-AH24,1)),"")</f>
        <v/>
      </c>
      <c r="AI25" s="263">
        <f>IF(AND(ISNUMBER(AI20),ISNUMBER(AI24)),IF(ABS(AI20-AI24)&lt;=0.15,0,ROUND(AI20-AI24,1)),"")</f>
        <v/>
      </c>
      <c r="AJ25" s="263">
        <f>IF(AND(ISNUMBER(AJ20),ISNUMBER(AJ24)),IF(ABS(AJ20-AJ24)&lt;=0.15,0,ROUND(AJ20-AJ24,1)),"")</f>
        <v/>
      </c>
      <c r="AK25" s="263">
        <f>IF(AND(ISNUMBER(AK20),ISNUMBER(AK24)),IF(ABS(AK20-AK24)&lt;=0.15,0,ROUND(AK20-AK24,1)),"")</f>
        <v/>
      </c>
      <c r="AL25" s="263">
        <f>IF(AND(ISNUMBER(AL20),ISNUMBER(AL24)),IF(ABS(AL20-AL24)&lt;=0.15,0,ROUND(AL20-AL24,1)),"")</f>
        <v/>
      </c>
      <c r="AM25" s="153" t="n"/>
      <c r="AN25" s="153" t="n"/>
      <c r="AO25" s="153" t="n"/>
      <c r="AP25" s="153" t="n"/>
      <c r="AQ25" s="153" t="n"/>
      <c r="AR25" s="153" t="n"/>
      <c r="AS25" s="153" t="n"/>
      <c r="AT25" s="153" t="n"/>
      <c r="AU25" s="153" t="n"/>
      <c r="BC25" s="25" t="inlineStr">
        <is>
          <t xml:space="preserve">  Free cash flow outlook ($m) — memo</t>
        </is>
      </c>
      <c r="BE25" s="260" t="n">
        <v>800</v>
      </c>
      <c r="BG25" s="13" t="inlineStr">
        <is>
          <t>FY27 outlook ~$800m (CFO ~$1,250m − capex ~$450m).</t>
        </is>
      </c>
    </row>
    <row r="26" ht="15" customHeight="1" s="251">
      <c r="B26" s="25" t="inlineStr">
        <is>
          <t xml:space="preserve">  Segment operating income (adjusted basis)</t>
        </is>
      </c>
      <c r="C26" s="253" t="n">
        <v>127.849</v>
      </c>
      <c r="D26" s="253" t="n">
        <v>128.767</v>
      </c>
      <c r="E26" s="253" t="n">
        <v>149.842</v>
      </c>
      <c r="F26" s="253" t="n">
        <v>185.108</v>
      </c>
      <c r="G26" s="253" t="n">
        <v>205.46</v>
      </c>
      <c r="H26" s="253" t="n">
        <v>237.972</v>
      </c>
      <c r="I26" s="253" t="n">
        <v>250.705</v>
      </c>
      <c r="J26" s="253" t="n">
        <v>387.906</v>
      </c>
      <c r="K26" s="253" t="n">
        <v>420.636</v>
      </c>
      <c r="L26" s="253" t="n">
        <v>427.089</v>
      </c>
      <c r="M26" s="253" t="n">
        <v>136.16</v>
      </c>
      <c r="N26" s="253" t="n">
        <v>160.39</v>
      </c>
      <c r="O26" s="253" t="n">
        <v>169.267</v>
      </c>
      <c r="P26" s="253" t="n">
        <v>160.281</v>
      </c>
      <c r="Q26" s="253" t="n">
        <v>626.098</v>
      </c>
      <c r="R26" s="253" t="n">
        <v>156.497</v>
      </c>
      <c r="S26" s="253" t="n">
        <v>165.337</v>
      </c>
      <c r="T26" s="253" t="n">
        <v>175.399</v>
      </c>
      <c r="U26" s="253" t="n">
        <v>208.787</v>
      </c>
      <c r="V26" s="253" t="n">
        <v>706.02</v>
      </c>
      <c r="W26" s="253" t="n">
        <v>198.182</v>
      </c>
      <c r="X26" s="253" t="n">
        <v>204.054</v>
      </c>
      <c r="Y26" s="253" t="n">
        <v>223.898</v>
      </c>
      <c r="Z26" s="253" t="n">
        <v>245.224</v>
      </c>
      <c r="AA26" s="253" t="n">
        <v>871.3579999999999</v>
      </c>
      <c r="AB26" s="253" t="n">
        <v>216.887</v>
      </c>
      <c r="AC26" s="253" t="n">
        <v>228.006</v>
      </c>
      <c r="AD26" s="253" t="n">
        <v>246.917</v>
      </c>
      <c r="AE26" s="253" t="n">
        <v>279.711</v>
      </c>
      <c r="AF26" s="253" t="n">
        <v>971.521</v>
      </c>
      <c r="AG26" s="253" t="n">
        <v>235.5</v>
      </c>
      <c r="AH26" s="253" t="n">
        <v>259.5</v>
      </c>
      <c r="AI26" s="253" t="n">
        <v>258.1</v>
      </c>
      <c r="AJ26" s="253" t="n">
        <v>283.2</v>
      </c>
      <c r="AK26" s="253" t="n">
        <v>1036.4</v>
      </c>
      <c r="AL26" s="253" t="n">
        <v>260.2</v>
      </c>
      <c r="AM26" s="254">
        <f>AM20*AM27</f>
        <v/>
      </c>
      <c r="AN26" s="254">
        <f>AN20*AN27</f>
        <v/>
      </c>
      <c r="AO26" s="254">
        <f>AO20*AO27</f>
        <v/>
      </c>
      <c r="AP26" s="254">
        <f>SUM(AL26,AM26,AN26,AO26)</f>
        <v/>
      </c>
      <c r="AQ26" s="254">
        <f>AQ20*AQ27</f>
        <v/>
      </c>
      <c r="AR26" s="254">
        <f>AR20*AR27</f>
        <v/>
      </c>
      <c r="AS26" s="254">
        <f>AS20*AS27</f>
        <v/>
      </c>
      <c r="AT26" s="254">
        <f>AT20*AT27</f>
        <v/>
      </c>
      <c r="AU26" s="19" t="inlineStr">
        <is>
          <t>Segment income before adjustments (company measure; FY2012–15: adjusted segment operating income from the release reconciliations). Forecast = revenue × segment margin.</t>
        </is>
      </c>
      <c r="AW26" s="20">
        <f>IFERROR((AT26/AK26)^(1/5)-1,"n/m")</f>
        <v/>
      </c>
      <c r="AX26" s="20">
        <f>IFERROR((AK26/L26)^(1/5)-1,"n/m")</f>
        <v/>
      </c>
      <c r="AY26" s="20">
        <f>IFERROR((AK26/G26)^(1/10)-1,"n/m")</f>
        <v/>
      </c>
      <c r="AZ26" s="20">
        <f>IFERROR((AK26/C26)^(1/14)-1,"n/m")</f>
        <v/>
      </c>
    </row>
    <row r="27" ht="15" customHeight="1" s="251">
      <c r="B27" s="25" t="inlineStr">
        <is>
          <t xml:space="preserve">  Segment operating margin %</t>
        </is>
      </c>
      <c r="C27" s="215">
        <f>IF(AND(ISNUMBER(C26),ISNUMBER(C20)),IFERROR(C26/C20,""),"")</f>
        <v/>
      </c>
      <c r="D27" s="215">
        <f>IF(AND(ISNUMBER(D26),ISNUMBER(D20)),IFERROR(D26/D20,""),"")</f>
        <v/>
      </c>
      <c r="E27" s="215">
        <f>IF(AND(ISNUMBER(E26),ISNUMBER(E20)),IFERROR(E26/E20,""),"")</f>
        <v/>
      </c>
      <c r="F27" s="215">
        <f>IF(AND(ISNUMBER(F26),ISNUMBER(F20)),IFERROR(F26/F20,""),"")</f>
        <v/>
      </c>
      <c r="G27" s="215">
        <f>IF(AND(ISNUMBER(G26),ISNUMBER(G20)),IFERROR(G26/G20,""),"")</f>
        <v/>
      </c>
      <c r="H27" s="215">
        <f>IF(AND(ISNUMBER(H26),ISNUMBER(H20)),IFERROR(H26/H20,""),"")</f>
        <v/>
      </c>
      <c r="I27" s="215">
        <f>IF(AND(ISNUMBER(I26),ISNUMBER(I20)),IFERROR(I26/I20,""),"")</f>
        <v/>
      </c>
      <c r="J27" s="215">
        <f>IF(AND(ISNUMBER(J26),ISNUMBER(J20)),IFERROR(J26/J20,""),"")</f>
        <v/>
      </c>
      <c r="K27" s="215">
        <f>IF(AND(ISNUMBER(K26),ISNUMBER(K20)),IFERROR(K26/K20,""),"")</f>
        <v/>
      </c>
      <c r="L27" s="215">
        <f>IF(AND(ISNUMBER(L26),ISNUMBER(L20)),IFERROR(L26/L20,""),"")</f>
        <v/>
      </c>
      <c r="M27" s="215">
        <f>IF(AND(ISNUMBER(M26),ISNUMBER(M20)),IFERROR(M26/M20,""),"")</f>
        <v/>
      </c>
      <c r="N27" s="215">
        <f>IF(AND(ISNUMBER(N26),ISNUMBER(N20)),IFERROR(N26/N20,""),"")</f>
        <v/>
      </c>
      <c r="O27" s="215">
        <f>IF(AND(ISNUMBER(O26),ISNUMBER(O20)),IFERROR(O26/O20,""),"")</f>
        <v/>
      </c>
      <c r="P27" s="215">
        <f>IF(AND(ISNUMBER(P26),ISNUMBER(P20)),IFERROR(P26/P20,""),"")</f>
        <v/>
      </c>
      <c r="Q27" s="215">
        <f>IF(AND(ISNUMBER(Q26),ISNUMBER(Q20)),IFERROR(Q26/Q20,""),"")</f>
        <v/>
      </c>
      <c r="R27" s="215">
        <f>IF(AND(ISNUMBER(R26),ISNUMBER(R20)),IFERROR(R26/R20,""),"")</f>
        <v/>
      </c>
      <c r="S27" s="215">
        <f>IF(AND(ISNUMBER(S26),ISNUMBER(S20)),IFERROR(S26/S20,""),"")</f>
        <v/>
      </c>
      <c r="T27" s="215">
        <f>IF(AND(ISNUMBER(T26),ISNUMBER(T20)),IFERROR(T26/T20,""),"")</f>
        <v/>
      </c>
      <c r="U27" s="215">
        <f>IF(AND(ISNUMBER(U26),ISNUMBER(U20)),IFERROR(U26/U20,""),"")</f>
        <v/>
      </c>
      <c r="V27" s="215">
        <f>IF(AND(ISNUMBER(V26),ISNUMBER(V20)),IFERROR(V26/V20,""),"")</f>
        <v/>
      </c>
      <c r="W27" s="215">
        <f>IF(AND(ISNUMBER(W26),ISNUMBER(W20)),IFERROR(W26/W20,""),"")</f>
        <v/>
      </c>
      <c r="X27" s="215">
        <f>IF(AND(ISNUMBER(X26),ISNUMBER(X20)),IFERROR(X26/X20,""),"")</f>
        <v/>
      </c>
      <c r="Y27" s="215">
        <f>IF(AND(ISNUMBER(Y26),ISNUMBER(Y20)),IFERROR(Y26/Y20,""),"")</f>
        <v/>
      </c>
      <c r="Z27" s="215">
        <f>IF(AND(ISNUMBER(Z26),ISNUMBER(Z20)),IFERROR(Z26/Z20,""),"")</f>
        <v/>
      </c>
      <c r="AA27" s="215">
        <f>IF(AND(ISNUMBER(AA26),ISNUMBER(AA20)),IFERROR(AA26/AA20,""),"")</f>
        <v/>
      </c>
      <c r="AB27" s="215">
        <f>IF(AND(ISNUMBER(AB26),ISNUMBER(AB20)),IFERROR(AB26/AB20,""),"")</f>
        <v/>
      </c>
      <c r="AC27" s="215">
        <f>IF(AND(ISNUMBER(AC26),ISNUMBER(AC20)),IFERROR(AC26/AC20,""),"")</f>
        <v/>
      </c>
      <c r="AD27" s="215">
        <f>IF(AND(ISNUMBER(AD26),ISNUMBER(AD20)),IFERROR(AD26/AD20,""),"")</f>
        <v/>
      </c>
      <c r="AE27" s="215">
        <f>IF(AND(ISNUMBER(AE26),ISNUMBER(AE20)),IFERROR(AE26/AE20,""),"")</f>
        <v/>
      </c>
      <c r="AF27" s="215">
        <f>IF(AND(ISNUMBER(AF26),ISNUMBER(AF20)),IFERROR(AF26/AF20,""),"")</f>
        <v/>
      </c>
      <c r="AG27" s="215">
        <f>IF(AND(ISNUMBER(AG26),ISNUMBER(AG20)),IFERROR(AG26/AG20,""),"")</f>
        <v/>
      </c>
      <c r="AH27" s="215">
        <f>IF(AND(ISNUMBER(AH26),ISNUMBER(AH20)),IFERROR(AH26/AH20,""),"")</f>
        <v/>
      </c>
      <c r="AI27" s="215">
        <f>IF(AND(ISNUMBER(AI26),ISNUMBER(AI20)),IFERROR(AI26/AI20,""),"")</f>
        <v/>
      </c>
      <c r="AJ27" s="215">
        <f>IF(AND(ISNUMBER(AJ26),ISNUMBER(AJ20)),IFERROR(AJ26/AJ20,""),"")</f>
        <v/>
      </c>
      <c r="AK27" s="215">
        <f>IF(AND(ISNUMBER(AK26),ISNUMBER(AK20)),IFERROR(AK26/AK20,""),"")</f>
        <v/>
      </c>
      <c r="AL27" s="215">
        <f>IF(AND(ISNUMBER(AL26),ISNUMBER(AL20)),IFERROR(AL26/AL20,""),"")</f>
        <v/>
      </c>
      <c r="AM27" s="256">
        <f>AM28+$AM$134</f>
        <v/>
      </c>
      <c r="AN27" s="256">
        <f>AN28+$AM$134</f>
        <v/>
      </c>
      <c r="AO27" s="256">
        <f>AO28+$AM$134</f>
        <v/>
      </c>
      <c r="AP27" s="256">
        <f>IF(AND(ISNUMBER(AP26),ISNUMBER(AP20)),IFERROR(AP26/AP20,""),"")</f>
        <v/>
      </c>
      <c r="AQ27" s="256">
        <f>CHOOSE(MATCH($AU$2,{"Bull","Base","Bear"},0),$BD$70,$BE$70,$BF$70)</f>
        <v/>
      </c>
      <c r="AR27" s="256">
        <f>CHOOSE(MATCH($AU$2,{"Bull","Base","Bear"},0),$BD$71,$BE$71,$BF$71)</f>
        <v/>
      </c>
      <c r="AS27" s="256">
        <f>CHOOSE(MATCH($AU$2,{"Bull","Base","Bear"},0),$BD$72,$BE$72,$BF$72)</f>
        <v/>
      </c>
      <c r="AT27" s="256">
        <f>CHOOSE(MATCH($AU$2,{"Bull","Base","Bear"},0),$BD$73,$BE$73,$BF$73)</f>
        <v/>
      </c>
      <c r="AU27" s="153" t="inlineStr">
        <is>
          <t>Q2–Q4/27E: margin before calibration + adjusted-EPS-outlook calibration Δ (Group block). 2028E+: scenario lever.</t>
        </is>
      </c>
      <c r="AW27" s="37">
        <f>IFERROR(AVERAGE(AP27,AQ27,AR27,AS27,AT27),"n/m")</f>
        <v/>
      </c>
      <c r="AX27" s="37">
        <f>IFERROR(AVERAGE(Q27,V27,AA27,AF27,AK27),"n/m")</f>
        <v/>
      </c>
      <c r="AY27" s="37">
        <f>IFERROR(AVERAGE(H27,I27,J27,K27,L27,Q27,V27,AA27,AF27,AK27),"n/m")</f>
        <v/>
      </c>
      <c r="AZ27" s="37">
        <f>IFERROR(AVERAGE(C27,D27,E27,F27,G27,H27,I27,J27,K27,L27,Q27,V27,AA27,AF27,AK27),"n/m")</f>
        <v/>
      </c>
      <c r="BC27" s="25" t="inlineStr">
        <is>
          <t xml:space="preserve">  Maximum net debt / adjusted EBITDA before buybacks (x) — buyback floor 2028E+</t>
        </is>
      </c>
      <c r="BD27" s="264" t="n">
        <v>1</v>
      </c>
      <c r="BE27" s="264" t="n">
        <v>0.75</v>
      </c>
      <c r="BF27" s="264" t="n">
        <v>0.5</v>
      </c>
      <c r="BG27" s="13" t="inlineStr">
        <is>
          <t>Net debt $1.41bn at 30-Jun-26 ≈ 0.9x adjusted EBITDA (model definition). Target = leverage up to which surplus cash is returned via buybacks; below it free cash flow is held / repays the revolver. Bull = more buybacks (higher target).</t>
        </is>
      </c>
    </row>
    <row r="28" ht="15" customHeight="1" s="251">
      <c r="B28" s="25" t="inlineStr">
        <is>
          <t xml:space="preserve">  Q2–Q4/27E margin before EPS-outlook calibration (prior-year quarter + Q1/27 y/y drift)</t>
        </is>
      </c>
      <c r="C28" s="36"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256">
        <f>AH27+IFERROR(AL26/AL20-AG26/AG20,0)</f>
        <v/>
      </c>
      <c r="AN28" s="256">
        <f>AI27+IFERROR(AL26/AL20-AG26/AG20,0)</f>
        <v/>
      </c>
      <c r="AO28" s="256">
        <f>AJ27+IFERROR(AL26/AL20-AG26/AG20,0)</f>
        <v/>
      </c>
      <c r="AP28" s="24" t="n"/>
      <c r="AQ28" s="46" t="n"/>
      <c r="AR28" s="46" t="n"/>
      <c r="AS28" s="46" t="n"/>
      <c r="AT28" s="46" t="n"/>
      <c r="AU28" s="19" t="n"/>
    </row>
    <row r="29" ht="15" customHeight="1" s="251">
      <c r="B29" s="25" t="inlineStr">
        <is>
          <t xml:space="preserve">  Incremental segment margin (Δ operating income / Δ revenue)</t>
        </is>
      </c>
      <c r="C29" s="36" t="n"/>
      <c r="D29" s="215">
        <f>IFERROR((D26-C26)/(D20-C20),"")</f>
        <v/>
      </c>
      <c r="E29" s="215">
        <f>IFERROR((E26-D26)/(E20-D20),"")</f>
        <v/>
      </c>
      <c r="F29" s="215">
        <f>IFERROR((F26-E26)/(F20-E20),"")</f>
        <v/>
      </c>
      <c r="G29" s="215">
        <f>IFERROR((G26-F26)/(G20-F20),"")</f>
        <v/>
      </c>
      <c r="H29" s="215">
        <f>IFERROR((H26-G26)/(H20-G20),"")</f>
        <v/>
      </c>
      <c r="I29" s="215">
        <f>IFERROR((I26-H26)/(I20-H20),"")</f>
        <v/>
      </c>
      <c r="J29" s="215">
        <f>IFERROR((J26-I26)/(J20-I20),"")</f>
        <v/>
      </c>
      <c r="K29" s="215">
        <f>IFERROR((K26-J26)/(K20-J20),"")</f>
        <v/>
      </c>
      <c r="L29" s="215">
        <f>IFERROR((L26-K26)/(L20-K20),"")</f>
        <v/>
      </c>
      <c r="M29" s="36" t="n"/>
      <c r="N29" s="36" t="n"/>
      <c r="O29" s="36" t="n"/>
      <c r="P29" s="36" t="n"/>
      <c r="Q29" s="215">
        <f>IFERROR((Q26-L26)/(Q20-L20),"")</f>
        <v/>
      </c>
      <c r="R29" s="215">
        <f>IFERROR((R26-M26)/(R20-M20),"")</f>
        <v/>
      </c>
      <c r="S29" s="215">
        <f>IFERROR((S26-N26)/(S20-N20),"")</f>
        <v/>
      </c>
      <c r="T29" s="215">
        <f>IFERROR((T26-O26)/(T20-O20),"")</f>
        <v/>
      </c>
      <c r="U29" s="215">
        <f>IFERROR((U26-P26)/(U20-P20),"")</f>
        <v/>
      </c>
      <c r="V29" s="215">
        <f>IFERROR((V26-Q26)/(V20-Q20),"")</f>
        <v/>
      </c>
      <c r="W29" s="215">
        <f>IFERROR((W26-R26)/(W20-R20),"")</f>
        <v/>
      </c>
      <c r="X29" s="215">
        <f>IFERROR((X26-S26)/(X20-S20),"")</f>
        <v/>
      </c>
      <c r="Y29" s="215">
        <f>IFERROR((Y26-T26)/(Y20-T20),"")</f>
        <v/>
      </c>
      <c r="Z29" s="215">
        <f>IFERROR((Z26-U26)/(Z20-U20),"")</f>
        <v/>
      </c>
      <c r="AA29" s="215">
        <f>IFERROR((AA26-V26)/(AA20-V20),"")</f>
        <v/>
      </c>
      <c r="AB29" s="215">
        <f>IFERROR((AB26-W26)/(AB20-W20),"")</f>
        <v/>
      </c>
      <c r="AC29" s="215">
        <f>IFERROR((AC26-X26)/(AC20-X20),"")</f>
        <v/>
      </c>
      <c r="AD29" s="215">
        <f>IFERROR((AD26-Y26)/(AD20-Y20),"")</f>
        <v/>
      </c>
      <c r="AE29" s="215">
        <f>IFERROR((AE26-Z26)/(AE20-Z20),"")</f>
        <v/>
      </c>
      <c r="AF29" s="215">
        <f>IFERROR((AF26-AA26)/(AF20-AA20),"")</f>
        <v/>
      </c>
      <c r="AG29" s="215">
        <f>IFERROR((AG26-AB26)/(AG20-AB20),"")</f>
        <v/>
      </c>
      <c r="AH29" s="215">
        <f>IFERROR((AH26-AC26)/(AH20-AC20),"")</f>
        <v/>
      </c>
      <c r="AI29" s="215">
        <f>IFERROR((AI26-AD26)/(AI20-AD20),"")</f>
        <v/>
      </c>
      <c r="AJ29" s="215">
        <f>IFERROR((AJ26-AE26)/(AJ20-AE20),"")</f>
        <v/>
      </c>
      <c r="AK29" s="215">
        <f>IFERROR((AK26-AF26)/(AK20-AF20),"")</f>
        <v/>
      </c>
      <c r="AL29" s="215">
        <f>IFERROR((AL26-AG26)/(AL20-AG20),"")</f>
        <v/>
      </c>
      <c r="AM29" s="256">
        <f>IFERROR((AM26-AH26)/(AM20-AH20),"")</f>
        <v/>
      </c>
      <c r="AN29" s="256">
        <f>IFERROR((AN26-AI26)/(AN20-AI20),"")</f>
        <v/>
      </c>
      <c r="AO29" s="256">
        <f>IFERROR((AO26-AJ26)/(AO20-AJ20),"")</f>
        <v/>
      </c>
      <c r="AP29" s="256">
        <f>IFERROR((AP26-AK26)/(AP20-AK20),"")</f>
        <v/>
      </c>
      <c r="AQ29" s="256">
        <f>IFERROR((AQ26-AP26)/(AQ20-AP20),"")</f>
        <v/>
      </c>
      <c r="AR29" s="256">
        <f>IFERROR((AR26-AQ26)/(AR20-AQ20),"")</f>
        <v/>
      </c>
      <c r="AS29" s="256">
        <f>IFERROR((AS26-AR26)/(AS20-AR20),"")</f>
        <v/>
      </c>
      <c r="AT29" s="256">
        <f>IFERROR((AT26-AS26)/(AT20-AS20),"")</f>
        <v/>
      </c>
      <c r="AU29" s="153" t="n"/>
      <c r="BC29" s="15" t="inlineStr">
        <is>
          <t>HC_CAP (Healthcare capital equipment y/y)</t>
        </is>
      </c>
      <c r="BD29" s="41" t="n">
        <v>0.02</v>
      </c>
      <c r="BE29" s="21" t="inlineStr">
        <is>
          <t>Δ →</t>
        </is>
      </c>
      <c r="BF29" s="41" t="n">
        <v>-0.04</v>
      </c>
      <c r="BG29" s="13" t="inlineStr">
        <is>
          <t>Hospital capex cycle (sterilizers, washers, OR tables / lights, integration); backlog $444m at 30-Jun-26 (+10% y/y).</t>
        </is>
      </c>
    </row>
    <row r="30" ht="15" customHeight="1" s="251">
      <c r="BC30" s="25" t="inlineStr">
        <is>
          <t xml:space="preserve">  2028E</t>
        </is>
      </c>
      <c r="BD30" s="33">
        <f>BE30+$BD$29</f>
        <v/>
      </c>
      <c r="BE30" s="42" t="n">
        <v>0.045</v>
      </c>
      <c r="BF30" s="33">
        <f>BE30+$BF$29</f>
        <v/>
      </c>
    </row>
    <row r="31" ht="15" customHeight="1" s="251">
      <c r="B31" s="14" t="inlineStr">
        <is>
          <t>Applied Sterilization Technologies (contract EO / gamma / E-beam / X-ray sterilization and lab testing; "Isomedix" to FY2015)</t>
        </is>
      </c>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5" t="inlineStr">
        <is>
          <t>APPLIED STERILIZATION TECHNOLOGIES (AST) — modelling logic</t>
        </is>
      </c>
      <c r="BC31" s="25" t="inlineStr">
        <is>
          <t xml:space="preserve">  2029E</t>
        </is>
      </c>
      <c r="BD31" s="33">
        <f>BE31+$BD$29</f>
        <v/>
      </c>
      <c r="BE31" s="42" t="n">
        <v>0.04</v>
      </c>
      <c r="BF31" s="33">
        <f>BE31+$BF$29</f>
        <v/>
      </c>
    </row>
    <row r="32" ht="15" customHeight="1" s="251">
      <c r="B32" s="25" t="inlineStr">
        <is>
          <t xml:space="preserve">  Service (contract sterilization &amp; lab testing) revenue</t>
        </is>
      </c>
      <c r="C32" s="253" t="n">
        <v>164.257</v>
      </c>
      <c r="D32" s="253" t="n">
        <v>179.55</v>
      </c>
      <c r="E32" s="253" t="n">
        <v>194.183</v>
      </c>
      <c r="F32" s="253" t="n">
        <v>205.675</v>
      </c>
      <c r="G32" s="253" t="n">
        <v>310.12</v>
      </c>
      <c r="H32" s="253" t="n">
        <v>458.231</v>
      </c>
      <c r="I32" s="253" t="n">
        <v>513.287</v>
      </c>
      <c r="J32" s="253" t="n">
        <v>555.127</v>
      </c>
      <c r="K32" s="253" t="n">
        <v>627.147</v>
      </c>
      <c r="L32" s="253" t="n">
        <v>685.912</v>
      </c>
      <c r="M32" s="253" t="n">
        <v>208.902</v>
      </c>
      <c r="N32" s="253" t="n">
        <v>204.892</v>
      </c>
      <c r="O32" s="253" t="n">
        <v>216.298</v>
      </c>
      <c r="P32" s="253" t="n">
        <v>222.88</v>
      </c>
      <c r="Q32" s="253" t="n">
        <v>852.972</v>
      </c>
      <c r="R32" s="253" t="n">
        <v>220.911</v>
      </c>
      <c r="S32" s="253" t="n">
        <v>232.358</v>
      </c>
      <c r="T32" s="253" t="n">
        <v>222.014</v>
      </c>
      <c r="U32" s="253" t="n">
        <v>227.469</v>
      </c>
      <c r="V32" s="253" t="n">
        <v>887.971</v>
      </c>
      <c r="W32" s="253" t="n">
        <v>232.225</v>
      </c>
      <c r="X32" s="253" t="n">
        <v>233.299</v>
      </c>
      <c r="Y32" s="253" t="n">
        <v>229.69</v>
      </c>
      <c r="Z32" s="253" t="n">
        <v>244.247</v>
      </c>
      <c r="AA32" s="253" t="n">
        <v>939.461</v>
      </c>
      <c r="AB32" s="253" t="n">
        <v>248.715</v>
      </c>
      <c r="AC32" s="253" t="n">
        <v>247.932</v>
      </c>
      <c r="AD32" s="253" t="n">
        <v>253.14</v>
      </c>
      <c r="AE32" s="253" t="n">
        <v>257.84</v>
      </c>
      <c r="AF32" s="253" t="n">
        <v>1007.627</v>
      </c>
      <c r="AG32" s="253" t="n">
        <v>279.6</v>
      </c>
      <c r="AH32" s="253" t="n">
        <v>279.4</v>
      </c>
      <c r="AI32" s="253" t="n">
        <v>276.4</v>
      </c>
      <c r="AJ32" s="253" t="n">
        <v>283.1</v>
      </c>
      <c r="AK32" s="253" t="n">
        <v>1118.5</v>
      </c>
      <c r="AL32" s="253" t="n">
        <v>296.3</v>
      </c>
      <c r="AM32" s="254">
        <f>AH32*(1+AM33)</f>
        <v/>
      </c>
      <c r="AN32" s="254">
        <f>AI32*(1+AN33)</f>
        <v/>
      </c>
      <c r="AO32" s="254">
        <f>AJ32*(1+AO33)</f>
        <v/>
      </c>
      <c r="AP32" s="254">
        <f>SUM(AL32,AM32,AN32,AO32)</f>
        <v/>
      </c>
      <c r="AQ32" s="254">
        <f>AP32*(1+AQ33)</f>
        <v/>
      </c>
      <c r="AR32" s="254">
        <f>AQ32*(1+AR33)</f>
        <v/>
      </c>
      <c r="AS32" s="254">
        <f>AR32*(1+AS33)</f>
        <v/>
      </c>
      <c r="AT32" s="254">
        <f>AS32*(1+AT33)</f>
        <v/>
      </c>
      <c r="AU32" s="19" t="inlineStr">
        <is>
          <t>Revenue by type as published (release "Unaudited Supplemental Financial Data"). Q2–Q4/27E: prior-year quarter × (1 + growth). 2028E+: prior year × (1 + scenario lever).</t>
        </is>
      </c>
      <c r="AW32" s="20">
        <f>IFERROR((AT32/AK32)^(1/5)-1,"n/m")</f>
        <v/>
      </c>
      <c r="AX32" s="20">
        <f>IFERROR((AK32/L32)^(1/5)-1,"n/m")</f>
        <v/>
      </c>
      <c r="AY32" s="20">
        <f>IFERROR((AK32/G32)^(1/10)-1,"n/m")</f>
        <v/>
      </c>
      <c r="AZ32" s="20">
        <f>IFERROR((AK32/C32)^(1/14)-1,"n/m")</f>
        <v/>
      </c>
      <c r="BC32" s="25" t="inlineStr">
        <is>
          <t xml:space="preserve">  2030E</t>
        </is>
      </c>
      <c r="BD32" s="33">
        <f>BE32+$BD$29</f>
        <v/>
      </c>
      <c r="BE32" s="42" t="n">
        <v>0.04</v>
      </c>
      <c r="BF32" s="33">
        <f>BE32+$BF$29</f>
        <v/>
      </c>
    </row>
    <row r="33" ht="15" customHeight="1" s="251">
      <c r="B33" s="22" t="inlineStr">
        <is>
          <t xml:space="preserve">    y/y %</t>
        </is>
      </c>
      <c r="C33" s="23" t="n"/>
      <c r="D33" s="255">
        <f>IF(AND(ISNUMBER(D32),ISNUMBER(C32)),IFERROR(D32/C32-1,""),"")</f>
        <v/>
      </c>
      <c r="E33" s="255">
        <f>IF(AND(ISNUMBER(E32),ISNUMBER(D32)),IFERROR(E32/D32-1,""),"")</f>
        <v/>
      </c>
      <c r="F33" s="255">
        <f>IF(AND(ISNUMBER(F32),ISNUMBER(E32)),IFERROR(F32/E32-1,""),"")</f>
        <v/>
      </c>
      <c r="G33" s="255">
        <f>IF(AND(ISNUMBER(G32),ISNUMBER(F32)),IFERROR(G32/F32-1,""),"")</f>
        <v/>
      </c>
      <c r="H33" s="255">
        <f>IF(AND(ISNUMBER(H32),ISNUMBER(G32)),IFERROR(H32/G32-1,""),"")</f>
        <v/>
      </c>
      <c r="I33" s="255">
        <f>IF(AND(ISNUMBER(I32),ISNUMBER(H32)),IFERROR(I32/H32-1,""),"")</f>
        <v/>
      </c>
      <c r="J33" s="255">
        <f>IF(AND(ISNUMBER(J32),ISNUMBER(I32)),IFERROR(J32/I32-1,""),"")</f>
        <v/>
      </c>
      <c r="K33" s="255">
        <f>IF(AND(ISNUMBER(K32),ISNUMBER(J32)),IFERROR(K32/J32-1,""),"")</f>
        <v/>
      </c>
      <c r="L33" s="255">
        <f>IF(AND(ISNUMBER(L32),ISNUMBER(K32)),IFERROR(L32/K32-1,""),"")</f>
        <v/>
      </c>
      <c r="M33" s="23" t="n"/>
      <c r="N33" s="23" t="n"/>
      <c r="O33" s="23" t="n"/>
      <c r="P33" s="23" t="n"/>
      <c r="Q33" s="255">
        <f>IF(AND(ISNUMBER(Q32),ISNUMBER(L32)),IFERROR(Q32/L32-1,""),"")</f>
        <v/>
      </c>
      <c r="R33" s="255">
        <f>IF(AND(ISNUMBER(R32),ISNUMBER(M32)),IFERROR(R32/M32-1,""),"")</f>
        <v/>
      </c>
      <c r="S33" s="255">
        <f>IF(AND(ISNUMBER(S32),ISNUMBER(N32)),IFERROR(S32/N32-1,""),"")</f>
        <v/>
      </c>
      <c r="T33" s="255">
        <f>IF(AND(ISNUMBER(T32),ISNUMBER(O32)),IFERROR(T32/O32-1,""),"")</f>
        <v/>
      </c>
      <c r="U33" s="255">
        <f>IF(AND(ISNUMBER(U32),ISNUMBER(P32)),IFERROR(U32/P32-1,""),"")</f>
        <v/>
      </c>
      <c r="V33" s="255">
        <f>IF(AND(ISNUMBER(V32),ISNUMBER(Q32)),IFERROR(V32/Q32-1,""),"")</f>
        <v/>
      </c>
      <c r="W33" s="255">
        <f>IF(AND(ISNUMBER(W32),ISNUMBER(R32)),IFERROR(W32/R32-1,""),"")</f>
        <v/>
      </c>
      <c r="X33" s="255">
        <f>IF(AND(ISNUMBER(X32),ISNUMBER(S32)),IFERROR(X32/S32-1,""),"")</f>
        <v/>
      </c>
      <c r="Y33" s="255">
        <f>IF(AND(ISNUMBER(Y32),ISNUMBER(T32)),IFERROR(Y32/T32-1,""),"")</f>
        <v/>
      </c>
      <c r="Z33" s="255">
        <f>IF(AND(ISNUMBER(Z32),ISNUMBER(U32)),IFERROR(Z32/U32-1,""),"")</f>
        <v/>
      </c>
      <c r="AA33" s="255">
        <f>IF(AND(ISNUMBER(AA32),ISNUMBER(V32)),IFERROR(AA32/V32-1,""),"")</f>
        <v/>
      </c>
      <c r="AB33" s="255">
        <f>IF(AND(ISNUMBER(AB32),ISNUMBER(W32)),IFERROR(AB32/W32-1,""),"")</f>
        <v/>
      </c>
      <c r="AC33" s="255">
        <f>IF(AND(ISNUMBER(AC32),ISNUMBER(X32)),IFERROR(AC32/X32-1,""),"")</f>
        <v/>
      </c>
      <c r="AD33" s="255">
        <f>IF(AND(ISNUMBER(AD32),ISNUMBER(Y32)),IFERROR(AD32/Y32-1,""),"")</f>
        <v/>
      </c>
      <c r="AE33" s="255">
        <f>IF(AND(ISNUMBER(AE32),ISNUMBER(Z32)),IFERROR(AE32/Z32-1,""),"")</f>
        <v/>
      </c>
      <c r="AF33" s="255">
        <f>IF(AND(ISNUMBER(AF32),ISNUMBER(AA32)),IFERROR(AF32/AA32-1,""),"")</f>
        <v/>
      </c>
      <c r="AG33" s="255">
        <f>IF(AND(ISNUMBER(AG32),ISNUMBER(AB32)),IFERROR(AG32/AB32-1,""),"")</f>
        <v/>
      </c>
      <c r="AH33" s="255">
        <f>IF(AND(ISNUMBER(AH32),ISNUMBER(AC32)),IFERROR(AH32/AC32-1,""),"")</f>
        <v/>
      </c>
      <c r="AI33" s="255">
        <f>IF(AND(ISNUMBER(AI32),ISNUMBER(AD32)),IFERROR(AI32/AD32-1,""),"")</f>
        <v/>
      </c>
      <c r="AJ33" s="255">
        <f>IF(AND(ISNUMBER(AJ32),ISNUMBER(AE32)),IFERROR(AJ32/AE32-1,""),"")</f>
        <v/>
      </c>
      <c r="AK33" s="255">
        <f>IF(AND(ISNUMBER(AK32),ISNUMBER(AF32)),IFERROR(AK32/AF32-1,""),"")</f>
        <v/>
      </c>
      <c r="AL33" s="255">
        <f>IF(AND(ISNUMBER(AL32),ISNUMBER(AG32)),IFERROR(AL32/AG32-1,""),"")</f>
        <v/>
      </c>
      <c r="AM33" s="256">
        <f>AM34+$AM$127</f>
        <v/>
      </c>
      <c r="AN33" s="256">
        <f>AN34+$AM$127</f>
        <v/>
      </c>
      <c r="AO33" s="256">
        <f>AO34+$AM$127</f>
        <v/>
      </c>
      <c r="AP33" s="256">
        <f>IF(AND(ISNUMBER(AP32),ISNUMBER(AK32)),IFERROR(AP32/AK32-1,""),"")</f>
        <v/>
      </c>
      <c r="AQ33" s="256">
        <f>CHOOSE(MATCH($AU$2,{"Bull","Base","Bear"},0),$BD$45,$BE$45,$BF$45)</f>
        <v/>
      </c>
      <c r="AR33" s="256">
        <f>CHOOSE(MATCH($AU$2,{"Bull","Base","Bear"},0),$BD$46,$BE$46,$BF$46)</f>
        <v/>
      </c>
      <c r="AS33" s="256">
        <f>CHOOSE(MATCH($AU$2,{"Bull","Base","Bear"},0),$BD$47,$BE$47,$BF$47)</f>
        <v/>
      </c>
      <c r="AT33" s="256">
        <f>CHOOSE(MATCH($AU$2,{"Bull","Base","Bear"},0),$BD$48,$BE$48,$BF$48)</f>
        <v/>
      </c>
      <c r="AU33" s="153" t="inlineStr">
        <is>
          <t>Q2–Q4/27E: Q1/27 y/y growth of the line + revenue-outlook calibration Δ (Group block). 2028E–2031E: scenario lever (Bull/Base/Bear table →).</t>
        </is>
      </c>
      <c r="BC33" s="25" t="inlineStr">
        <is>
          <t xml:space="preserve">  2031E</t>
        </is>
      </c>
      <c r="BD33" s="33">
        <f>BE33+$BD$29</f>
        <v/>
      </c>
      <c r="BE33" s="42" t="n">
        <v>0.04</v>
      </c>
      <c r="BF33" s="33">
        <f>BE33+$BF$29</f>
        <v/>
      </c>
    </row>
    <row r="34" ht="15" customHeight="1" s="251">
      <c r="B34" s="25" t="inlineStr">
        <is>
          <t xml:space="preserve">    Q2–Q4/27E growth before revenue calibration (Q1/27 y/y)</t>
        </is>
      </c>
      <c r="C34" s="36"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c r="AA34" s="36" t="n"/>
      <c r="AB34" s="36" t="n"/>
      <c r="AC34" s="36" t="n"/>
      <c r="AD34" s="36" t="n"/>
      <c r="AE34" s="36" t="n"/>
      <c r="AF34" s="36" t="n"/>
      <c r="AG34" s="36" t="n"/>
      <c r="AH34" s="36" t="n"/>
      <c r="AI34" s="36" t="n"/>
      <c r="AJ34" s="36" t="n"/>
      <c r="AK34" s="36" t="n"/>
      <c r="AL34" s="36" t="n"/>
      <c r="AM34" s="256">
        <f>IFERROR(AL32/AG32-1,0)</f>
        <v/>
      </c>
      <c r="AN34" s="256">
        <f>IFERROR(AL32/AG32-1,0)</f>
        <v/>
      </c>
      <c r="AO34" s="256">
        <f>IFERROR(AL32/AG32-1,0)</f>
        <v/>
      </c>
      <c r="AP34" s="24" t="n"/>
      <c r="AQ34" s="46" t="n"/>
      <c r="AR34" s="46" t="n"/>
      <c r="AS34" s="46" t="n"/>
      <c r="AT34" s="46" t="n"/>
      <c r="AU34" s="19" t="n"/>
      <c r="BC34" s="15" t="inlineStr">
        <is>
          <t>HC_CONS (Healthcare consumables y/y)</t>
        </is>
      </c>
      <c r="BD34" s="41" t="n">
        <v>0.015</v>
      </c>
      <c r="BE34" s="21" t="inlineStr">
        <is>
          <t>Δ →</t>
        </is>
      </c>
      <c r="BF34" s="41" t="n">
        <v>-0.03</v>
      </c>
      <c r="BG34" s="13" t="inlineStr">
        <is>
          <t>Procedure volumes (US surgical procedures +MSD), endoscopy consumables (Cantel), share gains, price.</t>
        </is>
      </c>
    </row>
    <row r="35" ht="15" customHeight="1" s="251">
      <c r="B35" s="25" t="inlineStr">
        <is>
          <t xml:space="preserve">  Capital equipment revenue</t>
        </is>
      </c>
      <c r="C35" s="253" t="n">
        <v>0</v>
      </c>
      <c r="D35" s="253" t="n">
        <v>0</v>
      </c>
      <c r="E35" s="253" t="n">
        <v>0</v>
      </c>
      <c r="F35" s="253" t="n">
        <v>0</v>
      </c>
      <c r="G35" s="253" t="n">
        <v>0</v>
      </c>
      <c r="H35" s="253" t="n">
        <v>0</v>
      </c>
      <c r="I35" s="253" t="n">
        <v>0</v>
      </c>
      <c r="J35" s="253" t="n">
        <v>0</v>
      </c>
      <c r="K35" s="253" t="n">
        <v>0</v>
      </c>
      <c r="L35" s="253" t="n">
        <v>0</v>
      </c>
      <c r="M35" s="253" t="n">
        <v>0</v>
      </c>
      <c r="N35" s="253" t="n">
        <v>0</v>
      </c>
      <c r="O35" s="253" t="n">
        <v>0</v>
      </c>
      <c r="P35" s="253" t="n">
        <v>0</v>
      </c>
      <c r="Q35" s="253" t="n">
        <v>0</v>
      </c>
      <c r="R35" s="253" t="n">
        <v>0</v>
      </c>
      <c r="S35" s="253" t="n">
        <v>0</v>
      </c>
      <c r="T35" s="253" t="n">
        <v>0</v>
      </c>
      <c r="U35" s="253" t="n">
        <v>11.679</v>
      </c>
      <c r="V35" s="253" t="n">
        <v>26.46</v>
      </c>
      <c r="W35" s="253" t="n">
        <v>0.874</v>
      </c>
      <c r="X35" s="253" t="n">
        <v>1.754</v>
      </c>
      <c r="Y35" s="253" t="n">
        <v>5.241</v>
      </c>
      <c r="Z35" s="253" t="n">
        <v>6.65</v>
      </c>
      <c r="AA35" s="253" t="n">
        <v>14.519</v>
      </c>
      <c r="AB35" s="253" t="n">
        <v>1.088</v>
      </c>
      <c r="AC35" s="253" t="n">
        <v>8.805</v>
      </c>
      <c r="AD35" s="253" t="n">
        <v>5.004</v>
      </c>
      <c r="AE35" s="253" t="n">
        <v>16.049</v>
      </c>
      <c r="AF35" s="253" t="n">
        <v>30.946</v>
      </c>
      <c r="AG35" s="253" t="n">
        <v>1.6</v>
      </c>
      <c r="AH35" s="253" t="n">
        <v>2.1</v>
      </c>
      <c r="AI35" s="253" t="n">
        <v>10.2</v>
      </c>
      <c r="AJ35" s="253" t="n">
        <v>6.1</v>
      </c>
      <c r="AK35" s="253" t="n">
        <v>20</v>
      </c>
      <c r="AL35" s="253" t="n">
        <v>1.4</v>
      </c>
      <c r="AM35" s="254">
        <f>AH35*(1+AM36)</f>
        <v/>
      </c>
      <c r="AN35" s="254">
        <f>AI35*(1+AN36)</f>
        <v/>
      </c>
      <c r="AO35" s="254">
        <f>AJ35*(1+AO36)</f>
        <v/>
      </c>
      <c r="AP35" s="254">
        <f>SUM(AL35,AM35,AN35,AO35)</f>
        <v/>
      </c>
      <c r="AQ35" s="254">
        <f>AP35*(1+AQ36)</f>
        <v/>
      </c>
      <c r="AR35" s="254">
        <f>AQ35*(1+AR36)</f>
        <v/>
      </c>
      <c r="AS35" s="254">
        <f>AR35*(1+AS36)</f>
        <v/>
      </c>
      <c r="AT35" s="254">
        <f>AS35*(1+AT36)</f>
        <v/>
      </c>
      <c r="AU35" s="19" t="n"/>
      <c r="BC35" s="25" t="inlineStr">
        <is>
          <t xml:space="preserve">  2028E</t>
        </is>
      </c>
      <c r="BD35" s="33">
        <f>BE35+$BD$34</f>
        <v/>
      </c>
      <c r="BE35" s="42" t="n">
        <v>0.065</v>
      </c>
      <c r="BF35" s="33">
        <f>BE35+$BF$34</f>
        <v/>
      </c>
    </row>
    <row r="36" ht="15" customHeight="1" s="251">
      <c r="B36" s="22" t="inlineStr">
        <is>
          <t xml:space="preserve">    y/y %</t>
        </is>
      </c>
      <c r="C36" s="23" t="n"/>
      <c r="D36" s="255">
        <f>IF(AND(ISNUMBER(D35),ISNUMBER(C35)),IFERROR(D35/C35-1,""),"")</f>
        <v/>
      </c>
      <c r="E36" s="255">
        <f>IF(AND(ISNUMBER(E35),ISNUMBER(D35)),IFERROR(E35/D35-1,""),"")</f>
        <v/>
      </c>
      <c r="F36" s="255">
        <f>IF(AND(ISNUMBER(F35),ISNUMBER(E35)),IFERROR(F35/E35-1,""),"")</f>
        <v/>
      </c>
      <c r="G36" s="255">
        <f>IF(AND(ISNUMBER(G35),ISNUMBER(F35)),IFERROR(G35/F35-1,""),"")</f>
        <v/>
      </c>
      <c r="H36" s="255">
        <f>IF(AND(ISNUMBER(H35),ISNUMBER(G35)),IFERROR(H35/G35-1,""),"")</f>
        <v/>
      </c>
      <c r="I36" s="255">
        <f>IF(AND(ISNUMBER(I35),ISNUMBER(H35)),IFERROR(I35/H35-1,""),"")</f>
        <v/>
      </c>
      <c r="J36" s="255">
        <f>IF(AND(ISNUMBER(J35),ISNUMBER(I35)),IFERROR(J35/I35-1,""),"")</f>
        <v/>
      </c>
      <c r="K36" s="255">
        <f>IF(AND(ISNUMBER(K35),ISNUMBER(J35)),IFERROR(K35/J35-1,""),"")</f>
        <v/>
      </c>
      <c r="L36" s="255">
        <f>IF(AND(ISNUMBER(L35),ISNUMBER(K35)),IFERROR(L35/K35-1,""),"")</f>
        <v/>
      </c>
      <c r="M36" s="23" t="n"/>
      <c r="N36" s="23" t="n"/>
      <c r="O36" s="23" t="n"/>
      <c r="P36" s="23" t="n"/>
      <c r="Q36" s="255">
        <f>IF(AND(ISNUMBER(Q35),ISNUMBER(L35)),IFERROR(Q35/L35-1,""),"")</f>
        <v/>
      </c>
      <c r="R36" s="255">
        <f>IF(AND(ISNUMBER(R35),ISNUMBER(M35)),IFERROR(R35/M35-1,""),"")</f>
        <v/>
      </c>
      <c r="S36" s="255">
        <f>IF(AND(ISNUMBER(S35),ISNUMBER(N35)),IFERROR(S35/N35-1,""),"")</f>
        <v/>
      </c>
      <c r="T36" s="255">
        <f>IF(AND(ISNUMBER(T35),ISNUMBER(O35)),IFERROR(T35/O35-1,""),"")</f>
        <v/>
      </c>
      <c r="U36" s="255">
        <f>IF(AND(ISNUMBER(U35),ISNUMBER(P35)),IFERROR(U35/P35-1,""),"")</f>
        <v/>
      </c>
      <c r="V36" s="255">
        <f>IF(AND(ISNUMBER(V35),ISNUMBER(Q35)),IFERROR(V35/Q35-1,""),"")</f>
        <v/>
      </c>
      <c r="W36" s="255">
        <f>IF(AND(ISNUMBER(W35),ISNUMBER(R35)),IFERROR(W35/R35-1,""),"")</f>
        <v/>
      </c>
      <c r="X36" s="255">
        <f>IF(AND(ISNUMBER(X35),ISNUMBER(S35)),IFERROR(X35/S35-1,""),"")</f>
        <v/>
      </c>
      <c r="Y36" s="255">
        <f>IF(AND(ISNUMBER(Y35),ISNUMBER(T35)),IFERROR(Y35/T35-1,""),"")</f>
        <v/>
      </c>
      <c r="Z36" s="255">
        <f>IF(AND(ISNUMBER(Z35),ISNUMBER(U35)),IFERROR(Z35/U35-1,""),"")</f>
        <v/>
      </c>
      <c r="AA36" s="255">
        <f>IF(AND(ISNUMBER(AA35),ISNUMBER(V35)),IFERROR(AA35/V35-1,""),"")</f>
        <v/>
      </c>
      <c r="AB36" s="255">
        <f>IF(AND(ISNUMBER(AB35),ISNUMBER(W35)),IFERROR(AB35/W35-1,""),"")</f>
        <v/>
      </c>
      <c r="AC36" s="255">
        <f>IF(AND(ISNUMBER(AC35),ISNUMBER(X35)),IFERROR(AC35/X35-1,""),"")</f>
        <v/>
      </c>
      <c r="AD36" s="255">
        <f>IF(AND(ISNUMBER(AD35),ISNUMBER(Y35)),IFERROR(AD35/Y35-1,""),"")</f>
        <v/>
      </c>
      <c r="AE36" s="255">
        <f>IF(AND(ISNUMBER(AE35),ISNUMBER(Z35)),IFERROR(AE35/Z35-1,""),"")</f>
        <v/>
      </c>
      <c r="AF36" s="255">
        <f>IF(AND(ISNUMBER(AF35),ISNUMBER(AA35)),IFERROR(AF35/AA35-1,""),"")</f>
        <v/>
      </c>
      <c r="AG36" s="255">
        <f>IF(AND(ISNUMBER(AG35),ISNUMBER(AB35)),IFERROR(AG35/AB35-1,""),"")</f>
        <v/>
      </c>
      <c r="AH36" s="255">
        <f>IF(AND(ISNUMBER(AH35),ISNUMBER(AC35)),IFERROR(AH35/AC35-1,""),"")</f>
        <v/>
      </c>
      <c r="AI36" s="255">
        <f>IF(AND(ISNUMBER(AI35),ISNUMBER(AD35)),IFERROR(AI35/AD35-1,""),"")</f>
        <v/>
      </c>
      <c r="AJ36" s="255">
        <f>IF(AND(ISNUMBER(AJ35),ISNUMBER(AE35)),IFERROR(AJ35/AE35-1,""),"")</f>
        <v/>
      </c>
      <c r="AK36" s="255">
        <f>IF(AND(ISNUMBER(AK35),ISNUMBER(AF35)),IFERROR(AK35/AF35-1,""),"")</f>
        <v/>
      </c>
      <c r="AL36" s="255">
        <f>IF(AND(ISNUMBER(AL35),ISNUMBER(AG35)),IFERROR(AL35/AG35-1,""),"")</f>
        <v/>
      </c>
      <c r="AM36" s="256">
        <f>AM37+$AM$127</f>
        <v/>
      </c>
      <c r="AN36" s="256">
        <f>AN37+$AM$127</f>
        <v/>
      </c>
      <c r="AO36" s="256">
        <f>AO37+$AM$127</f>
        <v/>
      </c>
      <c r="AP36" s="256">
        <f>IF(AND(ISNUMBER(AP35),ISNUMBER(AK35)),IFERROR(AP35/AK35-1,""),"")</f>
        <v/>
      </c>
      <c r="AQ36" s="256">
        <f>CHOOSE(MATCH($AU$2,{"Bull","Base","Bear"},0),$BD$50,$BE$50,$BF$50)</f>
        <v/>
      </c>
      <c r="AR36" s="256">
        <f>CHOOSE(MATCH($AU$2,{"Bull","Base","Bear"},0),$BD$51,$BE$51,$BF$51)</f>
        <v/>
      </c>
      <c r="AS36" s="256">
        <f>CHOOSE(MATCH($AU$2,{"Bull","Base","Bear"},0),$BD$52,$BE$52,$BF$52)</f>
        <v/>
      </c>
      <c r="AT36" s="256">
        <f>CHOOSE(MATCH($AU$2,{"Bull","Base","Bear"},0),$BD$53,$BE$53,$BF$53)</f>
        <v/>
      </c>
      <c r="AU36" s="153" t="n"/>
      <c r="BC36" s="25" t="inlineStr">
        <is>
          <t xml:space="preserve">  2029E</t>
        </is>
      </c>
      <c r="BD36" s="33">
        <f>BE36+$BD$34</f>
        <v/>
      </c>
      <c r="BE36" s="42" t="n">
        <v>0.065</v>
      </c>
      <c r="BF36" s="33">
        <f>BE36+$BF$34</f>
        <v/>
      </c>
    </row>
    <row r="37" ht="15" customHeight="1" s="251">
      <c r="B37" s="25" t="inlineStr">
        <is>
          <t xml:space="preserve">    Q2–Q4/27E growth before revenue calibration (Q1/27 y/y)</t>
        </is>
      </c>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c r="AE37" s="36" t="n"/>
      <c r="AF37" s="36" t="n"/>
      <c r="AG37" s="36" t="n"/>
      <c r="AH37" s="36" t="n"/>
      <c r="AI37" s="36" t="n"/>
      <c r="AJ37" s="36" t="n"/>
      <c r="AK37" s="36" t="n"/>
      <c r="AL37" s="36" t="n"/>
      <c r="AM37" s="256">
        <f>IFERROR(AL35/AG35-1,0)</f>
        <v/>
      </c>
      <c r="AN37" s="256">
        <f>IFERROR(AL35/AG35-1,0)</f>
        <v/>
      </c>
      <c r="AO37" s="256">
        <f>IFERROR(AL35/AG35-1,0)</f>
        <v/>
      </c>
      <c r="AP37" s="24" t="n"/>
      <c r="AQ37" s="46" t="n"/>
      <c r="AR37" s="46" t="n"/>
      <c r="AS37" s="46" t="n"/>
      <c r="AT37" s="46" t="n"/>
      <c r="AU37" s="19" t="n"/>
      <c r="BC37" s="25" t="inlineStr">
        <is>
          <t xml:space="preserve">  2030E</t>
        </is>
      </c>
      <c r="BD37" s="33">
        <f>BE37+$BD$34</f>
        <v/>
      </c>
      <c r="BE37" s="42" t="n">
        <v>0.06</v>
      </c>
      <c r="BF37" s="33">
        <f>BE37+$BF$34</f>
        <v/>
      </c>
    </row>
    <row r="38" ht="15" customHeight="1" s="251">
      <c r="B38" s="16" t="inlineStr">
        <is>
          <t xml:space="preserve">  Applied Sterilization Technologies (AST) — revenue</t>
        </is>
      </c>
      <c r="C38" s="261">
        <f>IF(ISNUMBER(C32),C32+C35,"")</f>
        <v/>
      </c>
      <c r="D38" s="261">
        <f>IF(ISNUMBER(D32),D32+D35,"")</f>
        <v/>
      </c>
      <c r="E38" s="261">
        <f>IF(ISNUMBER(E32),E32+E35,"")</f>
        <v/>
      </c>
      <c r="F38" s="261">
        <f>IF(ISNUMBER(F32),F32+F35,"")</f>
        <v/>
      </c>
      <c r="G38" s="261">
        <f>IF(ISNUMBER(G32),G32+G35,"")</f>
        <v/>
      </c>
      <c r="H38" s="261">
        <f>IF(ISNUMBER(H32),H32+H35,"")</f>
        <v/>
      </c>
      <c r="I38" s="261">
        <f>IF(ISNUMBER(I32),I32+I35,"")</f>
        <v/>
      </c>
      <c r="J38" s="261">
        <f>IF(ISNUMBER(J32),J32+J35,"")</f>
        <v/>
      </c>
      <c r="K38" s="261">
        <f>IF(ISNUMBER(K32),K32+K35,"")</f>
        <v/>
      </c>
      <c r="L38" s="261">
        <f>IF(ISNUMBER(L32),L32+L35,"")</f>
        <v/>
      </c>
      <c r="M38" s="261">
        <f>IF(ISNUMBER(M32),M32+M35,"")</f>
        <v/>
      </c>
      <c r="N38" s="261">
        <f>IF(ISNUMBER(N32),N32+N35,"")</f>
        <v/>
      </c>
      <c r="O38" s="261">
        <f>IF(ISNUMBER(O32),O32+O35,"")</f>
        <v/>
      </c>
      <c r="P38" s="261">
        <f>IF(ISNUMBER(P32),P32+P35,"")</f>
        <v/>
      </c>
      <c r="Q38" s="261">
        <f>IF(ISNUMBER(Q32),Q32+Q35,"")</f>
        <v/>
      </c>
      <c r="R38" s="261">
        <f>IF(ISNUMBER(R32),R32+R35,"")</f>
        <v/>
      </c>
      <c r="S38" s="261">
        <f>IF(ISNUMBER(S32),S32+S35,"")</f>
        <v/>
      </c>
      <c r="T38" s="261">
        <f>IF(ISNUMBER(T32),T32+T35,"")</f>
        <v/>
      </c>
      <c r="U38" s="261">
        <f>IF(ISNUMBER(U32),U32+U35,"")</f>
        <v/>
      </c>
      <c r="V38" s="261">
        <f>IF(ISNUMBER(V32),V32+V35,"")</f>
        <v/>
      </c>
      <c r="W38" s="261">
        <f>IF(ISNUMBER(W32),W32+W35,"")</f>
        <v/>
      </c>
      <c r="X38" s="261">
        <f>IF(ISNUMBER(X32),X32+X35,"")</f>
        <v/>
      </c>
      <c r="Y38" s="261">
        <f>IF(ISNUMBER(Y32),Y32+Y35,"")</f>
        <v/>
      </c>
      <c r="Z38" s="261">
        <f>IF(ISNUMBER(Z32),Z32+Z35,"")</f>
        <v/>
      </c>
      <c r="AA38" s="261">
        <f>IF(ISNUMBER(AA32),AA32+AA35,"")</f>
        <v/>
      </c>
      <c r="AB38" s="261">
        <f>IF(ISNUMBER(AB32),AB32+AB35,"")</f>
        <v/>
      </c>
      <c r="AC38" s="261">
        <f>IF(ISNUMBER(AC32),AC32+AC35,"")</f>
        <v/>
      </c>
      <c r="AD38" s="261">
        <f>IF(ISNUMBER(AD32),AD32+AD35,"")</f>
        <v/>
      </c>
      <c r="AE38" s="261">
        <f>IF(ISNUMBER(AE32),AE32+AE35,"")</f>
        <v/>
      </c>
      <c r="AF38" s="261">
        <f>IF(ISNUMBER(AF32),AF32+AF35,"")</f>
        <v/>
      </c>
      <c r="AG38" s="261">
        <f>IF(ISNUMBER(AG32),AG32+AG35,"")</f>
        <v/>
      </c>
      <c r="AH38" s="261">
        <f>IF(ISNUMBER(AH32),AH32+AH35,"")</f>
        <v/>
      </c>
      <c r="AI38" s="261">
        <f>IF(ISNUMBER(AI32),AI32+AI35,"")</f>
        <v/>
      </c>
      <c r="AJ38" s="261">
        <f>IF(ISNUMBER(AJ32),AJ32+AJ35,"")</f>
        <v/>
      </c>
      <c r="AK38" s="261">
        <f>IF(ISNUMBER(AK32),AK32+AK35,"")</f>
        <v/>
      </c>
      <c r="AL38" s="261">
        <f>IF(ISNUMBER(AL32),AL32+AL35,"")</f>
        <v/>
      </c>
      <c r="AM38" s="262">
        <f>IF(ISNUMBER(AM32),AM32+AM35,"")</f>
        <v/>
      </c>
      <c r="AN38" s="262">
        <f>IF(ISNUMBER(AN32),AN32+AN35,"")</f>
        <v/>
      </c>
      <c r="AO38" s="262">
        <f>IF(ISNUMBER(AO32),AO32+AO35,"")</f>
        <v/>
      </c>
      <c r="AP38" s="262">
        <f>IF(ISNUMBER(AP32),AP32+AP35,"")</f>
        <v/>
      </c>
      <c r="AQ38" s="262">
        <f>IF(ISNUMBER(AQ32),AQ32+AQ35,"")</f>
        <v/>
      </c>
      <c r="AR38" s="262">
        <f>IF(ISNUMBER(AR32),AR32+AR35,"")</f>
        <v/>
      </c>
      <c r="AS38" s="262">
        <f>IF(ISNUMBER(AS32),AS32+AS35,"")</f>
        <v/>
      </c>
      <c r="AT38" s="262">
        <f>IF(ISNUMBER(AT32),AT32+AT35,"")</f>
        <v/>
      </c>
      <c r="AU38" s="153" t="n"/>
      <c r="AW38" s="20">
        <f>IFERROR((AT38/AK38)^(1/5)-1,"n/m")</f>
        <v/>
      </c>
      <c r="AX38" s="20">
        <f>IFERROR((AK38/L38)^(1/5)-1,"n/m")</f>
        <v/>
      </c>
      <c r="AY38" s="20">
        <f>IFERROR((AK38/G38)^(1/10)-1,"n/m")</f>
        <v/>
      </c>
      <c r="AZ38" s="20">
        <f>IFERROR((AK38/C38)^(1/14)-1,"n/m")</f>
        <v/>
      </c>
      <c r="BC38" s="25" t="inlineStr">
        <is>
          <t xml:space="preserve">  2031E</t>
        </is>
      </c>
      <c r="BD38" s="33">
        <f>BE38+$BD$34</f>
        <v/>
      </c>
      <c r="BE38" s="42" t="n">
        <v>0.06</v>
      </c>
      <c r="BF38" s="33">
        <f>BE38+$BF$34</f>
        <v/>
      </c>
    </row>
    <row r="39" ht="15" customHeight="1" s="251">
      <c r="B39" s="22" t="inlineStr">
        <is>
          <t xml:space="preserve">  Revenue y/y %</t>
        </is>
      </c>
      <c r="C39" s="23" t="n"/>
      <c r="D39" s="255">
        <f>IF(AND(ISNUMBER(D38),ISNUMBER(C38)),IFERROR(D38/C38-1,""),"")</f>
        <v/>
      </c>
      <c r="E39" s="255">
        <f>IF(AND(ISNUMBER(E38),ISNUMBER(D38)),IFERROR(E38/D38-1,""),"")</f>
        <v/>
      </c>
      <c r="F39" s="255">
        <f>IF(AND(ISNUMBER(F38),ISNUMBER(E38)),IFERROR(F38/E38-1,""),"")</f>
        <v/>
      </c>
      <c r="G39" s="255">
        <f>IF(AND(ISNUMBER(G38),ISNUMBER(F38)),IFERROR(G38/F38-1,""),"")</f>
        <v/>
      </c>
      <c r="H39" s="255">
        <f>IF(AND(ISNUMBER(H38),ISNUMBER(G38)),IFERROR(H38/G38-1,""),"")</f>
        <v/>
      </c>
      <c r="I39" s="255">
        <f>IF(AND(ISNUMBER(I38),ISNUMBER(H38)),IFERROR(I38/H38-1,""),"")</f>
        <v/>
      </c>
      <c r="J39" s="255">
        <f>IF(AND(ISNUMBER(J38),ISNUMBER(I38)),IFERROR(J38/I38-1,""),"")</f>
        <v/>
      </c>
      <c r="K39" s="255">
        <f>IF(AND(ISNUMBER(K38),ISNUMBER(J38)),IFERROR(K38/J38-1,""),"")</f>
        <v/>
      </c>
      <c r="L39" s="255">
        <f>IF(AND(ISNUMBER(L38),ISNUMBER(K38)),IFERROR(L38/K38-1,""),"")</f>
        <v/>
      </c>
      <c r="M39" s="23" t="n"/>
      <c r="N39" s="23" t="n"/>
      <c r="O39" s="23" t="n"/>
      <c r="P39" s="23" t="n"/>
      <c r="Q39" s="255">
        <f>IF(AND(ISNUMBER(Q38),ISNUMBER(L38)),IFERROR(Q38/L38-1,""),"")</f>
        <v/>
      </c>
      <c r="R39" s="255">
        <f>IF(AND(ISNUMBER(R38),ISNUMBER(M38)),IFERROR(R38/M38-1,""),"")</f>
        <v/>
      </c>
      <c r="S39" s="255">
        <f>IF(AND(ISNUMBER(S38),ISNUMBER(N38)),IFERROR(S38/N38-1,""),"")</f>
        <v/>
      </c>
      <c r="T39" s="255">
        <f>IF(AND(ISNUMBER(T38),ISNUMBER(O38)),IFERROR(T38/O38-1,""),"")</f>
        <v/>
      </c>
      <c r="U39" s="255">
        <f>IF(AND(ISNUMBER(U38),ISNUMBER(P38)),IFERROR(U38/P38-1,""),"")</f>
        <v/>
      </c>
      <c r="V39" s="255">
        <f>IF(AND(ISNUMBER(V38),ISNUMBER(Q38)),IFERROR(V38/Q38-1,""),"")</f>
        <v/>
      </c>
      <c r="W39" s="255">
        <f>IF(AND(ISNUMBER(W38),ISNUMBER(R38)),IFERROR(W38/R38-1,""),"")</f>
        <v/>
      </c>
      <c r="X39" s="255">
        <f>IF(AND(ISNUMBER(X38),ISNUMBER(S38)),IFERROR(X38/S38-1,""),"")</f>
        <v/>
      </c>
      <c r="Y39" s="255">
        <f>IF(AND(ISNUMBER(Y38),ISNUMBER(T38)),IFERROR(Y38/T38-1,""),"")</f>
        <v/>
      </c>
      <c r="Z39" s="255">
        <f>IF(AND(ISNUMBER(Z38),ISNUMBER(U38)),IFERROR(Z38/U38-1,""),"")</f>
        <v/>
      </c>
      <c r="AA39" s="255">
        <f>IF(AND(ISNUMBER(AA38),ISNUMBER(V38)),IFERROR(AA38/V38-1,""),"")</f>
        <v/>
      </c>
      <c r="AB39" s="255">
        <f>IF(AND(ISNUMBER(AB38),ISNUMBER(W38)),IFERROR(AB38/W38-1,""),"")</f>
        <v/>
      </c>
      <c r="AC39" s="255">
        <f>IF(AND(ISNUMBER(AC38),ISNUMBER(X38)),IFERROR(AC38/X38-1,""),"")</f>
        <v/>
      </c>
      <c r="AD39" s="255">
        <f>IF(AND(ISNUMBER(AD38),ISNUMBER(Y38)),IFERROR(AD38/Y38-1,""),"")</f>
        <v/>
      </c>
      <c r="AE39" s="255">
        <f>IF(AND(ISNUMBER(AE38),ISNUMBER(Z38)),IFERROR(AE38/Z38-1,""),"")</f>
        <v/>
      </c>
      <c r="AF39" s="255">
        <f>IF(AND(ISNUMBER(AF38),ISNUMBER(AA38)),IFERROR(AF38/AA38-1,""),"")</f>
        <v/>
      </c>
      <c r="AG39" s="255">
        <f>IF(AND(ISNUMBER(AG38),ISNUMBER(AB38)),IFERROR(AG38/AB38-1,""),"")</f>
        <v/>
      </c>
      <c r="AH39" s="255">
        <f>IF(AND(ISNUMBER(AH38),ISNUMBER(AC38)),IFERROR(AH38/AC38-1,""),"")</f>
        <v/>
      </c>
      <c r="AI39" s="255">
        <f>IF(AND(ISNUMBER(AI38),ISNUMBER(AD38)),IFERROR(AI38/AD38-1,""),"")</f>
        <v/>
      </c>
      <c r="AJ39" s="255">
        <f>IF(AND(ISNUMBER(AJ38),ISNUMBER(AE38)),IFERROR(AJ38/AE38-1,""),"")</f>
        <v/>
      </c>
      <c r="AK39" s="255">
        <f>IF(AND(ISNUMBER(AK38),ISNUMBER(AF38)),IFERROR(AK38/AF38-1,""),"")</f>
        <v/>
      </c>
      <c r="AL39" s="255">
        <f>IF(AND(ISNUMBER(AL38),ISNUMBER(AG38)),IFERROR(AL38/AG38-1,""),"")</f>
        <v/>
      </c>
      <c r="AM39" s="256">
        <f>IF(AND(ISNUMBER(AM38),ISNUMBER(AH38)),IFERROR(AM38/AH38-1,""),"")</f>
        <v/>
      </c>
      <c r="AN39" s="256">
        <f>IF(AND(ISNUMBER(AN38),ISNUMBER(AI38)),IFERROR(AN38/AI38-1,""),"")</f>
        <v/>
      </c>
      <c r="AO39" s="256">
        <f>IF(AND(ISNUMBER(AO38),ISNUMBER(AJ38)),IFERROR(AO38/AJ38-1,""),"")</f>
        <v/>
      </c>
      <c r="AP39" s="256">
        <f>IF(AND(ISNUMBER(AP38),ISNUMBER(AK38)),IFERROR(AP38/AK38-1,""),"")</f>
        <v/>
      </c>
      <c r="AQ39" s="256">
        <f>IF(AND(ISNUMBER(AQ38),ISNUMBER(AP38)),IFERROR(AQ38/AP38-1,""),"")</f>
        <v/>
      </c>
      <c r="AR39" s="256">
        <f>IF(AND(ISNUMBER(AR38),ISNUMBER(AQ38)),IFERROR(AR38/AQ38-1,""),"")</f>
        <v/>
      </c>
      <c r="AS39" s="256">
        <f>IF(AND(ISNUMBER(AS38),ISNUMBER(AR38)),IFERROR(AS38/AR38-1,""),"")</f>
        <v/>
      </c>
      <c r="AT39" s="256">
        <f>IF(AND(ISNUMBER(AT38),ISNUMBER(AS38)),IFERROR(AT38/AS38-1,""),"")</f>
        <v/>
      </c>
      <c r="AU39" s="153" t="n"/>
      <c r="BC39" s="15" t="inlineStr">
        <is>
          <t>HC_SERV (Healthcare service y/y)</t>
        </is>
      </c>
      <c r="BD39" s="41" t="n">
        <v>0.015</v>
      </c>
      <c r="BE39" s="21" t="inlineStr">
        <is>
          <t>Δ →</t>
        </is>
      </c>
      <c r="BF39" s="41" t="n">
        <v>-0.03</v>
      </c>
      <c r="BG39" s="13" t="inlineStr">
        <is>
          <t>Equipment service contracts, instrument repair (BD instruments, Aug-23), outsourced reprocessing; FY26 +12%.</t>
        </is>
      </c>
    </row>
    <row r="40" ht="15" customHeight="1" s="251">
      <c r="B40" s="25" t="inlineStr">
        <is>
          <t xml:space="preserve">  % of total revenue</t>
        </is>
      </c>
      <c r="C40" s="215">
        <f>IF(AND(ISNUMBER(C38),ISNUMBER(C117)),IFERROR(C38/C117,""),"")</f>
        <v/>
      </c>
      <c r="D40" s="215">
        <f>IF(AND(ISNUMBER(D38),ISNUMBER(D117)),IFERROR(D38/D117,""),"")</f>
        <v/>
      </c>
      <c r="E40" s="215">
        <f>IF(AND(ISNUMBER(E38),ISNUMBER(E117)),IFERROR(E38/E117,""),"")</f>
        <v/>
      </c>
      <c r="F40" s="215">
        <f>IF(AND(ISNUMBER(F38),ISNUMBER(F117)),IFERROR(F38/F117,""),"")</f>
        <v/>
      </c>
      <c r="G40" s="215">
        <f>IF(AND(ISNUMBER(G38),ISNUMBER(G117)),IFERROR(G38/G117,""),"")</f>
        <v/>
      </c>
      <c r="H40" s="215">
        <f>IF(AND(ISNUMBER(H38),ISNUMBER(H117)),IFERROR(H38/H117,""),"")</f>
        <v/>
      </c>
      <c r="I40" s="215">
        <f>IF(AND(ISNUMBER(I38),ISNUMBER(I117)),IFERROR(I38/I117,""),"")</f>
        <v/>
      </c>
      <c r="J40" s="215">
        <f>IF(AND(ISNUMBER(J38),ISNUMBER(J117)),IFERROR(J38/J117,""),"")</f>
        <v/>
      </c>
      <c r="K40" s="215">
        <f>IF(AND(ISNUMBER(K38),ISNUMBER(K117)),IFERROR(K38/K117,""),"")</f>
        <v/>
      </c>
      <c r="L40" s="215">
        <f>IF(AND(ISNUMBER(L38),ISNUMBER(L117)),IFERROR(L38/L117,""),"")</f>
        <v/>
      </c>
      <c r="M40" s="215">
        <f>IF(AND(ISNUMBER(M38),ISNUMBER(M117)),IFERROR(M38/M117,""),"")</f>
        <v/>
      </c>
      <c r="N40" s="215">
        <f>IF(AND(ISNUMBER(N38),ISNUMBER(N117)),IFERROR(N38/N117,""),"")</f>
        <v/>
      </c>
      <c r="O40" s="215">
        <f>IF(AND(ISNUMBER(O38),ISNUMBER(O117)),IFERROR(O38/O117,""),"")</f>
        <v/>
      </c>
      <c r="P40" s="215">
        <f>IF(AND(ISNUMBER(P38),ISNUMBER(P117)),IFERROR(P38/P117,""),"")</f>
        <v/>
      </c>
      <c r="Q40" s="215">
        <f>IF(AND(ISNUMBER(Q38),ISNUMBER(Q117)),IFERROR(Q38/Q117,""),"")</f>
        <v/>
      </c>
      <c r="R40" s="215">
        <f>IF(AND(ISNUMBER(R38),ISNUMBER(R117)),IFERROR(R38/R117,""),"")</f>
        <v/>
      </c>
      <c r="S40" s="215">
        <f>IF(AND(ISNUMBER(S38),ISNUMBER(S117)),IFERROR(S38/S117,""),"")</f>
        <v/>
      </c>
      <c r="T40" s="215">
        <f>IF(AND(ISNUMBER(T38),ISNUMBER(T117)),IFERROR(T38/T117,""),"")</f>
        <v/>
      </c>
      <c r="U40" s="215">
        <f>IF(AND(ISNUMBER(U38),ISNUMBER(U117)),IFERROR(U38/U117,""),"")</f>
        <v/>
      </c>
      <c r="V40" s="215">
        <f>IF(AND(ISNUMBER(V38),ISNUMBER(V117)),IFERROR(V38/V117,""),"")</f>
        <v/>
      </c>
      <c r="W40" s="215">
        <f>IF(AND(ISNUMBER(W38),ISNUMBER(W117)),IFERROR(W38/W117,""),"")</f>
        <v/>
      </c>
      <c r="X40" s="215">
        <f>IF(AND(ISNUMBER(X38),ISNUMBER(X117)),IFERROR(X38/X117,""),"")</f>
        <v/>
      </c>
      <c r="Y40" s="215">
        <f>IF(AND(ISNUMBER(Y38),ISNUMBER(Y117)),IFERROR(Y38/Y117,""),"")</f>
        <v/>
      </c>
      <c r="Z40" s="215">
        <f>IF(AND(ISNUMBER(Z38),ISNUMBER(Z117)),IFERROR(Z38/Z117,""),"")</f>
        <v/>
      </c>
      <c r="AA40" s="215">
        <f>IF(AND(ISNUMBER(AA38),ISNUMBER(AA117)),IFERROR(AA38/AA117,""),"")</f>
        <v/>
      </c>
      <c r="AB40" s="215">
        <f>IF(AND(ISNUMBER(AB38),ISNUMBER(AB117)),IFERROR(AB38/AB117,""),"")</f>
        <v/>
      </c>
      <c r="AC40" s="215">
        <f>IF(AND(ISNUMBER(AC38),ISNUMBER(AC117)),IFERROR(AC38/AC117,""),"")</f>
        <v/>
      </c>
      <c r="AD40" s="215">
        <f>IF(AND(ISNUMBER(AD38),ISNUMBER(AD117)),IFERROR(AD38/AD117,""),"")</f>
        <v/>
      </c>
      <c r="AE40" s="215">
        <f>IF(AND(ISNUMBER(AE38),ISNUMBER(AE117)),IFERROR(AE38/AE117,""),"")</f>
        <v/>
      </c>
      <c r="AF40" s="215">
        <f>IF(AND(ISNUMBER(AF38),ISNUMBER(AF117)),IFERROR(AF38/AF117,""),"")</f>
        <v/>
      </c>
      <c r="AG40" s="215">
        <f>IF(AND(ISNUMBER(AG38),ISNUMBER(AG117)),IFERROR(AG38/AG117,""),"")</f>
        <v/>
      </c>
      <c r="AH40" s="215">
        <f>IF(AND(ISNUMBER(AH38),ISNUMBER(AH117)),IFERROR(AH38/AH117,""),"")</f>
        <v/>
      </c>
      <c r="AI40" s="215">
        <f>IF(AND(ISNUMBER(AI38),ISNUMBER(AI117)),IFERROR(AI38/AI117,""),"")</f>
        <v/>
      </c>
      <c r="AJ40" s="215">
        <f>IF(AND(ISNUMBER(AJ38),ISNUMBER(AJ117)),IFERROR(AJ38/AJ117,""),"")</f>
        <v/>
      </c>
      <c r="AK40" s="215">
        <f>IF(AND(ISNUMBER(AK38),ISNUMBER(AK117)),IFERROR(AK38/AK117,""),"")</f>
        <v/>
      </c>
      <c r="AL40" s="215">
        <f>IF(AND(ISNUMBER(AL38),ISNUMBER(AL117)),IFERROR(AL38/AL117,""),"")</f>
        <v/>
      </c>
      <c r="AM40" s="256">
        <f>IF(AND(ISNUMBER(AM38),ISNUMBER(AM117)),IFERROR(AM38/AM117,""),"")</f>
        <v/>
      </c>
      <c r="AN40" s="256">
        <f>IF(AND(ISNUMBER(AN38),ISNUMBER(AN117)),IFERROR(AN38/AN117,""),"")</f>
        <v/>
      </c>
      <c r="AO40" s="256">
        <f>IF(AND(ISNUMBER(AO38),ISNUMBER(AO117)),IFERROR(AO38/AO117,""),"")</f>
        <v/>
      </c>
      <c r="AP40" s="256">
        <f>IF(AND(ISNUMBER(AP38),ISNUMBER(AP117)),IFERROR(AP38/AP117,""),"")</f>
        <v/>
      </c>
      <c r="AQ40" s="256">
        <f>IF(AND(ISNUMBER(AQ38),ISNUMBER(AQ117)),IFERROR(AQ38/AQ117,""),"")</f>
        <v/>
      </c>
      <c r="AR40" s="256">
        <f>IF(AND(ISNUMBER(AR38),ISNUMBER(AR117)),IFERROR(AR38/AR117,""),"")</f>
        <v/>
      </c>
      <c r="AS40" s="256">
        <f>IF(AND(ISNUMBER(AS38),ISNUMBER(AS117)),IFERROR(AS38/AS117,""),"")</f>
        <v/>
      </c>
      <c r="AT40" s="256">
        <f>IF(AND(ISNUMBER(AT38),ISNUMBER(AT117)),IFERROR(AT38/AT117,""),"")</f>
        <v/>
      </c>
      <c r="AU40" s="153" t="n"/>
      <c r="BC40" s="25" t="inlineStr">
        <is>
          <t xml:space="preserve">  2028E</t>
        </is>
      </c>
      <c r="BD40" s="33">
        <f>BE40+$BD$39</f>
        <v/>
      </c>
      <c r="BE40" s="42" t="n">
        <v>0.08500000000000001</v>
      </c>
      <c r="BF40" s="33">
        <f>BE40+$BF$39</f>
        <v/>
      </c>
    </row>
    <row r="41" ht="15" customHeight="1" s="251">
      <c r="B41" s="156" t="inlineStr">
        <is>
          <t xml:space="preserve">  Memo: Applied Sterilization Technologies (AST) revenue as published (segment data)</t>
        </is>
      </c>
      <c r="C41" s="253" t="n">
        <v>164.257</v>
      </c>
      <c r="D41" s="253" t="n">
        <v>179.55</v>
      </c>
      <c r="E41" s="253" t="n">
        <v>194.183</v>
      </c>
      <c r="F41" s="253" t="n">
        <v>205.675</v>
      </c>
      <c r="G41" s="253" t="n">
        <v>310.12</v>
      </c>
      <c r="H41" s="253" t="n">
        <v>458.231</v>
      </c>
      <c r="I41" s="253" t="n">
        <v>513.287</v>
      </c>
      <c r="J41" s="253" t="n">
        <v>555.127</v>
      </c>
      <c r="K41" s="253" t="n">
        <v>627.147</v>
      </c>
      <c r="L41" s="253" t="n">
        <v>685.912</v>
      </c>
      <c r="M41" s="253" t="n">
        <v>208.902</v>
      </c>
      <c r="N41" s="253" t="n">
        <v>204.892</v>
      </c>
      <c r="O41" s="253" t="n">
        <v>216.298</v>
      </c>
      <c r="P41" s="253" t="n">
        <v>222.88</v>
      </c>
      <c r="Q41" s="253" t="n">
        <v>852.972</v>
      </c>
      <c r="R41" s="253" t="n">
        <v>220.911</v>
      </c>
      <c r="S41" s="253" t="n">
        <v>232.358</v>
      </c>
      <c r="T41" s="253" t="n">
        <v>222.014</v>
      </c>
      <c r="U41" s="253" t="n">
        <v>239.148</v>
      </c>
      <c r="V41" s="253" t="n">
        <v>914.431</v>
      </c>
      <c r="W41" s="253" t="n">
        <v>233.099</v>
      </c>
      <c r="X41" s="253" t="n">
        <v>235.053</v>
      </c>
      <c r="Y41" s="253" t="n">
        <v>234.931</v>
      </c>
      <c r="Z41" s="253" t="n">
        <v>250.897</v>
      </c>
      <c r="AA41" s="253" t="n">
        <v>953.98</v>
      </c>
      <c r="AB41" s="253" t="n">
        <v>249.803</v>
      </c>
      <c r="AC41" s="253" t="n">
        <v>256.737</v>
      </c>
      <c r="AD41" s="253" t="n">
        <v>258.144</v>
      </c>
      <c r="AE41" s="253" t="n">
        <v>273.889</v>
      </c>
      <c r="AF41" s="253" t="n">
        <v>1038.573</v>
      </c>
      <c r="AG41" s="253" t="n">
        <v>281.2</v>
      </c>
      <c r="AH41" s="253" t="n">
        <v>281.5</v>
      </c>
      <c r="AI41" s="253" t="n">
        <v>286.6</v>
      </c>
      <c r="AJ41" s="253" t="n">
        <v>289.2</v>
      </c>
      <c r="AK41" s="253" t="n">
        <v>1138.5</v>
      </c>
      <c r="AL41" s="253" t="n">
        <v>297.6</v>
      </c>
      <c r="AM41" s="153" t="n"/>
      <c r="AN41" s="153" t="n"/>
      <c r="AO41" s="153" t="n"/>
      <c r="AP41" s="153" t="n"/>
      <c r="AQ41" s="153" t="n"/>
      <c r="AR41" s="153" t="n"/>
      <c r="AS41" s="153" t="n"/>
      <c r="AT41" s="153" t="n"/>
      <c r="AU41" s="153" t="n"/>
      <c r="BC41" s="25" t="inlineStr">
        <is>
          <t xml:space="preserve">  2029E</t>
        </is>
      </c>
      <c r="BD41" s="33">
        <f>BE41+$BD$39</f>
        <v/>
      </c>
      <c r="BE41" s="42" t="n">
        <v>0.08</v>
      </c>
      <c r="BF41" s="33">
        <f>BE41+$BF$39</f>
        <v/>
      </c>
    </row>
    <row r="42" ht="15" customHeight="1" s="251">
      <c r="B42" s="57" t="inlineStr">
        <is>
          <t xml:space="preserve">  Check: revenue by type vs segment revenue (should be 0)</t>
        </is>
      </c>
      <c r="C42" s="263">
        <f>IF(AND(ISNUMBER(C38),ISNUMBER(C41)),IF(ABS(C38-C41)&lt;=0.15,0,ROUND(C38-C41,1)),"")</f>
        <v/>
      </c>
      <c r="D42" s="263">
        <f>IF(AND(ISNUMBER(D38),ISNUMBER(D41)),IF(ABS(D38-D41)&lt;=0.15,0,ROUND(D38-D41,1)),"")</f>
        <v/>
      </c>
      <c r="E42" s="263">
        <f>IF(AND(ISNUMBER(E38),ISNUMBER(E41)),IF(ABS(E38-E41)&lt;=0.15,0,ROUND(E38-E41,1)),"")</f>
        <v/>
      </c>
      <c r="F42" s="263">
        <f>IF(AND(ISNUMBER(F38),ISNUMBER(F41)),IF(ABS(F38-F41)&lt;=0.15,0,ROUND(F38-F41,1)),"")</f>
        <v/>
      </c>
      <c r="G42" s="263">
        <f>IF(AND(ISNUMBER(G38),ISNUMBER(G41)),IF(ABS(G38-G41)&lt;=0.15,0,ROUND(G38-G41,1)),"")</f>
        <v/>
      </c>
      <c r="H42" s="263">
        <f>IF(AND(ISNUMBER(H38),ISNUMBER(H41)),IF(ABS(H38-H41)&lt;=0.15,0,ROUND(H38-H41,1)),"")</f>
        <v/>
      </c>
      <c r="I42" s="263">
        <f>IF(AND(ISNUMBER(I38),ISNUMBER(I41)),IF(ABS(I38-I41)&lt;=0.15,0,ROUND(I38-I41,1)),"")</f>
        <v/>
      </c>
      <c r="J42" s="263">
        <f>IF(AND(ISNUMBER(J38),ISNUMBER(J41)),IF(ABS(J38-J41)&lt;=0.15,0,ROUND(J38-J41,1)),"")</f>
        <v/>
      </c>
      <c r="K42" s="263">
        <f>IF(AND(ISNUMBER(K38),ISNUMBER(K41)),IF(ABS(K38-K41)&lt;=0.15,0,ROUND(K38-K41,1)),"")</f>
        <v/>
      </c>
      <c r="L42" s="263">
        <f>IF(AND(ISNUMBER(L38),ISNUMBER(L41)),IF(ABS(L38-L41)&lt;=0.15,0,ROUND(L38-L41,1)),"")</f>
        <v/>
      </c>
      <c r="M42" s="263">
        <f>IF(AND(ISNUMBER(M38),ISNUMBER(M41)),IF(ABS(M38-M41)&lt;=0.15,0,ROUND(M38-M41,1)),"")</f>
        <v/>
      </c>
      <c r="N42" s="263">
        <f>IF(AND(ISNUMBER(N38),ISNUMBER(N41)),IF(ABS(N38-N41)&lt;=0.15,0,ROUND(N38-N41,1)),"")</f>
        <v/>
      </c>
      <c r="O42" s="263">
        <f>IF(AND(ISNUMBER(O38),ISNUMBER(O41)),IF(ABS(O38-O41)&lt;=0.15,0,ROUND(O38-O41,1)),"")</f>
        <v/>
      </c>
      <c r="P42" s="263">
        <f>IF(AND(ISNUMBER(P38),ISNUMBER(P41)),IF(ABS(P38-P41)&lt;=0.15,0,ROUND(P38-P41,1)),"")</f>
        <v/>
      </c>
      <c r="Q42" s="263">
        <f>IF(AND(ISNUMBER(Q38),ISNUMBER(Q41)),IF(ABS(Q38-Q41)&lt;=0.15,0,ROUND(Q38-Q41,1)),"")</f>
        <v/>
      </c>
      <c r="R42" s="263">
        <f>IF(AND(ISNUMBER(R38),ISNUMBER(R41)),IF(ABS(R38-R41)&lt;=0.15,0,ROUND(R38-R41,1)),"")</f>
        <v/>
      </c>
      <c r="S42" s="263">
        <f>IF(AND(ISNUMBER(S38),ISNUMBER(S41)),IF(ABS(S38-S41)&lt;=0.15,0,ROUND(S38-S41,1)),"")</f>
        <v/>
      </c>
      <c r="T42" s="263">
        <f>IF(AND(ISNUMBER(T38),ISNUMBER(T41)),IF(ABS(T38-T41)&lt;=0.15,0,ROUND(T38-T41,1)),"")</f>
        <v/>
      </c>
      <c r="U42" s="263">
        <f>IF(AND(ISNUMBER(U38),ISNUMBER(U41)),IF(ABS(U38-U41)&lt;=0.15,0,ROUND(U38-U41,1)),"")</f>
        <v/>
      </c>
      <c r="V42" s="263">
        <f>IF(AND(ISNUMBER(V38),ISNUMBER(V41)),IF(ABS(V38-V41)&lt;=0.15,0,ROUND(V38-V41,1)),"")</f>
        <v/>
      </c>
      <c r="W42" s="263">
        <f>IF(AND(ISNUMBER(W38),ISNUMBER(W41)),IF(ABS(W38-W41)&lt;=0.15,0,ROUND(W38-W41,1)),"")</f>
        <v/>
      </c>
      <c r="X42" s="263">
        <f>IF(AND(ISNUMBER(X38),ISNUMBER(X41)),IF(ABS(X38-X41)&lt;=0.15,0,ROUND(X38-X41,1)),"")</f>
        <v/>
      </c>
      <c r="Y42" s="263">
        <f>IF(AND(ISNUMBER(Y38),ISNUMBER(Y41)),IF(ABS(Y38-Y41)&lt;=0.15,0,ROUND(Y38-Y41,1)),"")</f>
        <v/>
      </c>
      <c r="Z42" s="263">
        <f>IF(AND(ISNUMBER(Z38),ISNUMBER(Z41)),IF(ABS(Z38-Z41)&lt;=0.15,0,ROUND(Z38-Z41,1)),"")</f>
        <v/>
      </c>
      <c r="AA42" s="263">
        <f>IF(AND(ISNUMBER(AA38),ISNUMBER(AA41)),IF(ABS(AA38-AA41)&lt;=0.15,0,ROUND(AA38-AA41,1)),"")</f>
        <v/>
      </c>
      <c r="AB42" s="263">
        <f>IF(AND(ISNUMBER(AB38),ISNUMBER(AB41)),IF(ABS(AB38-AB41)&lt;=0.15,0,ROUND(AB38-AB41,1)),"")</f>
        <v/>
      </c>
      <c r="AC42" s="263">
        <f>IF(AND(ISNUMBER(AC38),ISNUMBER(AC41)),IF(ABS(AC38-AC41)&lt;=0.15,0,ROUND(AC38-AC41,1)),"")</f>
        <v/>
      </c>
      <c r="AD42" s="263">
        <f>IF(AND(ISNUMBER(AD38),ISNUMBER(AD41)),IF(ABS(AD38-AD41)&lt;=0.15,0,ROUND(AD38-AD41,1)),"")</f>
        <v/>
      </c>
      <c r="AE42" s="263">
        <f>IF(AND(ISNUMBER(AE38),ISNUMBER(AE41)),IF(ABS(AE38-AE41)&lt;=0.15,0,ROUND(AE38-AE41,1)),"")</f>
        <v/>
      </c>
      <c r="AF42" s="263">
        <f>IF(AND(ISNUMBER(AF38),ISNUMBER(AF41)),IF(ABS(AF38-AF41)&lt;=0.15,0,ROUND(AF38-AF41,1)),"")</f>
        <v/>
      </c>
      <c r="AG42" s="263">
        <f>IF(AND(ISNUMBER(AG38),ISNUMBER(AG41)),IF(ABS(AG38-AG41)&lt;=0.15,0,ROUND(AG38-AG41,1)),"")</f>
        <v/>
      </c>
      <c r="AH42" s="263">
        <f>IF(AND(ISNUMBER(AH38),ISNUMBER(AH41)),IF(ABS(AH38-AH41)&lt;=0.15,0,ROUND(AH38-AH41,1)),"")</f>
        <v/>
      </c>
      <c r="AI42" s="263">
        <f>IF(AND(ISNUMBER(AI38),ISNUMBER(AI41)),IF(ABS(AI38-AI41)&lt;=0.15,0,ROUND(AI38-AI41,1)),"")</f>
        <v/>
      </c>
      <c r="AJ42" s="263">
        <f>IF(AND(ISNUMBER(AJ38),ISNUMBER(AJ41)),IF(ABS(AJ38-AJ41)&lt;=0.15,0,ROUND(AJ38-AJ41,1)),"")</f>
        <v/>
      </c>
      <c r="AK42" s="263">
        <f>IF(AND(ISNUMBER(AK38),ISNUMBER(AK41)),IF(ABS(AK38-AK41)&lt;=0.15,0,ROUND(AK38-AK41,1)),"")</f>
        <v/>
      </c>
      <c r="AL42" s="263">
        <f>IF(AND(ISNUMBER(AL38),ISNUMBER(AL41)),IF(ABS(AL38-AL41)&lt;=0.15,0,ROUND(AL38-AL41,1)),"")</f>
        <v/>
      </c>
      <c r="AM42" s="153" t="n"/>
      <c r="AN42" s="153" t="n"/>
      <c r="AO42" s="153" t="n"/>
      <c r="AP42" s="153" t="n"/>
      <c r="AQ42" s="153" t="n"/>
      <c r="AR42" s="153" t="n"/>
      <c r="AS42" s="153" t="n"/>
      <c r="AT42" s="153" t="n"/>
      <c r="AU42" s="153" t="n"/>
      <c r="BC42" s="25" t="inlineStr">
        <is>
          <t xml:space="preserve">  2030E</t>
        </is>
      </c>
      <c r="BD42" s="33">
        <f>BE42+$BD$39</f>
        <v/>
      </c>
      <c r="BE42" s="42" t="n">
        <v>0.075</v>
      </c>
      <c r="BF42" s="33">
        <f>BE42+$BF$39</f>
        <v/>
      </c>
    </row>
    <row r="43" ht="15" customHeight="1" s="251">
      <c r="B43" s="25" t="inlineStr">
        <is>
          <t xml:space="preserve">  Segment operating income (adjusted basis)</t>
        </is>
      </c>
      <c r="C43" s="253" t="n">
        <v>47.596</v>
      </c>
      <c r="D43" s="253" t="n">
        <v>51.455</v>
      </c>
      <c r="E43" s="253" t="n">
        <v>57.598</v>
      </c>
      <c r="F43" s="253" t="n">
        <v>59.471</v>
      </c>
      <c r="G43" s="253" t="n">
        <v>99.224</v>
      </c>
      <c r="H43" s="253" t="n">
        <v>156.01</v>
      </c>
      <c r="I43" s="253" t="n">
        <v>173.375</v>
      </c>
      <c r="J43" s="253" t="n">
        <v>221.828</v>
      </c>
      <c r="K43" s="253" t="n">
        <v>270.917</v>
      </c>
      <c r="L43" s="253" t="n">
        <v>310.648</v>
      </c>
      <c r="M43" s="253" t="n">
        <v>101.927</v>
      </c>
      <c r="N43" s="253" t="n">
        <v>99.789</v>
      </c>
      <c r="O43" s="253" t="n">
        <v>101.343</v>
      </c>
      <c r="P43" s="253" t="n">
        <v>107.042</v>
      </c>
      <c r="Q43" s="253" t="n">
        <v>410.101</v>
      </c>
      <c r="R43" s="253" t="n">
        <v>109.315</v>
      </c>
      <c r="S43" s="253" t="n">
        <v>110.384</v>
      </c>
      <c r="T43" s="253" t="n">
        <v>103.539</v>
      </c>
      <c r="U43" s="253" t="n">
        <v>105.782</v>
      </c>
      <c r="V43" s="253" t="n">
        <v>429.02</v>
      </c>
      <c r="W43" s="253" t="n">
        <v>109.59</v>
      </c>
      <c r="X43" s="253" t="n">
        <v>110.783</v>
      </c>
      <c r="Y43" s="253" t="n">
        <v>105.156</v>
      </c>
      <c r="Z43" s="253" t="n">
        <v>114.215</v>
      </c>
      <c r="AA43" s="253" t="n">
        <v>439.744</v>
      </c>
      <c r="AB43" s="253" t="n">
        <v>117.714</v>
      </c>
      <c r="AC43" s="253" t="n">
        <v>109.902</v>
      </c>
      <c r="AD43" s="253" t="n">
        <v>115.758</v>
      </c>
      <c r="AE43" s="253" t="n">
        <v>122.202</v>
      </c>
      <c r="AF43" s="253" t="n">
        <v>465.576</v>
      </c>
      <c r="AG43" s="253" t="n">
        <v>136.7</v>
      </c>
      <c r="AH43" s="253" t="n">
        <v>127.6</v>
      </c>
      <c r="AI43" s="253" t="n">
        <v>129.2</v>
      </c>
      <c r="AJ43" s="253" t="n">
        <v>131.1</v>
      </c>
      <c r="AK43" s="253" t="n">
        <v>524.7</v>
      </c>
      <c r="AL43" s="253" t="n">
        <v>142.9</v>
      </c>
      <c r="AM43" s="254">
        <f>AM38*AM44</f>
        <v/>
      </c>
      <c r="AN43" s="254">
        <f>AN38*AN44</f>
        <v/>
      </c>
      <c r="AO43" s="254">
        <f>AO38*AO44</f>
        <v/>
      </c>
      <c r="AP43" s="254">
        <f>SUM(AL43,AM43,AN43,AO43)</f>
        <v/>
      </c>
      <c r="AQ43" s="254">
        <f>AQ38*AQ44</f>
        <v/>
      </c>
      <c r="AR43" s="254">
        <f>AR38*AR44</f>
        <v/>
      </c>
      <c r="AS43" s="254">
        <f>AS38*AS44</f>
        <v/>
      </c>
      <c r="AT43" s="254">
        <f>AT38*AT44</f>
        <v/>
      </c>
      <c r="AU43" s="19" t="n"/>
      <c r="AW43" s="20">
        <f>IFERROR((AT43/AK43)^(1/5)-1,"n/m")</f>
        <v/>
      </c>
      <c r="AX43" s="20">
        <f>IFERROR((AK43/L43)^(1/5)-1,"n/m")</f>
        <v/>
      </c>
      <c r="AY43" s="20">
        <f>IFERROR((AK43/G43)^(1/10)-1,"n/m")</f>
        <v/>
      </c>
      <c r="AZ43" s="20">
        <f>IFERROR((AK43/C43)^(1/14)-1,"n/m")</f>
        <v/>
      </c>
      <c r="BC43" s="25" t="inlineStr">
        <is>
          <t xml:space="preserve">  2031E</t>
        </is>
      </c>
      <c r="BD43" s="33">
        <f>BE43+$BD$39</f>
        <v/>
      </c>
      <c r="BE43" s="42" t="n">
        <v>0.07000000000000001</v>
      </c>
      <c r="BF43" s="33">
        <f>BE43+$BF$39</f>
        <v/>
      </c>
    </row>
    <row r="44" ht="15" customHeight="1" s="251">
      <c r="B44" s="25" t="inlineStr">
        <is>
          <t xml:space="preserve">  Segment operating margin %</t>
        </is>
      </c>
      <c r="C44" s="215">
        <f>IF(AND(ISNUMBER(C43),ISNUMBER(C38)),IFERROR(C43/C38,""),"")</f>
        <v/>
      </c>
      <c r="D44" s="215">
        <f>IF(AND(ISNUMBER(D43),ISNUMBER(D38)),IFERROR(D43/D38,""),"")</f>
        <v/>
      </c>
      <c r="E44" s="215">
        <f>IF(AND(ISNUMBER(E43),ISNUMBER(E38)),IFERROR(E43/E38,""),"")</f>
        <v/>
      </c>
      <c r="F44" s="215">
        <f>IF(AND(ISNUMBER(F43),ISNUMBER(F38)),IFERROR(F43/F38,""),"")</f>
        <v/>
      </c>
      <c r="G44" s="215">
        <f>IF(AND(ISNUMBER(G43),ISNUMBER(G38)),IFERROR(G43/G38,""),"")</f>
        <v/>
      </c>
      <c r="H44" s="215">
        <f>IF(AND(ISNUMBER(H43),ISNUMBER(H38)),IFERROR(H43/H38,""),"")</f>
        <v/>
      </c>
      <c r="I44" s="215">
        <f>IF(AND(ISNUMBER(I43),ISNUMBER(I38)),IFERROR(I43/I38,""),"")</f>
        <v/>
      </c>
      <c r="J44" s="215">
        <f>IF(AND(ISNUMBER(J43),ISNUMBER(J38)),IFERROR(J43/J38,""),"")</f>
        <v/>
      </c>
      <c r="K44" s="215">
        <f>IF(AND(ISNUMBER(K43),ISNUMBER(K38)),IFERROR(K43/K38,""),"")</f>
        <v/>
      </c>
      <c r="L44" s="215">
        <f>IF(AND(ISNUMBER(L43),ISNUMBER(L38)),IFERROR(L43/L38,""),"")</f>
        <v/>
      </c>
      <c r="M44" s="215">
        <f>IF(AND(ISNUMBER(M43),ISNUMBER(M38)),IFERROR(M43/M38,""),"")</f>
        <v/>
      </c>
      <c r="N44" s="215">
        <f>IF(AND(ISNUMBER(N43),ISNUMBER(N38)),IFERROR(N43/N38,""),"")</f>
        <v/>
      </c>
      <c r="O44" s="215">
        <f>IF(AND(ISNUMBER(O43),ISNUMBER(O38)),IFERROR(O43/O38,""),"")</f>
        <v/>
      </c>
      <c r="P44" s="215">
        <f>IF(AND(ISNUMBER(P43),ISNUMBER(P38)),IFERROR(P43/P38,""),"")</f>
        <v/>
      </c>
      <c r="Q44" s="215">
        <f>IF(AND(ISNUMBER(Q43),ISNUMBER(Q38)),IFERROR(Q43/Q38,""),"")</f>
        <v/>
      </c>
      <c r="R44" s="215">
        <f>IF(AND(ISNUMBER(R43),ISNUMBER(R38)),IFERROR(R43/R38,""),"")</f>
        <v/>
      </c>
      <c r="S44" s="215">
        <f>IF(AND(ISNUMBER(S43),ISNUMBER(S38)),IFERROR(S43/S38,""),"")</f>
        <v/>
      </c>
      <c r="T44" s="215">
        <f>IF(AND(ISNUMBER(T43),ISNUMBER(T38)),IFERROR(T43/T38,""),"")</f>
        <v/>
      </c>
      <c r="U44" s="215">
        <f>IF(AND(ISNUMBER(U43),ISNUMBER(U38)),IFERROR(U43/U38,""),"")</f>
        <v/>
      </c>
      <c r="V44" s="215">
        <f>IF(AND(ISNUMBER(V43),ISNUMBER(V38)),IFERROR(V43/V38,""),"")</f>
        <v/>
      </c>
      <c r="W44" s="215">
        <f>IF(AND(ISNUMBER(W43),ISNUMBER(W38)),IFERROR(W43/W38,""),"")</f>
        <v/>
      </c>
      <c r="X44" s="215">
        <f>IF(AND(ISNUMBER(X43),ISNUMBER(X38)),IFERROR(X43/X38,""),"")</f>
        <v/>
      </c>
      <c r="Y44" s="215">
        <f>IF(AND(ISNUMBER(Y43),ISNUMBER(Y38)),IFERROR(Y43/Y38,""),"")</f>
        <v/>
      </c>
      <c r="Z44" s="215">
        <f>IF(AND(ISNUMBER(Z43),ISNUMBER(Z38)),IFERROR(Z43/Z38,""),"")</f>
        <v/>
      </c>
      <c r="AA44" s="215">
        <f>IF(AND(ISNUMBER(AA43),ISNUMBER(AA38)),IFERROR(AA43/AA38,""),"")</f>
        <v/>
      </c>
      <c r="AB44" s="215">
        <f>IF(AND(ISNUMBER(AB43),ISNUMBER(AB38)),IFERROR(AB43/AB38,""),"")</f>
        <v/>
      </c>
      <c r="AC44" s="215">
        <f>IF(AND(ISNUMBER(AC43),ISNUMBER(AC38)),IFERROR(AC43/AC38,""),"")</f>
        <v/>
      </c>
      <c r="AD44" s="215">
        <f>IF(AND(ISNUMBER(AD43),ISNUMBER(AD38)),IFERROR(AD43/AD38,""),"")</f>
        <v/>
      </c>
      <c r="AE44" s="215">
        <f>IF(AND(ISNUMBER(AE43),ISNUMBER(AE38)),IFERROR(AE43/AE38,""),"")</f>
        <v/>
      </c>
      <c r="AF44" s="215">
        <f>IF(AND(ISNUMBER(AF43),ISNUMBER(AF38)),IFERROR(AF43/AF38,""),"")</f>
        <v/>
      </c>
      <c r="AG44" s="215">
        <f>IF(AND(ISNUMBER(AG43),ISNUMBER(AG38)),IFERROR(AG43/AG38,""),"")</f>
        <v/>
      </c>
      <c r="AH44" s="215">
        <f>IF(AND(ISNUMBER(AH43),ISNUMBER(AH38)),IFERROR(AH43/AH38,""),"")</f>
        <v/>
      </c>
      <c r="AI44" s="215">
        <f>IF(AND(ISNUMBER(AI43),ISNUMBER(AI38)),IFERROR(AI43/AI38,""),"")</f>
        <v/>
      </c>
      <c r="AJ44" s="215">
        <f>IF(AND(ISNUMBER(AJ43),ISNUMBER(AJ38)),IFERROR(AJ43/AJ38,""),"")</f>
        <v/>
      </c>
      <c r="AK44" s="215">
        <f>IF(AND(ISNUMBER(AK43),ISNUMBER(AK38)),IFERROR(AK43/AK38,""),"")</f>
        <v/>
      </c>
      <c r="AL44" s="215">
        <f>IF(AND(ISNUMBER(AL43),ISNUMBER(AL38)),IFERROR(AL43/AL38,""),"")</f>
        <v/>
      </c>
      <c r="AM44" s="256">
        <f>AM45+$AM$134</f>
        <v/>
      </c>
      <c r="AN44" s="256">
        <f>AN45+$AM$134</f>
        <v/>
      </c>
      <c r="AO44" s="256">
        <f>AO45+$AM$134</f>
        <v/>
      </c>
      <c r="AP44" s="256">
        <f>IF(AND(ISNUMBER(AP43),ISNUMBER(AP38)),IFERROR(AP43/AP38,""),"")</f>
        <v/>
      </c>
      <c r="AQ44" s="256">
        <f>CHOOSE(MATCH($AU$2,{"Bull","Base","Bear"},0),$BD$75,$BE$75,$BF$75)</f>
        <v/>
      </c>
      <c r="AR44" s="256">
        <f>CHOOSE(MATCH($AU$2,{"Bull","Base","Bear"},0),$BD$76,$BE$76,$BF$76)</f>
        <v/>
      </c>
      <c r="AS44" s="256">
        <f>CHOOSE(MATCH($AU$2,{"Bull","Base","Bear"},0),$BD$77,$BE$77,$BF$77)</f>
        <v/>
      </c>
      <c r="AT44" s="256">
        <f>CHOOSE(MATCH($AU$2,{"Bull","Base","Bear"},0),$BD$78,$BE$78,$BF$78)</f>
        <v/>
      </c>
      <c r="AU44" s="153" t="n"/>
      <c r="AW44" s="37">
        <f>IFERROR(AVERAGE(AP44,AQ44,AR44,AS44,AT44),"n/m")</f>
        <v/>
      </c>
      <c r="AX44" s="37">
        <f>IFERROR(AVERAGE(Q44,V44,AA44,AF44,AK44),"n/m")</f>
        <v/>
      </c>
      <c r="AY44" s="37">
        <f>IFERROR(AVERAGE(H44,I44,J44,K44,L44,Q44,V44,AA44,AF44,AK44),"n/m")</f>
        <v/>
      </c>
      <c r="AZ44" s="37">
        <f>IFERROR(AVERAGE(C44,D44,E44,F44,G44,H44,I44,J44,K44,L44,Q44,V44,AA44,AF44,AK44),"n/m")</f>
        <v/>
      </c>
      <c r="BC44" s="15" t="inlineStr">
        <is>
          <t>AST_SERV (AST contract sterilization &amp; lab y/y)</t>
        </is>
      </c>
      <c r="BD44" s="41" t="n">
        <v>0.02</v>
      </c>
      <c r="BE44" s="21" t="inlineStr">
        <is>
          <t>Δ →</t>
        </is>
      </c>
      <c r="BF44" s="41" t="n">
        <v>-0.04</v>
      </c>
      <c r="BG44" s="13" t="inlineStr">
        <is>
          <t>Med-device volumes (bioprocessing recovery), price; EO / gamma / X-ray capacity adds. FY26 +11%.</t>
        </is>
      </c>
    </row>
    <row r="45" ht="15" customHeight="1" s="251">
      <c r="B45" s="25" t="inlineStr">
        <is>
          <t xml:space="preserve">  Q2–Q4/27E margin before EPS-outlook calibration (prior-year quarter + Q1/27 y/y drift)</t>
        </is>
      </c>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c r="AC45" s="36" t="n"/>
      <c r="AD45" s="36" t="n"/>
      <c r="AE45" s="36" t="n"/>
      <c r="AF45" s="36" t="n"/>
      <c r="AG45" s="36" t="n"/>
      <c r="AH45" s="36" t="n"/>
      <c r="AI45" s="36" t="n"/>
      <c r="AJ45" s="36" t="n"/>
      <c r="AK45" s="36" t="n"/>
      <c r="AL45" s="36" t="n"/>
      <c r="AM45" s="256">
        <f>AH44+IFERROR(AL43/AL38-AG43/AG38,0)</f>
        <v/>
      </c>
      <c r="AN45" s="256">
        <f>AI44+IFERROR(AL43/AL38-AG43/AG38,0)</f>
        <v/>
      </c>
      <c r="AO45" s="256">
        <f>AJ44+IFERROR(AL43/AL38-AG43/AG38,0)</f>
        <v/>
      </c>
      <c r="AP45" s="24" t="n"/>
      <c r="AQ45" s="46" t="n"/>
      <c r="AR45" s="46" t="n"/>
      <c r="AS45" s="46" t="n"/>
      <c r="AT45" s="46" t="n"/>
      <c r="AU45" s="19" t="n"/>
      <c r="BC45" s="25" t="inlineStr">
        <is>
          <t xml:space="preserve">  2028E</t>
        </is>
      </c>
      <c r="BD45" s="33">
        <f>BE45+$BD$44</f>
        <v/>
      </c>
      <c r="BE45" s="42" t="n">
        <v>0.08</v>
      </c>
      <c r="BF45" s="33">
        <f>BE45+$BF$44</f>
        <v/>
      </c>
    </row>
    <row r="46" ht="15" customHeight="1" s="251">
      <c r="B46" s="25" t="inlineStr">
        <is>
          <t xml:space="preserve">  Incremental segment margin (Δ operating income / Δ revenue)</t>
        </is>
      </c>
      <c r="C46" s="36" t="n"/>
      <c r="D46" s="215">
        <f>IFERROR((D43-C43)/(D38-C38),"")</f>
        <v/>
      </c>
      <c r="E46" s="215">
        <f>IFERROR((E43-D43)/(E38-D38),"")</f>
        <v/>
      </c>
      <c r="F46" s="215">
        <f>IFERROR((F43-E43)/(F38-E38),"")</f>
        <v/>
      </c>
      <c r="G46" s="215">
        <f>IFERROR((G43-F43)/(G38-F38),"")</f>
        <v/>
      </c>
      <c r="H46" s="215">
        <f>IFERROR((H43-G43)/(H38-G38),"")</f>
        <v/>
      </c>
      <c r="I46" s="215">
        <f>IFERROR((I43-H43)/(I38-H38),"")</f>
        <v/>
      </c>
      <c r="J46" s="215">
        <f>IFERROR((J43-I43)/(J38-I38),"")</f>
        <v/>
      </c>
      <c r="K46" s="215">
        <f>IFERROR((K43-J43)/(K38-J38),"")</f>
        <v/>
      </c>
      <c r="L46" s="215">
        <f>IFERROR((L43-K43)/(L38-K38),"")</f>
        <v/>
      </c>
      <c r="M46" s="36" t="n"/>
      <c r="N46" s="36" t="n"/>
      <c r="O46" s="36" t="n"/>
      <c r="P46" s="36" t="n"/>
      <c r="Q46" s="215">
        <f>IFERROR((Q43-L43)/(Q38-L38),"")</f>
        <v/>
      </c>
      <c r="R46" s="215">
        <f>IFERROR((R43-M43)/(R38-M38),"")</f>
        <v/>
      </c>
      <c r="S46" s="215">
        <f>IFERROR((S43-N43)/(S38-N38),"")</f>
        <v/>
      </c>
      <c r="T46" s="215">
        <f>IFERROR((T43-O43)/(T38-O38),"")</f>
        <v/>
      </c>
      <c r="U46" s="215">
        <f>IFERROR((U43-P43)/(U38-P38),"")</f>
        <v/>
      </c>
      <c r="V46" s="215">
        <f>IFERROR((V43-Q43)/(V38-Q38),"")</f>
        <v/>
      </c>
      <c r="W46" s="215">
        <f>IFERROR((W43-R43)/(W38-R38),"")</f>
        <v/>
      </c>
      <c r="X46" s="215">
        <f>IFERROR((X43-S43)/(X38-S38),"")</f>
        <v/>
      </c>
      <c r="Y46" s="215">
        <f>IFERROR((Y43-T43)/(Y38-T38),"")</f>
        <v/>
      </c>
      <c r="Z46" s="215">
        <f>IFERROR((Z43-U43)/(Z38-U38),"")</f>
        <v/>
      </c>
      <c r="AA46" s="215">
        <f>IFERROR((AA43-V43)/(AA38-V38),"")</f>
        <v/>
      </c>
      <c r="AB46" s="215">
        <f>IFERROR((AB43-W43)/(AB38-W38),"")</f>
        <v/>
      </c>
      <c r="AC46" s="215">
        <f>IFERROR((AC43-X43)/(AC38-X38),"")</f>
        <v/>
      </c>
      <c r="AD46" s="215">
        <f>IFERROR((AD43-Y43)/(AD38-Y38),"")</f>
        <v/>
      </c>
      <c r="AE46" s="215">
        <f>IFERROR((AE43-Z43)/(AE38-Z38),"")</f>
        <v/>
      </c>
      <c r="AF46" s="215">
        <f>IFERROR((AF43-AA43)/(AF38-AA38),"")</f>
        <v/>
      </c>
      <c r="AG46" s="215">
        <f>IFERROR((AG43-AB43)/(AG38-AB38),"")</f>
        <v/>
      </c>
      <c r="AH46" s="215">
        <f>IFERROR((AH43-AC43)/(AH38-AC38),"")</f>
        <v/>
      </c>
      <c r="AI46" s="215">
        <f>IFERROR((AI43-AD43)/(AI38-AD38),"")</f>
        <v/>
      </c>
      <c r="AJ46" s="215">
        <f>IFERROR((AJ43-AE43)/(AJ38-AE38),"")</f>
        <v/>
      </c>
      <c r="AK46" s="215">
        <f>IFERROR((AK43-AF43)/(AK38-AF38),"")</f>
        <v/>
      </c>
      <c r="AL46" s="215">
        <f>IFERROR((AL43-AG43)/(AL38-AG38),"")</f>
        <v/>
      </c>
      <c r="AM46" s="256">
        <f>IFERROR((AM43-AH43)/(AM38-AH38),"")</f>
        <v/>
      </c>
      <c r="AN46" s="256">
        <f>IFERROR((AN43-AI43)/(AN38-AI38),"")</f>
        <v/>
      </c>
      <c r="AO46" s="256">
        <f>IFERROR((AO43-AJ43)/(AO38-AJ38),"")</f>
        <v/>
      </c>
      <c r="AP46" s="256">
        <f>IFERROR((AP43-AK43)/(AP38-AK38),"")</f>
        <v/>
      </c>
      <c r="AQ46" s="256">
        <f>IFERROR((AQ43-AP43)/(AQ38-AP38),"")</f>
        <v/>
      </c>
      <c r="AR46" s="256">
        <f>IFERROR((AR43-AQ43)/(AR38-AQ38),"")</f>
        <v/>
      </c>
      <c r="AS46" s="256">
        <f>IFERROR((AS43-AR43)/(AS38-AR38),"")</f>
        <v/>
      </c>
      <c r="AT46" s="256">
        <f>IFERROR((AT43-AS43)/(AT38-AS38),"")</f>
        <v/>
      </c>
      <c r="AU46" s="153" t="n"/>
      <c r="BC46" s="25" t="inlineStr">
        <is>
          <t xml:space="preserve">  2029E</t>
        </is>
      </c>
      <c r="BD46" s="33">
        <f>BE46+$BD$44</f>
        <v/>
      </c>
      <c r="BE46" s="42" t="n">
        <v>0.08</v>
      </c>
      <c r="BF46" s="33">
        <f>BE46+$BF$44</f>
        <v/>
      </c>
    </row>
    <row r="47" ht="15" customHeight="1" s="251">
      <c r="BC47" s="25" t="inlineStr">
        <is>
          <t xml:space="preserve">  2030E</t>
        </is>
      </c>
      <c r="BD47" s="33">
        <f>BE47+$BD$44</f>
        <v/>
      </c>
      <c r="BE47" s="42" t="n">
        <v>0.075</v>
      </c>
      <c r="BF47" s="33">
        <f>BE47+$BF$44</f>
        <v/>
      </c>
    </row>
    <row r="48" ht="15" customHeight="1" s="251">
      <c r="B48" s="14" t="inlineStr">
        <is>
          <t>Life Sciences (barrier &amp; cleaning consumables, sterilizers / washers for pharma &amp; biotech, service)</t>
        </is>
      </c>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5" t="inlineStr">
        <is>
          <t>LIFE SCIENCES — modelling logic</t>
        </is>
      </c>
      <c r="BC48" s="25" t="inlineStr">
        <is>
          <t xml:space="preserve">  2031E</t>
        </is>
      </c>
      <c r="BD48" s="33">
        <f>BE48+$BD$44</f>
        <v/>
      </c>
      <c r="BE48" s="42" t="n">
        <v>0.075</v>
      </c>
      <c r="BF48" s="33">
        <f>BE48+$BF$44</f>
        <v/>
      </c>
    </row>
    <row r="49" ht="15" customHeight="1" s="251">
      <c r="B49" s="25" t="inlineStr">
        <is>
          <t xml:space="preserve">  Capital equipment revenue</t>
        </is>
      </c>
      <c r="C49" s="253" t="n">
        <v>81.28100000000001</v>
      </c>
      <c r="D49" s="253" t="n">
        <v>91.572</v>
      </c>
      <c r="E49" s="253" t="n">
        <v>88.199</v>
      </c>
      <c r="F49" s="253" t="n">
        <v>80.80200000000001</v>
      </c>
      <c r="G49" s="253" t="n">
        <v>84.843</v>
      </c>
      <c r="H49" s="253" t="n">
        <v>83.662544</v>
      </c>
      <c r="I49" s="253" t="n">
        <v>100.555</v>
      </c>
      <c r="J49" s="253" t="n">
        <v>102.714</v>
      </c>
      <c r="K49" s="253" t="n">
        <v>112.747</v>
      </c>
      <c r="L49" s="253" t="n">
        <v>128.356</v>
      </c>
      <c r="M49" s="253" t="n">
        <v>32.745</v>
      </c>
      <c r="N49" s="253" t="n">
        <v>34.186</v>
      </c>
      <c r="O49" s="253" t="n">
        <v>30.412</v>
      </c>
      <c r="P49" s="253" t="n">
        <v>44.938</v>
      </c>
      <c r="Q49" s="253" t="n">
        <v>142.281</v>
      </c>
      <c r="R49" s="253" t="n">
        <v>40.499</v>
      </c>
      <c r="S49" s="253" t="n">
        <v>30.015</v>
      </c>
      <c r="T49" s="253" t="n">
        <v>28.581</v>
      </c>
      <c r="U49" s="253" t="n">
        <v>48.325</v>
      </c>
      <c r="V49" s="253" t="n">
        <v>147.42</v>
      </c>
      <c r="W49" s="253" t="n">
        <v>30.991</v>
      </c>
      <c r="X49" s="253" t="n">
        <v>35.438</v>
      </c>
      <c r="Y49" s="253" t="n">
        <v>44.836</v>
      </c>
      <c r="Z49" s="253" t="n">
        <v>44.255</v>
      </c>
      <c r="AA49" s="253" t="n">
        <v>155.52</v>
      </c>
      <c r="AB49" s="253" t="n">
        <v>26.476</v>
      </c>
      <c r="AC49" s="253" t="n">
        <v>23.012</v>
      </c>
      <c r="AD49" s="253" t="n">
        <v>31.063</v>
      </c>
      <c r="AE49" s="253" t="n">
        <v>36.983</v>
      </c>
      <c r="AF49" s="253" t="n">
        <v>117.534</v>
      </c>
      <c r="AG49" s="253" t="n">
        <v>26.6</v>
      </c>
      <c r="AH49" s="253" t="n">
        <v>31.9</v>
      </c>
      <c r="AI49" s="253" t="n">
        <v>33.3</v>
      </c>
      <c r="AJ49" s="253" t="n">
        <v>43.9</v>
      </c>
      <c r="AK49" s="253" t="n">
        <v>135.7</v>
      </c>
      <c r="AL49" s="253" t="n">
        <v>31.3</v>
      </c>
      <c r="AM49" s="254">
        <f>AH49*(1+AM50)</f>
        <v/>
      </c>
      <c r="AN49" s="254">
        <f>AI49*(1+AN50)</f>
        <v/>
      </c>
      <c r="AO49" s="254">
        <f>AJ49*(1+AO50)</f>
        <v/>
      </c>
      <c r="AP49" s="254">
        <f>SUM(AL49,AM49,AN49,AO49)</f>
        <v/>
      </c>
      <c r="AQ49" s="254">
        <f>AP49*(1+AQ50)</f>
        <v/>
      </c>
      <c r="AR49" s="254">
        <f>AQ49*(1+AR50)</f>
        <v/>
      </c>
      <c r="AS49" s="254">
        <f>AR49*(1+AS50)</f>
        <v/>
      </c>
      <c r="AT49" s="254">
        <f>AS49*(1+AT50)</f>
        <v/>
      </c>
      <c r="AU49" s="19" t="inlineStr">
        <is>
          <t>Revenue by type as published (release "Unaudited Supplemental Financial Data"). Q2–Q4/27E: prior-year quarter × (1 + growth). 2028E+: prior year × (1 + scenario lever).</t>
        </is>
      </c>
      <c r="AW49" s="20">
        <f>IFERROR((AT49/AK49)^(1/5)-1,"n/m")</f>
        <v/>
      </c>
      <c r="AX49" s="20">
        <f>IFERROR((AK49/L49)^(1/5)-1,"n/m")</f>
        <v/>
      </c>
      <c r="AY49" s="20">
        <f>IFERROR((AK49/G49)^(1/10)-1,"n/m")</f>
        <v/>
      </c>
      <c r="AZ49" s="20">
        <f>IFERROR((AK49/C49)^(1/14)-1,"n/m")</f>
        <v/>
      </c>
      <c r="BC49" s="15" t="inlineStr">
        <is>
          <t>AST_CAP (AST capital equipment y/y)</t>
        </is>
      </c>
      <c r="BD49" s="41" t="n">
        <v>0</v>
      </c>
      <c r="BE49" s="21" t="inlineStr">
        <is>
          <t>Δ →</t>
        </is>
      </c>
      <c r="BF49" s="41" t="n">
        <v>-0.1</v>
      </c>
      <c r="BG49" s="13" t="inlineStr">
        <is>
          <t>Lumpy X-ray / E-beam system sales (~$20–30m p.a.).</t>
        </is>
      </c>
    </row>
    <row r="50" ht="15" customHeight="1" s="251">
      <c r="B50" s="22" t="inlineStr">
        <is>
          <t xml:space="preserve">    y/y %</t>
        </is>
      </c>
      <c r="C50" s="23" t="n"/>
      <c r="D50" s="255">
        <f>IF(AND(ISNUMBER(D49),ISNUMBER(C49)),IFERROR(D49/C49-1,""),"")</f>
        <v/>
      </c>
      <c r="E50" s="255">
        <f>IF(AND(ISNUMBER(E49),ISNUMBER(D49)),IFERROR(E49/D49-1,""),"")</f>
        <v/>
      </c>
      <c r="F50" s="255">
        <f>IF(AND(ISNUMBER(F49),ISNUMBER(E49)),IFERROR(F49/E49-1,""),"")</f>
        <v/>
      </c>
      <c r="G50" s="255">
        <f>IF(AND(ISNUMBER(G49),ISNUMBER(F49)),IFERROR(G49/F49-1,""),"")</f>
        <v/>
      </c>
      <c r="H50" s="255">
        <f>IF(AND(ISNUMBER(H49),ISNUMBER(G49)),IFERROR(H49/G49-1,""),"")</f>
        <v/>
      </c>
      <c r="I50" s="255">
        <f>IF(AND(ISNUMBER(I49),ISNUMBER(H49)),IFERROR(I49/H49-1,""),"")</f>
        <v/>
      </c>
      <c r="J50" s="255">
        <f>IF(AND(ISNUMBER(J49),ISNUMBER(I49)),IFERROR(J49/I49-1,""),"")</f>
        <v/>
      </c>
      <c r="K50" s="255">
        <f>IF(AND(ISNUMBER(K49),ISNUMBER(J49)),IFERROR(K49/J49-1,""),"")</f>
        <v/>
      </c>
      <c r="L50" s="255">
        <f>IF(AND(ISNUMBER(L49),ISNUMBER(K49)),IFERROR(L49/K49-1,""),"")</f>
        <v/>
      </c>
      <c r="M50" s="23" t="n"/>
      <c r="N50" s="23" t="n"/>
      <c r="O50" s="23" t="n"/>
      <c r="P50" s="23" t="n"/>
      <c r="Q50" s="255">
        <f>IF(AND(ISNUMBER(Q49),ISNUMBER(L49)),IFERROR(Q49/L49-1,""),"")</f>
        <v/>
      </c>
      <c r="R50" s="255">
        <f>IF(AND(ISNUMBER(R49),ISNUMBER(M49)),IFERROR(R49/M49-1,""),"")</f>
        <v/>
      </c>
      <c r="S50" s="255">
        <f>IF(AND(ISNUMBER(S49),ISNUMBER(N49)),IFERROR(S49/N49-1,""),"")</f>
        <v/>
      </c>
      <c r="T50" s="255">
        <f>IF(AND(ISNUMBER(T49),ISNUMBER(O49)),IFERROR(T49/O49-1,""),"")</f>
        <v/>
      </c>
      <c r="U50" s="255">
        <f>IF(AND(ISNUMBER(U49),ISNUMBER(P49)),IFERROR(U49/P49-1,""),"")</f>
        <v/>
      </c>
      <c r="V50" s="255">
        <f>IF(AND(ISNUMBER(V49),ISNUMBER(Q49)),IFERROR(V49/Q49-1,""),"")</f>
        <v/>
      </c>
      <c r="W50" s="255">
        <f>IF(AND(ISNUMBER(W49),ISNUMBER(R49)),IFERROR(W49/R49-1,""),"")</f>
        <v/>
      </c>
      <c r="X50" s="255">
        <f>IF(AND(ISNUMBER(X49),ISNUMBER(S49)),IFERROR(X49/S49-1,""),"")</f>
        <v/>
      </c>
      <c r="Y50" s="255">
        <f>IF(AND(ISNUMBER(Y49),ISNUMBER(T49)),IFERROR(Y49/T49-1,""),"")</f>
        <v/>
      </c>
      <c r="Z50" s="255">
        <f>IF(AND(ISNUMBER(Z49),ISNUMBER(U49)),IFERROR(Z49/U49-1,""),"")</f>
        <v/>
      </c>
      <c r="AA50" s="255">
        <f>IF(AND(ISNUMBER(AA49),ISNUMBER(V49)),IFERROR(AA49/V49-1,""),"")</f>
        <v/>
      </c>
      <c r="AB50" s="255">
        <f>IF(AND(ISNUMBER(AB49),ISNUMBER(W49)),IFERROR(AB49/W49-1,""),"")</f>
        <v/>
      </c>
      <c r="AC50" s="255">
        <f>IF(AND(ISNUMBER(AC49),ISNUMBER(X49)),IFERROR(AC49/X49-1,""),"")</f>
        <v/>
      </c>
      <c r="AD50" s="255">
        <f>IF(AND(ISNUMBER(AD49),ISNUMBER(Y49)),IFERROR(AD49/Y49-1,""),"")</f>
        <v/>
      </c>
      <c r="AE50" s="255">
        <f>IF(AND(ISNUMBER(AE49),ISNUMBER(Z49)),IFERROR(AE49/Z49-1,""),"")</f>
        <v/>
      </c>
      <c r="AF50" s="255">
        <f>IF(AND(ISNUMBER(AF49),ISNUMBER(AA49)),IFERROR(AF49/AA49-1,""),"")</f>
        <v/>
      </c>
      <c r="AG50" s="255">
        <f>IF(AND(ISNUMBER(AG49),ISNUMBER(AB49)),IFERROR(AG49/AB49-1,""),"")</f>
        <v/>
      </c>
      <c r="AH50" s="255">
        <f>IF(AND(ISNUMBER(AH49),ISNUMBER(AC49)),IFERROR(AH49/AC49-1,""),"")</f>
        <v/>
      </c>
      <c r="AI50" s="255">
        <f>IF(AND(ISNUMBER(AI49),ISNUMBER(AD49)),IFERROR(AI49/AD49-1,""),"")</f>
        <v/>
      </c>
      <c r="AJ50" s="255">
        <f>IF(AND(ISNUMBER(AJ49),ISNUMBER(AE49)),IFERROR(AJ49/AE49-1,""),"")</f>
        <v/>
      </c>
      <c r="AK50" s="255">
        <f>IF(AND(ISNUMBER(AK49),ISNUMBER(AF49)),IFERROR(AK49/AF49-1,""),"")</f>
        <v/>
      </c>
      <c r="AL50" s="255">
        <f>IF(AND(ISNUMBER(AL49),ISNUMBER(AG49)),IFERROR(AL49/AG49-1,""),"")</f>
        <v/>
      </c>
      <c r="AM50" s="256">
        <f>AM51+$AM$127</f>
        <v/>
      </c>
      <c r="AN50" s="256">
        <f>AN51+$AM$127</f>
        <v/>
      </c>
      <c r="AO50" s="256">
        <f>AO51+$AM$127</f>
        <v/>
      </c>
      <c r="AP50" s="256">
        <f>IF(AND(ISNUMBER(AP49),ISNUMBER(AK49)),IFERROR(AP49/AK49-1,""),"")</f>
        <v/>
      </c>
      <c r="AQ50" s="256">
        <f>CHOOSE(MATCH($AU$2,{"Bull","Base","Bear"},0),$BD$55,$BE$55,$BF$55)</f>
        <v/>
      </c>
      <c r="AR50" s="256">
        <f>CHOOSE(MATCH($AU$2,{"Bull","Base","Bear"},0),$BD$56,$BE$56,$BF$56)</f>
        <v/>
      </c>
      <c r="AS50" s="256">
        <f>CHOOSE(MATCH($AU$2,{"Bull","Base","Bear"},0),$BD$57,$BE$57,$BF$57)</f>
        <v/>
      </c>
      <c r="AT50" s="256">
        <f>CHOOSE(MATCH($AU$2,{"Bull","Base","Bear"},0),$BD$58,$BE$58,$BF$58)</f>
        <v/>
      </c>
      <c r="AU50" s="153" t="inlineStr">
        <is>
          <t>Q2–Q4/27E: Q1/27 y/y growth of the line + revenue-outlook calibration Δ (Group block). 2028E–2031E: scenario lever (Bull/Base/Bear table →).</t>
        </is>
      </c>
      <c r="BC50" s="25" t="inlineStr">
        <is>
          <t xml:space="preserve">  2028E</t>
        </is>
      </c>
      <c r="BD50" s="33">
        <f>BE50+$BD$49</f>
        <v/>
      </c>
      <c r="BE50" s="42" t="n">
        <v>0</v>
      </c>
      <c r="BF50" s="33">
        <f>BE50+$BF$49</f>
        <v/>
      </c>
    </row>
    <row r="51" ht="15" customHeight="1" s="251">
      <c r="B51" s="25" t="inlineStr">
        <is>
          <t xml:space="preserve">    Q2–Q4/27E growth before revenue calibration (Q1/27 y/y)</t>
        </is>
      </c>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6" t="n"/>
      <c r="AL51" s="36" t="n"/>
      <c r="AM51" s="256">
        <f>IFERROR(AL49/AG49-1,0)</f>
        <v/>
      </c>
      <c r="AN51" s="256">
        <f>IFERROR(AL49/AG49-1,0)</f>
        <v/>
      </c>
      <c r="AO51" s="256">
        <f>IFERROR(AL49/AG49-1,0)</f>
        <v/>
      </c>
      <c r="AP51" s="24" t="n"/>
      <c r="AQ51" s="46" t="n"/>
      <c r="AR51" s="46" t="n"/>
      <c r="AS51" s="46" t="n"/>
      <c r="AT51" s="46" t="n"/>
      <c r="AU51" s="19" t="n"/>
      <c r="BC51" s="25" t="inlineStr">
        <is>
          <t xml:space="preserve">  2029E</t>
        </is>
      </c>
      <c r="BD51" s="33">
        <f>BE51+$BD$49</f>
        <v/>
      </c>
      <c r="BE51" s="42" t="n">
        <v>0</v>
      </c>
      <c r="BF51" s="33">
        <f>BE51+$BF$49</f>
        <v/>
      </c>
    </row>
    <row r="52" ht="15" customHeight="1" s="251">
      <c r="B52" s="25" t="inlineStr">
        <is>
          <t xml:space="preserve">  Consumables revenue</t>
        </is>
      </c>
      <c r="C52" s="253" t="n">
        <v>71.666</v>
      </c>
      <c r="D52" s="253" t="n">
        <v>75.834</v>
      </c>
      <c r="E52" s="253" t="n">
        <v>82.18000000000001</v>
      </c>
      <c r="F52" s="253" t="n">
        <v>90.506</v>
      </c>
      <c r="G52" s="253" t="n">
        <v>121.032</v>
      </c>
      <c r="H52" s="253" t="n">
        <v>142.450933</v>
      </c>
      <c r="I52" s="253" t="n">
        <v>150.656</v>
      </c>
      <c r="J52" s="253" t="n">
        <v>161.78</v>
      </c>
      <c r="K52" s="253" t="n">
        <v>185.904</v>
      </c>
      <c r="L52" s="253" t="n">
        <v>215.005</v>
      </c>
      <c r="M52" s="253" t="n">
        <v>56.536</v>
      </c>
      <c r="N52" s="253" t="n">
        <v>61.748</v>
      </c>
      <c r="O52" s="253" t="n">
        <v>61.096</v>
      </c>
      <c r="P52" s="253" t="n">
        <v>59.985</v>
      </c>
      <c r="Q52" s="253" t="n">
        <v>239.365</v>
      </c>
      <c r="R52" s="253" t="n">
        <v>59.557</v>
      </c>
      <c r="S52" s="253" t="n">
        <v>57.42</v>
      </c>
      <c r="T52" s="253" t="n">
        <v>55.61</v>
      </c>
      <c r="U52" s="253" t="n">
        <v>68.527</v>
      </c>
      <c r="V52" s="253" t="n">
        <v>241.114</v>
      </c>
      <c r="W52" s="253" t="n">
        <v>61.698</v>
      </c>
      <c r="X52" s="253" t="n">
        <v>59.409</v>
      </c>
      <c r="Y52" s="253" t="n">
        <v>60.072</v>
      </c>
      <c r="Z52" s="253" t="n">
        <v>70.401</v>
      </c>
      <c r="AA52" s="253" t="n">
        <v>251.58</v>
      </c>
      <c r="AB52" s="253" t="n">
        <v>69.818</v>
      </c>
      <c r="AC52" s="253" t="n">
        <v>72.125</v>
      </c>
      <c r="AD52" s="253" t="n">
        <v>68.676</v>
      </c>
      <c r="AE52" s="253" t="n">
        <v>76.03700000000001</v>
      </c>
      <c r="AF52" s="253" t="n">
        <v>286.656</v>
      </c>
      <c r="AG52" s="253" t="n">
        <v>75.3</v>
      </c>
      <c r="AH52" s="253" t="n">
        <v>77.2</v>
      </c>
      <c r="AI52" s="253" t="n">
        <v>75.90000000000001</v>
      </c>
      <c r="AJ52" s="253" t="n">
        <v>79.90000000000001</v>
      </c>
      <c r="AK52" s="253" t="n">
        <v>308.3</v>
      </c>
      <c r="AL52" s="253" t="n">
        <v>81.5</v>
      </c>
      <c r="AM52" s="254">
        <f>AH52*(1+AM53)</f>
        <v/>
      </c>
      <c r="AN52" s="254">
        <f>AI52*(1+AN53)</f>
        <v/>
      </c>
      <c r="AO52" s="254">
        <f>AJ52*(1+AO53)</f>
        <v/>
      </c>
      <c r="AP52" s="254">
        <f>SUM(AL52,AM52,AN52,AO52)</f>
        <v/>
      </c>
      <c r="AQ52" s="254">
        <f>AP52*(1+AQ53)</f>
        <v/>
      </c>
      <c r="AR52" s="254">
        <f>AQ52*(1+AR53)</f>
        <v/>
      </c>
      <c r="AS52" s="254">
        <f>AR52*(1+AS53)</f>
        <v/>
      </c>
      <c r="AT52" s="254">
        <f>AS52*(1+AT53)</f>
        <v/>
      </c>
      <c r="AU52" s="19" t="n"/>
      <c r="AW52" s="20">
        <f>IFERROR((AT52/AK52)^(1/5)-1,"n/m")</f>
        <v/>
      </c>
      <c r="AX52" s="20">
        <f>IFERROR((AK52/L52)^(1/5)-1,"n/m")</f>
        <v/>
      </c>
      <c r="AY52" s="20">
        <f>IFERROR((AK52/G52)^(1/10)-1,"n/m")</f>
        <v/>
      </c>
      <c r="AZ52" s="20">
        <f>IFERROR((AK52/C52)^(1/14)-1,"n/m")</f>
        <v/>
      </c>
      <c r="BC52" s="25" t="inlineStr">
        <is>
          <t xml:space="preserve">  2030E</t>
        </is>
      </c>
      <c r="BD52" s="33">
        <f>BE52+$BD$49</f>
        <v/>
      </c>
      <c r="BE52" s="42" t="n">
        <v>0</v>
      </c>
      <c r="BF52" s="33">
        <f>BE52+$BF$49</f>
        <v/>
      </c>
    </row>
    <row r="53" ht="15" customHeight="1" s="251">
      <c r="B53" s="22" t="inlineStr">
        <is>
          <t xml:space="preserve">    y/y %</t>
        </is>
      </c>
      <c r="C53" s="23" t="n"/>
      <c r="D53" s="255">
        <f>IF(AND(ISNUMBER(D52),ISNUMBER(C52)),IFERROR(D52/C52-1,""),"")</f>
        <v/>
      </c>
      <c r="E53" s="255">
        <f>IF(AND(ISNUMBER(E52),ISNUMBER(D52)),IFERROR(E52/D52-1,""),"")</f>
        <v/>
      </c>
      <c r="F53" s="255">
        <f>IF(AND(ISNUMBER(F52),ISNUMBER(E52)),IFERROR(F52/E52-1,""),"")</f>
        <v/>
      </c>
      <c r="G53" s="255">
        <f>IF(AND(ISNUMBER(G52),ISNUMBER(F52)),IFERROR(G52/F52-1,""),"")</f>
        <v/>
      </c>
      <c r="H53" s="255">
        <f>IF(AND(ISNUMBER(H52),ISNUMBER(G52)),IFERROR(H52/G52-1,""),"")</f>
        <v/>
      </c>
      <c r="I53" s="255">
        <f>IF(AND(ISNUMBER(I52),ISNUMBER(H52)),IFERROR(I52/H52-1,""),"")</f>
        <v/>
      </c>
      <c r="J53" s="255">
        <f>IF(AND(ISNUMBER(J52),ISNUMBER(I52)),IFERROR(J52/I52-1,""),"")</f>
        <v/>
      </c>
      <c r="K53" s="255">
        <f>IF(AND(ISNUMBER(K52),ISNUMBER(J52)),IFERROR(K52/J52-1,""),"")</f>
        <v/>
      </c>
      <c r="L53" s="255">
        <f>IF(AND(ISNUMBER(L52),ISNUMBER(K52)),IFERROR(L52/K52-1,""),"")</f>
        <v/>
      </c>
      <c r="M53" s="23" t="n"/>
      <c r="N53" s="23" t="n"/>
      <c r="O53" s="23" t="n"/>
      <c r="P53" s="23" t="n"/>
      <c r="Q53" s="255">
        <f>IF(AND(ISNUMBER(Q52),ISNUMBER(L52)),IFERROR(Q52/L52-1,""),"")</f>
        <v/>
      </c>
      <c r="R53" s="255">
        <f>IF(AND(ISNUMBER(R52),ISNUMBER(M52)),IFERROR(R52/M52-1,""),"")</f>
        <v/>
      </c>
      <c r="S53" s="255">
        <f>IF(AND(ISNUMBER(S52),ISNUMBER(N52)),IFERROR(S52/N52-1,""),"")</f>
        <v/>
      </c>
      <c r="T53" s="255">
        <f>IF(AND(ISNUMBER(T52),ISNUMBER(O52)),IFERROR(T52/O52-1,""),"")</f>
        <v/>
      </c>
      <c r="U53" s="255">
        <f>IF(AND(ISNUMBER(U52),ISNUMBER(P52)),IFERROR(U52/P52-1,""),"")</f>
        <v/>
      </c>
      <c r="V53" s="255">
        <f>IF(AND(ISNUMBER(V52),ISNUMBER(Q52)),IFERROR(V52/Q52-1,""),"")</f>
        <v/>
      </c>
      <c r="W53" s="255">
        <f>IF(AND(ISNUMBER(W52),ISNUMBER(R52)),IFERROR(W52/R52-1,""),"")</f>
        <v/>
      </c>
      <c r="X53" s="255">
        <f>IF(AND(ISNUMBER(X52),ISNUMBER(S52)),IFERROR(X52/S52-1,""),"")</f>
        <v/>
      </c>
      <c r="Y53" s="255">
        <f>IF(AND(ISNUMBER(Y52),ISNUMBER(T52)),IFERROR(Y52/T52-1,""),"")</f>
        <v/>
      </c>
      <c r="Z53" s="255">
        <f>IF(AND(ISNUMBER(Z52),ISNUMBER(U52)),IFERROR(Z52/U52-1,""),"")</f>
        <v/>
      </c>
      <c r="AA53" s="255">
        <f>IF(AND(ISNUMBER(AA52),ISNUMBER(V52)),IFERROR(AA52/V52-1,""),"")</f>
        <v/>
      </c>
      <c r="AB53" s="255">
        <f>IF(AND(ISNUMBER(AB52),ISNUMBER(W52)),IFERROR(AB52/W52-1,""),"")</f>
        <v/>
      </c>
      <c r="AC53" s="255">
        <f>IF(AND(ISNUMBER(AC52),ISNUMBER(X52)),IFERROR(AC52/X52-1,""),"")</f>
        <v/>
      </c>
      <c r="AD53" s="255">
        <f>IF(AND(ISNUMBER(AD52),ISNUMBER(Y52)),IFERROR(AD52/Y52-1,""),"")</f>
        <v/>
      </c>
      <c r="AE53" s="255">
        <f>IF(AND(ISNUMBER(AE52),ISNUMBER(Z52)),IFERROR(AE52/Z52-1,""),"")</f>
        <v/>
      </c>
      <c r="AF53" s="255">
        <f>IF(AND(ISNUMBER(AF52),ISNUMBER(AA52)),IFERROR(AF52/AA52-1,""),"")</f>
        <v/>
      </c>
      <c r="AG53" s="255">
        <f>IF(AND(ISNUMBER(AG52),ISNUMBER(AB52)),IFERROR(AG52/AB52-1,""),"")</f>
        <v/>
      </c>
      <c r="AH53" s="255">
        <f>IF(AND(ISNUMBER(AH52),ISNUMBER(AC52)),IFERROR(AH52/AC52-1,""),"")</f>
        <v/>
      </c>
      <c r="AI53" s="255">
        <f>IF(AND(ISNUMBER(AI52),ISNUMBER(AD52)),IFERROR(AI52/AD52-1,""),"")</f>
        <v/>
      </c>
      <c r="AJ53" s="255">
        <f>IF(AND(ISNUMBER(AJ52),ISNUMBER(AE52)),IFERROR(AJ52/AE52-1,""),"")</f>
        <v/>
      </c>
      <c r="AK53" s="255">
        <f>IF(AND(ISNUMBER(AK52),ISNUMBER(AF52)),IFERROR(AK52/AF52-1,""),"")</f>
        <v/>
      </c>
      <c r="AL53" s="255">
        <f>IF(AND(ISNUMBER(AL52),ISNUMBER(AG52)),IFERROR(AL52/AG52-1,""),"")</f>
        <v/>
      </c>
      <c r="AM53" s="256">
        <f>AM54+$AM$127</f>
        <v/>
      </c>
      <c r="AN53" s="256">
        <f>AN54+$AM$127</f>
        <v/>
      </c>
      <c r="AO53" s="256">
        <f>AO54+$AM$127</f>
        <v/>
      </c>
      <c r="AP53" s="256">
        <f>IF(AND(ISNUMBER(AP52),ISNUMBER(AK52)),IFERROR(AP52/AK52-1,""),"")</f>
        <v/>
      </c>
      <c r="AQ53" s="256">
        <f>CHOOSE(MATCH($AU$2,{"Bull","Base","Bear"},0),$BD$60,$BE$60,$BF$60)</f>
        <v/>
      </c>
      <c r="AR53" s="256">
        <f>CHOOSE(MATCH($AU$2,{"Bull","Base","Bear"},0),$BD$61,$BE$61,$BF$61)</f>
        <v/>
      </c>
      <c r="AS53" s="256">
        <f>CHOOSE(MATCH($AU$2,{"Bull","Base","Bear"},0),$BD$62,$BE$62,$BF$62)</f>
        <v/>
      </c>
      <c r="AT53" s="256">
        <f>CHOOSE(MATCH($AU$2,{"Bull","Base","Bear"},0),$BD$63,$BE$63,$BF$63)</f>
        <v/>
      </c>
      <c r="AU53" s="153" t="n"/>
      <c r="BC53" s="25" t="inlineStr">
        <is>
          <t xml:space="preserve">  2031E</t>
        </is>
      </c>
      <c r="BD53" s="33">
        <f>BE53+$BD$49</f>
        <v/>
      </c>
      <c r="BE53" s="42" t="n">
        <v>0</v>
      </c>
      <c r="BF53" s="33">
        <f>BE53+$BF$49</f>
        <v/>
      </c>
    </row>
    <row r="54" collapsed="1" ht="15" customHeight="1" s="251">
      <c r="B54" s="25" t="inlineStr">
        <is>
          <t xml:space="preserve">    Q2–Q4/27E growth before revenue calibration (Q1/27 y/y)</t>
        </is>
      </c>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c r="AF54" s="36" t="n"/>
      <c r="AG54" s="36" t="n"/>
      <c r="AH54" s="36" t="n"/>
      <c r="AI54" s="36" t="n"/>
      <c r="AJ54" s="36" t="n"/>
      <c r="AK54" s="36" t="n"/>
      <c r="AL54" s="36" t="n"/>
      <c r="AM54" s="256">
        <f>IFERROR(AL52/AG52-1,0)</f>
        <v/>
      </c>
      <c r="AN54" s="256">
        <f>IFERROR(AL52/AG52-1,0)</f>
        <v/>
      </c>
      <c r="AO54" s="256">
        <f>IFERROR(AL52/AG52-1,0)</f>
        <v/>
      </c>
      <c r="AP54" s="24" t="n"/>
      <c r="AQ54" s="46" t="n"/>
      <c r="AR54" s="46" t="n"/>
      <c r="AS54" s="46" t="n"/>
      <c r="AT54" s="46" t="n"/>
      <c r="AU54" s="19" t="n"/>
      <c r="BC54" s="15" t="inlineStr">
        <is>
          <t>LS_CAP (Life Sciences capital equipment y/y)</t>
        </is>
      </c>
      <c r="BD54" s="41" t="n">
        <v>0.03</v>
      </c>
      <c r="BE54" s="21" t="inlineStr">
        <is>
          <t>Δ →</t>
        </is>
      </c>
      <c r="BF54" s="41" t="n">
        <v>-0.05</v>
      </c>
      <c r="BG54" s="13" t="inlineStr">
        <is>
          <t>Pharma / biopharma capital (backlog $110m).</t>
        </is>
      </c>
    </row>
    <row r="55" ht="15" customHeight="1" s="251">
      <c r="B55" s="25" t="inlineStr">
        <is>
          <t xml:space="preserve">  Service revenue</t>
        </is>
      </c>
      <c r="C55" s="253" t="n">
        <v>73.711</v>
      </c>
      <c r="D55" s="253" t="n">
        <v>77.015</v>
      </c>
      <c r="E55" s="253" t="n">
        <v>75.74299999999999</v>
      </c>
      <c r="F55" s="253" t="n">
        <v>79.53700000000001</v>
      </c>
      <c r="G55" s="253" t="n">
        <v>90.095</v>
      </c>
      <c r="H55" s="253" t="n">
        <v>101.162524</v>
      </c>
      <c r="I55" s="253" t="n">
        <v>110.379</v>
      </c>
      <c r="J55" s="253" t="n">
        <v>114.064</v>
      </c>
      <c r="K55" s="253" t="n">
        <v>118.288</v>
      </c>
      <c r="L55" s="253" t="n">
        <v>124.191</v>
      </c>
      <c r="M55" s="253" t="n">
        <v>32.19</v>
      </c>
      <c r="N55" s="253" t="n">
        <v>36.393</v>
      </c>
      <c r="O55" s="253" t="n">
        <v>36.4</v>
      </c>
      <c r="P55" s="253" t="n">
        <v>38.335</v>
      </c>
      <c r="Q55" s="253" t="n">
        <v>143.318</v>
      </c>
      <c r="R55" s="253" t="n">
        <v>32.151</v>
      </c>
      <c r="S55" s="253" t="n">
        <v>38.333</v>
      </c>
      <c r="T55" s="253" t="n">
        <v>37.082</v>
      </c>
      <c r="U55" s="253" t="n">
        <v>40.604</v>
      </c>
      <c r="V55" s="253" t="n">
        <v>148.17</v>
      </c>
      <c r="W55" s="253" t="n">
        <v>38.724</v>
      </c>
      <c r="X55" s="253" t="n">
        <v>38.248</v>
      </c>
      <c r="Y55" s="253" t="n">
        <v>41.658</v>
      </c>
      <c r="Z55" s="253" t="n">
        <v>45.972</v>
      </c>
      <c r="AA55" s="253" t="n">
        <v>164.602</v>
      </c>
      <c r="AB55" s="253" t="n">
        <v>32.184</v>
      </c>
      <c r="AC55" s="253" t="n">
        <v>32.808</v>
      </c>
      <c r="AD55" s="253" t="n">
        <v>36.643</v>
      </c>
      <c r="AE55" s="253" t="n">
        <v>36.446</v>
      </c>
      <c r="AF55" s="253" t="n">
        <v>138.081</v>
      </c>
      <c r="AG55" s="253" t="n">
        <v>33.3</v>
      </c>
      <c r="AH55" s="253" t="n">
        <v>35.8</v>
      </c>
      <c r="AI55" s="253" t="n">
        <v>36.5</v>
      </c>
      <c r="AJ55" s="253" t="n">
        <v>39.2</v>
      </c>
      <c r="AK55" s="253" t="n">
        <v>144.8</v>
      </c>
      <c r="AL55" s="253" t="n">
        <v>34</v>
      </c>
      <c r="AM55" s="254">
        <f>AH55*(1+AM56)</f>
        <v/>
      </c>
      <c r="AN55" s="254">
        <f>AI55*(1+AN56)</f>
        <v/>
      </c>
      <c r="AO55" s="254">
        <f>AJ55*(1+AO56)</f>
        <v/>
      </c>
      <c r="AP55" s="254">
        <f>SUM(AL55,AM55,AN55,AO55)</f>
        <v/>
      </c>
      <c r="AQ55" s="254">
        <f>AP55*(1+AQ56)</f>
        <v/>
      </c>
      <c r="AR55" s="254">
        <f>AQ55*(1+AR56)</f>
        <v/>
      </c>
      <c r="AS55" s="254">
        <f>AR55*(1+AS56)</f>
        <v/>
      </c>
      <c r="AT55" s="254">
        <f>AS55*(1+AT56)</f>
        <v/>
      </c>
      <c r="AU55" s="19" t="n"/>
      <c r="AW55" s="20">
        <f>IFERROR((AT55/AK55)^(1/5)-1,"n/m")</f>
        <v/>
      </c>
      <c r="AX55" s="20">
        <f>IFERROR((AK55/L55)^(1/5)-1,"n/m")</f>
        <v/>
      </c>
      <c r="AY55" s="20">
        <f>IFERROR((AK55/G55)^(1/10)-1,"n/m")</f>
        <v/>
      </c>
      <c r="AZ55" s="20">
        <f>IFERROR((AK55/C55)^(1/14)-1,"n/m")</f>
        <v/>
      </c>
      <c r="BC55" s="25" t="inlineStr">
        <is>
          <t xml:space="preserve">  2028E</t>
        </is>
      </c>
      <c r="BD55" s="33">
        <f>BE55+$BD$54</f>
        <v/>
      </c>
      <c r="BE55" s="42" t="n">
        <v>0.04</v>
      </c>
      <c r="BF55" s="33">
        <f>BE55+$BF$54</f>
        <v/>
      </c>
    </row>
    <row r="56" ht="15" customHeight="1" s="251">
      <c r="B56" s="22" t="inlineStr">
        <is>
          <t xml:space="preserve">    y/y %</t>
        </is>
      </c>
      <c r="C56" s="23" t="n"/>
      <c r="D56" s="255">
        <f>IF(AND(ISNUMBER(D55),ISNUMBER(C55)),IFERROR(D55/C55-1,""),"")</f>
        <v/>
      </c>
      <c r="E56" s="255">
        <f>IF(AND(ISNUMBER(E55),ISNUMBER(D55)),IFERROR(E55/D55-1,""),"")</f>
        <v/>
      </c>
      <c r="F56" s="255">
        <f>IF(AND(ISNUMBER(F55),ISNUMBER(E55)),IFERROR(F55/E55-1,""),"")</f>
        <v/>
      </c>
      <c r="G56" s="255">
        <f>IF(AND(ISNUMBER(G55),ISNUMBER(F55)),IFERROR(G55/F55-1,""),"")</f>
        <v/>
      </c>
      <c r="H56" s="255">
        <f>IF(AND(ISNUMBER(H55),ISNUMBER(G55)),IFERROR(H55/G55-1,""),"")</f>
        <v/>
      </c>
      <c r="I56" s="255">
        <f>IF(AND(ISNUMBER(I55),ISNUMBER(H55)),IFERROR(I55/H55-1,""),"")</f>
        <v/>
      </c>
      <c r="J56" s="255">
        <f>IF(AND(ISNUMBER(J55),ISNUMBER(I55)),IFERROR(J55/I55-1,""),"")</f>
        <v/>
      </c>
      <c r="K56" s="255">
        <f>IF(AND(ISNUMBER(K55),ISNUMBER(J55)),IFERROR(K55/J55-1,""),"")</f>
        <v/>
      </c>
      <c r="L56" s="255">
        <f>IF(AND(ISNUMBER(L55),ISNUMBER(K55)),IFERROR(L55/K55-1,""),"")</f>
        <v/>
      </c>
      <c r="M56" s="23" t="n"/>
      <c r="N56" s="23" t="n"/>
      <c r="O56" s="23" t="n"/>
      <c r="P56" s="23" t="n"/>
      <c r="Q56" s="255">
        <f>IF(AND(ISNUMBER(Q55),ISNUMBER(L55)),IFERROR(Q55/L55-1,""),"")</f>
        <v/>
      </c>
      <c r="R56" s="255">
        <f>IF(AND(ISNUMBER(R55),ISNUMBER(M55)),IFERROR(R55/M55-1,""),"")</f>
        <v/>
      </c>
      <c r="S56" s="255">
        <f>IF(AND(ISNUMBER(S55),ISNUMBER(N55)),IFERROR(S55/N55-1,""),"")</f>
        <v/>
      </c>
      <c r="T56" s="255">
        <f>IF(AND(ISNUMBER(T55),ISNUMBER(O55)),IFERROR(T55/O55-1,""),"")</f>
        <v/>
      </c>
      <c r="U56" s="255">
        <f>IF(AND(ISNUMBER(U55),ISNUMBER(P55)),IFERROR(U55/P55-1,""),"")</f>
        <v/>
      </c>
      <c r="V56" s="255">
        <f>IF(AND(ISNUMBER(V55),ISNUMBER(Q55)),IFERROR(V55/Q55-1,""),"")</f>
        <v/>
      </c>
      <c r="W56" s="255">
        <f>IF(AND(ISNUMBER(W55),ISNUMBER(R55)),IFERROR(W55/R55-1,""),"")</f>
        <v/>
      </c>
      <c r="X56" s="255">
        <f>IF(AND(ISNUMBER(X55),ISNUMBER(S55)),IFERROR(X55/S55-1,""),"")</f>
        <v/>
      </c>
      <c r="Y56" s="255">
        <f>IF(AND(ISNUMBER(Y55),ISNUMBER(T55)),IFERROR(Y55/T55-1,""),"")</f>
        <v/>
      </c>
      <c r="Z56" s="255">
        <f>IF(AND(ISNUMBER(Z55),ISNUMBER(U55)),IFERROR(Z55/U55-1,""),"")</f>
        <v/>
      </c>
      <c r="AA56" s="255">
        <f>IF(AND(ISNUMBER(AA55),ISNUMBER(V55)),IFERROR(AA55/V55-1,""),"")</f>
        <v/>
      </c>
      <c r="AB56" s="255">
        <f>IF(AND(ISNUMBER(AB55),ISNUMBER(W55)),IFERROR(AB55/W55-1,""),"")</f>
        <v/>
      </c>
      <c r="AC56" s="255">
        <f>IF(AND(ISNUMBER(AC55),ISNUMBER(X55)),IFERROR(AC55/X55-1,""),"")</f>
        <v/>
      </c>
      <c r="AD56" s="255">
        <f>IF(AND(ISNUMBER(AD55),ISNUMBER(Y55)),IFERROR(AD55/Y55-1,""),"")</f>
        <v/>
      </c>
      <c r="AE56" s="255">
        <f>IF(AND(ISNUMBER(AE55),ISNUMBER(Z55)),IFERROR(AE55/Z55-1,""),"")</f>
        <v/>
      </c>
      <c r="AF56" s="255">
        <f>IF(AND(ISNUMBER(AF55),ISNUMBER(AA55)),IFERROR(AF55/AA55-1,""),"")</f>
        <v/>
      </c>
      <c r="AG56" s="255">
        <f>IF(AND(ISNUMBER(AG55),ISNUMBER(AB55)),IFERROR(AG55/AB55-1,""),"")</f>
        <v/>
      </c>
      <c r="AH56" s="255">
        <f>IF(AND(ISNUMBER(AH55),ISNUMBER(AC55)),IFERROR(AH55/AC55-1,""),"")</f>
        <v/>
      </c>
      <c r="AI56" s="255">
        <f>IF(AND(ISNUMBER(AI55),ISNUMBER(AD55)),IFERROR(AI55/AD55-1,""),"")</f>
        <v/>
      </c>
      <c r="AJ56" s="255">
        <f>IF(AND(ISNUMBER(AJ55),ISNUMBER(AE55)),IFERROR(AJ55/AE55-1,""),"")</f>
        <v/>
      </c>
      <c r="AK56" s="255">
        <f>IF(AND(ISNUMBER(AK55),ISNUMBER(AF55)),IFERROR(AK55/AF55-1,""),"")</f>
        <v/>
      </c>
      <c r="AL56" s="255">
        <f>IF(AND(ISNUMBER(AL55),ISNUMBER(AG55)),IFERROR(AL55/AG55-1,""),"")</f>
        <v/>
      </c>
      <c r="AM56" s="256">
        <f>AM57+$AM$127</f>
        <v/>
      </c>
      <c r="AN56" s="256">
        <f>AN57+$AM$127</f>
        <v/>
      </c>
      <c r="AO56" s="256">
        <f>AO57+$AM$127</f>
        <v/>
      </c>
      <c r="AP56" s="256">
        <f>IF(AND(ISNUMBER(AP55),ISNUMBER(AK55)),IFERROR(AP55/AK55-1,""),"")</f>
        <v/>
      </c>
      <c r="AQ56" s="256">
        <f>CHOOSE(MATCH($AU$2,{"Bull","Base","Bear"},0),$BD$65,$BE$65,$BF$65)</f>
        <v/>
      </c>
      <c r="AR56" s="256">
        <f>CHOOSE(MATCH($AU$2,{"Bull","Base","Bear"},0),$BD$66,$BE$66,$BF$66)</f>
        <v/>
      </c>
      <c r="AS56" s="256">
        <f>CHOOSE(MATCH($AU$2,{"Bull","Base","Bear"},0),$BD$67,$BE$67,$BF$67)</f>
        <v/>
      </c>
      <c r="AT56" s="256">
        <f>CHOOSE(MATCH($AU$2,{"Bull","Base","Bear"},0),$BD$68,$BE$68,$BF$68)</f>
        <v/>
      </c>
      <c r="AU56" s="153" t="n"/>
      <c r="BC56" s="25" t="inlineStr">
        <is>
          <t xml:space="preserve">  2029E</t>
        </is>
      </c>
      <c r="BD56" s="33">
        <f>BE56+$BD$54</f>
        <v/>
      </c>
      <c r="BE56" s="42" t="n">
        <v>0.04</v>
      </c>
      <c r="BF56" s="33">
        <f>BE56+$BF$54</f>
        <v/>
      </c>
    </row>
    <row r="57" ht="15" customHeight="1" s="251">
      <c r="B57" s="25" t="inlineStr">
        <is>
          <t xml:space="preserve">    Q2–Q4/27E growth before revenue calibration (Q1/27 y/y)</t>
        </is>
      </c>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6" t="n"/>
      <c r="AL57" s="36" t="n"/>
      <c r="AM57" s="256">
        <f>IFERROR(AL55/AG55-1,0)</f>
        <v/>
      </c>
      <c r="AN57" s="256">
        <f>IFERROR(AL55/AG55-1,0)</f>
        <v/>
      </c>
      <c r="AO57" s="256">
        <f>IFERROR(AL55/AG55-1,0)</f>
        <v/>
      </c>
      <c r="AP57" s="24" t="n"/>
      <c r="AQ57" s="46" t="n"/>
      <c r="AR57" s="46" t="n"/>
      <c r="AS57" s="46" t="n"/>
      <c r="AT57" s="46" t="n"/>
      <c r="AU57" s="19" t="n"/>
      <c r="BC57" s="25" t="inlineStr">
        <is>
          <t xml:space="preserve">  2030E</t>
        </is>
      </c>
      <c r="BD57" s="33">
        <f>BE57+$BD$54</f>
        <v/>
      </c>
      <c r="BE57" s="42" t="n">
        <v>0.04</v>
      </c>
      <c r="BF57" s="33">
        <f>BE57+$BF$54</f>
        <v/>
      </c>
    </row>
    <row r="58" ht="15" customHeight="1" s="251">
      <c r="B58" s="16" t="inlineStr">
        <is>
          <t xml:space="preserve">  Life Sciences — revenue</t>
        </is>
      </c>
      <c r="C58" s="261">
        <f>IF(ISNUMBER(C49),C49+C52+C55,"")</f>
        <v/>
      </c>
      <c r="D58" s="261">
        <f>IF(ISNUMBER(D49),D49+D52+D55,"")</f>
        <v/>
      </c>
      <c r="E58" s="261">
        <f>IF(ISNUMBER(E49),E49+E52+E55,"")</f>
        <v/>
      </c>
      <c r="F58" s="261">
        <f>IF(ISNUMBER(F49),F49+F52+F55,"")</f>
        <v/>
      </c>
      <c r="G58" s="261">
        <f>IF(ISNUMBER(G49),G49+G52+G55,"")</f>
        <v/>
      </c>
      <c r="H58" s="261">
        <f>IF(ISNUMBER(H49),H49+H52+H55,"")</f>
        <v/>
      </c>
      <c r="I58" s="261">
        <f>IF(ISNUMBER(I49),I49+I52+I55,"")</f>
        <v/>
      </c>
      <c r="J58" s="261">
        <f>IF(ISNUMBER(J49),J49+J52+J55,"")</f>
        <v/>
      </c>
      <c r="K58" s="261">
        <f>IF(ISNUMBER(K49),K49+K52+K55,"")</f>
        <v/>
      </c>
      <c r="L58" s="261">
        <f>IF(ISNUMBER(L49),L49+L52+L55,"")</f>
        <v/>
      </c>
      <c r="M58" s="261">
        <f>IF(ISNUMBER(M49),M49+M52+M55,"")</f>
        <v/>
      </c>
      <c r="N58" s="261">
        <f>IF(ISNUMBER(N49),N49+N52+N55,"")</f>
        <v/>
      </c>
      <c r="O58" s="261">
        <f>IF(ISNUMBER(O49),O49+O52+O55,"")</f>
        <v/>
      </c>
      <c r="P58" s="261">
        <f>IF(ISNUMBER(P49),P49+P52+P55,"")</f>
        <v/>
      </c>
      <c r="Q58" s="261">
        <f>IF(ISNUMBER(Q49),Q49+Q52+Q55,"")</f>
        <v/>
      </c>
      <c r="R58" s="261">
        <f>IF(ISNUMBER(R49),R49+R52+R55,"")</f>
        <v/>
      </c>
      <c r="S58" s="261">
        <f>IF(ISNUMBER(S49),S49+S52+S55,"")</f>
        <v/>
      </c>
      <c r="T58" s="261">
        <f>IF(ISNUMBER(T49),T49+T52+T55,"")</f>
        <v/>
      </c>
      <c r="U58" s="261">
        <f>IF(ISNUMBER(U49),U49+U52+U55,"")</f>
        <v/>
      </c>
      <c r="V58" s="261">
        <f>IF(ISNUMBER(V49),V49+V52+V55,"")</f>
        <v/>
      </c>
      <c r="W58" s="261">
        <f>IF(ISNUMBER(W49),W49+W52+W55,"")</f>
        <v/>
      </c>
      <c r="X58" s="261">
        <f>IF(ISNUMBER(X49),X49+X52+X55,"")</f>
        <v/>
      </c>
      <c r="Y58" s="261">
        <f>IF(ISNUMBER(Y49),Y49+Y52+Y55,"")</f>
        <v/>
      </c>
      <c r="Z58" s="261">
        <f>IF(ISNUMBER(Z49),Z49+Z52+Z55,"")</f>
        <v/>
      </c>
      <c r="AA58" s="261">
        <f>IF(ISNUMBER(AA49),AA49+AA52+AA55,"")</f>
        <v/>
      </c>
      <c r="AB58" s="261">
        <f>IF(ISNUMBER(AB49),AB49+AB52+AB55,"")</f>
        <v/>
      </c>
      <c r="AC58" s="261">
        <f>IF(ISNUMBER(AC49),AC49+AC52+AC55,"")</f>
        <v/>
      </c>
      <c r="AD58" s="261">
        <f>IF(ISNUMBER(AD49),AD49+AD52+AD55,"")</f>
        <v/>
      </c>
      <c r="AE58" s="261">
        <f>IF(ISNUMBER(AE49),AE49+AE52+AE55,"")</f>
        <v/>
      </c>
      <c r="AF58" s="261">
        <f>IF(ISNUMBER(AF49),AF49+AF52+AF55,"")</f>
        <v/>
      </c>
      <c r="AG58" s="261">
        <f>IF(ISNUMBER(AG49),AG49+AG52+AG55,"")</f>
        <v/>
      </c>
      <c r="AH58" s="261">
        <f>IF(ISNUMBER(AH49),AH49+AH52+AH55,"")</f>
        <v/>
      </c>
      <c r="AI58" s="261">
        <f>IF(ISNUMBER(AI49),AI49+AI52+AI55,"")</f>
        <v/>
      </c>
      <c r="AJ58" s="261">
        <f>IF(ISNUMBER(AJ49),AJ49+AJ52+AJ55,"")</f>
        <v/>
      </c>
      <c r="AK58" s="261">
        <f>IF(ISNUMBER(AK49),AK49+AK52+AK55,"")</f>
        <v/>
      </c>
      <c r="AL58" s="261">
        <f>IF(ISNUMBER(AL49),AL49+AL52+AL55,"")</f>
        <v/>
      </c>
      <c r="AM58" s="262">
        <f>IF(ISNUMBER(AM49),AM49+AM52+AM55,"")</f>
        <v/>
      </c>
      <c r="AN58" s="262">
        <f>IF(ISNUMBER(AN49),AN49+AN52+AN55,"")</f>
        <v/>
      </c>
      <c r="AO58" s="262">
        <f>IF(ISNUMBER(AO49),AO49+AO52+AO55,"")</f>
        <v/>
      </c>
      <c r="AP58" s="262">
        <f>IF(ISNUMBER(AP49),AP49+AP52+AP55,"")</f>
        <v/>
      </c>
      <c r="AQ58" s="262">
        <f>IF(ISNUMBER(AQ49),AQ49+AQ52+AQ55,"")</f>
        <v/>
      </c>
      <c r="AR58" s="262">
        <f>IF(ISNUMBER(AR49),AR49+AR52+AR55,"")</f>
        <v/>
      </c>
      <c r="AS58" s="262">
        <f>IF(ISNUMBER(AS49),AS49+AS52+AS55,"")</f>
        <v/>
      </c>
      <c r="AT58" s="262">
        <f>IF(ISNUMBER(AT49),AT49+AT52+AT55,"")</f>
        <v/>
      </c>
      <c r="AU58" s="153" t="n"/>
      <c r="AW58" s="20">
        <f>IFERROR((AT58/AK58)^(1/5)-1,"n/m")</f>
        <v/>
      </c>
      <c r="AX58" s="20">
        <f>IFERROR((AK58/L58)^(1/5)-1,"n/m")</f>
        <v/>
      </c>
      <c r="AY58" s="20">
        <f>IFERROR((AK58/G58)^(1/10)-1,"n/m")</f>
        <v/>
      </c>
      <c r="AZ58" s="20">
        <f>IFERROR((AK58/C58)^(1/14)-1,"n/m")</f>
        <v/>
      </c>
      <c r="BC58" s="25" t="inlineStr">
        <is>
          <t xml:space="preserve">  2031E</t>
        </is>
      </c>
      <c r="BD58" s="33">
        <f>BE58+$BD$54</f>
        <v/>
      </c>
      <c r="BE58" s="42" t="n">
        <v>0.04</v>
      </c>
      <c r="BF58" s="33">
        <f>BE58+$BF$54</f>
        <v/>
      </c>
    </row>
    <row r="59" ht="15" customHeight="1" s="251">
      <c r="B59" s="22" t="inlineStr">
        <is>
          <t xml:space="preserve">  Revenue y/y %</t>
        </is>
      </c>
      <c r="C59" s="23" t="n"/>
      <c r="D59" s="255">
        <f>IF(AND(ISNUMBER(D58),ISNUMBER(C58)),IFERROR(D58/C58-1,""),"")</f>
        <v/>
      </c>
      <c r="E59" s="255">
        <f>IF(AND(ISNUMBER(E58),ISNUMBER(D58)),IFERROR(E58/D58-1,""),"")</f>
        <v/>
      </c>
      <c r="F59" s="255">
        <f>IF(AND(ISNUMBER(F58),ISNUMBER(E58)),IFERROR(F58/E58-1,""),"")</f>
        <v/>
      </c>
      <c r="G59" s="255">
        <f>IF(AND(ISNUMBER(G58),ISNUMBER(F58)),IFERROR(G58/F58-1,""),"")</f>
        <v/>
      </c>
      <c r="H59" s="255">
        <f>IF(AND(ISNUMBER(H58),ISNUMBER(G58)),IFERROR(H58/G58-1,""),"")</f>
        <v/>
      </c>
      <c r="I59" s="255">
        <f>IF(AND(ISNUMBER(I58),ISNUMBER(H58)),IFERROR(I58/H58-1,""),"")</f>
        <v/>
      </c>
      <c r="J59" s="255">
        <f>IF(AND(ISNUMBER(J58),ISNUMBER(I58)),IFERROR(J58/I58-1,""),"")</f>
        <v/>
      </c>
      <c r="K59" s="255">
        <f>IF(AND(ISNUMBER(K58),ISNUMBER(J58)),IFERROR(K58/J58-1,""),"")</f>
        <v/>
      </c>
      <c r="L59" s="255">
        <f>IF(AND(ISNUMBER(L58),ISNUMBER(K58)),IFERROR(L58/K58-1,""),"")</f>
        <v/>
      </c>
      <c r="M59" s="23" t="n"/>
      <c r="N59" s="23" t="n"/>
      <c r="O59" s="23" t="n"/>
      <c r="P59" s="23" t="n"/>
      <c r="Q59" s="255">
        <f>IF(AND(ISNUMBER(Q58),ISNUMBER(L58)),IFERROR(Q58/L58-1,""),"")</f>
        <v/>
      </c>
      <c r="R59" s="255">
        <f>IF(AND(ISNUMBER(R58),ISNUMBER(M58)),IFERROR(R58/M58-1,""),"")</f>
        <v/>
      </c>
      <c r="S59" s="255">
        <f>IF(AND(ISNUMBER(S58),ISNUMBER(N58)),IFERROR(S58/N58-1,""),"")</f>
        <v/>
      </c>
      <c r="T59" s="255">
        <f>IF(AND(ISNUMBER(T58),ISNUMBER(O58)),IFERROR(T58/O58-1,""),"")</f>
        <v/>
      </c>
      <c r="U59" s="255">
        <f>IF(AND(ISNUMBER(U58),ISNUMBER(P58)),IFERROR(U58/P58-1,""),"")</f>
        <v/>
      </c>
      <c r="V59" s="255">
        <f>IF(AND(ISNUMBER(V58),ISNUMBER(Q58)),IFERROR(V58/Q58-1,""),"")</f>
        <v/>
      </c>
      <c r="W59" s="255">
        <f>IF(AND(ISNUMBER(W58),ISNUMBER(R58)),IFERROR(W58/R58-1,""),"")</f>
        <v/>
      </c>
      <c r="X59" s="255">
        <f>IF(AND(ISNUMBER(X58),ISNUMBER(S58)),IFERROR(X58/S58-1,""),"")</f>
        <v/>
      </c>
      <c r="Y59" s="255">
        <f>IF(AND(ISNUMBER(Y58),ISNUMBER(T58)),IFERROR(Y58/T58-1,""),"")</f>
        <v/>
      </c>
      <c r="Z59" s="255">
        <f>IF(AND(ISNUMBER(Z58),ISNUMBER(U58)),IFERROR(Z58/U58-1,""),"")</f>
        <v/>
      </c>
      <c r="AA59" s="255">
        <f>IF(AND(ISNUMBER(AA58),ISNUMBER(V58)),IFERROR(AA58/V58-1,""),"")</f>
        <v/>
      </c>
      <c r="AB59" s="255">
        <f>IF(AND(ISNUMBER(AB58),ISNUMBER(W58)),IFERROR(AB58/W58-1,""),"")</f>
        <v/>
      </c>
      <c r="AC59" s="255">
        <f>IF(AND(ISNUMBER(AC58),ISNUMBER(X58)),IFERROR(AC58/X58-1,""),"")</f>
        <v/>
      </c>
      <c r="AD59" s="255">
        <f>IF(AND(ISNUMBER(AD58),ISNUMBER(Y58)),IFERROR(AD58/Y58-1,""),"")</f>
        <v/>
      </c>
      <c r="AE59" s="255">
        <f>IF(AND(ISNUMBER(AE58),ISNUMBER(Z58)),IFERROR(AE58/Z58-1,""),"")</f>
        <v/>
      </c>
      <c r="AF59" s="255">
        <f>IF(AND(ISNUMBER(AF58),ISNUMBER(AA58)),IFERROR(AF58/AA58-1,""),"")</f>
        <v/>
      </c>
      <c r="AG59" s="255">
        <f>IF(AND(ISNUMBER(AG58),ISNUMBER(AB58)),IFERROR(AG58/AB58-1,""),"")</f>
        <v/>
      </c>
      <c r="AH59" s="255">
        <f>IF(AND(ISNUMBER(AH58),ISNUMBER(AC58)),IFERROR(AH58/AC58-1,""),"")</f>
        <v/>
      </c>
      <c r="AI59" s="255">
        <f>IF(AND(ISNUMBER(AI58),ISNUMBER(AD58)),IFERROR(AI58/AD58-1,""),"")</f>
        <v/>
      </c>
      <c r="AJ59" s="255">
        <f>IF(AND(ISNUMBER(AJ58),ISNUMBER(AE58)),IFERROR(AJ58/AE58-1,""),"")</f>
        <v/>
      </c>
      <c r="AK59" s="255">
        <f>IF(AND(ISNUMBER(AK58),ISNUMBER(AF58)),IFERROR(AK58/AF58-1,""),"")</f>
        <v/>
      </c>
      <c r="AL59" s="255">
        <f>IF(AND(ISNUMBER(AL58),ISNUMBER(AG58)),IFERROR(AL58/AG58-1,""),"")</f>
        <v/>
      </c>
      <c r="AM59" s="256">
        <f>IF(AND(ISNUMBER(AM58),ISNUMBER(AH58)),IFERROR(AM58/AH58-1,""),"")</f>
        <v/>
      </c>
      <c r="AN59" s="256">
        <f>IF(AND(ISNUMBER(AN58),ISNUMBER(AI58)),IFERROR(AN58/AI58-1,""),"")</f>
        <v/>
      </c>
      <c r="AO59" s="256">
        <f>IF(AND(ISNUMBER(AO58),ISNUMBER(AJ58)),IFERROR(AO58/AJ58-1,""),"")</f>
        <v/>
      </c>
      <c r="AP59" s="256">
        <f>IF(AND(ISNUMBER(AP58),ISNUMBER(AK58)),IFERROR(AP58/AK58-1,""),"")</f>
        <v/>
      </c>
      <c r="AQ59" s="256">
        <f>IF(AND(ISNUMBER(AQ58),ISNUMBER(AP58)),IFERROR(AQ58/AP58-1,""),"")</f>
        <v/>
      </c>
      <c r="AR59" s="256">
        <f>IF(AND(ISNUMBER(AR58),ISNUMBER(AQ58)),IFERROR(AR58/AQ58-1,""),"")</f>
        <v/>
      </c>
      <c r="AS59" s="256">
        <f>IF(AND(ISNUMBER(AS58),ISNUMBER(AR58)),IFERROR(AS58/AR58-1,""),"")</f>
        <v/>
      </c>
      <c r="AT59" s="256">
        <f>IF(AND(ISNUMBER(AT58),ISNUMBER(AS58)),IFERROR(AT58/AS58-1,""),"")</f>
        <v/>
      </c>
      <c r="AU59" s="153" t="n"/>
      <c r="BC59" s="15" t="inlineStr">
        <is>
          <t>LS_CONS (Life Sciences consumables y/y)</t>
        </is>
      </c>
      <c r="BD59" s="41" t="n">
        <v>0.015</v>
      </c>
      <c r="BE59" s="21" t="inlineStr">
        <is>
          <t>Δ →</t>
        </is>
      </c>
      <c r="BF59" s="41" t="n">
        <v>-0.03</v>
      </c>
      <c r="BG59" s="13" t="inlineStr">
        <is>
          <t>Barrier &amp; cleaning chemistries for pharma manufacturing.</t>
        </is>
      </c>
    </row>
    <row r="60" ht="15" customHeight="1" s="251">
      <c r="B60" s="25" t="inlineStr">
        <is>
          <t xml:space="preserve">  % of total revenue</t>
        </is>
      </c>
      <c r="C60" s="215">
        <f>IF(AND(ISNUMBER(C58),ISNUMBER(C117)),IFERROR(C58/C117,""),"")</f>
        <v/>
      </c>
      <c r="D60" s="215">
        <f>IF(AND(ISNUMBER(D58),ISNUMBER(D117)),IFERROR(D58/D117,""),"")</f>
        <v/>
      </c>
      <c r="E60" s="215">
        <f>IF(AND(ISNUMBER(E58),ISNUMBER(E117)),IFERROR(E58/E117,""),"")</f>
        <v/>
      </c>
      <c r="F60" s="215">
        <f>IF(AND(ISNUMBER(F58),ISNUMBER(F117)),IFERROR(F58/F117,""),"")</f>
        <v/>
      </c>
      <c r="G60" s="215">
        <f>IF(AND(ISNUMBER(G58),ISNUMBER(G117)),IFERROR(G58/G117,""),"")</f>
        <v/>
      </c>
      <c r="H60" s="215">
        <f>IF(AND(ISNUMBER(H58),ISNUMBER(H117)),IFERROR(H58/H117,""),"")</f>
        <v/>
      </c>
      <c r="I60" s="215">
        <f>IF(AND(ISNUMBER(I58),ISNUMBER(I117)),IFERROR(I58/I117,""),"")</f>
        <v/>
      </c>
      <c r="J60" s="215">
        <f>IF(AND(ISNUMBER(J58),ISNUMBER(J117)),IFERROR(J58/J117,""),"")</f>
        <v/>
      </c>
      <c r="K60" s="215">
        <f>IF(AND(ISNUMBER(K58),ISNUMBER(K117)),IFERROR(K58/K117,""),"")</f>
        <v/>
      </c>
      <c r="L60" s="215">
        <f>IF(AND(ISNUMBER(L58),ISNUMBER(L117)),IFERROR(L58/L117,""),"")</f>
        <v/>
      </c>
      <c r="M60" s="215">
        <f>IF(AND(ISNUMBER(M58),ISNUMBER(M117)),IFERROR(M58/M117,""),"")</f>
        <v/>
      </c>
      <c r="N60" s="215">
        <f>IF(AND(ISNUMBER(N58),ISNUMBER(N117)),IFERROR(N58/N117,""),"")</f>
        <v/>
      </c>
      <c r="O60" s="215">
        <f>IF(AND(ISNUMBER(O58),ISNUMBER(O117)),IFERROR(O58/O117,""),"")</f>
        <v/>
      </c>
      <c r="P60" s="215">
        <f>IF(AND(ISNUMBER(P58),ISNUMBER(P117)),IFERROR(P58/P117,""),"")</f>
        <v/>
      </c>
      <c r="Q60" s="215">
        <f>IF(AND(ISNUMBER(Q58),ISNUMBER(Q117)),IFERROR(Q58/Q117,""),"")</f>
        <v/>
      </c>
      <c r="R60" s="215">
        <f>IF(AND(ISNUMBER(R58),ISNUMBER(R117)),IFERROR(R58/R117,""),"")</f>
        <v/>
      </c>
      <c r="S60" s="215">
        <f>IF(AND(ISNUMBER(S58),ISNUMBER(S117)),IFERROR(S58/S117,""),"")</f>
        <v/>
      </c>
      <c r="T60" s="215">
        <f>IF(AND(ISNUMBER(T58),ISNUMBER(T117)),IFERROR(T58/T117,""),"")</f>
        <v/>
      </c>
      <c r="U60" s="215">
        <f>IF(AND(ISNUMBER(U58),ISNUMBER(U117)),IFERROR(U58/U117,""),"")</f>
        <v/>
      </c>
      <c r="V60" s="215">
        <f>IF(AND(ISNUMBER(V58),ISNUMBER(V117)),IFERROR(V58/V117,""),"")</f>
        <v/>
      </c>
      <c r="W60" s="215">
        <f>IF(AND(ISNUMBER(W58),ISNUMBER(W117)),IFERROR(W58/W117,""),"")</f>
        <v/>
      </c>
      <c r="X60" s="215">
        <f>IF(AND(ISNUMBER(X58),ISNUMBER(X117)),IFERROR(X58/X117,""),"")</f>
        <v/>
      </c>
      <c r="Y60" s="215">
        <f>IF(AND(ISNUMBER(Y58),ISNUMBER(Y117)),IFERROR(Y58/Y117,""),"")</f>
        <v/>
      </c>
      <c r="Z60" s="215">
        <f>IF(AND(ISNUMBER(Z58),ISNUMBER(Z117)),IFERROR(Z58/Z117,""),"")</f>
        <v/>
      </c>
      <c r="AA60" s="215">
        <f>IF(AND(ISNUMBER(AA58),ISNUMBER(AA117)),IFERROR(AA58/AA117,""),"")</f>
        <v/>
      </c>
      <c r="AB60" s="215">
        <f>IF(AND(ISNUMBER(AB58),ISNUMBER(AB117)),IFERROR(AB58/AB117,""),"")</f>
        <v/>
      </c>
      <c r="AC60" s="215">
        <f>IF(AND(ISNUMBER(AC58),ISNUMBER(AC117)),IFERROR(AC58/AC117,""),"")</f>
        <v/>
      </c>
      <c r="AD60" s="215">
        <f>IF(AND(ISNUMBER(AD58),ISNUMBER(AD117)),IFERROR(AD58/AD117,""),"")</f>
        <v/>
      </c>
      <c r="AE60" s="215">
        <f>IF(AND(ISNUMBER(AE58),ISNUMBER(AE117)),IFERROR(AE58/AE117,""),"")</f>
        <v/>
      </c>
      <c r="AF60" s="215">
        <f>IF(AND(ISNUMBER(AF58),ISNUMBER(AF117)),IFERROR(AF58/AF117,""),"")</f>
        <v/>
      </c>
      <c r="AG60" s="215">
        <f>IF(AND(ISNUMBER(AG58),ISNUMBER(AG117)),IFERROR(AG58/AG117,""),"")</f>
        <v/>
      </c>
      <c r="AH60" s="215">
        <f>IF(AND(ISNUMBER(AH58),ISNUMBER(AH117)),IFERROR(AH58/AH117,""),"")</f>
        <v/>
      </c>
      <c r="AI60" s="215">
        <f>IF(AND(ISNUMBER(AI58),ISNUMBER(AI117)),IFERROR(AI58/AI117,""),"")</f>
        <v/>
      </c>
      <c r="AJ60" s="215">
        <f>IF(AND(ISNUMBER(AJ58),ISNUMBER(AJ117)),IFERROR(AJ58/AJ117,""),"")</f>
        <v/>
      </c>
      <c r="AK60" s="215">
        <f>IF(AND(ISNUMBER(AK58),ISNUMBER(AK117)),IFERROR(AK58/AK117,""),"")</f>
        <v/>
      </c>
      <c r="AL60" s="215">
        <f>IF(AND(ISNUMBER(AL58),ISNUMBER(AL117)),IFERROR(AL58/AL117,""),"")</f>
        <v/>
      </c>
      <c r="AM60" s="256">
        <f>IF(AND(ISNUMBER(AM58),ISNUMBER(AM117)),IFERROR(AM58/AM117,""),"")</f>
        <v/>
      </c>
      <c r="AN60" s="256">
        <f>IF(AND(ISNUMBER(AN58),ISNUMBER(AN117)),IFERROR(AN58/AN117,""),"")</f>
        <v/>
      </c>
      <c r="AO60" s="256">
        <f>IF(AND(ISNUMBER(AO58),ISNUMBER(AO117)),IFERROR(AO58/AO117,""),"")</f>
        <v/>
      </c>
      <c r="AP60" s="256">
        <f>IF(AND(ISNUMBER(AP58),ISNUMBER(AP117)),IFERROR(AP58/AP117,""),"")</f>
        <v/>
      </c>
      <c r="AQ60" s="256">
        <f>IF(AND(ISNUMBER(AQ58),ISNUMBER(AQ117)),IFERROR(AQ58/AQ117,""),"")</f>
        <v/>
      </c>
      <c r="AR60" s="256">
        <f>IF(AND(ISNUMBER(AR58),ISNUMBER(AR117)),IFERROR(AR58/AR117,""),"")</f>
        <v/>
      </c>
      <c r="AS60" s="256">
        <f>IF(AND(ISNUMBER(AS58),ISNUMBER(AS117)),IFERROR(AS58/AS117,""),"")</f>
        <v/>
      </c>
      <c r="AT60" s="256">
        <f>IF(AND(ISNUMBER(AT58),ISNUMBER(AT117)),IFERROR(AT58/AT117,""),"")</f>
        <v/>
      </c>
      <c r="AU60" s="153" t="n"/>
      <c r="BC60" s="25" t="inlineStr">
        <is>
          <t xml:space="preserve">  2028E</t>
        </is>
      </c>
      <c r="BD60" s="33">
        <f>BE60+$BD$59</f>
        <v/>
      </c>
      <c r="BE60" s="42" t="n">
        <v>0.06</v>
      </c>
      <c r="BF60" s="33">
        <f>BE60+$BF$59</f>
        <v/>
      </c>
    </row>
    <row r="61" ht="15" customHeight="1" s="251">
      <c r="B61" s="25" t="inlineStr">
        <is>
          <t xml:space="preserve">  Recurring (consumables + service) % of segment revenue</t>
        </is>
      </c>
      <c r="C61" s="215">
        <f>IF(ISNUMBER(C52),IFERROR((C52+C55)/C58,""),"")</f>
        <v/>
      </c>
      <c r="D61" s="215">
        <f>IF(ISNUMBER(D52),IFERROR((D52+D55)/D58,""),"")</f>
        <v/>
      </c>
      <c r="E61" s="215">
        <f>IF(ISNUMBER(E52),IFERROR((E52+E55)/E58,""),"")</f>
        <v/>
      </c>
      <c r="F61" s="215">
        <f>IF(ISNUMBER(F52),IFERROR((F52+F55)/F58,""),"")</f>
        <v/>
      </c>
      <c r="G61" s="215">
        <f>IF(ISNUMBER(G52),IFERROR((G52+G55)/G58,""),"")</f>
        <v/>
      </c>
      <c r="H61" s="215">
        <f>IF(ISNUMBER(H52),IFERROR((H52+H55)/H58,""),"")</f>
        <v/>
      </c>
      <c r="I61" s="215">
        <f>IF(ISNUMBER(I52),IFERROR((I52+I55)/I58,""),"")</f>
        <v/>
      </c>
      <c r="J61" s="215">
        <f>IF(ISNUMBER(J52),IFERROR((J52+J55)/J58,""),"")</f>
        <v/>
      </c>
      <c r="K61" s="215">
        <f>IF(ISNUMBER(K52),IFERROR((K52+K55)/K58,""),"")</f>
        <v/>
      </c>
      <c r="L61" s="215">
        <f>IF(ISNUMBER(L52),IFERROR((L52+L55)/L58,""),"")</f>
        <v/>
      </c>
      <c r="M61" s="215">
        <f>IF(ISNUMBER(M52),IFERROR((M52+M55)/M58,""),"")</f>
        <v/>
      </c>
      <c r="N61" s="215">
        <f>IF(ISNUMBER(N52),IFERROR((N52+N55)/N58,""),"")</f>
        <v/>
      </c>
      <c r="O61" s="215">
        <f>IF(ISNUMBER(O52),IFERROR((O52+O55)/O58,""),"")</f>
        <v/>
      </c>
      <c r="P61" s="215">
        <f>IF(ISNUMBER(P52),IFERROR((P52+P55)/P58,""),"")</f>
        <v/>
      </c>
      <c r="Q61" s="215">
        <f>IF(ISNUMBER(Q52),IFERROR((Q52+Q55)/Q58,""),"")</f>
        <v/>
      </c>
      <c r="R61" s="215">
        <f>IF(ISNUMBER(R52),IFERROR((R52+R55)/R58,""),"")</f>
        <v/>
      </c>
      <c r="S61" s="215">
        <f>IF(ISNUMBER(S52),IFERROR((S52+S55)/S58,""),"")</f>
        <v/>
      </c>
      <c r="T61" s="215">
        <f>IF(ISNUMBER(T52),IFERROR((T52+T55)/T58,""),"")</f>
        <v/>
      </c>
      <c r="U61" s="215">
        <f>IF(ISNUMBER(U52),IFERROR((U52+U55)/U58,""),"")</f>
        <v/>
      </c>
      <c r="V61" s="215">
        <f>IF(ISNUMBER(V52),IFERROR((V52+V55)/V58,""),"")</f>
        <v/>
      </c>
      <c r="W61" s="215">
        <f>IF(ISNUMBER(W52),IFERROR((W52+W55)/W58,""),"")</f>
        <v/>
      </c>
      <c r="X61" s="215">
        <f>IF(ISNUMBER(X52),IFERROR((X52+X55)/X58,""),"")</f>
        <v/>
      </c>
      <c r="Y61" s="215">
        <f>IF(ISNUMBER(Y52),IFERROR((Y52+Y55)/Y58,""),"")</f>
        <v/>
      </c>
      <c r="Z61" s="215">
        <f>IF(ISNUMBER(Z52),IFERROR((Z52+Z55)/Z58,""),"")</f>
        <v/>
      </c>
      <c r="AA61" s="215">
        <f>IF(ISNUMBER(AA52),IFERROR((AA52+AA55)/AA58,""),"")</f>
        <v/>
      </c>
      <c r="AB61" s="215">
        <f>IF(ISNUMBER(AB52),IFERROR((AB52+AB55)/AB58,""),"")</f>
        <v/>
      </c>
      <c r="AC61" s="215">
        <f>IF(ISNUMBER(AC52),IFERROR((AC52+AC55)/AC58,""),"")</f>
        <v/>
      </c>
      <c r="AD61" s="215">
        <f>IF(ISNUMBER(AD52),IFERROR((AD52+AD55)/AD58,""),"")</f>
        <v/>
      </c>
      <c r="AE61" s="215">
        <f>IF(ISNUMBER(AE52),IFERROR((AE52+AE55)/AE58,""),"")</f>
        <v/>
      </c>
      <c r="AF61" s="215">
        <f>IF(ISNUMBER(AF52),IFERROR((AF52+AF55)/AF58,""),"")</f>
        <v/>
      </c>
      <c r="AG61" s="215">
        <f>IF(ISNUMBER(AG52),IFERROR((AG52+AG55)/AG58,""),"")</f>
        <v/>
      </c>
      <c r="AH61" s="215">
        <f>IF(ISNUMBER(AH52),IFERROR((AH52+AH55)/AH58,""),"")</f>
        <v/>
      </c>
      <c r="AI61" s="215">
        <f>IF(ISNUMBER(AI52),IFERROR((AI52+AI55)/AI58,""),"")</f>
        <v/>
      </c>
      <c r="AJ61" s="215">
        <f>IF(ISNUMBER(AJ52),IFERROR((AJ52+AJ55)/AJ58,""),"")</f>
        <v/>
      </c>
      <c r="AK61" s="215">
        <f>IF(ISNUMBER(AK52),IFERROR((AK52+AK55)/AK58,""),"")</f>
        <v/>
      </c>
      <c r="AL61" s="215">
        <f>IF(ISNUMBER(AL52),IFERROR((AL52+AL55)/AL58,""),"")</f>
        <v/>
      </c>
      <c r="AM61" s="256">
        <f>IF(ISNUMBER(AM52),IFERROR((AM52+AM55)/AM58,""),"")</f>
        <v/>
      </c>
      <c r="AN61" s="256">
        <f>IF(ISNUMBER(AN52),IFERROR((AN52+AN55)/AN58,""),"")</f>
        <v/>
      </c>
      <c r="AO61" s="256">
        <f>IF(ISNUMBER(AO52),IFERROR((AO52+AO55)/AO58,""),"")</f>
        <v/>
      </c>
      <c r="AP61" s="256">
        <f>IF(ISNUMBER(AP52),IFERROR((AP52+AP55)/AP58,""),"")</f>
        <v/>
      </c>
      <c r="AQ61" s="256">
        <f>IF(ISNUMBER(AQ52),IFERROR((AQ52+AQ55)/AQ58,""),"")</f>
        <v/>
      </c>
      <c r="AR61" s="256">
        <f>IF(ISNUMBER(AR52),IFERROR((AR52+AR55)/AR58,""),"")</f>
        <v/>
      </c>
      <c r="AS61" s="256">
        <f>IF(ISNUMBER(AS52),IFERROR((AS52+AS55)/AS58,""),"")</f>
        <v/>
      </c>
      <c r="AT61" s="256">
        <f>IF(ISNUMBER(AT52),IFERROR((AT52+AT55)/AT58,""),"")</f>
        <v/>
      </c>
      <c r="AU61" s="153" t="n"/>
      <c r="BC61" s="25" t="inlineStr">
        <is>
          <t xml:space="preserve">  2029E</t>
        </is>
      </c>
      <c r="BD61" s="33">
        <f>BE61+$BD$59</f>
        <v/>
      </c>
      <c r="BE61" s="42" t="n">
        <v>0.06</v>
      </c>
      <c r="BF61" s="33">
        <f>BE61+$BF$59</f>
        <v/>
      </c>
    </row>
    <row r="62" ht="15" customHeight="1" s="251">
      <c r="B62" s="156" t="inlineStr">
        <is>
          <t xml:space="preserve">  Memo: Life Sciences revenue as published (segment data)</t>
        </is>
      </c>
      <c r="C62" s="253" t="n">
        <v>226.658</v>
      </c>
      <c r="D62" s="253" t="n">
        <v>244.421</v>
      </c>
      <c r="E62" s="253" t="n">
        <v>246.122</v>
      </c>
      <c r="F62" s="253" t="n">
        <v>250.845</v>
      </c>
      <c r="G62" s="253" t="n">
        <v>295.97</v>
      </c>
      <c r="H62" s="253" t="n">
        <v>327.276</v>
      </c>
      <c r="I62" s="253" t="n">
        <v>361.59</v>
      </c>
      <c r="J62" s="253" t="n">
        <v>378.558</v>
      </c>
      <c r="K62" s="253" t="n">
        <v>416.939</v>
      </c>
      <c r="L62" s="253" t="n">
        <v>467.552</v>
      </c>
      <c r="M62" s="253" t="n">
        <v>121.471</v>
      </c>
      <c r="N62" s="253" t="n">
        <v>132.327</v>
      </c>
      <c r="O62" s="253" t="n">
        <v>127.908</v>
      </c>
      <c r="P62" s="253" t="n">
        <v>143.258</v>
      </c>
      <c r="Q62" s="253" t="n">
        <v>524.9640000000001</v>
      </c>
      <c r="R62" s="253" t="n">
        <v>132.207</v>
      </c>
      <c r="S62" s="253" t="n">
        <v>125.768</v>
      </c>
      <c r="T62" s="253" t="n">
        <v>121.273</v>
      </c>
      <c r="U62" s="253" t="n">
        <v>157.456</v>
      </c>
      <c r="V62" s="253" t="n">
        <v>536.704</v>
      </c>
      <c r="W62" s="253" t="n">
        <v>131.413</v>
      </c>
      <c r="X62" s="253" t="n">
        <v>133.095</v>
      </c>
      <c r="Y62" s="253" t="n">
        <v>146.566</v>
      </c>
      <c r="Z62" s="253" t="n">
        <v>160.628</v>
      </c>
      <c r="AA62" s="253" t="n">
        <v>571.702</v>
      </c>
      <c r="AB62" s="253" t="n">
        <v>128.478</v>
      </c>
      <c r="AC62" s="253" t="n">
        <v>127.945</v>
      </c>
      <c r="AD62" s="253" t="n">
        <v>136.382</v>
      </c>
      <c r="AE62" s="253" t="n">
        <v>149.466</v>
      </c>
      <c r="AF62" s="253" t="n">
        <v>542.271</v>
      </c>
      <c r="AG62" s="253" t="n">
        <v>135.2</v>
      </c>
      <c r="AH62" s="253" t="n">
        <v>145</v>
      </c>
      <c r="AI62" s="253" t="n">
        <v>145.8</v>
      </c>
      <c r="AJ62" s="253" t="n">
        <v>162.9</v>
      </c>
      <c r="AK62" s="253" t="n">
        <v>588.8</v>
      </c>
      <c r="AL62" s="253" t="n">
        <v>146.7</v>
      </c>
      <c r="AM62" s="153" t="n"/>
      <c r="AN62" s="153" t="n"/>
      <c r="AO62" s="153" t="n"/>
      <c r="AP62" s="153" t="n"/>
      <c r="AQ62" s="153" t="n"/>
      <c r="AR62" s="153" t="n"/>
      <c r="AS62" s="153" t="n"/>
      <c r="AT62" s="153" t="n"/>
      <c r="AU62" s="153" t="n"/>
      <c r="BC62" s="25" t="inlineStr">
        <is>
          <t xml:space="preserve">  2030E</t>
        </is>
      </c>
      <c r="BD62" s="33">
        <f>BE62+$BD$59</f>
        <v/>
      </c>
      <c r="BE62" s="42" t="n">
        <v>0.06</v>
      </c>
      <c r="BF62" s="33">
        <f>BE62+$BF$59</f>
        <v/>
      </c>
    </row>
    <row r="63" ht="15" customHeight="1" s="251">
      <c r="B63" s="57" t="inlineStr">
        <is>
          <t xml:space="preserve">  Check: revenue by type vs segment revenue (should be 0)</t>
        </is>
      </c>
      <c r="C63" s="263">
        <f>IF(AND(ISNUMBER(C58),ISNUMBER(C62)),IF(ABS(C58-C62)&lt;=0.15,0,ROUND(C58-C62,1)),"")</f>
        <v/>
      </c>
      <c r="D63" s="263">
        <f>IF(AND(ISNUMBER(D58),ISNUMBER(D62)),IF(ABS(D58-D62)&lt;=0.15,0,ROUND(D58-D62,1)),"")</f>
        <v/>
      </c>
      <c r="E63" s="263">
        <f>IF(AND(ISNUMBER(E58),ISNUMBER(E62)),IF(ABS(E58-E62)&lt;=0.15,0,ROUND(E58-E62,1)),"")</f>
        <v/>
      </c>
      <c r="F63" s="263">
        <f>IF(AND(ISNUMBER(F58),ISNUMBER(F62)),IF(ABS(F58-F62)&lt;=0.15,0,ROUND(F58-F62,1)),"")</f>
        <v/>
      </c>
      <c r="G63" s="263">
        <f>IF(AND(ISNUMBER(G58),ISNUMBER(G62)),IF(ABS(G58-G62)&lt;=0.15,0,ROUND(G58-G62,1)),"")</f>
        <v/>
      </c>
      <c r="H63" s="263">
        <f>IF(AND(ISNUMBER(H58),ISNUMBER(H62)),IF(ABS(H58-H62)&lt;=0.15,0,ROUND(H58-H62,1)),"")</f>
        <v/>
      </c>
      <c r="I63" s="263">
        <f>IF(AND(ISNUMBER(I58),ISNUMBER(I62)),IF(ABS(I58-I62)&lt;=0.15,0,ROUND(I58-I62,1)),"")</f>
        <v/>
      </c>
      <c r="J63" s="263">
        <f>IF(AND(ISNUMBER(J58),ISNUMBER(J62)),IF(ABS(J58-J62)&lt;=0.15,0,ROUND(J58-J62,1)),"")</f>
        <v/>
      </c>
      <c r="K63" s="263">
        <f>IF(AND(ISNUMBER(K58),ISNUMBER(K62)),IF(ABS(K58-K62)&lt;=0.15,0,ROUND(K58-K62,1)),"")</f>
        <v/>
      </c>
      <c r="L63" s="263">
        <f>IF(AND(ISNUMBER(L58),ISNUMBER(L62)),IF(ABS(L58-L62)&lt;=0.15,0,ROUND(L58-L62,1)),"")</f>
        <v/>
      </c>
      <c r="M63" s="263">
        <f>IF(AND(ISNUMBER(M58),ISNUMBER(M62)),IF(ABS(M58-M62)&lt;=0.15,0,ROUND(M58-M62,1)),"")</f>
        <v/>
      </c>
      <c r="N63" s="263">
        <f>IF(AND(ISNUMBER(N58),ISNUMBER(N62)),IF(ABS(N58-N62)&lt;=0.15,0,ROUND(N58-N62,1)),"")</f>
        <v/>
      </c>
      <c r="O63" s="263">
        <f>IF(AND(ISNUMBER(O58),ISNUMBER(O62)),IF(ABS(O58-O62)&lt;=0.15,0,ROUND(O58-O62,1)),"")</f>
        <v/>
      </c>
      <c r="P63" s="263">
        <f>IF(AND(ISNUMBER(P58),ISNUMBER(P62)),IF(ABS(P58-P62)&lt;=0.15,0,ROUND(P58-P62,1)),"")</f>
        <v/>
      </c>
      <c r="Q63" s="263">
        <f>IF(AND(ISNUMBER(Q58),ISNUMBER(Q62)),IF(ABS(Q58-Q62)&lt;=0.15,0,ROUND(Q58-Q62,1)),"")</f>
        <v/>
      </c>
      <c r="R63" s="263">
        <f>IF(AND(ISNUMBER(R58),ISNUMBER(R62)),IF(ABS(R58-R62)&lt;=0.15,0,ROUND(R58-R62,1)),"")</f>
        <v/>
      </c>
      <c r="S63" s="263">
        <f>IF(AND(ISNUMBER(S58),ISNUMBER(S62)),IF(ABS(S58-S62)&lt;=0.15,0,ROUND(S58-S62,1)),"")</f>
        <v/>
      </c>
      <c r="T63" s="263">
        <f>IF(AND(ISNUMBER(T58),ISNUMBER(T62)),IF(ABS(T58-T62)&lt;=0.15,0,ROUND(T58-T62,1)),"")</f>
        <v/>
      </c>
      <c r="U63" s="263">
        <f>IF(AND(ISNUMBER(U58),ISNUMBER(U62)),IF(ABS(U58-U62)&lt;=0.15,0,ROUND(U58-U62,1)),"")</f>
        <v/>
      </c>
      <c r="V63" s="263">
        <f>IF(AND(ISNUMBER(V58),ISNUMBER(V62)),IF(ABS(V58-V62)&lt;=0.15,0,ROUND(V58-V62,1)),"")</f>
        <v/>
      </c>
      <c r="W63" s="263">
        <f>IF(AND(ISNUMBER(W58),ISNUMBER(W62)),IF(ABS(W58-W62)&lt;=0.15,0,ROUND(W58-W62,1)),"")</f>
        <v/>
      </c>
      <c r="X63" s="263">
        <f>IF(AND(ISNUMBER(X58),ISNUMBER(X62)),IF(ABS(X58-X62)&lt;=0.15,0,ROUND(X58-X62,1)),"")</f>
        <v/>
      </c>
      <c r="Y63" s="263">
        <f>IF(AND(ISNUMBER(Y58),ISNUMBER(Y62)),IF(ABS(Y58-Y62)&lt;=0.15,0,ROUND(Y58-Y62,1)),"")</f>
        <v/>
      </c>
      <c r="Z63" s="263">
        <f>IF(AND(ISNUMBER(Z58),ISNUMBER(Z62)),IF(ABS(Z58-Z62)&lt;=0.15,0,ROUND(Z58-Z62,1)),"")</f>
        <v/>
      </c>
      <c r="AA63" s="263">
        <f>IF(AND(ISNUMBER(AA58),ISNUMBER(AA62)),IF(ABS(AA58-AA62)&lt;=0.15,0,ROUND(AA58-AA62,1)),"")</f>
        <v/>
      </c>
      <c r="AB63" s="263">
        <f>IF(AND(ISNUMBER(AB58),ISNUMBER(AB62)),IF(ABS(AB58-AB62)&lt;=0.15,0,ROUND(AB58-AB62,1)),"")</f>
        <v/>
      </c>
      <c r="AC63" s="263">
        <f>IF(AND(ISNUMBER(AC58),ISNUMBER(AC62)),IF(ABS(AC58-AC62)&lt;=0.15,0,ROUND(AC58-AC62,1)),"")</f>
        <v/>
      </c>
      <c r="AD63" s="263">
        <f>IF(AND(ISNUMBER(AD58),ISNUMBER(AD62)),IF(ABS(AD58-AD62)&lt;=0.15,0,ROUND(AD58-AD62,1)),"")</f>
        <v/>
      </c>
      <c r="AE63" s="263">
        <f>IF(AND(ISNUMBER(AE58),ISNUMBER(AE62)),IF(ABS(AE58-AE62)&lt;=0.15,0,ROUND(AE58-AE62,1)),"")</f>
        <v/>
      </c>
      <c r="AF63" s="263">
        <f>IF(AND(ISNUMBER(AF58),ISNUMBER(AF62)),IF(ABS(AF58-AF62)&lt;=0.15,0,ROUND(AF58-AF62,1)),"")</f>
        <v/>
      </c>
      <c r="AG63" s="263">
        <f>IF(AND(ISNUMBER(AG58),ISNUMBER(AG62)),IF(ABS(AG58-AG62)&lt;=0.15,0,ROUND(AG58-AG62,1)),"")</f>
        <v/>
      </c>
      <c r="AH63" s="263">
        <f>IF(AND(ISNUMBER(AH58),ISNUMBER(AH62)),IF(ABS(AH58-AH62)&lt;=0.15,0,ROUND(AH58-AH62,1)),"")</f>
        <v/>
      </c>
      <c r="AI63" s="263">
        <f>IF(AND(ISNUMBER(AI58),ISNUMBER(AI62)),IF(ABS(AI58-AI62)&lt;=0.15,0,ROUND(AI58-AI62,1)),"")</f>
        <v/>
      </c>
      <c r="AJ63" s="263">
        <f>IF(AND(ISNUMBER(AJ58),ISNUMBER(AJ62)),IF(ABS(AJ58-AJ62)&lt;=0.15,0,ROUND(AJ58-AJ62,1)),"")</f>
        <v/>
      </c>
      <c r="AK63" s="263">
        <f>IF(AND(ISNUMBER(AK58),ISNUMBER(AK62)),IF(ABS(AK58-AK62)&lt;=0.15,0,ROUND(AK58-AK62,1)),"")</f>
        <v/>
      </c>
      <c r="AL63" s="263">
        <f>IF(AND(ISNUMBER(AL58),ISNUMBER(AL62)),IF(ABS(AL58-AL62)&lt;=0.15,0,ROUND(AL58-AL62,1)),"")</f>
        <v/>
      </c>
      <c r="AM63" s="153" t="n"/>
      <c r="AN63" s="153" t="n"/>
      <c r="AO63" s="153" t="n"/>
      <c r="AP63" s="153" t="n"/>
      <c r="AQ63" s="153" t="n"/>
      <c r="AR63" s="153" t="n"/>
      <c r="AS63" s="153" t="n"/>
      <c r="AT63" s="153" t="n"/>
      <c r="AU63" s="153" t="n"/>
      <c r="BC63" s="25" t="inlineStr">
        <is>
          <t xml:space="preserve">  2031E</t>
        </is>
      </c>
      <c r="BD63" s="33">
        <f>BE63+$BD$59</f>
        <v/>
      </c>
      <c r="BE63" s="42" t="n">
        <v>0.06</v>
      </c>
      <c r="BF63" s="33">
        <f>BE63+$BF$59</f>
        <v/>
      </c>
    </row>
    <row r="64" ht="15" customHeight="1" s="251">
      <c r="B64" s="25" t="inlineStr">
        <is>
          <t xml:space="preserve">  Segment operating income (adjusted basis)</t>
        </is>
      </c>
      <c r="C64" s="253" t="n">
        <v>41.633</v>
      </c>
      <c r="D64" s="253" t="n">
        <v>47.453</v>
      </c>
      <c r="E64" s="253" t="n">
        <v>50.772</v>
      </c>
      <c r="F64" s="253" t="n">
        <v>56.094</v>
      </c>
      <c r="G64" s="253" t="n">
        <v>85.46599999999999</v>
      </c>
      <c r="H64" s="253" t="n">
        <v>96.983</v>
      </c>
      <c r="I64" s="253" t="n">
        <v>106.737</v>
      </c>
      <c r="J64" s="253" t="n">
        <v>132.129</v>
      </c>
      <c r="K64" s="253" t="n">
        <v>144.088</v>
      </c>
      <c r="L64" s="253" t="n">
        <v>180.796</v>
      </c>
      <c r="M64" s="253" t="n">
        <v>49.088</v>
      </c>
      <c r="N64" s="253" t="n">
        <v>57.519</v>
      </c>
      <c r="O64" s="253" t="n">
        <v>52.032</v>
      </c>
      <c r="P64" s="253" t="n">
        <v>57.549</v>
      </c>
      <c r="Q64" s="253" t="n">
        <v>216.188</v>
      </c>
      <c r="R64" s="253" t="n">
        <v>55.305</v>
      </c>
      <c r="S64" s="253" t="n">
        <v>48.619</v>
      </c>
      <c r="T64" s="253" t="n">
        <v>45.249</v>
      </c>
      <c r="U64" s="253" t="n">
        <v>61.052</v>
      </c>
      <c r="V64" s="253" t="n">
        <v>210.225</v>
      </c>
      <c r="W64" s="253" t="n">
        <v>49.841</v>
      </c>
      <c r="X64" s="253" t="n">
        <v>50.284</v>
      </c>
      <c r="Y64" s="253" t="n">
        <v>56.738</v>
      </c>
      <c r="Z64" s="253" t="n">
        <v>64.486</v>
      </c>
      <c r="AA64" s="253" t="n">
        <v>221.349</v>
      </c>
      <c r="AB64" s="253" t="n">
        <v>52.584</v>
      </c>
      <c r="AC64" s="253" t="n">
        <v>53.7</v>
      </c>
      <c r="AD64" s="253" t="n">
        <v>58.133</v>
      </c>
      <c r="AE64" s="253" t="n">
        <v>65.024</v>
      </c>
      <c r="AF64" s="253" t="n">
        <v>229.441</v>
      </c>
      <c r="AG64" s="253" t="n">
        <v>58.7</v>
      </c>
      <c r="AH64" s="253" t="n">
        <v>59.9</v>
      </c>
      <c r="AI64" s="253" t="n">
        <v>61.8</v>
      </c>
      <c r="AJ64" s="253" t="n">
        <v>70.59999999999999</v>
      </c>
      <c r="AK64" s="253" t="n">
        <v>251</v>
      </c>
      <c r="AL64" s="253" t="n">
        <v>61.8</v>
      </c>
      <c r="AM64" s="254">
        <f>AM58*AM65</f>
        <v/>
      </c>
      <c r="AN64" s="254">
        <f>AN58*AN65</f>
        <v/>
      </c>
      <c r="AO64" s="254">
        <f>AO58*AO65</f>
        <v/>
      </c>
      <c r="AP64" s="254">
        <f>SUM(AL64,AM64,AN64,AO64)</f>
        <v/>
      </c>
      <c r="AQ64" s="254">
        <f>AQ58*AQ65</f>
        <v/>
      </c>
      <c r="AR64" s="254">
        <f>AR58*AR65</f>
        <v/>
      </c>
      <c r="AS64" s="254">
        <f>AS58*AS65</f>
        <v/>
      </c>
      <c r="AT64" s="254">
        <f>AT58*AT65</f>
        <v/>
      </c>
      <c r="AU64" s="19" t="n"/>
      <c r="AW64" s="20">
        <f>IFERROR((AT64/AK64)^(1/5)-1,"n/m")</f>
        <v/>
      </c>
      <c r="AX64" s="20">
        <f>IFERROR((AK64/L64)^(1/5)-1,"n/m")</f>
        <v/>
      </c>
      <c r="AY64" s="20">
        <f>IFERROR((AK64/G64)^(1/10)-1,"n/m")</f>
        <v/>
      </c>
      <c r="AZ64" s="20">
        <f>IFERROR((AK64/C64)^(1/14)-1,"n/m")</f>
        <v/>
      </c>
      <c r="BC64" s="15" t="inlineStr">
        <is>
          <t>LS_SERV (Life Sciences service y/y)</t>
        </is>
      </c>
      <c r="BD64" s="41" t="n">
        <v>0.01</v>
      </c>
      <c r="BE64" s="21" t="inlineStr">
        <is>
          <t>Δ →</t>
        </is>
      </c>
      <c r="BF64" s="41" t="n">
        <v>-0.03</v>
      </c>
      <c r="BG64" s="13" t="inlineStr">
        <is>
          <t>Installed-base service (CECS divested Q4 FY24).</t>
        </is>
      </c>
    </row>
    <row r="65" ht="15" customHeight="1" s="251">
      <c r="B65" s="25" t="inlineStr">
        <is>
          <t xml:space="preserve">  Segment operating margin %</t>
        </is>
      </c>
      <c r="C65" s="215">
        <f>IF(AND(ISNUMBER(C64),ISNUMBER(C58)),IFERROR(C64/C58,""),"")</f>
        <v/>
      </c>
      <c r="D65" s="215">
        <f>IF(AND(ISNUMBER(D64),ISNUMBER(D58)),IFERROR(D64/D58,""),"")</f>
        <v/>
      </c>
      <c r="E65" s="215">
        <f>IF(AND(ISNUMBER(E64),ISNUMBER(E58)),IFERROR(E64/E58,""),"")</f>
        <v/>
      </c>
      <c r="F65" s="215">
        <f>IF(AND(ISNUMBER(F64),ISNUMBER(F58)),IFERROR(F64/F58,""),"")</f>
        <v/>
      </c>
      <c r="G65" s="215">
        <f>IF(AND(ISNUMBER(G64),ISNUMBER(G58)),IFERROR(G64/G58,""),"")</f>
        <v/>
      </c>
      <c r="H65" s="215">
        <f>IF(AND(ISNUMBER(H64),ISNUMBER(H58)),IFERROR(H64/H58,""),"")</f>
        <v/>
      </c>
      <c r="I65" s="215">
        <f>IF(AND(ISNUMBER(I64),ISNUMBER(I58)),IFERROR(I64/I58,""),"")</f>
        <v/>
      </c>
      <c r="J65" s="215">
        <f>IF(AND(ISNUMBER(J64),ISNUMBER(J58)),IFERROR(J64/J58,""),"")</f>
        <v/>
      </c>
      <c r="K65" s="215">
        <f>IF(AND(ISNUMBER(K64),ISNUMBER(K58)),IFERROR(K64/K58,""),"")</f>
        <v/>
      </c>
      <c r="L65" s="215">
        <f>IF(AND(ISNUMBER(L64),ISNUMBER(L58)),IFERROR(L64/L58,""),"")</f>
        <v/>
      </c>
      <c r="M65" s="215">
        <f>IF(AND(ISNUMBER(M64),ISNUMBER(M58)),IFERROR(M64/M58,""),"")</f>
        <v/>
      </c>
      <c r="N65" s="215">
        <f>IF(AND(ISNUMBER(N64),ISNUMBER(N58)),IFERROR(N64/N58,""),"")</f>
        <v/>
      </c>
      <c r="O65" s="215">
        <f>IF(AND(ISNUMBER(O64),ISNUMBER(O58)),IFERROR(O64/O58,""),"")</f>
        <v/>
      </c>
      <c r="P65" s="215">
        <f>IF(AND(ISNUMBER(P64),ISNUMBER(P58)),IFERROR(P64/P58,""),"")</f>
        <v/>
      </c>
      <c r="Q65" s="215">
        <f>IF(AND(ISNUMBER(Q64),ISNUMBER(Q58)),IFERROR(Q64/Q58,""),"")</f>
        <v/>
      </c>
      <c r="R65" s="215">
        <f>IF(AND(ISNUMBER(R64),ISNUMBER(R58)),IFERROR(R64/R58,""),"")</f>
        <v/>
      </c>
      <c r="S65" s="215">
        <f>IF(AND(ISNUMBER(S64),ISNUMBER(S58)),IFERROR(S64/S58,""),"")</f>
        <v/>
      </c>
      <c r="T65" s="215">
        <f>IF(AND(ISNUMBER(T64),ISNUMBER(T58)),IFERROR(T64/T58,""),"")</f>
        <v/>
      </c>
      <c r="U65" s="215">
        <f>IF(AND(ISNUMBER(U64),ISNUMBER(U58)),IFERROR(U64/U58,""),"")</f>
        <v/>
      </c>
      <c r="V65" s="215">
        <f>IF(AND(ISNUMBER(V64),ISNUMBER(V58)),IFERROR(V64/V58,""),"")</f>
        <v/>
      </c>
      <c r="W65" s="215">
        <f>IF(AND(ISNUMBER(W64),ISNUMBER(W58)),IFERROR(W64/W58,""),"")</f>
        <v/>
      </c>
      <c r="X65" s="215">
        <f>IF(AND(ISNUMBER(X64),ISNUMBER(X58)),IFERROR(X64/X58,""),"")</f>
        <v/>
      </c>
      <c r="Y65" s="215">
        <f>IF(AND(ISNUMBER(Y64),ISNUMBER(Y58)),IFERROR(Y64/Y58,""),"")</f>
        <v/>
      </c>
      <c r="Z65" s="215">
        <f>IF(AND(ISNUMBER(Z64),ISNUMBER(Z58)),IFERROR(Z64/Z58,""),"")</f>
        <v/>
      </c>
      <c r="AA65" s="215">
        <f>IF(AND(ISNUMBER(AA64),ISNUMBER(AA58)),IFERROR(AA64/AA58,""),"")</f>
        <v/>
      </c>
      <c r="AB65" s="215">
        <f>IF(AND(ISNUMBER(AB64),ISNUMBER(AB58)),IFERROR(AB64/AB58,""),"")</f>
        <v/>
      </c>
      <c r="AC65" s="215">
        <f>IF(AND(ISNUMBER(AC64),ISNUMBER(AC58)),IFERROR(AC64/AC58,""),"")</f>
        <v/>
      </c>
      <c r="AD65" s="215">
        <f>IF(AND(ISNUMBER(AD64),ISNUMBER(AD58)),IFERROR(AD64/AD58,""),"")</f>
        <v/>
      </c>
      <c r="AE65" s="215">
        <f>IF(AND(ISNUMBER(AE64),ISNUMBER(AE58)),IFERROR(AE64/AE58,""),"")</f>
        <v/>
      </c>
      <c r="AF65" s="215">
        <f>IF(AND(ISNUMBER(AF64),ISNUMBER(AF58)),IFERROR(AF64/AF58,""),"")</f>
        <v/>
      </c>
      <c r="AG65" s="215">
        <f>IF(AND(ISNUMBER(AG64),ISNUMBER(AG58)),IFERROR(AG64/AG58,""),"")</f>
        <v/>
      </c>
      <c r="AH65" s="215">
        <f>IF(AND(ISNUMBER(AH64),ISNUMBER(AH58)),IFERROR(AH64/AH58,""),"")</f>
        <v/>
      </c>
      <c r="AI65" s="215">
        <f>IF(AND(ISNUMBER(AI64),ISNUMBER(AI58)),IFERROR(AI64/AI58,""),"")</f>
        <v/>
      </c>
      <c r="AJ65" s="215">
        <f>IF(AND(ISNUMBER(AJ64),ISNUMBER(AJ58)),IFERROR(AJ64/AJ58,""),"")</f>
        <v/>
      </c>
      <c r="AK65" s="215">
        <f>IF(AND(ISNUMBER(AK64),ISNUMBER(AK58)),IFERROR(AK64/AK58,""),"")</f>
        <v/>
      </c>
      <c r="AL65" s="215">
        <f>IF(AND(ISNUMBER(AL64),ISNUMBER(AL58)),IFERROR(AL64/AL58,""),"")</f>
        <v/>
      </c>
      <c r="AM65" s="256">
        <f>AM66+$AM$134</f>
        <v/>
      </c>
      <c r="AN65" s="256">
        <f>AN66+$AM$134</f>
        <v/>
      </c>
      <c r="AO65" s="256">
        <f>AO66+$AM$134</f>
        <v/>
      </c>
      <c r="AP65" s="256">
        <f>IF(AND(ISNUMBER(AP64),ISNUMBER(AP58)),IFERROR(AP64/AP58,""),"")</f>
        <v/>
      </c>
      <c r="AQ65" s="256">
        <f>CHOOSE(MATCH($AU$2,{"Bull","Base","Bear"},0),$BD$80,$BE$80,$BF$80)</f>
        <v/>
      </c>
      <c r="AR65" s="256">
        <f>CHOOSE(MATCH($AU$2,{"Bull","Base","Bear"},0),$BD$81,$BE$81,$BF$81)</f>
        <v/>
      </c>
      <c r="AS65" s="256">
        <f>CHOOSE(MATCH($AU$2,{"Bull","Base","Bear"},0),$BD$82,$BE$82,$BF$82)</f>
        <v/>
      </c>
      <c r="AT65" s="256">
        <f>CHOOSE(MATCH($AU$2,{"Bull","Base","Bear"},0),$BD$83,$BE$83,$BF$83)</f>
        <v/>
      </c>
      <c r="AU65" s="153" t="n"/>
      <c r="AW65" s="37">
        <f>IFERROR(AVERAGE(AP65,AQ65,AR65,AS65,AT65),"n/m")</f>
        <v/>
      </c>
      <c r="AX65" s="37">
        <f>IFERROR(AVERAGE(Q65,V65,AA65,AF65,AK65),"n/m")</f>
        <v/>
      </c>
      <c r="AY65" s="37">
        <f>IFERROR(AVERAGE(H65,I65,J65,K65,L65,Q65,V65,AA65,AF65,AK65),"n/m")</f>
        <v/>
      </c>
      <c r="AZ65" s="37">
        <f>IFERROR(AVERAGE(C65,D65,E65,F65,G65,H65,I65,J65,K65,L65,Q65,V65,AA65,AF65,AK65),"n/m")</f>
        <v/>
      </c>
      <c r="BC65" s="25" t="inlineStr">
        <is>
          <t xml:space="preserve">  2028E</t>
        </is>
      </c>
      <c r="BD65" s="33">
        <f>BE65+$BD$64</f>
        <v/>
      </c>
      <c r="BE65" s="42" t="n">
        <v>0.04</v>
      </c>
      <c r="BF65" s="33">
        <f>BE65+$BF$64</f>
        <v/>
      </c>
    </row>
    <row r="66" ht="15" customHeight="1" s="251">
      <c r="B66" s="25" t="inlineStr">
        <is>
          <t xml:space="preserve">  Q2–Q4/27E margin before EPS-outlook calibration (prior-year quarter + Q1/27 y/y drift)</t>
        </is>
      </c>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c r="AF66" s="36" t="n"/>
      <c r="AG66" s="36" t="n"/>
      <c r="AH66" s="36" t="n"/>
      <c r="AI66" s="36" t="n"/>
      <c r="AJ66" s="36" t="n"/>
      <c r="AK66" s="36" t="n"/>
      <c r="AL66" s="36" t="n"/>
      <c r="AM66" s="256">
        <f>AH65+IFERROR(AL64/AL58-AG64/AG58,0)</f>
        <v/>
      </c>
      <c r="AN66" s="256">
        <f>AI65+IFERROR(AL64/AL58-AG64/AG58,0)</f>
        <v/>
      </c>
      <c r="AO66" s="256">
        <f>AJ65+IFERROR(AL64/AL58-AG64/AG58,0)</f>
        <v/>
      </c>
      <c r="AP66" s="24" t="n"/>
      <c r="AQ66" s="46" t="n"/>
      <c r="AR66" s="46" t="n"/>
      <c r="AS66" s="46" t="n"/>
      <c r="AT66" s="46" t="n"/>
      <c r="AU66" s="19" t="n"/>
      <c r="BC66" s="25" t="inlineStr">
        <is>
          <t xml:space="preserve">  2029E</t>
        </is>
      </c>
      <c r="BD66" s="33">
        <f>BE66+$BD$64</f>
        <v/>
      </c>
      <c r="BE66" s="42" t="n">
        <v>0.04</v>
      </c>
      <c r="BF66" s="33">
        <f>BE66+$BF$64</f>
        <v/>
      </c>
    </row>
    <row r="67" ht="15" customHeight="1" s="251">
      <c r="B67" s="25" t="inlineStr">
        <is>
          <t xml:space="preserve">  Incremental segment margin (Δ operating income / Δ revenue)</t>
        </is>
      </c>
      <c r="C67" s="36" t="n"/>
      <c r="D67" s="215">
        <f>IFERROR((D64-C64)/(D58-C58),"")</f>
        <v/>
      </c>
      <c r="E67" s="215">
        <f>IFERROR((E64-D64)/(E58-D58),"")</f>
        <v/>
      </c>
      <c r="F67" s="215">
        <f>IFERROR((F64-E64)/(F58-E58),"")</f>
        <v/>
      </c>
      <c r="G67" s="215">
        <f>IFERROR((G64-F64)/(G58-F58),"")</f>
        <v/>
      </c>
      <c r="H67" s="215">
        <f>IFERROR((H64-G64)/(H58-G58),"")</f>
        <v/>
      </c>
      <c r="I67" s="215">
        <f>IFERROR((I64-H64)/(I58-H58),"")</f>
        <v/>
      </c>
      <c r="J67" s="215">
        <f>IFERROR((J64-I64)/(J58-I58),"")</f>
        <v/>
      </c>
      <c r="K67" s="215">
        <f>IFERROR((K64-J64)/(K58-J58),"")</f>
        <v/>
      </c>
      <c r="L67" s="215">
        <f>IFERROR((L64-K64)/(L58-K58),"")</f>
        <v/>
      </c>
      <c r="M67" s="36" t="n"/>
      <c r="N67" s="36" t="n"/>
      <c r="O67" s="36" t="n"/>
      <c r="P67" s="36" t="n"/>
      <c r="Q67" s="215">
        <f>IFERROR((Q64-L64)/(Q58-L58),"")</f>
        <v/>
      </c>
      <c r="R67" s="215">
        <f>IFERROR((R64-M64)/(R58-M58),"")</f>
        <v/>
      </c>
      <c r="S67" s="215">
        <f>IFERROR((S64-N64)/(S58-N58),"")</f>
        <v/>
      </c>
      <c r="T67" s="215">
        <f>IFERROR((T64-O64)/(T58-O58),"")</f>
        <v/>
      </c>
      <c r="U67" s="215">
        <f>IFERROR((U64-P64)/(U58-P58),"")</f>
        <v/>
      </c>
      <c r="V67" s="215">
        <f>IFERROR((V64-Q64)/(V58-Q58),"")</f>
        <v/>
      </c>
      <c r="W67" s="215">
        <f>IFERROR((W64-R64)/(W58-R58),"")</f>
        <v/>
      </c>
      <c r="X67" s="215">
        <f>IFERROR((X64-S64)/(X58-S58),"")</f>
        <v/>
      </c>
      <c r="Y67" s="215">
        <f>IFERROR((Y64-T64)/(Y58-T58),"")</f>
        <v/>
      </c>
      <c r="Z67" s="215">
        <f>IFERROR((Z64-U64)/(Z58-U58),"")</f>
        <v/>
      </c>
      <c r="AA67" s="215">
        <f>IFERROR((AA64-V64)/(AA58-V58),"")</f>
        <v/>
      </c>
      <c r="AB67" s="215">
        <f>IFERROR((AB64-W64)/(AB58-W58),"")</f>
        <v/>
      </c>
      <c r="AC67" s="215">
        <f>IFERROR((AC64-X64)/(AC58-X58),"")</f>
        <v/>
      </c>
      <c r="AD67" s="215">
        <f>IFERROR((AD64-Y64)/(AD58-Y58),"")</f>
        <v/>
      </c>
      <c r="AE67" s="215">
        <f>IFERROR((AE64-Z64)/(AE58-Z58),"")</f>
        <v/>
      </c>
      <c r="AF67" s="215">
        <f>IFERROR((AF64-AA64)/(AF58-AA58),"")</f>
        <v/>
      </c>
      <c r="AG67" s="215">
        <f>IFERROR((AG64-AB64)/(AG58-AB58),"")</f>
        <v/>
      </c>
      <c r="AH67" s="215">
        <f>IFERROR((AH64-AC64)/(AH58-AC58),"")</f>
        <v/>
      </c>
      <c r="AI67" s="215">
        <f>IFERROR((AI64-AD64)/(AI58-AD58),"")</f>
        <v/>
      </c>
      <c r="AJ67" s="215">
        <f>IFERROR((AJ64-AE64)/(AJ58-AE58),"")</f>
        <v/>
      </c>
      <c r="AK67" s="215">
        <f>IFERROR((AK64-AF64)/(AK58-AF58),"")</f>
        <v/>
      </c>
      <c r="AL67" s="215">
        <f>IFERROR((AL64-AG64)/(AL58-AG58),"")</f>
        <v/>
      </c>
      <c r="AM67" s="256">
        <f>IFERROR((AM64-AH64)/(AM58-AH58),"")</f>
        <v/>
      </c>
      <c r="AN67" s="256">
        <f>IFERROR((AN64-AI64)/(AN58-AI58),"")</f>
        <v/>
      </c>
      <c r="AO67" s="256">
        <f>IFERROR((AO64-AJ64)/(AO58-AJ58),"")</f>
        <v/>
      </c>
      <c r="AP67" s="256">
        <f>IFERROR((AP64-AK64)/(AP58-AK58),"")</f>
        <v/>
      </c>
      <c r="AQ67" s="256">
        <f>IFERROR((AQ64-AP64)/(AQ58-AP58),"")</f>
        <v/>
      </c>
      <c r="AR67" s="256">
        <f>IFERROR((AR64-AQ64)/(AR58-AQ58),"")</f>
        <v/>
      </c>
      <c r="AS67" s="256">
        <f>IFERROR((AS64-AR64)/(AS58-AR58),"")</f>
        <v/>
      </c>
      <c r="AT67" s="256">
        <f>IFERROR((AT64-AS64)/(AT58-AS58),"")</f>
        <v/>
      </c>
      <c r="AU67" s="153" t="n"/>
      <c r="BC67" s="25" t="inlineStr">
        <is>
          <t xml:space="preserve">  2030E</t>
        </is>
      </c>
      <c r="BD67" s="33">
        <f>BE67+$BD$64</f>
        <v/>
      </c>
      <c r="BE67" s="42" t="n">
        <v>0.04</v>
      </c>
      <c r="BF67" s="33">
        <f>BE67+$BF$64</f>
        <v/>
      </c>
    </row>
    <row r="68" ht="15" customHeight="1" s="251">
      <c r="BC68" s="25" t="inlineStr">
        <is>
          <t xml:space="preserve">  2031E</t>
        </is>
      </c>
      <c r="BD68" s="33">
        <f>BE68+$BD$64</f>
        <v/>
      </c>
      <c r="BE68" s="42" t="n">
        <v>0.04</v>
      </c>
      <c r="BF68" s="33">
        <f>BE68+$BF$64</f>
        <v/>
      </c>
    </row>
    <row r="69" ht="15" customHeight="1" s="251">
      <c r="B69" s="14" t="inlineStr">
        <is>
          <t>Dental (Cantel, Jun-2021 – Sep-2024) — discontinued operations from the Q4 FY24 release; FY2023+ on the restated basis</t>
        </is>
      </c>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5" t="inlineStr">
        <is>
          <t>DENTAL / OTHER — as originally reported in FY2022 (sold to Peak Rock Capital, 9-Sep-2024)</t>
        </is>
      </c>
      <c r="BC69" s="15" t="inlineStr">
        <is>
          <t>HC_M (Healthcare segment operating margin)</t>
        </is>
      </c>
      <c r="BD69" s="41" t="n">
        <v>0.01</v>
      </c>
      <c r="BE69" s="21" t="inlineStr">
        <is>
          <t>Δ →</t>
        </is>
      </c>
      <c r="BF69" s="41" t="n">
        <v>-0.02</v>
      </c>
      <c r="BG69" s="13" t="inlineStr">
        <is>
          <t>FY26 24.6%; FY27E ~24.8% (calibrated to the EPS outlook). Volume / price / productivity vs tariffs and inflation (~+30 bps p.a.).</t>
        </is>
      </c>
    </row>
    <row r="70" ht="15" customHeight="1" s="251">
      <c r="B70" s="25" t="inlineStr">
        <is>
          <t xml:space="preserve">  Dental revenue (FY2022 as reported; discontinued from FY2023 restated)</t>
        </is>
      </c>
      <c r="C70" s="253" t="n">
        <v>0</v>
      </c>
      <c r="D70" s="253" t="n">
        <v>0</v>
      </c>
      <c r="E70" s="253" t="n">
        <v>0</v>
      </c>
      <c r="F70" s="253" t="n">
        <v>0</v>
      </c>
      <c r="G70" s="253" t="n">
        <v>0</v>
      </c>
      <c r="H70" s="253" t="n">
        <v>0</v>
      </c>
      <c r="I70" s="253" t="n">
        <v>0</v>
      </c>
      <c r="J70" s="253" t="n">
        <v>0</v>
      </c>
      <c r="K70" s="253" t="n">
        <v>0</v>
      </c>
      <c r="L70" s="253" t="n">
        <v>0</v>
      </c>
      <c r="M70" s="253" t="n">
        <v>35.232</v>
      </c>
      <c r="N70" s="253" t="n">
        <v>115.632</v>
      </c>
      <c r="O70" s="253" t="n">
        <v>105.09</v>
      </c>
      <c r="P70" s="253" t="n">
        <v>105.707</v>
      </c>
      <c r="Q70" s="253" t="n">
        <v>361.661</v>
      </c>
      <c r="R70" s="253" t="n">
        <v>0</v>
      </c>
      <c r="S70" s="253" t="n">
        <v>0</v>
      </c>
      <c r="T70" s="253" t="n">
        <v>0</v>
      </c>
      <c r="U70" s="253" t="n">
        <v>0</v>
      </c>
      <c r="V70" s="253" t="n">
        <v>0</v>
      </c>
      <c r="W70" s="253" t="n">
        <v>0</v>
      </c>
      <c r="X70" s="253" t="n">
        <v>0</v>
      </c>
      <c r="Y70" s="253" t="n">
        <v>0</v>
      </c>
      <c r="Z70" s="253" t="n">
        <v>0</v>
      </c>
      <c r="AA70" s="253" t="n">
        <v>0</v>
      </c>
      <c r="AB70" s="253" t="n">
        <v>0</v>
      </c>
      <c r="AC70" s="253" t="n">
        <v>0</v>
      </c>
      <c r="AD70" s="253" t="n">
        <v>0</v>
      </c>
      <c r="AE70" s="253" t="n">
        <v>0</v>
      </c>
      <c r="AF70" s="253" t="n">
        <v>0</v>
      </c>
      <c r="AG70" s="253" t="n">
        <v>0</v>
      </c>
      <c r="AH70" s="253" t="n">
        <v>0</v>
      </c>
      <c r="AI70" s="253" t="n">
        <v>0</v>
      </c>
      <c r="AJ70" s="253" t="n">
        <v>0</v>
      </c>
      <c r="AK70" s="253" t="n">
        <v>0</v>
      </c>
      <c r="AL70" s="253" t="n">
        <v>0</v>
      </c>
      <c r="AM70" s="254">
        <f>0</f>
        <v/>
      </c>
      <c r="AN70" s="254">
        <f>0</f>
        <v/>
      </c>
      <c r="AO70" s="254">
        <f>0</f>
        <v/>
      </c>
      <c r="AP70" s="254">
        <f>SUM(AL70,AM70,AN70,AO70)</f>
        <v/>
      </c>
      <c r="AQ70" s="254">
        <f>0</f>
        <v/>
      </c>
      <c r="AR70" s="254">
        <f>0</f>
        <v/>
      </c>
      <c r="AS70" s="254">
        <f>0</f>
        <v/>
      </c>
      <c r="AT70" s="254">
        <f>0</f>
        <v/>
      </c>
      <c r="AU70" s="19" t="n"/>
      <c r="BC70" s="25" t="inlineStr">
        <is>
          <t xml:space="preserve">  2028E</t>
        </is>
      </c>
      <c r="BD70" s="33">
        <f>BE70+$BD$69</f>
        <v/>
      </c>
      <c r="BE70" s="42" t="n">
        <v>0.251</v>
      </c>
      <c r="BF70" s="33">
        <f>BE70+$BF$69</f>
        <v/>
      </c>
    </row>
    <row r="71" ht="15" customHeight="1" s="251">
      <c r="B71" s="25" t="inlineStr">
        <is>
          <t xml:space="preserve">  Dental segment operating income</t>
        </is>
      </c>
      <c r="C71" s="253" t="n">
        <v>0</v>
      </c>
      <c r="D71" s="253" t="n">
        <v>0</v>
      </c>
      <c r="E71" s="253" t="n">
        <v>0</v>
      </c>
      <c r="F71" s="253" t="n">
        <v>0</v>
      </c>
      <c r="G71" s="253" t="n">
        <v>0</v>
      </c>
      <c r="H71" s="253" t="n">
        <v>0</v>
      </c>
      <c r="I71" s="253" t="n">
        <v>0</v>
      </c>
      <c r="J71" s="253" t="n">
        <v>0</v>
      </c>
      <c r="K71" s="253" t="n">
        <v>0</v>
      </c>
      <c r="L71" s="253" t="n">
        <v>0</v>
      </c>
      <c r="M71" s="253" t="n">
        <v>10.119</v>
      </c>
      <c r="N71" s="253" t="n">
        <v>32.392</v>
      </c>
      <c r="O71" s="253" t="n">
        <v>23.096</v>
      </c>
      <c r="P71" s="253" t="n">
        <v>18.834</v>
      </c>
      <c r="Q71" s="253" t="n">
        <v>84.441</v>
      </c>
      <c r="R71" s="253" t="n">
        <v>0</v>
      </c>
      <c r="S71" s="253" t="n">
        <v>0</v>
      </c>
      <c r="T71" s="253" t="n">
        <v>0</v>
      </c>
      <c r="U71" s="253" t="n">
        <v>0</v>
      </c>
      <c r="V71" s="253" t="n">
        <v>0</v>
      </c>
      <c r="W71" s="253" t="n">
        <v>0</v>
      </c>
      <c r="X71" s="253" t="n">
        <v>0</v>
      </c>
      <c r="Y71" s="253" t="n">
        <v>0</v>
      </c>
      <c r="Z71" s="253" t="n">
        <v>0</v>
      </c>
      <c r="AA71" s="253" t="n">
        <v>0</v>
      </c>
      <c r="AB71" s="253" t="n">
        <v>0</v>
      </c>
      <c r="AC71" s="253" t="n">
        <v>0</v>
      </c>
      <c r="AD71" s="253" t="n">
        <v>0</v>
      </c>
      <c r="AE71" s="253" t="n">
        <v>0</v>
      </c>
      <c r="AF71" s="253" t="n">
        <v>0</v>
      </c>
      <c r="AG71" s="253" t="n">
        <v>0</v>
      </c>
      <c r="AH71" s="253" t="n">
        <v>0</v>
      </c>
      <c r="AI71" s="253" t="n">
        <v>0</v>
      </c>
      <c r="AJ71" s="253" t="n">
        <v>0</v>
      </c>
      <c r="AK71" s="253" t="n">
        <v>0</v>
      </c>
      <c r="AL71" s="253" t="n">
        <v>0</v>
      </c>
      <c r="AM71" s="254">
        <f>0</f>
        <v/>
      </c>
      <c r="AN71" s="254">
        <f>0</f>
        <v/>
      </c>
      <c r="AO71" s="254">
        <f>0</f>
        <v/>
      </c>
      <c r="AP71" s="254">
        <f>SUM(AL71,AM71,AN71,AO71)</f>
        <v/>
      </c>
      <c r="AQ71" s="254">
        <f>0</f>
        <v/>
      </c>
      <c r="AR71" s="254">
        <f>0</f>
        <v/>
      </c>
      <c r="AS71" s="254">
        <f>0</f>
        <v/>
      </c>
      <c r="AT71" s="254">
        <f>0</f>
        <v/>
      </c>
      <c r="AU71" s="19" t="n"/>
      <c r="BC71" s="25" t="inlineStr">
        <is>
          <t xml:space="preserve">  2029E</t>
        </is>
      </c>
      <c r="BD71" s="33">
        <f>BE71+$BD$69</f>
        <v/>
      </c>
      <c r="BE71" s="42" t="n">
        <v>0.254</v>
      </c>
      <c r="BF71" s="33">
        <f>BE71+$BF$69</f>
        <v/>
      </c>
    </row>
    <row r="72" collapsed="1" ht="15" customHeight="1" s="251">
      <c r="B72" s="25" t="inlineStr">
        <is>
          <t xml:space="preserve">  Corporate &amp; other revenue (Defense &amp; Industrial, FY2012–17)</t>
        </is>
      </c>
      <c r="C72" s="253" t="n">
        <v>2.793</v>
      </c>
      <c r="D72" s="253" t="n">
        <v>3.141</v>
      </c>
      <c r="E72" s="253" t="n">
        <v>1.896</v>
      </c>
      <c r="F72" s="253" t="n">
        <v>1.869</v>
      </c>
      <c r="G72" s="253" t="n">
        <v>2.656</v>
      </c>
      <c r="H72" s="253" t="n">
        <v>6.196</v>
      </c>
      <c r="I72" s="253" t="n">
        <v>0</v>
      </c>
      <c r="J72" s="253" t="n">
        <v>0</v>
      </c>
      <c r="K72" s="253" t="n">
        <v>0</v>
      </c>
      <c r="L72" s="253" t="n">
        <v>0</v>
      </c>
      <c r="M72" s="253" t="n">
        <v>0</v>
      </c>
      <c r="N72" s="253" t="n">
        <v>0</v>
      </c>
      <c r="O72" s="253" t="n">
        <v>0</v>
      </c>
      <c r="P72" s="253" t="n">
        <v>0</v>
      </c>
      <c r="Q72" s="253" t="n">
        <v>0</v>
      </c>
      <c r="R72" s="253" t="n">
        <v>0</v>
      </c>
      <c r="S72" s="253" t="n">
        <v>0</v>
      </c>
      <c r="T72" s="253" t="n">
        <v>0</v>
      </c>
      <c r="U72" s="253" t="n">
        <v>0</v>
      </c>
      <c r="V72" s="253" t="n">
        <v>0</v>
      </c>
      <c r="W72" s="253" t="n">
        <v>0</v>
      </c>
      <c r="X72" s="253" t="n">
        <v>0</v>
      </c>
      <c r="Y72" s="253" t="n">
        <v>0</v>
      </c>
      <c r="Z72" s="253" t="n">
        <v>0</v>
      </c>
      <c r="AA72" s="253" t="n">
        <v>0</v>
      </c>
      <c r="AB72" s="253" t="n">
        <v>0</v>
      </c>
      <c r="AC72" s="253" t="n">
        <v>0</v>
      </c>
      <c r="AD72" s="253" t="n">
        <v>0</v>
      </c>
      <c r="AE72" s="253" t="n">
        <v>0</v>
      </c>
      <c r="AF72" s="253" t="n">
        <v>0</v>
      </c>
      <c r="AG72" s="253" t="n">
        <v>0</v>
      </c>
      <c r="AH72" s="253" t="n">
        <v>0</v>
      </c>
      <c r="AI72" s="253" t="n">
        <v>0</v>
      </c>
      <c r="AJ72" s="253" t="n">
        <v>0</v>
      </c>
      <c r="AK72" s="253" t="n">
        <v>0</v>
      </c>
      <c r="AL72" s="253" t="n">
        <v>0</v>
      </c>
      <c r="AM72" s="254">
        <f>0</f>
        <v/>
      </c>
      <c r="AN72" s="254">
        <f>0</f>
        <v/>
      </c>
      <c r="AO72" s="254">
        <f>0</f>
        <v/>
      </c>
      <c r="AP72" s="254">
        <f>SUM(AL72,AM72,AN72,AO72)</f>
        <v/>
      </c>
      <c r="AQ72" s="254">
        <f>0</f>
        <v/>
      </c>
      <c r="AR72" s="254">
        <f>0</f>
        <v/>
      </c>
      <c r="AS72" s="254">
        <f>0</f>
        <v/>
      </c>
      <c r="AT72" s="254">
        <f>0</f>
        <v/>
      </c>
      <c r="AU72" s="19" t="n"/>
      <c r="BC72" s="25" t="inlineStr">
        <is>
          <t xml:space="preserve">  2030E</t>
        </is>
      </c>
      <c r="BD72" s="33">
        <f>BE72+$BD$69</f>
        <v/>
      </c>
      <c r="BE72" s="42" t="n">
        <v>0.257</v>
      </c>
      <c r="BF72" s="33">
        <f>BE72+$BF$69</f>
        <v/>
      </c>
    </row>
    <row r="73" ht="15" customHeight="1" s="251">
      <c r="BC73" s="25" t="inlineStr">
        <is>
          <t xml:space="preserve">  2031E</t>
        </is>
      </c>
      <c r="BD73" s="33">
        <f>BE73+$BD$69</f>
        <v/>
      </c>
      <c r="BE73" s="42" t="n">
        <v>0.26</v>
      </c>
      <c r="BF73" s="33">
        <f>BE73+$BF$69</f>
        <v/>
      </c>
    </row>
    <row r="74" ht="15" customHeight="1" s="251">
      <c r="B74" s="14" t="inlineStr">
        <is>
          <t>Corporate costs (adjusted basis; reported separately from FY2019 — partially allocated to segments before)</t>
        </is>
      </c>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5" t="inlineStr">
        <is>
          <t>CORPORATE — public-company, corporate functions, shared distribution &amp; R&amp;D, legacy pension; tariff refunds (FY27)</t>
        </is>
      </c>
      <c r="BC74" s="15" t="inlineStr">
        <is>
          <t>AST_M (AST segment operating margin)</t>
        </is>
      </c>
      <c r="BD74" s="41" t="n">
        <v>0.01</v>
      </c>
      <c r="BE74" s="21" t="inlineStr">
        <is>
          <t>Δ →</t>
        </is>
      </c>
      <c r="BF74" s="41" t="n">
        <v>-0.02</v>
      </c>
      <c r="BG74" s="13" t="inlineStr">
        <is>
          <t>FY26 46.1%; high fixed-cost network — operating leverage on volume.</t>
        </is>
      </c>
    </row>
    <row r="75" ht="15" customHeight="1" s="251">
      <c r="B75" s="25" t="inlineStr">
        <is>
          <t xml:space="preserve">  Corporate operating loss (adjusted)</t>
        </is>
      </c>
      <c r="C75" s="253" t="n">
        <v>-8.654999999999999</v>
      </c>
      <c r="D75" s="253" t="n">
        <v>-7.932</v>
      </c>
      <c r="E75" s="253" t="n">
        <v>-8.141999999999999</v>
      </c>
      <c r="F75" s="253" t="n">
        <v>-9.541</v>
      </c>
      <c r="G75" s="253" t="n">
        <v>-11.488</v>
      </c>
      <c r="H75" s="253" t="n">
        <v>-14.433</v>
      </c>
      <c r="I75" s="253" t="n">
        <v>-17.439</v>
      </c>
      <c r="J75" s="253" t="n">
        <v>-184.9</v>
      </c>
      <c r="K75" s="253" t="n">
        <v>-207.015</v>
      </c>
      <c r="L75" s="253" t="n">
        <v>-219.153</v>
      </c>
      <c r="M75" s="253" t="n">
        <v>-75.06</v>
      </c>
      <c r="N75" s="253" t="n">
        <v>-71.55200000000001</v>
      </c>
      <c r="O75" s="253" t="n">
        <v>-55.849</v>
      </c>
      <c r="P75" s="253" t="n">
        <v>-57.598</v>
      </c>
      <c r="Q75" s="253" t="n">
        <v>-260.059</v>
      </c>
      <c r="R75" s="253" t="n">
        <v>-75.77</v>
      </c>
      <c r="S75" s="253" t="n">
        <v>-67.452</v>
      </c>
      <c r="T75" s="253" t="n">
        <v>-53.145</v>
      </c>
      <c r="U75" s="253" t="n">
        <v>-68.607</v>
      </c>
      <c r="V75" s="253" t="n">
        <v>-264.974</v>
      </c>
      <c r="W75" s="253" t="n">
        <v>-91.873</v>
      </c>
      <c r="X75" s="253" t="n">
        <v>-87.02</v>
      </c>
      <c r="Y75" s="253" t="n">
        <v>-81.559</v>
      </c>
      <c r="Z75" s="253" t="n">
        <v>-88.044</v>
      </c>
      <c r="AA75" s="253" t="n">
        <v>-348.497</v>
      </c>
      <c r="AB75" s="253" t="n">
        <v>-101.748</v>
      </c>
      <c r="AC75" s="253" t="n">
        <v>-97.129</v>
      </c>
      <c r="AD75" s="253" t="n">
        <v>-100.843</v>
      </c>
      <c r="AE75" s="253" t="n">
        <v>-99.31399999999999</v>
      </c>
      <c r="AF75" s="253" t="n">
        <v>-399.033</v>
      </c>
      <c r="AG75" s="253" t="n">
        <v>-114</v>
      </c>
      <c r="AH75" s="253" t="n">
        <v>-109.9</v>
      </c>
      <c r="AI75" s="253" t="n">
        <v>-106</v>
      </c>
      <c r="AJ75" s="253" t="n">
        <v>-100</v>
      </c>
      <c r="AK75" s="253" t="n">
        <v>-430.1</v>
      </c>
      <c r="AL75" s="253" t="n">
        <v>-110.1</v>
      </c>
      <c r="AM75" s="254">
        <f>AH75*(1+AM76)</f>
        <v/>
      </c>
      <c r="AN75" s="254">
        <f>AI75*(1+AN76)</f>
        <v/>
      </c>
      <c r="AO75" s="254">
        <f>AJ75*(1+AO76)</f>
        <v/>
      </c>
      <c r="AP75" s="254">
        <f>SUM(AL75,AM75,AN75,AO75)</f>
        <v/>
      </c>
      <c r="AQ75" s="254">
        <f>AQ159*AQ77</f>
        <v/>
      </c>
      <c r="AR75" s="254">
        <f>AR159*AR77</f>
        <v/>
      </c>
      <c r="AS75" s="254">
        <f>AS159*AS77</f>
        <v/>
      </c>
      <c r="AT75" s="254">
        <f>AT159*AT77</f>
        <v/>
      </c>
      <c r="AU75" s="19" t="inlineStr">
        <is>
          <t>FY2012–15: plug = adjusted operating income − adjusted segment operating income. Q2–Q4/27E: prior-year quarter × (1 + Q1/27 y/y). 2028E+: % of revenue.</t>
        </is>
      </c>
      <c r="BC75" s="25" t="inlineStr">
        <is>
          <t xml:space="preserve">  2028E</t>
        </is>
      </c>
      <c r="BD75" s="33">
        <f>BE75+$BD$74</f>
        <v/>
      </c>
      <c r="BE75" s="42" t="n">
        <v>0.453</v>
      </c>
      <c r="BF75" s="33">
        <f>BE75+$BF$74</f>
        <v/>
      </c>
    </row>
    <row r="76" ht="15" customHeight="1" s="251">
      <c r="B76" s="22" t="inlineStr">
        <is>
          <t xml:space="preserve">  Corporate cost y/y %</t>
        </is>
      </c>
      <c r="C76" s="23" t="n"/>
      <c r="D76" s="255">
        <f>IF(AND(ISNUMBER(D75),ISNUMBER(C75)),IFERROR(D75/C75-1,""),"")</f>
        <v/>
      </c>
      <c r="E76" s="255">
        <f>IF(AND(ISNUMBER(E75),ISNUMBER(D75)),IFERROR(E75/D75-1,""),"")</f>
        <v/>
      </c>
      <c r="F76" s="255">
        <f>IF(AND(ISNUMBER(F75),ISNUMBER(E75)),IFERROR(F75/E75-1,""),"")</f>
        <v/>
      </c>
      <c r="G76" s="255">
        <f>IF(AND(ISNUMBER(G75),ISNUMBER(F75)),IFERROR(G75/F75-1,""),"")</f>
        <v/>
      </c>
      <c r="H76" s="255">
        <f>IF(AND(ISNUMBER(H75),ISNUMBER(G75)),IFERROR(H75/G75-1,""),"")</f>
        <v/>
      </c>
      <c r="I76" s="255">
        <f>IF(AND(ISNUMBER(I75),ISNUMBER(H75)),IFERROR(I75/H75-1,""),"")</f>
        <v/>
      </c>
      <c r="J76" s="255">
        <f>IF(AND(ISNUMBER(J75),ISNUMBER(I75)),IFERROR(J75/I75-1,""),"")</f>
        <v/>
      </c>
      <c r="K76" s="255">
        <f>IF(AND(ISNUMBER(K75),ISNUMBER(J75)),IFERROR(K75/J75-1,""),"")</f>
        <v/>
      </c>
      <c r="L76" s="255">
        <f>IF(AND(ISNUMBER(L75),ISNUMBER(K75)),IFERROR(L75/K75-1,""),"")</f>
        <v/>
      </c>
      <c r="M76" s="23" t="n"/>
      <c r="N76" s="23" t="n"/>
      <c r="O76" s="23" t="n"/>
      <c r="P76" s="23" t="n"/>
      <c r="Q76" s="255">
        <f>IF(AND(ISNUMBER(Q75),ISNUMBER(L75)),IFERROR(Q75/L75-1,""),"")</f>
        <v/>
      </c>
      <c r="R76" s="255">
        <f>IF(AND(ISNUMBER(R75),ISNUMBER(M75)),IFERROR(R75/M75-1,""),"")</f>
        <v/>
      </c>
      <c r="S76" s="255">
        <f>IF(AND(ISNUMBER(S75),ISNUMBER(N75)),IFERROR(S75/N75-1,""),"")</f>
        <v/>
      </c>
      <c r="T76" s="255">
        <f>IF(AND(ISNUMBER(T75),ISNUMBER(O75)),IFERROR(T75/O75-1,""),"")</f>
        <v/>
      </c>
      <c r="U76" s="255">
        <f>IF(AND(ISNUMBER(U75),ISNUMBER(P75)),IFERROR(U75/P75-1,""),"")</f>
        <v/>
      </c>
      <c r="V76" s="255">
        <f>IF(AND(ISNUMBER(V75),ISNUMBER(Q75)),IFERROR(V75/Q75-1,""),"")</f>
        <v/>
      </c>
      <c r="W76" s="255">
        <f>IF(AND(ISNUMBER(W75),ISNUMBER(R75)),IFERROR(W75/R75-1,""),"")</f>
        <v/>
      </c>
      <c r="X76" s="255">
        <f>IF(AND(ISNUMBER(X75),ISNUMBER(S75)),IFERROR(X75/S75-1,""),"")</f>
        <v/>
      </c>
      <c r="Y76" s="255">
        <f>IF(AND(ISNUMBER(Y75),ISNUMBER(T75)),IFERROR(Y75/T75-1,""),"")</f>
        <v/>
      </c>
      <c r="Z76" s="255">
        <f>IF(AND(ISNUMBER(Z75),ISNUMBER(U75)),IFERROR(Z75/U75-1,""),"")</f>
        <v/>
      </c>
      <c r="AA76" s="255">
        <f>IF(AND(ISNUMBER(AA75),ISNUMBER(V75)),IFERROR(AA75/V75-1,""),"")</f>
        <v/>
      </c>
      <c r="AB76" s="255">
        <f>IF(AND(ISNUMBER(AB75),ISNUMBER(W75)),IFERROR(AB75/W75-1,""),"")</f>
        <v/>
      </c>
      <c r="AC76" s="255">
        <f>IF(AND(ISNUMBER(AC75),ISNUMBER(X75)),IFERROR(AC75/X75-1,""),"")</f>
        <v/>
      </c>
      <c r="AD76" s="255">
        <f>IF(AND(ISNUMBER(AD75),ISNUMBER(Y75)),IFERROR(AD75/Y75-1,""),"")</f>
        <v/>
      </c>
      <c r="AE76" s="255">
        <f>IF(AND(ISNUMBER(AE75),ISNUMBER(Z75)),IFERROR(AE75/Z75-1,""),"")</f>
        <v/>
      </c>
      <c r="AF76" s="255">
        <f>IF(AND(ISNUMBER(AF75),ISNUMBER(AA75)),IFERROR(AF75/AA75-1,""),"")</f>
        <v/>
      </c>
      <c r="AG76" s="255">
        <f>IF(AND(ISNUMBER(AG75),ISNUMBER(AB75)),IFERROR(AG75/AB75-1,""),"")</f>
        <v/>
      </c>
      <c r="AH76" s="255">
        <f>IF(AND(ISNUMBER(AH75),ISNUMBER(AC75)),IFERROR(AH75/AC75-1,""),"")</f>
        <v/>
      </c>
      <c r="AI76" s="255">
        <f>IF(AND(ISNUMBER(AI75),ISNUMBER(AD75)),IFERROR(AI75/AD75-1,""),"")</f>
        <v/>
      </c>
      <c r="AJ76" s="255">
        <f>IF(AND(ISNUMBER(AJ75),ISNUMBER(AE75)),IFERROR(AJ75/AE75-1,""),"")</f>
        <v/>
      </c>
      <c r="AK76" s="255">
        <f>IF(AND(ISNUMBER(AK75),ISNUMBER(AF75)),IFERROR(AK75/AF75-1,""),"")</f>
        <v/>
      </c>
      <c r="AL76" s="255">
        <f>IF(AND(ISNUMBER(AL75),ISNUMBER(AG75)),IFERROR(AL75/AG75-1,""),"")</f>
        <v/>
      </c>
      <c r="AM76" s="256">
        <f>IFERROR(AL75/AG75-1,0)</f>
        <v/>
      </c>
      <c r="AN76" s="256">
        <f>IFERROR(AL75/AG75-1,0)</f>
        <v/>
      </c>
      <c r="AO76" s="256">
        <f>IFERROR(AL75/AG75-1,0)</f>
        <v/>
      </c>
      <c r="AP76" s="256">
        <f>IF(AND(ISNUMBER(AP75),ISNUMBER(AK75)),IFERROR(AP75/AK75-1,""),"")</f>
        <v/>
      </c>
      <c r="AQ76" s="256">
        <f>IF(AND(ISNUMBER(AQ75),ISNUMBER(AP75)),IFERROR(AQ75/AP75-1,""),"")</f>
        <v/>
      </c>
      <c r="AR76" s="256">
        <f>IF(AND(ISNUMBER(AR75),ISNUMBER(AQ75)),IFERROR(AR75/AQ75-1,""),"")</f>
        <v/>
      </c>
      <c r="AS76" s="256">
        <f>IF(AND(ISNUMBER(AS75),ISNUMBER(AR75)),IFERROR(AS75/AR75-1,""),"")</f>
        <v/>
      </c>
      <c r="AT76" s="256">
        <f>IF(AND(ISNUMBER(AT75),ISNUMBER(AS75)),IFERROR(AT75/AS75-1,""),"")</f>
        <v/>
      </c>
      <c r="AU76" s="153" t="n"/>
      <c r="BC76" s="25" t="inlineStr">
        <is>
          <t xml:space="preserve">  2029E</t>
        </is>
      </c>
      <c r="BD76" s="33">
        <f>BE76+$BD$74</f>
        <v/>
      </c>
      <c r="BE76" s="42" t="n">
        <v>0.456</v>
      </c>
      <c r="BF76" s="33">
        <f>BE76+$BF$74</f>
        <v/>
      </c>
    </row>
    <row r="77" ht="15" customHeight="1" s="251">
      <c r="B77" s="25" t="inlineStr">
        <is>
          <t xml:space="preserve">  Corporate cost % of revenue</t>
        </is>
      </c>
      <c r="C77" s="215">
        <f>IF(AND(ISNUMBER(C75),ISNUMBER(C159)),IFERROR(C75/C159,""),"")</f>
        <v/>
      </c>
      <c r="D77" s="215">
        <f>IF(AND(ISNUMBER(D75),ISNUMBER(D159)),IFERROR(D75/D159,""),"")</f>
        <v/>
      </c>
      <c r="E77" s="215">
        <f>IF(AND(ISNUMBER(E75),ISNUMBER(E159)),IFERROR(E75/E159,""),"")</f>
        <v/>
      </c>
      <c r="F77" s="215">
        <f>IF(AND(ISNUMBER(F75),ISNUMBER(F159)),IFERROR(F75/F159,""),"")</f>
        <v/>
      </c>
      <c r="G77" s="215">
        <f>IF(AND(ISNUMBER(G75),ISNUMBER(G159)),IFERROR(G75/G159,""),"")</f>
        <v/>
      </c>
      <c r="H77" s="215">
        <f>IF(AND(ISNUMBER(H75),ISNUMBER(H159)),IFERROR(H75/H159,""),"")</f>
        <v/>
      </c>
      <c r="I77" s="215">
        <f>IF(AND(ISNUMBER(I75),ISNUMBER(I159)),IFERROR(I75/I159,""),"")</f>
        <v/>
      </c>
      <c r="J77" s="215">
        <f>IF(AND(ISNUMBER(J75),ISNUMBER(J159)),IFERROR(J75/J159,""),"")</f>
        <v/>
      </c>
      <c r="K77" s="215">
        <f>IF(AND(ISNUMBER(K75),ISNUMBER(K159)),IFERROR(K75/K159,""),"")</f>
        <v/>
      </c>
      <c r="L77" s="215">
        <f>IF(AND(ISNUMBER(L75),ISNUMBER(L159)),IFERROR(L75/L159,""),"")</f>
        <v/>
      </c>
      <c r="M77" s="215">
        <f>IF(AND(ISNUMBER(M75),ISNUMBER(M159)),IFERROR(M75/M159,""),"")</f>
        <v/>
      </c>
      <c r="N77" s="215">
        <f>IF(AND(ISNUMBER(N75),ISNUMBER(N159)),IFERROR(N75/N159,""),"")</f>
        <v/>
      </c>
      <c r="O77" s="215">
        <f>IF(AND(ISNUMBER(O75),ISNUMBER(O159)),IFERROR(O75/O159,""),"")</f>
        <v/>
      </c>
      <c r="P77" s="215">
        <f>IF(AND(ISNUMBER(P75),ISNUMBER(P159)),IFERROR(P75/P159,""),"")</f>
        <v/>
      </c>
      <c r="Q77" s="215">
        <f>IF(AND(ISNUMBER(Q75),ISNUMBER(Q159)),IFERROR(Q75/Q159,""),"")</f>
        <v/>
      </c>
      <c r="R77" s="215">
        <f>IF(AND(ISNUMBER(R75),ISNUMBER(R159)),IFERROR(R75/R159,""),"")</f>
        <v/>
      </c>
      <c r="S77" s="215">
        <f>IF(AND(ISNUMBER(S75),ISNUMBER(S159)),IFERROR(S75/S159,""),"")</f>
        <v/>
      </c>
      <c r="T77" s="215">
        <f>IF(AND(ISNUMBER(T75),ISNUMBER(T159)),IFERROR(T75/T159,""),"")</f>
        <v/>
      </c>
      <c r="U77" s="215">
        <f>IF(AND(ISNUMBER(U75),ISNUMBER(U159)),IFERROR(U75/U159,""),"")</f>
        <v/>
      </c>
      <c r="V77" s="215">
        <f>IF(AND(ISNUMBER(V75),ISNUMBER(V159)),IFERROR(V75/V159,""),"")</f>
        <v/>
      </c>
      <c r="W77" s="215">
        <f>IF(AND(ISNUMBER(W75),ISNUMBER(W159)),IFERROR(W75/W159,""),"")</f>
        <v/>
      </c>
      <c r="X77" s="215">
        <f>IF(AND(ISNUMBER(X75),ISNUMBER(X159)),IFERROR(X75/X159,""),"")</f>
        <v/>
      </c>
      <c r="Y77" s="215">
        <f>IF(AND(ISNUMBER(Y75),ISNUMBER(Y159)),IFERROR(Y75/Y159,""),"")</f>
        <v/>
      </c>
      <c r="Z77" s="215">
        <f>IF(AND(ISNUMBER(Z75),ISNUMBER(Z159)),IFERROR(Z75/Z159,""),"")</f>
        <v/>
      </c>
      <c r="AA77" s="215">
        <f>IF(AND(ISNUMBER(AA75),ISNUMBER(AA159)),IFERROR(AA75/AA159,""),"")</f>
        <v/>
      </c>
      <c r="AB77" s="215">
        <f>IF(AND(ISNUMBER(AB75),ISNUMBER(AB159)),IFERROR(AB75/AB159,""),"")</f>
        <v/>
      </c>
      <c r="AC77" s="215">
        <f>IF(AND(ISNUMBER(AC75),ISNUMBER(AC159)),IFERROR(AC75/AC159,""),"")</f>
        <v/>
      </c>
      <c r="AD77" s="215">
        <f>IF(AND(ISNUMBER(AD75),ISNUMBER(AD159)),IFERROR(AD75/AD159,""),"")</f>
        <v/>
      </c>
      <c r="AE77" s="215">
        <f>IF(AND(ISNUMBER(AE75),ISNUMBER(AE159)),IFERROR(AE75/AE159,""),"")</f>
        <v/>
      </c>
      <c r="AF77" s="215">
        <f>IF(AND(ISNUMBER(AF75),ISNUMBER(AF159)),IFERROR(AF75/AF159,""),"")</f>
        <v/>
      </c>
      <c r="AG77" s="215">
        <f>IF(AND(ISNUMBER(AG75),ISNUMBER(AG159)),IFERROR(AG75/AG159,""),"")</f>
        <v/>
      </c>
      <c r="AH77" s="215">
        <f>IF(AND(ISNUMBER(AH75),ISNUMBER(AH159)),IFERROR(AH75/AH159,""),"")</f>
        <v/>
      </c>
      <c r="AI77" s="215">
        <f>IF(AND(ISNUMBER(AI75),ISNUMBER(AI159)),IFERROR(AI75/AI159,""),"")</f>
        <v/>
      </c>
      <c r="AJ77" s="215">
        <f>IF(AND(ISNUMBER(AJ75),ISNUMBER(AJ159)),IFERROR(AJ75/AJ159,""),"")</f>
        <v/>
      </c>
      <c r="AK77" s="215">
        <f>IF(AND(ISNUMBER(AK75),ISNUMBER(AK159)),IFERROR(AK75/AK159,""),"")</f>
        <v/>
      </c>
      <c r="AL77" s="215">
        <f>IF(AND(ISNUMBER(AL75),ISNUMBER(AL159)),IFERROR(AL75/AL159,""),"")</f>
        <v/>
      </c>
      <c r="AM77" s="256">
        <f>IF(AND(ISNUMBER(AM75),ISNUMBER(AM159)),IFERROR(AM75/AM159,""),"")</f>
        <v/>
      </c>
      <c r="AN77" s="256">
        <f>IF(AND(ISNUMBER(AN75),ISNUMBER(AN159)),IFERROR(AN75/AN159,""),"")</f>
        <v/>
      </c>
      <c r="AO77" s="256">
        <f>IF(AND(ISNUMBER(AO75),ISNUMBER(AO159)),IFERROR(AO75/AO159,""),"")</f>
        <v/>
      </c>
      <c r="AP77" s="256">
        <f>IF(AND(ISNUMBER(AP75),ISNUMBER(AP159)),IFERROR(AP75/AP159,""),"")</f>
        <v/>
      </c>
      <c r="AQ77" s="265" t="n">
        <v>-0.07099999999999999</v>
      </c>
      <c r="AR77" s="265" t="n">
        <v>-0.07099999999999999</v>
      </c>
      <c r="AS77" s="265" t="n">
        <v>-0.07099999999999999</v>
      </c>
      <c r="AT77" s="265" t="n">
        <v>-0.07099999999999999</v>
      </c>
      <c r="AU77" s="153" t="n"/>
      <c r="AW77" s="37">
        <f>IFERROR(AVERAGE(AP77,AQ77,AR77,AS77,AT77),"n/m")</f>
        <v/>
      </c>
      <c r="AX77" s="37">
        <f>IFERROR(AVERAGE(Q77,V77,AA77,AF77,AK77),"n/m")</f>
        <v/>
      </c>
      <c r="AY77" s="37">
        <f>IFERROR(AVERAGE(H77,I77,J77,K77,L77,Q77,V77,AA77,AF77,AK77),"n/m")</f>
        <v/>
      </c>
      <c r="AZ77" s="37">
        <f>IFERROR(AVERAGE(C77,D77,E77,F77,G77,H77,I77,J77,K77,L77,Q77,V77,AA77,AF77,AK77),"n/m")</f>
        <v/>
      </c>
      <c r="BC77" s="25" t="inlineStr">
        <is>
          <t xml:space="preserve">  2030E</t>
        </is>
      </c>
      <c r="BD77" s="33">
        <f>BE77+$BD$74</f>
        <v/>
      </c>
      <c r="BE77" s="42" t="n">
        <v>0.459</v>
      </c>
      <c r="BF77" s="33">
        <f>BE77+$BF$74</f>
        <v/>
      </c>
    </row>
    <row r="78" ht="15" customHeight="1" s="251">
      <c r="BC78" s="25" t="inlineStr">
        <is>
          <t xml:space="preserve">  2031E</t>
        </is>
      </c>
      <c r="BD78" s="33">
        <f>BE78+$BD$74</f>
        <v/>
      </c>
      <c r="BE78" s="42" t="n">
        <v>0.462</v>
      </c>
      <c r="BF78" s="33">
        <f>BE78+$BF$74</f>
        <v/>
      </c>
    </row>
    <row r="79" ht="15" customHeight="1" s="251">
      <c r="B79" s="14" t="inlineStr">
        <is>
          <t>Revenue by type (all segments; recurring = consumables + service)</t>
        </is>
      </c>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5" t="inlineStr">
        <is>
          <t>MIX — outputs</t>
        </is>
      </c>
      <c r="BC79" s="15" t="inlineStr">
        <is>
          <t>LS_M (Life Sciences segment operating margin)</t>
        </is>
      </c>
      <c r="BD79" s="41" t="n">
        <v>0.01</v>
      </c>
      <c r="BE79" s="21" t="inlineStr">
        <is>
          <t>Δ →</t>
        </is>
      </c>
      <c r="BF79" s="41" t="n">
        <v>-0.02</v>
      </c>
      <c r="BG79" s="13" t="inlineStr">
        <is>
          <t>FY26 42.6%; FY27E calibrated ~40.8%.</t>
        </is>
      </c>
    </row>
    <row r="80" collapsed="1" ht="15" customHeight="1" s="251">
      <c r="B80" s="25" t="inlineStr">
        <is>
          <t xml:space="preserve">  Capital equipment revenue</t>
        </is>
      </c>
      <c r="C80" s="263">
        <f>IF(ISNUMBER(C11),C11+C35+C49,"")</f>
        <v/>
      </c>
      <c r="D80" s="263">
        <f>IF(ISNUMBER(D11),D11+D35+D49,"")</f>
        <v/>
      </c>
      <c r="E80" s="263">
        <f>IF(ISNUMBER(E11),E11+E35+E49,"")</f>
        <v/>
      </c>
      <c r="F80" s="263">
        <f>IF(ISNUMBER(F11),F11+F35+F49,"")</f>
        <v/>
      </c>
      <c r="G80" s="263">
        <f>IF(ISNUMBER(G11),G11+G35+G49,"")</f>
        <v/>
      </c>
      <c r="H80" s="263">
        <f>IF(ISNUMBER(H11),H11+H35+H49,"")</f>
        <v/>
      </c>
      <c r="I80" s="263">
        <f>IF(ISNUMBER(I11),I11+I35+I49,"")</f>
        <v/>
      </c>
      <c r="J80" s="263">
        <f>IF(ISNUMBER(J11),J11+J35+J49,"")</f>
        <v/>
      </c>
      <c r="K80" s="263">
        <f>IF(ISNUMBER(K11),K11+K35+K49,"")</f>
        <v/>
      </c>
      <c r="L80" s="263">
        <f>IF(ISNUMBER(L11),L11+L35+L49,"")</f>
        <v/>
      </c>
      <c r="M80" s="263">
        <f>IF(ISNUMBER(M11),M11+M35+M49,"")</f>
        <v/>
      </c>
      <c r="N80" s="263">
        <f>IF(ISNUMBER(N11),N11+N35+N49,"")</f>
        <v/>
      </c>
      <c r="O80" s="263">
        <f>IF(ISNUMBER(O11),O11+O35+O49,"")</f>
        <v/>
      </c>
      <c r="P80" s="263">
        <f>IF(ISNUMBER(P11),P11+P35+P49,"")</f>
        <v/>
      </c>
      <c r="Q80" s="263">
        <f>IF(ISNUMBER(Q11),Q11+Q35+Q49,"")</f>
        <v/>
      </c>
      <c r="R80" s="263">
        <f>IF(ISNUMBER(R11),R11+R35+R49,"")</f>
        <v/>
      </c>
      <c r="S80" s="263">
        <f>IF(ISNUMBER(S11),S11+S35+S49,"")</f>
        <v/>
      </c>
      <c r="T80" s="263">
        <f>IF(ISNUMBER(T11),T11+T35+T49,"")</f>
        <v/>
      </c>
      <c r="U80" s="263">
        <f>IF(ISNUMBER(U11),U11+U35+U49,"")</f>
        <v/>
      </c>
      <c r="V80" s="263">
        <f>IF(ISNUMBER(V11),V11+V35+V49,"")</f>
        <v/>
      </c>
      <c r="W80" s="263">
        <f>IF(ISNUMBER(W11),W11+W35+W49,"")</f>
        <v/>
      </c>
      <c r="X80" s="263">
        <f>IF(ISNUMBER(X11),X11+X35+X49,"")</f>
        <v/>
      </c>
      <c r="Y80" s="263">
        <f>IF(ISNUMBER(Y11),Y11+Y35+Y49,"")</f>
        <v/>
      </c>
      <c r="Z80" s="263">
        <f>IF(ISNUMBER(Z11),Z11+Z35+Z49,"")</f>
        <v/>
      </c>
      <c r="AA80" s="263">
        <f>IF(ISNUMBER(AA11),AA11+AA35+AA49,"")</f>
        <v/>
      </c>
      <c r="AB80" s="263">
        <f>IF(ISNUMBER(AB11),AB11+AB35+AB49,"")</f>
        <v/>
      </c>
      <c r="AC80" s="263">
        <f>IF(ISNUMBER(AC11),AC11+AC35+AC49,"")</f>
        <v/>
      </c>
      <c r="AD80" s="263">
        <f>IF(ISNUMBER(AD11),AD11+AD35+AD49,"")</f>
        <v/>
      </c>
      <c r="AE80" s="263">
        <f>IF(ISNUMBER(AE11),AE11+AE35+AE49,"")</f>
        <v/>
      </c>
      <c r="AF80" s="263">
        <f>IF(ISNUMBER(AF11),AF11+AF35+AF49,"")</f>
        <v/>
      </c>
      <c r="AG80" s="263">
        <f>IF(ISNUMBER(AG11),AG11+AG35+AG49,"")</f>
        <v/>
      </c>
      <c r="AH80" s="263">
        <f>IF(ISNUMBER(AH11),AH11+AH35+AH49,"")</f>
        <v/>
      </c>
      <c r="AI80" s="263">
        <f>IF(ISNUMBER(AI11),AI11+AI35+AI49,"")</f>
        <v/>
      </c>
      <c r="AJ80" s="263">
        <f>IF(ISNUMBER(AJ11),AJ11+AJ35+AJ49,"")</f>
        <v/>
      </c>
      <c r="AK80" s="263">
        <f>IF(ISNUMBER(AK11),AK11+AK35+AK49,"")</f>
        <v/>
      </c>
      <c r="AL80" s="263">
        <f>IF(ISNUMBER(AL11),AL11+AL35+AL49,"")</f>
        <v/>
      </c>
      <c r="AM80" s="254">
        <f>IF(ISNUMBER(AM11),AM11+AM35+AM49,"")</f>
        <v/>
      </c>
      <c r="AN80" s="254">
        <f>IF(ISNUMBER(AN11),AN11+AN35+AN49,"")</f>
        <v/>
      </c>
      <c r="AO80" s="254">
        <f>IF(ISNUMBER(AO11),AO11+AO35+AO49,"")</f>
        <v/>
      </c>
      <c r="AP80" s="254">
        <f>IF(ISNUMBER(AP11),AP11+AP35+AP49,"")</f>
        <v/>
      </c>
      <c r="AQ80" s="254">
        <f>IF(ISNUMBER(AQ11),AQ11+AQ35+AQ49,"")</f>
        <v/>
      </c>
      <c r="AR80" s="254">
        <f>IF(ISNUMBER(AR11),AR11+AR35+AR49,"")</f>
        <v/>
      </c>
      <c r="AS80" s="254">
        <f>IF(ISNUMBER(AS11),AS11+AS35+AS49,"")</f>
        <v/>
      </c>
      <c r="AT80" s="254">
        <f>IF(ISNUMBER(AT11),AT11+AT35+AT49,"")</f>
        <v/>
      </c>
      <c r="AU80" s="19" t="n"/>
      <c r="AW80" s="20">
        <f>IFERROR((AT80/AK80)^(1/5)-1,"n/m")</f>
        <v/>
      </c>
      <c r="AX80" s="20">
        <f>IFERROR((AK80/L80)^(1/5)-1,"n/m")</f>
        <v/>
      </c>
      <c r="AY80" s="20">
        <f>IFERROR((AK80/G80)^(1/10)-1,"n/m")</f>
        <v/>
      </c>
      <c r="AZ80" s="20">
        <f>IFERROR((AK80/C80)^(1/14)-1,"n/m")</f>
        <v/>
      </c>
      <c r="BC80" s="25" t="inlineStr">
        <is>
          <t xml:space="preserve">  2028E</t>
        </is>
      </c>
      <c r="BD80" s="33">
        <f>BE80+$BD$79</f>
        <v/>
      </c>
      <c r="BE80" s="42" t="n">
        <v>0.413</v>
      </c>
      <c r="BF80" s="33">
        <f>BE80+$BF$79</f>
        <v/>
      </c>
    </row>
    <row r="81" ht="15" customHeight="1" s="251">
      <c r="B81" s="25" t="inlineStr">
        <is>
          <t xml:space="preserve">  Consumables revenue</t>
        </is>
      </c>
      <c r="C81" s="263">
        <f>IF(ISNUMBER(C14),C14+C52,"")</f>
        <v/>
      </c>
      <c r="D81" s="263">
        <f>IF(ISNUMBER(D14),D14+D52,"")</f>
        <v/>
      </c>
      <c r="E81" s="263">
        <f>IF(ISNUMBER(E14),E14+E52,"")</f>
        <v/>
      </c>
      <c r="F81" s="263">
        <f>IF(ISNUMBER(F14),F14+F52,"")</f>
        <v/>
      </c>
      <c r="G81" s="263">
        <f>IF(ISNUMBER(G14),G14+G52,"")</f>
        <v/>
      </c>
      <c r="H81" s="263">
        <f>IF(ISNUMBER(H14),H14+H52,"")</f>
        <v/>
      </c>
      <c r="I81" s="263">
        <f>IF(ISNUMBER(I14),I14+I52,"")</f>
        <v/>
      </c>
      <c r="J81" s="263">
        <f>IF(ISNUMBER(J14),J14+J52,"")</f>
        <v/>
      </c>
      <c r="K81" s="263">
        <f>IF(ISNUMBER(K14),K14+K52,"")</f>
        <v/>
      </c>
      <c r="L81" s="263">
        <f>IF(ISNUMBER(L14),L14+L52,"")</f>
        <v/>
      </c>
      <c r="M81" s="263">
        <f>IF(ISNUMBER(M14),M14+M52,"")</f>
        <v/>
      </c>
      <c r="N81" s="263">
        <f>IF(ISNUMBER(N14),N14+N52,"")</f>
        <v/>
      </c>
      <c r="O81" s="263">
        <f>IF(ISNUMBER(O14),O14+O52,"")</f>
        <v/>
      </c>
      <c r="P81" s="263">
        <f>IF(ISNUMBER(P14),P14+P52,"")</f>
        <v/>
      </c>
      <c r="Q81" s="263">
        <f>IF(ISNUMBER(Q14),Q14+Q52,"")</f>
        <v/>
      </c>
      <c r="R81" s="263">
        <f>IF(ISNUMBER(R14),R14+R52,"")</f>
        <v/>
      </c>
      <c r="S81" s="263">
        <f>IF(ISNUMBER(S14),S14+S52,"")</f>
        <v/>
      </c>
      <c r="T81" s="263">
        <f>IF(ISNUMBER(T14),T14+T52,"")</f>
        <v/>
      </c>
      <c r="U81" s="263">
        <f>IF(ISNUMBER(U14),U14+U52,"")</f>
        <v/>
      </c>
      <c r="V81" s="263">
        <f>IF(ISNUMBER(V14),V14+V52,"")</f>
        <v/>
      </c>
      <c r="W81" s="263">
        <f>IF(ISNUMBER(W14),W14+W52,"")</f>
        <v/>
      </c>
      <c r="X81" s="263">
        <f>IF(ISNUMBER(X14),X14+X52,"")</f>
        <v/>
      </c>
      <c r="Y81" s="263">
        <f>IF(ISNUMBER(Y14),Y14+Y52,"")</f>
        <v/>
      </c>
      <c r="Z81" s="263">
        <f>IF(ISNUMBER(Z14),Z14+Z52,"")</f>
        <v/>
      </c>
      <c r="AA81" s="263">
        <f>IF(ISNUMBER(AA14),AA14+AA52,"")</f>
        <v/>
      </c>
      <c r="AB81" s="263">
        <f>IF(ISNUMBER(AB14),AB14+AB52,"")</f>
        <v/>
      </c>
      <c r="AC81" s="263">
        <f>IF(ISNUMBER(AC14),AC14+AC52,"")</f>
        <v/>
      </c>
      <c r="AD81" s="263">
        <f>IF(ISNUMBER(AD14),AD14+AD52,"")</f>
        <v/>
      </c>
      <c r="AE81" s="263">
        <f>IF(ISNUMBER(AE14),AE14+AE52,"")</f>
        <v/>
      </c>
      <c r="AF81" s="263">
        <f>IF(ISNUMBER(AF14),AF14+AF52,"")</f>
        <v/>
      </c>
      <c r="AG81" s="263">
        <f>IF(ISNUMBER(AG14),AG14+AG52,"")</f>
        <v/>
      </c>
      <c r="AH81" s="263">
        <f>IF(ISNUMBER(AH14),AH14+AH52,"")</f>
        <v/>
      </c>
      <c r="AI81" s="263">
        <f>IF(ISNUMBER(AI14),AI14+AI52,"")</f>
        <v/>
      </c>
      <c r="AJ81" s="263">
        <f>IF(ISNUMBER(AJ14),AJ14+AJ52,"")</f>
        <v/>
      </c>
      <c r="AK81" s="263">
        <f>IF(ISNUMBER(AK14),AK14+AK52,"")</f>
        <v/>
      </c>
      <c r="AL81" s="263">
        <f>IF(ISNUMBER(AL14),AL14+AL52,"")</f>
        <v/>
      </c>
      <c r="AM81" s="254">
        <f>IF(ISNUMBER(AM14),AM14+AM52,"")</f>
        <v/>
      </c>
      <c r="AN81" s="254">
        <f>IF(ISNUMBER(AN14),AN14+AN52,"")</f>
        <v/>
      </c>
      <c r="AO81" s="254">
        <f>IF(ISNUMBER(AO14),AO14+AO52,"")</f>
        <v/>
      </c>
      <c r="AP81" s="254">
        <f>IF(ISNUMBER(AP14),AP14+AP52,"")</f>
        <v/>
      </c>
      <c r="AQ81" s="254">
        <f>IF(ISNUMBER(AQ14),AQ14+AQ52,"")</f>
        <v/>
      </c>
      <c r="AR81" s="254">
        <f>IF(ISNUMBER(AR14),AR14+AR52,"")</f>
        <v/>
      </c>
      <c r="AS81" s="254">
        <f>IF(ISNUMBER(AS14),AS14+AS52,"")</f>
        <v/>
      </c>
      <c r="AT81" s="254">
        <f>IF(ISNUMBER(AT14),AT14+AT52,"")</f>
        <v/>
      </c>
      <c r="AU81" s="19" t="n"/>
      <c r="AW81" s="20">
        <f>IFERROR((AT81/AK81)^(1/5)-1,"n/m")</f>
        <v/>
      </c>
      <c r="AX81" s="20">
        <f>IFERROR((AK81/L81)^(1/5)-1,"n/m")</f>
        <v/>
      </c>
      <c r="AY81" s="20">
        <f>IFERROR((AK81/G81)^(1/10)-1,"n/m")</f>
        <v/>
      </c>
      <c r="AZ81" s="20">
        <f>IFERROR((AK81/C81)^(1/14)-1,"n/m")</f>
        <v/>
      </c>
      <c r="BC81" s="25" t="inlineStr">
        <is>
          <t xml:space="preserve">  2029E</t>
        </is>
      </c>
      <c r="BD81" s="33">
        <f>BE81+$BD$79</f>
        <v/>
      </c>
      <c r="BE81" s="42" t="n">
        <v>0.416</v>
      </c>
      <c r="BF81" s="33">
        <f>BE81+$BF$79</f>
        <v/>
      </c>
    </row>
    <row r="82" ht="15" customHeight="1" s="251">
      <c r="B82" s="25" t="inlineStr">
        <is>
          <t xml:space="preserve">  Service revenue</t>
        </is>
      </c>
      <c r="C82" s="263">
        <f>IF(ISNUMBER(C17),C17+C32+C55,"")</f>
        <v/>
      </c>
      <c r="D82" s="263">
        <f>IF(ISNUMBER(D17),D17+D32+D55,"")</f>
        <v/>
      </c>
      <c r="E82" s="263">
        <f>IF(ISNUMBER(E17),E17+E32+E55,"")</f>
        <v/>
      </c>
      <c r="F82" s="263">
        <f>IF(ISNUMBER(F17),F17+F32+F55,"")</f>
        <v/>
      </c>
      <c r="G82" s="263">
        <f>IF(ISNUMBER(G17),G17+G32+G55,"")</f>
        <v/>
      </c>
      <c r="H82" s="263">
        <f>IF(ISNUMBER(H17),H17+H32+H55,"")</f>
        <v/>
      </c>
      <c r="I82" s="263">
        <f>IF(ISNUMBER(I17),I17+I32+I55,"")</f>
        <v/>
      </c>
      <c r="J82" s="263">
        <f>IF(ISNUMBER(J17),J17+J32+J55,"")</f>
        <v/>
      </c>
      <c r="K82" s="263">
        <f>IF(ISNUMBER(K17),K17+K32+K55,"")</f>
        <v/>
      </c>
      <c r="L82" s="263">
        <f>IF(ISNUMBER(L17),L17+L32+L55,"")</f>
        <v/>
      </c>
      <c r="M82" s="263">
        <f>IF(ISNUMBER(M17),M17+M32+M55,"")</f>
        <v/>
      </c>
      <c r="N82" s="263">
        <f>IF(ISNUMBER(N17),N17+N32+N55,"")</f>
        <v/>
      </c>
      <c r="O82" s="263">
        <f>IF(ISNUMBER(O17),O17+O32+O55,"")</f>
        <v/>
      </c>
      <c r="P82" s="263">
        <f>IF(ISNUMBER(P17),P17+P32+P55,"")</f>
        <v/>
      </c>
      <c r="Q82" s="263">
        <f>IF(ISNUMBER(Q17),Q17+Q32+Q55,"")</f>
        <v/>
      </c>
      <c r="R82" s="263">
        <f>IF(ISNUMBER(R17),R17+R32+R55,"")</f>
        <v/>
      </c>
      <c r="S82" s="263">
        <f>IF(ISNUMBER(S17),S17+S32+S55,"")</f>
        <v/>
      </c>
      <c r="T82" s="263">
        <f>IF(ISNUMBER(T17),T17+T32+T55,"")</f>
        <v/>
      </c>
      <c r="U82" s="263">
        <f>IF(ISNUMBER(U17),U17+U32+U55,"")</f>
        <v/>
      </c>
      <c r="V82" s="263">
        <f>IF(ISNUMBER(V17),V17+V32+V55,"")</f>
        <v/>
      </c>
      <c r="W82" s="263">
        <f>IF(ISNUMBER(W17),W17+W32+W55,"")</f>
        <v/>
      </c>
      <c r="X82" s="263">
        <f>IF(ISNUMBER(X17),X17+X32+X55,"")</f>
        <v/>
      </c>
      <c r="Y82" s="263">
        <f>IF(ISNUMBER(Y17),Y17+Y32+Y55,"")</f>
        <v/>
      </c>
      <c r="Z82" s="263">
        <f>IF(ISNUMBER(Z17),Z17+Z32+Z55,"")</f>
        <v/>
      </c>
      <c r="AA82" s="263">
        <f>IF(ISNUMBER(AA17),AA17+AA32+AA55,"")</f>
        <v/>
      </c>
      <c r="AB82" s="263">
        <f>IF(ISNUMBER(AB17),AB17+AB32+AB55,"")</f>
        <v/>
      </c>
      <c r="AC82" s="263">
        <f>IF(ISNUMBER(AC17),AC17+AC32+AC55,"")</f>
        <v/>
      </c>
      <c r="AD82" s="263">
        <f>IF(ISNUMBER(AD17),AD17+AD32+AD55,"")</f>
        <v/>
      </c>
      <c r="AE82" s="263">
        <f>IF(ISNUMBER(AE17),AE17+AE32+AE55,"")</f>
        <v/>
      </c>
      <c r="AF82" s="263">
        <f>IF(ISNUMBER(AF17),AF17+AF32+AF55,"")</f>
        <v/>
      </c>
      <c r="AG82" s="263">
        <f>IF(ISNUMBER(AG17),AG17+AG32+AG55,"")</f>
        <v/>
      </c>
      <c r="AH82" s="263">
        <f>IF(ISNUMBER(AH17),AH17+AH32+AH55,"")</f>
        <v/>
      </c>
      <c r="AI82" s="263">
        <f>IF(ISNUMBER(AI17),AI17+AI32+AI55,"")</f>
        <v/>
      </c>
      <c r="AJ82" s="263">
        <f>IF(ISNUMBER(AJ17),AJ17+AJ32+AJ55,"")</f>
        <v/>
      </c>
      <c r="AK82" s="263">
        <f>IF(ISNUMBER(AK17),AK17+AK32+AK55,"")</f>
        <v/>
      </c>
      <c r="AL82" s="263">
        <f>IF(ISNUMBER(AL17),AL17+AL32+AL55,"")</f>
        <v/>
      </c>
      <c r="AM82" s="254">
        <f>IF(ISNUMBER(AM17),AM17+AM32+AM55,"")</f>
        <v/>
      </c>
      <c r="AN82" s="254">
        <f>IF(ISNUMBER(AN17),AN17+AN32+AN55,"")</f>
        <v/>
      </c>
      <c r="AO82" s="254">
        <f>IF(ISNUMBER(AO17),AO17+AO32+AO55,"")</f>
        <v/>
      </c>
      <c r="AP82" s="254">
        <f>IF(ISNUMBER(AP17),AP17+AP32+AP55,"")</f>
        <v/>
      </c>
      <c r="AQ82" s="254">
        <f>IF(ISNUMBER(AQ17),AQ17+AQ32+AQ55,"")</f>
        <v/>
      </c>
      <c r="AR82" s="254">
        <f>IF(ISNUMBER(AR17),AR17+AR32+AR55,"")</f>
        <v/>
      </c>
      <c r="AS82" s="254">
        <f>IF(ISNUMBER(AS17),AS17+AS32+AS55,"")</f>
        <v/>
      </c>
      <c r="AT82" s="254">
        <f>IF(ISNUMBER(AT17),AT17+AT32+AT55,"")</f>
        <v/>
      </c>
      <c r="AU82" s="19" t="n"/>
      <c r="AW82" s="20">
        <f>IFERROR((AT82/AK82)^(1/5)-1,"n/m")</f>
        <v/>
      </c>
      <c r="AX82" s="20">
        <f>IFERROR((AK82/L82)^(1/5)-1,"n/m")</f>
        <v/>
      </c>
      <c r="AY82" s="20">
        <f>IFERROR((AK82/G82)^(1/10)-1,"n/m")</f>
        <v/>
      </c>
      <c r="AZ82" s="20">
        <f>IFERROR((AK82/C82)^(1/14)-1,"n/m")</f>
        <v/>
      </c>
      <c r="BC82" s="25" t="inlineStr">
        <is>
          <t xml:space="preserve">  2030E</t>
        </is>
      </c>
      <c r="BD82" s="33">
        <f>BE82+$BD$79</f>
        <v/>
      </c>
      <c r="BE82" s="42" t="n">
        <v>0.419</v>
      </c>
      <c r="BF82" s="33">
        <f>BE82+$BF$79</f>
        <v/>
      </c>
    </row>
    <row r="83" ht="15" customHeight="1" s="251">
      <c r="B83" s="25" t="inlineStr">
        <is>
          <t xml:space="preserve">  Recurring revenue % of total</t>
        </is>
      </c>
      <c r="C83" s="215">
        <f>IF(ISNUMBER(C81),IFERROR((C81+C82)/C117,""),"")</f>
        <v/>
      </c>
      <c r="D83" s="215">
        <f>IF(ISNUMBER(D81),IFERROR((D81+D82)/D117,""),"")</f>
        <v/>
      </c>
      <c r="E83" s="215">
        <f>IF(ISNUMBER(E81),IFERROR((E81+E82)/E117,""),"")</f>
        <v/>
      </c>
      <c r="F83" s="215">
        <f>IF(ISNUMBER(F81),IFERROR((F81+F82)/F117,""),"")</f>
        <v/>
      </c>
      <c r="G83" s="215">
        <f>IF(ISNUMBER(G81),IFERROR((G81+G82)/G117,""),"")</f>
        <v/>
      </c>
      <c r="H83" s="215">
        <f>IF(ISNUMBER(H81),IFERROR((H81+H82)/H117,""),"")</f>
        <v/>
      </c>
      <c r="I83" s="215">
        <f>IF(ISNUMBER(I81),IFERROR((I81+I82)/I117,""),"")</f>
        <v/>
      </c>
      <c r="J83" s="215">
        <f>IF(ISNUMBER(J81),IFERROR((J81+J82)/J117,""),"")</f>
        <v/>
      </c>
      <c r="K83" s="215">
        <f>IF(ISNUMBER(K81),IFERROR((K81+K82)/K117,""),"")</f>
        <v/>
      </c>
      <c r="L83" s="215">
        <f>IF(ISNUMBER(L81),IFERROR((L81+L82)/L117,""),"")</f>
        <v/>
      </c>
      <c r="M83" s="215">
        <f>IF(ISNUMBER(M81),IFERROR((M81+M82)/M117,""),"")</f>
        <v/>
      </c>
      <c r="N83" s="215">
        <f>IF(ISNUMBER(N81),IFERROR((N81+N82)/N117,""),"")</f>
        <v/>
      </c>
      <c r="O83" s="215">
        <f>IF(ISNUMBER(O81),IFERROR((O81+O82)/O117,""),"")</f>
        <v/>
      </c>
      <c r="P83" s="215">
        <f>IF(ISNUMBER(P81),IFERROR((P81+P82)/P117,""),"")</f>
        <v/>
      </c>
      <c r="Q83" s="215">
        <f>IF(ISNUMBER(Q81),IFERROR((Q81+Q82)/Q117,""),"")</f>
        <v/>
      </c>
      <c r="R83" s="215">
        <f>IF(ISNUMBER(R81),IFERROR((R81+R82)/R117,""),"")</f>
        <v/>
      </c>
      <c r="S83" s="215">
        <f>IF(ISNUMBER(S81),IFERROR((S81+S82)/S117,""),"")</f>
        <v/>
      </c>
      <c r="T83" s="215">
        <f>IF(ISNUMBER(T81),IFERROR((T81+T82)/T117,""),"")</f>
        <v/>
      </c>
      <c r="U83" s="215">
        <f>IF(ISNUMBER(U81),IFERROR((U81+U82)/U117,""),"")</f>
        <v/>
      </c>
      <c r="V83" s="215">
        <f>IF(ISNUMBER(V81),IFERROR((V81+V82)/V117,""),"")</f>
        <v/>
      </c>
      <c r="W83" s="215">
        <f>IF(ISNUMBER(W81),IFERROR((W81+W82)/W117,""),"")</f>
        <v/>
      </c>
      <c r="X83" s="215">
        <f>IF(ISNUMBER(X81),IFERROR((X81+X82)/X117,""),"")</f>
        <v/>
      </c>
      <c r="Y83" s="215">
        <f>IF(ISNUMBER(Y81),IFERROR((Y81+Y82)/Y117,""),"")</f>
        <v/>
      </c>
      <c r="Z83" s="215">
        <f>IF(ISNUMBER(Z81),IFERROR((Z81+Z82)/Z117,""),"")</f>
        <v/>
      </c>
      <c r="AA83" s="215">
        <f>IF(ISNUMBER(AA81),IFERROR((AA81+AA82)/AA117,""),"")</f>
        <v/>
      </c>
      <c r="AB83" s="215">
        <f>IF(ISNUMBER(AB81),IFERROR((AB81+AB82)/AB117,""),"")</f>
        <v/>
      </c>
      <c r="AC83" s="215">
        <f>IF(ISNUMBER(AC81),IFERROR((AC81+AC82)/AC117,""),"")</f>
        <v/>
      </c>
      <c r="AD83" s="215">
        <f>IF(ISNUMBER(AD81),IFERROR((AD81+AD82)/AD117,""),"")</f>
        <v/>
      </c>
      <c r="AE83" s="215">
        <f>IF(ISNUMBER(AE81),IFERROR((AE81+AE82)/AE117,""),"")</f>
        <v/>
      </c>
      <c r="AF83" s="215">
        <f>IF(ISNUMBER(AF81),IFERROR((AF81+AF82)/AF117,""),"")</f>
        <v/>
      </c>
      <c r="AG83" s="215">
        <f>IF(ISNUMBER(AG81),IFERROR((AG81+AG82)/AG117,""),"")</f>
        <v/>
      </c>
      <c r="AH83" s="215">
        <f>IF(ISNUMBER(AH81),IFERROR((AH81+AH82)/AH117,""),"")</f>
        <v/>
      </c>
      <c r="AI83" s="215">
        <f>IF(ISNUMBER(AI81),IFERROR((AI81+AI82)/AI117,""),"")</f>
        <v/>
      </c>
      <c r="AJ83" s="215">
        <f>IF(ISNUMBER(AJ81),IFERROR((AJ81+AJ82)/AJ117,""),"")</f>
        <v/>
      </c>
      <c r="AK83" s="215">
        <f>IF(ISNUMBER(AK81),IFERROR((AK81+AK82)/AK117,""),"")</f>
        <v/>
      </c>
      <c r="AL83" s="215">
        <f>IF(ISNUMBER(AL81),IFERROR((AL81+AL82)/AL117,""),"")</f>
        <v/>
      </c>
      <c r="AM83" s="256">
        <f>IF(ISNUMBER(AM81),IFERROR((AM81+AM82)/AM117,""),"")</f>
        <v/>
      </c>
      <c r="AN83" s="256">
        <f>IF(ISNUMBER(AN81),IFERROR((AN81+AN82)/AN117,""),"")</f>
        <v/>
      </c>
      <c r="AO83" s="256">
        <f>IF(ISNUMBER(AO81),IFERROR((AO81+AO82)/AO117,""),"")</f>
        <v/>
      </c>
      <c r="AP83" s="256">
        <f>IF(ISNUMBER(AP81),IFERROR((AP81+AP82)/AP117,""),"")</f>
        <v/>
      </c>
      <c r="AQ83" s="256">
        <f>IF(ISNUMBER(AQ81),IFERROR((AQ81+AQ82)/AQ117,""),"")</f>
        <v/>
      </c>
      <c r="AR83" s="256">
        <f>IF(ISNUMBER(AR81),IFERROR((AR81+AR82)/AR117,""),"")</f>
        <v/>
      </c>
      <c r="AS83" s="256">
        <f>IF(ISNUMBER(AS81),IFERROR((AS81+AS82)/AS117,""),"")</f>
        <v/>
      </c>
      <c r="AT83" s="256">
        <f>IF(ISNUMBER(AT81),IFERROR((AT81+AT82)/AT117,""),"")</f>
        <v/>
      </c>
      <c r="AU83" s="153" t="n"/>
      <c r="AW83" s="37">
        <f>IFERROR(AVERAGE(AP83,AQ83,AR83,AS83,AT83),"n/m")</f>
        <v/>
      </c>
      <c r="AX83" s="37">
        <f>IFERROR(AVERAGE(Q83,V83,AA83,AF83,AK83),"n/m")</f>
        <v/>
      </c>
      <c r="AY83" s="37">
        <f>IFERROR(AVERAGE(H83,I83,J83,K83,L83,Q83,V83,AA83,AF83,AK83),"n/m")</f>
        <v/>
      </c>
      <c r="AZ83" s="37">
        <f>IFERROR(AVERAGE(C83,D83,E83,F83,G83,H83,I83,J83,K83,L83,Q83,V83,AA83,AF83,AK83),"n/m")</f>
        <v/>
      </c>
      <c r="BC83" s="25" t="inlineStr">
        <is>
          <t xml:space="preserve">  2031E</t>
        </is>
      </c>
      <c r="BD83" s="33">
        <f>BE83+$BD$79</f>
        <v/>
      </c>
      <c r="BE83" s="42" t="n">
        <v>0.422</v>
      </c>
      <c r="BF83" s="33">
        <f>BE83+$BF$79</f>
        <v/>
      </c>
    </row>
    <row r="84" ht="15" customHeight="1" s="251">
      <c r="B84" s="22" t="inlineStr">
        <is>
          <t xml:space="preserve">  Capital equipment y/y %</t>
        </is>
      </c>
      <c r="C84" s="23" t="n"/>
      <c r="D84" s="255">
        <f>IF(AND(ISNUMBER(D80),ISNUMBER(C80)),IFERROR(D80/C80-1,""),"")</f>
        <v/>
      </c>
      <c r="E84" s="255">
        <f>IF(AND(ISNUMBER(E80),ISNUMBER(D80)),IFERROR(E80/D80-1,""),"")</f>
        <v/>
      </c>
      <c r="F84" s="255">
        <f>IF(AND(ISNUMBER(F80),ISNUMBER(E80)),IFERROR(F80/E80-1,""),"")</f>
        <v/>
      </c>
      <c r="G84" s="255">
        <f>IF(AND(ISNUMBER(G80),ISNUMBER(F80)),IFERROR(G80/F80-1,""),"")</f>
        <v/>
      </c>
      <c r="H84" s="255">
        <f>IF(AND(ISNUMBER(H80),ISNUMBER(G80)),IFERROR(H80/G80-1,""),"")</f>
        <v/>
      </c>
      <c r="I84" s="255">
        <f>IF(AND(ISNUMBER(I80),ISNUMBER(H80)),IFERROR(I80/H80-1,""),"")</f>
        <v/>
      </c>
      <c r="J84" s="255">
        <f>IF(AND(ISNUMBER(J80),ISNUMBER(I80)),IFERROR(J80/I80-1,""),"")</f>
        <v/>
      </c>
      <c r="K84" s="255">
        <f>IF(AND(ISNUMBER(K80),ISNUMBER(J80)),IFERROR(K80/J80-1,""),"")</f>
        <v/>
      </c>
      <c r="L84" s="255">
        <f>IF(AND(ISNUMBER(L80),ISNUMBER(K80)),IFERROR(L80/K80-1,""),"")</f>
        <v/>
      </c>
      <c r="M84" s="23" t="n"/>
      <c r="N84" s="23" t="n"/>
      <c r="O84" s="23" t="n"/>
      <c r="P84" s="23" t="n"/>
      <c r="Q84" s="255">
        <f>IF(AND(ISNUMBER(Q80),ISNUMBER(L80)),IFERROR(Q80/L80-1,""),"")</f>
        <v/>
      </c>
      <c r="R84" s="255">
        <f>IF(AND(ISNUMBER(R80),ISNUMBER(M80)),IFERROR(R80/M80-1,""),"")</f>
        <v/>
      </c>
      <c r="S84" s="255">
        <f>IF(AND(ISNUMBER(S80),ISNUMBER(N80)),IFERROR(S80/N80-1,""),"")</f>
        <v/>
      </c>
      <c r="T84" s="255">
        <f>IF(AND(ISNUMBER(T80),ISNUMBER(O80)),IFERROR(T80/O80-1,""),"")</f>
        <v/>
      </c>
      <c r="U84" s="255">
        <f>IF(AND(ISNUMBER(U80),ISNUMBER(P80)),IFERROR(U80/P80-1,""),"")</f>
        <v/>
      </c>
      <c r="V84" s="255">
        <f>IF(AND(ISNUMBER(V80),ISNUMBER(Q80)),IFERROR(V80/Q80-1,""),"")</f>
        <v/>
      </c>
      <c r="W84" s="255">
        <f>IF(AND(ISNUMBER(W80),ISNUMBER(R80)),IFERROR(W80/R80-1,""),"")</f>
        <v/>
      </c>
      <c r="X84" s="255">
        <f>IF(AND(ISNUMBER(X80),ISNUMBER(S80)),IFERROR(X80/S80-1,""),"")</f>
        <v/>
      </c>
      <c r="Y84" s="255">
        <f>IF(AND(ISNUMBER(Y80),ISNUMBER(T80)),IFERROR(Y80/T80-1,""),"")</f>
        <v/>
      </c>
      <c r="Z84" s="255">
        <f>IF(AND(ISNUMBER(Z80),ISNUMBER(U80)),IFERROR(Z80/U80-1,""),"")</f>
        <v/>
      </c>
      <c r="AA84" s="255">
        <f>IF(AND(ISNUMBER(AA80),ISNUMBER(V80)),IFERROR(AA80/V80-1,""),"")</f>
        <v/>
      </c>
      <c r="AB84" s="255">
        <f>IF(AND(ISNUMBER(AB80),ISNUMBER(W80)),IFERROR(AB80/W80-1,""),"")</f>
        <v/>
      </c>
      <c r="AC84" s="255">
        <f>IF(AND(ISNUMBER(AC80),ISNUMBER(X80)),IFERROR(AC80/X80-1,""),"")</f>
        <v/>
      </c>
      <c r="AD84" s="255">
        <f>IF(AND(ISNUMBER(AD80),ISNUMBER(Y80)),IFERROR(AD80/Y80-1,""),"")</f>
        <v/>
      </c>
      <c r="AE84" s="255">
        <f>IF(AND(ISNUMBER(AE80),ISNUMBER(Z80)),IFERROR(AE80/Z80-1,""),"")</f>
        <v/>
      </c>
      <c r="AF84" s="255">
        <f>IF(AND(ISNUMBER(AF80),ISNUMBER(AA80)),IFERROR(AF80/AA80-1,""),"")</f>
        <v/>
      </c>
      <c r="AG84" s="255">
        <f>IF(AND(ISNUMBER(AG80),ISNUMBER(AB80)),IFERROR(AG80/AB80-1,""),"")</f>
        <v/>
      </c>
      <c r="AH84" s="255">
        <f>IF(AND(ISNUMBER(AH80),ISNUMBER(AC80)),IFERROR(AH80/AC80-1,""),"")</f>
        <v/>
      </c>
      <c r="AI84" s="255">
        <f>IF(AND(ISNUMBER(AI80),ISNUMBER(AD80)),IFERROR(AI80/AD80-1,""),"")</f>
        <v/>
      </c>
      <c r="AJ84" s="255">
        <f>IF(AND(ISNUMBER(AJ80),ISNUMBER(AE80)),IFERROR(AJ80/AE80-1,""),"")</f>
        <v/>
      </c>
      <c r="AK84" s="255">
        <f>IF(AND(ISNUMBER(AK80),ISNUMBER(AF80)),IFERROR(AK80/AF80-1,""),"")</f>
        <v/>
      </c>
      <c r="AL84" s="255">
        <f>IF(AND(ISNUMBER(AL80),ISNUMBER(AG80)),IFERROR(AL80/AG80-1,""),"")</f>
        <v/>
      </c>
      <c r="AM84" s="256">
        <f>IF(AND(ISNUMBER(AM80),ISNUMBER(AH80)),IFERROR(AM80/AH80-1,""),"")</f>
        <v/>
      </c>
      <c r="AN84" s="256">
        <f>IF(AND(ISNUMBER(AN80),ISNUMBER(AI80)),IFERROR(AN80/AI80-1,""),"")</f>
        <v/>
      </c>
      <c r="AO84" s="256">
        <f>IF(AND(ISNUMBER(AO80),ISNUMBER(AJ80)),IFERROR(AO80/AJ80-1,""),"")</f>
        <v/>
      </c>
      <c r="AP84" s="256">
        <f>IF(AND(ISNUMBER(AP80),ISNUMBER(AK80)),IFERROR(AP80/AK80-1,""),"")</f>
        <v/>
      </c>
      <c r="AQ84" s="256">
        <f>IF(AND(ISNUMBER(AQ80),ISNUMBER(AP80)),IFERROR(AQ80/AP80-1,""),"")</f>
        <v/>
      </c>
      <c r="AR84" s="256">
        <f>IF(AND(ISNUMBER(AR80),ISNUMBER(AQ80)),IFERROR(AR80/AQ80-1,""),"")</f>
        <v/>
      </c>
      <c r="AS84" s="256">
        <f>IF(AND(ISNUMBER(AS80),ISNUMBER(AR80)),IFERROR(AS80/AR80-1,""),"")</f>
        <v/>
      </c>
      <c r="AT84" s="256">
        <f>IF(AND(ISNUMBER(AT80),ISNUMBER(AS80)),IFERROR(AT80/AS80-1,""),"")</f>
        <v/>
      </c>
      <c r="AU84" s="153" t="n"/>
      <c r="BC84" s="15" t="inlineStr">
        <is>
          <t>M&amp;A_spend (tuck-in acquisitions, $m)</t>
        </is>
      </c>
      <c r="BD84" s="50" t="n">
        <v>150</v>
      </c>
      <c r="BE84" s="21" t="inlineStr">
        <is>
          <t>Δ →</t>
        </is>
      </c>
      <c r="BF84" s="50" t="n">
        <v>-150</v>
      </c>
      <c r="BG84" s="13" t="inlineStr">
        <is>
          <t>STERIS spent $16–55m p.a. on tuck-ins (FY25–Q1/27) besides BD instruments ($540m, FY24) and Cantel ($4.6bn incl. debt, FY22). Base $150m p.a.</t>
        </is>
      </c>
    </row>
    <row r="85" ht="15" customHeight="1" s="251">
      <c r="B85" s="22" t="inlineStr">
        <is>
          <t xml:space="preserve">  Recurring revenue y/y %</t>
        </is>
      </c>
      <c r="C85" s="23" t="n"/>
      <c r="D85" s="255">
        <f>IFERROR((D81+D82)/(C81+C82)-1,"")</f>
        <v/>
      </c>
      <c r="E85" s="255">
        <f>IFERROR((E81+E82)/(D81+D82)-1,"")</f>
        <v/>
      </c>
      <c r="F85" s="255">
        <f>IFERROR((F81+F82)/(E81+E82)-1,"")</f>
        <v/>
      </c>
      <c r="G85" s="255">
        <f>IFERROR((G81+G82)/(F81+F82)-1,"")</f>
        <v/>
      </c>
      <c r="H85" s="255">
        <f>IFERROR((H81+H82)/(G81+G82)-1,"")</f>
        <v/>
      </c>
      <c r="I85" s="255">
        <f>IFERROR((I81+I82)/(H81+H82)-1,"")</f>
        <v/>
      </c>
      <c r="J85" s="255">
        <f>IFERROR((J81+J82)/(I81+I82)-1,"")</f>
        <v/>
      </c>
      <c r="K85" s="255">
        <f>IFERROR((K81+K82)/(J81+J82)-1,"")</f>
        <v/>
      </c>
      <c r="L85" s="255">
        <f>IFERROR((L81+L82)/(K81+K82)-1,"")</f>
        <v/>
      </c>
      <c r="M85" s="23" t="n"/>
      <c r="N85" s="23" t="n"/>
      <c r="O85" s="23" t="n"/>
      <c r="P85" s="23" t="n"/>
      <c r="Q85" s="255">
        <f>IFERROR((Q81+Q82)/(L81+L82)-1,"")</f>
        <v/>
      </c>
      <c r="R85" s="255">
        <f>IFERROR((R81+R82)/(M81+M82)-1,"")</f>
        <v/>
      </c>
      <c r="S85" s="255">
        <f>IFERROR((S81+S82)/(N81+N82)-1,"")</f>
        <v/>
      </c>
      <c r="T85" s="255">
        <f>IFERROR((T81+T82)/(O81+O82)-1,"")</f>
        <v/>
      </c>
      <c r="U85" s="255">
        <f>IFERROR((U81+U82)/(P81+P82)-1,"")</f>
        <v/>
      </c>
      <c r="V85" s="255">
        <f>IFERROR((V81+V82)/(Q81+Q82)-1,"")</f>
        <v/>
      </c>
      <c r="W85" s="255">
        <f>IFERROR((W81+W82)/(R81+R82)-1,"")</f>
        <v/>
      </c>
      <c r="X85" s="255">
        <f>IFERROR((X81+X82)/(S81+S82)-1,"")</f>
        <v/>
      </c>
      <c r="Y85" s="255">
        <f>IFERROR((Y81+Y82)/(T81+T82)-1,"")</f>
        <v/>
      </c>
      <c r="Z85" s="255">
        <f>IFERROR((Z81+Z82)/(U81+U82)-1,"")</f>
        <v/>
      </c>
      <c r="AA85" s="255">
        <f>IFERROR((AA81+AA82)/(V81+V82)-1,"")</f>
        <v/>
      </c>
      <c r="AB85" s="255">
        <f>IFERROR((AB81+AB82)/(W81+W82)-1,"")</f>
        <v/>
      </c>
      <c r="AC85" s="255">
        <f>IFERROR((AC81+AC82)/(X81+X82)-1,"")</f>
        <v/>
      </c>
      <c r="AD85" s="255">
        <f>IFERROR((AD81+AD82)/(Y81+Y82)-1,"")</f>
        <v/>
      </c>
      <c r="AE85" s="255">
        <f>IFERROR((AE81+AE82)/(Z81+Z82)-1,"")</f>
        <v/>
      </c>
      <c r="AF85" s="255">
        <f>IFERROR((AF81+AF82)/(AA81+AA82)-1,"")</f>
        <v/>
      </c>
      <c r="AG85" s="255">
        <f>IFERROR((AG81+AG82)/(AB81+AB82)-1,"")</f>
        <v/>
      </c>
      <c r="AH85" s="255">
        <f>IFERROR((AH81+AH82)/(AC81+AC82)-1,"")</f>
        <v/>
      </c>
      <c r="AI85" s="255">
        <f>IFERROR((AI81+AI82)/(AD81+AD82)-1,"")</f>
        <v/>
      </c>
      <c r="AJ85" s="255">
        <f>IFERROR((AJ81+AJ82)/(AE81+AE82)-1,"")</f>
        <v/>
      </c>
      <c r="AK85" s="255">
        <f>IFERROR((AK81+AK82)/(AF81+AF82)-1,"")</f>
        <v/>
      </c>
      <c r="AL85" s="255">
        <f>IFERROR((AL81+AL82)/(AG81+AG82)-1,"")</f>
        <v/>
      </c>
      <c r="AM85" s="256">
        <f>IFERROR((AM81+AM82)/(AH81+AH82)-1,"")</f>
        <v/>
      </c>
      <c r="AN85" s="256">
        <f>IFERROR((AN81+AN82)/(AI81+AI82)-1,"")</f>
        <v/>
      </c>
      <c r="AO85" s="256">
        <f>IFERROR((AO81+AO82)/(AJ81+AJ82)-1,"")</f>
        <v/>
      </c>
      <c r="AP85" s="256">
        <f>IFERROR((AP81+AP82)/(AK81+AK82)-1,"")</f>
        <v/>
      </c>
      <c r="AQ85" s="256">
        <f>IFERROR((AQ81+AQ82)/(AP81+AP82)-1,"")</f>
        <v/>
      </c>
      <c r="AR85" s="256">
        <f>IFERROR((AR81+AR82)/(AQ81+AQ82)-1,"")</f>
        <v/>
      </c>
      <c r="AS85" s="256">
        <f>IFERROR((AS81+AS82)/(AR81+AR82)-1,"")</f>
        <v/>
      </c>
      <c r="AT85" s="256">
        <f>IFERROR((AT81+AT82)/(AS81+AS82)-1,"")</f>
        <v/>
      </c>
      <c r="AU85" s="153" t="n"/>
      <c r="BC85" s="25" t="inlineStr">
        <is>
          <t xml:space="preserve">  2028E</t>
        </is>
      </c>
      <c r="BD85" s="51">
        <f>MAX(0,BE85+$BD$84)</f>
        <v/>
      </c>
      <c r="BE85" s="26" t="n">
        <v>150</v>
      </c>
      <c r="BF85" s="51">
        <f>MAX(0,BE85+$BF$84)</f>
        <v/>
      </c>
    </row>
    <row r="86" ht="15" customHeight="1" s="251">
      <c r="BC86" s="25" t="inlineStr">
        <is>
          <t xml:space="preserve">  2029E</t>
        </is>
      </c>
      <c r="BD86" s="51">
        <f>MAX(0,BE86+$BD$84)</f>
        <v/>
      </c>
      <c r="BE86" s="26" t="n">
        <v>150</v>
      </c>
      <c r="BF86" s="51">
        <f>MAX(0,BE86+$BF$84)</f>
        <v/>
      </c>
    </row>
    <row r="87" ht="15" customHeight="1" s="251">
      <c r="B87" s="14" t="inlineStr">
        <is>
          <t>Revenue growth bridge — as reported → organic → constant-currency organic (company definitions; table published from FY2017)</t>
        </is>
      </c>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5" t="inlineStr">
        <is>
          <t>ORGANIC — acquisitions organic from the 13th month; divestitures removed from the prior-year base; FX at prior-year rates</t>
        </is>
      </c>
      <c r="BC87" s="25" t="inlineStr">
        <is>
          <t xml:space="preserve">  2030E</t>
        </is>
      </c>
      <c r="BD87" s="51">
        <f>MAX(0,BE87+$BD$84)</f>
        <v/>
      </c>
      <c r="BE87" s="26" t="n">
        <v>150</v>
      </c>
      <c r="BF87" s="51">
        <f>MAX(0,BE87+$BF$84)</f>
        <v/>
      </c>
    </row>
    <row r="88" collapsed="1" ht="15" customHeight="1" s="251">
      <c r="B88" s="25" t="inlineStr">
        <is>
          <t xml:space="preserve">  Revenue (as presented in the bridge; FY2023 – Q3 FY24 incl. Dental)</t>
        </is>
      </c>
      <c r="C88" s="34" t="n"/>
      <c r="D88" s="34" t="n"/>
      <c r="E88" s="34" t="n"/>
      <c r="F88" s="34" t="n"/>
      <c r="G88" s="34" t="n"/>
      <c r="H88" s="253" t="n">
        <v>2612.756</v>
      </c>
      <c r="I88" s="253" t="n">
        <v>2619.996</v>
      </c>
      <c r="J88" s="253" t="n">
        <v>2782.17</v>
      </c>
      <c r="K88" s="253" t="n">
        <v>3030.895</v>
      </c>
      <c r="L88" s="253" t="n">
        <v>3107.519</v>
      </c>
      <c r="M88" s="253" t="n">
        <v>968.422</v>
      </c>
      <c r="N88" s="253" t="n">
        <v>1196.985</v>
      </c>
      <c r="O88" s="253" t="n">
        <v>1208.971</v>
      </c>
      <c r="P88" s="253" t="n">
        <v>1210.686</v>
      </c>
      <c r="Q88" s="253" t="n">
        <v>4585.064</v>
      </c>
      <c r="R88" s="253" t="n">
        <v>1156.491</v>
      </c>
      <c r="S88" s="253" t="n">
        <v>1200.517</v>
      </c>
      <c r="T88" s="253" t="n">
        <v>1215.994</v>
      </c>
      <c r="U88" s="253" t="n">
        <v>1384.837</v>
      </c>
      <c r="V88" s="253" t="n">
        <v>4957.839</v>
      </c>
      <c r="W88" s="253" t="n">
        <v>1284.542</v>
      </c>
      <c r="X88" s="253" t="n">
        <v>1342.36</v>
      </c>
      <c r="Y88" s="253" t="n">
        <v>1395.645</v>
      </c>
      <c r="Z88" s="253" t="n">
        <v>1419.387</v>
      </c>
      <c r="AA88" s="253" t="n">
        <v>5138.701</v>
      </c>
      <c r="AB88" s="253" t="n">
        <v>1279.502</v>
      </c>
      <c r="AC88" s="253" t="n">
        <v>1328.912</v>
      </c>
      <c r="AD88" s="253" t="n">
        <v>1370.57</v>
      </c>
      <c r="AE88" s="253" t="n">
        <v>1480.531</v>
      </c>
      <c r="AF88" s="253" t="n">
        <v>5459.515</v>
      </c>
      <c r="AG88" s="253" t="n">
        <v>1391.1</v>
      </c>
      <c r="AH88" s="253" t="n">
        <v>1460.3</v>
      </c>
      <c r="AI88" s="253" t="n">
        <v>1496.2</v>
      </c>
      <c r="AJ88" s="253" t="n">
        <v>1588.4</v>
      </c>
      <c r="AK88" s="253" t="n">
        <v>5935.9</v>
      </c>
      <c r="AL88" s="253" t="n">
        <v>1492.7</v>
      </c>
      <c r="AM88" s="254">
        <f>AM159</f>
        <v/>
      </c>
      <c r="AN88" s="254">
        <f>AN159</f>
        <v/>
      </c>
      <c r="AO88" s="254">
        <f>AO159</f>
        <v/>
      </c>
      <c r="AP88" s="254">
        <f>SUM(AL88,AM88,AN88,AO88)</f>
        <v/>
      </c>
      <c r="AQ88" s="254">
        <f>AQ159</f>
        <v/>
      </c>
      <c r="AR88" s="254">
        <f>AR159</f>
        <v/>
      </c>
      <c r="AS88" s="254">
        <f>AS159</f>
        <v/>
      </c>
      <c r="AT88" s="254">
        <f>AT159</f>
        <v/>
      </c>
      <c r="AU88" s="19" t="n"/>
      <c r="BC88" s="25" t="inlineStr">
        <is>
          <t xml:space="preserve">  2031E</t>
        </is>
      </c>
      <c r="BD88" s="51">
        <f>MAX(0,BE88+$BD$84)</f>
        <v/>
      </c>
      <c r="BE88" s="26" t="n">
        <v>150</v>
      </c>
      <c r="BF88" s="51">
        <f>MAX(0,BE88+$BF$84)</f>
        <v/>
      </c>
    </row>
    <row r="89" ht="15" customHeight="1" s="251">
      <c r="B89" s="25" t="inlineStr">
        <is>
          <t xml:space="preserve">  Prior-year revenue (as presented in the bridge)</t>
        </is>
      </c>
      <c r="C89" s="34" t="n"/>
      <c r="D89" s="34" t="n"/>
      <c r="E89" s="34" t="n"/>
      <c r="F89" s="34" t="n"/>
      <c r="G89" s="34" t="n"/>
      <c r="H89" s="253" t="n">
        <v>2238.764</v>
      </c>
      <c r="I89" s="253" t="n">
        <v>2612.756</v>
      </c>
      <c r="J89" s="253" t="n">
        <v>2619.996</v>
      </c>
      <c r="K89" s="253" t="n">
        <v>2782.17</v>
      </c>
      <c r="L89" s="253" t="n">
        <v>3030.895</v>
      </c>
      <c r="M89" s="253" t="n">
        <v>668.932</v>
      </c>
      <c r="N89" s="253" t="n">
        <v>756.1319999999999</v>
      </c>
      <c r="O89" s="253" t="n">
        <v>808.924</v>
      </c>
      <c r="P89" s="253" t="n">
        <v>873.5309999999999</v>
      </c>
      <c r="Q89" s="253" t="n">
        <v>3107.519</v>
      </c>
      <c r="R89" s="253" t="n">
        <v>968.422</v>
      </c>
      <c r="S89" s="253" t="n">
        <v>1196.985</v>
      </c>
      <c r="T89" s="253" t="n">
        <v>1208.971</v>
      </c>
      <c r="U89" s="253" t="n">
        <v>1210.686</v>
      </c>
      <c r="V89" s="253" t="n">
        <v>4585.064</v>
      </c>
      <c r="W89" s="253" t="n">
        <v>1156.491</v>
      </c>
      <c r="X89" s="253" t="n">
        <v>1200.517</v>
      </c>
      <c r="Y89" s="253" t="n">
        <v>1215.994</v>
      </c>
      <c r="Z89" s="253" t="n">
        <v>1281.252</v>
      </c>
      <c r="AA89" s="253" t="n">
        <v>4536.266</v>
      </c>
      <c r="AB89" s="253" t="n">
        <v>1183.386</v>
      </c>
      <c r="AC89" s="253" t="n">
        <v>1238.204</v>
      </c>
      <c r="AD89" s="253" t="n">
        <v>1297.724</v>
      </c>
      <c r="AE89" s="253" t="n">
        <v>1419.387</v>
      </c>
      <c r="AF89" s="253" t="n">
        <v>5138.701</v>
      </c>
      <c r="AG89" s="253" t="n">
        <v>1279.5</v>
      </c>
      <c r="AH89" s="253" t="n">
        <v>1328.9</v>
      </c>
      <c r="AI89" s="253" t="n">
        <v>1370.6</v>
      </c>
      <c r="AJ89" s="253" t="n">
        <v>1480.5</v>
      </c>
      <c r="AK89" s="253" t="n">
        <v>5459.5</v>
      </c>
      <c r="AL89" s="253" t="n">
        <v>1391.1</v>
      </c>
      <c r="AM89" s="254">
        <f>AH159</f>
        <v/>
      </c>
      <c r="AN89" s="254">
        <f>AI159</f>
        <v/>
      </c>
      <c r="AO89" s="254">
        <f>AJ159</f>
        <v/>
      </c>
      <c r="AP89" s="254">
        <f>SUM(AL89,AM89,AN89,AO89)</f>
        <v/>
      </c>
      <c r="AQ89" s="254">
        <f>AP159</f>
        <v/>
      </c>
      <c r="AR89" s="254">
        <f>AQ159</f>
        <v/>
      </c>
      <c r="AS89" s="254">
        <f>AR159</f>
        <v/>
      </c>
      <c r="AT89" s="254">
        <f>AS159</f>
        <v/>
      </c>
      <c r="AU89" s="19" t="n"/>
    </row>
    <row r="90" ht="15" customHeight="1" s="251">
      <c r="B90" s="25" t="inlineStr">
        <is>
          <t xml:space="preserve">  Impact of acquisitions ($m)</t>
        </is>
      </c>
      <c r="C90" s="34" t="n"/>
      <c r="D90" s="34" t="n"/>
      <c r="E90" s="34" t="n"/>
      <c r="F90" s="34" t="n"/>
      <c r="G90" s="34" t="n"/>
      <c r="H90" s="253" t="n">
        <v>378.379</v>
      </c>
      <c r="I90" s="253" t="n">
        <v>7.432</v>
      </c>
      <c r="J90" s="253" t="n">
        <v>0</v>
      </c>
      <c r="K90" s="253" t="n">
        <v>0</v>
      </c>
      <c r="L90" s="253" t="n">
        <v>48.928</v>
      </c>
      <c r="M90" s="253" t="n">
        <v>141.341</v>
      </c>
      <c r="N90" s="253" t="n">
        <v>346.073</v>
      </c>
      <c r="O90" s="253" t="n">
        <v>332.746</v>
      </c>
      <c r="P90" s="253" t="n">
        <v>253.225</v>
      </c>
      <c r="Q90" s="253" t="n">
        <v>1073.099</v>
      </c>
      <c r="R90" s="253" t="n">
        <v>166.209</v>
      </c>
      <c r="S90" s="253" t="n">
        <v>0</v>
      </c>
      <c r="T90" s="253" t="n">
        <v>0</v>
      </c>
      <c r="U90" s="253" t="n">
        <v>0</v>
      </c>
      <c r="V90" s="253" t="n">
        <v>166.209</v>
      </c>
      <c r="W90" s="253" t="n">
        <v>0</v>
      </c>
      <c r="X90" s="253" t="n">
        <v>28.948</v>
      </c>
      <c r="Y90" s="253" t="n">
        <v>45.342</v>
      </c>
      <c r="Z90" s="253" t="n">
        <v>44.995</v>
      </c>
      <c r="AA90" s="253" t="n">
        <v>119.285</v>
      </c>
      <c r="AB90" s="253" t="n">
        <v>40.976</v>
      </c>
      <c r="AC90" s="253" t="n">
        <v>11.397</v>
      </c>
      <c r="AD90" s="253" t="n">
        <v>0</v>
      </c>
      <c r="AE90" s="253" t="n">
        <v>0</v>
      </c>
      <c r="AF90" s="253" t="n">
        <v>52.373</v>
      </c>
      <c r="AG90" s="253" t="n">
        <v>0</v>
      </c>
      <c r="AH90" s="253" t="n">
        <v>0</v>
      </c>
      <c r="AI90" s="253" t="n">
        <v>0</v>
      </c>
      <c r="AJ90" s="253" t="n">
        <v>2.4</v>
      </c>
      <c r="AK90" s="253" t="n">
        <v>2.4</v>
      </c>
      <c r="AL90" s="253" t="n">
        <v>6.9</v>
      </c>
      <c r="AM90" s="266" t="n">
        <v>7</v>
      </c>
      <c r="AN90" s="266" t="n">
        <v>7</v>
      </c>
      <c r="AO90" s="266" t="n">
        <v>7</v>
      </c>
      <c r="AP90" s="254">
        <f>SUM(AL90,AM90,AN90,AO90)</f>
        <v/>
      </c>
      <c r="AQ90" s="254">
        <f>AQ107</f>
        <v/>
      </c>
      <c r="AR90" s="254">
        <f>AR107</f>
        <v/>
      </c>
      <c r="AS90" s="254">
        <f>AS107</f>
        <v/>
      </c>
      <c r="AT90" s="254">
        <f>AT107</f>
        <v/>
      </c>
      <c r="AU90" s="19" t="inlineStr">
        <is>
          <t>Q2–Q4/27E input: Healthcare tuck-ins not in the prior-year quarter (Q1/27 impact of acquisitions $6.9m).</t>
        </is>
      </c>
    </row>
    <row r="91" ht="15" customHeight="1" s="251">
      <c r="B91" s="25" t="inlineStr">
        <is>
          <t xml:space="preserve">  Impact of divestitures (prior-year revenue removed, $m)</t>
        </is>
      </c>
      <c r="C91" s="34" t="n"/>
      <c r="D91" s="34" t="n"/>
      <c r="E91" s="34" t="n"/>
      <c r="F91" s="34" t="n"/>
      <c r="G91" s="34" t="n"/>
      <c r="H91" s="253" t="n">
        <v>-85.46599999999999</v>
      </c>
      <c r="I91" s="253" t="n">
        <v>-143.011</v>
      </c>
      <c r="J91" s="253" t="n">
        <v>-25.907</v>
      </c>
      <c r="K91" s="253" t="n">
        <v>-4.485</v>
      </c>
      <c r="L91" s="253" t="n">
        <v>0</v>
      </c>
      <c r="M91" s="253" t="n">
        <v>0</v>
      </c>
      <c r="N91" s="253" t="n">
        <v>0</v>
      </c>
      <c r="O91" s="253" t="n">
        <v>0</v>
      </c>
      <c r="P91" s="253" t="n">
        <v>0</v>
      </c>
      <c r="Q91" s="253" t="n">
        <v>0</v>
      </c>
      <c r="R91" s="253" t="n">
        <v>-14.753</v>
      </c>
      <c r="S91" s="253" t="n">
        <v>-45.047</v>
      </c>
      <c r="T91" s="253" t="n">
        <v>-47.334</v>
      </c>
      <c r="U91" s="253" t="n">
        <v>0</v>
      </c>
      <c r="V91" s="253" t="n">
        <v>-107.133</v>
      </c>
      <c r="W91" s="253" t="n">
        <v>0</v>
      </c>
      <c r="X91" s="253" t="n">
        <v>0</v>
      </c>
      <c r="Y91" s="253" t="n">
        <v>0</v>
      </c>
      <c r="Z91" s="253" t="n">
        <v>0</v>
      </c>
      <c r="AA91" s="253" t="n">
        <v>0</v>
      </c>
      <c r="AB91" s="253" t="n">
        <v>-7.881</v>
      </c>
      <c r="AC91" s="253" t="n">
        <v>-8.917999999999999</v>
      </c>
      <c r="AD91" s="253" t="n">
        <v>-7.84</v>
      </c>
      <c r="AE91" s="253" t="n">
        <v>-9.958</v>
      </c>
      <c r="AF91" s="253" t="n">
        <v>-34.598</v>
      </c>
      <c r="AG91" s="253" t="n">
        <v>0</v>
      </c>
      <c r="AH91" s="253" t="n">
        <v>0</v>
      </c>
      <c r="AI91" s="253" t="n">
        <v>0</v>
      </c>
      <c r="AJ91" s="253" t="n">
        <v>0</v>
      </c>
      <c r="AK91" s="253" t="n">
        <v>0</v>
      </c>
      <c r="AL91" s="253" t="n">
        <v>0</v>
      </c>
      <c r="AM91" s="254">
        <f>0</f>
        <v/>
      </c>
      <c r="AN91" s="254">
        <f>0</f>
        <v/>
      </c>
      <c r="AO91" s="254">
        <f>0</f>
        <v/>
      </c>
      <c r="AP91" s="254">
        <f>SUM(AL91,AM91,AN91,AO91)</f>
        <v/>
      </c>
      <c r="AQ91" s="254">
        <f>0</f>
        <v/>
      </c>
      <c r="AR91" s="254">
        <f>0</f>
        <v/>
      </c>
      <c r="AS91" s="254">
        <f>0</f>
        <v/>
      </c>
      <c r="AT91" s="254">
        <f>0</f>
        <v/>
      </c>
      <c r="AU91" s="19" t="n"/>
    </row>
    <row r="92" ht="15" customHeight="1" s="251">
      <c r="B92" s="25" t="inlineStr">
        <is>
          <t xml:space="preserve">  Impact of foreign currency ($m)</t>
        </is>
      </c>
      <c r="C92" s="34" t="n"/>
      <c r="D92" s="34" t="n"/>
      <c r="E92" s="34" t="n"/>
      <c r="F92" s="34" t="n"/>
      <c r="G92" s="34" t="n"/>
      <c r="H92" s="253" t="n">
        <v>-25.296</v>
      </c>
      <c r="I92" s="253" t="n">
        <v>20.077</v>
      </c>
      <c r="J92" s="253" t="n">
        <v>-9.718999999999999</v>
      </c>
      <c r="K92" s="253" t="n">
        <v>-20.362</v>
      </c>
      <c r="L92" s="253" t="n">
        <v>24.046</v>
      </c>
      <c r="M92" s="253" t="n">
        <v>18.103</v>
      </c>
      <c r="N92" s="253" t="n">
        <v>6.383</v>
      </c>
      <c r="O92" s="253" t="n">
        <v>-2.427</v>
      </c>
      <c r="P92" s="253" t="n">
        <v>-10.356</v>
      </c>
      <c r="Q92" s="253" t="n">
        <v>11.651</v>
      </c>
      <c r="R92" s="253" t="n">
        <v>-23.85</v>
      </c>
      <c r="S92" s="253" t="n">
        <v>-36.512</v>
      </c>
      <c r="T92" s="253" t="n">
        <v>-31.065</v>
      </c>
      <c r="U92" s="253" t="n">
        <v>-18.023</v>
      </c>
      <c r="V92" s="253" t="n">
        <v>-109.45</v>
      </c>
      <c r="W92" s="253" t="n">
        <v>-0.583</v>
      </c>
      <c r="X92" s="253" t="n">
        <v>13.506</v>
      </c>
      <c r="Y92" s="253" t="n">
        <v>12.396</v>
      </c>
      <c r="Z92" s="253" t="n">
        <v>4.062</v>
      </c>
      <c r="AA92" s="253" t="n">
        <v>27.654</v>
      </c>
      <c r="AB92" s="253" t="n">
        <v>-2.876</v>
      </c>
      <c r="AC92" s="253" t="n">
        <v>2.057</v>
      </c>
      <c r="AD92" s="253" t="n">
        <v>0.389</v>
      </c>
      <c r="AE92" s="253" t="n">
        <v>-11.652</v>
      </c>
      <c r="AF92" s="253" t="n">
        <v>-12.082</v>
      </c>
      <c r="AG92" s="253" t="n">
        <v>11.8</v>
      </c>
      <c r="AH92" s="253" t="n">
        <v>12.7</v>
      </c>
      <c r="AI92" s="253" t="n">
        <v>18.4</v>
      </c>
      <c r="AJ92" s="253" t="n">
        <v>31.5</v>
      </c>
      <c r="AK92" s="253" t="n">
        <v>74.40000000000001</v>
      </c>
      <c r="AL92" s="253" t="n">
        <v>8.4</v>
      </c>
      <c r="AM92" s="266" t="n">
        <v>7</v>
      </c>
      <c r="AN92" s="266" t="n">
        <v>7</v>
      </c>
      <c r="AO92" s="266" t="n">
        <v>6</v>
      </c>
      <c r="AP92" s="254">
        <f>SUM(AL92,AM92,AN92,AO92)</f>
        <v/>
      </c>
      <c r="AQ92" s="266" t="n">
        <v>0</v>
      </c>
      <c r="AR92" s="266" t="n">
        <v>0</v>
      </c>
      <c r="AS92" s="266" t="n">
        <v>0</v>
      </c>
      <c r="AT92" s="266" t="n">
        <v>0</v>
      </c>
      <c r="AU92" s="19" t="inlineStr">
        <is>
          <t>Q2–Q4/27E: slightly favourable currency (FY27 outlook: as-reported growth 7–8% vs constant-currency organic 6–7%, incl. tuck-ins).</t>
        </is>
      </c>
    </row>
    <row r="93" ht="15" customHeight="1" s="251">
      <c r="B93" s="22" t="inlineStr">
        <is>
          <t xml:space="preserve">  Revenue growth as reported %</t>
        </is>
      </c>
      <c r="C93" s="23" t="n"/>
      <c r="D93" s="23" t="n"/>
      <c r="E93" s="23" t="n"/>
      <c r="F93" s="23" t="n"/>
      <c r="G93" s="23" t="n"/>
      <c r="H93" s="267" t="n">
        <v>0.167</v>
      </c>
      <c r="I93" s="267" t="n">
        <v>0.003</v>
      </c>
      <c r="J93" s="267" t="n">
        <v>0.062</v>
      </c>
      <c r="K93" s="267" t="n">
        <v>0.089</v>
      </c>
      <c r="L93" s="267" t="n">
        <v>0.025</v>
      </c>
      <c r="M93" s="267" t="n">
        <v>0.448</v>
      </c>
      <c r="N93" s="267" t="n">
        <v>0.583</v>
      </c>
      <c r="O93" s="267" t="n">
        <v>0.495</v>
      </c>
      <c r="P93" s="267" t="n">
        <v>0.386</v>
      </c>
      <c r="Q93" s="267" t="n">
        <v>0.475</v>
      </c>
      <c r="R93" s="267" t="n">
        <v>0.194</v>
      </c>
      <c r="S93" s="267" t="n">
        <v>0.003</v>
      </c>
      <c r="T93" s="267" t="n">
        <v>0.006</v>
      </c>
      <c r="U93" s="267" t="n">
        <v>0.144</v>
      </c>
      <c r="V93" s="267" t="n">
        <v>0.081</v>
      </c>
      <c r="W93" s="267" t="n">
        <v>0.111</v>
      </c>
      <c r="X93" s="267" t="n">
        <v>0.118</v>
      </c>
      <c r="Y93" s="267" t="n">
        <v>0.148</v>
      </c>
      <c r="Z93" s="267" t="n">
        <v>0.108</v>
      </c>
      <c r="AA93" s="267" t="n">
        <v>0.133</v>
      </c>
      <c r="AB93" s="267" t="n">
        <v>0.081</v>
      </c>
      <c r="AC93" s="267" t="n">
        <v>0.073</v>
      </c>
      <c r="AD93" s="267" t="n">
        <v>0.056</v>
      </c>
      <c r="AE93" s="267" t="n">
        <v>0.043</v>
      </c>
      <c r="AF93" s="267" t="n">
        <v>0.062</v>
      </c>
      <c r="AG93" s="267" t="n">
        <v>0.08699999999999999</v>
      </c>
      <c r="AH93" s="267" t="n">
        <v>0.099</v>
      </c>
      <c r="AI93" s="267" t="n">
        <v>0.092</v>
      </c>
      <c r="AJ93" s="267" t="n">
        <v>0.073</v>
      </c>
      <c r="AK93" s="267" t="n">
        <v>0.08699999999999999</v>
      </c>
      <c r="AL93" s="267" t="n">
        <v>0.073</v>
      </c>
      <c r="AM93" s="256">
        <f>IFERROR(AM88/AM89-1,"")</f>
        <v/>
      </c>
      <c r="AN93" s="256">
        <f>IFERROR(AN88/AN89-1,"")</f>
        <v/>
      </c>
      <c r="AO93" s="256">
        <f>IFERROR(AO88/AO89-1,"")</f>
        <v/>
      </c>
      <c r="AP93" s="256">
        <f>IFERROR(AP88/AP89-1,"")</f>
        <v/>
      </c>
      <c r="AQ93" s="256">
        <f>IFERROR(AQ88/AQ89-1,"")</f>
        <v/>
      </c>
      <c r="AR93" s="256">
        <f>IFERROR(AR88/AR89-1,"")</f>
        <v/>
      </c>
      <c r="AS93" s="256">
        <f>IFERROR(AS88/AS89-1,"")</f>
        <v/>
      </c>
      <c r="AT93" s="256">
        <f>IFERROR(AT88/AT89-1,"")</f>
        <v/>
      </c>
      <c r="AU93" s="153" t="n"/>
    </row>
    <row r="94" ht="15" customHeight="1" s="251">
      <c r="B94" s="22" t="inlineStr">
        <is>
          <t xml:space="preserve">  Organic growth % (published)</t>
        </is>
      </c>
      <c r="C94" s="23" t="n"/>
      <c r="D94" s="23" t="n"/>
      <c r="E94" s="23" t="n"/>
      <c r="F94" s="23" t="n"/>
      <c r="G94" s="23" t="n"/>
      <c r="H94" s="267" t="n">
        <v>0.038</v>
      </c>
      <c r="I94" s="267" t="n">
        <v>0.058</v>
      </c>
      <c r="J94" s="267" t="n">
        <v>0.073</v>
      </c>
      <c r="K94" s="267" t="n">
        <v>0.091</v>
      </c>
      <c r="L94" s="267" t="n">
        <v>0.008999999999999999</v>
      </c>
      <c r="M94" s="267" t="n">
        <v>0.236</v>
      </c>
      <c r="N94" s="267" t="n">
        <v>0.125</v>
      </c>
      <c r="O94" s="267" t="n">
        <v>0.083</v>
      </c>
      <c r="P94" s="267" t="n">
        <v>0.096</v>
      </c>
      <c r="Q94" s="267" t="n">
        <v>0.13</v>
      </c>
      <c r="R94" s="267" t="n">
        <v>0.038</v>
      </c>
      <c r="S94" s="267" t="n">
        <v>0.042</v>
      </c>
      <c r="T94" s="267" t="n">
        <v>0.047</v>
      </c>
      <c r="U94" s="267" t="n">
        <v>0.144</v>
      </c>
      <c r="V94" s="267" t="n">
        <v>0.07000000000000001</v>
      </c>
      <c r="W94" s="267" t="n">
        <v>0.111</v>
      </c>
      <c r="X94" s="267" t="n">
        <v>0.094</v>
      </c>
      <c r="Y94" s="267" t="n">
        <v>0.11</v>
      </c>
      <c r="Z94" s="267" t="n">
        <v>0.073</v>
      </c>
      <c r="AA94" s="267" t="n">
        <v>0.107</v>
      </c>
      <c r="AB94" s="267" t="n">
        <v>0.054</v>
      </c>
      <c r="AC94" s="267" t="n">
        <v>0.07199999999999999</v>
      </c>
      <c r="AD94" s="267" t="n">
        <v>0.063</v>
      </c>
      <c r="AE94" s="267" t="n">
        <v>0.05</v>
      </c>
      <c r="AF94" s="267" t="n">
        <v>0.059</v>
      </c>
      <c r="AG94" s="267" t="n">
        <v>0.08699999999999999</v>
      </c>
      <c r="AH94" s="267" t="n">
        <v>0.099</v>
      </c>
      <c r="AI94" s="267" t="n">
        <v>0.092</v>
      </c>
      <c r="AJ94" s="267" t="n">
        <v>0.07099999999999999</v>
      </c>
      <c r="AK94" s="267" t="n">
        <v>0.08699999999999999</v>
      </c>
      <c r="AL94" s="267" t="n">
        <v>0.068</v>
      </c>
      <c r="AM94" s="256">
        <f>IFERROR((AM88-AM90)/(AM89+AM91)-1,"")</f>
        <v/>
      </c>
      <c r="AN94" s="256">
        <f>IFERROR((AN88-AN90)/(AN89+AN91)-1,"")</f>
        <v/>
      </c>
      <c r="AO94" s="256">
        <f>IFERROR((AO88-AO90)/(AO89+AO91)-1,"")</f>
        <v/>
      </c>
      <c r="AP94" s="256">
        <f>IFERROR((AP88-AP90)/(AP89+AP91)-1,"")</f>
        <v/>
      </c>
      <c r="AQ94" s="256">
        <f>IFERROR((AQ88-AQ90)/(AQ89+AQ91)-1,"")</f>
        <v/>
      </c>
      <c r="AR94" s="256">
        <f>IFERROR((AR88-AR90)/(AR89+AR91)-1,"")</f>
        <v/>
      </c>
      <c r="AS94" s="256">
        <f>IFERROR((AS88-AS90)/(AS89+AS91)-1,"")</f>
        <v/>
      </c>
      <c r="AT94" s="256">
        <f>IFERROR((AT88-AT90)/(AT89+AT91)-1,"")</f>
        <v/>
      </c>
      <c r="AU94" s="153" t="n"/>
      <c r="AW94" s="37">
        <f>IFERROR(AVERAGE(AP94,AQ94,AR94,AS94,AT94),"n/m")</f>
        <v/>
      </c>
      <c r="AX94" s="37">
        <f>IFERROR(AVERAGE(Q94,V94,AA94,AF94,AK94),"n/m")</f>
        <v/>
      </c>
      <c r="AY94" s="37">
        <f>IFERROR(AVERAGE(H94,I94,J94,K94,L94,Q94,V94,AA94,AF94,AK94),"n/m")</f>
        <v/>
      </c>
      <c r="AZ94" s="37">
        <f>IFERROR(AVERAGE(C94,D94,E94,F94,G94,H94,I94,J94,K94,L94,Q94,V94,AA94,AF94,AK94),"n/m")</f>
        <v/>
      </c>
    </row>
    <row r="95" ht="15" customHeight="1" s="251">
      <c r="B95" s="22" t="inlineStr">
        <is>
          <t xml:space="preserve">  Constant-currency organic growth % (published)</t>
        </is>
      </c>
      <c r="C95" s="23" t="n"/>
      <c r="D95" s="23" t="n"/>
      <c r="E95" s="23" t="n"/>
      <c r="F95" s="23" t="n"/>
      <c r="G95" s="23" t="n"/>
      <c r="H95" s="267" t="n">
        <v>0.049</v>
      </c>
      <c r="I95" s="267" t="n">
        <v>0.05</v>
      </c>
      <c r="J95" s="267" t="n">
        <v>0.076</v>
      </c>
      <c r="K95" s="267" t="n">
        <v>0.098</v>
      </c>
      <c r="L95" s="267" t="n">
        <v>0.001</v>
      </c>
      <c r="M95" s="267" t="n">
        <v>0.209</v>
      </c>
      <c r="N95" s="267" t="n">
        <v>0.117</v>
      </c>
      <c r="O95" s="267" t="n">
        <v>0.08599999999999999</v>
      </c>
      <c r="P95" s="267" t="n">
        <v>0.108</v>
      </c>
      <c r="Q95" s="267" t="n">
        <v>0.126</v>
      </c>
      <c r="R95" s="267" t="n">
        <v>0.063</v>
      </c>
      <c r="S95" s="267" t="n">
        <v>0.074</v>
      </c>
      <c r="T95" s="267" t="n">
        <v>0.074</v>
      </c>
      <c r="U95" s="267" t="n">
        <v>0.159</v>
      </c>
      <c r="V95" s="267" t="n">
        <v>0.094</v>
      </c>
      <c r="W95" s="267" t="n">
        <v>0.111</v>
      </c>
      <c r="X95" s="267" t="n">
        <v>0.083</v>
      </c>
      <c r="Y95" s="267" t="n">
        <v>0.1</v>
      </c>
      <c r="Z95" s="267" t="n">
        <v>0.07000000000000001</v>
      </c>
      <c r="AA95" s="267" t="n">
        <v>0.1</v>
      </c>
      <c r="AB95" s="267" t="n">
        <v>0.056</v>
      </c>
      <c r="AC95" s="267" t="n">
        <v>0.07000000000000001</v>
      </c>
      <c r="AD95" s="267" t="n">
        <v>0.062</v>
      </c>
      <c r="AE95" s="267" t="n">
        <v>0.059</v>
      </c>
      <c r="AF95" s="267" t="n">
        <v>0.062</v>
      </c>
      <c r="AG95" s="267" t="n">
        <v>0.078</v>
      </c>
      <c r="AH95" s="267" t="n">
        <v>0.089</v>
      </c>
      <c r="AI95" s="267" t="n">
        <v>0.078</v>
      </c>
      <c r="AJ95" s="267" t="n">
        <v>0.05</v>
      </c>
      <c r="AK95" s="267" t="n">
        <v>0.073</v>
      </c>
      <c r="AL95" s="267" t="n">
        <v>0.062</v>
      </c>
      <c r="AM95" s="256">
        <f>IFERROR((AM88-AM90-AM92)/(AM89+AM91)-1,"")</f>
        <v/>
      </c>
      <c r="AN95" s="256">
        <f>IFERROR((AN88-AN90-AN92)/(AN89+AN91)-1,"")</f>
        <v/>
      </c>
      <c r="AO95" s="256">
        <f>IFERROR((AO88-AO90-AO92)/(AO89+AO91)-1,"")</f>
        <v/>
      </c>
      <c r="AP95" s="256">
        <f>IFERROR((AP88-AP90-AP92)/(AP89+AP91)-1,"")</f>
        <v/>
      </c>
      <c r="AQ95" s="256">
        <f>IFERROR((AQ88-AQ90-AQ92)/(AQ89+AQ91)-1,"")</f>
        <v/>
      </c>
      <c r="AR95" s="256">
        <f>IFERROR((AR88-AR90-AR92)/(AR89+AR91)-1,"")</f>
        <v/>
      </c>
      <c r="AS95" s="256">
        <f>IFERROR((AS88-AS90-AS92)/(AS89+AS91)-1,"")</f>
        <v/>
      </c>
      <c r="AT95" s="256">
        <f>IFERROR((AT88-AT90-AT92)/(AT89+AT91)-1,"")</f>
        <v/>
      </c>
      <c r="AU95" s="153" t="inlineStr">
        <is>
          <t>STERIS's headline growth KPI and guidance metric (FY27 outlook 6–7%). Historical as published; forecast = (revenue − acquisitions − FX) ÷ prior-year revenue − 1.</t>
        </is>
      </c>
      <c r="AW95" s="37">
        <f>IFERROR(AVERAGE(AP95,AQ95,AR95,AS95,AT95),"n/m")</f>
        <v/>
      </c>
      <c r="AX95" s="37">
        <f>IFERROR(AVERAGE(Q95,V95,AA95,AF95,AK95),"n/m")</f>
        <v/>
      </c>
      <c r="AY95" s="37">
        <f>IFERROR(AVERAGE(H95,I95,J95,K95,L95,Q95,V95,AA95,AF95,AK95),"n/m")</f>
        <v/>
      </c>
      <c r="AZ95" s="37">
        <f>IFERROR(AVERAGE(C95,D95,E95,F95,G95,H95,I95,J95,K95,L95,Q95,V95,AA95,AF95,AK95),"n/m")</f>
        <v/>
      </c>
    </row>
    <row r="96" ht="15" customHeight="1" s="251">
      <c r="B96" s="57" t="inlineStr">
        <is>
          <t xml:space="preserve">  Check: published CC organic growth vs (revenue − acquisitions − FX) ÷ (prior-year revenue + divestitures) − 1 (should be 0.0%)</t>
        </is>
      </c>
      <c r="C96" s="215">
        <f>IF(ISNUMBER(C95),IF(ABS((C88-C90-C92)/(C89+C91)-1-C95)&lt;0.0015,0,ROUND((C88-C90-C92)/(C89+C91)-1-C95,3)),"n/p")</f>
        <v/>
      </c>
      <c r="D96" s="215">
        <f>IF(ISNUMBER(D95),IF(ABS((D88-D90-D92)/(D89+D91)-1-D95)&lt;0.0015,0,ROUND((D88-D90-D92)/(D89+D91)-1-D95,3)),"n/p")</f>
        <v/>
      </c>
      <c r="E96" s="215">
        <f>IF(ISNUMBER(E95),IF(ABS((E88-E90-E92)/(E89+E91)-1-E95)&lt;0.0015,0,ROUND((E88-E90-E92)/(E89+E91)-1-E95,3)),"n/p")</f>
        <v/>
      </c>
      <c r="F96" s="215">
        <f>IF(ISNUMBER(F95),IF(ABS((F88-F90-F92)/(F89+F91)-1-F95)&lt;0.0015,0,ROUND((F88-F90-F92)/(F89+F91)-1-F95,3)),"n/p")</f>
        <v/>
      </c>
      <c r="G96" s="215">
        <f>IF(ISNUMBER(G95),IF(ABS((G88-G90-G92)/(G89+G91)-1-G95)&lt;0.0015,0,ROUND((G88-G90-G92)/(G89+G91)-1-G95,3)),"n/p")</f>
        <v/>
      </c>
      <c r="H96" s="215">
        <f>IF(ISNUMBER(H95),IF(ABS((H88-H90-H92)/(H89+H91)-1-H95)&lt;0.0015,0,ROUND((H88-H90-H92)/(H89+H91)-1-H95,3)),"n/p")</f>
        <v/>
      </c>
      <c r="I96" s="215">
        <f>IF(ISNUMBER(I95),IF(ABS((I88-I90-I92)/(I89+I91)-1-I95)&lt;0.0015,0,ROUND((I88-I90-I92)/(I89+I91)-1-I95,3)),"n/p")</f>
        <v/>
      </c>
      <c r="J96" s="215">
        <f>IF(ISNUMBER(J95),IF(ABS((J88-J90-J92)/(J89+J91)-1-J95)&lt;0.0015,0,ROUND((J88-J90-J92)/(J89+J91)-1-J95,3)),"n/p")</f>
        <v/>
      </c>
      <c r="K96" s="215">
        <f>IF(ISNUMBER(K95),IF(ABS((K88-K90-K92)/(K89+K91)-1-K95)&lt;0.0015,0,ROUND((K88-K90-K92)/(K89+K91)-1-K95,3)),"n/p")</f>
        <v/>
      </c>
      <c r="L96" s="215">
        <f>IF(ISNUMBER(L95),IF(ABS((L88-L90-L92)/(L89+L91)-1-L95)&lt;0.0015,0,ROUND((L88-L90-L92)/(L89+L91)-1-L95,3)),"n/p")</f>
        <v/>
      </c>
      <c r="M96" s="215">
        <f>IF(ISNUMBER(M95),IF(ABS((M88-M90-M92)/(M89+M91)-1-M95)&lt;0.0015,0,ROUND((M88-M90-M92)/(M89+M91)-1-M95,3)),"n/p")</f>
        <v/>
      </c>
      <c r="N96" s="215">
        <f>IF(ISNUMBER(N95),IF(ABS((N88-N90-N92)/(N89+N91)-1-N95)&lt;0.0015,0,ROUND((N88-N90-N92)/(N89+N91)-1-N95,3)),"n/p")</f>
        <v/>
      </c>
      <c r="O96" s="215">
        <f>IF(ISNUMBER(O95),IF(ABS((O88-O90-O92)/(O89+O91)-1-O95)&lt;0.0015,0,ROUND((O88-O90-O92)/(O89+O91)-1-O95,3)),"n/p")</f>
        <v/>
      </c>
      <c r="P96" s="215">
        <f>IF(ISNUMBER(P95),IF(ABS((P88-P90-P92)/(P89+P91)-1-P95)&lt;0.0015,0,ROUND((P88-P90-P92)/(P89+P91)-1-P95,3)),"n/p")</f>
        <v/>
      </c>
      <c r="Q96" s="215">
        <f>IF(ISNUMBER(Q95),IF(ABS((Q88-Q90-Q92)/(Q89+Q91)-1-Q95)&lt;0.0015,0,ROUND((Q88-Q90-Q92)/(Q89+Q91)-1-Q95,3)),"n/p")</f>
        <v/>
      </c>
      <c r="R96" s="215">
        <f>IF(ISNUMBER(R95),IF(ABS((R88-R90-R92)/(R89+R91)-1-R95)&lt;0.0015,0,ROUND((R88-R90-R92)/(R89+R91)-1-R95,3)),"n/p")</f>
        <v/>
      </c>
      <c r="S96" s="215">
        <f>IF(ISNUMBER(S95),IF(ABS((S88-S90-S92)/(S89+S91)-1-S95)&lt;0.0015,0,ROUND((S88-S90-S92)/(S89+S91)-1-S95,3)),"n/p")</f>
        <v/>
      </c>
      <c r="T96" s="215">
        <f>IF(ISNUMBER(T95),IF(ABS((T88-T90-T92)/(T89+T91)-1-T95)&lt;0.0015,0,ROUND((T88-T90-T92)/(T89+T91)-1-T95,3)),"n/p")</f>
        <v/>
      </c>
      <c r="U96" s="215">
        <f>IF(ISNUMBER(U95),IF(ABS((U88-U90-U92)/(U89+U91)-1-U95)&lt;0.0015,0,ROUND((U88-U90-U92)/(U89+U91)-1-U95,3)),"n/p")</f>
        <v/>
      </c>
      <c r="V96" s="215">
        <f>IF(ISNUMBER(V95),IF(ABS((V88-V90-V92)/(V89+V91)-1-V95)&lt;0.0015,0,ROUND((V88-V90-V92)/(V89+V91)-1-V95,3)),"n/p")</f>
        <v/>
      </c>
      <c r="W96" s="215">
        <f>IF(ISNUMBER(W95),IF(ABS((W88-W90-W92)/(W89+W91)-1-W95)&lt;0.0015,0,ROUND((W88-W90-W92)/(W89+W91)-1-W95,3)),"n/p")</f>
        <v/>
      </c>
      <c r="X96" s="215">
        <f>IF(ISNUMBER(X95),IF(ABS((X88-X90-X92)/(X89+X91)-1-X95)&lt;0.0015,0,ROUND((X88-X90-X92)/(X89+X91)-1-X95,3)),"n/p")</f>
        <v/>
      </c>
      <c r="Y96" s="215">
        <f>IF(ISNUMBER(Y95),IF(ABS((Y88-Y90-Y92)/(Y89+Y91)-1-Y95)&lt;0.0015,0,ROUND((Y88-Y90-Y92)/(Y89+Y91)-1-Y95,3)),"n/p")</f>
        <v/>
      </c>
      <c r="Z96" s="215">
        <f>IF(ISNUMBER(Z95),IF(ABS((Z88-Z90-Z92)/(Z89+Z91)-1-Z95)&lt;0.0015,0,ROUND((Z88-Z90-Z92)/(Z89+Z91)-1-Z95,3)),"n/p")</f>
        <v/>
      </c>
      <c r="AA96" s="215">
        <f>IF(ISNUMBER(AA95),IF(ABS((AA88-AA90-AA92)/(AA89+AA91)-1-AA95)&lt;0.0015,0,ROUND((AA88-AA90-AA92)/(AA89+AA91)-1-AA95,3)),"n/p")</f>
        <v/>
      </c>
      <c r="AB96" s="215">
        <f>IF(ISNUMBER(AB95),IF(ABS((AB88-AB90-AB92)/(AB89+AB91)-1-AB95)&lt;0.0015,0,ROUND((AB88-AB90-AB92)/(AB89+AB91)-1-AB95,3)),"n/p")</f>
        <v/>
      </c>
      <c r="AC96" s="215">
        <f>IF(ISNUMBER(AC95),IF(ABS((AC88-AC90-AC92)/(AC89+AC91)-1-AC95)&lt;0.0015,0,ROUND((AC88-AC90-AC92)/(AC89+AC91)-1-AC95,3)),"n/p")</f>
        <v/>
      </c>
      <c r="AD96" s="215">
        <f>IF(ISNUMBER(AD95),IF(ABS((AD88-AD90-AD92)/(AD89+AD91)-1-AD95)&lt;0.0015,0,ROUND((AD88-AD90-AD92)/(AD89+AD91)-1-AD95,3)),"n/p")</f>
        <v/>
      </c>
      <c r="AE96" s="215">
        <f>IF(ISNUMBER(AE95),IF(ABS((AE88-AE90-AE92)/(AE89+AE91)-1-AE95)&lt;0.0015,0,ROUND((AE88-AE90-AE92)/(AE89+AE91)-1-AE95,3)),"n/p")</f>
        <v/>
      </c>
      <c r="AF96" s="215">
        <f>IF(ISNUMBER(AF95),IF(ABS((AF88-AF90-AF92)/(AF89+AF91)-1-AF95)&lt;0.0015,0,ROUND((AF88-AF90-AF92)/(AF89+AF91)-1-AF95,3)),"n/p")</f>
        <v/>
      </c>
      <c r="AG96" s="215">
        <f>IF(ISNUMBER(AG95),IF(ABS((AG88-AG90-AG92)/(AG89+AG91)-1-AG95)&lt;0.0015,0,ROUND((AG88-AG90-AG92)/(AG89+AG91)-1-AG95,3)),"n/p")</f>
        <v/>
      </c>
      <c r="AH96" s="215">
        <f>IF(ISNUMBER(AH95),IF(ABS((AH88-AH90-AH92)/(AH89+AH91)-1-AH95)&lt;0.0015,0,ROUND((AH88-AH90-AH92)/(AH89+AH91)-1-AH95,3)),"n/p")</f>
        <v/>
      </c>
      <c r="AI96" s="215">
        <f>IF(ISNUMBER(AI95),IF(ABS((AI88-AI90-AI92)/(AI89+AI91)-1-AI95)&lt;0.0015,0,ROUND((AI88-AI90-AI92)/(AI89+AI91)-1-AI95,3)),"n/p")</f>
        <v/>
      </c>
      <c r="AJ96" s="215">
        <f>IF(ISNUMBER(AJ95),IF(ABS((AJ88-AJ90-AJ92)/(AJ89+AJ91)-1-AJ95)&lt;0.0015,0,ROUND((AJ88-AJ90-AJ92)/(AJ89+AJ91)-1-AJ95,3)),"n/p")</f>
        <v/>
      </c>
      <c r="AK96" s="215">
        <f>IF(ISNUMBER(AK95),IF(ABS((AK88-AK90-AK92)/(AK89+AK91)-1-AK95)&lt;0.0015,0,ROUND((AK88-AK90-AK92)/(AK89+AK91)-1-AK95,3)),"n/p")</f>
        <v/>
      </c>
      <c r="AL96" s="215">
        <f>IF(ISNUMBER(AL95),IF(ABS((AL88-AL90-AL92)/(AL89+AL91)-1-AL95)&lt;0.0015,0,ROUND((AL88-AL90-AL92)/(AL89+AL91)-1-AL95,3)),"n/p")</f>
        <v/>
      </c>
      <c r="AM96" s="153" t="n"/>
      <c r="AN96" s="153" t="n"/>
      <c r="AO96" s="153" t="n"/>
      <c r="AP96" s="153" t="n"/>
      <c r="AQ96" s="153" t="n"/>
      <c r="AR96" s="153" t="n"/>
      <c r="AS96" s="153" t="n"/>
      <c r="AT96" s="153" t="n"/>
      <c r="AU96" s="153" t="n"/>
    </row>
    <row r="97" ht="15" customHeight="1" s="251">
      <c r="B97" s="22" t="inlineStr">
        <is>
          <t xml:space="preserve">  Healthcare — constant-currency organic growth % (published)</t>
        </is>
      </c>
      <c r="C97" s="23" t="n"/>
      <c r="D97" s="23" t="n"/>
      <c r="E97" s="23" t="n"/>
      <c r="F97" s="23" t="n"/>
      <c r="G97" s="23" t="n"/>
      <c r="H97" s="23" t="n"/>
      <c r="I97" s="23" t="n"/>
      <c r="J97" s="23" t="n"/>
      <c r="K97" s="23" t="n"/>
      <c r="L97" s="267" t="n">
        <v>-0.044</v>
      </c>
      <c r="M97" s="267" t="n">
        <v>0.249</v>
      </c>
      <c r="N97" s="267" t="n">
        <v>0.103</v>
      </c>
      <c r="O97" s="267" t="n">
        <v>0.053</v>
      </c>
      <c r="P97" s="267" t="n">
        <v>0.06900000000000001</v>
      </c>
      <c r="Q97" s="267" t="n">
        <v>0.11</v>
      </c>
      <c r="R97" s="267" t="n">
        <v>0.037</v>
      </c>
      <c r="S97" s="267" t="n">
        <v>0.06900000000000001</v>
      </c>
      <c r="T97" s="267" t="n">
        <v>0.097</v>
      </c>
      <c r="U97" s="267" t="n">
        <v>0.21</v>
      </c>
      <c r="V97" s="267" t="n">
        <v>0.108</v>
      </c>
      <c r="W97" s="267" t="n">
        <v>0.175</v>
      </c>
      <c r="X97" s="267" t="n">
        <v>0.139</v>
      </c>
      <c r="Y97" s="267" t="n">
        <v>0.124</v>
      </c>
      <c r="Z97" s="267" t="n">
        <v>0.08500000000000001</v>
      </c>
      <c r="AA97" s="267" t="n">
        <v>0.128</v>
      </c>
      <c r="AB97" s="267" t="n">
        <v>0.052</v>
      </c>
      <c r="AC97" s="267" t="n">
        <v>0.07099999999999999</v>
      </c>
      <c r="AD97" s="267" t="n">
        <v>0.065</v>
      </c>
      <c r="AE97" s="267" t="n">
        <v>0.056</v>
      </c>
      <c r="AF97" s="267" t="n">
        <v>0.061</v>
      </c>
      <c r="AG97" s="267" t="n">
        <v>0.076</v>
      </c>
      <c r="AH97" s="267" t="n">
        <v>0.09</v>
      </c>
      <c r="AI97" s="267" t="n">
        <v>0.082</v>
      </c>
      <c r="AJ97" s="267" t="n">
        <v>0.057</v>
      </c>
      <c r="AK97" s="267" t="n">
        <v>0.076</v>
      </c>
      <c r="AL97" s="267" t="n">
        <v>0.064</v>
      </c>
      <c r="AM97" s="24" t="n"/>
      <c r="AN97" s="24" t="n"/>
      <c r="AO97" s="24" t="n"/>
      <c r="AP97" s="24" t="n"/>
      <c r="AQ97" s="24" t="n"/>
      <c r="AR97" s="24" t="n"/>
      <c r="AS97" s="24" t="n"/>
      <c r="AT97" s="24" t="n"/>
      <c r="AU97" s="153" t="n"/>
    </row>
    <row r="98" ht="15" customHeight="1" s="251">
      <c r="B98" s="22" t="inlineStr">
        <is>
          <t xml:space="preserve">  Applied Sterilization Technologies (AST) — constant-currency organic growth % (published)</t>
        </is>
      </c>
      <c r="C98" s="23" t="n"/>
      <c r="D98" s="23" t="n"/>
      <c r="E98" s="23" t="n"/>
      <c r="F98" s="23" t="n"/>
      <c r="G98" s="23" t="n"/>
      <c r="H98" s="267" t="n">
        <v>0.07000000000000001</v>
      </c>
      <c r="I98" s="267" t="n">
        <v>0.065</v>
      </c>
      <c r="J98" s="267" t="n">
        <v>0.08599999999999999</v>
      </c>
      <c r="K98" s="267" t="n">
        <v>0.145</v>
      </c>
      <c r="L98" s="267" t="n">
        <v>0.074</v>
      </c>
      <c r="M98" s="267" t="n">
        <v>0.271</v>
      </c>
      <c r="N98" s="267" t="n">
        <v>0.188</v>
      </c>
      <c r="O98" s="267" t="n">
        <v>0.179</v>
      </c>
      <c r="P98" s="267" t="n">
        <v>0.215</v>
      </c>
      <c r="Q98" s="267" t="n">
        <v>0.212</v>
      </c>
      <c r="R98" s="267" t="n">
        <v>0.103</v>
      </c>
      <c r="S98" s="267" t="n">
        <v>0.194</v>
      </c>
      <c r="T98" s="267" t="n">
        <v>0.074</v>
      </c>
      <c r="U98" s="267" t="n">
        <v>0.098</v>
      </c>
      <c r="V98" s="267" t="n">
        <v>0.116</v>
      </c>
      <c r="W98" s="267" t="n">
        <v>0.051</v>
      </c>
      <c r="X98" s="267" t="n">
        <v>-0.01</v>
      </c>
      <c r="Y98" s="267" t="n">
        <v>0.04</v>
      </c>
      <c r="Z98" s="267" t="n">
        <v>0.046</v>
      </c>
      <c r="AA98" s="267" t="n">
        <v>0.032</v>
      </c>
      <c r="AB98" s="267" t="n">
        <v>0.077</v>
      </c>
      <c r="AC98" s="267" t="n">
        <v>0.08699999999999999</v>
      </c>
      <c r="AD98" s="267" t="n">
        <v>0.095</v>
      </c>
      <c r="AE98" s="267" t="n">
        <v>0.103</v>
      </c>
      <c r="AF98" s="267" t="n">
        <v>0.091</v>
      </c>
      <c r="AG98" s="267" t="n">
        <v>0.102</v>
      </c>
      <c r="AH98" s="267" t="n">
        <v>0.074</v>
      </c>
      <c r="AI98" s="267" t="n">
        <v>0.079</v>
      </c>
      <c r="AJ98" s="267" t="n">
        <v>0.016</v>
      </c>
      <c r="AK98" s="267" t="n">
        <v>0.067</v>
      </c>
      <c r="AL98" s="267" t="n">
        <v>0.047</v>
      </c>
      <c r="AM98" s="24" t="n"/>
      <c r="AN98" s="24" t="n"/>
      <c r="AO98" s="24" t="n"/>
      <c r="AP98" s="24" t="n"/>
      <c r="AQ98" s="24" t="n"/>
      <c r="AR98" s="24" t="n"/>
      <c r="AS98" s="24" t="n"/>
      <c r="AT98" s="24" t="n"/>
      <c r="AU98" s="153" t="n"/>
    </row>
    <row r="99" ht="15" customHeight="1" s="251">
      <c r="B99" s="22" t="inlineStr">
        <is>
          <t xml:space="preserve">  Life Sciences — constant-currency organic growth % (published)</t>
        </is>
      </c>
      <c r="C99" s="23" t="n"/>
      <c r="D99" s="23" t="n"/>
      <c r="E99" s="23" t="n"/>
      <c r="F99" s="23" t="n"/>
      <c r="G99" s="23" t="n"/>
      <c r="H99" s="267" t="n">
        <v>0.043</v>
      </c>
      <c r="I99" s="267" t="n">
        <v>0.089</v>
      </c>
      <c r="J99" s="267" t="n">
        <v>0.051</v>
      </c>
      <c r="K99" s="267" t="n">
        <v>0.11</v>
      </c>
      <c r="L99" s="267" t="n">
        <v>0.108</v>
      </c>
      <c r="M99" s="267" t="n">
        <v>-0.008</v>
      </c>
      <c r="N99" s="267" t="n">
        <v>0.06900000000000001</v>
      </c>
      <c r="O99" s="267" t="n">
        <v>0.094</v>
      </c>
      <c r="P99" s="267" t="n">
        <v>0.121</v>
      </c>
      <c r="Q99" s="267" t="n">
        <v>0.06900000000000001</v>
      </c>
      <c r="R99" s="267" t="n">
        <v>0.098</v>
      </c>
      <c r="S99" s="267" t="n">
        <v>0</v>
      </c>
      <c r="T99" s="267" t="n">
        <v>-0.006</v>
      </c>
      <c r="U99" s="267" t="n">
        <v>0.113</v>
      </c>
      <c r="V99" s="267" t="n">
        <v>0.053</v>
      </c>
      <c r="W99" s="267" t="n">
        <v>-0.006</v>
      </c>
      <c r="X99" s="267" t="n">
        <v>0.046</v>
      </c>
      <c r="Y99" s="267" t="n">
        <v>0.197</v>
      </c>
      <c r="Z99" s="267" t="n">
        <v>0.016</v>
      </c>
      <c r="AA99" s="267" t="n">
        <v>0.058</v>
      </c>
      <c r="AB99" s="267" t="n">
        <v>0.043</v>
      </c>
      <c r="AC99" s="267" t="n">
        <v>0.03</v>
      </c>
      <c r="AD99" s="267" t="n">
        <v>-0.015</v>
      </c>
      <c r="AE99" s="267" t="n">
        <v>0.001</v>
      </c>
      <c r="AF99" s="267" t="n">
        <v>0.013</v>
      </c>
      <c r="AG99" s="267" t="n">
        <v>0.042</v>
      </c>
      <c r="AH99" s="267" t="n">
        <v>0.117</v>
      </c>
      <c r="AI99" s="267" t="n">
        <v>0.05</v>
      </c>
      <c r="AJ99" s="267" t="n">
        <v>0.062</v>
      </c>
      <c r="AK99" s="267" t="n">
        <v>0.067</v>
      </c>
      <c r="AL99" s="267" t="n">
        <v>0.079</v>
      </c>
      <c r="AM99" s="24" t="n"/>
      <c r="AN99" s="24" t="n"/>
      <c r="AO99" s="24" t="n"/>
      <c r="AP99" s="24" t="n"/>
      <c r="AQ99" s="24" t="n"/>
      <c r="AR99" s="24" t="n"/>
      <c r="AS99" s="24" t="n"/>
      <c r="AT99" s="24" t="n"/>
      <c r="AU99" s="153" t="n"/>
    </row>
    <row r="100" ht="15" customHeight="1" s="251">
      <c r="BC100" s="11" t="n"/>
      <c r="BD100" s="12" t="n"/>
      <c r="BE100" s="12" t="n"/>
      <c r="BF100" s="12" t="n"/>
      <c r="BG100" s="13" t="n"/>
    </row>
    <row r="101" ht="15" customHeight="1" s="251">
      <c r="B101" s="14" t="inlineStr">
        <is>
          <t>Future acquisitions (M&amp;A lever — Healthcare / Life Sciences tuck-ins, unallocated; deals closed from 2028E)</t>
        </is>
      </c>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c r="AS101" s="14" t="n"/>
      <c r="AT101" s="14" t="n"/>
      <c r="AU101" s="15" t="inlineStr">
        <is>
          <t>M&amp;A LEVER — acquired revenue = spend ÷ EV/sales; mid-year convention</t>
        </is>
      </c>
    </row>
    <row r="102" ht="15" customHeight="1" s="251">
      <c r="B102" s="25" t="inlineStr">
        <is>
          <t xml:space="preserve">  Acquisition spend (USDm, scenario)</t>
        </is>
      </c>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c r="AA102" s="34" t="n"/>
      <c r="AB102" s="34" t="n"/>
      <c r="AC102" s="34" t="n"/>
      <c r="AD102" s="34" t="n"/>
      <c r="AE102" s="34" t="n"/>
      <c r="AF102" s="34" t="n"/>
      <c r="AG102" s="34" t="n"/>
      <c r="AH102" s="34" t="n"/>
      <c r="AI102" s="34" t="n"/>
      <c r="AJ102" s="34" t="n"/>
      <c r="AK102" s="34" t="n"/>
      <c r="AL102" s="34" t="n"/>
      <c r="AM102" s="35" t="n"/>
      <c r="AN102" s="35" t="n"/>
      <c r="AO102" s="35" t="n"/>
      <c r="AP102" s="268" t="n">
        <v>0</v>
      </c>
      <c r="AQ102" s="269">
        <f>MAX(0,CHOOSE(MATCH($AU$2,{"Bull","Base","Bear"},0),$BD$85,$BE$85,$BF$85))</f>
        <v/>
      </c>
      <c r="AR102" s="269">
        <f>MAX(0,CHOOSE(MATCH($AU$2,{"Bull","Base","Bear"},0),$BD$86,$BE$86,$BF$86))</f>
        <v/>
      </c>
      <c r="AS102" s="269">
        <f>MAX(0,CHOOSE(MATCH($AU$2,{"Bull","Base","Bear"},0),$BD$87,$BE$87,$BF$87))</f>
        <v/>
      </c>
      <c r="AT102" s="269">
        <f>MAX(0,CHOOSE(MATCH($AU$2,{"Bull","Base","Bear"},0),$BD$88,$BE$88,$BF$88))</f>
        <v/>
      </c>
      <c r="AU102" s="19" t="inlineStr">
        <is>
          <t>Scenario lever M&amp;A_spend (Base $150m p.a. of tuck-ins). Funded from cash / revolver (debt schedule).</t>
        </is>
      </c>
    </row>
    <row r="103" ht="15" customHeight="1" s="251">
      <c r="B103" s="25" t="inlineStr">
        <is>
          <t xml:space="preserve">  Purchase multiple — EV / sales (x)</t>
        </is>
      </c>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c r="AF103" s="36" t="n"/>
      <c r="AG103" s="36" t="n"/>
      <c r="AH103" s="36" t="n"/>
      <c r="AI103" s="36" t="n"/>
      <c r="AJ103" s="36" t="n"/>
      <c r="AK103" s="36" t="n"/>
      <c r="AL103" s="36" t="n"/>
      <c r="AM103" s="24" t="n"/>
      <c r="AN103" s="24" t="n"/>
      <c r="AO103" s="24" t="n"/>
      <c r="AP103" s="270" t="n">
        <v>0</v>
      </c>
      <c r="AQ103" s="270" t="n">
        <v>4</v>
      </c>
      <c r="AR103" s="270" t="n">
        <v>4</v>
      </c>
      <c r="AS103" s="270" t="n">
        <v>4</v>
      </c>
      <c r="AT103" s="270" t="n">
        <v>4</v>
      </c>
      <c r="AU103" s="19" t="inlineStr">
        <is>
          <t>Cantel ~4.4x sales ($4.6bn incl. debt on ~$1.0bn), BD surgical instrumentation ~$540m on ~$80m sales; tuck-ins 3–5x. 4.0x input.</t>
        </is>
      </c>
    </row>
    <row r="104" ht="15" customHeight="1" s="251">
      <c r="B104" s="25" t="inlineStr">
        <is>
          <t xml:space="preserve">  Annualised revenue acquired in the year</t>
        </is>
      </c>
      <c r="C104" s="34" t="n"/>
      <c r="D104" s="34" t="n"/>
      <c r="E104" s="34" t="n"/>
      <c r="F104" s="34" t="n"/>
      <c r="G104" s="34" t="n"/>
      <c r="H104" s="34" t="n"/>
      <c r="I104" s="34" t="n"/>
      <c r="J104" s="34" t="n"/>
      <c r="K104" s="34" t="n"/>
      <c r="L104" s="34" t="n"/>
      <c r="M104" s="34" t="n"/>
      <c r="N104" s="34" t="n"/>
      <c r="O104" s="34" t="n"/>
      <c r="P104" s="34" t="n"/>
      <c r="Q104" s="34" t="n"/>
      <c r="R104" s="34" t="n"/>
      <c r="S104" s="34" t="n"/>
      <c r="T104" s="34" t="n"/>
      <c r="U104" s="34" t="n"/>
      <c r="V104" s="34" t="n"/>
      <c r="W104" s="34" t="n"/>
      <c r="X104" s="34" t="n"/>
      <c r="Y104" s="34" t="n"/>
      <c r="Z104" s="34" t="n"/>
      <c r="AA104" s="34" t="n"/>
      <c r="AB104" s="34" t="n"/>
      <c r="AC104" s="34" t="n"/>
      <c r="AD104" s="34" t="n"/>
      <c r="AE104" s="34" t="n"/>
      <c r="AF104" s="34" t="n"/>
      <c r="AG104" s="34" t="n"/>
      <c r="AH104" s="34" t="n"/>
      <c r="AI104" s="34" t="n"/>
      <c r="AJ104" s="34" t="n"/>
      <c r="AK104" s="34" t="n"/>
      <c r="AL104" s="34" t="n"/>
      <c r="AM104" s="35" t="n"/>
      <c r="AN104" s="35" t="n"/>
      <c r="AO104" s="35" t="n"/>
      <c r="AP104" s="268" t="n">
        <v>0</v>
      </c>
      <c r="AQ104" s="269">
        <f>IFERROR(AQ102/AQ103,0)</f>
        <v/>
      </c>
      <c r="AR104" s="269">
        <f>IFERROR(AR102/AR103,0)</f>
        <v/>
      </c>
      <c r="AS104" s="269">
        <f>IFERROR(AS102/AS103,0)</f>
        <v/>
      </c>
      <c r="AT104" s="269">
        <f>IFERROR(AT102/AT103,0)</f>
        <v/>
      </c>
      <c r="AU104" s="19" t="n"/>
    </row>
    <row r="105" ht="15" customHeight="1" s="251">
      <c r="B105" s="25" t="inlineStr">
        <is>
          <t xml:space="preserve">  Growth of acquired businesses after acquisition %</t>
        </is>
      </c>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c r="AF105" s="36" t="n"/>
      <c r="AG105" s="36" t="n"/>
      <c r="AH105" s="36" t="n"/>
      <c r="AI105" s="36" t="n"/>
      <c r="AJ105" s="36" t="n"/>
      <c r="AK105" s="36" t="n"/>
      <c r="AL105" s="36" t="n"/>
      <c r="AM105" s="24" t="n"/>
      <c r="AN105" s="24" t="n"/>
      <c r="AO105" s="24" t="n"/>
      <c r="AP105" s="265" t="n">
        <v>0</v>
      </c>
      <c r="AQ105" s="265" t="n">
        <v>0.05</v>
      </c>
      <c r="AR105" s="265" t="n">
        <v>0.05</v>
      </c>
      <c r="AS105" s="265" t="n">
        <v>0.05</v>
      </c>
      <c r="AT105" s="265" t="n">
        <v>0.05</v>
      </c>
      <c r="AU105" s="19" t="n"/>
    </row>
    <row r="106" ht="15" customHeight="1" s="251">
      <c r="B106" s="25" t="inlineStr">
        <is>
          <t xml:space="preserve">  Run-rate revenue of businesses acquired (year end)</t>
        </is>
      </c>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c r="AA106" s="34" t="n"/>
      <c r="AB106" s="34" t="n"/>
      <c r="AC106" s="34" t="n"/>
      <c r="AD106" s="34" t="n"/>
      <c r="AE106" s="34" t="n"/>
      <c r="AF106" s="34" t="n"/>
      <c r="AG106" s="34" t="n"/>
      <c r="AH106" s="34" t="n"/>
      <c r="AI106" s="34" t="n"/>
      <c r="AJ106" s="34" t="n"/>
      <c r="AK106" s="34" t="n"/>
      <c r="AL106" s="34" t="n"/>
      <c r="AM106" s="35" t="n"/>
      <c r="AN106" s="35" t="n"/>
      <c r="AO106" s="35" t="n"/>
      <c r="AP106" s="268" t="n">
        <v>0</v>
      </c>
      <c r="AQ106" s="269">
        <f>AP106*(1+AQ105)+AQ104</f>
        <v/>
      </c>
      <c r="AR106" s="269">
        <f>AQ106*(1+AR105)+AR104</f>
        <v/>
      </c>
      <c r="AS106" s="269">
        <f>AR106*(1+AS105)+AS104</f>
        <v/>
      </c>
      <c r="AT106" s="269">
        <f>AS106*(1+AT105)+AT104</f>
        <v/>
      </c>
      <c r="AU106" s="19" t="n"/>
    </row>
    <row r="107" ht="15" customHeight="1" s="251">
      <c r="B107" s="16" t="inlineStr">
        <is>
          <t xml:space="preserve">  Revenue from future acquisitions</t>
        </is>
      </c>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c r="AC107" s="43" t="n"/>
      <c r="AD107" s="43" t="n"/>
      <c r="AE107" s="43" t="n"/>
      <c r="AF107" s="43" t="n"/>
      <c r="AG107" s="43" t="n"/>
      <c r="AH107" s="43" t="n"/>
      <c r="AI107" s="43" t="n"/>
      <c r="AJ107" s="43" t="n"/>
      <c r="AK107" s="43" t="n"/>
      <c r="AL107" s="43" t="n"/>
      <c r="AM107" s="32" t="n"/>
      <c r="AN107" s="32" t="n"/>
      <c r="AO107" s="32" t="n"/>
      <c r="AP107" s="271" t="n">
        <v>0</v>
      </c>
      <c r="AQ107" s="272">
        <f>AP106*(1+AQ105)+0.5*AQ104</f>
        <v/>
      </c>
      <c r="AR107" s="272">
        <f>AQ106*(1+AR105)+0.5*AR104</f>
        <v/>
      </c>
      <c r="AS107" s="272">
        <f>AR106*(1+AS105)+0.5*AS104</f>
        <v/>
      </c>
      <c r="AT107" s="272">
        <f>AS106*(1+AT105)+0.5*AT104</f>
        <v/>
      </c>
      <c r="AU107" s="153" t="inlineStr">
        <is>
          <t>Mid-year convention. Treated as acquired (inorganic) revenue in the growth bridge in the year of acquisition and the following year (simplified: all years).</t>
        </is>
      </c>
    </row>
    <row r="108" ht="15" customHeight="1" s="251">
      <c r="B108" s="25" t="inlineStr">
        <is>
          <t xml:space="preserve">  Adjusted operating margin of acquired businesses %</t>
        </is>
      </c>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c r="AF108" s="36" t="n"/>
      <c r="AG108" s="36" t="n"/>
      <c r="AH108" s="36" t="n"/>
      <c r="AI108" s="36" t="n"/>
      <c r="AJ108" s="36" t="n"/>
      <c r="AK108" s="36" t="n"/>
      <c r="AL108" s="36" t="n"/>
      <c r="AM108" s="24" t="n"/>
      <c r="AN108" s="24" t="n"/>
      <c r="AO108" s="24" t="n"/>
      <c r="AP108" s="265" t="n">
        <v>0</v>
      </c>
      <c r="AQ108" s="265" t="n">
        <v>0.22</v>
      </c>
      <c r="AR108" s="265" t="n">
        <v>0.22</v>
      </c>
      <c r="AS108" s="265" t="n">
        <v>0.22</v>
      </c>
      <c r="AT108" s="265" t="n">
        <v>0.22</v>
      </c>
      <c r="AU108" s="19" t="n"/>
    </row>
    <row r="109" ht="15" customHeight="1" s="251">
      <c r="B109" s="25" t="inlineStr">
        <is>
          <t xml:space="preserve">  Adjusted operating income from future acquisitions</t>
        </is>
      </c>
      <c r="C109" s="34" t="n"/>
      <c r="D109" s="34" t="n"/>
      <c r="E109" s="34" t="n"/>
      <c r="F109" s="34" t="n"/>
      <c r="G109" s="34" t="n"/>
      <c r="H109" s="34" t="n"/>
      <c r="I109" s="34" t="n"/>
      <c r="J109" s="34" t="n"/>
      <c r="K109" s="34" t="n"/>
      <c r="L109" s="34" t="n"/>
      <c r="M109" s="34" t="n"/>
      <c r="N109" s="34" t="n"/>
      <c r="O109" s="34" t="n"/>
      <c r="P109" s="34" t="n"/>
      <c r="Q109" s="34" t="n"/>
      <c r="R109" s="34" t="n"/>
      <c r="S109" s="34" t="n"/>
      <c r="T109" s="34" t="n"/>
      <c r="U109" s="34" t="n"/>
      <c r="V109" s="34" t="n"/>
      <c r="W109" s="34" t="n"/>
      <c r="X109" s="34" t="n"/>
      <c r="Y109" s="34" t="n"/>
      <c r="Z109" s="34" t="n"/>
      <c r="AA109" s="34" t="n"/>
      <c r="AB109" s="34" t="n"/>
      <c r="AC109" s="34" t="n"/>
      <c r="AD109" s="34" t="n"/>
      <c r="AE109" s="34" t="n"/>
      <c r="AF109" s="34" t="n"/>
      <c r="AG109" s="34" t="n"/>
      <c r="AH109" s="34" t="n"/>
      <c r="AI109" s="34" t="n"/>
      <c r="AJ109" s="34" t="n"/>
      <c r="AK109" s="34" t="n"/>
      <c r="AL109" s="34" t="n"/>
      <c r="AM109" s="35" t="n"/>
      <c r="AN109" s="35" t="n"/>
      <c r="AO109" s="35" t="n"/>
      <c r="AP109" s="268" t="n">
        <v>0</v>
      </c>
      <c r="AQ109" s="269">
        <f>AQ107*AQ108</f>
        <v/>
      </c>
      <c r="AR109" s="269">
        <f>AR107*AR108</f>
        <v/>
      </c>
      <c r="AS109" s="269">
        <f>AS107*AS108</f>
        <v/>
      </c>
      <c r="AT109" s="269">
        <f>AT107*AT108</f>
        <v/>
      </c>
      <c r="AU109" s="19" t="n"/>
    </row>
    <row r="110" ht="15" customHeight="1" s="251">
      <c r="B110" s="25" t="inlineStr">
        <is>
          <t xml:space="preserve">  PP&amp;E % of spend</t>
        </is>
      </c>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c r="AF110" s="36" t="n"/>
      <c r="AG110" s="36" t="n"/>
      <c r="AH110" s="36" t="n"/>
      <c r="AI110" s="36" t="n"/>
      <c r="AJ110" s="36" t="n"/>
      <c r="AK110" s="36" t="n"/>
      <c r="AL110" s="36" t="n"/>
      <c r="AM110" s="24" t="n"/>
      <c r="AN110" s="24" t="n"/>
      <c r="AO110" s="24" t="n"/>
      <c r="AP110" s="265" t="n">
        <v>0</v>
      </c>
      <c r="AQ110" s="265" t="n">
        <v>0.05</v>
      </c>
      <c r="AR110" s="265" t="n">
        <v>0.05</v>
      </c>
      <c r="AS110" s="265" t="n">
        <v>0.05</v>
      </c>
      <c r="AT110" s="265" t="n">
        <v>0.05</v>
      </c>
      <c r="AU110" s="19" t="n"/>
    </row>
    <row r="111" ht="15" customHeight="1" s="251">
      <c r="B111" s="25" t="inlineStr">
        <is>
          <t xml:space="preserve">  Acquired intangibles % of spend</t>
        </is>
      </c>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c r="AF111" s="36" t="n"/>
      <c r="AG111" s="36" t="n"/>
      <c r="AH111" s="36" t="n"/>
      <c r="AI111" s="36" t="n"/>
      <c r="AJ111" s="36" t="n"/>
      <c r="AK111" s="36" t="n"/>
      <c r="AL111" s="36" t="n"/>
      <c r="AM111" s="24" t="n"/>
      <c r="AN111" s="24" t="n"/>
      <c r="AO111" s="24" t="n"/>
      <c r="AP111" s="265" t="n">
        <v>0</v>
      </c>
      <c r="AQ111" s="265" t="n">
        <v>0.55</v>
      </c>
      <c r="AR111" s="265" t="n">
        <v>0.55</v>
      </c>
      <c r="AS111" s="265" t="n">
        <v>0.55</v>
      </c>
      <c r="AT111" s="265" t="n">
        <v>0.55</v>
      </c>
      <c r="AU111" s="19" t="inlineStr">
        <is>
          <t>PPAs: Cantel 82% of consideration (excl. debt) in intangibles, BD instrumentation 56%, Synergy 35% (asset-heavy AST / HSS).</t>
        </is>
      </c>
    </row>
    <row r="112" ht="15" customHeight="1" s="251">
      <c r="B112" s="25" t="inlineStr">
        <is>
          <t xml:space="preserve">  Intangible amortization life (years)</t>
        </is>
      </c>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c r="AF112" s="36" t="n"/>
      <c r="AG112" s="36" t="n"/>
      <c r="AH112" s="36" t="n"/>
      <c r="AI112" s="36" t="n"/>
      <c r="AJ112" s="36" t="n"/>
      <c r="AK112" s="36" t="n"/>
      <c r="AL112" s="36" t="n"/>
      <c r="AM112" s="24" t="n"/>
      <c r="AN112" s="24" t="n"/>
      <c r="AO112" s="24" t="n"/>
      <c r="AP112" s="273" t="n">
        <v>0</v>
      </c>
      <c r="AQ112" s="273" t="n">
        <v>10</v>
      </c>
      <c r="AR112" s="273" t="n">
        <v>10</v>
      </c>
      <c r="AS112" s="273" t="n">
        <v>10</v>
      </c>
      <c r="AT112" s="273" t="n">
        <v>10</v>
      </c>
      <c r="AU112" s="19" t="n"/>
    </row>
    <row r="113" ht="15" customHeight="1" s="251">
      <c r="B113" s="25" t="inlineStr">
        <is>
          <t xml:space="preserve">  Cumulative acquired intangibles (gross)</t>
        </is>
      </c>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c r="V113" s="34" t="n"/>
      <c r="W113" s="34" t="n"/>
      <c r="X113" s="34" t="n"/>
      <c r="Y113" s="34" t="n"/>
      <c r="Z113" s="34" t="n"/>
      <c r="AA113" s="34" t="n"/>
      <c r="AB113" s="34" t="n"/>
      <c r="AC113" s="34" t="n"/>
      <c r="AD113" s="34" t="n"/>
      <c r="AE113" s="34" t="n"/>
      <c r="AF113" s="34" t="n"/>
      <c r="AG113" s="34" t="n"/>
      <c r="AH113" s="34" t="n"/>
      <c r="AI113" s="34" t="n"/>
      <c r="AJ113" s="34" t="n"/>
      <c r="AK113" s="34" t="n"/>
      <c r="AL113" s="34" t="n"/>
      <c r="AM113" s="35" t="n"/>
      <c r="AN113" s="35" t="n"/>
      <c r="AO113" s="35" t="n"/>
      <c r="AP113" s="268" t="n">
        <v>0</v>
      </c>
      <c r="AQ113" s="269">
        <f>AP113+AQ102*AQ111</f>
        <v/>
      </c>
      <c r="AR113" s="269">
        <f>AQ113+AR102*AR111</f>
        <v/>
      </c>
      <c r="AS113" s="269">
        <f>AR113+AS102*AS111</f>
        <v/>
      </c>
      <c r="AT113" s="269">
        <f>AS113+AT102*AT111</f>
        <v/>
      </c>
      <c r="AU113" s="19" t="n"/>
    </row>
    <row r="114" ht="15" customHeight="1" s="251">
      <c r="B114" s="25" t="inlineStr">
        <is>
          <t xml:space="preserve">  Amortization of future-acquisition intangibles</t>
        </is>
      </c>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c r="AA114" s="34" t="n"/>
      <c r="AB114" s="34" t="n"/>
      <c r="AC114" s="34" t="n"/>
      <c r="AD114" s="34" t="n"/>
      <c r="AE114" s="34" t="n"/>
      <c r="AF114" s="34" t="n"/>
      <c r="AG114" s="34" t="n"/>
      <c r="AH114" s="34" t="n"/>
      <c r="AI114" s="34" t="n"/>
      <c r="AJ114" s="34" t="n"/>
      <c r="AK114" s="34" t="n"/>
      <c r="AL114" s="34" t="n"/>
      <c r="AM114" s="35" t="n"/>
      <c r="AN114" s="35" t="n"/>
      <c r="AO114" s="35" t="n"/>
      <c r="AP114" s="268" t="n">
        <v>0</v>
      </c>
      <c r="AQ114" s="269">
        <f>IFERROR((AP113+0.5*AQ102*AQ111)/AQ112,0)</f>
        <v/>
      </c>
      <c r="AR114" s="269">
        <f>IFERROR((AQ113+0.5*AR102*AR111)/AR112,0)</f>
        <v/>
      </c>
      <c r="AS114" s="269">
        <f>IFERROR((AR113+0.5*AS102*AS111)/AS112,0)</f>
        <v/>
      </c>
      <c r="AT114" s="269">
        <f>IFERROR((AS113+0.5*AT102*AT111)/AT112,0)</f>
        <v/>
      </c>
      <c r="AU114" s="19" t="inlineStr">
        <is>
          <t>Non-cash; excluded from adjusted operating income and adjusted EPS (company definition).</t>
        </is>
      </c>
    </row>
    <row r="115" ht="15" customHeight="1" s="251">
      <c r="BC115" s="11" t="n"/>
      <c r="BD115" s="12" t="n"/>
      <c r="BE115" s="12" t="n"/>
      <c r="BF115" s="12" t="n"/>
      <c r="BG115" s="13" t="n"/>
    </row>
    <row r="116" ht="15" customHeight="1" s="251">
      <c r="B116" s="14" t="inlineStr">
        <is>
          <t>Group Total — revenue &amp; adjusted operating income (segment build) → FY27 outlook calibration</t>
        </is>
      </c>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5" t="inlineStr">
        <is>
          <t>GROUP TOTAL (CONSOLIDATED) — modelling logic</t>
        </is>
      </c>
    </row>
    <row r="117" ht="15" customHeight="1" s="251">
      <c r="B117" s="55" t="inlineStr">
        <is>
          <t>Revenue (segment build)</t>
        </is>
      </c>
      <c r="C117" s="274">
        <f>IF(ISNUMBER(C20),C20+C38+C58+N(C70)+N(C72),C159)</f>
        <v/>
      </c>
      <c r="D117" s="274">
        <f>IF(ISNUMBER(D20),D20+D38+D58+N(D70)+N(D72),D159)</f>
        <v/>
      </c>
      <c r="E117" s="274">
        <f>IF(ISNUMBER(E20),E20+E38+E58+N(E70)+N(E72),E159)</f>
        <v/>
      </c>
      <c r="F117" s="274">
        <f>IF(ISNUMBER(F20),F20+F38+F58+N(F70)+N(F72),F159)</f>
        <v/>
      </c>
      <c r="G117" s="274">
        <f>IF(ISNUMBER(G20),G20+G38+G58+N(G70)+N(G72),G159)</f>
        <v/>
      </c>
      <c r="H117" s="274">
        <f>IF(ISNUMBER(H20),H20+H38+H58+N(H70)+N(H72),H159)</f>
        <v/>
      </c>
      <c r="I117" s="274">
        <f>IF(ISNUMBER(I20),I20+I38+I58+N(I70)+N(I72),I159)</f>
        <v/>
      </c>
      <c r="J117" s="274">
        <f>IF(ISNUMBER(J20),J20+J38+J58+N(J70)+N(J72),J159)</f>
        <v/>
      </c>
      <c r="K117" s="274">
        <f>IF(ISNUMBER(K20),K20+K38+K58+N(K70)+N(K72),K159)</f>
        <v/>
      </c>
      <c r="L117" s="274">
        <f>IF(ISNUMBER(L20),L20+L38+L58+N(L70)+N(L72),L159)</f>
        <v/>
      </c>
      <c r="M117" s="274">
        <f>IF(ISNUMBER(M20),M20+M38+M58+N(M70)+N(M72),M159)</f>
        <v/>
      </c>
      <c r="N117" s="274">
        <f>IF(ISNUMBER(N20),N20+N38+N58+N(N70)+N(N72),N159)</f>
        <v/>
      </c>
      <c r="O117" s="274">
        <f>IF(ISNUMBER(O20),O20+O38+O58+N(O70)+N(O72),O159)</f>
        <v/>
      </c>
      <c r="P117" s="274">
        <f>IF(ISNUMBER(P20),P20+P38+P58+N(P70)+N(P72),P159)</f>
        <v/>
      </c>
      <c r="Q117" s="274">
        <f>IF(ISNUMBER(Q20),Q20+Q38+Q58+N(Q70)+N(Q72),Q159)</f>
        <v/>
      </c>
      <c r="R117" s="274">
        <f>IF(ISNUMBER(R20),R20+R38+R58+N(R70)+N(R72),R159)</f>
        <v/>
      </c>
      <c r="S117" s="274">
        <f>IF(ISNUMBER(S20),S20+S38+S58+N(S70)+N(S72),S159)</f>
        <v/>
      </c>
      <c r="T117" s="274">
        <f>IF(ISNUMBER(T20),T20+T38+T58+N(T70)+N(T72),T159)</f>
        <v/>
      </c>
      <c r="U117" s="274">
        <f>IF(ISNUMBER(U20),U20+U38+U58+N(U70)+N(U72),U159)</f>
        <v/>
      </c>
      <c r="V117" s="274">
        <f>IF(ISNUMBER(V20),V20+V38+V58+N(V70)+N(V72),V159)</f>
        <v/>
      </c>
      <c r="W117" s="274">
        <f>IF(ISNUMBER(W20),W20+W38+W58+N(W70)+N(W72),W159)</f>
        <v/>
      </c>
      <c r="X117" s="274">
        <f>IF(ISNUMBER(X20),X20+X38+X58+N(X70)+N(X72),X159)</f>
        <v/>
      </c>
      <c r="Y117" s="274">
        <f>IF(ISNUMBER(Y20),Y20+Y38+Y58+N(Y70)+N(Y72),Y159)</f>
        <v/>
      </c>
      <c r="Z117" s="274">
        <f>IF(ISNUMBER(Z20),Z20+Z38+Z58+N(Z70)+N(Z72),Z159)</f>
        <v/>
      </c>
      <c r="AA117" s="274">
        <f>IF(ISNUMBER(AA20),AA20+AA38+AA58+N(AA70)+N(AA72),AA159)</f>
        <v/>
      </c>
      <c r="AB117" s="274">
        <f>IF(ISNUMBER(AB20),AB20+AB38+AB58+N(AB70)+N(AB72),AB159)</f>
        <v/>
      </c>
      <c r="AC117" s="274">
        <f>IF(ISNUMBER(AC20),AC20+AC38+AC58+N(AC70)+N(AC72),AC159)</f>
        <v/>
      </c>
      <c r="AD117" s="274">
        <f>IF(ISNUMBER(AD20),AD20+AD38+AD58+N(AD70)+N(AD72),AD159)</f>
        <v/>
      </c>
      <c r="AE117" s="274">
        <f>IF(ISNUMBER(AE20),AE20+AE38+AE58+N(AE70)+N(AE72),AE159)</f>
        <v/>
      </c>
      <c r="AF117" s="274">
        <f>IF(ISNUMBER(AF20),AF20+AF38+AF58+N(AF70)+N(AF72),AF159)</f>
        <v/>
      </c>
      <c r="AG117" s="274">
        <f>IF(ISNUMBER(AG20),AG20+AG38+AG58+N(AG70)+N(AG72),AG159)</f>
        <v/>
      </c>
      <c r="AH117" s="274">
        <f>IF(ISNUMBER(AH20),AH20+AH38+AH58+N(AH70)+N(AH72),AH159)</f>
        <v/>
      </c>
      <c r="AI117" s="274">
        <f>IF(ISNUMBER(AI20),AI20+AI38+AI58+N(AI70)+N(AI72),AI159)</f>
        <v/>
      </c>
      <c r="AJ117" s="274">
        <f>IF(ISNUMBER(AJ20),AJ20+AJ38+AJ58+N(AJ70)+N(AJ72),AJ159)</f>
        <v/>
      </c>
      <c r="AK117" s="274">
        <f>IF(ISNUMBER(AK20),AK20+AK38+AK58+N(AK70)+N(AK72),AK159)</f>
        <v/>
      </c>
      <c r="AL117" s="274">
        <f>IF(ISNUMBER(AL20),AL20+AL38+AL58+N(AL70)+N(AL72),AL159)</f>
        <v/>
      </c>
      <c r="AM117" s="274">
        <f>AM20+AM38+AM58+N(AM107)</f>
        <v/>
      </c>
      <c r="AN117" s="274">
        <f>AN20+AN38+AN58+N(AN107)</f>
        <v/>
      </c>
      <c r="AO117" s="274">
        <f>AO20+AO38+AO58+N(AO107)</f>
        <v/>
      </c>
      <c r="AP117" s="274">
        <f>AP20+AP38+AP58+N(AP107)</f>
        <v/>
      </c>
      <c r="AQ117" s="274">
        <f>AQ20+AQ38+AQ58+N(AQ107)</f>
        <v/>
      </c>
      <c r="AR117" s="274">
        <f>AR20+AR38+AR58+N(AR107)</f>
        <v/>
      </c>
      <c r="AS117" s="274">
        <f>AS20+AS38+AS58+N(AS107)</f>
        <v/>
      </c>
      <c r="AT117" s="274">
        <f>AT20+AT38+AT58+N(AT107)</f>
        <v/>
      </c>
      <c r="AU117" s="153" t="inlineStr">
        <is>
          <t>Σ segment revenue by type (+ Dental FY2022, Corporate &amp; other FY2012–17, future acquisitions from 2028E).</t>
        </is>
      </c>
      <c r="AW117" s="20">
        <f>IFERROR((AT117/AK117)^(1/5)-1,"n/m")</f>
        <v/>
      </c>
      <c r="AX117" s="20">
        <f>IFERROR((AK117/L117)^(1/5)-1,"n/m")</f>
        <v/>
      </c>
      <c r="AY117" s="20">
        <f>IFERROR((AK117/G117)^(1/10)-1,"n/m")</f>
        <v/>
      </c>
      <c r="AZ117" s="20">
        <f>IFERROR((AK117/C117)^(1/14)-1,"n/m")</f>
        <v/>
      </c>
    </row>
    <row r="118" ht="15" customHeight="1" s="251">
      <c r="B118" s="22" t="inlineStr">
        <is>
          <t xml:space="preserve">  Revenue y/y %</t>
        </is>
      </c>
      <c r="C118" s="23" t="n"/>
      <c r="D118" s="255">
        <f>IF(AND(ISNUMBER(D117),ISNUMBER(C117)),IFERROR(D117/C117-1,""),"")</f>
        <v/>
      </c>
      <c r="E118" s="255">
        <f>IF(AND(ISNUMBER(E117),ISNUMBER(D117)),IFERROR(E117/D117-1,""),"")</f>
        <v/>
      </c>
      <c r="F118" s="255">
        <f>IF(AND(ISNUMBER(F117),ISNUMBER(E117)),IFERROR(F117/E117-1,""),"")</f>
        <v/>
      </c>
      <c r="G118" s="255">
        <f>IF(AND(ISNUMBER(G117),ISNUMBER(F117)),IFERROR(G117/F117-1,""),"")</f>
        <v/>
      </c>
      <c r="H118" s="255">
        <f>IF(AND(ISNUMBER(H117),ISNUMBER(G117)),IFERROR(H117/G117-1,""),"")</f>
        <v/>
      </c>
      <c r="I118" s="255">
        <f>IF(AND(ISNUMBER(I117),ISNUMBER(H117)),IFERROR(I117/H117-1,""),"")</f>
        <v/>
      </c>
      <c r="J118" s="255">
        <f>IF(AND(ISNUMBER(J117),ISNUMBER(I117)),IFERROR(J117/I117-1,""),"")</f>
        <v/>
      </c>
      <c r="K118" s="255">
        <f>IF(AND(ISNUMBER(K117),ISNUMBER(J117)),IFERROR(K117/J117-1,""),"")</f>
        <v/>
      </c>
      <c r="L118" s="255">
        <f>IF(AND(ISNUMBER(L117),ISNUMBER(K117)),IFERROR(L117/K117-1,""),"")</f>
        <v/>
      </c>
      <c r="M118" s="23" t="n"/>
      <c r="N118" s="23" t="n"/>
      <c r="O118" s="23" t="n"/>
      <c r="P118" s="23" t="n"/>
      <c r="Q118" s="255">
        <f>IF(AND(ISNUMBER(Q117),ISNUMBER(L117)),IFERROR(Q117/L117-1,""),"")</f>
        <v/>
      </c>
      <c r="R118" s="255">
        <f>IF(AND(ISNUMBER(R117),ISNUMBER(M117)),IFERROR(R117/M117-1,""),"")</f>
        <v/>
      </c>
      <c r="S118" s="255">
        <f>IF(AND(ISNUMBER(S117),ISNUMBER(N117)),IFERROR(S117/N117-1,""),"")</f>
        <v/>
      </c>
      <c r="T118" s="255">
        <f>IF(AND(ISNUMBER(T117),ISNUMBER(O117)),IFERROR(T117/O117-1,""),"")</f>
        <v/>
      </c>
      <c r="U118" s="255">
        <f>IF(AND(ISNUMBER(U117),ISNUMBER(P117)),IFERROR(U117/P117-1,""),"")</f>
        <v/>
      </c>
      <c r="V118" s="255">
        <f>IF(AND(ISNUMBER(V117),ISNUMBER(Q117)),IFERROR(V117/Q117-1,""),"")</f>
        <v/>
      </c>
      <c r="W118" s="255">
        <f>IF(AND(ISNUMBER(W117),ISNUMBER(R117)),IFERROR(W117/R117-1,""),"")</f>
        <v/>
      </c>
      <c r="X118" s="255">
        <f>IF(AND(ISNUMBER(X117),ISNUMBER(S117)),IFERROR(X117/S117-1,""),"")</f>
        <v/>
      </c>
      <c r="Y118" s="255">
        <f>IF(AND(ISNUMBER(Y117),ISNUMBER(T117)),IFERROR(Y117/T117-1,""),"")</f>
        <v/>
      </c>
      <c r="Z118" s="255">
        <f>IF(AND(ISNUMBER(Z117),ISNUMBER(U117)),IFERROR(Z117/U117-1,""),"")</f>
        <v/>
      </c>
      <c r="AA118" s="255">
        <f>IF(AND(ISNUMBER(AA117),ISNUMBER(V117)),IFERROR(AA117/V117-1,""),"")</f>
        <v/>
      </c>
      <c r="AB118" s="255">
        <f>IF(AND(ISNUMBER(AB117),ISNUMBER(W117)),IFERROR(AB117/W117-1,""),"")</f>
        <v/>
      </c>
      <c r="AC118" s="255">
        <f>IF(AND(ISNUMBER(AC117),ISNUMBER(X117)),IFERROR(AC117/X117-1,""),"")</f>
        <v/>
      </c>
      <c r="AD118" s="255">
        <f>IF(AND(ISNUMBER(AD117),ISNUMBER(Y117)),IFERROR(AD117/Y117-1,""),"")</f>
        <v/>
      </c>
      <c r="AE118" s="255">
        <f>IF(AND(ISNUMBER(AE117),ISNUMBER(Z117)),IFERROR(AE117/Z117-1,""),"")</f>
        <v/>
      </c>
      <c r="AF118" s="255">
        <f>IF(AND(ISNUMBER(AF117),ISNUMBER(AA117)),IFERROR(AF117/AA117-1,""),"")</f>
        <v/>
      </c>
      <c r="AG118" s="255">
        <f>IF(AND(ISNUMBER(AG117),ISNUMBER(AB117)),IFERROR(AG117/AB117-1,""),"")</f>
        <v/>
      </c>
      <c r="AH118" s="255">
        <f>IF(AND(ISNUMBER(AH117),ISNUMBER(AC117)),IFERROR(AH117/AC117-1,""),"")</f>
        <v/>
      </c>
      <c r="AI118" s="255">
        <f>IF(AND(ISNUMBER(AI117),ISNUMBER(AD117)),IFERROR(AI117/AD117-1,""),"")</f>
        <v/>
      </c>
      <c r="AJ118" s="255">
        <f>IF(AND(ISNUMBER(AJ117),ISNUMBER(AE117)),IFERROR(AJ117/AE117-1,""),"")</f>
        <v/>
      </c>
      <c r="AK118" s="255">
        <f>IF(AND(ISNUMBER(AK117),ISNUMBER(AF117)),IFERROR(AK117/AF117-1,""),"")</f>
        <v/>
      </c>
      <c r="AL118" s="255">
        <f>IF(AND(ISNUMBER(AL117),ISNUMBER(AG117)),IFERROR(AL117/AG117-1,""),"")</f>
        <v/>
      </c>
      <c r="AM118" s="256">
        <f>IF(AND(ISNUMBER(AM117),ISNUMBER(AH117)),IFERROR(AM117/AH117-1,""),"")</f>
        <v/>
      </c>
      <c r="AN118" s="256">
        <f>IF(AND(ISNUMBER(AN117),ISNUMBER(AI117)),IFERROR(AN117/AI117-1,""),"")</f>
        <v/>
      </c>
      <c r="AO118" s="256">
        <f>IF(AND(ISNUMBER(AO117),ISNUMBER(AJ117)),IFERROR(AO117/AJ117-1,""),"")</f>
        <v/>
      </c>
      <c r="AP118" s="256">
        <f>IF(AND(ISNUMBER(AP117),ISNUMBER(AK117)),IFERROR(AP117/AK117-1,""),"")</f>
        <v/>
      </c>
      <c r="AQ118" s="256">
        <f>IF(AND(ISNUMBER(AQ117),ISNUMBER(AP117)),IFERROR(AQ117/AP117-1,""),"")</f>
        <v/>
      </c>
      <c r="AR118" s="256">
        <f>IF(AND(ISNUMBER(AR117),ISNUMBER(AQ117)),IFERROR(AR117/AQ117-1,""),"")</f>
        <v/>
      </c>
      <c r="AS118" s="256">
        <f>IF(AND(ISNUMBER(AS117),ISNUMBER(AR117)),IFERROR(AS117/AR117-1,""),"")</f>
        <v/>
      </c>
      <c r="AT118" s="256">
        <f>IF(AND(ISNUMBER(AT117),ISNUMBER(AS117)),IFERROR(AT117/AS117-1,""),"")</f>
        <v/>
      </c>
      <c r="AU118" s="153" t="n"/>
    </row>
    <row r="119" ht="15" customHeight="1" s="251">
      <c r="B119" s="57" t="inlineStr">
        <is>
          <t xml:space="preserve">  Check: segment build vs consolidated revenue (should be 0)</t>
        </is>
      </c>
      <c r="C119" s="263">
        <f>IF(ISNUMBER(C117),IF(ABS(C117-C159)&lt;=0.25,0,ROUND(C117-C159,1)),"")</f>
        <v/>
      </c>
      <c r="D119" s="263">
        <f>IF(ISNUMBER(D117),IF(ABS(D117-D159)&lt;=0.25,0,ROUND(D117-D159,1)),"")</f>
        <v/>
      </c>
      <c r="E119" s="263">
        <f>IF(ISNUMBER(E117),IF(ABS(E117-E159)&lt;=0.25,0,ROUND(E117-E159,1)),"")</f>
        <v/>
      </c>
      <c r="F119" s="263">
        <f>IF(ISNUMBER(F117),IF(ABS(F117-F159)&lt;=0.25,0,ROUND(F117-F159,1)),"")</f>
        <v/>
      </c>
      <c r="G119" s="263">
        <f>IF(ISNUMBER(G117),IF(ABS(G117-G159)&lt;=0.25,0,ROUND(G117-G159,1)),"")</f>
        <v/>
      </c>
      <c r="H119" s="263">
        <f>IF(ISNUMBER(H117),IF(ABS(H117-H159)&lt;=0.25,0,ROUND(H117-H159,1)),"")</f>
        <v/>
      </c>
      <c r="I119" s="263">
        <f>IF(ISNUMBER(I117),IF(ABS(I117-I159)&lt;=0.25,0,ROUND(I117-I159,1)),"")</f>
        <v/>
      </c>
      <c r="J119" s="263">
        <f>IF(ISNUMBER(J117),IF(ABS(J117-J159)&lt;=0.25,0,ROUND(J117-J159,1)),"")</f>
        <v/>
      </c>
      <c r="K119" s="263">
        <f>IF(ISNUMBER(K117),IF(ABS(K117-K159)&lt;=0.25,0,ROUND(K117-K159,1)),"")</f>
        <v/>
      </c>
      <c r="L119" s="263">
        <f>IF(ISNUMBER(L117),IF(ABS(L117-L159)&lt;=0.25,0,ROUND(L117-L159,1)),"")</f>
        <v/>
      </c>
      <c r="M119" s="263">
        <f>IF(ISNUMBER(M117),IF(ABS(M117-M159)&lt;=0.25,0,ROUND(M117-M159,1)),"")</f>
        <v/>
      </c>
      <c r="N119" s="263">
        <f>IF(ISNUMBER(N117),IF(ABS(N117-N159)&lt;=0.25,0,ROUND(N117-N159,1)),"")</f>
        <v/>
      </c>
      <c r="O119" s="263">
        <f>IF(ISNUMBER(O117),IF(ABS(O117-O159)&lt;=0.25,0,ROUND(O117-O159,1)),"")</f>
        <v/>
      </c>
      <c r="P119" s="263">
        <f>IF(ISNUMBER(P117),IF(ABS(P117-P159)&lt;=0.25,0,ROUND(P117-P159,1)),"")</f>
        <v/>
      </c>
      <c r="Q119" s="263">
        <f>IF(ISNUMBER(Q117),IF(ABS(Q117-Q159)&lt;=0.25,0,ROUND(Q117-Q159,1)),"")</f>
        <v/>
      </c>
      <c r="R119" s="263">
        <f>IF(ISNUMBER(R117),IF(ABS(R117-R159)&lt;=0.25,0,ROUND(R117-R159,1)),"")</f>
        <v/>
      </c>
      <c r="S119" s="263">
        <f>IF(ISNUMBER(S117),IF(ABS(S117-S159)&lt;=0.25,0,ROUND(S117-S159,1)),"")</f>
        <v/>
      </c>
      <c r="T119" s="263">
        <f>IF(ISNUMBER(T117),IF(ABS(T117-T159)&lt;=0.25,0,ROUND(T117-T159,1)),"")</f>
        <v/>
      </c>
      <c r="U119" s="263">
        <f>IF(ISNUMBER(U117),IF(ABS(U117-U159)&lt;=0.25,0,ROUND(U117-U159,1)),"")</f>
        <v/>
      </c>
      <c r="V119" s="263">
        <f>IF(ISNUMBER(V117),IF(ABS(V117-V159)&lt;=0.25,0,ROUND(V117-V159,1)),"")</f>
        <v/>
      </c>
      <c r="W119" s="263">
        <f>IF(ISNUMBER(W117),IF(ABS(W117-W159)&lt;=0.25,0,ROUND(W117-W159,1)),"")</f>
        <v/>
      </c>
      <c r="X119" s="263">
        <f>IF(ISNUMBER(X117),IF(ABS(X117-X159)&lt;=0.25,0,ROUND(X117-X159,1)),"")</f>
        <v/>
      </c>
      <c r="Y119" s="263">
        <f>IF(ISNUMBER(Y117),IF(ABS(Y117-Y159)&lt;=0.25,0,ROUND(Y117-Y159,1)),"")</f>
        <v/>
      </c>
      <c r="Z119" s="263">
        <f>IF(ISNUMBER(Z117),IF(ABS(Z117-Z159)&lt;=0.25,0,ROUND(Z117-Z159,1)),"")</f>
        <v/>
      </c>
      <c r="AA119" s="263">
        <f>IF(ISNUMBER(AA117),IF(ABS(AA117-AA159)&lt;=0.25,0,ROUND(AA117-AA159,1)),"")</f>
        <v/>
      </c>
      <c r="AB119" s="263">
        <f>IF(ISNUMBER(AB117),IF(ABS(AB117-AB159)&lt;=0.25,0,ROUND(AB117-AB159,1)),"")</f>
        <v/>
      </c>
      <c r="AC119" s="263">
        <f>IF(ISNUMBER(AC117),IF(ABS(AC117-AC159)&lt;=0.25,0,ROUND(AC117-AC159,1)),"")</f>
        <v/>
      </c>
      <c r="AD119" s="263">
        <f>IF(ISNUMBER(AD117),IF(ABS(AD117-AD159)&lt;=0.25,0,ROUND(AD117-AD159,1)),"")</f>
        <v/>
      </c>
      <c r="AE119" s="263">
        <f>IF(ISNUMBER(AE117),IF(ABS(AE117-AE159)&lt;=0.25,0,ROUND(AE117-AE159,1)),"")</f>
        <v/>
      </c>
      <c r="AF119" s="263">
        <f>IF(ISNUMBER(AF117),IF(ABS(AF117-AF159)&lt;=0.25,0,ROUND(AF117-AF159,1)),"")</f>
        <v/>
      </c>
      <c r="AG119" s="263">
        <f>IF(ISNUMBER(AG117),IF(ABS(AG117-AG159)&lt;=0.25,0,ROUND(AG117-AG159,1)),"")</f>
        <v/>
      </c>
      <c r="AH119" s="263">
        <f>IF(ISNUMBER(AH117),IF(ABS(AH117-AH159)&lt;=0.25,0,ROUND(AH117-AH159,1)),"")</f>
        <v/>
      </c>
      <c r="AI119" s="263">
        <f>IF(ISNUMBER(AI117),IF(ABS(AI117-AI159)&lt;=0.25,0,ROUND(AI117-AI159,1)),"")</f>
        <v/>
      </c>
      <c r="AJ119" s="263">
        <f>IF(ISNUMBER(AJ117),IF(ABS(AJ117-AJ159)&lt;=0.25,0,ROUND(AJ117-AJ159,1)),"")</f>
        <v/>
      </c>
      <c r="AK119" s="263">
        <f>IF(ISNUMBER(AK117),IF(ABS(AK117-AK159)&lt;=0.25,0,ROUND(AK117-AK159,1)),"")</f>
        <v/>
      </c>
      <c r="AL119" s="263">
        <f>IF(ISNUMBER(AL117),IF(ABS(AL117-AL159)&lt;=0.25,0,ROUND(AL117-AL159,1)),"")</f>
        <v/>
      </c>
      <c r="AM119" s="275">
        <f>IF(ISNUMBER(AM117),IF(ABS(AM117-AM159)&lt;=0.25,0,ROUND(AM117-AM159,1)),"")</f>
        <v/>
      </c>
      <c r="AN119" s="275">
        <f>IF(ISNUMBER(AN117),IF(ABS(AN117-AN159)&lt;=0.25,0,ROUND(AN117-AN159,1)),"")</f>
        <v/>
      </c>
      <c r="AO119" s="275">
        <f>IF(ISNUMBER(AO117),IF(ABS(AO117-AO159)&lt;=0.25,0,ROUND(AO117-AO159,1)),"")</f>
        <v/>
      </c>
      <c r="AP119" s="275">
        <f>IF(ISNUMBER(AP117),IF(ABS(AP117-AP159)&lt;=0.25,0,ROUND(AP117-AP159,1)),"")</f>
        <v/>
      </c>
      <c r="AQ119" s="275">
        <f>IF(ISNUMBER(AQ117),IF(ABS(AQ117-AQ159)&lt;=0.25,0,ROUND(AQ117-AQ159,1)),"")</f>
        <v/>
      </c>
      <c r="AR119" s="275">
        <f>IF(ISNUMBER(AR117),IF(ABS(AR117-AR159)&lt;=0.25,0,ROUND(AR117-AR159,1)),"")</f>
        <v/>
      </c>
      <c r="AS119" s="275">
        <f>IF(ISNUMBER(AS117),IF(ABS(AS117-AS159)&lt;=0.25,0,ROUND(AS117-AS159,1)),"")</f>
        <v/>
      </c>
      <c r="AT119" s="275">
        <f>IF(ISNUMBER(AT117),IF(ABS(AT117-AT159)&lt;=0.25,0,ROUND(AT117-AT159,1)),"")</f>
        <v/>
      </c>
      <c r="AU119" s="153" t="n"/>
    </row>
    <row r="120" ht="15" customHeight="1" s="251">
      <c r="B120" s="55" t="inlineStr">
        <is>
          <t>Adjusted operating income (segment build)</t>
        </is>
      </c>
      <c r="C120" s="274">
        <f>IF(ISNUMBER(C26),C26+C43+C64+N(C71)+C75+N(C109),"")</f>
        <v/>
      </c>
      <c r="D120" s="274">
        <f>IF(ISNUMBER(D26),D26+D43+D64+N(D71)+D75+N(D109),"")</f>
        <v/>
      </c>
      <c r="E120" s="274">
        <f>IF(ISNUMBER(E26),E26+E43+E64+N(E71)+E75+N(E109),"")</f>
        <v/>
      </c>
      <c r="F120" s="274">
        <f>IF(ISNUMBER(F26),F26+F43+F64+N(F71)+F75+N(F109),"")</f>
        <v/>
      </c>
      <c r="G120" s="274">
        <f>IF(ISNUMBER(G26),G26+G43+G64+N(G71)+G75+N(G109),"")</f>
        <v/>
      </c>
      <c r="H120" s="274">
        <f>IF(ISNUMBER(H26),H26+H43+H64+N(H71)+H75+N(H109),"")</f>
        <v/>
      </c>
      <c r="I120" s="274">
        <f>IF(ISNUMBER(I26),I26+I43+I64+N(I71)+I75+N(I109),"")</f>
        <v/>
      </c>
      <c r="J120" s="274">
        <f>IF(ISNUMBER(J26),J26+J43+J64+N(J71)+J75+N(J109),"")</f>
        <v/>
      </c>
      <c r="K120" s="274">
        <f>IF(ISNUMBER(K26),K26+K43+K64+N(K71)+K75+N(K109),"")</f>
        <v/>
      </c>
      <c r="L120" s="274">
        <f>IF(ISNUMBER(L26),L26+L43+L64+N(L71)+L75+N(L109),"")</f>
        <v/>
      </c>
      <c r="M120" s="274">
        <f>IF(ISNUMBER(M26),M26+M43+M64+N(M71)+M75+N(M109),"")</f>
        <v/>
      </c>
      <c r="N120" s="274">
        <f>IF(ISNUMBER(N26),N26+N43+N64+N(N71)+N75+N(N109),"")</f>
        <v/>
      </c>
      <c r="O120" s="274">
        <f>IF(ISNUMBER(O26),O26+O43+O64+N(O71)+O75+N(O109),"")</f>
        <v/>
      </c>
      <c r="P120" s="274">
        <f>IF(ISNUMBER(P26),P26+P43+P64+N(P71)+P75+N(P109),"")</f>
        <v/>
      </c>
      <c r="Q120" s="274">
        <f>IF(ISNUMBER(Q26),Q26+Q43+Q64+N(Q71)+Q75+N(Q109),"")</f>
        <v/>
      </c>
      <c r="R120" s="274">
        <f>IF(ISNUMBER(R26),R26+R43+R64+N(R71)+R75+N(R109),"")</f>
        <v/>
      </c>
      <c r="S120" s="274">
        <f>IF(ISNUMBER(S26),S26+S43+S64+N(S71)+S75+N(S109),"")</f>
        <v/>
      </c>
      <c r="T120" s="274">
        <f>IF(ISNUMBER(T26),T26+T43+T64+N(T71)+T75+N(T109),"")</f>
        <v/>
      </c>
      <c r="U120" s="274">
        <f>IF(ISNUMBER(U26),U26+U43+U64+N(U71)+U75+N(U109),"")</f>
        <v/>
      </c>
      <c r="V120" s="274">
        <f>IF(ISNUMBER(V26),V26+V43+V64+N(V71)+V75+N(V109),"")</f>
        <v/>
      </c>
      <c r="W120" s="274">
        <f>IF(ISNUMBER(W26),W26+W43+W64+N(W71)+W75+N(W109),"")</f>
        <v/>
      </c>
      <c r="X120" s="274">
        <f>IF(ISNUMBER(X26),X26+X43+X64+N(X71)+X75+N(X109),"")</f>
        <v/>
      </c>
      <c r="Y120" s="274">
        <f>IF(ISNUMBER(Y26),Y26+Y43+Y64+N(Y71)+Y75+N(Y109),"")</f>
        <v/>
      </c>
      <c r="Z120" s="274">
        <f>IF(ISNUMBER(Z26),Z26+Z43+Z64+N(Z71)+Z75+N(Z109),"")</f>
        <v/>
      </c>
      <c r="AA120" s="274">
        <f>IF(ISNUMBER(AA26),AA26+AA43+AA64+N(AA71)+AA75+N(AA109),"")</f>
        <v/>
      </c>
      <c r="AB120" s="274">
        <f>IF(ISNUMBER(AB26),AB26+AB43+AB64+N(AB71)+AB75+N(AB109),"")</f>
        <v/>
      </c>
      <c r="AC120" s="274">
        <f>IF(ISNUMBER(AC26),AC26+AC43+AC64+N(AC71)+AC75+N(AC109),"")</f>
        <v/>
      </c>
      <c r="AD120" s="274">
        <f>IF(ISNUMBER(AD26),AD26+AD43+AD64+N(AD71)+AD75+N(AD109),"")</f>
        <v/>
      </c>
      <c r="AE120" s="274">
        <f>IF(ISNUMBER(AE26),AE26+AE43+AE64+N(AE71)+AE75+N(AE109),"")</f>
        <v/>
      </c>
      <c r="AF120" s="274">
        <f>IF(ISNUMBER(AF26),AF26+AF43+AF64+N(AF71)+AF75+N(AF109),"")</f>
        <v/>
      </c>
      <c r="AG120" s="274">
        <f>IF(ISNUMBER(AG26),AG26+AG43+AG64+N(AG71)+AG75+N(AG109),"")</f>
        <v/>
      </c>
      <c r="AH120" s="274">
        <f>IF(ISNUMBER(AH26),AH26+AH43+AH64+N(AH71)+AH75+N(AH109),"")</f>
        <v/>
      </c>
      <c r="AI120" s="274">
        <f>IF(ISNUMBER(AI26),AI26+AI43+AI64+N(AI71)+AI75+N(AI109),"")</f>
        <v/>
      </c>
      <c r="AJ120" s="274">
        <f>IF(ISNUMBER(AJ26),AJ26+AJ43+AJ64+N(AJ71)+AJ75+N(AJ109),"")</f>
        <v/>
      </c>
      <c r="AK120" s="274">
        <f>IF(ISNUMBER(AK26),AK26+AK43+AK64+N(AK71)+AK75+N(AK109),"")</f>
        <v/>
      </c>
      <c r="AL120" s="274">
        <f>IF(ISNUMBER(AL26),AL26+AL43+AL64+N(AL71)+AL75+N(AL109),"")</f>
        <v/>
      </c>
      <c r="AM120" s="274">
        <f>IF(ISNUMBER(AM26),AM26+AM43+AM64+N(AM71)+AM75+N(AM109),"")</f>
        <v/>
      </c>
      <c r="AN120" s="274">
        <f>IF(ISNUMBER(AN26),AN26+AN43+AN64+N(AN71)+AN75+N(AN109),"")</f>
        <v/>
      </c>
      <c r="AO120" s="274">
        <f>IF(ISNUMBER(AO26),AO26+AO43+AO64+N(AO71)+AO75+N(AO109),"")</f>
        <v/>
      </c>
      <c r="AP120" s="274">
        <f>IF(ISNUMBER(AP26),AP26+AP43+AP64+N(AP71)+AP75+N(AP109),"")</f>
        <v/>
      </c>
      <c r="AQ120" s="274">
        <f>IF(ISNUMBER(AQ26),AQ26+AQ43+AQ64+N(AQ71)+AQ75+N(AQ109),"")</f>
        <v/>
      </c>
      <c r="AR120" s="274">
        <f>IF(ISNUMBER(AR26),AR26+AR43+AR64+N(AR71)+AR75+N(AR109),"")</f>
        <v/>
      </c>
      <c r="AS120" s="274">
        <f>IF(ISNUMBER(AS26),AS26+AS43+AS64+N(AS71)+AS75+N(AS109),"")</f>
        <v/>
      </c>
      <c r="AT120" s="274">
        <f>IF(ISNUMBER(AT26),AT26+AT43+AT64+N(AT71)+AT75+N(AT109),"")</f>
        <v/>
      </c>
      <c r="AU120" s="153" t="inlineStr">
        <is>
          <t>Σ segment operating income + corporate (+ future acquisitions). STERIS's primary profit KPI ("adjusted income from operations"); drives the GAAP P&amp;L below.</t>
        </is>
      </c>
      <c r="AW120" s="20">
        <f>IFERROR((AT120/AK120)^(1/5)-1,"n/m")</f>
        <v/>
      </c>
      <c r="AX120" s="20">
        <f>IFERROR((AK120/L120)^(1/5)-1,"n/m")</f>
        <v/>
      </c>
      <c r="AY120" s="20">
        <f>IFERROR((AK120/G120)^(1/10)-1,"n/m")</f>
        <v/>
      </c>
      <c r="AZ120" s="20">
        <f>IFERROR((AK120/C120)^(1/14)-1,"n/m")</f>
        <v/>
      </c>
    </row>
    <row r="121" ht="15" customHeight="1" s="251">
      <c r="B121" s="25" t="inlineStr">
        <is>
          <t xml:space="preserve">  Adjusted operating margin %</t>
        </is>
      </c>
      <c r="C121" s="215">
        <f>IF(AND(ISNUMBER(C120),ISNUMBER(C159)),IFERROR(C120/C159,""),"")</f>
        <v/>
      </c>
      <c r="D121" s="215">
        <f>IF(AND(ISNUMBER(D120),ISNUMBER(D159)),IFERROR(D120/D159,""),"")</f>
        <v/>
      </c>
      <c r="E121" s="215">
        <f>IF(AND(ISNUMBER(E120),ISNUMBER(E159)),IFERROR(E120/E159,""),"")</f>
        <v/>
      </c>
      <c r="F121" s="215">
        <f>IF(AND(ISNUMBER(F120),ISNUMBER(F159)),IFERROR(F120/F159,""),"")</f>
        <v/>
      </c>
      <c r="G121" s="215">
        <f>IF(AND(ISNUMBER(G120),ISNUMBER(G159)),IFERROR(G120/G159,""),"")</f>
        <v/>
      </c>
      <c r="H121" s="215">
        <f>IF(AND(ISNUMBER(H120),ISNUMBER(H159)),IFERROR(H120/H159,""),"")</f>
        <v/>
      </c>
      <c r="I121" s="215">
        <f>IF(AND(ISNUMBER(I120),ISNUMBER(I159)),IFERROR(I120/I159,""),"")</f>
        <v/>
      </c>
      <c r="J121" s="215">
        <f>IF(AND(ISNUMBER(J120),ISNUMBER(J159)),IFERROR(J120/J159,""),"")</f>
        <v/>
      </c>
      <c r="K121" s="215">
        <f>IF(AND(ISNUMBER(K120),ISNUMBER(K159)),IFERROR(K120/K159,""),"")</f>
        <v/>
      </c>
      <c r="L121" s="215">
        <f>IF(AND(ISNUMBER(L120),ISNUMBER(L159)),IFERROR(L120/L159,""),"")</f>
        <v/>
      </c>
      <c r="M121" s="215">
        <f>IF(AND(ISNUMBER(M120),ISNUMBER(M159)),IFERROR(M120/M159,""),"")</f>
        <v/>
      </c>
      <c r="N121" s="215">
        <f>IF(AND(ISNUMBER(N120),ISNUMBER(N159)),IFERROR(N120/N159,""),"")</f>
        <v/>
      </c>
      <c r="O121" s="215">
        <f>IF(AND(ISNUMBER(O120),ISNUMBER(O159)),IFERROR(O120/O159,""),"")</f>
        <v/>
      </c>
      <c r="P121" s="215">
        <f>IF(AND(ISNUMBER(P120),ISNUMBER(P159)),IFERROR(P120/P159,""),"")</f>
        <v/>
      </c>
      <c r="Q121" s="215">
        <f>IF(AND(ISNUMBER(Q120),ISNUMBER(Q159)),IFERROR(Q120/Q159,""),"")</f>
        <v/>
      </c>
      <c r="R121" s="215">
        <f>IF(AND(ISNUMBER(R120),ISNUMBER(R159)),IFERROR(R120/R159,""),"")</f>
        <v/>
      </c>
      <c r="S121" s="215">
        <f>IF(AND(ISNUMBER(S120),ISNUMBER(S159)),IFERROR(S120/S159,""),"")</f>
        <v/>
      </c>
      <c r="T121" s="215">
        <f>IF(AND(ISNUMBER(T120),ISNUMBER(T159)),IFERROR(T120/T159,""),"")</f>
        <v/>
      </c>
      <c r="U121" s="215">
        <f>IF(AND(ISNUMBER(U120),ISNUMBER(U159)),IFERROR(U120/U159,""),"")</f>
        <v/>
      </c>
      <c r="V121" s="215">
        <f>IF(AND(ISNUMBER(V120),ISNUMBER(V159)),IFERROR(V120/V159,""),"")</f>
        <v/>
      </c>
      <c r="W121" s="215">
        <f>IF(AND(ISNUMBER(W120),ISNUMBER(W159)),IFERROR(W120/W159,""),"")</f>
        <v/>
      </c>
      <c r="X121" s="215">
        <f>IF(AND(ISNUMBER(X120),ISNUMBER(X159)),IFERROR(X120/X159,""),"")</f>
        <v/>
      </c>
      <c r="Y121" s="215">
        <f>IF(AND(ISNUMBER(Y120),ISNUMBER(Y159)),IFERROR(Y120/Y159,""),"")</f>
        <v/>
      </c>
      <c r="Z121" s="215">
        <f>IF(AND(ISNUMBER(Z120),ISNUMBER(Z159)),IFERROR(Z120/Z159,""),"")</f>
        <v/>
      </c>
      <c r="AA121" s="215">
        <f>IF(AND(ISNUMBER(AA120),ISNUMBER(AA159)),IFERROR(AA120/AA159,""),"")</f>
        <v/>
      </c>
      <c r="AB121" s="215">
        <f>IF(AND(ISNUMBER(AB120),ISNUMBER(AB159)),IFERROR(AB120/AB159,""),"")</f>
        <v/>
      </c>
      <c r="AC121" s="215">
        <f>IF(AND(ISNUMBER(AC120),ISNUMBER(AC159)),IFERROR(AC120/AC159,""),"")</f>
        <v/>
      </c>
      <c r="AD121" s="215">
        <f>IF(AND(ISNUMBER(AD120),ISNUMBER(AD159)),IFERROR(AD120/AD159,""),"")</f>
        <v/>
      </c>
      <c r="AE121" s="215">
        <f>IF(AND(ISNUMBER(AE120),ISNUMBER(AE159)),IFERROR(AE120/AE159,""),"")</f>
        <v/>
      </c>
      <c r="AF121" s="215">
        <f>IF(AND(ISNUMBER(AF120),ISNUMBER(AF159)),IFERROR(AF120/AF159,""),"")</f>
        <v/>
      </c>
      <c r="AG121" s="215">
        <f>IF(AND(ISNUMBER(AG120),ISNUMBER(AG159)),IFERROR(AG120/AG159,""),"")</f>
        <v/>
      </c>
      <c r="AH121" s="215">
        <f>IF(AND(ISNUMBER(AH120),ISNUMBER(AH159)),IFERROR(AH120/AH159,""),"")</f>
        <v/>
      </c>
      <c r="AI121" s="215">
        <f>IF(AND(ISNUMBER(AI120),ISNUMBER(AI159)),IFERROR(AI120/AI159,""),"")</f>
        <v/>
      </c>
      <c r="AJ121" s="215">
        <f>IF(AND(ISNUMBER(AJ120),ISNUMBER(AJ159)),IFERROR(AJ120/AJ159,""),"")</f>
        <v/>
      </c>
      <c r="AK121" s="215">
        <f>IF(AND(ISNUMBER(AK120),ISNUMBER(AK159)),IFERROR(AK120/AK159,""),"")</f>
        <v/>
      </c>
      <c r="AL121" s="215">
        <f>IF(AND(ISNUMBER(AL120),ISNUMBER(AL159)),IFERROR(AL120/AL159,""),"")</f>
        <v/>
      </c>
      <c r="AM121" s="256">
        <f>IF(AND(ISNUMBER(AM120),ISNUMBER(AM159)),IFERROR(AM120/AM159,""),"")</f>
        <v/>
      </c>
      <c r="AN121" s="256">
        <f>IF(AND(ISNUMBER(AN120),ISNUMBER(AN159)),IFERROR(AN120/AN159,""),"")</f>
        <v/>
      </c>
      <c r="AO121" s="256">
        <f>IF(AND(ISNUMBER(AO120),ISNUMBER(AO159)),IFERROR(AO120/AO159,""),"")</f>
        <v/>
      </c>
      <c r="AP121" s="256">
        <f>IF(AND(ISNUMBER(AP120),ISNUMBER(AP159)),IFERROR(AP120/AP159,""),"")</f>
        <v/>
      </c>
      <c r="AQ121" s="256">
        <f>IF(AND(ISNUMBER(AQ120),ISNUMBER(AQ159)),IFERROR(AQ120/AQ159,""),"")</f>
        <v/>
      </c>
      <c r="AR121" s="256">
        <f>IF(AND(ISNUMBER(AR120),ISNUMBER(AR159)),IFERROR(AR120/AR159,""),"")</f>
        <v/>
      </c>
      <c r="AS121" s="256">
        <f>IF(AND(ISNUMBER(AS120),ISNUMBER(AS159)),IFERROR(AS120/AS159,""),"")</f>
        <v/>
      </c>
      <c r="AT121" s="256">
        <f>IF(AND(ISNUMBER(AT120),ISNUMBER(AT159)),IFERROR(AT120/AT159,""),"")</f>
        <v/>
      </c>
      <c r="AU121" s="153" t="n"/>
      <c r="AW121" s="37">
        <f>IFERROR(AVERAGE(AP121,AQ121,AR121,AS121,AT121),"n/m")</f>
        <v/>
      </c>
      <c r="AX121" s="37">
        <f>IFERROR(AVERAGE(Q121,V121,AA121,AF121,AK121),"n/m")</f>
        <v/>
      </c>
      <c r="AY121" s="37">
        <f>IFERROR(AVERAGE(H121,I121,J121,K121,L121,Q121,V121,AA121,AF121,AK121),"n/m")</f>
        <v/>
      </c>
      <c r="AZ121" s="37">
        <f>IFERROR(AVERAGE(C121,D121,E121,F121,G121,H121,I121,J121,K121,L121,Q121,V121,AA121,AF121,AK121),"n/m")</f>
        <v/>
      </c>
    </row>
    <row r="122" ht="15" customHeight="1" s="251">
      <c r="B122" s="22" t="inlineStr">
        <is>
          <t xml:space="preserve">  Adjusted operating income y/y %</t>
        </is>
      </c>
      <c r="C122" s="23" t="n"/>
      <c r="D122" s="255">
        <f>IF(AND(ISNUMBER(D120),ISNUMBER(C120)),IFERROR(D120/C120-1,""),"")</f>
        <v/>
      </c>
      <c r="E122" s="255">
        <f>IF(AND(ISNUMBER(E120),ISNUMBER(D120)),IFERROR(E120/D120-1,""),"")</f>
        <v/>
      </c>
      <c r="F122" s="255">
        <f>IF(AND(ISNUMBER(F120),ISNUMBER(E120)),IFERROR(F120/E120-1,""),"")</f>
        <v/>
      </c>
      <c r="G122" s="255">
        <f>IF(AND(ISNUMBER(G120),ISNUMBER(F120)),IFERROR(G120/F120-1,""),"")</f>
        <v/>
      </c>
      <c r="H122" s="255">
        <f>IF(AND(ISNUMBER(H120),ISNUMBER(G120)),IFERROR(H120/G120-1,""),"")</f>
        <v/>
      </c>
      <c r="I122" s="255">
        <f>IF(AND(ISNUMBER(I120),ISNUMBER(H120)),IFERROR(I120/H120-1,""),"")</f>
        <v/>
      </c>
      <c r="J122" s="255">
        <f>IF(AND(ISNUMBER(J120),ISNUMBER(I120)),IFERROR(J120/I120-1,""),"")</f>
        <v/>
      </c>
      <c r="K122" s="255">
        <f>IF(AND(ISNUMBER(K120),ISNUMBER(J120)),IFERROR(K120/J120-1,""),"")</f>
        <v/>
      </c>
      <c r="L122" s="255">
        <f>IF(AND(ISNUMBER(L120),ISNUMBER(K120)),IFERROR(L120/K120-1,""),"")</f>
        <v/>
      </c>
      <c r="M122" s="23" t="n"/>
      <c r="N122" s="23" t="n"/>
      <c r="O122" s="23" t="n"/>
      <c r="P122" s="23" t="n"/>
      <c r="Q122" s="255">
        <f>IF(AND(ISNUMBER(Q120),ISNUMBER(L120)),IFERROR(Q120/L120-1,""),"")</f>
        <v/>
      </c>
      <c r="R122" s="255">
        <f>IF(AND(ISNUMBER(R120),ISNUMBER(M120)),IFERROR(R120/M120-1,""),"")</f>
        <v/>
      </c>
      <c r="S122" s="255">
        <f>IF(AND(ISNUMBER(S120),ISNUMBER(N120)),IFERROR(S120/N120-1,""),"")</f>
        <v/>
      </c>
      <c r="T122" s="255">
        <f>IF(AND(ISNUMBER(T120),ISNUMBER(O120)),IFERROR(T120/O120-1,""),"")</f>
        <v/>
      </c>
      <c r="U122" s="255">
        <f>IF(AND(ISNUMBER(U120),ISNUMBER(P120)),IFERROR(U120/P120-1,""),"")</f>
        <v/>
      </c>
      <c r="V122" s="255">
        <f>IF(AND(ISNUMBER(V120),ISNUMBER(Q120)),IFERROR(V120/Q120-1,""),"")</f>
        <v/>
      </c>
      <c r="W122" s="255">
        <f>IF(AND(ISNUMBER(W120),ISNUMBER(R120)),IFERROR(W120/R120-1,""),"")</f>
        <v/>
      </c>
      <c r="X122" s="255">
        <f>IF(AND(ISNUMBER(X120),ISNUMBER(S120)),IFERROR(X120/S120-1,""),"")</f>
        <v/>
      </c>
      <c r="Y122" s="255">
        <f>IF(AND(ISNUMBER(Y120),ISNUMBER(T120)),IFERROR(Y120/T120-1,""),"")</f>
        <v/>
      </c>
      <c r="Z122" s="255">
        <f>IF(AND(ISNUMBER(Z120),ISNUMBER(U120)),IFERROR(Z120/U120-1,""),"")</f>
        <v/>
      </c>
      <c r="AA122" s="255">
        <f>IF(AND(ISNUMBER(AA120),ISNUMBER(V120)),IFERROR(AA120/V120-1,""),"")</f>
        <v/>
      </c>
      <c r="AB122" s="255">
        <f>IF(AND(ISNUMBER(AB120),ISNUMBER(W120)),IFERROR(AB120/W120-1,""),"")</f>
        <v/>
      </c>
      <c r="AC122" s="255">
        <f>IF(AND(ISNUMBER(AC120),ISNUMBER(X120)),IFERROR(AC120/X120-1,""),"")</f>
        <v/>
      </c>
      <c r="AD122" s="255">
        <f>IF(AND(ISNUMBER(AD120),ISNUMBER(Y120)),IFERROR(AD120/Y120-1,""),"")</f>
        <v/>
      </c>
      <c r="AE122" s="255">
        <f>IF(AND(ISNUMBER(AE120),ISNUMBER(Z120)),IFERROR(AE120/Z120-1,""),"")</f>
        <v/>
      </c>
      <c r="AF122" s="255">
        <f>IF(AND(ISNUMBER(AF120),ISNUMBER(AA120)),IFERROR(AF120/AA120-1,""),"")</f>
        <v/>
      </c>
      <c r="AG122" s="255">
        <f>IF(AND(ISNUMBER(AG120),ISNUMBER(AB120)),IFERROR(AG120/AB120-1,""),"")</f>
        <v/>
      </c>
      <c r="AH122" s="255">
        <f>IF(AND(ISNUMBER(AH120),ISNUMBER(AC120)),IFERROR(AH120/AC120-1,""),"")</f>
        <v/>
      </c>
      <c r="AI122" s="255">
        <f>IF(AND(ISNUMBER(AI120),ISNUMBER(AD120)),IFERROR(AI120/AD120-1,""),"")</f>
        <v/>
      </c>
      <c r="AJ122" s="255">
        <f>IF(AND(ISNUMBER(AJ120),ISNUMBER(AE120)),IFERROR(AJ120/AE120-1,""),"")</f>
        <v/>
      </c>
      <c r="AK122" s="255">
        <f>IF(AND(ISNUMBER(AK120),ISNUMBER(AF120)),IFERROR(AK120/AF120-1,""),"")</f>
        <v/>
      </c>
      <c r="AL122" s="255">
        <f>IF(AND(ISNUMBER(AL120),ISNUMBER(AG120)),IFERROR(AL120/AG120-1,""),"")</f>
        <v/>
      </c>
      <c r="AM122" s="256">
        <f>IF(AND(ISNUMBER(AM120),ISNUMBER(AH120)),IFERROR(AM120/AH120-1,""),"")</f>
        <v/>
      </c>
      <c r="AN122" s="256">
        <f>IF(AND(ISNUMBER(AN120),ISNUMBER(AI120)),IFERROR(AN120/AI120-1,""),"")</f>
        <v/>
      </c>
      <c r="AO122" s="256">
        <f>IF(AND(ISNUMBER(AO120),ISNUMBER(AJ120)),IFERROR(AO120/AJ120-1,""),"")</f>
        <v/>
      </c>
      <c r="AP122" s="256">
        <f>IF(AND(ISNUMBER(AP120),ISNUMBER(AK120)),IFERROR(AP120/AK120-1,""),"")</f>
        <v/>
      </c>
      <c r="AQ122" s="256">
        <f>IF(AND(ISNUMBER(AQ120),ISNUMBER(AP120)),IFERROR(AQ120/AP120-1,""),"")</f>
        <v/>
      </c>
      <c r="AR122" s="256">
        <f>IF(AND(ISNUMBER(AR120),ISNUMBER(AQ120)),IFERROR(AR120/AQ120-1,""),"")</f>
        <v/>
      </c>
      <c r="AS122" s="256">
        <f>IF(AND(ISNUMBER(AS120),ISNUMBER(AR120)),IFERROR(AS120/AR120-1,""),"")</f>
        <v/>
      </c>
      <c r="AT122" s="256">
        <f>IF(AND(ISNUMBER(AT120),ISNUMBER(AS120)),IFERROR(AT120/AS120-1,""),"")</f>
        <v/>
      </c>
      <c r="AU122" s="153" t="n"/>
    </row>
    <row r="123" ht="15" customHeight="1" s="251">
      <c r="B123" s="57" t="inlineStr">
        <is>
          <t xml:space="preserve">  Check: segment build vs adjusted operating income bridge (should be 0)</t>
        </is>
      </c>
      <c r="C123" s="263">
        <f>IF(AND(ISNUMBER(C120),ISNUMBER(C208)),IF(ABS(C120-C208)&lt;=0.15,0,ROUND(C120-C208,1)),"")</f>
        <v/>
      </c>
      <c r="D123" s="263">
        <f>IF(AND(ISNUMBER(D120),ISNUMBER(D208)),IF(ABS(D120-D208)&lt;=0.15,0,ROUND(D120-D208,1)),"")</f>
        <v/>
      </c>
      <c r="E123" s="263">
        <f>IF(AND(ISNUMBER(E120),ISNUMBER(E208)),IF(ABS(E120-E208)&lt;=0.15,0,ROUND(E120-E208,1)),"")</f>
        <v/>
      </c>
      <c r="F123" s="263">
        <f>IF(AND(ISNUMBER(F120),ISNUMBER(F208)),IF(ABS(F120-F208)&lt;=0.15,0,ROUND(F120-F208,1)),"")</f>
        <v/>
      </c>
      <c r="G123" s="263">
        <f>IF(AND(ISNUMBER(G120),ISNUMBER(G208)),IF(ABS(G120-G208)&lt;=0.15,0,ROUND(G120-G208,1)),"")</f>
        <v/>
      </c>
      <c r="H123" s="263">
        <f>IF(AND(ISNUMBER(H120),ISNUMBER(H208)),IF(ABS(H120-H208)&lt;=0.15,0,ROUND(H120-H208,1)),"")</f>
        <v/>
      </c>
      <c r="I123" s="263">
        <f>IF(AND(ISNUMBER(I120),ISNUMBER(I208)),IF(ABS(I120-I208)&lt;=0.15,0,ROUND(I120-I208,1)),"")</f>
        <v/>
      </c>
      <c r="J123" s="263">
        <f>IF(AND(ISNUMBER(J120),ISNUMBER(J208)),IF(ABS(J120-J208)&lt;=0.15,0,ROUND(J120-J208,1)),"")</f>
        <v/>
      </c>
      <c r="K123" s="263">
        <f>IF(AND(ISNUMBER(K120),ISNUMBER(K208)),IF(ABS(K120-K208)&lt;=0.15,0,ROUND(K120-K208,1)),"")</f>
        <v/>
      </c>
      <c r="L123" s="263">
        <f>IF(AND(ISNUMBER(L120),ISNUMBER(L208)),IF(ABS(L120-L208)&lt;=0.15,0,ROUND(L120-L208,1)),"")</f>
        <v/>
      </c>
      <c r="M123" s="263">
        <f>IF(AND(ISNUMBER(M120),ISNUMBER(M208)),IF(ABS(M120-M208)&lt;=0.15,0,ROUND(M120-M208,1)),"")</f>
        <v/>
      </c>
      <c r="N123" s="263">
        <f>IF(AND(ISNUMBER(N120),ISNUMBER(N208)),IF(ABS(N120-N208)&lt;=0.15,0,ROUND(N120-N208,1)),"")</f>
        <v/>
      </c>
      <c r="O123" s="263">
        <f>IF(AND(ISNUMBER(O120),ISNUMBER(O208)),IF(ABS(O120-O208)&lt;=0.15,0,ROUND(O120-O208,1)),"")</f>
        <v/>
      </c>
      <c r="P123" s="263">
        <f>IF(AND(ISNUMBER(P120),ISNUMBER(P208)),IF(ABS(P120-P208)&lt;=0.15,0,ROUND(P120-P208,1)),"")</f>
        <v/>
      </c>
      <c r="Q123" s="263">
        <f>IF(AND(ISNUMBER(Q120),ISNUMBER(Q208)),IF(ABS(Q120-Q208)&lt;=0.15,0,ROUND(Q120-Q208,1)),"")</f>
        <v/>
      </c>
      <c r="R123" s="263">
        <f>IF(AND(ISNUMBER(R120),ISNUMBER(R208)),IF(ABS(R120-R208)&lt;=0.15,0,ROUND(R120-R208,1)),"")</f>
        <v/>
      </c>
      <c r="S123" s="263">
        <f>IF(AND(ISNUMBER(S120),ISNUMBER(S208)),IF(ABS(S120-S208)&lt;=0.15,0,ROUND(S120-S208,1)),"")</f>
        <v/>
      </c>
      <c r="T123" s="263">
        <f>IF(AND(ISNUMBER(T120),ISNUMBER(T208)),IF(ABS(T120-T208)&lt;=0.15,0,ROUND(T120-T208,1)),"")</f>
        <v/>
      </c>
      <c r="U123" s="263">
        <f>IF(AND(ISNUMBER(U120),ISNUMBER(U208)),IF(ABS(U120-U208)&lt;=0.15,0,ROUND(U120-U208,1)),"")</f>
        <v/>
      </c>
      <c r="V123" s="263">
        <f>IF(AND(ISNUMBER(V120),ISNUMBER(V208)),IF(ABS(V120-V208)&lt;=0.15,0,ROUND(V120-V208,1)),"")</f>
        <v/>
      </c>
      <c r="W123" s="263">
        <f>IF(AND(ISNUMBER(W120),ISNUMBER(W208)),IF(ABS(W120-W208)&lt;=0.15,0,ROUND(W120-W208,1)),"")</f>
        <v/>
      </c>
      <c r="X123" s="263">
        <f>IF(AND(ISNUMBER(X120),ISNUMBER(X208)),IF(ABS(X120-X208)&lt;=0.15,0,ROUND(X120-X208,1)),"")</f>
        <v/>
      </c>
      <c r="Y123" s="263">
        <f>IF(AND(ISNUMBER(Y120),ISNUMBER(Y208)),IF(ABS(Y120-Y208)&lt;=0.15,0,ROUND(Y120-Y208,1)),"")</f>
        <v/>
      </c>
      <c r="Z123" s="263">
        <f>IF(AND(ISNUMBER(Z120),ISNUMBER(Z208)),IF(ABS(Z120-Z208)&lt;=0.15,0,ROUND(Z120-Z208,1)),"")</f>
        <v/>
      </c>
      <c r="AA123" s="263">
        <f>IF(AND(ISNUMBER(AA120),ISNUMBER(AA208)),IF(ABS(AA120-AA208)&lt;=0.15,0,ROUND(AA120-AA208,1)),"")</f>
        <v/>
      </c>
      <c r="AB123" s="263">
        <f>IF(AND(ISNUMBER(AB120),ISNUMBER(AB208)),IF(ABS(AB120-AB208)&lt;=0.15,0,ROUND(AB120-AB208,1)),"")</f>
        <v/>
      </c>
      <c r="AC123" s="263">
        <f>IF(AND(ISNUMBER(AC120),ISNUMBER(AC208)),IF(ABS(AC120-AC208)&lt;=0.15,0,ROUND(AC120-AC208,1)),"")</f>
        <v/>
      </c>
      <c r="AD123" s="263">
        <f>IF(AND(ISNUMBER(AD120),ISNUMBER(AD208)),IF(ABS(AD120-AD208)&lt;=0.15,0,ROUND(AD120-AD208,1)),"")</f>
        <v/>
      </c>
      <c r="AE123" s="263">
        <f>IF(AND(ISNUMBER(AE120),ISNUMBER(AE208)),IF(ABS(AE120-AE208)&lt;=0.15,0,ROUND(AE120-AE208,1)),"")</f>
        <v/>
      </c>
      <c r="AF123" s="263">
        <f>IF(AND(ISNUMBER(AF120),ISNUMBER(AF208)),IF(ABS(AF120-AF208)&lt;=0.15,0,ROUND(AF120-AF208,1)),"")</f>
        <v/>
      </c>
      <c r="AG123" s="263">
        <f>IF(AND(ISNUMBER(AG120),ISNUMBER(AG208)),IF(ABS(AG120-AG208)&lt;=0.15,0,ROUND(AG120-AG208,1)),"")</f>
        <v/>
      </c>
      <c r="AH123" s="263">
        <f>IF(AND(ISNUMBER(AH120),ISNUMBER(AH208)),IF(ABS(AH120-AH208)&lt;=0.15,0,ROUND(AH120-AH208,1)),"")</f>
        <v/>
      </c>
      <c r="AI123" s="263">
        <f>IF(AND(ISNUMBER(AI120),ISNUMBER(AI208)),IF(ABS(AI120-AI208)&lt;=0.15,0,ROUND(AI120-AI208,1)),"")</f>
        <v/>
      </c>
      <c r="AJ123" s="263">
        <f>IF(AND(ISNUMBER(AJ120),ISNUMBER(AJ208)),IF(ABS(AJ120-AJ208)&lt;=0.15,0,ROUND(AJ120-AJ208,1)),"")</f>
        <v/>
      </c>
      <c r="AK123" s="263">
        <f>IF(AND(ISNUMBER(AK120),ISNUMBER(AK208)),IF(ABS(AK120-AK208)&lt;=0.15,0,ROUND(AK120-AK208,1)),"")</f>
        <v/>
      </c>
      <c r="AL123" s="263">
        <f>IF(AND(ISNUMBER(AL120),ISNUMBER(AL208)),IF(ABS(AL120-AL208)&lt;=0.15,0,ROUND(AL120-AL208,1)),"")</f>
        <v/>
      </c>
      <c r="AM123" s="275">
        <f>IF(AND(ISNUMBER(AM120),ISNUMBER(AM208)),IF(ABS(AM120-AM208)&lt;=0.15,0,ROUND(AM120-AM208,1)),"")</f>
        <v/>
      </c>
      <c r="AN123" s="275">
        <f>IF(AND(ISNUMBER(AN120),ISNUMBER(AN208)),IF(ABS(AN120-AN208)&lt;=0.15,0,ROUND(AN120-AN208,1)),"")</f>
        <v/>
      </c>
      <c r="AO123" s="275">
        <f>IF(AND(ISNUMBER(AO120),ISNUMBER(AO208)),IF(ABS(AO120-AO208)&lt;=0.15,0,ROUND(AO120-AO208,1)),"")</f>
        <v/>
      </c>
      <c r="AP123" s="275">
        <f>IF(AND(ISNUMBER(AP120),ISNUMBER(AP208)),IF(ABS(AP120-AP208)&lt;=0.15,0,ROUND(AP120-AP208,1)),"")</f>
        <v/>
      </c>
      <c r="AQ123" s="275">
        <f>IF(AND(ISNUMBER(AQ120),ISNUMBER(AQ208)),IF(ABS(AQ120-AQ208)&lt;=0.15,0,ROUND(AQ120-AQ208,1)),"")</f>
        <v/>
      </c>
      <c r="AR123" s="275">
        <f>IF(AND(ISNUMBER(AR120),ISNUMBER(AR208)),IF(ABS(AR120-AR208)&lt;=0.15,0,ROUND(AR120-AR208,1)),"")</f>
        <v/>
      </c>
      <c r="AS123" s="275">
        <f>IF(AND(ISNUMBER(AS120),ISNUMBER(AS208)),IF(ABS(AS120-AS208)&lt;=0.15,0,ROUND(AS120-AS208,1)),"")</f>
        <v/>
      </c>
      <c r="AT123" s="275">
        <f>IF(AND(ISNUMBER(AT120),ISNUMBER(AT208)),IF(ABS(AT120-AT208)&lt;=0.15,0,ROUND(AT120-AT208,1)),"")</f>
        <v/>
      </c>
      <c r="AU123" s="153" t="n"/>
    </row>
    <row r="124" ht="15" customHeight="1" s="251">
      <c r="B124" s="156" t="inlineStr">
        <is>
          <t xml:space="preserve">  Memo: FY27 revenue outlook (scenario end-point = FY2026 × (1 + guided as-reported growth))</t>
        </is>
      </c>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c r="V124" s="34" t="n"/>
      <c r="W124" s="34" t="n"/>
      <c r="X124" s="34" t="n"/>
      <c r="Y124" s="34" t="n"/>
      <c r="Z124" s="34" t="n"/>
      <c r="AA124" s="34" t="n"/>
      <c r="AB124" s="34" t="n"/>
      <c r="AC124" s="34" t="n"/>
      <c r="AD124" s="34" t="n"/>
      <c r="AE124" s="34" t="n"/>
      <c r="AF124" s="34" t="n"/>
      <c r="AG124" s="34" t="n"/>
      <c r="AH124" s="34" t="n"/>
      <c r="AI124" s="34" t="n"/>
      <c r="AJ124" s="34" t="n"/>
      <c r="AK124" s="34" t="n"/>
      <c r="AL124" s="34" t="n"/>
      <c r="AM124" s="153" t="n"/>
      <c r="AN124" s="153" t="n"/>
      <c r="AO124" s="153" t="n"/>
      <c r="AP124" s="275">
        <f>AK159*(1+CHOOSE(MATCH($AU$2,{"Bull","Base","Bear"},0),$BD$12,$BE$12,$BF$12))</f>
        <v/>
      </c>
      <c r="AQ124" s="153" t="n"/>
      <c r="AR124" s="153" t="n"/>
      <c r="AS124" s="153" t="n"/>
      <c r="AT124" s="153" t="n"/>
      <c r="AU124" s="153" t="inlineStr">
        <is>
          <t>Company FY27 as-reported revenue growth outlook 7–8% (11-May-2026, reiterated 5-Aug-2026). Drives the revenue calibration.</t>
        </is>
      </c>
    </row>
    <row r="125" ht="15" customHeight="1" s="251">
      <c r="B125" s="25" t="inlineStr">
        <is>
          <t xml:space="preserve">  Revenue before calibration (Q2–Q4/27E helper)</t>
        </is>
      </c>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c r="V125" s="34" t="n"/>
      <c r="W125" s="34" t="n"/>
      <c r="X125" s="34" t="n"/>
      <c r="Y125" s="34" t="n"/>
      <c r="Z125" s="34" t="n"/>
      <c r="AA125" s="34" t="n"/>
      <c r="AB125" s="34" t="n"/>
      <c r="AC125" s="34" t="n"/>
      <c r="AD125" s="34" t="n"/>
      <c r="AE125" s="34" t="n"/>
      <c r="AF125" s="34" t="n"/>
      <c r="AG125" s="34" t="n"/>
      <c r="AH125" s="34" t="n"/>
      <c r="AI125" s="34" t="n"/>
      <c r="AJ125" s="34" t="n"/>
      <c r="AK125" s="34" t="n"/>
      <c r="AL125" s="34" t="n"/>
      <c r="AM125" s="254">
        <f>AH11*(1+AM13)+AH14*(1+AM16)+AH17*(1+AM19)+AH32*(1+AM34)+AH35*(1+AM37)+AH49*(1+AM51)+AH52*(1+AM54)+AH55*(1+AM57)</f>
        <v/>
      </c>
      <c r="AN125" s="254">
        <f>AI11*(1+AN13)+AI14*(1+AN16)+AI17*(1+AN19)+AI32*(1+AN34)+AI35*(1+AN37)+AI49*(1+AN51)+AI52*(1+AN54)+AI55*(1+AN57)</f>
        <v/>
      </c>
      <c r="AO125" s="254">
        <f>AJ11*(1+AO13)+AJ14*(1+AO16)+AJ17*(1+AO19)+AJ32*(1+AO34)+AJ35*(1+AO37)+AJ49*(1+AO51)+AJ52*(1+AO54)+AJ55*(1+AO57)</f>
        <v/>
      </c>
      <c r="AP125" s="35" t="n"/>
      <c r="AQ125" s="35" t="n"/>
      <c r="AR125" s="35" t="n"/>
      <c r="AS125" s="35" t="n"/>
      <c r="AT125" s="35" t="n"/>
      <c r="AU125" s="19" t="n"/>
    </row>
    <row r="126" ht="15" customHeight="1" s="251">
      <c r="B126" s="25" t="inlineStr">
        <is>
          <t xml:space="preserve">  Revenue sensitivity to +1.00 of growth (Q2–Q4/27E helper)</t>
        </is>
      </c>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c r="V126" s="34" t="n"/>
      <c r="W126" s="34" t="n"/>
      <c r="X126" s="34" t="n"/>
      <c r="Y126" s="34" t="n"/>
      <c r="Z126" s="34" t="n"/>
      <c r="AA126" s="34" t="n"/>
      <c r="AB126" s="34" t="n"/>
      <c r="AC126" s="34" t="n"/>
      <c r="AD126" s="34" t="n"/>
      <c r="AE126" s="34" t="n"/>
      <c r="AF126" s="34" t="n"/>
      <c r="AG126" s="34" t="n"/>
      <c r="AH126" s="34" t="n"/>
      <c r="AI126" s="34" t="n"/>
      <c r="AJ126" s="34" t="n"/>
      <c r="AK126" s="34" t="n"/>
      <c r="AL126" s="34" t="n"/>
      <c r="AM126" s="254">
        <f>AH11+AH14+AH17+AH32+AH35+AH49+AH52+AH55</f>
        <v/>
      </c>
      <c r="AN126" s="254">
        <f>AI11+AI14+AI17+AI32+AI35+AI49+AI52+AI55</f>
        <v/>
      </c>
      <c r="AO126" s="254">
        <f>AJ11+AJ14+AJ17+AJ32+AJ35+AJ49+AJ52+AJ55</f>
        <v/>
      </c>
      <c r="AP126" s="35" t="n"/>
      <c r="AQ126" s="35" t="n"/>
      <c r="AR126" s="35" t="n"/>
      <c r="AS126" s="35" t="n"/>
      <c r="AT126" s="35" t="n"/>
      <c r="AU126" s="19" t="n"/>
    </row>
    <row r="127" ht="15" customHeight="1" s="251">
      <c r="B127" s="25" t="inlineStr">
        <is>
          <t xml:space="preserve">  Outlook calibration: Δ y/y growth applied to all revenue lines (Q2–Q4/27E)</t>
        </is>
      </c>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c r="AF127" s="36" t="n"/>
      <c r="AG127" s="36" t="n"/>
      <c r="AH127" s="36" t="n"/>
      <c r="AI127" s="36" t="n"/>
      <c r="AJ127" s="36" t="n"/>
      <c r="AK127" s="36" t="n"/>
      <c r="AL127" s="36" t="n"/>
      <c r="AM127" s="256">
        <f>(AP124-AL117-((AM125+AN125+AO125)))/((AM126+AN126+AO126))</f>
        <v/>
      </c>
      <c r="AN127" s="256">
        <f>$AM$127</f>
        <v/>
      </c>
      <c r="AO127" s="256">
        <f>$AM$127</f>
        <v/>
      </c>
      <c r="AP127" s="24" t="n"/>
      <c r="AQ127" s="46" t="n"/>
      <c r="AR127" s="46" t="n"/>
      <c r="AS127" s="46" t="n"/>
      <c r="AT127" s="46" t="n"/>
      <c r="AU127" s="19" t="inlineStr">
        <is>
          <t>Solves the uniform growth shift (vs Q1/27 y/y rates) so that FY27 revenue = the outlook end-point for the active scenario.</t>
        </is>
      </c>
    </row>
    <row r="128" ht="15" customHeight="1" s="251">
      <c r="B128" s="57" t="inlineStr">
        <is>
          <t xml:space="preserve">  Check: FY27 revenue vs outlook end-point (should be 0)</t>
        </is>
      </c>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c r="AA128" s="44" t="n"/>
      <c r="AB128" s="44" t="n"/>
      <c r="AC128" s="44" t="n"/>
      <c r="AD128" s="44" t="n"/>
      <c r="AE128" s="44" t="n"/>
      <c r="AF128" s="44" t="n"/>
      <c r="AG128" s="44" t="n"/>
      <c r="AH128" s="44" t="n"/>
      <c r="AI128" s="44" t="n"/>
      <c r="AJ128" s="44" t="n"/>
      <c r="AK128" s="44" t="n"/>
      <c r="AL128" s="44" t="n"/>
      <c r="AM128" s="153" t="n"/>
      <c r="AN128" s="153" t="n"/>
      <c r="AO128" s="153" t="n"/>
      <c r="AP128" s="275">
        <f>ROUND(AP117-AP124,1)</f>
        <v/>
      </c>
      <c r="AQ128" s="153" t="n"/>
      <c r="AR128" s="153" t="n"/>
      <c r="AS128" s="153" t="n"/>
      <c r="AT128" s="153" t="n"/>
      <c r="AU128" s="153" t="n"/>
    </row>
    <row r="129" ht="15" customHeight="1" s="251">
      <c r="B129" s="156" t="inlineStr">
        <is>
          <t xml:space="preserve">  Memo: FY27 adjusted EPS outlook (scenario end-point, $)</t>
        </is>
      </c>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153" t="n"/>
      <c r="AN129" s="153" t="n"/>
      <c r="AO129" s="153" t="n"/>
      <c r="AP129" s="276">
        <f>CHOOSE(MATCH($AU$2,{"Bull","Base","Bear"},0),$BD$14,$BE$14,$BF$14)</f>
        <v/>
      </c>
      <c r="AQ129" s="153" t="n"/>
      <c r="AR129" s="153" t="n"/>
      <c r="AS129" s="153" t="n"/>
      <c r="AT129" s="153" t="n"/>
      <c r="AU129" s="153" t="inlineStr">
        <is>
          <t>Company FY27 adjusted EPS outlook $11.10–11.30 (reiterated 5-Aug-2026). Drives the segment-margin calibration.</t>
        </is>
      </c>
    </row>
    <row r="130" ht="15" customHeight="1" s="251">
      <c r="B130" s="156" t="inlineStr">
        <is>
          <t xml:space="preserve">  Adjusted net income required (FY27E adjusted diluted shares × EPS outlook)</t>
        </is>
      </c>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c r="AA130" s="44" t="n"/>
      <c r="AB130" s="44" t="n"/>
      <c r="AC130" s="44" t="n"/>
      <c r="AD130" s="44" t="n"/>
      <c r="AE130" s="44" t="n"/>
      <c r="AF130" s="44" t="n"/>
      <c r="AG130" s="44" t="n"/>
      <c r="AH130" s="44" t="n"/>
      <c r="AI130" s="44" t="n"/>
      <c r="AJ130" s="44" t="n"/>
      <c r="AK130" s="44" t="n"/>
      <c r="AL130" s="44" t="n"/>
      <c r="AM130" s="35" t="n"/>
      <c r="AN130" s="35" t="n"/>
      <c r="AO130" s="35" t="n"/>
      <c r="AP130" s="254">
        <f>AP129*AP250</f>
        <v/>
      </c>
      <c r="AQ130" s="35" t="n"/>
      <c r="AR130" s="35" t="n"/>
      <c r="AS130" s="35" t="n"/>
      <c r="AT130" s="35" t="n"/>
      <c r="AU130" s="153" t="n"/>
    </row>
    <row r="131" ht="15" customHeight="1" s="251">
      <c r="B131" s="156" t="inlineStr">
        <is>
          <t xml:space="preserve">  Q2–Q4/27E adjusted operating income required ((NI − Q1 actual + NCI) ÷ (1 − tax rate) + non-operating expense)</t>
        </is>
      </c>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c r="AA131" s="44" t="n"/>
      <c r="AB131" s="44" t="n"/>
      <c r="AC131" s="44" t="n"/>
      <c r="AD131" s="44" t="n"/>
      <c r="AE131" s="44" t="n"/>
      <c r="AF131" s="44" t="n"/>
      <c r="AG131" s="44" t="n"/>
      <c r="AH131" s="44" t="n"/>
      <c r="AI131" s="44" t="n"/>
      <c r="AJ131" s="44" t="n"/>
      <c r="AK131" s="44" t="n"/>
      <c r="AL131" s="44" t="n"/>
      <c r="AM131" s="35" t="n"/>
      <c r="AN131" s="35" t="n"/>
      <c r="AO131" s="35" t="n"/>
      <c r="AP131" s="254">
        <f>(AP130-AL247+((AM177+AN177+AO177)))/(1-$BE$23)+((AM169+AN169+AO169))+((AM170+AN170+AO170))-((AM245+AN245+AO245))</f>
        <v/>
      </c>
      <c r="AQ131" s="35" t="n"/>
      <c r="AR131" s="35" t="n"/>
      <c r="AS131" s="35" t="n"/>
      <c r="AT131" s="35" t="n"/>
      <c r="AU131" s="153" t="n"/>
    </row>
    <row r="132" ht="15" customHeight="1" s="251">
      <c r="B132" s="25" t="inlineStr">
        <is>
          <t xml:space="preserve">  Adjusted operating income before margin calibration (Q2–Q4/27E helper)</t>
        </is>
      </c>
      <c r="C132" s="34" t="n"/>
      <c r="D132" s="34" t="n"/>
      <c r="E132" s="34" t="n"/>
      <c r="F132" s="34" t="n"/>
      <c r="G132" s="34" t="n"/>
      <c r="H132" s="34" t="n"/>
      <c r="I132" s="34" t="n"/>
      <c r="J132" s="34" t="n"/>
      <c r="K132" s="34" t="n"/>
      <c r="L132" s="34" t="n"/>
      <c r="M132" s="34" t="n"/>
      <c r="N132" s="34" t="n"/>
      <c r="O132" s="34" t="n"/>
      <c r="P132" s="34" t="n"/>
      <c r="Q132" s="34" t="n"/>
      <c r="R132" s="34" t="n"/>
      <c r="S132" s="34" t="n"/>
      <c r="T132" s="34" t="n"/>
      <c r="U132" s="34" t="n"/>
      <c r="V132" s="34" t="n"/>
      <c r="W132" s="34" t="n"/>
      <c r="X132" s="34" t="n"/>
      <c r="Y132" s="34" t="n"/>
      <c r="Z132" s="34" t="n"/>
      <c r="AA132" s="34" t="n"/>
      <c r="AB132" s="34" t="n"/>
      <c r="AC132" s="34" t="n"/>
      <c r="AD132" s="34" t="n"/>
      <c r="AE132" s="34" t="n"/>
      <c r="AF132" s="34" t="n"/>
      <c r="AG132" s="34" t="n"/>
      <c r="AH132" s="34" t="n"/>
      <c r="AI132" s="34" t="n"/>
      <c r="AJ132" s="34" t="n"/>
      <c r="AK132" s="34" t="n"/>
      <c r="AL132" s="34" t="n"/>
      <c r="AM132" s="254">
        <f>AM20*AM28+AM38*AM45+AM58*AM66+AM75</f>
        <v/>
      </c>
      <c r="AN132" s="254">
        <f>AN20*AN28+AN38*AN45+AN58*AN66+AN75</f>
        <v/>
      </c>
      <c r="AO132" s="254">
        <f>AO20*AO28+AO38*AO45+AO58*AO66+AO75</f>
        <v/>
      </c>
      <c r="AP132" s="35" t="n"/>
      <c r="AQ132" s="35" t="n"/>
      <c r="AR132" s="35" t="n"/>
      <c r="AS132" s="35" t="n"/>
      <c r="AT132" s="35" t="n"/>
      <c r="AU132" s="19" t="n"/>
    </row>
    <row r="133" ht="15" customHeight="1" s="251">
      <c r="B133" s="25" t="inlineStr">
        <is>
          <t xml:space="preserve">  Segment revenue (Q2–Q4/27E helper)</t>
        </is>
      </c>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c r="AA133" s="34" t="n"/>
      <c r="AB133" s="34" t="n"/>
      <c r="AC133" s="34" t="n"/>
      <c r="AD133" s="34" t="n"/>
      <c r="AE133" s="34" t="n"/>
      <c r="AF133" s="34" t="n"/>
      <c r="AG133" s="34" t="n"/>
      <c r="AH133" s="34" t="n"/>
      <c r="AI133" s="34" t="n"/>
      <c r="AJ133" s="34" t="n"/>
      <c r="AK133" s="34" t="n"/>
      <c r="AL133" s="34" t="n"/>
      <c r="AM133" s="254">
        <f>AM20+AM38+AM58</f>
        <v/>
      </c>
      <c r="AN133" s="254">
        <f>AN20+AN38+AN58</f>
        <v/>
      </c>
      <c r="AO133" s="254">
        <f>AO20+AO38+AO58</f>
        <v/>
      </c>
      <c r="AP133" s="35" t="n"/>
      <c r="AQ133" s="35" t="n"/>
      <c r="AR133" s="35" t="n"/>
      <c r="AS133" s="35" t="n"/>
      <c r="AT133" s="35" t="n"/>
      <c r="AU133" s="19" t="n"/>
    </row>
    <row r="134" ht="15" customHeight="1" s="251">
      <c r="B134" s="25" t="inlineStr">
        <is>
          <t xml:space="preserve">  Outlook calibration: Δ segment operating margin (Q2–Q4/27E)</t>
        </is>
      </c>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c r="AC134" s="36" t="n"/>
      <c r="AD134" s="36" t="n"/>
      <c r="AE134" s="36" t="n"/>
      <c r="AF134" s="36" t="n"/>
      <c r="AG134" s="36" t="n"/>
      <c r="AH134" s="36" t="n"/>
      <c r="AI134" s="36" t="n"/>
      <c r="AJ134" s="36" t="n"/>
      <c r="AK134" s="36" t="n"/>
      <c r="AL134" s="36" t="n"/>
      <c r="AM134" s="256">
        <f>(AP131-((AM132+AN132+AO132)))/((AM133+AN133+AO133))</f>
        <v/>
      </c>
      <c r="AN134" s="256">
        <f>$AM$134</f>
        <v/>
      </c>
      <c r="AO134" s="256">
        <f>$AM$134</f>
        <v/>
      </c>
      <c r="AP134" s="24" t="n"/>
      <c r="AQ134" s="46" t="n"/>
      <c r="AR134" s="46" t="n"/>
      <c r="AS134" s="46" t="n"/>
      <c r="AT134" s="46" t="n"/>
      <c r="AU134" s="19" t="inlineStr">
        <is>
          <t>Solves the uniform margin shift so that FY27 adjusted EPS = the outlook end-point for the active scenario.</t>
        </is>
      </c>
    </row>
    <row r="135" ht="15" customHeight="1" s="251">
      <c r="B135" s="57" t="inlineStr">
        <is>
          <t xml:space="preserve">  Check: FY27 adjusted EPS vs outlook end-point (should be 0.00)</t>
        </is>
      </c>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c r="AA135" s="44" t="n"/>
      <c r="AB135" s="44" t="n"/>
      <c r="AC135" s="44" t="n"/>
      <c r="AD135" s="44" t="n"/>
      <c r="AE135" s="44" t="n"/>
      <c r="AF135" s="44" t="n"/>
      <c r="AG135" s="44" t="n"/>
      <c r="AH135" s="44" t="n"/>
      <c r="AI135" s="44" t="n"/>
      <c r="AJ135" s="44" t="n"/>
      <c r="AK135" s="44" t="n"/>
      <c r="AL135" s="44" t="n"/>
      <c r="AM135" s="153" t="n"/>
      <c r="AN135" s="153" t="n"/>
      <c r="AO135" s="153" t="n"/>
      <c r="AP135" s="276">
        <f>ROUND(AP251-AP129,2)</f>
        <v/>
      </c>
      <c r="AQ135" s="153" t="n"/>
      <c r="AR135" s="153" t="n"/>
      <c r="AS135" s="153" t="n"/>
      <c r="AT135" s="153" t="n"/>
      <c r="AU135" s="153" t="n"/>
    </row>
    <row r="136" ht="15" customHeight="1" s="251">
      <c r="B136" s="156" t="inlineStr">
        <is>
          <t xml:space="preserve">  Memo: FY27 GAAP diluted EPS outlook (continuing operations, scenario end-point, $)</t>
        </is>
      </c>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c r="AF136" s="27" t="n"/>
      <c r="AG136" s="27" t="n"/>
      <c r="AH136" s="27" t="n"/>
      <c r="AI136" s="27" t="n"/>
      <c r="AJ136" s="27" t="n"/>
      <c r="AK136" s="27" t="n"/>
      <c r="AL136" s="27" t="n"/>
      <c r="AM136" s="153" t="n"/>
      <c r="AN136" s="153" t="n"/>
      <c r="AO136" s="153" t="n"/>
      <c r="AP136" s="276">
        <f>CHOOSE(MATCH($AU$2,{"Bull","Base","Bear"},0),$BD$15,$BE$15,$BF$15)</f>
        <v/>
      </c>
      <c r="AQ136" s="153" t="n"/>
      <c r="AR136" s="153" t="n"/>
      <c r="AS136" s="153" t="n"/>
      <c r="AT136" s="153" t="n"/>
      <c r="AU136" s="153" t="n"/>
    </row>
    <row r="137" ht="15" customHeight="1" s="251">
      <c r="B137" s="156" t="inlineStr">
        <is>
          <t xml:space="preserve">  Model FY27 GAAP diluted EPS − outlook end-point ($; information, not forced)</t>
        </is>
      </c>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c r="AF137" s="27" t="n"/>
      <c r="AG137" s="27" t="n"/>
      <c r="AH137" s="27" t="n"/>
      <c r="AI137" s="27" t="n"/>
      <c r="AJ137" s="27" t="n"/>
      <c r="AK137" s="27" t="n"/>
      <c r="AL137" s="27" t="n"/>
      <c r="AM137" s="153" t="n"/>
      <c r="AN137" s="153" t="n"/>
      <c r="AO137" s="153" t="n"/>
      <c r="AP137" s="276">
        <f>AP187-AP136</f>
        <v/>
      </c>
      <c r="AQ137" s="153" t="n"/>
      <c r="AR137" s="153" t="n"/>
      <c r="AS137" s="153" t="n"/>
      <c r="AT137" s="153" t="n"/>
      <c r="AU137" s="153" t="n"/>
    </row>
    <row r="138" ht="15" customHeight="1" s="251">
      <c r="B138" s="156" t="inlineStr">
        <is>
          <t xml:space="preserve">  Memo: FY27 free cash flow outlook (~$800m)</t>
        </is>
      </c>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c r="AA138" s="34" t="n"/>
      <c r="AB138" s="34" t="n"/>
      <c r="AC138" s="34" t="n"/>
      <c r="AD138" s="34" t="n"/>
      <c r="AE138" s="34" t="n"/>
      <c r="AF138" s="34" t="n"/>
      <c r="AG138" s="34" t="n"/>
      <c r="AH138" s="34" t="n"/>
      <c r="AI138" s="34" t="n"/>
      <c r="AJ138" s="34" t="n"/>
      <c r="AK138" s="34" t="n"/>
      <c r="AL138" s="34" t="n"/>
      <c r="AM138" s="153" t="n"/>
      <c r="AN138" s="153" t="n"/>
      <c r="AO138" s="153" t="n"/>
      <c r="AP138" s="275">
        <f>$BE$25</f>
        <v/>
      </c>
      <c r="AQ138" s="153" t="n"/>
      <c r="AR138" s="153" t="n"/>
      <c r="AS138" s="153" t="n"/>
      <c r="AT138" s="153" t="n"/>
      <c r="AU138" s="153" t="n"/>
    </row>
    <row r="139" ht="15" customHeight="1" s="251">
      <c r="B139" s="156" t="inlineStr">
        <is>
          <t xml:space="preserve">  Model FY27 free cash flow − outlook (information)</t>
        </is>
      </c>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c r="AA139" s="44" t="n"/>
      <c r="AB139" s="44" t="n"/>
      <c r="AC139" s="44" t="n"/>
      <c r="AD139" s="44" t="n"/>
      <c r="AE139" s="44" t="n"/>
      <c r="AF139" s="44" t="n"/>
      <c r="AG139" s="44" t="n"/>
      <c r="AH139" s="44" t="n"/>
      <c r="AI139" s="44" t="n"/>
      <c r="AJ139" s="44" t="n"/>
      <c r="AK139" s="44" t="n"/>
      <c r="AL139" s="44" t="n"/>
      <c r="AM139" s="35" t="n"/>
      <c r="AN139" s="35" t="n"/>
      <c r="AO139" s="35" t="n"/>
      <c r="AP139" s="254">
        <f>AP313-AP138</f>
        <v/>
      </c>
      <c r="AQ139" s="35" t="n"/>
      <c r="AR139" s="35" t="n"/>
      <c r="AS139" s="35" t="n"/>
      <c r="AT139" s="35" t="n"/>
      <c r="AU139" s="153" t="n"/>
    </row>
    <row r="140" ht="15" customHeight="1" s="251">
      <c r="BC140" s="11" t="n"/>
      <c r="BD140" s="12" t="n"/>
      <c r="BE140" s="12" t="n"/>
      <c r="BF140" s="12" t="n"/>
      <c r="BG140" s="13" t="n"/>
    </row>
    <row r="141" ht="15" customHeight="1" s="251">
      <c r="B141" s="14" t="inlineStr">
        <is>
          <t>Cost drivers, D&amp;A &amp; adjusting items</t>
        </is>
      </c>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c r="AP141" s="14" t="n"/>
      <c r="AQ141" s="14" t="n"/>
      <c r="AR141" s="14" t="n"/>
      <c r="AS141" s="14" t="n"/>
      <c r="AT141" s="14" t="n"/>
      <c r="AU141" s="15" t="inlineStr">
        <is>
          <t>COST DRIVERS — inputs that drive forecast cost lines (Q2–Q4/27E: FY27 point estimates less Q1/27)</t>
        </is>
      </c>
    </row>
    <row r="142" ht="15" customHeight="1" s="251">
      <c r="B142" s="25" t="inlineStr">
        <is>
          <t xml:space="preserve">  Depreciation, depletion &amp; amortization (total; cash-flow statement)</t>
        </is>
      </c>
      <c r="C142" s="253" t="n">
        <v>62.906</v>
      </c>
      <c r="D142" s="253" t="n">
        <v>69.035</v>
      </c>
      <c r="E142" s="253" t="n">
        <v>75.649</v>
      </c>
      <c r="F142" s="253" t="n">
        <v>91.541</v>
      </c>
      <c r="G142" s="253" t="n">
        <v>143.74</v>
      </c>
      <c r="H142" s="253" t="n">
        <v>188.142</v>
      </c>
      <c r="I142" s="253" t="n">
        <v>178.332</v>
      </c>
      <c r="J142" s="253" t="n">
        <v>225.921</v>
      </c>
      <c r="K142" s="253" t="n">
        <v>197.235</v>
      </c>
      <c r="L142" s="253" t="n">
        <v>219.237</v>
      </c>
      <c r="M142" s="253" t="n">
        <v>83.621</v>
      </c>
      <c r="N142" s="253" t="n">
        <v>118.042</v>
      </c>
      <c r="O142" s="253" t="n">
        <v>117.61</v>
      </c>
      <c r="P142" s="253" t="n">
        <v>233.831</v>
      </c>
      <c r="Q142" s="253" t="n">
        <v>553.104</v>
      </c>
      <c r="R142" s="253" t="n">
        <v>138.863</v>
      </c>
      <c r="S142" s="253" t="n">
        <v>133.879</v>
      </c>
      <c r="T142" s="253" t="n">
        <v>137.951</v>
      </c>
      <c r="U142" s="253" t="n">
        <v>142.204</v>
      </c>
      <c r="V142" s="253" t="n">
        <v>552.897</v>
      </c>
      <c r="W142" s="253" t="n">
        <v>137.925</v>
      </c>
      <c r="X142" s="253" t="n">
        <v>152.252</v>
      </c>
      <c r="Y142" s="253" t="n">
        <v>140.629</v>
      </c>
      <c r="Z142" s="253" t="n">
        <v>134.438</v>
      </c>
      <c r="AA142" s="253" t="n">
        <v>565.244</v>
      </c>
      <c r="AB142" s="253" t="n">
        <v>112.698</v>
      </c>
      <c r="AC142" s="253" t="n">
        <v>115.255</v>
      </c>
      <c r="AD142" s="253" t="n">
        <v>125.913</v>
      </c>
      <c r="AE142" s="253" t="n">
        <v>122.349</v>
      </c>
      <c r="AF142" s="253" t="n">
        <v>476.215</v>
      </c>
      <c r="AG142" s="253" t="n">
        <v>119.4</v>
      </c>
      <c r="AH142" s="253" t="n">
        <v>121.7</v>
      </c>
      <c r="AI142" s="253" t="n">
        <v>122</v>
      </c>
      <c r="AJ142" s="253" t="n">
        <v>123.4</v>
      </c>
      <c r="AK142" s="253" t="n">
        <v>486.5</v>
      </c>
      <c r="AL142" s="253" t="n">
        <v>123.8</v>
      </c>
      <c r="AM142" s="254">
        <f>AM143+AM145</f>
        <v/>
      </c>
      <c r="AN142" s="254">
        <f>AN143+AN145</f>
        <v/>
      </c>
      <c r="AO142" s="254">
        <f>AO143+AO145</f>
        <v/>
      </c>
      <c r="AP142" s="254">
        <f>SUM(AL142,AM142,AN142,AO142)</f>
        <v/>
      </c>
      <c r="AQ142" s="254">
        <f>AQ143+AQ145</f>
        <v/>
      </c>
      <c r="AR142" s="254">
        <f>AR143+AR145</f>
        <v/>
      </c>
      <c r="AS142" s="254">
        <f>AS143+AS145</f>
        <v/>
      </c>
      <c r="AT142" s="254">
        <f>AT143+AT145</f>
        <v/>
      </c>
      <c r="AU142" s="19" t="inlineStr">
        <is>
          <t>10-K / 10-Q cash-flow statement (XBRL, year to date; discrete quarters derived).</t>
        </is>
      </c>
    </row>
    <row r="143" ht="15" customHeight="1" s="251">
      <c r="B143" s="25" t="inlineStr">
        <is>
          <t xml:space="preserve">  Amortization of acquired intangible assets (adjusted out)</t>
        </is>
      </c>
      <c r="C143" s="253" t="n">
        <v>0</v>
      </c>
      <c r="D143" s="253" t="n">
        <v>12.477</v>
      </c>
      <c r="E143" s="253" t="n">
        <v>17.013</v>
      </c>
      <c r="F143" s="253" t="n">
        <v>28.317</v>
      </c>
      <c r="G143" s="253" t="n">
        <v>47.704</v>
      </c>
      <c r="H143" s="253" t="n">
        <v>66.398</v>
      </c>
      <c r="I143" s="253" t="n">
        <v>67.79300000000001</v>
      </c>
      <c r="J143" s="253" t="n">
        <v>86.878</v>
      </c>
      <c r="K143" s="253" t="n">
        <v>71.675</v>
      </c>
      <c r="L143" s="253" t="n">
        <v>83.892</v>
      </c>
      <c r="M143" s="253" t="n">
        <v>41.741</v>
      </c>
      <c r="N143" s="253" t="n">
        <v>74.791</v>
      </c>
      <c r="O143" s="253" t="n">
        <v>75.021</v>
      </c>
      <c r="P143" s="253" t="n">
        <v>174.882</v>
      </c>
      <c r="Q143" s="253" t="n">
        <v>366.434</v>
      </c>
      <c r="R143" s="253" t="n">
        <v>63.84</v>
      </c>
      <c r="S143" s="253" t="n">
        <v>63.95</v>
      </c>
      <c r="T143" s="253" t="n">
        <v>63.975</v>
      </c>
      <c r="U143" s="253" t="n">
        <v>64.996</v>
      </c>
      <c r="V143" s="253" t="n">
        <v>256.355</v>
      </c>
      <c r="W143" s="253" t="n">
        <v>64.092</v>
      </c>
      <c r="X143" s="253" t="n">
        <v>69.846</v>
      </c>
      <c r="Y143" s="253" t="n">
        <v>64.724</v>
      </c>
      <c r="Z143" s="253" t="n">
        <v>67.76000000000001</v>
      </c>
      <c r="AA143" s="253" t="n">
        <v>266.42</v>
      </c>
      <c r="AB143" s="253" t="n">
        <v>67.661</v>
      </c>
      <c r="AC143" s="253" t="n">
        <v>67.971</v>
      </c>
      <c r="AD143" s="253" t="n">
        <v>67.24299999999999</v>
      </c>
      <c r="AE143" s="253" t="n">
        <v>70.90900000000001</v>
      </c>
      <c r="AF143" s="253" t="n">
        <v>273.784</v>
      </c>
      <c r="AG143" s="253" t="n">
        <v>67.09999999999999</v>
      </c>
      <c r="AH143" s="253" t="n">
        <v>67.2</v>
      </c>
      <c r="AI143" s="253" t="n">
        <v>65.40000000000001</v>
      </c>
      <c r="AJ143" s="253" t="n">
        <v>65.40000000000001</v>
      </c>
      <c r="AK143" s="253" t="n">
        <v>265</v>
      </c>
      <c r="AL143" s="253" t="n">
        <v>65.3</v>
      </c>
      <c r="AM143" s="254">
        <f>($BE$21-AL143)/3</f>
        <v/>
      </c>
      <c r="AN143" s="254">
        <f>($BE$21-AL143)/3</f>
        <v/>
      </c>
      <c r="AO143" s="254">
        <f>($BE$21-AL143)/3</f>
        <v/>
      </c>
      <c r="AP143" s="254">
        <f>SUM(AL143,AM143,AN143,AO143)</f>
        <v/>
      </c>
      <c r="AQ143" s="254">
        <f>AQ144+N(AQ114)</f>
        <v/>
      </c>
      <c r="AR143" s="254">
        <f>AR144+N(AR114)</f>
        <v/>
      </c>
      <c r="AS143" s="254">
        <f>AS144+N(AS114)</f>
        <v/>
      </c>
      <c r="AT143" s="254">
        <f>AT144+N(AT114)</f>
        <v/>
      </c>
      <c r="AU143" s="19" t="inlineStr">
        <is>
          <t>Q2–Q4/27E: FY27 point estimate less Q1/27. 2028E+: 10-K schedule of intangibles held at 31-Mar-2026 + future-acquisition amortization.</t>
        </is>
      </c>
      <c r="AW143" s="20">
        <f>IFERROR((AT143/AK143)^(1/5)-1,"n/m")</f>
        <v/>
      </c>
      <c r="AX143" s="20">
        <f>IFERROR((AK143/L143)^(1/5)-1,"n/m")</f>
        <v/>
      </c>
      <c r="AY143" s="20">
        <f>IFERROR((AK143/G143)^(1/10)-1,"n/m")</f>
        <v/>
      </c>
      <c r="AZ143" s="20">
        <f>IFERROR((AK143/C143)^(1/14)-1,"n/m")</f>
        <v/>
      </c>
    </row>
    <row r="144" ht="15" customHeight="1" s="251">
      <c r="B144" s="25" t="inlineStr">
        <is>
          <t xml:space="preserve">  Amortization schedule — intangibles held at 31-Mar-2026 (10-K, input)</t>
        </is>
      </c>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c r="AF144" s="36" t="n"/>
      <c r="AG144" s="36" t="n"/>
      <c r="AH144" s="36" t="n"/>
      <c r="AI144" s="36" t="n"/>
      <c r="AJ144" s="36" t="n"/>
      <c r="AK144" s="36" t="n"/>
      <c r="AL144" s="36" t="n"/>
      <c r="AM144" s="24" t="n"/>
      <c r="AN144" s="24" t="n"/>
      <c r="AO144" s="24" t="n"/>
      <c r="AP144" s="24" t="n"/>
      <c r="AQ144" s="266" t="n">
        <v>256.2</v>
      </c>
      <c r="AR144" s="266" t="n">
        <v>254.3</v>
      </c>
      <c r="AS144" s="266" t="n">
        <v>249.3</v>
      </c>
      <c r="AT144" s="266" t="n">
        <v>217.1</v>
      </c>
      <c r="AU144" s="19" t="inlineStr">
        <is>
          <t>FY2026 10-K: estimated amortization of intangible assets held at 31-Mar-2026 (XBRL FiniteLivedIntangibleAssetsAmortizationExpense, next five fiscal years). FY28 $248.2m, FY29 $246.3m, FY30 $241.3m, FY31 $209.1m; + ~$8m p.a. from FY27 tuck-ins (Q1/27 run-rate $261m vs $253.1m scheduled).</t>
        </is>
      </c>
    </row>
    <row r="145" ht="15" customHeight="1" s="251">
      <c r="B145" s="25" t="inlineStr">
        <is>
          <t xml:space="preserve">  Depreciation &amp; other amortization (total D&amp;A − acquired-intangible amortization)</t>
        </is>
      </c>
      <c r="C145" s="263">
        <f>IF(AND(ISNUMBER(C142),ISNUMBER(C143)),C142-C143,"")</f>
        <v/>
      </c>
      <c r="D145" s="263">
        <f>IF(AND(ISNUMBER(D142),ISNUMBER(D143)),D142-D143,"")</f>
        <v/>
      </c>
      <c r="E145" s="263">
        <f>IF(AND(ISNUMBER(E142),ISNUMBER(E143)),E142-E143,"")</f>
        <v/>
      </c>
      <c r="F145" s="263">
        <f>IF(AND(ISNUMBER(F142),ISNUMBER(F143)),F142-F143,"")</f>
        <v/>
      </c>
      <c r="G145" s="263">
        <f>IF(AND(ISNUMBER(G142),ISNUMBER(G143)),G142-G143,"")</f>
        <v/>
      </c>
      <c r="H145" s="263">
        <f>IF(AND(ISNUMBER(H142),ISNUMBER(H143)),H142-H143,"")</f>
        <v/>
      </c>
      <c r="I145" s="263">
        <f>IF(AND(ISNUMBER(I142),ISNUMBER(I143)),I142-I143,"")</f>
        <v/>
      </c>
      <c r="J145" s="263">
        <f>IF(AND(ISNUMBER(J142),ISNUMBER(J143)),J142-J143,"")</f>
        <v/>
      </c>
      <c r="K145" s="263">
        <f>IF(AND(ISNUMBER(K142),ISNUMBER(K143)),K142-K143,"")</f>
        <v/>
      </c>
      <c r="L145" s="263">
        <f>IF(AND(ISNUMBER(L142),ISNUMBER(L143)),L142-L143,"")</f>
        <v/>
      </c>
      <c r="M145" s="263">
        <f>IF(AND(ISNUMBER(M142),ISNUMBER(M143)),M142-M143,"")</f>
        <v/>
      </c>
      <c r="N145" s="263">
        <f>IF(AND(ISNUMBER(N142),ISNUMBER(N143)),N142-N143,"")</f>
        <v/>
      </c>
      <c r="O145" s="263">
        <f>IF(AND(ISNUMBER(O142),ISNUMBER(O143)),O142-O143,"")</f>
        <v/>
      </c>
      <c r="P145" s="263">
        <f>IF(AND(ISNUMBER(P142),ISNUMBER(P143)),P142-P143,"")</f>
        <v/>
      </c>
      <c r="Q145" s="263">
        <f>IF(AND(ISNUMBER(Q142),ISNUMBER(Q143)),Q142-Q143,"")</f>
        <v/>
      </c>
      <c r="R145" s="263">
        <f>IF(AND(ISNUMBER(R142),ISNUMBER(R143)),R142-R143,"")</f>
        <v/>
      </c>
      <c r="S145" s="263">
        <f>IF(AND(ISNUMBER(S142),ISNUMBER(S143)),S142-S143,"")</f>
        <v/>
      </c>
      <c r="T145" s="263">
        <f>IF(AND(ISNUMBER(T142),ISNUMBER(T143)),T142-T143,"")</f>
        <v/>
      </c>
      <c r="U145" s="263">
        <f>IF(AND(ISNUMBER(U142),ISNUMBER(U143)),U142-U143,"")</f>
        <v/>
      </c>
      <c r="V145" s="263">
        <f>IF(AND(ISNUMBER(V142),ISNUMBER(V143)),V142-V143,"")</f>
        <v/>
      </c>
      <c r="W145" s="263">
        <f>IF(AND(ISNUMBER(W142),ISNUMBER(W143)),W142-W143,"")</f>
        <v/>
      </c>
      <c r="X145" s="263">
        <f>IF(AND(ISNUMBER(X142),ISNUMBER(X143)),X142-X143,"")</f>
        <v/>
      </c>
      <c r="Y145" s="263">
        <f>IF(AND(ISNUMBER(Y142),ISNUMBER(Y143)),Y142-Y143,"")</f>
        <v/>
      </c>
      <c r="Z145" s="263">
        <f>IF(AND(ISNUMBER(Z142),ISNUMBER(Z143)),Z142-Z143,"")</f>
        <v/>
      </c>
      <c r="AA145" s="263">
        <f>IF(AND(ISNUMBER(AA142),ISNUMBER(AA143)),AA142-AA143,"")</f>
        <v/>
      </c>
      <c r="AB145" s="263">
        <f>IF(AND(ISNUMBER(AB142),ISNUMBER(AB143)),AB142-AB143,"")</f>
        <v/>
      </c>
      <c r="AC145" s="263">
        <f>IF(AND(ISNUMBER(AC142),ISNUMBER(AC143)),AC142-AC143,"")</f>
        <v/>
      </c>
      <c r="AD145" s="263">
        <f>IF(AND(ISNUMBER(AD142),ISNUMBER(AD143)),AD142-AD143,"")</f>
        <v/>
      </c>
      <c r="AE145" s="263">
        <f>IF(AND(ISNUMBER(AE142),ISNUMBER(AE143)),AE142-AE143,"")</f>
        <v/>
      </c>
      <c r="AF145" s="263">
        <f>IF(AND(ISNUMBER(AF142),ISNUMBER(AF143)),AF142-AF143,"")</f>
        <v/>
      </c>
      <c r="AG145" s="263">
        <f>IF(AND(ISNUMBER(AG142),ISNUMBER(AG143)),AG142-AG143,"")</f>
        <v/>
      </c>
      <c r="AH145" s="263">
        <f>IF(AND(ISNUMBER(AH142),ISNUMBER(AH143)),AH142-AH143,"")</f>
        <v/>
      </c>
      <c r="AI145" s="263">
        <f>IF(AND(ISNUMBER(AI142),ISNUMBER(AI143)),AI142-AI143,"")</f>
        <v/>
      </c>
      <c r="AJ145" s="263">
        <f>IF(AND(ISNUMBER(AJ142),ISNUMBER(AJ143)),AJ142-AJ143,"")</f>
        <v/>
      </c>
      <c r="AK145" s="263">
        <f>IF(AND(ISNUMBER(AK142),ISNUMBER(AK143)),AK142-AK143,"")</f>
        <v/>
      </c>
      <c r="AL145" s="263">
        <f>IF(AND(ISNUMBER(AL142),ISNUMBER(AL143)),AL142-AL143,"")</f>
        <v/>
      </c>
      <c r="AM145" s="254">
        <f>($BE$22-AL145)/3</f>
        <v/>
      </c>
      <c r="AN145" s="254">
        <f>($BE$22-AL145)/3</f>
        <v/>
      </c>
      <c r="AO145" s="254">
        <f>($BE$22-AL145)/3</f>
        <v/>
      </c>
      <c r="AP145" s="254">
        <f>SUM(AL145,AM145,AN145,AO145)</f>
        <v/>
      </c>
      <c r="AQ145" s="254">
        <f>AQ159*AQ146</f>
        <v/>
      </c>
      <c r="AR145" s="254">
        <f>AR159*AR146</f>
        <v/>
      </c>
      <c r="AS145" s="254">
        <f>AS159*AS146</f>
        <v/>
      </c>
      <c r="AT145" s="254">
        <f>AT159*AT146</f>
        <v/>
      </c>
      <c r="AU145" s="19" t="n"/>
      <c r="AW145" s="20">
        <f>IFERROR((AT145/AK145)^(1/5)-1,"n/m")</f>
        <v/>
      </c>
      <c r="AX145" s="20">
        <f>IFERROR((AK145/L145)^(1/5)-1,"n/m")</f>
        <v/>
      </c>
      <c r="AY145" s="20">
        <f>IFERROR((AK145/G145)^(1/10)-1,"n/m")</f>
        <v/>
      </c>
      <c r="AZ145" s="20">
        <f>IFERROR((AK145/C145)^(1/14)-1,"n/m")</f>
        <v/>
      </c>
    </row>
    <row r="146" ht="15" customHeight="1" s="251">
      <c r="B146" s="25" t="inlineStr">
        <is>
          <t xml:space="preserve">  Depreciation &amp; other amortization % of revenue</t>
        </is>
      </c>
      <c r="C146" s="215">
        <f>IF(AND(ISNUMBER(C145),ISNUMBER(C159)),IFERROR(C145/C159,""),"")</f>
        <v/>
      </c>
      <c r="D146" s="215">
        <f>IF(AND(ISNUMBER(D145),ISNUMBER(D159)),IFERROR(D145/D159,""),"")</f>
        <v/>
      </c>
      <c r="E146" s="215">
        <f>IF(AND(ISNUMBER(E145),ISNUMBER(E159)),IFERROR(E145/E159,""),"")</f>
        <v/>
      </c>
      <c r="F146" s="215">
        <f>IF(AND(ISNUMBER(F145),ISNUMBER(F159)),IFERROR(F145/F159,""),"")</f>
        <v/>
      </c>
      <c r="G146" s="215">
        <f>IF(AND(ISNUMBER(G145),ISNUMBER(G159)),IFERROR(G145/G159,""),"")</f>
        <v/>
      </c>
      <c r="H146" s="215">
        <f>IF(AND(ISNUMBER(H145),ISNUMBER(H159)),IFERROR(H145/H159,""),"")</f>
        <v/>
      </c>
      <c r="I146" s="215">
        <f>IF(AND(ISNUMBER(I145),ISNUMBER(I159)),IFERROR(I145/I159,""),"")</f>
        <v/>
      </c>
      <c r="J146" s="215">
        <f>IF(AND(ISNUMBER(J145),ISNUMBER(J159)),IFERROR(J145/J159,""),"")</f>
        <v/>
      </c>
      <c r="K146" s="215">
        <f>IF(AND(ISNUMBER(K145),ISNUMBER(K159)),IFERROR(K145/K159,""),"")</f>
        <v/>
      </c>
      <c r="L146" s="215">
        <f>IF(AND(ISNUMBER(L145),ISNUMBER(L159)),IFERROR(L145/L159,""),"")</f>
        <v/>
      </c>
      <c r="M146" s="215">
        <f>IF(AND(ISNUMBER(M145),ISNUMBER(M159)),IFERROR(M145/M159,""),"")</f>
        <v/>
      </c>
      <c r="N146" s="215">
        <f>IF(AND(ISNUMBER(N145),ISNUMBER(N159)),IFERROR(N145/N159,""),"")</f>
        <v/>
      </c>
      <c r="O146" s="215">
        <f>IF(AND(ISNUMBER(O145),ISNUMBER(O159)),IFERROR(O145/O159,""),"")</f>
        <v/>
      </c>
      <c r="P146" s="215">
        <f>IF(AND(ISNUMBER(P145),ISNUMBER(P159)),IFERROR(P145/P159,""),"")</f>
        <v/>
      </c>
      <c r="Q146" s="215">
        <f>IF(AND(ISNUMBER(Q145),ISNUMBER(Q159)),IFERROR(Q145/Q159,""),"")</f>
        <v/>
      </c>
      <c r="R146" s="215">
        <f>IF(AND(ISNUMBER(R145),ISNUMBER(R159)),IFERROR(R145/R159,""),"")</f>
        <v/>
      </c>
      <c r="S146" s="215">
        <f>IF(AND(ISNUMBER(S145),ISNUMBER(S159)),IFERROR(S145/S159,""),"")</f>
        <v/>
      </c>
      <c r="T146" s="215">
        <f>IF(AND(ISNUMBER(T145),ISNUMBER(T159)),IFERROR(T145/T159,""),"")</f>
        <v/>
      </c>
      <c r="U146" s="215">
        <f>IF(AND(ISNUMBER(U145),ISNUMBER(U159)),IFERROR(U145/U159,""),"")</f>
        <v/>
      </c>
      <c r="V146" s="215">
        <f>IF(AND(ISNUMBER(V145),ISNUMBER(V159)),IFERROR(V145/V159,""),"")</f>
        <v/>
      </c>
      <c r="W146" s="215">
        <f>IF(AND(ISNUMBER(W145),ISNUMBER(W159)),IFERROR(W145/W159,""),"")</f>
        <v/>
      </c>
      <c r="X146" s="215">
        <f>IF(AND(ISNUMBER(X145),ISNUMBER(X159)),IFERROR(X145/X159,""),"")</f>
        <v/>
      </c>
      <c r="Y146" s="215">
        <f>IF(AND(ISNUMBER(Y145),ISNUMBER(Y159)),IFERROR(Y145/Y159,""),"")</f>
        <v/>
      </c>
      <c r="Z146" s="215">
        <f>IF(AND(ISNUMBER(Z145),ISNUMBER(Z159)),IFERROR(Z145/Z159,""),"")</f>
        <v/>
      </c>
      <c r="AA146" s="215">
        <f>IF(AND(ISNUMBER(AA145),ISNUMBER(AA159)),IFERROR(AA145/AA159,""),"")</f>
        <v/>
      </c>
      <c r="AB146" s="215">
        <f>IF(AND(ISNUMBER(AB145),ISNUMBER(AB159)),IFERROR(AB145/AB159,""),"")</f>
        <v/>
      </c>
      <c r="AC146" s="215">
        <f>IF(AND(ISNUMBER(AC145),ISNUMBER(AC159)),IFERROR(AC145/AC159,""),"")</f>
        <v/>
      </c>
      <c r="AD146" s="215">
        <f>IF(AND(ISNUMBER(AD145),ISNUMBER(AD159)),IFERROR(AD145/AD159,""),"")</f>
        <v/>
      </c>
      <c r="AE146" s="215">
        <f>IF(AND(ISNUMBER(AE145),ISNUMBER(AE159)),IFERROR(AE145/AE159,""),"")</f>
        <v/>
      </c>
      <c r="AF146" s="215">
        <f>IF(AND(ISNUMBER(AF145),ISNUMBER(AF159)),IFERROR(AF145/AF159,""),"")</f>
        <v/>
      </c>
      <c r="AG146" s="215">
        <f>IF(AND(ISNUMBER(AG145),ISNUMBER(AG159)),IFERROR(AG145/AG159,""),"")</f>
        <v/>
      </c>
      <c r="AH146" s="215">
        <f>IF(AND(ISNUMBER(AH145),ISNUMBER(AH159)),IFERROR(AH145/AH159,""),"")</f>
        <v/>
      </c>
      <c r="AI146" s="215">
        <f>IF(AND(ISNUMBER(AI145),ISNUMBER(AI159)),IFERROR(AI145/AI159,""),"")</f>
        <v/>
      </c>
      <c r="AJ146" s="215">
        <f>IF(AND(ISNUMBER(AJ145),ISNUMBER(AJ159)),IFERROR(AJ145/AJ159,""),"")</f>
        <v/>
      </c>
      <c r="AK146" s="215">
        <f>IF(AND(ISNUMBER(AK145),ISNUMBER(AK159)),IFERROR(AK145/AK159,""),"")</f>
        <v/>
      </c>
      <c r="AL146" s="215">
        <f>IF(AND(ISNUMBER(AL145),ISNUMBER(AL159)),IFERROR(AL145/AL159,""),"")</f>
        <v/>
      </c>
      <c r="AM146" s="256">
        <f>IF(AND(ISNUMBER(AM145),ISNUMBER(AM159)),IFERROR(AM145/AM159,""),"")</f>
        <v/>
      </c>
      <c r="AN146" s="256">
        <f>IF(AND(ISNUMBER(AN145),ISNUMBER(AN159)),IFERROR(AN145/AN159,""),"")</f>
        <v/>
      </c>
      <c r="AO146" s="256">
        <f>IF(AND(ISNUMBER(AO145),ISNUMBER(AO159)),IFERROR(AO145/AO159,""),"")</f>
        <v/>
      </c>
      <c r="AP146" s="256">
        <f>IF(AND(ISNUMBER(AP145),ISNUMBER(AP159)),IFERROR(AP145/AP159,""),"")</f>
        <v/>
      </c>
      <c r="AQ146" s="265" t="n">
        <v>0.038</v>
      </c>
      <c r="AR146" s="265" t="n">
        <v>0.039</v>
      </c>
      <c r="AS146" s="265" t="n">
        <v>0.04</v>
      </c>
      <c r="AT146" s="265" t="n">
        <v>0.04</v>
      </c>
      <c r="AU146" s="153" t="inlineStr">
        <is>
          <t>Rising with the capex step-up (North Carolina chemistries and Mentor, OH sterility-assurance plants; AST capacity).</t>
        </is>
      </c>
      <c r="AW146" s="37">
        <f>IFERROR(AVERAGE(AP146,AQ146,AR146,AS146,AT146),"n/m")</f>
        <v/>
      </c>
      <c r="AX146" s="37">
        <f>IFERROR(AVERAGE(Q146,V146,AA146,AF146,AK146),"n/m")</f>
        <v/>
      </c>
      <c r="AY146" s="37">
        <f>IFERROR(AVERAGE(H146,I146,J146,K146,L146,Q146,V146,AA146,AF146,AK146),"n/m")</f>
        <v/>
      </c>
      <c r="AZ146" s="37">
        <f>IFERROR(AVERAGE(C146,D146,E146,F146,G146,H146,I146,J146,K146,L146,Q146,V146,AA146,AF146,AK146),"n/m")</f>
        <v/>
      </c>
    </row>
    <row r="147" ht="15" customHeight="1" s="251">
      <c r="B147" s="25" t="inlineStr">
        <is>
          <t xml:space="preserve">  SG&amp;A % of revenue (incl. acquired-intangible amortization in SG&amp;A)</t>
        </is>
      </c>
      <c r="C147" s="215">
        <f>IF(AND(ISNUMBER(C163),ISNUMBER(C159)),IFERROR(C163/C159,""),"")</f>
        <v/>
      </c>
      <c r="D147" s="215">
        <f>IF(AND(ISNUMBER(D163),ISNUMBER(D159)),IFERROR(D163/D159,""),"")</f>
        <v/>
      </c>
      <c r="E147" s="215">
        <f>IF(AND(ISNUMBER(E163),ISNUMBER(E159)),IFERROR(E163/E159,""),"")</f>
        <v/>
      </c>
      <c r="F147" s="215">
        <f>IF(AND(ISNUMBER(F163),ISNUMBER(F159)),IFERROR(F163/F159,""),"")</f>
        <v/>
      </c>
      <c r="G147" s="215">
        <f>IF(AND(ISNUMBER(G163),ISNUMBER(G159)),IFERROR(G163/G159,""),"")</f>
        <v/>
      </c>
      <c r="H147" s="215">
        <f>IF(AND(ISNUMBER(H163),ISNUMBER(H159)),IFERROR(H163/H159,""),"")</f>
        <v/>
      </c>
      <c r="I147" s="215">
        <f>IF(AND(ISNUMBER(I163),ISNUMBER(I159)),IFERROR(I163/I159,""),"")</f>
        <v/>
      </c>
      <c r="J147" s="215">
        <f>IF(AND(ISNUMBER(J163),ISNUMBER(J159)),IFERROR(J163/J159,""),"")</f>
        <v/>
      </c>
      <c r="K147" s="215">
        <f>IF(AND(ISNUMBER(K163),ISNUMBER(K159)),IFERROR(K163/K159,""),"")</f>
        <v/>
      </c>
      <c r="L147" s="215">
        <f>IF(AND(ISNUMBER(L163),ISNUMBER(L159)),IFERROR(L163/L159,""),"")</f>
        <v/>
      </c>
      <c r="M147" s="215">
        <f>IF(AND(ISNUMBER(M163),ISNUMBER(M159)),IFERROR(M163/M159,""),"")</f>
        <v/>
      </c>
      <c r="N147" s="215">
        <f>IF(AND(ISNUMBER(N163),ISNUMBER(N159)),IFERROR(N163/N159,""),"")</f>
        <v/>
      </c>
      <c r="O147" s="215">
        <f>IF(AND(ISNUMBER(O163),ISNUMBER(O159)),IFERROR(O163/O159,""),"")</f>
        <v/>
      </c>
      <c r="P147" s="215">
        <f>IF(AND(ISNUMBER(P163),ISNUMBER(P159)),IFERROR(P163/P159,""),"")</f>
        <v/>
      </c>
      <c r="Q147" s="215">
        <f>IF(AND(ISNUMBER(Q163),ISNUMBER(Q159)),IFERROR(Q163/Q159,""),"")</f>
        <v/>
      </c>
      <c r="R147" s="215">
        <f>IF(AND(ISNUMBER(R163),ISNUMBER(R159)),IFERROR(R163/R159,""),"")</f>
        <v/>
      </c>
      <c r="S147" s="215">
        <f>IF(AND(ISNUMBER(S163),ISNUMBER(S159)),IFERROR(S163/S159,""),"")</f>
        <v/>
      </c>
      <c r="T147" s="215">
        <f>IF(AND(ISNUMBER(T163),ISNUMBER(T159)),IFERROR(T163/T159,""),"")</f>
        <v/>
      </c>
      <c r="U147" s="215">
        <f>IF(AND(ISNUMBER(U163),ISNUMBER(U159)),IFERROR(U163/U159,""),"")</f>
        <v/>
      </c>
      <c r="V147" s="215">
        <f>IF(AND(ISNUMBER(V163),ISNUMBER(V159)),IFERROR(V163/V159,""),"")</f>
        <v/>
      </c>
      <c r="W147" s="215">
        <f>IF(AND(ISNUMBER(W163),ISNUMBER(W159)),IFERROR(W163/W159,""),"")</f>
        <v/>
      </c>
      <c r="X147" s="215">
        <f>IF(AND(ISNUMBER(X163),ISNUMBER(X159)),IFERROR(X163/X159,""),"")</f>
        <v/>
      </c>
      <c r="Y147" s="215">
        <f>IF(AND(ISNUMBER(Y163),ISNUMBER(Y159)),IFERROR(Y163/Y159,""),"")</f>
        <v/>
      </c>
      <c r="Z147" s="215">
        <f>IF(AND(ISNUMBER(Z163),ISNUMBER(Z159)),IFERROR(Z163/Z159,""),"")</f>
        <v/>
      </c>
      <c r="AA147" s="215">
        <f>IF(AND(ISNUMBER(AA163),ISNUMBER(AA159)),IFERROR(AA163/AA159,""),"")</f>
        <v/>
      </c>
      <c r="AB147" s="215">
        <f>IF(AND(ISNUMBER(AB163),ISNUMBER(AB159)),IFERROR(AB163/AB159,""),"")</f>
        <v/>
      </c>
      <c r="AC147" s="215">
        <f>IF(AND(ISNUMBER(AC163),ISNUMBER(AC159)),IFERROR(AC163/AC159,""),"")</f>
        <v/>
      </c>
      <c r="AD147" s="215">
        <f>IF(AND(ISNUMBER(AD163),ISNUMBER(AD159)),IFERROR(AD163/AD159,""),"")</f>
        <v/>
      </c>
      <c r="AE147" s="215">
        <f>IF(AND(ISNUMBER(AE163),ISNUMBER(AE159)),IFERROR(AE163/AE159,""),"")</f>
        <v/>
      </c>
      <c r="AF147" s="215">
        <f>IF(AND(ISNUMBER(AF163),ISNUMBER(AF159)),IFERROR(AF163/AF159,""),"")</f>
        <v/>
      </c>
      <c r="AG147" s="215">
        <f>IF(AND(ISNUMBER(AG163),ISNUMBER(AG159)),IFERROR(AG163/AG159,""),"")</f>
        <v/>
      </c>
      <c r="AH147" s="215">
        <f>IF(AND(ISNUMBER(AH163),ISNUMBER(AH159)),IFERROR(AH163/AH159,""),"")</f>
        <v/>
      </c>
      <c r="AI147" s="215">
        <f>IF(AND(ISNUMBER(AI163),ISNUMBER(AI159)),IFERROR(AI163/AI159,""),"")</f>
        <v/>
      </c>
      <c r="AJ147" s="215">
        <f>IF(AND(ISNUMBER(AJ163),ISNUMBER(AJ159)),IFERROR(AJ163/AJ159,""),"")</f>
        <v/>
      </c>
      <c r="AK147" s="215">
        <f>IF(AND(ISNUMBER(AK163),ISNUMBER(AK159)),IFERROR(AK163/AK159,""),"")</f>
        <v/>
      </c>
      <c r="AL147" s="215">
        <f>IF(AND(ISNUMBER(AL163),ISNUMBER(AL159)),IFERROR(AL163/AL159,""),"")</f>
        <v/>
      </c>
      <c r="AM147" s="256">
        <f>AH147+IFERROR(AL163/AL159-AG163/AG159,0)</f>
        <v/>
      </c>
      <c r="AN147" s="256">
        <f>AI147+IFERROR(AL163/AL159-AG163/AG159,0)</f>
        <v/>
      </c>
      <c r="AO147" s="256">
        <f>AJ147+IFERROR(AL163/AL159-AG163/AG159,0)</f>
        <v/>
      </c>
      <c r="AP147" s="256">
        <f>IF(AND(ISNUMBER(AP163),ISNUMBER(AP159)),IFERROR(AP163/AP159,""),"")</f>
        <v/>
      </c>
      <c r="AQ147" s="265" t="n">
        <v>0.232</v>
      </c>
      <c r="AR147" s="265" t="n">
        <v>0.229</v>
      </c>
      <c r="AS147" s="265" t="n">
        <v>0.226</v>
      </c>
      <c r="AT147" s="265" t="n">
        <v>0.222</v>
      </c>
      <c r="AU147" s="153" t="inlineStr">
        <is>
          <t>Q2–Q4/27E: prior-year quarter ratio + Q1/27 y/y drift; 2028E+ input. Gross profit is implied: GAAP operating income (from the adjusted build) + operating expenses.</t>
        </is>
      </c>
      <c r="AW147" s="37">
        <f>IFERROR(AVERAGE(AP147,AQ147,AR147,AS147,AT147),"n/m")</f>
        <v/>
      </c>
      <c r="AX147" s="37">
        <f>IFERROR(AVERAGE(Q147,V147,AA147,AF147,AK147),"n/m")</f>
        <v/>
      </c>
      <c r="AY147" s="37">
        <f>IFERROR(AVERAGE(H147,I147,J147,K147,L147,Q147,V147,AA147,AF147,AK147),"n/m")</f>
        <v/>
      </c>
      <c r="AZ147" s="37">
        <f>IFERROR(AVERAGE(C147,D147,E147,F147,G147,H147,I147,J147,K147,L147,Q147,V147,AA147,AF147,AK147),"n/m")</f>
        <v/>
      </c>
    </row>
    <row r="148" ht="15" customHeight="1" s="251">
      <c r="B148" s="25" t="inlineStr">
        <is>
          <t xml:space="preserve">  R&amp;D % of revenue</t>
        </is>
      </c>
      <c r="C148" s="215">
        <f>IF(AND(ISNUMBER(C164),ISNUMBER(C159)),IFERROR(C164/C159,""),"")</f>
        <v/>
      </c>
      <c r="D148" s="215">
        <f>IF(AND(ISNUMBER(D164),ISNUMBER(D159)),IFERROR(D164/D159,""),"")</f>
        <v/>
      </c>
      <c r="E148" s="215">
        <f>IF(AND(ISNUMBER(E164),ISNUMBER(E159)),IFERROR(E164/E159,""),"")</f>
        <v/>
      </c>
      <c r="F148" s="215">
        <f>IF(AND(ISNUMBER(F164),ISNUMBER(F159)),IFERROR(F164/F159,""),"")</f>
        <v/>
      </c>
      <c r="G148" s="215">
        <f>IF(AND(ISNUMBER(G164),ISNUMBER(G159)),IFERROR(G164/G159,""),"")</f>
        <v/>
      </c>
      <c r="H148" s="215">
        <f>IF(AND(ISNUMBER(H164),ISNUMBER(H159)),IFERROR(H164/H159,""),"")</f>
        <v/>
      </c>
      <c r="I148" s="215">
        <f>IF(AND(ISNUMBER(I164),ISNUMBER(I159)),IFERROR(I164/I159,""),"")</f>
        <v/>
      </c>
      <c r="J148" s="215">
        <f>IF(AND(ISNUMBER(J164),ISNUMBER(J159)),IFERROR(J164/J159,""),"")</f>
        <v/>
      </c>
      <c r="K148" s="215">
        <f>IF(AND(ISNUMBER(K164),ISNUMBER(K159)),IFERROR(K164/K159,""),"")</f>
        <v/>
      </c>
      <c r="L148" s="215">
        <f>IF(AND(ISNUMBER(L164),ISNUMBER(L159)),IFERROR(L164/L159,""),"")</f>
        <v/>
      </c>
      <c r="M148" s="215">
        <f>IF(AND(ISNUMBER(M164),ISNUMBER(M159)),IFERROR(M164/M159,""),"")</f>
        <v/>
      </c>
      <c r="N148" s="215">
        <f>IF(AND(ISNUMBER(N164),ISNUMBER(N159)),IFERROR(N164/N159,""),"")</f>
        <v/>
      </c>
      <c r="O148" s="215">
        <f>IF(AND(ISNUMBER(O164),ISNUMBER(O159)),IFERROR(O164/O159,""),"")</f>
        <v/>
      </c>
      <c r="P148" s="215">
        <f>IF(AND(ISNUMBER(P164),ISNUMBER(P159)),IFERROR(P164/P159,""),"")</f>
        <v/>
      </c>
      <c r="Q148" s="215">
        <f>IF(AND(ISNUMBER(Q164),ISNUMBER(Q159)),IFERROR(Q164/Q159,""),"")</f>
        <v/>
      </c>
      <c r="R148" s="215">
        <f>IF(AND(ISNUMBER(R164),ISNUMBER(R159)),IFERROR(R164/R159,""),"")</f>
        <v/>
      </c>
      <c r="S148" s="215">
        <f>IF(AND(ISNUMBER(S164),ISNUMBER(S159)),IFERROR(S164/S159,""),"")</f>
        <v/>
      </c>
      <c r="T148" s="215">
        <f>IF(AND(ISNUMBER(T164),ISNUMBER(T159)),IFERROR(T164/T159,""),"")</f>
        <v/>
      </c>
      <c r="U148" s="215">
        <f>IF(AND(ISNUMBER(U164),ISNUMBER(U159)),IFERROR(U164/U159,""),"")</f>
        <v/>
      </c>
      <c r="V148" s="215">
        <f>IF(AND(ISNUMBER(V164),ISNUMBER(V159)),IFERROR(V164/V159,""),"")</f>
        <v/>
      </c>
      <c r="W148" s="215">
        <f>IF(AND(ISNUMBER(W164),ISNUMBER(W159)),IFERROR(W164/W159,""),"")</f>
        <v/>
      </c>
      <c r="X148" s="215">
        <f>IF(AND(ISNUMBER(X164),ISNUMBER(X159)),IFERROR(X164/X159,""),"")</f>
        <v/>
      </c>
      <c r="Y148" s="215">
        <f>IF(AND(ISNUMBER(Y164),ISNUMBER(Y159)),IFERROR(Y164/Y159,""),"")</f>
        <v/>
      </c>
      <c r="Z148" s="215">
        <f>IF(AND(ISNUMBER(Z164),ISNUMBER(Z159)),IFERROR(Z164/Z159,""),"")</f>
        <v/>
      </c>
      <c r="AA148" s="215">
        <f>IF(AND(ISNUMBER(AA164),ISNUMBER(AA159)),IFERROR(AA164/AA159,""),"")</f>
        <v/>
      </c>
      <c r="AB148" s="215">
        <f>IF(AND(ISNUMBER(AB164),ISNUMBER(AB159)),IFERROR(AB164/AB159,""),"")</f>
        <v/>
      </c>
      <c r="AC148" s="215">
        <f>IF(AND(ISNUMBER(AC164),ISNUMBER(AC159)),IFERROR(AC164/AC159,""),"")</f>
        <v/>
      </c>
      <c r="AD148" s="215">
        <f>IF(AND(ISNUMBER(AD164),ISNUMBER(AD159)),IFERROR(AD164/AD159,""),"")</f>
        <v/>
      </c>
      <c r="AE148" s="215">
        <f>IF(AND(ISNUMBER(AE164),ISNUMBER(AE159)),IFERROR(AE164/AE159,""),"")</f>
        <v/>
      </c>
      <c r="AF148" s="215">
        <f>IF(AND(ISNUMBER(AF164),ISNUMBER(AF159)),IFERROR(AF164/AF159,""),"")</f>
        <v/>
      </c>
      <c r="AG148" s="215">
        <f>IF(AND(ISNUMBER(AG164),ISNUMBER(AG159)),IFERROR(AG164/AG159,""),"")</f>
        <v/>
      </c>
      <c r="AH148" s="215">
        <f>IF(AND(ISNUMBER(AH164),ISNUMBER(AH159)),IFERROR(AH164/AH159,""),"")</f>
        <v/>
      </c>
      <c r="AI148" s="215">
        <f>IF(AND(ISNUMBER(AI164),ISNUMBER(AI159)),IFERROR(AI164/AI159,""),"")</f>
        <v/>
      </c>
      <c r="AJ148" s="215">
        <f>IF(AND(ISNUMBER(AJ164),ISNUMBER(AJ159)),IFERROR(AJ164/AJ159,""),"")</f>
        <v/>
      </c>
      <c r="AK148" s="215">
        <f>IF(AND(ISNUMBER(AK164),ISNUMBER(AK159)),IFERROR(AK164/AK159,""),"")</f>
        <v/>
      </c>
      <c r="AL148" s="215">
        <f>IF(AND(ISNUMBER(AL164),ISNUMBER(AL159)),IFERROR(AL164/AL159,""),"")</f>
        <v/>
      </c>
      <c r="AM148" s="256">
        <f>IFERROR(AL164/AL159,"")</f>
        <v/>
      </c>
      <c r="AN148" s="256">
        <f>IFERROR(AL164/AL159,"")</f>
        <v/>
      </c>
      <c r="AO148" s="256">
        <f>IFERROR(AL164/AL159,"")</f>
        <v/>
      </c>
      <c r="AP148" s="256">
        <f>IF(AND(ISNUMBER(AP164),ISNUMBER(AP159)),IFERROR(AP164/AP159,""),"")</f>
        <v/>
      </c>
      <c r="AQ148" s="265" t="n">
        <v>0.019</v>
      </c>
      <c r="AR148" s="265" t="n">
        <v>0.019</v>
      </c>
      <c r="AS148" s="265" t="n">
        <v>0.019</v>
      </c>
      <c r="AT148" s="265" t="n">
        <v>0.019</v>
      </c>
      <c r="AU148" s="153" t="n"/>
    </row>
    <row r="149" collapsed="1" ht="15" customHeight="1" s="251">
      <c r="B149" s="25" t="inlineStr">
        <is>
          <t xml:space="preserve">  Share-based compensation (cash-flow statement)</t>
        </is>
      </c>
      <c r="C149" s="253" t="n">
        <v>7.858</v>
      </c>
      <c r="D149" s="253" t="n">
        <v>8.917</v>
      </c>
      <c r="E149" s="253" t="n">
        <v>11.1</v>
      </c>
      <c r="F149" s="253" t="n">
        <v>14.921</v>
      </c>
      <c r="G149" s="253" t="n">
        <v>16.147</v>
      </c>
      <c r="H149" s="253" t="n">
        <v>18.794</v>
      </c>
      <c r="I149" s="253" t="n">
        <v>22.187</v>
      </c>
      <c r="J149" s="253" t="n">
        <v>23.965</v>
      </c>
      <c r="K149" s="253" t="n">
        <v>23.811</v>
      </c>
      <c r="L149" s="253" t="n">
        <v>25.966</v>
      </c>
      <c r="M149" s="253" t="n">
        <v>26.6</v>
      </c>
      <c r="N149" s="253" t="n">
        <v>11.31</v>
      </c>
      <c r="O149" s="253" t="n">
        <v>9.999000000000001</v>
      </c>
      <c r="P149" s="253" t="n">
        <v>9.750999999999999</v>
      </c>
      <c r="Q149" s="253" t="n">
        <v>57.66</v>
      </c>
      <c r="R149" s="253" t="n">
        <v>8.962999999999999</v>
      </c>
      <c r="S149" s="253" t="n">
        <v>11.548</v>
      </c>
      <c r="T149" s="253" t="n">
        <v>9.346</v>
      </c>
      <c r="U149" s="253" t="n">
        <v>9.093999999999999</v>
      </c>
      <c r="V149" s="253" t="n">
        <v>38.951</v>
      </c>
      <c r="W149" s="253" t="n">
        <v>11.579</v>
      </c>
      <c r="X149" s="253" t="n">
        <v>20.716</v>
      </c>
      <c r="Y149" s="253" t="n">
        <v>15.293</v>
      </c>
      <c r="Z149" s="253" t="n">
        <v>8.946999999999999</v>
      </c>
      <c r="AA149" s="253" t="n">
        <v>56.535</v>
      </c>
      <c r="AB149" s="253" t="n">
        <v>11.46</v>
      </c>
      <c r="AC149" s="253" t="n">
        <v>20.812</v>
      </c>
      <c r="AD149" s="253" t="n">
        <v>15.334</v>
      </c>
      <c r="AE149" s="253" t="n">
        <v>9.791</v>
      </c>
      <c r="AF149" s="253" t="n">
        <v>57.397</v>
      </c>
      <c r="AG149" s="253" t="n">
        <v>11.9</v>
      </c>
      <c r="AH149" s="253" t="n">
        <v>21.2</v>
      </c>
      <c r="AI149" s="253" t="n">
        <v>15.7</v>
      </c>
      <c r="AJ149" s="253" t="n">
        <v>12.9</v>
      </c>
      <c r="AK149" s="253" t="n">
        <v>61.7</v>
      </c>
      <c r="AL149" s="253" t="n">
        <v>12.8</v>
      </c>
      <c r="AM149" s="254">
        <f>AH149*(1+IFERROR(AL149/AG149-1,0))</f>
        <v/>
      </c>
      <c r="AN149" s="254">
        <f>AI149*(1+IFERROR(AL149/AG149-1,0))</f>
        <v/>
      </c>
      <c r="AO149" s="254">
        <f>AJ149*(1+IFERROR(AL149/AG149-1,0))</f>
        <v/>
      </c>
      <c r="AP149" s="254">
        <f>SUM(AL149,AM149,AN149,AO149)</f>
        <v/>
      </c>
      <c r="AQ149" s="254">
        <f>AQ159*AQ150</f>
        <v/>
      </c>
      <c r="AR149" s="254">
        <f>AR159*AR150</f>
        <v/>
      </c>
      <c r="AS149" s="254">
        <f>AS159*AS150</f>
        <v/>
      </c>
      <c r="AT149" s="254">
        <f>AT159*AT150</f>
        <v/>
      </c>
      <c r="AU149" s="19" t="inlineStr">
        <is>
          <t>Q2–Q4/27E: prior-year quarter × Q1/27 y/y (annual grants in Q2); 2028E+: % of revenue. STERIS does not adjust out share-based compensation.</t>
        </is>
      </c>
    </row>
    <row r="150" ht="15" customHeight="1" s="251">
      <c r="B150" s="25" t="inlineStr">
        <is>
          <t xml:space="preserve">  Share-based compensation % of revenue</t>
        </is>
      </c>
      <c r="C150" s="215">
        <f>IF(AND(ISNUMBER(C149),ISNUMBER(C159)),IFERROR(C149/C159,""),"")</f>
        <v/>
      </c>
      <c r="D150" s="215">
        <f>IF(AND(ISNUMBER(D149),ISNUMBER(D159)),IFERROR(D149/D159,""),"")</f>
        <v/>
      </c>
      <c r="E150" s="215">
        <f>IF(AND(ISNUMBER(E149),ISNUMBER(E159)),IFERROR(E149/E159,""),"")</f>
        <v/>
      </c>
      <c r="F150" s="215">
        <f>IF(AND(ISNUMBER(F149),ISNUMBER(F159)),IFERROR(F149/F159,""),"")</f>
        <v/>
      </c>
      <c r="G150" s="215">
        <f>IF(AND(ISNUMBER(G149),ISNUMBER(G159)),IFERROR(G149/G159,""),"")</f>
        <v/>
      </c>
      <c r="H150" s="215">
        <f>IF(AND(ISNUMBER(H149),ISNUMBER(H159)),IFERROR(H149/H159,""),"")</f>
        <v/>
      </c>
      <c r="I150" s="215">
        <f>IF(AND(ISNUMBER(I149),ISNUMBER(I159)),IFERROR(I149/I159,""),"")</f>
        <v/>
      </c>
      <c r="J150" s="215">
        <f>IF(AND(ISNUMBER(J149),ISNUMBER(J159)),IFERROR(J149/J159,""),"")</f>
        <v/>
      </c>
      <c r="K150" s="215">
        <f>IF(AND(ISNUMBER(K149),ISNUMBER(K159)),IFERROR(K149/K159,""),"")</f>
        <v/>
      </c>
      <c r="L150" s="215">
        <f>IF(AND(ISNUMBER(L149),ISNUMBER(L159)),IFERROR(L149/L159,""),"")</f>
        <v/>
      </c>
      <c r="M150" s="215">
        <f>IF(AND(ISNUMBER(M149),ISNUMBER(M159)),IFERROR(M149/M159,""),"")</f>
        <v/>
      </c>
      <c r="N150" s="215">
        <f>IF(AND(ISNUMBER(N149),ISNUMBER(N159)),IFERROR(N149/N159,""),"")</f>
        <v/>
      </c>
      <c r="O150" s="215">
        <f>IF(AND(ISNUMBER(O149),ISNUMBER(O159)),IFERROR(O149/O159,""),"")</f>
        <v/>
      </c>
      <c r="P150" s="215">
        <f>IF(AND(ISNUMBER(P149),ISNUMBER(P159)),IFERROR(P149/P159,""),"")</f>
        <v/>
      </c>
      <c r="Q150" s="215">
        <f>IF(AND(ISNUMBER(Q149),ISNUMBER(Q159)),IFERROR(Q149/Q159,""),"")</f>
        <v/>
      </c>
      <c r="R150" s="215">
        <f>IF(AND(ISNUMBER(R149),ISNUMBER(R159)),IFERROR(R149/R159,""),"")</f>
        <v/>
      </c>
      <c r="S150" s="215">
        <f>IF(AND(ISNUMBER(S149),ISNUMBER(S159)),IFERROR(S149/S159,""),"")</f>
        <v/>
      </c>
      <c r="T150" s="215">
        <f>IF(AND(ISNUMBER(T149),ISNUMBER(T159)),IFERROR(T149/T159,""),"")</f>
        <v/>
      </c>
      <c r="U150" s="215">
        <f>IF(AND(ISNUMBER(U149),ISNUMBER(U159)),IFERROR(U149/U159,""),"")</f>
        <v/>
      </c>
      <c r="V150" s="215">
        <f>IF(AND(ISNUMBER(V149),ISNUMBER(V159)),IFERROR(V149/V159,""),"")</f>
        <v/>
      </c>
      <c r="W150" s="215">
        <f>IF(AND(ISNUMBER(W149),ISNUMBER(W159)),IFERROR(W149/W159,""),"")</f>
        <v/>
      </c>
      <c r="X150" s="215">
        <f>IF(AND(ISNUMBER(X149),ISNUMBER(X159)),IFERROR(X149/X159,""),"")</f>
        <v/>
      </c>
      <c r="Y150" s="215">
        <f>IF(AND(ISNUMBER(Y149),ISNUMBER(Y159)),IFERROR(Y149/Y159,""),"")</f>
        <v/>
      </c>
      <c r="Z150" s="215">
        <f>IF(AND(ISNUMBER(Z149),ISNUMBER(Z159)),IFERROR(Z149/Z159,""),"")</f>
        <v/>
      </c>
      <c r="AA150" s="215">
        <f>IF(AND(ISNUMBER(AA149),ISNUMBER(AA159)),IFERROR(AA149/AA159,""),"")</f>
        <v/>
      </c>
      <c r="AB150" s="215">
        <f>IF(AND(ISNUMBER(AB149),ISNUMBER(AB159)),IFERROR(AB149/AB159,""),"")</f>
        <v/>
      </c>
      <c r="AC150" s="215">
        <f>IF(AND(ISNUMBER(AC149),ISNUMBER(AC159)),IFERROR(AC149/AC159,""),"")</f>
        <v/>
      </c>
      <c r="AD150" s="215">
        <f>IF(AND(ISNUMBER(AD149),ISNUMBER(AD159)),IFERROR(AD149/AD159,""),"")</f>
        <v/>
      </c>
      <c r="AE150" s="215">
        <f>IF(AND(ISNUMBER(AE149),ISNUMBER(AE159)),IFERROR(AE149/AE159,""),"")</f>
        <v/>
      </c>
      <c r="AF150" s="215">
        <f>IF(AND(ISNUMBER(AF149),ISNUMBER(AF159)),IFERROR(AF149/AF159,""),"")</f>
        <v/>
      </c>
      <c r="AG150" s="215">
        <f>IF(AND(ISNUMBER(AG149),ISNUMBER(AG159)),IFERROR(AG149/AG159,""),"")</f>
        <v/>
      </c>
      <c r="AH150" s="215">
        <f>IF(AND(ISNUMBER(AH149),ISNUMBER(AH159)),IFERROR(AH149/AH159,""),"")</f>
        <v/>
      </c>
      <c r="AI150" s="215">
        <f>IF(AND(ISNUMBER(AI149),ISNUMBER(AI159)),IFERROR(AI149/AI159,""),"")</f>
        <v/>
      </c>
      <c r="AJ150" s="215">
        <f>IF(AND(ISNUMBER(AJ149),ISNUMBER(AJ159)),IFERROR(AJ149/AJ159,""),"")</f>
        <v/>
      </c>
      <c r="AK150" s="215">
        <f>IF(AND(ISNUMBER(AK149),ISNUMBER(AK159)),IFERROR(AK149/AK159,""),"")</f>
        <v/>
      </c>
      <c r="AL150" s="215">
        <f>IF(AND(ISNUMBER(AL149),ISNUMBER(AL159)),IFERROR(AL149/AL159,""),"")</f>
        <v/>
      </c>
      <c r="AM150" s="256">
        <f>IF(AND(ISNUMBER(AM149),ISNUMBER(AM159)),IFERROR(AM149/AM159,""),"")</f>
        <v/>
      </c>
      <c r="AN150" s="256">
        <f>IF(AND(ISNUMBER(AN149),ISNUMBER(AN159)),IFERROR(AN149/AN159,""),"")</f>
        <v/>
      </c>
      <c r="AO150" s="256">
        <f>IF(AND(ISNUMBER(AO149),ISNUMBER(AO159)),IFERROR(AO149/AO159,""),"")</f>
        <v/>
      </c>
      <c r="AP150" s="256">
        <f>IF(AND(ISNUMBER(AP149),ISNUMBER(AP159)),IFERROR(AP149/AP159,""),"")</f>
        <v/>
      </c>
      <c r="AQ150" s="265" t="n">
        <v>0.0105</v>
      </c>
      <c r="AR150" s="265" t="n">
        <v>0.0105</v>
      </c>
      <c r="AS150" s="265" t="n">
        <v>0.0105</v>
      </c>
      <c r="AT150" s="265" t="n">
        <v>0.0105</v>
      </c>
      <c r="AU150" s="153" t="n"/>
      <c r="AW150" s="37">
        <f>IFERROR(AVERAGE(AP150,AQ150,AR150,AS150,AT150),"n/m")</f>
        <v/>
      </c>
      <c r="AX150" s="37">
        <f>IFERROR(AVERAGE(Q150,V150,AA150,AF150,AK150),"n/m")</f>
        <v/>
      </c>
      <c r="AY150" s="37">
        <f>IFERROR(AVERAGE(H150,I150,J150,K150,L150,Q150,V150,AA150,AF150,AK150),"n/m")</f>
        <v/>
      </c>
      <c r="AZ150" s="37">
        <f>IFERROR(AVERAGE(C150,D150,E150,F150,G150,H150,I150,J150,K150,L150,Q150,V150,AA150,AF150,AK150),"n/m")</f>
        <v/>
      </c>
    </row>
    <row r="151" ht="15" customHeight="1" s="251">
      <c r="B151" s="25" t="inlineStr">
        <is>
          <t xml:space="preserve">  Acquisition &amp; integration-related charges (adjusted out; incl. contingent-consideration fair value)</t>
        </is>
      </c>
      <c r="C151" s="253" t="n">
        <v>0</v>
      </c>
      <c r="D151" s="253" t="n">
        <v>3.831</v>
      </c>
      <c r="E151" s="253" t="n">
        <v>4.282</v>
      </c>
      <c r="F151" s="253" t="n">
        <v>35.033</v>
      </c>
      <c r="G151" s="253" t="n">
        <v>82.155</v>
      </c>
      <c r="H151" s="253" t="n">
        <v>32.651</v>
      </c>
      <c r="I151" s="253" t="n">
        <v>15.618</v>
      </c>
      <c r="J151" s="253" t="n">
        <v>8.058999999999999</v>
      </c>
      <c r="K151" s="253" t="n">
        <v>8.225</v>
      </c>
      <c r="L151" s="253" t="n">
        <v>35.134</v>
      </c>
      <c r="M151" s="253" t="n">
        <v>140.996</v>
      </c>
      <c r="N151" s="253" t="n">
        <v>17.404</v>
      </c>
      <c r="O151" s="253" t="n">
        <v>9.298</v>
      </c>
      <c r="P151" s="253" t="n">
        <v>35.74</v>
      </c>
      <c r="Q151" s="253" t="n">
        <v>203.438</v>
      </c>
      <c r="R151" s="253" t="n">
        <v>6.559</v>
      </c>
      <c r="S151" s="253" t="n">
        <v>3.703</v>
      </c>
      <c r="T151" s="253" t="n">
        <v>4.209</v>
      </c>
      <c r="U151" s="253" t="n">
        <v>5.523</v>
      </c>
      <c r="V151" s="253" t="n">
        <v>20.386</v>
      </c>
      <c r="W151" s="253" t="n">
        <v>2.237</v>
      </c>
      <c r="X151" s="253" t="n">
        <v>15.808</v>
      </c>
      <c r="Y151" s="253" t="n">
        <v>6.263</v>
      </c>
      <c r="Z151" s="253" t="n">
        <v>1.217</v>
      </c>
      <c r="AA151" s="253" t="n">
        <v>25.526</v>
      </c>
      <c r="AB151" s="253" t="n">
        <v>2.254</v>
      </c>
      <c r="AC151" s="253" t="n">
        <v>3.205</v>
      </c>
      <c r="AD151" s="253" t="n">
        <v>3.756</v>
      </c>
      <c r="AE151" s="253" t="n">
        <v>1.944</v>
      </c>
      <c r="AF151" s="253" t="n">
        <v>11.159</v>
      </c>
      <c r="AG151" s="253" t="n">
        <v>0.5</v>
      </c>
      <c r="AH151" s="253" t="n">
        <v>1.3</v>
      </c>
      <c r="AI151" s="253" t="n">
        <v>3.3</v>
      </c>
      <c r="AJ151" s="253" t="n">
        <v>1.1</v>
      </c>
      <c r="AK151" s="253" t="n">
        <v>6.2</v>
      </c>
      <c r="AL151" s="253" t="n">
        <v>1.5</v>
      </c>
      <c r="AM151" s="266" t="n">
        <v>0.5</v>
      </c>
      <c r="AN151" s="266" t="n">
        <v>0.5</v>
      </c>
      <c r="AO151" s="266" t="n">
        <v>0.5</v>
      </c>
      <c r="AP151" s="254">
        <f>SUM(AL151,AM151,AN151,AO151)</f>
        <v/>
      </c>
      <c r="AQ151" s="254">
        <f>0.5+AQ102*AQ152</f>
        <v/>
      </c>
      <c r="AR151" s="254">
        <f>0.5+AR102*AR152</f>
        <v/>
      </c>
      <c r="AS151" s="254">
        <f>0.5+AS102*AS152</f>
        <v/>
      </c>
      <c r="AT151" s="254">
        <f>0.5+AT102*AT152</f>
        <v/>
      </c>
      <c r="AU151" s="19" t="inlineStr">
        <is>
          <t>FY27 outlook $0.01 per share. 2028E+: $0.5m + % of acquisition spend.</t>
        </is>
      </c>
    </row>
    <row r="152" ht="15" customHeight="1" s="251">
      <c r="B152" s="25" t="inlineStr">
        <is>
          <t xml:space="preserve">  Acquisition &amp; integration charges % of acquisition spend</t>
        </is>
      </c>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c r="AF152" s="36" t="n"/>
      <c r="AG152" s="36" t="n"/>
      <c r="AH152" s="36" t="n"/>
      <c r="AI152" s="36" t="n"/>
      <c r="AJ152" s="36" t="n"/>
      <c r="AK152" s="36" t="n"/>
      <c r="AL152" s="36" t="n"/>
      <c r="AM152" s="24" t="n"/>
      <c r="AN152" s="24" t="n"/>
      <c r="AO152" s="24" t="n"/>
      <c r="AP152" s="24" t="n"/>
      <c r="AQ152" s="265" t="n">
        <v>0.02</v>
      </c>
      <c r="AR152" s="265" t="n">
        <v>0.02</v>
      </c>
      <c r="AS152" s="265" t="n">
        <v>0.02</v>
      </c>
      <c r="AT152" s="265" t="n">
        <v>0.02</v>
      </c>
      <c r="AU152" s="153" t="n"/>
    </row>
    <row r="153" ht="15" customHeight="1" s="251">
      <c r="B153" s="25" t="inlineStr">
        <is>
          <t xml:space="preserve">  Restructuring charges (adjusted out)</t>
        </is>
      </c>
      <c r="C153" s="253" t="n">
        <v>0.653</v>
      </c>
      <c r="D153" s="253" t="n">
        <v>-0.5649999999999999</v>
      </c>
      <c r="E153" s="253" t="n">
        <v>21.348</v>
      </c>
      <c r="F153" s="253" t="n">
        <v>-0.759</v>
      </c>
      <c r="G153" s="253" t="n">
        <v>-0.501</v>
      </c>
      <c r="H153" s="253" t="n">
        <v>0.215</v>
      </c>
      <c r="I153" s="253" t="n">
        <v>0.103</v>
      </c>
      <c r="J153" s="253" t="n">
        <v>40.708</v>
      </c>
      <c r="K153" s="253" t="n">
        <v>3.143</v>
      </c>
      <c r="L153" s="253" t="n">
        <v>-3.029</v>
      </c>
      <c r="M153" s="253" t="n">
        <v>0.014</v>
      </c>
      <c r="N153" s="253" t="n">
        <v>0.21</v>
      </c>
      <c r="O153" s="253" t="n">
        <v>-0.207</v>
      </c>
      <c r="P153" s="253" t="n">
        <v>0.031</v>
      </c>
      <c r="Q153" s="253" t="n">
        <v>0.048</v>
      </c>
      <c r="R153" s="253" t="n">
        <v>0.026</v>
      </c>
      <c r="S153" s="253" t="n">
        <v>0.062</v>
      </c>
      <c r="T153" s="253" t="n">
        <v>0.038</v>
      </c>
      <c r="U153" s="253" t="n">
        <v>0.359</v>
      </c>
      <c r="V153" s="253" t="n">
        <v>0.485</v>
      </c>
      <c r="W153" s="253" t="n">
        <v>0.019</v>
      </c>
      <c r="X153" s="253" t="n">
        <v>-0.023</v>
      </c>
      <c r="Y153" s="253" t="n">
        <v>0.006</v>
      </c>
      <c r="Z153" s="253" t="n">
        <v>44.363</v>
      </c>
      <c r="AA153" s="253" t="n">
        <v>44.365</v>
      </c>
      <c r="AB153" s="253" t="n">
        <v>28.082</v>
      </c>
      <c r="AC153" s="253" t="n">
        <v>2.796</v>
      </c>
      <c r="AD153" s="253" t="n">
        <v>2.231</v>
      </c>
      <c r="AE153" s="253" t="n">
        <v>29.166</v>
      </c>
      <c r="AF153" s="253" t="n">
        <v>62.275</v>
      </c>
      <c r="AG153" s="253" t="n">
        <v>1.8</v>
      </c>
      <c r="AH153" s="253" t="n">
        <v>1.2</v>
      </c>
      <c r="AI153" s="253" t="n">
        <v>0.1</v>
      </c>
      <c r="AJ153" s="253" t="n">
        <v>0.4</v>
      </c>
      <c r="AK153" s="253" t="n">
        <v>3.4</v>
      </c>
      <c r="AL153" s="253" t="n">
        <v>0</v>
      </c>
      <c r="AM153" s="266" t="n">
        <v>3</v>
      </c>
      <c r="AN153" s="266" t="n">
        <v>3</v>
      </c>
      <c r="AO153" s="266" t="n">
        <v>3</v>
      </c>
      <c r="AP153" s="254">
        <f>SUM(AL153,AM153,AN153,AO153)</f>
        <v/>
      </c>
      <c r="AQ153" s="266" t="n">
        <v>20</v>
      </c>
      <c r="AR153" s="266" t="n">
        <v>20</v>
      </c>
      <c r="AS153" s="266" t="n">
        <v>12</v>
      </c>
      <c r="AT153" s="266" t="n">
        <v>0</v>
      </c>
      <c r="AU153" s="19" t="inlineStr">
        <is>
          <t>Targeted restructuring (Q1 FY27 release, Item 2.05): consolidation of formulated-chemistries manufacturing and distribution into a new North Carolina Center of Excellence; closure of St. Louis, MO and Plymouth, MN facilities. Total pre-tax charges ~$55-70m (cash $40-50m, non-cash $15-20m, mainly accelerated depreciation) through fiscal 2030; excluded from adjusted earnings. Model: FY27E ~$9m (outlook $0.07 per share), FY28E $20m, FY29E $20m, FY30E $12m (total ~$61m).</t>
        </is>
      </c>
    </row>
    <row r="154" ht="15" customHeight="1" s="251">
      <c r="B154" s="25" t="inlineStr">
        <is>
          <t xml:space="preserve">  Amortization of inventory &amp; property step-up (adjusted out)</t>
        </is>
      </c>
      <c r="C154" s="253" t="n">
        <v>0</v>
      </c>
      <c r="D154" s="253" t="n">
        <v>1.593</v>
      </c>
      <c r="E154" s="253" t="n">
        <v>0.62</v>
      </c>
      <c r="F154" s="253" t="n">
        <v>1.33</v>
      </c>
      <c r="G154" s="253" t="n">
        <v>9.907</v>
      </c>
      <c r="H154" s="253" t="n">
        <v>4.743</v>
      </c>
      <c r="I154" s="253" t="n">
        <v>1.599</v>
      </c>
      <c r="J154" s="253" t="n">
        <v>2.44</v>
      </c>
      <c r="K154" s="253" t="n">
        <v>2.392</v>
      </c>
      <c r="L154" s="253" t="n">
        <v>5.6</v>
      </c>
      <c r="M154" s="253" t="n">
        <v>24.789</v>
      </c>
      <c r="N154" s="253" t="n">
        <v>69.486</v>
      </c>
      <c r="O154" s="253" t="n">
        <v>2.237</v>
      </c>
      <c r="P154" s="253" t="n">
        <v>-14.709</v>
      </c>
      <c r="Q154" s="253" t="n">
        <v>81.804</v>
      </c>
      <c r="R154" s="253" t="n">
        <v>1.416</v>
      </c>
      <c r="S154" s="253" t="n">
        <v>2.231</v>
      </c>
      <c r="T154" s="253" t="n">
        <v>1.387</v>
      </c>
      <c r="U154" s="253" t="n">
        <v>6.336</v>
      </c>
      <c r="V154" s="253" t="n">
        <v>11.37</v>
      </c>
      <c r="W154" s="253" t="n">
        <v>1.622</v>
      </c>
      <c r="X154" s="253" t="n">
        <v>0.917</v>
      </c>
      <c r="Y154" s="253" t="n">
        <v>6.127</v>
      </c>
      <c r="Z154" s="253" t="n">
        <v>1.366</v>
      </c>
      <c r="AA154" s="253" t="n">
        <v>10.032</v>
      </c>
      <c r="AB154" s="253" t="n">
        <v>1.391</v>
      </c>
      <c r="AC154" s="253" t="n">
        <v>1.402</v>
      </c>
      <c r="AD154" s="253" t="n">
        <v>1.345</v>
      </c>
      <c r="AE154" s="253" t="n">
        <v>1.306</v>
      </c>
      <c r="AF154" s="253" t="n">
        <v>5.442</v>
      </c>
      <c r="AG154" s="253" t="n">
        <v>1.4</v>
      </c>
      <c r="AH154" s="253" t="n">
        <v>1.3</v>
      </c>
      <c r="AI154" s="253" t="n">
        <v>1.1</v>
      </c>
      <c r="AJ154" s="253" t="n">
        <v>1.1</v>
      </c>
      <c r="AK154" s="253" t="n">
        <v>5</v>
      </c>
      <c r="AL154" s="253" t="n">
        <v>1.8</v>
      </c>
      <c r="AM154" s="266" t="n">
        <v>1.5</v>
      </c>
      <c r="AN154" s="266" t="n">
        <v>1.5</v>
      </c>
      <c r="AO154" s="266" t="n">
        <v>1.5</v>
      </c>
      <c r="AP154" s="254">
        <f>SUM(AL154,AM154,AN154,AO154)</f>
        <v/>
      </c>
      <c r="AQ154" s="266" t="n">
        <v>2</v>
      </c>
      <c r="AR154" s="266" t="n">
        <v>2</v>
      </c>
      <c r="AS154" s="266" t="n">
        <v>2</v>
      </c>
      <c r="AT154" s="266" t="n">
        <v>2</v>
      </c>
      <c r="AU154" s="19" t="n"/>
    </row>
    <row r="155" ht="15" customHeight="1" s="251">
      <c r="B155" s="25" t="inlineStr">
        <is>
          <t xml:space="preserve">  Other adjusted-out items (tax restructuring, divestitures, impairment, litigation, COVID-19, other)</t>
        </is>
      </c>
      <c r="C155" s="263">
        <f>IF(ISNUMBER(C201),N(C201)+N(C202)+N(C203)+N(C204)+N(C205)+N(C206),"")</f>
        <v/>
      </c>
      <c r="D155" s="263">
        <f>IF(ISNUMBER(D201),N(D201)+N(D202)+N(D203)+N(D204)+N(D205)+N(D206),"")</f>
        <v/>
      </c>
      <c r="E155" s="263">
        <f>IF(ISNUMBER(E201),N(E201)+N(E202)+N(E203)+N(E204)+N(E205)+N(E206),"")</f>
        <v/>
      </c>
      <c r="F155" s="263">
        <f>IF(ISNUMBER(F201),N(F201)+N(F202)+N(F203)+N(F204)+N(F205)+N(F206),"")</f>
        <v/>
      </c>
      <c r="G155" s="263">
        <f>IF(ISNUMBER(G201),N(G201)+N(G202)+N(G203)+N(G204)+N(G205)+N(G206),"")</f>
        <v/>
      </c>
      <c r="H155" s="263">
        <f>IF(ISNUMBER(H201),N(H201)+N(H202)+N(H203)+N(H204)+N(H205)+N(H206),"")</f>
        <v/>
      </c>
      <c r="I155" s="263">
        <f>IF(ISNUMBER(I201),N(I201)+N(I202)+N(I203)+N(I204)+N(I205)+N(I206),"")</f>
        <v/>
      </c>
      <c r="J155" s="263">
        <f>IF(ISNUMBER(J201),N(J201)+N(J202)+N(J203)+N(J204)+N(J205)+N(J206),"")</f>
        <v/>
      </c>
      <c r="K155" s="263">
        <f>IF(ISNUMBER(K201),N(K201)+N(K202)+N(K203)+N(K204)+N(K205)+N(K206),"")</f>
        <v/>
      </c>
      <c r="L155" s="263">
        <f>IF(ISNUMBER(L201),N(L201)+N(L202)+N(L203)+N(L204)+N(L205)+N(L206),"")</f>
        <v/>
      </c>
      <c r="M155" s="263">
        <f>IF(ISNUMBER(M201),N(M201)+N(M202)+N(M203)+N(M204)+N(M205)+N(M206),"")</f>
        <v/>
      </c>
      <c r="N155" s="263">
        <f>IF(ISNUMBER(N201),N(N201)+N(N202)+N(N203)+N(N204)+N(N205)+N(N206),"")</f>
        <v/>
      </c>
      <c r="O155" s="263">
        <f>IF(ISNUMBER(O201),N(O201)+N(O202)+N(O203)+N(O204)+N(O205)+N(O206),"")</f>
        <v/>
      </c>
      <c r="P155" s="263">
        <f>IF(ISNUMBER(P201),N(P201)+N(P202)+N(P203)+N(P204)+N(P205)+N(P206),"")</f>
        <v/>
      </c>
      <c r="Q155" s="263">
        <f>IF(ISNUMBER(Q201),N(Q201)+N(Q202)+N(Q203)+N(Q204)+N(Q205)+N(Q206),"")</f>
        <v/>
      </c>
      <c r="R155" s="263">
        <f>IF(ISNUMBER(R201),N(R201)+N(R202)+N(R203)+N(R204)+N(R205)+N(R206),"")</f>
        <v/>
      </c>
      <c r="S155" s="263">
        <f>IF(ISNUMBER(S201),N(S201)+N(S202)+N(S203)+N(S204)+N(S205)+N(S206),"")</f>
        <v/>
      </c>
      <c r="T155" s="263">
        <f>IF(ISNUMBER(T201),N(T201)+N(T202)+N(T203)+N(T204)+N(T205)+N(T206),"")</f>
        <v/>
      </c>
      <c r="U155" s="263">
        <f>IF(ISNUMBER(U201),N(U201)+N(U202)+N(U203)+N(U204)+N(U205)+N(U206),"")</f>
        <v/>
      </c>
      <c r="V155" s="263">
        <f>IF(ISNUMBER(V201),N(V201)+N(V202)+N(V203)+N(V204)+N(V205)+N(V206),"")</f>
        <v/>
      </c>
      <c r="W155" s="263">
        <f>IF(ISNUMBER(W201),N(W201)+N(W202)+N(W203)+N(W204)+N(W205)+N(W206),"")</f>
        <v/>
      </c>
      <c r="X155" s="263">
        <f>IF(ISNUMBER(X201),N(X201)+N(X202)+N(X203)+N(X204)+N(X205)+N(X206),"")</f>
        <v/>
      </c>
      <c r="Y155" s="263">
        <f>IF(ISNUMBER(Y201),N(Y201)+N(Y202)+N(Y203)+N(Y204)+N(Y205)+N(Y206),"")</f>
        <v/>
      </c>
      <c r="Z155" s="263">
        <f>IF(ISNUMBER(Z201),N(Z201)+N(Z202)+N(Z203)+N(Z204)+N(Z205)+N(Z206),"")</f>
        <v/>
      </c>
      <c r="AA155" s="263">
        <f>IF(ISNUMBER(AA201),N(AA201)+N(AA202)+N(AA203)+N(AA204)+N(AA205)+N(AA206),"")</f>
        <v/>
      </c>
      <c r="AB155" s="263">
        <f>IF(ISNUMBER(AB201),N(AB201)+N(AB202)+N(AB203)+N(AB204)+N(AB205)+N(AB206),"")</f>
        <v/>
      </c>
      <c r="AC155" s="263">
        <f>IF(ISNUMBER(AC201),N(AC201)+N(AC202)+N(AC203)+N(AC204)+N(AC205)+N(AC206),"")</f>
        <v/>
      </c>
      <c r="AD155" s="263">
        <f>IF(ISNUMBER(AD201),N(AD201)+N(AD202)+N(AD203)+N(AD204)+N(AD205)+N(AD206),"")</f>
        <v/>
      </c>
      <c r="AE155" s="263">
        <f>IF(ISNUMBER(AE201),N(AE201)+N(AE202)+N(AE203)+N(AE204)+N(AE205)+N(AE206),"")</f>
        <v/>
      </c>
      <c r="AF155" s="263">
        <f>IF(ISNUMBER(AF201),N(AF201)+N(AF202)+N(AF203)+N(AF204)+N(AF205)+N(AF206),"")</f>
        <v/>
      </c>
      <c r="AG155" s="263">
        <f>IF(ISNUMBER(AG201),N(AG201)+N(AG202)+N(AG203)+N(AG204)+N(AG205)+N(AG206),"")</f>
        <v/>
      </c>
      <c r="AH155" s="263">
        <f>IF(ISNUMBER(AH201),N(AH201)+N(AH202)+N(AH203)+N(AH204)+N(AH205)+N(AH206),"")</f>
        <v/>
      </c>
      <c r="AI155" s="263">
        <f>IF(ISNUMBER(AI201),N(AI201)+N(AI202)+N(AI203)+N(AI204)+N(AI205)+N(AI206),"")</f>
        <v/>
      </c>
      <c r="AJ155" s="263">
        <f>IF(ISNUMBER(AJ201),N(AJ201)+N(AJ202)+N(AJ203)+N(AJ204)+N(AJ205)+N(AJ206),"")</f>
        <v/>
      </c>
      <c r="AK155" s="263">
        <f>IF(ISNUMBER(AK201),N(AK201)+N(AK202)+N(AK203)+N(AK204)+N(AK205)+N(AK206),"")</f>
        <v/>
      </c>
      <c r="AL155" s="263">
        <f>IF(ISNUMBER(AL201),N(AL201)+N(AL202)+N(AL203)+N(AL204)+N(AL205)+N(AL206),"")</f>
        <v/>
      </c>
      <c r="AM155" s="266" t="n">
        <v>0.3</v>
      </c>
      <c r="AN155" s="266" t="n">
        <v>0.3</v>
      </c>
      <c r="AO155" s="266" t="n">
        <v>0.3</v>
      </c>
      <c r="AP155" s="35" t="n"/>
      <c r="AQ155" s="266" t="n">
        <v>0</v>
      </c>
      <c r="AR155" s="266" t="n">
        <v>0</v>
      </c>
      <c r="AS155" s="266" t="n">
        <v>0</v>
      </c>
      <c r="AT155" s="266" t="n">
        <v>0</v>
      </c>
      <c r="AU155" s="19" t="inlineStr">
        <is>
          <t>FY27 outlook "other unusual items" $0.02 per share (tax restructuring ~$0.3m a quarter + equity-method intangible amortization, non-operating).</t>
        </is>
      </c>
    </row>
    <row r="156" collapsed="1" ht="15" customHeight="1" s="251">
      <c r="B156" s="25" t="inlineStr">
        <is>
          <t xml:space="preserve">  Non-operating adjustments (pre-tax: (gain) / loss on businesses &amp; investments, convertible-debt fair value, equity-method intangible amortization)</t>
        </is>
      </c>
      <c r="C156" s="253" t="n">
        <v>0</v>
      </c>
      <c r="D156" s="253" t="n">
        <v>0</v>
      </c>
      <c r="E156" s="253" t="n">
        <v>0</v>
      </c>
      <c r="F156" s="253" t="n">
        <v>0</v>
      </c>
      <c r="G156" s="253" t="n">
        <v>0</v>
      </c>
      <c r="H156" s="253" t="n">
        <v>0</v>
      </c>
      <c r="I156" s="253" t="n">
        <v>0</v>
      </c>
      <c r="J156" s="253" t="n">
        <v>0</v>
      </c>
      <c r="K156" s="253" t="n">
        <v>0</v>
      </c>
      <c r="L156" s="253" t="n">
        <v>-0.833</v>
      </c>
      <c r="M156" s="253" t="n">
        <v>22.923</v>
      </c>
      <c r="N156" s="253" t="n">
        <v>4.883</v>
      </c>
      <c r="O156" s="253" t="n">
        <v>0</v>
      </c>
      <c r="P156" s="253" t="n">
        <v>0</v>
      </c>
      <c r="Q156" s="253" t="n">
        <v>27.806</v>
      </c>
      <c r="R156" s="253" t="n">
        <v>0</v>
      </c>
      <c r="S156" s="253" t="n">
        <v>0</v>
      </c>
      <c r="T156" s="253" t="n">
        <v>0</v>
      </c>
      <c r="U156" s="253" t="n">
        <v>0</v>
      </c>
      <c r="V156" s="253" t="n">
        <v>0</v>
      </c>
      <c r="W156" s="253" t="n">
        <v>0</v>
      </c>
      <c r="X156" s="253" t="n">
        <v>0</v>
      </c>
      <c r="Y156" s="253" t="n">
        <v>0</v>
      </c>
      <c r="Z156" s="253" t="n">
        <v>0</v>
      </c>
      <c r="AA156" s="253" t="n">
        <v>0</v>
      </c>
      <c r="AB156" s="253" t="n">
        <v>0</v>
      </c>
      <c r="AC156" s="253" t="n">
        <v>6.232</v>
      </c>
      <c r="AD156" s="253" t="n">
        <v>-0.112</v>
      </c>
      <c r="AE156" s="253" t="n">
        <v>5.258</v>
      </c>
      <c r="AF156" s="253" t="n">
        <v>-7.425</v>
      </c>
      <c r="AG156" s="253" t="n">
        <v>0</v>
      </c>
      <c r="AH156" s="253" t="n">
        <v>0.2</v>
      </c>
      <c r="AI156" s="253" t="n">
        <v>3.3</v>
      </c>
      <c r="AJ156" s="253" t="n">
        <v>0.5</v>
      </c>
      <c r="AK156" s="253" t="n">
        <v>3.5</v>
      </c>
      <c r="AL156" s="253" t="n">
        <v>0.8</v>
      </c>
      <c r="AM156" s="266" t="n">
        <v>0.8</v>
      </c>
      <c r="AN156" s="266" t="n">
        <v>0.8</v>
      </c>
      <c r="AO156" s="266" t="n">
        <v>0.8</v>
      </c>
      <c r="AP156" s="254">
        <f>SUM(AL156,AM156,AN156,AO156)</f>
        <v/>
      </c>
      <c r="AQ156" s="266" t="n">
        <v>3.2</v>
      </c>
      <c r="AR156" s="266" t="n">
        <v>3.2</v>
      </c>
      <c r="AS156" s="266" t="n">
        <v>3.2</v>
      </c>
      <c r="AT156" s="266" t="n">
        <v>3.2</v>
      </c>
      <c r="AU156" s="19" t="n"/>
    </row>
    <row r="157" ht="15" customHeight="1" s="251">
      <c r="BC157" s="11" t="n"/>
      <c r="BD157" s="12" t="n"/>
      <c r="BE157" s="12" t="n"/>
      <c r="BF157" s="12" t="n"/>
      <c r="BG157" s="13" t="n"/>
    </row>
    <row r="158" ht="15" customHeight="1" s="251">
      <c r="B158" s="10" t="inlineStr">
        <is>
          <t>CONSOLIDATED STATEMENT OF INCOME (US GAAP; continuing operations)</t>
        </is>
      </c>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inlineStr">
        <is>
          <t>CONSOLIDATED IS — forecast logic (operating income = adjusted operating income − adjusting items; gross profit implied)</t>
        </is>
      </c>
    </row>
    <row r="159" ht="15" customHeight="1" s="251">
      <c r="B159" s="55" t="inlineStr">
        <is>
          <t>Revenues</t>
        </is>
      </c>
      <c r="C159" s="277" t="n">
        <v>1406.81</v>
      </c>
      <c r="D159" s="277" t="n">
        <v>1501.902</v>
      </c>
      <c r="E159" s="277" t="n">
        <v>1622.252</v>
      </c>
      <c r="F159" s="277" t="n">
        <v>1850.263</v>
      </c>
      <c r="G159" s="277" t="n">
        <v>2238.764</v>
      </c>
      <c r="H159" s="277" t="n">
        <v>2612.756</v>
      </c>
      <c r="I159" s="277" t="n">
        <v>2619.996</v>
      </c>
      <c r="J159" s="277" t="n">
        <v>2782.17</v>
      </c>
      <c r="K159" s="277" t="n">
        <v>3030.895</v>
      </c>
      <c r="L159" s="277" t="n">
        <v>3107.519</v>
      </c>
      <c r="M159" s="277" t="n">
        <v>968.422</v>
      </c>
      <c r="N159" s="277" t="n">
        <v>1196.985</v>
      </c>
      <c r="O159" s="277" t="n">
        <v>1208.971</v>
      </c>
      <c r="P159" s="277" t="n">
        <v>1210.686</v>
      </c>
      <c r="Q159" s="277" t="n">
        <v>4585.064</v>
      </c>
      <c r="R159" s="277" t="n">
        <v>1051.644</v>
      </c>
      <c r="S159" s="277" t="n">
        <v>1090.939</v>
      </c>
      <c r="T159" s="277" t="n">
        <v>1112.431</v>
      </c>
      <c r="U159" s="277" t="n">
        <v>1281.252</v>
      </c>
      <c r="V159" s="277" t="n">
        <v>4536.266</v>
      </c>
      <c r="W159" s="277" t="n">
        <v>1183.386</v>
      </c>
      <c r="X159" s="277" t="n">
        <v>1238.204</v>
      </c>
      <c r="Y159" s="277" t="n">
        <v>1297.724</v>
      </c>
      <c r="Z159" s="277" t="n">
        <v>1419.387</v>
      </c>
      <c r="AA159" s="277" t="n">
        <v>5138.701</v>
      </c>
      <c r="AB159" s="277" t="n">
        <v>1279.502</v>
      </c>
      <c r="AC159" s="277" t="n">
        <v>1328.912</v>
      </c>
      <c r="AD159" s="277" t="n">
        <v>1370.57</v>
      </c>
      <c r="AE159" s="277" t="n">
        <v>1480.531</v>
      </c>
      <c r="AF159" s="277" t="n">
        <v>5459.515</v>
      </c>
      <c r="AG159" s="277" t="n">
        <v>1391.1</v>
      </c>
      <c r="AH159" s="277" t="n">
        <v>1460.3</v>
      </c>
      <c r="AI159" s="277" t="n">
        <v>1496.2</v>
      </c>
      <c r="AJ159" s="277" t="n">
        <v>1588.4</v>
      </c>
      <c r="AK159" s="277" t="n">
        <v>5935.9</v>
      </c>
      <c r="AL159" s="277" t="n">
        <v>1492.7</v>
      </c>
      <c r="AM159" s="274">
        <f>AM117</f>
        <v/>
      </c>
      <c r="AN159" s="274">
        <f>AN117</f>
        <v/>
      </c>
      <c r="AO159" s="274">
        <f>AO117</f>
        <v/>
      </c>
      <c r="AP159" s="274">
        <f>SUM(AL159,AM159,AN159,AO159)</f>
        <v/>
      </c>
      <c r="AQ159" s="274">
        <f>AQ117</f>
        <v/>
      </c>
      <c r="AR159" s="274">
        <f>AR117</f>
        <v/>
      </c>
      <c r="AS159" s="274">
        <f>AS117</f>
        <v/>
      </c>
      <c r="AT159" s="274">
        <f>AT117</f>
        <v/>
      </c>
      <c r="AU159" s="153" t="inlineStr">
        <is>
          <t>Forecast linked to the segment build.</t>
        </is>
      </c>
      <c r="AW159" s="20">
        <f>IFERROR((AT159/AK159)^(1/5)-1,"n/m")</f>
        <v/>
      </c>
      <c r="AX159" s="20">
        <f>IFERROR((AK159/L159)^(1/5)-1,"n/m")</f>
        <v/>
      </c>
      <c r="AY159" s="20">
        <f>IFERROR((AK159/G159)^(1/10)-1,"n/m")</f>
        <v/>
      </c>
      <c r="AZ159" s="20">
        <f>IFERROR((AK159/C159)^(1/14)-1,"n/m")</f>
        <v/>
      </c>
    </row>
    <row r="160" ht="15" customHeight="1" s="251">
      <c r="B160" s="25" t="inlineStr">
        <is>
          <t>Cost of revenues</t>
        </is>
      </c>
      <c r="C160" s="253" t="n">
        <v>838.345</v>
      </c>
      <c r="D160" s="253" t="n">
        <v>880.639</v>
      </c>
      <c r="E160" s="253" t="n">
        <v>972.63</v>
      </c>
      <c r="F160" s="253" t="n">
        <v>1075.962</v>
      </c>
      <c r="G160" s="253" t="n">
        <v>1343.283</v>
      </c>
      <c r="H160" s="253" t="n">
        <v>1587.124</v>
      </c>
      <c r="I160" s="253" t="n">
        <v>1525.773</v>
      </c>
      <c r="J160" s="253" t="n">
        <v>1606.743</v>
      </c>
      <c r="K160" s="253" t="n">
        <v>1710.972</v>
      </c>
      <c r="L160" s="253" t="n">
        <v>1764.419</v>
      </c>
      <c r="M160" s="253" t="n">
        <v>542.14</v>
      </c>
      <c r="N160" s="253" t="n">
        <v>716.641</v>
      </c>
      <c r="O160" s="253" t="n">
        <v>670.857</v>
      </c>
      <c r="P160" s="253" t="n">
        <v>639.064</v>
      </c>
      <c r="Q160" s="253" t="n">
        <v>2568.702</v>
      </c>
      <c r="R160" s="253" t="n">
        <v>577.819</v>
      </c>
      <c r="S160" s="253" t="n">
        <v>608.627</v>
      </c>
      <c r="T160" s="253" t="n">
        <v>634.244</v>
      </c>
      <c r="U160" s="253" t="n">
        <v>734.85</v>
      </c>
      <c r="V160" s="253" t="n">
        <v>2555.54</v>
      </c>
      <c r="W160" s="253" t="n">
        <v>654.3819999999999</v>
      </c>
      <c r="X160" s="253" t="n">
        <v>691.976</v>
      </c>
      <c r="Y160" s="253" t="n">
        <v>737.698</v>
      </c>
      <c r="Z160" s="253" t="n">
        <v>836.485</v>
      </c>
      <c r="AA160" s="253" t="n">
        <v>2920.541</v>
      </c>
      <c r="AB160" s="253" t="n">
        <v>707.072</v>
      </c>
      <c r="AC160" s="253" t="n">
        <v>750.121</v>
      </c>
      <c r="AD160" s="253" t="n">
        <v>760.2380000000001</v>
      </c>
      <c r="AE160" s="253" t="n">
        <v>839.3200000000001</v>
      </c>
      <c r="AF160" s="253" t="n">
        <v>3056.751</v>
      </c>
      <c r="AG160" s="253" t="n">
        <v>763.1</v>
      </c>
      <c r="AH160" s="253" t="n">
        <v>814.4</v>
      </c>
      <c r="AI160" s="253" t="n">
        <v>840.7</v>
      </c>
      <c r="AJ160" s="253" t="n">
        <v>891.3</v>
      </c>
      <c r="AK160" s="253" t="n">
        <v>3309.4</v>
      </c>
      <c r="AL160" s="253" t="n">
        <v>808.5</v>
      </c>
      <c r="AM160" s="254">
        <f>AM159-AM161</f>
        <v/>
      </c>
      <c r="AN160" s="254">
        <f>AN159-AN161</f>
        <v/>
      </c>
      <c r="AO160" s="254">
        <f>AO159-AO161</f>
        <v/>
      </c>
      <c r="AP160" s="254">
        <f>SUM(AL160,AM160,AN160,AO160)</f>
        <v/>
      </c>
      <c r="AQ160" s="254">
        <f>AQ159-AQ161</f>
        <v/>
      </c>
      <c r="AR160" s="254">
        <f>AR159-AR161</f>
        <v/>
      </c>
      <c r="AS160" s="254">
        <f>AS159-AS161</f>
        <v/>
      </c>
      <c r="AT160" s="254">
        <f>AT159-AT161</f>
        <v/>
      </c>
      <c r="AU160" s="19" t="n"/>
    </row>
    <row r="161" ht="15" customHeight="1" s="251">
      <c r="B161" s="16" t="inlineStr">
        <is>
          <t>Gross profit</t>
        </is>
      </c>
      <c r="C161" s="261">
        <f>IF(ISNUMBER(C160),C159-C160,"")</f>
        <v/>
      </c>
      <c r="D161" s="261">
        <f>IF(ISNUMBER(D160),D159-D160,"")</f>
        <v/>
      </c>
      <c r="E161" s="261">
        <f>IF(ISNUMBER(E160),E159-E160,"")</f>
        <v/>
      </c>
      <c r="F161" s="261">
        <f>IF(ISNUMBER(F160),F159-F160,"")</f>
        <v/>
      </c>
      <c r="G161" s="261">
        <f>IF(ISNUMBER(G160),G159-G160,"")</f>
        <v/>
      </c>
      <c r="H161" s="261">
        <f>IF(ISNUMBER(H160),H159-H160,"")</f>
        <v/>
      </c>
      <c r="I161" s="261">
        <f>IF(ISNUMBER(I160),I159-I160,"")</f>
        <v/>
      </c>
      <c r="J161" s="261">
        <f>IF(ISNUMBER(J160),J159-J160,"")</f>
        <v/>
      </c>
      <c r="K161" s="261">
        <f>IF(ISNUMBER(K160),K159-K160,"")</f>
        <v/>
      </c>
      <c r="L161" s="261">
        <f>IF(ISNUMBER(L160),L159-L160,"")</f>
        <v/>
      </c>
      <c r="M161" s="261">
        <f>IF(ISNUMBER(M160),M159-M160,"")</f>
        <v/>
      </c>
      <c r="N161" s="261">
        <f>IF(ISNUMBER(N160),N159-N160,"")</f>
        <v/>
      </c>
      <c r="O161" s="261">
        <f>IF(ISNUMBER(O160),O159-O160,"")</f>
        <v/>
      </c>
      <c r="P161" s="261">
        <f>IF(ISNUMBER(P160),P159-P160,"")</f>
        <v/>
      </c>
      <c r="Q161" s="261">
        <f>IF(ISNUMBER(Q160),Q159-Q160,"")</f>
        <v/>
      </c>
      <c r="R161" s="261">
        <f>IF(ISNUMBER(R160),R159-R160,"")</f>
        <v/>
      </c>
      <c r="S161" s="261">
        <f>IF(ISNUMBER(S160),S159-S160,"")</f>
        <v/>
      </c>
      <c r="T161" s="261">
        <f>IF(ISNUMBER(T160),T159-T160,"")</f>
        <v/>
      </c>
      <c r="U161" s="261">
        <f>IF(ISNUMBER(U160),U159-U160,"")</f>
        <v/>
      </c>
      <c r="V161" s="261">
        <f>IF(ISNUMBER(V160),V159-V160,"")</f>
        <v/>
      </c>
      <c r="W161" s="261">
        <f>IF(ISNUMBER(W160),W159-W160,"")</f>
        <v/>
      </c>
      <c r="X161" s="261">
        <f>IF(ISNUMBER(X160),X159-X160,"")</f>
        <v/>
      </c>
      <c r="Y161" s="261">
        <f>IF(ISNUMBER(Y160),Y159-Y160,"")</f>
        <v/>
      </c>
      <c r="Z161" s="261">
        <f>IF(ISNUMBER(Z160),Z159-Z160,"")</f>
        <v/>
      </c>
      <c r="AA161" s="261">
        <f>IF(ISNUMBER(AA160),AA159-AA160,"")</f>
        <v/>
      </c>
      <c r="AB161" s="261">
        <f>IF(ISNUMBER(AB160),AB159-AB160,"")</f>
        <v/>
      </c>
      <c r="AC161" s="261">
        <f>IF(ISNUMBER(AC160),AC159-AC160,"")</f>
        <v/>
      </c>
      <c r="AD161" s="261">
        <f>IF(ISNUMBER(AD160),AD159-AD160,"")</f>
        <v/>
      </c>
      <c r="AE161" s="261">
        <f>IF(ISNUMBER(AE160),AE159-AE160,"")</f>
        <v/>
      </c>
      <c r="AF161" s="261">
        <f>IF(ISNUMBER(AF160),AF159-AF160,"")</f>
        <v/>
      </c>
      <c r="AG161" s="261">
        <f>IF(ISNUMBER(AG160),AG159-AG160,"")</f>
        <v/>
      </c>
      <c r="AH161" s="261">
        <f>IF(ISNUMBER(AH160),AH159-AH160,"")</f>
        <v/>
      </c>
      <c r="AI161" s="261">
        <f>IF(ISNUMBER(AI160),AI159-AI160,"")</f>
        <v/>
      </c>
      <c r="AJ161" s="261">
        <f>IF(ISNUMBER(AJ160),AJ159-AJ160,"")</f>
        <v/>
      </c>
      <c r="AK161" s="261">
        <f>IF(ISNUMBER(AK160),AK159-AK160,"")</f>
        <v/>
      </c>
      <c r="AL161" s="261">
        <f>IF(ISNUMBER(AL160),AL159-AL160,"")</f>
        <v/>
      </c>
      <c r="AM161" s="262">
        <f>AM167+AM163+AM164+AM165+AM166</f>
        <v/>
      </c>
      <c r="AN161" s="262">
        <f>AN167+AN163+AN164+AN165+AN166</f>
        <v/>
      </c>
      <c r="AO161" s="262">
        <f>AO167+AO163+AO164+AO165+AO166</f>
        <v/>
      </c>
      <c r="AP161" s="262">
        <f>AP167+AP163+AP164+AP165+AP166</f>
        <v/>
      </c>
      <c r="AQ161" s="262">
        <f>AQ167+AQ163+AQ164+AQ165+AQ166</f>
        <v/>
      </c>
      <c r="AR161" s="262">
        <f>AR167+AR163+AR164+AR165+AR166</f>
        <v/>
      </c>
      <c r="AS161" s="262">
        <f>AS167+AS163+AS164+AS165+AS166</f>
        <v/>
      </c>
      <c r="AT161" s="262">
        <f>AT167+AT163+AT164+AT165+AT166</f>
        <v/>
      </c>
      <c r="AU161" s="153" t="inlineStr">
        <is>
          <t>Forecast = operating income + operating expenses (implied by the adjusted operating income build).</t>
        </is>
      </c>
      <c r="AW161" s="20">
        <f>IFERROR((AT161/AK161)^(1/5)-1,"n/m")</f>
        <v/>
      </c>
      <c r="AX161" s="20">
        <f>IFERROR((AK161/L161)^(1/5)-1,"n/m")</f>
        <v/>
      </c>
      <c r="AY161" s="20">
        <f>IFERROR((AK161/G161)^(1/10)-1,"n/m")</f>
        <v/>
      </c>
      <c r="AZ161" s="20">
        <f>IFERROR((AK161/C161)^(1/14)-1,"n/m")</f>
        <v/>
      </c>
    </row>
    <row r="162" ht="15" customHeight="1" s="251">
      <c r="B162" s="25" t="inlineStr">
        <is>
          <t xml:space="preserve">  Gross margin %</t>
        </is>
      </c>
      <c r="C162" s="215">
        <f>IF(AND(ISNUMBER(C161),ISNUMBER(C159)),IFERROR(C161/C159,""),"")</f>
        <v/>
      </c>
      <c r="D162" s="215">
        <f>IF(AND(ISNUMBER(D161),ISNUMBER(D159)),IFERROR(D161/D159,""),"")</f>
        <v/>
      </c>
      <c r="E162" s="215">
        <f>IF(AND(ISNUMBER(E161),ISNUMBER(E159)),IFERROR(E161/E159,""),"")</f>
        <v/>
      </c>
      <c r="F162" s="215">
        <f>IF(AND(ISNUMBER(F161),ISNUMBER(F159)),IFERROR(F161/F159,""),"")</f>
        <v/>
      </c>
      <c r="G162" s="215">
        <f>IF(AND(ISNUMBER(G161),ISNUMBER(G159)),IFERROR(G161/G159,""),"")</f>
        <v/>
      </c>
      <c r="H162" s="215">
        <f>IF(AND(ISNUMBER(H161),ISNUMBER(H159)),IFERROR(H161/H159,""),"")</f>
        <v/>
      </c>
      <c r="I162" s="215">
        <f>IF(AND(ISNUMBER(I161),ISNUMBER(I159)),IFERROR(I161/I159,""),"")</f>
        <v/>
      </c>
      <c r="J162" s="215">
        <f>IF(AND(ISNUMBER(J161),ISNUMBER(J159)),IFERROR(J161/J159,""),"")</f>
        <v/>
      </c>
      <c r="K162" s="215">
        <f>IF(AND(ISNUMBER(K161),ISNUMBER(K159)),IFERROR(K161/K159,""),"")</f>
        <v/>
      </c>
      <c r="L162" s="215">
        <f>IF(AND(ISNUMBER(L161),ISNUMBER(L159)),IFERROR(L161/L159,""),"")</f>
        <v/>
      </c>
      <c r="M162" s="215">
        <f>IF(AND(ISNUMBER(M161),ISNUMBER(M159)),IFERROR(M161/M159,""),"")</f>
        <v/>
      </c>
      <c r="N162" s="215">
        <f>IF(AND(ISNUMBER(N161),ISNUMBER(N159)),IFERROR(N161/N159,""),"")</f>
        <v/>
      </c>
      <c r="O162" s="215">
        <f>IF(AND(ISNUMBER(O161),ISNUMBER(O159)),IFERROR(O161/O159,""),"")</f>
        <v/>
      </c>
      <c r="P162" s="215">
        <f>IF(AND(ISNUMBER(P161),ISNUMBER(P159)),IFERROR(P161/P159,""),"")</f>
        <v/>
      </c>
      <c r="Q162" s="215">
        <f>IF(AND(ISNUMBER(Q161),ISNUMBER(Q159)),IFERROR(Q161/Q159,""),"")</f>
        <v/>
      </c>
      <c r="R162" s="215">
        <f>IF(AND(ISNUMBER(R161),ISNUMBER(R159)),IFERROR(R161/R159,""),"")</f>
        <v/>
      </c>
      <c r="S162" s="215">
        <f>IF(AND(ISNUMBER(S161),ISNUMBER(S159)),IFERROR(S161/S159,""),"")</f>
        <v/>
      </c>
      <c r="T162" s="215">
        <f>IF(AND(ISNUMBER(T161),ISNUMBER(T159)),IFERROR(T161/T159,""),"")</f>
        <v/>
      </c>
      <c r="U162" s="215">
        <f>IF(AND(ISNUMBER(U161),ISNUMBER(U159)),IFERROR(U161/U159,""),"")</f>
        <v/>
      </c>
      <c r="V162" s="215">
        <f>IF(AND(ISNUMBER(V161),ISNUMBER(V159)),IFERROR(V161/V159,""),"")</f>
        <v/>
      </c>
      <c r="W162" s="215">
        <f>IF(AND(ISNUMBER(W161),ISNUMBER(W159)),IFERROR(W161/W159,""),"")</f>
        <v/>
      </c>
      <c r="X162" s="215">
        <f>IF(AND(ISNUMBER(X161),ISNUMBER(X159)),IFERROR(X161/X159,""),"")</f>
        <v/>
      </c>
      <c r="Y162" s="215">
        <f>IF(AND(ISNUMBER(Y161),ISNUMBER(Y159)),IFERROR(Y161/Y159,""),"")</f>
        <v/>
      </c>
      <c r="Z162" s="215">
        <f>IF(AND(ISNUMBER(Z161),ISNUMBER(Z159)),IFERROR(Z161/Z159,""),"")</f>
        <v/>
      </c>
      <c r="AA162" s="215">
        <f>IF(AND(ISNUMBER(AA161),ISNUMBER(AA159)),IFERROR(AA161/AA159,""),"")</f>
        <v/>
      </c>
      <c r="AB162" s="215">
        <f>IF(AND(ISNUMBER(AB161),ISNUMBER(AB159)),IFERROR(AB161/AB159,""),"")</f>
        <v/>
      </c>
      <c r="AC162" s="215">
        <f>IF(AND(ISNUMBER(AC161),ISNUMBER(AC159)),IFERROR(AC161/AC159,""),"")</f>
        <v/>
      </c>
      <c r="AD162" s="215">
        <f>IF(AND(ISNUMBER(AD161),ISNUMBER(AD159)),IFERROR(AD161/AD159,""),"")</f>
        <v/>
      </c>
      <c r="AE162" s="215">
        <f>IF(AND(ISNUMBER(AE161),ISNUMBER(AE159)),IFERROR(AE161/AE159,""),"")</f>
        <v/>
      </c>
      <c r="AF162" s="215">
        <f>IF(AND(ISNUMBER(AF161),ISNUMBER(AF159)),IFERROR(AF161/AF159,""),"")</f>
        <v/>
      </c>
      <c r="AG162" s="215">
        <f>IF(AND(ISNUMBER(AG161),ISNUMBER(AG159)),IFERROR(AG161/AG159,""),"")</f>
        <v/>
      </c>
      <c r="AH162" s="215">
        <f>IF(AND(ISNUMBER(AH161),ISNUMBER(AH159)),IFERROR(AH161/AH159,""),"")</f>
        <v/>
      </c>
      <c r="AI162" s="215">
        <f>IF(AND(ISNUMBER(AI161),ISNUMBER(AI159)),IFERROR(AI161/AI159,""),"")</f>
        <v/>
      </c>
      <c r="AJ162" s="215">
        <f>IF(AND(ISNUMBER(AJ161),ISNUMBER(AJ159)),IFERROR(AJ161/AJ159,""),"")</f>
        <v/>
      </c>
      <c r="AK162" s="215">
        <f>IF(AND(ISNUMBER(AK161),ISNUMBER(AK159)),IFERROR(AK161/AK159,""),"")</f>
        <v/>
      </c>
      <c r="AL162" s="215">
        <f>IF(AND(ISNUMBER(AL161),ISNUMBER(AL159)),IFERROR(AL161/AL159,""),"")</f>
        <v/>
      </c>
      <c r="AM162" s="256">
        <f>IF(AND(ISNUMBER(AM161),ISNUMBER(AM159)),IFERROR(AM161/AM159,""),"")</f>
        <v/>
      </c>
      <c r="AN162" s="256">
        <f>IF(AND(ISNUMBER(AN161),ISNUMBER(AN159)),IFERROR(AN161/AN159,""),"")</f>
        <v/>
      </c>
      <c r="AO162" s="256">
        <f>IF(AND(ISNUMBER(AO161),ISNUMBER(AO159)),IFERROR(AO161/AO159,""),"")</f>
        <v/>
      </c>
      <c r="AP162" s="256">
        <f>IF(AND(ISNUMBER(AP161),ISNUMBER(AP159)),IFERROR(AP161/AP159,""),"")</f>
        <v/>
      </c>
      <c r="AQ162" s="256">
        <f>IF(AND(ISNUMBER(AQ161),ISNUMBER(AQ159)),IFERROR(AQ161/AQ159,""),"")</f>
        <v/>
      </c>
      <c r="AR162" s="256">
        <f>IF(AND(ISNUMBER(AR161),ISNUMBER(AR159)),IFERROR(AR161/AR159,""),"")</f>
        <v/>
      </c>
      <c r="AS162" s="256">
        <f>IF(AND(ISNUMBER(AS161),ISNUMBER(AS159)),IFERROR(AS161/AS159,""),"")</f>
        <v/>
      </c>
      <c r="AT162" s="256">
        <f>IF(AND(ISNUMBER(AT161),ISNUMBER(AT159)),IFERROR(AT161/AT159,""),"")</f>
        <v/>
      </c>
      <c r="AU162" s="153" t="n"/>
      <c r="AW162" s="37">
        <f>IFERROR(AVERAGE(AP162,AQ162,AR162,AS162,AT162),"n/m")</f>
        <v/>
      </c>
      <c r="AX162" s="37">
        <f>IFERROR(AVERAGE(Q162,V162,AA162,AF162,AK162),"n/m")</f>
        <v/>
      </c>
      <c r="AY162" s="37">
        <f>IFERROR(AVERAGE(H162,I162,J162,K162,L162,Q162,V162,AA162,AF162,AK162),"n/m")</f>
        <v/>
      </c>
      <c r="AZ162" s="37">
        <f>IFERROR(AVERAGE(C162,D162,E162,F162,G162,H162,I162,J162,K162,L162,Q162,V162,AA162,AF162,AK162),"n/m")</f>
        <v/>
      </c>
    </row>
    <row r="163" ht="15" customHeight="1" s="251">
      <c r="B163" s="25" t="inlineStr">
        <is>
          <t>Selling, general &amp; administrative</t>
        </is>
      </c>
      <c r="C163" s="253" t="n">
        <v>309.552</v>
      </c>
      <c r="D163" s="253" t="n">
        <v>354.476</v>
      </c>
      <c r="E163" s="253" t="n">
        <v>380.97</v>
      </c>
      <c r="F163" s="253" t="n">
        <v>493.342</v>
      </c>
      <c r="G163" s="253" t="n">
        <v>626.71</v>
      </c>
      <c r="H163" s="253" t="n">
        <v>680.069</v>
      </c>
      <c r="I163" s="253" t="n">
        <v>629.884</v>
      </c>
      <c r="J163" s="253" t="n">
        <v>669.937</v>
      </c>
      <c r="K163" s="253" t="n">
        <v>716.731</v>
      </c>
      <c r="L163" s="253" t="n">
        <v>731.3200000000001</v>
      </c>
      <c r="M163" s="253" t="n">
        <v>393.752</v>
      </c>
      <c r="N163" s="253" t="n">
        <v>344.799</v>
      </c>
      <c r="O163" s="253" t="n">
        <v>310.564</v>
      </c>
      <c r="P163" s="253" t="n">
        <v>453.636</v>
      </c>
      <c r="Q163" s="253" t="n">
        <v>1502.752</v>
      </c>
      <c r="R163" s="253" t="n">
        <v>280.349314</v>
      </c>
      <c r="S163" s="253" t="n">
        <v>272.117722</v>
      </c>
      <c r="T163" s="253" t="n">
        <v>251.424629</v>
      </c>
      <c r="U163" s="253" t="n">
        <v>286.853</v>
      </c>
      <c r="V163" s="253" t="n">
        <v>1090.663</v>
      </c>
      <c r="W163" s="253" t="n">
        <v>306.53</v>
      </c>
      <c r="X163" s="253" t="n">
        <v>328.43</v>
      </c>
      <c r="Y163" s="253" t="n">
        <v>308.295</v>
      </c>
      <c r="Z163" s="253" t="n">
        <v>309.063</v>
      </c>
      <c r="AA163" s="253" t="n">
        <v>1252.318</v>
      </c>
      <c r="AB163" s="253" t="n">
        <v>335.626</v>
      </c>
      <c r="AC163" s="253" t="n">
        <v>329.298</v>
      </c>
      <c r="AD163" s="253" t="n">
        <v>335.45</v>
      </c>
      <c r="AE163" s="253" t="n">
        <v>333.905</v>
      </c>
      <c r="AF163" s="253" t="n">
        <v>1334.276</v>
      </c>
      <c r="AG163" s="253" t="n">
        <v>353.8</v>
      </c>
      <c r="AH163" s="253" t="n">
        <v>349.7</v>
      </c>
      <c r="AI163" s="253" t="n">
        <v>352.3</v>
      </c>
      <c r="AJ163" s="253" t="n">
        <v>351.8</v>
      </c>
      <c r="AK163" s="253" t="n">
        <v>1407.7</v>
      </c>
      <c r="AL163" s="253" t="n">
        <v>369.7</v>
      </c>
      <c r="AM163" s="254">
        <f>AM159*AM147</f>
        <v/>
      </c>
      <c r="AN163" s="254">
        <f>AN159*AN147</f>
        <v/>
      </c>
      <c r="AO163" s="254">
        <f>AO159*AO147</f>
        <v/>
      </c>
      <c r="AP163" s="254">
        <f>SUM(AL163,AM163,AN163,AO163)</f>
        <v/>
      </c>
      <c r="AQ163" s="254">
        <f>AQ159*AQ147</f>
        <v/>
      </c>
      <c r="AR163" s="254">
        <f>AR159*AR147</f>
        <v/>
      </c>
      <c r="AS163" s="254">
        <f>AS159*AS147</f>
        <v/>
      </c>
      <c r="AT163" s="254">
        <f>AT159*AT147</f>
        <v/>
      </c>
      <c r="AU163" s="19" t="n"/>
      <c r="AW163" s="20">
        <f>IFERROR((AT163/AK163)^(1/5)-1,"n/m")</f>
        <v/>
      </c>
      <c r="AX163" s="20">
        <f>IFERROR((AK163/L163)^(1/5)-1,"n/m")</f>
        <v/>
      </c>
      <c r="AY163" s="20">
        <f>IFERROR((AK163/G163)^(1/10)-1,"n/m")</f>
        <v/>
      </c>
      <c r="AZ163" s="20">
        <f>IFERROR((AK163/C163)^(1/14)-1,"n/m")</f>
        <v/>
      </c>
    </row>
    <row r="164" ht="15" customHeight="1" s="251">
      <c r="B164" s="25" t="inlineStr">
        <is>
          <t>Research &amp; development</t>
        </is>
      </c>
      <c r="C164" s="253" t="n">
        <v>35.953</v>
      </c>
      <c r="D164" s="253" t="n">
        <v>41.305</v>
      </c>
      <c r="E164" s="253" t="n">
        <v>48.641</v>
      </c>
      <c r="F164" s="253" t="n">
        <v>54.139</v>
      </c>
      <c r="G164" s="253" t="n">
        <v>56.664</v>
      </c>
      <c r="H164" s="253" t="n">
        <v>59.397</v>
      </c>
      <c r="I164" s="253" t="n">
        <v>60.782</v>
      </c>
      <c r="J164" s="253" t="n">
        <v>63.038</v>
      </c>
      <c r="K164" s="253" t="n">
        <v>65.54600000000001</v>
      </c>
      <c r="L164" s="253" t="n">
        <v>66.32599999999999</v>
      </c>
      <c r="M164" s="253" t="n">
        <v>18.192</v>
      </c>
      <c r="N164" s="253" t="n">
        <v>18.832</v>
      </c>
      <c r="O164" s="253" t="n">
        <v>24.824</v>
      </c>
      <c r="P164" s="253" t="n">
        <v>26.097</v>
      </c>
      <c r="Q164" s="253" t="n">
        <v>87.944</v>
      </c>
      <c r="R164" s="253" t="n">
        <v>23.994686</v>
      </c>
      <c r="S164" s="253" t="n">
        <v>24.166278</v>
      </c>
      <c r="T164" s="253" t="n">
        <v>24.734371</v>
      </c>
      <c r="U164" s="253" t="n">
        <v>25.514</v>
      </c>
      <c r="V164" s="253" t="n">
        <v>98.477</v>
      </c>
      <c r="W164" s="253" t="n">
        <v>24.694</v>
      </c>
      <c r="X164" s="253" t="n">
        <v>26.268</v>
      </c>
      <c r="Y164" s="253" t="n">
        <v>25.255</v>
      </c>
      <c r="Z164" s="253" t="n">
        <v>27.462</v>
      </c>
      <c r="AA164" s="253" t="n">
        <v>103.679</v>
      </c>
      <c r="AB164" s="253" t="n">
        <v>25.573</v>
      </c>
      <c r="AC164" s="253" t="n">
        <v>27.031</v>
      </c>
      <c r="AD164" s="253" t="n">
        <v>27.358</v>
      </c>
      <c r="AE164" s="253" t="n">
        <v>27.686</v>
      </c>
      <c r="AF164" s="253" t="n">
        <v>107.648</v>
      </c>
      <c r="AG164" s="253" t="n">
        <v>26.4</v>
      </c>
      <c r="AH164" s="253" t="n">
        <v>28.2</v>
      </c>
      <c r="AI164" s="253" t="n">
        <v>29.5</v>
      </c>
      <c r="AJ164" s="253" t="n">
        <v>28.8</v>
      </c>
      <c r="AK164" s="253" t="n">
        <v>112.9</v>
      </c>
      <c r="AL164" s="253" t="n">
        <v>28.6</v>
      </c>
      <c r="AM164" s="254">
        <f>AM159*AM148</f>
        <v/>
      </c>
      <c r="AN164" s="254">
        <f>AN159*AN148</f>
        <v/>
      </c>
      <c r="AO164" s="254">
        <f>AO159*AO148</f>
        <v/>
      </c>
      <c r="AP164" s="254">
        <f>SUM(AL164,AM164,AN164,AO164)</f>
        <v/>
      </c>
      <c r="AQ164" s="254">
        <f>AQ159*AQ148</f>
        <v/>
      </c>
      <c r="AR164" s="254">
        <f>AR159*AR148</f>
        <v/>
      </c>
      <c r="AS164" s="254">
        <f>AS159*AS148</f>
        <v/>
      </c>
      <c r="AT164" s="254">
        <f>AT159*AT148</f>
        <v/>
      </c>
      <c r="AU164" s="19" t="n"/>
    </row>
    <row r="165" ht="15" customHeight="1" s="251">
      <c r="B165" s="25" t="inlineStr">
        <is>
          <t>Restructuring expenses</t>
        </is>
      </c>
      <c r="C165" s="253" t="n">
        <v>0.644</v>
      </c>
      <c r="D165" s="253" t="n">
        <v>-0.5649999999999999</v>
      </c>
      <c r="E165" s="253" t="n">
        <v>13.204</v>
      </c>
      <c r="F165" s="253" t="n">
        <v>-0.391</v>
      </c>
      <c r="G165" s="253" t="n">
        <v>-0.82</v>
      </c>
      <c r="H165" s="253" t="n">
        <v>0.215</v>
      </c>
      <c r="I165" s="253" t="n">
        <v>0.103</v>
      </c>
      <c r="J165" s="253" t="n">
        <v>30.987</v>
      </c>
      <c r="K165" s="253" t="n">
        <v>0.673</v>
      </c>
      <c r="L165" s="253" t="n">
        <v>0</v>
      </c>
      <c r="M165" s="253" t="n">
        <v>0.014</v>
      </c>
      <c r="N165" s="253" t="n">
        <v>0.21</v>
      </c>
      <c r="O165" s="253" t="n">
        <v>-0.207</v>
      </c>
      <c r="P165" s="253" t="n">
        <v>0.031</v>
      </c>
      <c r="Q165" s="253" t="n">
        <v>0.048</v>
      </c>
      <c r="R165" s="253" t="n">
        <v>0.026</v>
      </c>
      <c r="S165" s="253" t="n">
        <v>0.062</v>
      </c>
      <c r="T165" s="253" t="n">
        <v>0.039</v>
      </c>
      <c r="U165" s="253" t="n">
        <v>0.358</v>
      </c>
      <c r="V165" s="253" t="n">
        <v>0.485</v>
      </c>
      <c r="W165" s="253" t="n">
        <v>0.019</v>
      </c>
      <c r="X165" s="253" t="n">
        <v>-0.023</v>
      </c>
      <c r="Y165" s="253" t="n">
        <v>0.006</v>
      </c>
      <c r="Z165" s="253" t="n">
        <v>26.043</v>
      </c>
      <c r="AA165" s="253" t="n">
        <v>26.045</v>
      </c>
      <c r="AB165" s="253" t="n">
        <v>25.7</v>
      </c>
      <c r="AC165" s="253" t="n">
        <v>2.796</v>
      </c>
      <c r="AD165" s="253" t="n">
        <v>2.231</v>
      </c>
      <c r="AE165" s="253" t="n">
        <v>15.322</v>
      </c>
      <c r="AF165" s="253" t="n">
        <v>46.049</v>
      </c>
      <c r="AG165" s="253" t="n">
        <v>1.8</v>
      </c>
      <c r="AH165" s="253" t="n">
        <v>2.2</v>
      </c>
      <c r="AI165" s="253" t="n">
        <v>0.4</v>
      </c>
      <c r="AJ165" s="253" t="n">
        <v>0</v>
      </c>
      <c r="AK165" s="253" t="n">
        <v>0</v>
      </c>
      <c r="AL165" s="253" t="n">
        <v>0</v>
      </c>
      <c r="AM165" s="254">
        <f>AM153</f>
        <v/>
      </c>
      <c r="AN165" s="254">
        <f>AN153</f>
        <v/>
      </c>
      <c r="AO165" s="254">
        <f>AO153</f>
        <v/>
      </c>
      <c r="AP165" s="254">
        <f>SUM(AL165,AM165,AN165,AO165)</f>
        <v/>
      </c>
      <c r="AQ165" s="254">
        <f>AQ153</f>
        <v/>
      </c>
      <c r="AR165" s="254">
        <f>AR153</f>
        <v/>
      </c>
      <c r="AS165" s="254">
        <f>AS153</f>
        <v/>
      </c>
      <c r="AT165" s="254">
        <f>AT153</f>
        <v/>
      </c>
      <c r="AU165" s="19" t="inlineStr">
        <is>
          <t>Restructuring charges in cost of revenues are part of gross profit; the adjusted-out total is in the bridge below.</t>
        </is>
      </c>
    </row>
    <row r="166" ht="15" customHeight="1" s="251">
      <c r="B166" s="25" t="inlineStr">
        <is>
          <t>Other operating items (Illinois EO settlement FY25; goodwill impairment FY17; class action FY11)</t>
        </is>
      </c>
      <c r="C166" s="253" t="n">
        <v>0</v>
      </c>
      <c r="D166" s="253" t="n">
        <v>-16.782</v>
      </c>
      <c r="E166" s="253" t="n">
        <v>0</v>
      </c>
      <c r="F166" s="253" t="n">
        <v>0</v>
      </c>
      <c r="G166" s="253" t="n">
        <v>0</v>
      </c>
      <c r="H166" s="253" t="n">
        <v>58.356</v>
      </c>
      <c r="I166" s="253" t="n">
        <v>0</v>
      </c>
      <c r="J166" s="253" t="n">
        <v>0</v>
      </c>
      <c r="K166" s="253" t="n">
        <v>0</v>
      </c>
      <c r="L166" s="253" t="n">
        <v>-2.914</v>
      </c>
      <c r="M166" s="253" t="n">
        <v>0</v>
      </c>
      <c r="N166" s="253" t="n">
        <v>0</v>
      </c>
      <c r="O166" s="253" t="n">
        <v>0</v>
      </c>
      <c r="P166" s="253" t="n">
        <v>0</v>
      </c>
      <c r="Q166" s="253" t="n">
        <v>0</v>
      </c>
      <c r="R166" s="253" t="n">
        <v>0</v>
      </c>
      <c r="S166" s="253" t="n">
        <v>0</v>
      </c>
      <c r="T166" s="253" t="n">
        <v>0</v>
      </c>
      <c r="U166" s="253" t="n">
        <v>0</v>
      </c>
      <c r="V166" s="253" t="n">
        <v>0</v>
      </c>
      <c r="W166" s="253" t="n">
        <v>0</v>
      </c>
      <c r="X166" s="253" t="n">
        <v>0</v>
      </c>
      <c r="Y166" s="253" t="n">
        <v>0</v>
      </c>
      <c r="Z166" s="253" t="n">
        <v>0</v>
      </c>
      <c r="AA166" s="253" t="n">
        <v>0</v>
      </c>
      <c r="AB166" s="253" t="n">
        <v>0</v>
      </c>
      <c r="AC166" s="253" t="n">
        <v>0</v>
      </c>
      <c r="AD166" s="253" t="n">
        <v>0</v>
      </c>
      <c r="AE166" s="253" t="n">
        <v>48.15</v>
      </c>
      <c r="AF166" s="253" t="n">
        <v>48.15</v>
      </c>
      <c r="AG166" s="253" t="n">
        <v>0</v>
      </c>
      <c r="AH166" s="253" t="n">
        <v>0</v>
      </c>
      <c r="AI166" s="253" t="n">
        <v>0.1</v>
      </c>
      <c r="AJ166" s="253" t="n">
        <v>-0.3</v>
      </c>
      <c r="AK166" s="253" t="n">
        <v>4.1</v>
      </c>
      <c r="AL166" s="253" t="n">
        <v>0</v>
      </c>
      <c r="AM166" s="254">
        <f>0</f>
        <v/>
      </c>
      <c r="AN166" s="254">
        <f>0</f>
        <v/>
      </c>
      <c r="AO166" s="254">
        <f>0</f>
        <v/>
      </c>
      <c r="AP166" s="254">
        <f>SUM(AL166,AM166,AN166,AO166)</f>
        <v/>
      </c>
      <c r="AQ166" s="254">
        <f>0</f>
        <v/>
      </c>
      <c r="AR166" s="254">
        <f>0</f>
        <v/>
      </c>
      <c r="AS166" s="254">
        <f>0</f>
        <v/>
      </c>
      <c r="AT166" s="254">
        <f>0</f>
        <v/>
      </c>
      <c r="AU166" s="19" t="n"/>
    </row>
    <row r="167" ht="15" customHeight="1" s="251">
      <c r="B167" s="55" t="inlineStr">
        <is>
          <t>Income from operations</t>
        </is>
      </c>
      <c r="C167" s="277" t="n">
        <v>222.316</v>
      </c>
      <c r="D167" s="277" t="n">
        <v>242.829</v>
      </c>
      <c r="E167" s="277" t="n">
        <v>206.807</v>
      </c>
      <c r="F167" s="277" t="n">
        <v>227.211</v>
      </c>
      <c r="G167" s="277" t="n">
        <v>212.927</v>
      </c>
      <c r="H167" s="277" t="n">
        <v>227.595</v>
      </c>
      <c r="I167" s="277" t="n">
        <v>403.454</v>
      </c>
      <c r="J167" s="277" t="n">
        <v>411.465</v>
      </c>
      <c r="K167" s="277" t="n">
        <v>536.973</v>
      </c>
      <c r="L167" s="277" t="n">
        <v>548.3680000000001</v>
      </c>
      <c r="M167" s="277" t="n">
        <v>14.324</v>
      </c>
      <c r="N167" s="277" t="n">
        <v>116.503</v>
      </c>
      <c r="O167" s="277" t="n">
        <v>202.933</v>
      </c>
      <c r="P167" s="277" t="n">
        <v>91.858</v>
      </c>
      <c r="Q167" s="277" t="n">
        <v>425.618</v>
      </c>
      <c r="R167" s="277" t="n">
        <v>169.455</v>
      </c>
      <c r="S167" s="277" t="n">
        <v>185.966</v>
      </c>
      <c r="T167" s="277" t="n">
        <v>201.989</v>
      </c>
      <c r="U167" s="277" t="n">
        <v>233.677</v>
      </c>
      <c r="V167" s="277" t="n">
        <v>791.101</v>
      </c>
      <c r="W167" s="277" t="n">
        <v>197.761</v>
      </c>
      <c r="X167" s="277" t="n">
        <v>191.553</v>
      </c>
      <c r="Y167" s="277" t="n">
        <v>226.47</v>
      </c>
      <c r="Z167" s="277" t="n">
        <v>220.334</v>
      </c>
      <c r="AA167" s="277" t="n">
        <v>836.1180000000001</v>
      </c>
      <c r="AB167" s="277" t="n">
        <v>185.531</v>
      </c>
      <c r="AC167" s="277" t="n">
        <v>219.666</v>
      </c>
      <c r="AD167" s="277" t="n">
        <v>245.293</v>
      </c>
      <c r="AE167" s="277" t="n">
        <v>216.148</v>
      </c>
      <c r="AF167" s="277" t="n">
        <v>866.641</v>
      </c>
      <c r="AG167" s="277" t="n">
        <v>246</v>
      </c>
      <c r="AH167" s="277" t="n">
        <v>265.8</v>
      </c>
      <c r="AI167" s="277" t="n">
        <v>273.2</v>
      </c>
      <c r="AJ167" s="277" t="n">
        <v>316.8</v>
      </c>
      <c r="AK167" s="277" t="n">
        <v>1101.8</v>
      </c>
      <c r="AL167" s="277" t="n">
        <v>285.8</v>
      </c>
      <c r="AM167" s="274">
        <f>AM120-AM143-AM151-AM153-AM154-AM155</f>
        <v/>
      </c>
      <c r="AN167" s="274">
        <f>AN120-AN143-AN151-AN153-AN154-AN155</f>
        <v/>
      </c>
      <c r="AO167" s="274">
        <f>AO120-AO143-AO151-AO153-AO154-AO155</f>
        <v/>
      </c>
      <c r="AP167" s="274">
        <f>SUM(AL167,AM167,AN167,AO167)</f>
        <v/>
      </c>
      <c r="AQ167" s="274">
        <f>AQ120-AQ143-AQ151-AQ153-AQ154-AQ155</f>
        <v/>
      </c>
      <c r="AR167" s="274">
        <f>AR120-AR143-AR151-AR153-AR154-AR155</f>
        <v/>
      </c>
      <c r="AS167" s="274">
        <f>AS120-AS143-AS151-AS153-AS154-AS155</f>
        <v/>
      </c>
      <c r="AT167" s="274">
        <f>AT120-AT143-AT151-AT153-AT154-AT155</f>
        <v/>
      </c>
      <c r="AU167" s="153" t="inlineStr">
        <is>
          <t>Forecast = adjusted operating income − amortization of acquired intangibles − other adjusting items.</t>
        </is>
      </c>
      <c r="AW167" s="20">
        <f>IFERROR((AT167/AK167)^(1/5)-1,"n/m")</f>
        <v/>
      </c>
      <c r="AX167" s="20">
        <f>IFERROR((AK167/L167)^(1/5)-1,"n/m")</f>
        <v/>
      </c>
      <c r="AY167" s="20">
        <f>IFERROR((AK167/G167)^(1/10)-1,"n/m")</f>
        <v/>
      </c>
      <c r="AZ167" s="20">
        <f>IFERROR((AK167/C167)^(1/14)-1,"n/m")</f>
        <v/>
      </c>
    </row>
    <row r="168" ht="15" customHeight="1" s="251">
      <c r="B168" s="25" t="inlineStr">
        <is>
          <t xml:space="preserve">  Operating margin (GAAP) %</t>
        </is>
      </c>
      <c r="C168" s="215">
        <f>IF(AND(ISNUMBER(C167),ISNUMBER(C159)),IFERROR(C167/C159,""),"")</f>
        <v/>
      </c>
      <c r="D168" s="215">
        <f>IF(AND(ISNUMBER(D167),ISNUMBER(D159)),IFERROR(D167/D159,""),"")</f>
        <v/>
      </c>
      <c r="E168" s="215">
        <f>IF(AND(ISNUMBER(E167),ISNUMBER(E159)),IFERROR(E167/E159,""),"")</f>
        <v/>
      </c>
      <c r="F168" s="215">
        <f>IF(AND(ISNUMBER(F167),ISNUMBER(F159)),IFERROR(F167/F159,""),"")</f>
        <v/>
      </c>
      <c r="G168" s="215">
        <f>IF(AND(ISNUMBER(G167),ISNUMBER(G159)),IFERROR(G167/G159,""),"")</f>
        <v/>
      </c>
      <c r="H168" s="215">
        <f>IF(AND(ISNUMBER(H167),ISNUMBER(H159)),IFERROR(H167/H159,""),"")</f>
        <v/>
      </c>
      <c r="I168" s="215">
        <f>IF(AND(ISNUMBER(I167),ISNUMBER(I159)),IFERROR(I167/I159,""),"")</f>
        <v/>
      </c>
      <c r="J168" s="215">
        <f>IF(AND(ISNUMBER(J167),ISNUMBER(J159)),IFERROR(J167/J159,""),"")</f>
        <v/>
      </c>
      <c r="K168" s="215">
        <f>IF(AND(ISNUMBER(K167),ISNUMBER(K159)),IFERROR(K167/K159,""),"")</f>
        <v/>
      </c>
      <c r="L168" s="215">
        <f>IF(AND(ISNUMBER(L167),ISNUMBER(L159)),IFERROR(L167/L159,""),"")</f>
        <v/>
      </c>
      <c r="M168" s="215">
        <f>IF(AND(ISNUMBER(M167),ISNUMBER(M159)),IFERROR(M167/M159,""),"")</f>
        <v/>
      </c>
      <c r="N168" s="215">
        <f>IF(AND(ISNUMBER(N167),ISNUMBER(N159)),IFERROR(N167/N159,""),"")</f>
        <v/>
      </c>
      <c r="O168" s="215">
        <f>IF(AND(ISNUMBER(O167),ISNUMBER(O159)),IFERROR(O167/O159,""),"")</f>
        <v/>
      </c>
      <c r="P168" s="215">
        <f>IF(AND(ISNUMBER(P167),ISNUMBER(P159)),IFERROR(P167/P159,""),"")</f>
        <v/>
      </c>
      <c r="Q168" s="215">
        <f>IF(AND(ISNUMBER(Q167),ISNUMBER(Q159)),IFERROR(Q167/Q159,""),"")</f>
        <v/>
      </c>
      <c r="R168" s="215">
        <f>IF(AND(ISNUMBER(R167),ISNUMBER(R159)),IFERROR(R167/R159,""),"")</f>
        <v/>
      </c>
      <c r="S168" s="215">
        <f>IF(AND(ISNUMBER(S167),ISNUMBER(S159)),IFERROR(S167/S159,""),"")</f>
        <v/>
      </c>
      <c r="T168" s="215">
        <f>IF(AND(ISNUMBER(T167),ISNUMBER(T159)),IFERROR(T167/T159,""),"")</f>
        <v/>
      </c>
      <c r="U168" s="215">
        <f>IF(AND(ISNUMBER(U167),ISNUMBER(U159)),IFERROR(U167/U159,""),"")</f>
        <v/>
      </c>
      <c r="V168" s="215">
        <f>IF(AND(ISNUMBER(V167),ISNUMBER(V159)),IFERROR(V167/V159,""),"")</f>
        <v/>
      </c>
      <c r="W168" s="215">
        <f>IF(AND(ISNUMBER(W167),ISNUMBER(W159)),IFERROR(W167/W159,""),"")</f>
        <v/>
      </c>
      <c r="X168" s="215">
        <f>IF(AND(ISNUMBER(X167),ISNUMBER(X159)),IFERROR(X167/X159,""),"")</f>
        <v/>
      </c>
      <c r="Y168" s="215">
        <f>IF(AND(ISNUMBER(Y167),ISNUMBER(Y159)),IFERROR(Y167/Y159,""),"")</f>
        <v/>
      </c>
      <c r="Z168" s="215">
        <f>IF(AND(ISNUMBER(Z167),ISNUMBER(Z159)),IFERROR(Z167/Z159,""),"")</f>
        <v/>
      </c>
      <c r="AA168" s="215">
        <f>IF(AND(ISNUMBER(AA167),ISNUMBER(AA159)),IFERROR(AA167/AA159,""),"")</f>
        <v/>
      </c>
      <c r="AB168" s="215">
        <f>IF(AND(ISNUMBER(AB167),ISNUMBER(AB159)),IFERROR(AB167/AB159,""),"")</f>
        <v/>
      </c>
      <c r="AC168" s="215">
        <f>IF(AND(ISNUMBER(AC167),ISNUMBER(AC159)),IFERROR(AC167/AC159,""),"")</f>
        <v/>
      </c>
      <c r="AD168" s="215">
        <f>IF(AND(ISNUMBER(AD167),ISNUMBER(AD159)),IFERROR(AD167/AD159,""),"")</f>
        <v/>
      </c>
      <c r="AE168" s="215">
        <f>IF(AND(ISNUMBER(AE167),ISNUMBER(AE159)),IFERROR(AE167/AE159,""),"")</f>
        <v/>
      </c>
      <c r="AF168" s="215">
        <f>IF(AND(ISNUMBER(AF167),ISNUMBER(AF159)),IFERROR(AF167/AF159,""),"")</f>
        <v/>
      </c>
      <c r="AG168" s="215">
        <f>IF(AND(ISNUMBER(AG167),ISNUMBER(AG159)),IFERROR(AG167/AG159,""),"")</f>
        <v/>
      </c>
      <c r="AH168" s="215">
        <f>IF(AND(ISNUMBER(AH167),ISNUMBER(AH159)),IFERROR(AH167/AH159,""),"")</f>
        <v/>
      </c>
      <c r="AI168" s="215">
        <f>IF(AND(ISNUMBER(AI167),ISNUMBER(AI159)),IFERROR(AI167/AI159,""),"")</f>
        <v/>
      </c>
      <c r="AJ168" s="215">
        <f>IF(AND(ISNUMBER(AJ167),ISNUMBER(AJ159)),IFERROR(AJ167/AJ159,""),"")</f>
        <v/>
      </c>
      <c r="AK168" s="215">
        <f>IF(AND(ISNUMBER(AK167),ISNUMBER(AK159)),IFERROR(AK167/AK159,""),"")</f>
        <v/>
      </c>
      <c r="AL168" s="215">
        <f>IF(AND(ISNUMBER(AL167),ISNUMBER(AL159)),IFERROR(AL167/AL159,""),"")</f>
        <v/>
      </c>
      <c r="AM168" s="256">
        <f>IF(AND(ISNUMBER(AM167),ISNUMBER(AM159)),IFERROR(AM167/AM159,""),"")</f>
        <v/>
      </c>
      <c r="AN168" s="256">
        <f>IF(AND(ISNUMBER(AN167),ISNUMBER(AN159)),IFERROR(AN167/AN159,""),"")</f>
        <v/>
      </c>
      <c r="AO168" s="256">
        <f>IF(AND(ISNUMBER(AO167),ISNUMBER(AO159)),IFERROR(AO167/AO159,""),"")</f>
        <v/>
      </c>
      <c r="AP168" s="256">
        <f>IF(AND(ISNUMBER(AP167),ISNUMBER(AP159)),IFERROR(AP167/AP159,""),"")</f>
        <v/>
      </c>
      <c r="AQ168" s="256">
        <f>IF(AND(ISNUMBER(AQ167),ISNUMBER(AQ159)),IFERROR(AQ167/AQ159,""),"")</f>
        <v/>
      </c>
      <c r="AR168" s="256">
        <f>IF(AND(ISNUMBER(AR167),ISNUMBER(AR159)),IFERROR(AR167/AR159,""),"")</f>
        <v/>
      </c>
      <c r="AS168" s="256">
        <f>IF(AND(ISNUMBER(AS167),ISNUMBER(AS159)),IFERROR(AS167/AS159,""),"")</f>
        <v/>
      </c>
      <c r="AT168" s="256">
        <f>IF(AND(ISNUMBER(AT167),ISNUMBER(AT159)),IFERROR(AT167/AT159,""),"")</f>
        <v/>
      </c>
      <c r="AU168" s="153" t="n"/>
      <c r="AW168" s="37">
        <f>IFERROR(AVERAGE(AP168,AQ168,AR168,AS168,AT168),"n/m")</f>
        <v/>
      </c>
      <c r="AX168" s="37">
        <f>IFERROR(AVERAGE(Q168,V168,AA168,AF168,AK168),"n/m")</f>
        <v/>
      </c>
      <c r="AY168" s="37">
        <f>IFERROR(AVERAGE(H168,I168,J168,K168,L168,Q168,V168,AA168,AF168,AK168),"n/m")</f>
        <v/>
      </c>
      <c r="AZ168" s="37">
        <f>IFERROR(AVERAGE(C168,D168,E168,F168,G168,H168,I168,J168,K168,L168,Q168,V168,AA168,AF168,AK168),"n/m")</f>
        <v/>
      </c>
    </row>
    <row r="169" ht="15" customHeight="1" s="251">
      <c r="B169" s="25" t="inlineStr">
        <is>
          <t>Interest expense</t>
        </is>
      </c>
      <c r="C169" s="253" t="n">
        <v>12.065</v>
      </c>
      <c r="D169" s="253" t="n">
        <v>15.675</v>
      </c>
      <c r="E169" s="253" t="n">
        <v>18.77</v>
      </c>
      <c r="F169" s="253" t="n">
        <v>19.187</v>
      </c>
      <c r="G169" s="253" t="n">
        <v>42.708</v>
      </c>
      <c r="H169" s="253" t="n">
        <v>44.52</v>
      </c>
      <c r="I169" s="253" t="n">
        <v>50.629</v>
      </c>
      <c r="J169" s="253" t="n">
        <v>45.015</v>
      </c>
      <c r="K169" s="253" t="n">
        <v>40.279</v>
      </c>
      <c r="L169" s="253" t="n">
        <v>37.18</v>
      </c>
      <c r="M169" s="253" t="n">
        <v>21.812</v>
      </c>
      <c r="N169" s="253" t="n">
        <v>23.036</v>
      </c>
      <c r="O169" s="253" t="n">
        <v>22.971</v>
      </c>
      <c r="P169" s="253" t="n">
        <v>21.773</v>
      </c>
      <c r="Q169" s="253" t="n">
        <v>89.593</v>
      </c>
      <c r="R169" s="253" t="n">
        <v>22.674</v>
      </c>
      <c r="S169" s="253" t="n">
        <v>26.123</v>
      </c>
      <c r="T169" s="253" t="n">
        <v>28.559</v>
      </c>
      <c r="U169" s="253" t="n">
        <v>30.633</v>
      </c>
      <c r="V169" s="253" t="n">
        <v>107.989</v>
      </c>
      <c r="W169" s="253" t="n">
        <v>32.361</v>
      </c>
      <c r="X169" s="253" t="n">
        <v>36.938</v>
      </c>
      <c r="Y169" s="253" t="n">
        <v>38.948</v>
      </c>
      <c r="Z169" s="253" t="n">
        <v>36.103</v>
      </c>
      <c r="AA169" s="253" t="n">
        <v>144.351</v>
      </c>
      <c r="AB169" s="253" t="n">
        <v>30.384</v>
      </c>
      <c r="AC169" s="253" t="n">
        <v>19.668</v>
      </c>
      <c r="AD169" s="253" t="n">
        <v>19.094</v>
      </c>
      <c r="AE169" s="253" t="n">
        <v>17.115</v>
      </c>
      <c r="AF169" s="253" t="n">
        <v>86.261</v>
      </c>
      <c r="AG169" s="253" t="n">
        <v>15.9</v>
      </c>
      <c r="AH169" s="253" t="n">
        <v>14.9</v>
      </c>
      <c r="AI169" s="253" t="n">
        <v>14.9</v>
      </c>
      <c r="AJ169" s="253" t="n">
        <v>15.1</v>
      </c>
      <c r="AK169" s="253" t="n">
        <v>60.7</v>
      </c>
      <c r="AL169" s="253" t="n">
        <v>15.8</v>
      </c>
      <c r="AM169" s="254">
        <f>($BE$19-AL169)/3</f>
        <v/>
      </c>
      <c r="AN169" s="254">
        <f>($BE$19-AL169)/3</f>
        <v/>
      </c>
      <c r="AO169" s="254">
        <f>($BE$19-AL169)/3</f>
        <v/>
      </c>
      <c r="AP169" s="254">
        <f>SUM(AL169,AM169,AN169,AO169)</f>
        <v/>
      </c>
      <c r="AQ169" s="254">
        <f>AP395*AQ402+AP400*AQ403+AQ404</f>
        <v/>
      </c>
      <c r="AR169" s="254">
        <f>AQ395*AR402+AQ400*AR403+AR404</f>
        <v/>
      </c>
      <c r="AS169" s="254">
        <f>AR395*AS402+AR400*AS403+AS404</f>
        <v/>
      </c>
      <c r="AT169" s="254">
        <f>AS395*AT402+AS400*AT403+AT404</f>
        <v/>
      </c>
      <c r="AU169" s="19" t="inlineStr">
        <is>
          <t>Q2–Q4/27E: FY27 point estimate less Q1/27. 2028E+ = rate × opening notes + rate × opening revolver / CP + fees (no circularity). Release / XBRL (FY2012–23 quarters).</t>
        </is>
      </c>
    </row>
    <row r="170" ht="15" customHeight="1" s="251">
      <c r="B170" s="25" t="inlineStr">
        <is>
          <t>Other non-operating (income) expense, net (interest &amp; misc. income, gains / losses on businesses)</t>
        </is>
      </c>
      <c r="C170" s="253" t="n">
        <v>-0.857</v>
      </c>
      <c r="D170" s="253" t="n">
        <v>0.056</v>
      </c>
      <c r="E170" s="253" t="n">
        <v>-0.339</v>
      </c>
      <c r="F170" s="253" t="n">
        <v>-0.796</v>
      </c>
      <c r="G170" s="253" t="n">
        <v>-1.665</v>
      </c>
      <c r="H170" s="253" t="n">
        <v>-1.571</v>
      </c>
      <c r="I170" s="253" t="n">
        <v>-2.157</v>
      </c>
      <c r="J170" s="253" t="n">
        <v>-3.02</v>
      </c>
      <c r="K170" s="253" t="n">
        <v>-1.987</v>
      </c>
      <c r="L170" s="253" t="n">
        <v>-6.345</v>
      </c>
      <c r="M170" s="253" t="n">
        <v>21.489</v>
      </c>
      <c r="N170" s="253" t="n">
        <v>3.86</v>
      </c>
      <c r="O170" s="253" t="n">
        <v>-2.447</v>
      </c>
      <c r="P170" s="253" t="n">
        <v>-1.379</v>
      </c>
      <c r="Q170" s="253" t="n">
        <v>21.522</v>
      </c>
      <c r="R170" s="253" t="n">
        <v>0.781</v>
      </c>
      <c r="S170" s="253" t="n">
        <v>0.518</v>
      </c>
      <c r="T170" s="253" t="n">
        <v>1.891</v>
      </c>
      <c r="U170" s="253" t="n">
        <v>-0.358</v>
      </c>
      <c r="V170" s="253" t="n">
        <v>2.846</v>
      </c>
      <c r="W170" s="253" t="n">
        <v>-1.381</v>
      </c>
      <c r="X170" s="253" t="n">
        <v>-1.237</v>
      </c>
      <c r="Y170" s="253" t="n">
        <v>-2.08</v>
      </c>
      <c r="Z170" s="253" t="n">
        <v>-6.344</v>
      </c>
      <c r="AA170" s="253" t="n">
        <v>-11.043</v>
      </c>
      <c r="AB170" s="253" t="n">
        <v>-20.112</v>
      </c>
      <c r="AC170" s="253" t="n">
        <v>5.106</v>
      </c>
      <c r="AD170" s="253" t="n">
        <v>-2.546</v>
      </c>
      <c r="AE170" s="253" t="n">
        <v>1.724</v>
      </c>
      <c r="AF170" s="253" t="n">
        <v>-15.827</v>
      </c>
      <c r="AG170" s="253" t="n">
        <v>-1.8</v>
      </c>
      <c r="AH170" s="253" t="n">
        <v>-2.2</v>
      </c>
      <c r="AI170" s="253" t="n">
        <v>0.4</v>
      </c>
      <c r="AJ170" s="253" t="n">
        <v>-2.8</v>
      </c>
      <c r="AK170" s="253" t="n">
        <v>-6.3</v>
      </c>
      <c r="AL170" s="253" t="n">
        <v>-3.5</v>
      </c>
      <c r="AM170" s="254">
        <f>($BE$20-AL170)/3</f>
        <v/>
      </c>
      <c r="AN170" s="254">
        <f>($BE$20-AL170)/3</f>
        <v/>
      </c>
      <c r="AO170" s="254">
        <f>($BE$20-AL170)/3</f>
        <v/>
      </c>
      <c r="AP170" s="254">
        <f>SUM(AL170,AM170,AN170,AO170)</f>
        <v/>
      </c>
      <c r="AQ170" s="254">
        <f>-AP309*AQ405+AQ156</f>
        <v/>
      </c>
      <c r="AR170" s="254">
        <f>-AQ309*AR405+AR156</f>
        <v/>
      </c>
      <c r="AS170" s="254">
        <f>-AR309*AS405+AS156</f>
        <v/>
      </c>
      <c r="AT170" s="254">
        <f>-AS309*AT405+AT156</f>
        <v/>
      </c>
      <c r="AU170" s="19" t="n"/>
    </row>
    <row r="171" ht="15" customHeight="1" s="251">
      <c r="B171" s="16" t="inlineStr">
        <is>
          <t>Income from continuing operations before income taxes</t>
        </is>
      </c>
      <c r="C171" s="261">
        <f>IF(ISNUMBER(C167),C167-C169-N(C170),"")</f>
        <v/>
      </c>
      <c r="D171" s="261">
        <f>IF(ISNUMBER(D167),D167-D169-N(D170),"")</f>
        <v/>
      </c>
      <c r="E171" s="261">
        <f>IF(ISNUMBER(E167),E167-E169-N(E170),"")</f>
        <v/>
      </c>
      <c r="F171" s="261">
        <f>IF(ISNUMBER(F167),F167-F169-N(F170),"")</f>
        <v/>
      </c>
      <c r="G171" s="261">
        <f>IF(ISNUMBER(G167),G167-G169-N(G170),"")</f>
        <v/>
      </c>
      <c r="H171" s="261">
        <f>IF(ISNUMBER(H167),H167-H169-N(H170),"")</f>
        <v/>
      </c>
      <c r="I171" s="261">
        <f>IF(ISNUMBER(I167),I167-I169-N(I170),"")</f>
        <v/>
      </c>
      <c r="J171" s="261">
        <f>IF(ISNUMBER(J167),J167-J169-N(J170),"")</f>
        <v/>
      </c>
      <c r="K171" s="261">
        <f>IF(ISNUMBER(K167),K167-K169-N(K170),"")</f>
        <v/>
      </c>
      <c r="L171" s="261">
        <f>IF(ISNUMBER(L167),L167-L169-N(L170),"")</f>
        <v/>
      </c>
      <c r="M171" s="261">
        <f>IF(ISNUMBER(M167),M167-M169-N(M170),"")</f>
        <v/>
      </c>
      <c r="N171" s="261">
        <f>IF(ISNUMBER(N167),N167-N169-N(N170),"")</f>
        <v/>
      </c>
      <c r="O171" s="261">
        <f>IF(ISNUMBER(O167),O167-O169-N(O170),"")</f>
        <v/>
      </c>
      <c r="P171" s="261">
        <f>IF(ISNUMBER(P167),P167-P169-N(P170),"")</f>
        <v/>
      </c>
      <c r="Q171" s="261">
        <f>IF(ISNUMBER(Q167),Q167-Q169-N(Q170),"")</f>
        <v/>
      </c>
      <c r="R171" s="261">
        <f>IF(ISNUMBER(R167),R167-R169-N(R170),"")</f>
        <v/>
      </c>
      <c r="S171" s="261">
        <f>IF(ISNUMBER(S167),S167-S169-N(S170),"")</f>
        <v/>
      </c>
      <c r="T171" s="261">
        <f>IF(ISNUMBER(T167),T167-T169-N(T170),"")</f>
        <v/>
      </c>
      <c r="U171" s="261">
        <f>IF(ISNUMBER(U167),U167-U169-N(U170),"")</f>
        <v/>
      </c>
      <c r="V171" s="261">
        <f>IF(ISNUMBER(V167),V167-V169-N(V170),"")</f>
        <v/>
      </c>
      <c r="W171" s="261">
        <f>IF(ISNUMBER(W167),W167-W169-N(W170),"")</f>
        <v/>
      </c>
      <c r="X171" s="261">
        <f>IF(ISNUMBER(X167),X167-X169-N(X170),"")</f>
        <v/>
      </c>
      <c r="Y171" s="261">
        <f>IF(ISNUMBER(Y167),Y167-Y169-N(Y170),"")</f>
        <v/>
      </c>
      <c r="Z171" s="261">
        <f>IF(ISNUMBER(Z167),Z167-Z169-N(Z170),"")</f>
        <v/>
      </c>
      <c r="AA171" s="261">
        <f>IF(ISNUMBER(AA167),AA167-AA169-N(AA170),"")</f>
        <v/>
      </c>
      <c r="AB171" s="261">
        <f>IF(ISNUMBER(AB167),AB167-AB169-N(AB170),"")</f>
        <v/>
      </c>
      <c r="AC171" s="261">
        <f>IF(ISNUMBER(AC167),AC167-AC169-N(AC170),"")</f>
        <v/>
      </c>
      <c r="AD171" s="261">
        <f>IF(ISNUMBER(AD167),AD167-AD169-N(AD170),"")</f>
        <v/>
      </c>
      <c r="AE171" s="261">
        <f>IF(ISNUMBER(AE167),AE167-AE169-N(AE170),"")</f>
        <v/>
      </c>
      <c r="AF171" s="261">
        <f>IF(ISNUMBER(AF167),AF167-AF169-N(AF170),"")</f>
        <v/>
      </c>
      <c r="AG171" s="261">
        <f>IF(ISNUMBER(AG167),AG167-AG169-N(AG170),"")</f>
        <v/>
      </c>
      <c r="AH171" s="261">
        <f>IF(ISNUMBER(AH167),AH167-AH169-N(AH170),"")</f>
        <v/>
      </c>
      <c r="AI171" s="261">
        <f>IF(ISNUMBER(AI167),AI167-AI169-N(AI170),"")</f>
        <v/>
      </c>
      <c r="AJ171" s="261">
        <f>IF(ISNUMBER(AJ167),AJ167-AJ169-N(AJ170),"")</f>
        <v/>
      </c>
      <c r="AK171" s="261">
        <f>IF(ISNUMBER(AK167),AK167-AK169-N(AK170),"")</f>
        <v/>
      </c>
      <c r="AL171" s="261">
        <f>IF(ISNUMBER(AL167),AL167-AL169-N(AL170),"")</f>
        <v/>
      </c>
      <c r="AM171" s="262">
        <f>IF(ISNUMBER(AM167),AM167-AM169-N(AM170),"")</f>
        <v/>
      </c>
      <c r="AN171" s="262">
        <f>IF(ISNUMBER(AN167),AN167-AN169-N(AN170),"")</f>
        <v/>
      </c>
      <c r="AO171" s="262">
        <f>IF(ISNUMBER(AO167),AO167-AO169-N(AO170),"")</f>
        <v/>
      </c>
      <c r="AP171" s="262">
        <f>IF(ISNUMBER(AP167),AP167-AP169-N(AP170),"")</f>
        <v/>
      </c>
      <c r="AQ171" s="262">
        <f>IF(ISNUMBER(AQ167),AQ167-AQ169-N(AQ170),"")</f>
        <v/>
      </c>
      <c r="AR171" s="262">
        <f>IF(ISNUMBER(AR167),AR167-AR169-N(AR170),"")</f>
        <v/>
      </c>
      <c r="AS171" s="262">
        <f>IF(ISNUMBER(AS167),AS167-AS169-N(AS170),"")</f>
        <v/>
      </c>
      <c r="AT171" s="262">
        <f>IF(ISNUMBER(AT167),AT167-AT169-N(AT170),"")</f>
        <v/>
      </c>
      <c r="AU171" s="153" t="n"/>
    </row>
    <row r="172" ht="15" customHeight="1" s="251">
      <c r="B172" s="25" t="inlineStr">
        <is>
          <t>Income tax expense</t>
        </is>
      </c>
      <c r="C172" s="253" t="n">
        <v>74.99299999999999</v>
      </c>
      <c r="D172" s="253" t="n">
        <v>67.121</v>
      </c>
      <c r="E172" s="253" t="n">
        <v>58.934</v>
      </c>
      <c r="F172" s="253" t="n">
        <v>73.756</v>
      </c>
      <c r="G172" s="253" t="n">
        <v>60.299</v>
      </c>
      <c r="H172" s="253" t="n">
        <v>74.015</v>
      </c>
      <c r="I172" s="253" t="n">
        <v>63.36</v>
      </c>
      <c r="J172" s="253" t="n">
        <v>64.39400000000001</v>
      </c>
      <c r="K172" s="253" t="n">
        <v>90.876</v>
      </c>
      <c r="L172" s="253" t="n">
        <v>120.663</v>
      </c>
      <c r="M172" s="253" t="n">
        <v>-7.075</v>
      </c>
      <c r="N172" s="253" t="n">
        <v>19.982</v>
      </c>
      <c r="O172" s="253" t="n">
        <v>39.315</v>
      </c>
      <c r="P172" s="253" t="n">
        <v>19.411</v>
      </c>
      <c r="Q172" s="253" t="n">
        <v>71.633</v>
      </c>
      <c r="R172" s="253" t="n">
        <v>26.915</v>
      </c>
      <c r="S172" s="253" t="n">
        <v>35.417</v>
      </c>
      <c r="T172" s="253" t="n">
        <v>40.534</v>
      </c>
      <c r="U172" s="253" t="n">
        <v>21.203</v>
      </c>
      <c r="V172" s="253" t="n">
        <v>124.069</v>
      </c>
      <c r="W172" s="253" t="n">
        <v>36.2</v>
      </c>
      <c r="X172" s="253" t="n">
        <v>35.055</v>
      </c>
      <c r="Y172" s="253" t="n">
        <v>40.999</v>
      </c>
      <c r="Z172" s="253" t="n">
        <v>37.276</v>
      </c>
      <c r="AA172" s="253" t="n">
        <v>149.53</v>
      </c>
      <c r="AB172" s="253" t="n">
        <v>35.31</v>
      </c>
      <c r="AC172" s="253" t="n">
        <v>43.506</v>
      </c>
      <c r="AD172" s="253" t="n">
        <v>55.384</v>
      </c>
      <c r="AE172" s="253" t="n">
        <v>50.45</v>
      </c>
      <c r="AF172" s="253" t="n">
        <v>184.65</v>
      </c>
      <c r="AG172" s="253" t="n">
        <v>53.9</v>
      </c>
      <c r="AH172" s="253" t="n">
        <v>60.6</v>
      </c>
      <c r="AI172" s="253" t="n">
        <v>63.5</v>
      </c>
      <c r="AJ172" s="253" t="n">
        <v>84.2</v>
      </c>
      <c r="AK172" s="253" t="n">
        <v>262.2</v>
      </c>
      <c r="AL172" s="253" t="n">
        <v>72.5</v>
      </c>
      <c r="AM172" s="254">
        <f>AM171*AM173</f>
        <v/>
      </c>
      <c r="AN172" s="254">
        <f>AN171*AN173</f>
        <v/>
      </c>
      <c r="AO172" s="254">
        <f>AO171*AO173</f>
        <v/>
      </c>
      <c r="AP172" s="254">
        <f>SUM(AL172,AM172,AN172,AO172)</f>
        <v/>
      </c>
      <c r="AQ172" s="254">
        <f>AQ171*AQ173</f>
        <v/>
      </c>
      <c r="AR172" s="254">
        <f>AR171*AR173</f>
        <v/>
      </c>
      <c r="AS172" s="254">
        <f>AS171*AS173</f>
        <v/>
      </c>
      <c r="AT172" s="254">
        <f>AT171*AT173</f>
        <v/>
      </c>
      <c r="AU172" s="19" t="n"/>
    </row>
    <row r="173" ht="15" customHeight="1" s="251">
      <c r="B173" s="25" t="inlineStr">
        <is>
          <t xml:space="preserve">  Effective tax rate (continuing operations)</t>
        </is>
      </c>
      <c r="C173" s="215">
        <f>IF(AND(ISNUMBER(C172),ISNUMBER(C171)),IFERROR(C172/C171,""),"")</f>
        <v/>
      </c>
      <c r="D173" s="215">
        <f>IF(AND(ISNUMBER(D172),ISNUMBER(D171)),IFERROR(D172/D171,""),"")</f>
        <v/>
      </c>
      <c r="E173" s="215">
        <f>IF(AND(ISNUMBER(E172),ISNUMBER(E171)),IFERROR(E172/E171,""),"")</f>
        <v/>
      </c>
      <c r="F173" s="215">
        <f>IF(AND(ISNUMBER(F172),ISNUMBER(F171)),IFERROR(F172/F171,""),"")</f>
        <v/>
      </c>
      <c r="G173" s="215">
        <f>IF(AND(ISNUMBER(G172),ISNUMBER(G171)),IFERROR(G172/G171,""),"")</f>
        <v/>
      </c>
      <c r="H173" s="215">
        <f>IF(AND(ISNUMBER(H172),ISNUMBER(H171)),IFERROR(H172/H171,""),"")</f>
        <v/>
      </c>
      <c r="I173" s="215">
        <f>IF(AND(ISNUMBER(I172),ISNUMBER(I171)),IFERROR(I172/I171,""),"")</f>
        <v/>
      </c>
      <c r="J173" s="215">
        <f>IF(AND(ISNUMBER(J172),ISNUMBER(J171)),IFERROR(J172/J171,""),"")</f>
        <v/>
      </c>
      <c r="K173" s="215">
        <f>IF(AND(ISNUMBER(K172),ISNUMBER(K171)),IFERROR(K172/K171,""),"")</f>
        <v/>
      </c>
      <c r="L173" s="215">
        <f>IF(AND(ISNUMBER(L172),ISNUMBER(L171)),IFERROR(L172/L171,""),"")</f>
        <v/>
      </c>
      <c r="M173" s="215">
        <f>IF(AND(ISNUMBER(M172),ISNUMBER(M171)),IFERROR(M172/M171,""),"")</f>
        <v/>
      </c>
      <c r="N173" s="215">
        <f>IF(AND(ISNUMBER(N172),ISNUMBER(N171)),IFERROR(N172/N171,""),"")</f>
        <v/>
      </c>
      <c r="O173" s="215">
        <f>IF(AND(ISNUMBER(O172),ISNUMBER(O171)),IFERROR(O172/O171,""),"")</f>
        <v/>
      </c>
      <c r="P173" s="215">
        <f>IF(AND(ISNUMBER(P172),ISNUMBER(P171)),IFERROR(P172/P171,""),"")</f>
        <v/>
      </c>
      <c r="Q173" s="215">
        <f>IF(AND(ISNUMBER(Q172),ISNUMBER(Q171)),IFERROR(Q172/Q171,""),"")</f>
        <v/>
      </c>
      <c r="R173" s="215">
        <f>IF(AND(ISNUMBER(R172),ISNUMBER(R171)),IFERROR(R172/R171,""),"")</f>
        <v/>
      </c>
      <c r="S173" s="215">
        <f>IF(AND(ISNUMBER(S172),ISNUMBER(S171)),IFERROR(S172/S171,""),"")</f>
        <v/>
      </c>
      <c r="T173" s="215">
        <f>IF(AND(ISNUMBER(T172),ISNUMBER(T171)),IFERROR(T172/T171,""),"")</f>
        <v/>
      </c>
      <c r="U173" s="215">
        <f>IF(AND(ISNUMBER(U172),ISNUMBER(U171)),IFERROR(U172/U171,""),"")</f>
        <v/>
      </c>
      <c r="V173" s="215">
        <f>IF(AND(ISNUMBER(V172),ISNUMBER(V171)),IFERROR(V172/V171,""),"")</f>
        <v/>
      </c>
      <c r="W173" s="215">
        <f>IF(AND(ISNUMBER(W172),ISNUMBER(W171)),IFERROR(W172/W171,""),"")</f>
        <v/>
      </c>
      <c r="X173" s="215">
        <f>IF(AND(ISNUMBER(X172),ISNUMBER(X171)),IFERROR(X172/X171,""),"")</f>
        <v/>
      </c>
      <c r="Y173" s="215">
        <f>IF(AND(ISNUMBER(Y172),ISNUMBER(Y171)),IFERROR(Y172/Y171,""),"")</f>
        <v/>
      </c>
      <c r="Z173" s="215">
        <f>IF(AND(ISNUMBER(Z172),ISNUMBER(Z171)),IFERROR(Z172/Z171,""),"")</f>
        <v/>
      </c>
      <c r="AA173" s="215">
        <f>IF(AND(ISNUMBER(AA172),ISNUMBER(AA171)),IFERROR(AA172/AA171,""),"")</f>
        <v/>
      </c>
      <c r="AB173" s="215">
        <f>IF(AND(ISNUMBER(AB172),ISNUMBER(AB171)),IFERROR(AB172/AB171,""),"")</f>
        <v/>
      </c>
      <c r="AC173" s="215">
        <f>IF(AND(ISNUMBER(AC172),ISNUMBER(AC171)),IFERROR(AC172/AC171,""),"")</f>
        <v/>
      </c>
      <c r="AD173" s="215">
        <f>IF(AND(ISNUMBER(AD172),ISNUMBER(AD171)),IFERROR(AD172/AD171,""),"")</f>
        <v/>
      </c>
      <c r="AE173" s="215">
        <f>IF(AND(ISNUMBER(AE172),ISNUMBER(AE171)),IFERROR(AE172/AE171,""),"")</f>
        <v/>
      </c>
      <c r="AF173" s="215">
        <f>IF(AND(ISNUMBER(AF172),ISNUMBER(AF171)),IFERROR(AF172/AF171,""),"")</f>
        <v/>
      </c>
      <c r="AG173" s="215">
        <f>IF(AND(ISNUMBER(AG172),ISNUMBER(AG171)),IFERROR(AG172/AG171,""),"")</f>
        <v/>
      </c>
      <c r="AH173" s="215">
        <f>IF(AND(ISNUMBER(AH172),ISNUMBER(AH171)),IFERROR(AH172/AH171,""),"")</f>
        <v/>
      </c>
      <c r="AI173" s="215">
        <f>IF(AND(ISNUMBER(AI172),ISNUMBER(AI171)),IFERROR(AI172/AI171,""),"")</f>
        <v/>
      </c>
      <c r="AJ173" s="215">
        <f>IF(AND(ISNUMBER(AJ172),ISNUMBER(AJ171)),IFERROR(AJ172/AJ171,""),"")</f>
        <v/>
      </c>
      <c r="AK173" s="215">
        <f>IF(AND(ISNUMBER(AK172),ISNUMBER(AK171)),IFERROR(AK172/AK171,""),"")</f>
        <v/>
      </c>
      <c r="AL173" s="215">
        <f>IF(AND(ISNUMBER(AL172),ISNUMBER(AL171)),IFERROR(AL172/AL171,""),"")</f>
        <v/>
      </c>
      <c r="AM173" s="256">
        <f>$BE$23</f>
        <v/>
      </c>
      <c r="AN173" s="256">
        <f>$BE$23</f>
        <v/>
      </c>
      <c r="AO173" s="256">
        <f>$BE$23</f>
        <v/>
      </c>
      <c r="AP173" s="256">
        <f>IF(AND(ISNUMBER(AP172),ISNUMBER(AP171)),IFERROR(AP172/AP171,""),"")</f>
        <v/>
      </c>
      <c r="AQ173" s="265" t="n">
        <v>0.25</v>
      </c>
      <c r="AR173" s="265" t="n">
        <v>0.25</v>
      </c>
      <c r="AS173" s="265" t="n">
        <v>0.25</v>
      </c>
      <c r="AT173" s="265" t="n">
        <v>0.25</v>
      </c>
      <c r="AU173" s="153" t="inlineStr">
        <is>
          <t>FY27 outlook ~25% (Q1/27 26.5% GAAP, 25.9% adjusted). Irish parent; US ~73% of revenue.</t>
        </is>
      </c>
      <c r="AW173" s="37">
        <f>IFERROR(AVERAGE(AP173,AQ173,AR173,AS173,AT173),"n/m")</f>
        <v/>
      </c>
      <c r="AX173" s="37">
        <f>IFERROR(AVERAGE(Q173,V173,AA173,AF173,AK173),"n/m")</f>
        <v/>
      </c>
      <c r="AY173" s="37">
        <f>IFERROR(AVERAGE(H173,I173,J173,K173,L173,Q173,V173,AA173,AF173,AK173),"n/m")</f>
        <v/>
      </c>
      <c r="AZ173" s="37">
        <f>IFERROR(AVERAGE(C173,D173,E173,F173,G173,H173,I173,J173,K173,L173,Q173,V173,AA173,AF173,AK173),"n/m")</f>
        <v/>
      </c>
    </row>
    <row r="174" ht="15" customHeight="1" s="251">
      <c r="B174" s="16" t="inlineStr">
        <is>
          <t>Income from continuing operations, net of tax</t>
        </is>
      </c>
      <c r="C174" s="261">
        <f>IF(ISNUMBER(C171),C171-C172,"")</f>
        <v/>
      </c>
      <c r="D174" s="261">
        <f>IF(ISNUMBER(D171),D171-D172,"")</f>
        <v/>
      </c>
      <c r="E174" s="261">
        <f>IF(ISNUMBER(E171),E171-E172,"")</f>
        <v/>
      </c>
      <c r="F174" s="261">
        <f>IF(ISNUMBER(F171),F171-F172,"")</f>
        <v/>
      </c>
      <c r="G174" s="261">
        <f>IF(ISNUMBER(G171),G171-G172,"")</f>
        <v/>
      </c>
      <c r="H174" s="261">
        <f>IF(ISNUMBER(H171),H171-H172,"")</f>
        <v/>
      </c>
      <c r="I174" s="261">
        <f>IF(ISNUMBER(I171),I171-I172,"")</f>
        <v/>
      </c>
      <c r="J174" s="261">
        <f>IF(ISNUMBER(J171),J171-J172,"")</f>
        <v/>
      </c>
      <c r="K174" s="261">
        <f>IF(ISNUMBER(K171),K171-K172,"")</f>
        <v/>
      </c>
      <c r="L174" s="261">
        <f>IF(ISNUMBER(L171),L171-L172,"")</f>
        <v/>
      </c>
      <c r="M174" s="261">
        <f>IF(ISNUMBER(M171),M171-M172,"")</f>
        <v/>
      </c>
      <c r="N174" s="261">
        <f>IF(ISNUMBER(N171),N171-N172,"")</f>
        <v/>
      </c>
      <c r="O174" s="261">
        <f>IF(ISNUMBER(O171),O171-O172,"")</f>
        <v/>
      </c>
      <c r="P174" s="261">
        <f>IF(ISNUMBER(P171),P171-P172,"")</f>
        <v/>
      </c>
      <c r="Q174" s="261">
        <f>IF(ISNUMBER(Q171),Q171-Q172,"")</f>
        <v/>
      </c>
      <c r="R174" s="261">
        <f>IF(ISNUMBER(R171),R171-R172,"")</f>
        <v/>
      </c>
      <c r="S174" s="261">
        <f>IF(ISNUMBER(S171),S171-S172,"")</f>
        <v/>
      </c>
      <c r="T174" s="261">
        <f>IF(ISNUMBER(T171),T171-T172,"")</f>
        <v/>
      </c>
      <c r="U174" s="261">
        <f>IF(ISNUMBER(U171),U171-U172,"")</f>
        <v/>
      </c>
      <c r="V174" s="261">
        <f>IF(ISNUMBER(V171),V171-V172,"")</f>
        <v/>
      </c>
      <c r="W174" s="261">
        <f>IF(ISNUMBER(W171),W171-W172,"")</f>
        <v/>
      </c>
      <c r="X174" s="261">
        <f>IF(ISNUMBER(X171),X171-X172,"")</f>
        <v/>
      </c>
      <c r="Y174" s="261">
        <f>IF(ISNUMBER(Y171),Y171-Y172,"")</f>
        <v/>
      </c>
      <c r="Z174" s="261">
        <f>IF(ISNUMBER(Z171),Z171-Z172,"")</f>
        <v/>
      </c>
      <c r="AA174" s="261">
        <f>IF(ISNUMBER(AA171),AA171-AA172,"")</f>
        <v/>
      </c>
      <c r="AB174" s="261">
        <f>IF(ISNUMBER(AB171),AB171-AB172,"")</f>
        <v/>
      </c>
      <c r="AC174" s="261">
        <f>IF(ISNUMBER(AC171),AC171-AC172,"")</f>
        <v/>
      </c>
      <c r="AD174" s="261">
        <f>IF(ISNUMBER(AD171),AD171-AD172,"")</f>
        <v/>
      </c>
      <c r="AE174" s="261">
        <f>IF(ISNUMBER(AE171),AE171-AE172,"")</f>
        <v/>
      </c>
      <c r="AF174" s="261">
        <f>IF(ISNUMBER(AF171),AF171-AF172,"")</f>
        <v/>
      </c>
      <c r="AG174" s="261">
        <f>IF(ISNUMBER(AG171),AG171-AG172,"")</f>
        <v/>
      </c>
      <c r="AH174" s="261">
        <f>IF(ISNUMBER(AH171),AH171-AH172,"")</f>
        <v/>
      </c>
      <c r="AI174" s="261">
        <f>IF(ISNUMBER(AI171),AI171-AI172,"")</f>
        <v/>
      </c>
      <c r="AJ174" s="261">
        <f>IF(ISNUMBER(AJ171),AJ171-AJ172,"")</f>
        <v/>
      </c>
      <c r="AK174" s="261">
        <f>IF(ISNUMBER(AK171),AK171-AK172,"")</f>
        <v/>
      </c>
      <c r="AL174" s="261">
        <f>IF(ISNUMBER(AL171),AL171-AL172,"")</f>
        <v/>
      </c>
      <c r="AM174" s="262">
        <f>IF(ISNUMBER(AM171),AM171-AM172,"")</f>
        <v/>
      </c>
      <c r="AN174" s="262">
        <f>IF(ISNUMBER(AN171),AN171-AN172,"")</f>
        <v/>
      </c>
      <c r="AO174" s="262">
        <f>IF(ISNUMBER(AO171),AO171-AO172,"")</f>
        <v/>
      </c>
      <c r="AP174" s="262">
        <f>IF(ISNUMBER(AP171),AP171-AP172,"")</f>
        <v/>
      </c>
      <c r="AQ174" s="262">
        <f>IF(ISNUMBER(AQ171),AQ171-AQ172,"")</f>
        <v/>
      </c>
      <c r="AR174" s="262">
        <f>IF(ISNUMBER(AR171),AR171-AR172,"")</f>
        <v/>
      </c>
      <c r="AS174" s="262">
        <f>IF(ISNUMBER(AS171),AS171-AS172,"")</f>
        <v/>
      </c>
      <c r="AT174" s="262">
        <f>IF(ISNUMBER(AT171),AT171-AT172,"")</f>
        <v/>
      </c>
      <c r="AU174" s="153" t="n"/>
    </row>
    <row r="175" ht="15" customHeight="1" s="251">
      <c r="B175" s="25" t="inlineStr">
        <is>
          <t>Income (loss) from discontinued operations (Dental), net of tax</t>
        </is>
      </c>
      <c r="C175" s="253" t="n">
        <v>0</v>
      </c>
      <c r="D175" s="253" t="n">
        <v>0</v>
      </c>
      <c r="E175" s="253" t="n">
        <v>0</v>
      </c>
      <c r="F175" s="253" t="n">
        <v>0</v>
      </c>
      <c r="G175" s="253" t="n">
        <v>0</v>
      </c>
      <c r="H175" s="253" t="n">
        <v>0</v>
      </c>
      <c r="I175" s="253" t="n">
        <v>0</v>
      </c>
      <c r="J175" s="253" t="n">
        <v>0</v>
      </c>
      <c r="K175" s="253" t="n">
        <v>0</v>
      </c>
      <c r="L175" s="253" t="n">
        <v>0</v>
      </c>
      <c r="M175" s="253" t="n">
        <v>0</v>
      </c>
      <c r="N175" s="253" t="n">
        <v>0</v>
      </c>
      <c r="O175" s="253" t="n">
        <v>0</v>
      </c>
      <c r="P175" s="253" t="n">
        <v>0</v>
      </c>
      <c r="Q175" s="253" t="n">
        <v>0</v>
      </c>
      <c r="R175" s="253" t="n">
        <v>-8.33</v>
      </c>
      <c r="S175" s="253" t="n">
        <v>-439.139</v>
      </c>
      <c r="T175" s="253" t="n">
        <v>-7.68</v>
      </c>
      <c r="U175" s="253" t="n">
        <v>4.765</v>
      </c>
      <c r="V175" s="253" t="n">
        <v>-450.384</v>
      </c>
      <c r="W175" s="253" t="n">
        <v>-6.791</v>
      </c>
      <c r="X175" s="253" t="n">
        <v>-4.451</v>
      </c>
      <c r="Y175" s="253" t="n">
        <v>-7.658</v>
      </c>
      <c r="Z175" s="253" t="n">
        <v>-154.301</v>
      </c>
      <c r="AA175" s="253" t="n">
        <v>-173.201</v>
      </c>
      <c r="AB175" s="253" t="n">
        <v>5.592</v>
      </c>
      <c r="AC175" s="253" t="n">
        <v>-0.213</v>
      </c>
      <c r="AD175" s="253" t="n">
        <v>-0.076</v>
      </c>
      <c r="AE175" s="253" t="n">
        <v>-0.786</v>
      </c>
      <c r="AF175" s="253" t="n">
        <v>4.517</v>
      </c>
      <c r="AG175" s="253" t="n">
        <v>0</v>
      </c>
      <c r="AH175" s="253" t="n">
        <v>0</v>
      </c>
      <c r="AI175" s="253" t="n">
        <v>0</v>
      </c>
      <c r="AJ175" s="253" t="n">
        <v>0</v>
      </c>
      <c r="AK175" s="253" t="n">
        <v>0</v>
      </c>
      <c r="AL175" s="253" t="n">
        <v>0</v>
      </c>
      <c r="AM175" s="254">
        <f>0</f>
        <v/>
      </c>
      <c r="AN175" s="254">
        <f>0</f>
        <v/>
      </c>
      <c r="AO175" s="254">
        <f>0</f>
        <v/>
      </c>
      <c r="AP175" s="254">
        <f>SUM(AL175,AM175,AN175,AO175)</f>
        <v/>
      </c>
      <c r="AQ175" s="254">
        <f>0</f>
        <v/>
      </c>
      <c r="AR175" s="254">
        <f>0</f>
        <v/>
      </c>
      <c r="AS175" s="254">
        <f>0</f>
        <v/>
      </c>
      <c r="AT175" s="254">
        <f>0</f>
        <v/>
      </c>
      <c r="AU175" s="19" t="n"/>
    </row>
    <row r="176" ht="15" customHeight="1" s="251">
      <c r="B176" s="55" t="inlineStr">
        <is>
          <t>Net income</t>
        </is>
      </c>
      <c r="C176" s="274">
        <f>IF(ISNUMBER(C174),C174+N(C175),"")</f>
        <v/>
      </c>
      <c r="D176" s="274">
        <f>IF(ISNUMBER(D174),D174+N(D175),"")</f>
        <v/>
      </c>
      <c r="E176" s="274">
        <f>IF(ISNUMBER(E174),E174+N(E175),"")</f>
        <v/>
      </c>
      <c r="F176" s="274">
        <f>IF(ISNUMBER(F174),F174+N(F175),"")</f>
        <v/>
      </c>
      <c r="G176" s="274">
        <f>IF(ISNUMBER(G174),G174+N(G175),"")</f>
        <v/>
      </c>
      <c r="H176" s="274">
        <f>IF(ISNUMBER(H174),H174+N(H175),"")</f>
        <v/>
      </c>
      <c r="I176" s="274">
        <f>IF(ISNUMBER(I174),I174+N(I175),"")</f>
        <v/>
      </c>
      <c r="J176" s="274">
        <f>IF(ISNUMBER(J174),J174+N(J175),"")</f>
        <v/>
      </c>
      <c r="K176" s="274">
        <f>IF(ISNUMBER(K174),K174+N(K175),"")</f>
        <v/>
      </c>
      <c r="L176" s="274">
        <f>IF(ISNUMBER(L174),L174+N(L175),"")</f>
        <v/>
      </c>
      <c r="M176" s="274">
        <f>IF(ISNUMBER(M174),M174+N(M175),"")</f>
        <v/>
      </c>
      <c r="N176" s="274">
        <f>IF(ISNUMBER(N174),N174+N(N175),"")</f>
        <v/>
      </c>
      <c r="O176" s="274">
        <f>IF(ISNUMBER(O174),O174+N(O175),"")</f>
        <v/>
      </c>
      <c r="P176" s="274">
        <f>IF(ISNUMBER(P174),P174+N(P175),"")</f>
        <v/>
      </c>
      <c r="Q176" s="274">
        <f>IF(ISNUMBER(Q174),Q174+N(Q175),"")</f>
        <v/>
      </c>
      <c r="R176" s="274">
        <f>IF(ISNUMBER(R174),R174+N(R175),"")</f>
        <v/>
      </c>
      <c r="S176" s="274">
        <f>IF(ISNUMBER(S174),S174+N(S175),"")</f>
        <v/>
      </c>
      <c r="T176" s="274">
        <f>IF(ISNUMBER(T174),T174+N(T175),"")</f>
        <v/>
      </c>
      <c r="U176" s="274">
        <f>IF(ISNUMBER(U174),U174+N(U175),"")</f>
        <v/>
      </c>
      <c r="V176" s="274">
        <f>IF(ISNUMBER(V174),V174+N(V175),"")</f>
        <v/>
      </c>
      <c r="W176" s="274">
        <f>IF(ISNUMBER(W174),W174+N(W175),"")</f>
        <v/>
      </c>
      <c r="X176" s="274">
        <f>IF(ISNUMBER(X174),X174+N(X175),"")</f>
        <v/>
      </c>
      <c r="Y176" s="274">
        <f>IF(ISNUMBER(Y174),Y174+N(Y175),"")</f>
        <v/>
      </c>
      <c r="Z176" s="274">
        <f>IF(ISNUMBER(Z174),Z174+N(Z175),"")</f>
        <v/>
      </c>
      <c r="AA176" s="274">
        <f>IF(ISNUMBER(AA174),AA174+N(AA175),"")</f>
        <v/>
      </c>
      <c r="AB176" s="274">
        <f>IF(ISNUMBER(AB174),AB174+N(AB175),"")</f>
        <v/>
      </c>
      <c r="AC176" s="274">
        <f>IF(ISNUMBER(AC174),AC174+N(AC175),"")</f>
        <v/>
      </c>
      <c r="AD176" s="274">
        <f>IF(ISNUMBER(AD174),AD174+N(AD175),"")</f>
        <v/>
      </c>
      <c r="AE176" s="274">
        <f>IF(ISNUMBER(AE174),AE174+N(AE175),"")</f>
        <v/>
      </c>
      <c r="AF176" s="274">
        <f>IF(ISNUMBER(AF174),AF174+N(AF175),"")</f>
        <v/>
      </c>
      <c r="AG176" s="274">
        <f>IF(ISNUMBER(AG174),AG174+N(AG175),"")</f>
        <v/>
      </c>
      <c r="AH176" s="274">
        <f>IF(ISNUMBER(AH174),AH174+N(AH175),"")</f>
        <v/>
      </c>
      <c r="AI176" s="274">
        <f>IF(ISNUMBER(AI174),AI174+N(AI175),"")</f>
        <v/>
      </c>
      <c r="AJ176" s="274">
        <f>IF(ISNUMBER(AJ174),AJ174+N(AJ175),"")</f>
        <v/>
      </c>
      <c r="AK176" s="274">
        <f>IF(ISNUMBER(AK174),AK174+N(AK175),"")</f>
        <v/>
      </c>
      <c r="AL176" s="274">
        <f>IF(ISNUMBER(AL174),AL174+N(AL175),"")</f>
        <v/>
      </c>
      <c r="AM176" s="274">
        <f>IF(ISNUMBER(AM174),AM174+N(AM175),"")</f>
        <v/>
      </c>
      <c r="AN176" s="274">
        <f>IF(ISNUMBER(AN174),AN174+N(AN175),"")</f>
        <v/>
      </c>
      <c r="AO176" s="274">
        <f>IF(ISNUMBER(AO174),AO174+N(AO175),"")</f>
        <v/>
      </c>
      <c r="AP176" s="274">
        <f>IF(ISNUMBER(AP174),AP174+N(AP175),"")</f>
        <v/>
      </c>
      <c r="AQ176" s="274">
        <f>IF(ISNUMBER(AQ174),AQ174+N(AQ175),"")</f>
        <v/>
      </c>
      <c r="AR176" s="274">
        <f>IF(ISNUMBER(AR174),AR174+N(AR175),"")</f>
        <v/>
      </c>
      <c r="AS176" s="274">
        <f>IF(ISNUMBER(AS174),AS174+N(AS175),"")</f>
        <v/>
      </c>
      <c r="AT176" s="274">
        <f>IF(ISNUMBER(AT174),AT174+N(AT175),"")</f>
        <v/>
      </c>
      <c r="AU176" s="153" t="n"/>
    </row>
    <row r="177" ht="15" customHeight="1" s="251">
      <c r="B177" s="25" t="inlineStr">
        <is>
          <t xml:space="preserve">  Less: net income attributable to noncontrolling interests</t>
        </is>
      </c>
      <c r="C177" s="253" t="n">
        <v>0</v>
      </c>
      <c r="D177" s="253" t="n">
        <v>0</v>
      </c>
      <c r="E177" s="253" t="n">
        <v>0</v>
      </c>
      <c r="F177" s="253" t="n">
        <v>0</v>
      </c>
      <c r="G177" s="253" t="n">
        <v>0.822</v>
      </c>
      <c r="H177" s="253" t="n">
        <v>0.666</v>
      </c>
      <c r="I177" s="253" t="n">
        <v>0.707</v>
      </c>
      <c r="J177" s="253" t="n">
        <v>1.025</v>
      </c>
      <c r="K177" s="253" t="n">
        <v>0.2</v>
      </c>
      <c r="L177" s="253" t="n">
        <v>-0.53</v>
      </c>
      <c r="M177" s="253" t="n">
        <v>-0.095</v>
      </c>
      <c r="N177" s="253" t="n">
        <v>-0.186</v>
      </c>
      <c r="O177" s="253" t="n">
        <v>-0.529</v>
      </c>
      <c r="P177" s="253" t="n">
        <v>-0.208</v>
      </c>
      <c r="Q177" s="253" t="n">
        <v>-1.018</v>
      </c>
      <c r="R177" s="253" t="n">
        <v>-0.507</v>
      </c>
      <c r="S177" s="253" t="n">
        <v>0.054</v>
      </c>
      <c r="T177" s="253" t="n">
        <v>-0.503</v>
      </c>
      <c r="U177" s="253" t="n">
        <v>-0.261</v>
      </c>
      <c r="V177" s="253" t="n">
        <v>-1.217</v>
      </c>
      <c r="W177" s="253" t="n">
        <v>0.236</v>
      </c>
      <c r="X177" s="253" t="n">
        <v>1.027</v>
      </c>
      <c r="Y177" s="253" t="n">
        <v>0.202</v>
      </c>
      <c r="Z177" s="253" t="n">
        <v>0.375</v>
      </c>
      <c r="AA177" s="253" t="n">
        <v>1.84</v>
      </c>
      <c r="AB177" s="253" t="n">
        <v>0.14</v>
      </c>
      <c r="AC177" s="253" t="n">
        <v>1.139</v>
      </c>
      <c r="AD177" s="253" t="n">
        <v>-0.249</v>
      </c>
      <c r="AE177" s="253" t="n">
        <v>0.403</v>
      </c>
      <c r="AF177" s="253" t="n">
        <v>1.433</v>
      </c>
      <c r="AG177" s="253" t="n">
        <v>0.6</v>
      </c>
      <c r="AH177" s="253" t="n">
        <v>0.6</v>
      </c>
      <c r="AI177" s="253" t="n">
        <v>1.5</v>
      </c>
      <c r="AJ177" s="253" t="n">
        <v>0.1</v>
      </c>
      <c r="AK177" s="253" t="n">
        <v>2.8</v>
      </c>
      <c r="AL177" s="253" t="n">
        <v>0.9</v>
      </c>
      <c r="AM177" s="254">
        <f>AL177</f>
        <v/>
      </c>
      <c r="AN177" s="254">
        <f>AL177</f>
        <v/>
      </c>
      <c r="AO177" s="254">
        <f>AL177</f>
        <v/>
      </c>
      <c r="AP177" s="254">
        <f>SUM(AL177,AM177,AN177,AO177)</f>
        <v/>
      </c>
      <c r="AQ177" s="254">
        <f>AP177*1.05</f>
        <v/>
      </c>
      <c r="AR177" s="254">
        <f>AQ177*1.05</f>
        <v/>
      </c>
      <c r="AS177" s="254">
        <f>AR177*1.05</f>
        <v/>
      </c>
      <c r="AT177" s="254">
        <f>AS177*1.05</f>
        <v/>
      </c>
      <c r="AU177" s="19" t="n"/>
    </row>
    <row r="178" ht="15" customHeight="1" s="251">
      <c r="B178" s="16" t="inlineStr">
        <is>
          <t>Net income attributable to shareholders</t>
        </is>
      </c>
      <c r="C178" s="261">
        <f>IF(ISNUMBER(C176),C176-N(C177),"")</f>
        <v/>
      </c>
      <c r="D178" s="261">
        <f>IF(ISNUMBER(D176),D176-N(D177),"")</f>
        <v/>
      </c>
      <c r="E178" s="261">
        <f>IF(ISNUMBER(E176),E176-N(E177),"")</f>
        <v/>
      </c>
      <c r="F178" s="261">
        <f>IF(ISNUMBER(F176),F176-N(F177),"")</f>
        <v/>
      </c>
      <c r="G178" s="261">
        <f>IF(ISNUMBER(G176),G176-N(G177),"")</f>
        <v/>
      </c>
      <c r="H178" s="261">
        <f>IF(ISNUMBER(H176),H176-N(H177),"")</f>
        <v/>
      </c>
      <c r="I178" s="261">
        <f>IF(ISNUMBER(I176),I176-N(I177),"")</f>
        <v/>
      </c>
      <c r="J178" s="261">
        <f>IF(ISNUMBER(J176),J176-N(J177),"")</f>
        <v/>
      </c>
      <c r="K178" s="261">
        <f>IF(ISNUMBER(K176),K176-N(K177),"")</f>
        <v/>
      </c>
      <c r="L178" s="261">
        <f>IF(ISNUMBER(L176),L176-N(L177),"")</f>
        <v/>
      </c>
      <c r="M178" s="261">
        <f>IF(ISNUMBER(M176),M176-N(M177),"")</f>
        <v/>
      </c>
      <c r="N178" s="261">
        <f>IF(ISNUMBER(N176),N176-N(N177),"")</f>
        <v/>
      </c>
      <c r="O178" s="261">
        <f>IF(ISNUMBER(O176),O176-N(O177),"")</f>
        <v/>
      </c>
      <c r="P178" s="261">
        <f>IF(ISNUMBER(P176),P176-N(P177),"")</f>
        <v/>
      </c>
      <c r="Q178" s="261">
        <f>IF(ISNUMBER(Q176),Q176-N(Q177),"")</f>
        <v/>
      </c>
      <c r="R178" s="261">
        <f>IF(ISNUMBER(R176),R176-N(R177),"")</f>
        <v/>
      </c>
      <c r="S178" s="261">
        <f>IF(ISNUMBER(S176),S176-N(S177),"")</f>
        <v/>
      </c>
      <c r="T178" s="261">
        <f>IF(ISNUMBER(T176),T176-N(T177),"")</f>
        <v/>
      </c>
      <c r="U178" s="261">
        <f>IF(ISNUMBER(U176),U176-N(U177),"")</f>
        <v/>
      </c>
      <c r="V178" s="261">
        <f>IF(ISNUMBER(V176),V176-N(V177),"")</f>
        <v/>
      </c>
      <c r="W178" s="261">
        <f>IF(ISNUMBER(W176),W176-N(W177),"")</f>
        <v/>
      </c>
      <c r="X178" s="261">
        <f>IF(ISNUMBER(X176),X176-N(X177),"")</f>
        <v/>
      </c>
      <c r="Y178" s="261">
        <f>IF(ISNUMBER(Y176),Y176-N(Y177),"")</f>
        <v/>
      </c>
      <c r="Z178" s="261">
        <f>IF(ISNUMBER(Z176),Z176-N(Z177),"")</f>
        <v/>
      </c>
      <c r="AA178" s="261">
        <f>IF(ISNUMBER(AA176),AA176-N(AA177),"")</f>
        <v/>
      </c>
      <c r="AB178" s="261">
        <f>IF(ISNUMBER(AB176),AB176-N(AB177),"")</f>
        <v/>
      </c>
      <c r="AC178" s="261">
        <f>IF(ISNUMBER(AC176),AC176-N(AC177),"")</f>
        <v/>
      </c>
      <c r="AD178" s="261">
        <f>IF(ISNUMBER(AD176),AD176-N(AD177),"")</f>
        <v/>
      </c>
      <c r="AE178" s="261">
        <f>IF(ISNUMBER(AE176),AE176-N(AE177),"")</f>
        <v/>
      </c>
      <c r="AF178" s="261">
        <f>IF(ISNUMBER(AF176),AF176-N(AF177),"")</f>
        <v/>
      </c>
      <c r="AG178" s="261">
        <f>IF(ISNUMBER(AG176),AG176-N(AG177),"")</f>
        <v/>
      </c>
      <c r="AH178" s="261">
        <f>IF(ISNUMBER(AH176),AH176-N(AH177),"")</f>
        <v/>
      </c>
      <c r="AI178" s="261">
        <f>IF(ISNUMBER(AI176),AI176-N(AI177),"")</f>
        <v/>
      </c>
      <c r="AJ178" s="261">
        <f>IF(ISNUMBER(AJ176),AJ176-N(AJ177),"")</f>
        <v/>
      </c>
      <c r="AK178" s="261">
        <f>IF(ISNUMBER(AK176),AK176-N(AK177),"")</f>
        <v/>
      </c>
      <c r="AL178" s="261">
        <f>IF(ISNUMBER(AL176),AL176-N(AL177),"")</f>
        <v/>
      </c>
      <c r="AM178" s="262">
        <f>IF(ISNUMBER(AM176),AM176-N(AM177),"")</f>
        <v/>
      </c>
      <c r="AN178" s="262">
        <f>IF(ISNUMBER(AN176),AN176-N(AN177),"")</f>
        <v/>
      </c>
      <c r="AO178" s="262">
        <f>IF(ISNUMBER(AO176),AO176-N(AO177),"")</f>
        <v/>
      </c>
      <c r="AP178" s="262">
        <f>IF(ISNUMBER(AP176),AP176-N(AP177),"")</f>
        <v/>
      </c>
      <c r="AQ178" s="262">
        <f>IF(ISNUMBER(AQ176),AQ176-N(AQ177),"")</f>
        <v/>
      </c>
      <c r="AR178" s="262">
        <f>IF(ISNUMBER(AR176),AR176-N(AR177),"")</f>
        <v/>
      </c>
      <c r="AS178" s="262">
        <f>IF(ISNUMBER(AS176),AS176-N(AS177),"")</f>
        <v/>
      </c>
      <c r="AT178" s="262">
        <f>IF(ISNUMBER(AT176),AT176-N(AT177),"")</f>
        <v/>
      </c>
      <c r="AU178" s="153" t="n"/>
    </row>
    <row r="179" ht="15" customHeight="1" s="251">
      <c r="B179" s="25" t="inlineStr">
        <is>
          <t xml:space="preserve">  Net income from continuing operations attributable to shareholders</t>
        </is>
      </c>
      <c r="C179" s="263">
        <f>IF(ISNUMBER(C178),C178-N(C175),"")</f>
        <v/>
      </c>
      <c r="D179" s="263">
        <f>IF(ISNUMBER(D178),D178-N(D175),"")</f>
        <v/>
      </c>
      <c r="E179" s="263">
        <f>IF(ISNUMBER(E178),E178-N(E175),"")</f>
        <v/>
      </c>
      <c r="F179" s="263">
        <f>IF(ISNUMBER(F178),F178-N(F175),"")</f>
        <v/>
      </c>
      <c r="G179" s="263">
        <f>IF(ISNUMBER(G178),G178-N(G175),"")</f>
        <v/>
      </c>
      <c r="H179" s="263">
        <f>IF(ISNUMBER(H178),H178-N(H175),"")</f>
        <v/>
      </c>
      <c r="I179" s="263">
        <f>IF(ISNUMBER(I178),I178-N(I175),"")</f>
        <v/>
      </c>
      <c r="J179" s="263">
        <f>IF(ISNUMBER(J178),J178-N(J175),"")</f>
        <v/>
      </c>
      <c r="K179" s="263">
        <f>IF(ISNUMBER(K178),K178-N(K175),"")</f>
        <v/>
      </c>
      <c r="L179" s="263">
        <f>IF(ISNUMBER(L178),L178-N(L175),"")</f>
        <v/>
      </c>
      <c r="M179" s="263">
        <f>IF(ISNUMBER(M178),M178-N(M175),"")</f>
        <v/>
      </c>
      <c r="N179" s="263">
        <f>IF(ISNUMBER(N178),N178-N(N175),"")</f>
        <v/>
      </c>
      <c r="O179" s="263">
        <f>IF(ISNUMBER(O178),O178-N(O175),"")</f>
        <v/>
      </c>
      <c r="P179" s="263">
        <f>IF(ISNUMBER(P178),P178-N(P175),"")</f>
        <v/>
      </c>
      <c r="Q179" s="263">
        <f>IF(ISNUMBER(Q178),Q178-N(Q175),"")</f>
        <v/>
      </c>
      <c r="R179" s="263">
        <f>IF(ISNUMBER(R178),R178-N(R175),"")</f>
        <v/>
      </c>
      <c r="S179" s="263">
        <f>IF(ISNUMBER(S178),S178-N(S175),"")</f>
        <v/>
      </c>
      <c r="T179" s="263">
        <f>IF(ISNUMBER(T178),T178-N(T175),"")</f>
        <v/>
      </c>
      <c r="U179" s="263">
        <f>IF(ISNUMBER(U178),U178-N(U175),"")</f>
        <v/>
      </c>
      <c r="V179" s="263">
        <f>IF(ISNUMBER(V178),V178-N(V175),"")</f>
        <v/>
      </c>
      <c r="W179" s="263">
        <f>IF(ISNUMBER(W178),W178-N(W175),"")</f>
        <v/>
      </c>
      <c r="X179" s="263">
        <f>IF(ISNUMBER(X178),X178-N(X175),"")</f>
        <v/>
      </c>
      <c r="Y179" s="263">
        <f>IF(ISNUMBER(Y178),Y178-N(Y175),"")</f>
        <v/>
      </c>
      <c r="Z179" s="263">
        <f>IF(ISNUMBER(Z178),Z178-N(Z175),"")</f>
        <v/>
      </c>
      <c r="AA179" s="263">
        <f>IF(ISNUMBER(AA178),AA178-N(AA175),"")</f>
        <v/>
      </c>
      <c r="AB179" s="263">
        <f>IF(ISNUMBER(AB178),AB178-N(AB175),"")</f>
        <v/>
      </c>
      <c r="AC179" s="263">
        <f>IF(ISNUMBER(AC178),AC178-N(AC175),"")</f>
        <v/>
      </c>
      <c r="AD179" s="263">
        <f>IF(ISNUMBER(AD178),AD178-N(AD175),"")</f>
        <v/>
      </c>
      <c r="AE179" s="263">
        <f>IF(ISNUMBER(AE178),AE178-N(AE175),"")</f>
        <v/>
      </c>
      <c r="AF179" s="263">
        <f>IF(ISNUMBER(AF178),AF178-N(AF175),"")</f>
        <v/>
      </c>
      <c r="AG179" s="263">
        <f>IF(ISNUMBER(AG178),AG178-N(AG175),"")</f>
        <v/>
      </c>
      <c r="AH179" s="263">
        <f>IF(ISNUMBER(AH178),AH178-N(AH175),"")</f>
        <v/>
      </c>
      <c r="AI179" s="263">
        <f>IF(ISNUMBER(AI178),AI178-N(AI175),"")</f>
        <v/>
      </c>
      <c r="AJ179" s="263">
        <f>IF(ISNUMBER(AJ178),AJ178-N(AJ175),"")</f>
        <v/>
      </c>
      <c r="AK179" s="263">
        <f>IF(ISNUMBER(AK178),AK178-N(AK175),"")</f>
        <v/>
      </c>
      <c r="AL179" s="263">
        <f>IF(ISNUMBER(AL178),AL178-N(AL175),"")</f>
        <v/>
      </c>
      <c r="AM179" s="254">
        <f>IF(ISNUMBER(AM178),AM178-N(AM175),"")</f>
        <v/>
      </c>
      <c r="AN179" s="254">
        <f>IF(ISNUMBER(AN178),AN178-N(AN175),"")</f>
        <v/>
      </c>
      <c r="AO179" s="254">
        <f>IF(ISNUMBER(AO178),AO178-N(AO175),"")</f>
        <v/>
      </c>
      <c r="AP179" s="254">
        <f>IF(ISNUMBER(AP178),AP178-N(AP175),"")</f>
        <v/>
      </c>
      <c r="AQ179" s="254">
        <f>IF(ISNUMBER(AQ178),AQ178-N(AQ175),"")</f>
        <v/>
      </c>
      <c r="AR179" s="254">
        <f>IF(ISNUMBER(AR178),AR178-N(AR175),"")</f>
        <v/>
      </c>
      <c r="AS179" s="254">
        <f>IF(ISNUMBER(AS178),AS178-N(AS175),"")</f>
        <v/>
      </c>
      <c r="AT179" s="254">
        <f>IF(ISNUMBER(AT178),AT178-N(AT175),"")</f>
        <v/>
      </c>
      <c r="AU179" s="19" t="n"/>
      <c r="AW179" s="20">
        <f>IFERROR((AT179/AK179)^(1/5)-1,"n/m")</f>
        <v/>
      </c>
      <c r="AX179" s="20">
        <f>IFERROR((AK179/L179)^(1/5)-1,"n/m")</f>
        <v/>
      </c>
      <c r="AY179" s="20">
        <f>IFERROR((AK179/G179)^(1/10)-1,"n/m")</f>
        <v/>
      </c>
      <c r="AZ179" s="20">
        <f>IFERROR((AK179/C179)^(1/14)-1,"n/m")</f>
        <v/>
      </c>
    </row>
    <row r="180" ht="15" customHeight="1" s="251">
      <c r="B180" s="57" t="inlineStr">
        <is>
          <t xml:space="preserve">  Check: net income attributable vs reported (should be 0; ±0.1 rounding)</t>
        </is>
      </c>
      <c r="C180" s="263">
        <f>IF(ISNUMBER(C181),IF(ABS(C178-C181)&lt;=0.15,0,ROUND(C178-C181,1)),"")</f>
        <v/>
      </c>
      <c r="D180" s="263">
        <f>IF(ISNUMBER(D181),IF(ABS(D178-D181)&lt;=0.15,0,ROUND(D178-D181,1)),"")</f>
        <v/>
      </c>
      <c r="E180" s="263">
        <f>IF(ISNUMBER(E181),IF(ABS(E178-E181)&lt;=0.15,0,ROUND(E178-E181,1)),"")</f>
        <v/>
      </c>
      <c r="F180" s="263">
        <f>IF(ISNUMBER(F181),IF(ABS(F178-F181)&lt;=0.15,0,ROUND(F178-F181,1)),"")</f>
        <v/>
      </c>
      <c r="G180" s="263">
        <f>IF(ISNUMBER(G181),IF(ABS(G178-G181)&lt;=0.15,0,ROUND(G178-G181,1)),"")</f>
        <v/>
      </c>
      <c r="H180" s="263">
        <f>IF(ISNUMBER(H181),IF(ABS(H178-H181)&lt;=0.15,0,ROUND(H178-H181,1)),"")</f>
        <v/>
      </c>
      <c r="I180" s="263">
        <f>IF(ISNUMBER(I181),IF(ABS(I178-I181)&lt;=0.15,0,ROUND(I178-I181,1)),"")</f>
        <v/>
      </c>
      <c r="J180" s="263">
        <f>IF(ISNUMBER(J181),IF(ABS(J178-J181)&lt;=0.15,0,ROUND(J178-J181,1)),"")</f>
        <v/>
      </c>
      <c r="K180" s="263">
        <f>IF(ISNUMBER(K181),IF(ABS(K178-K181)&lt;=0.15,0,ROUND(K178-K181,1)),"")</f>
        <v/>
      </c>
      <c r="L180" s="263">
        <f>IF(ISNUMBER(L181),IF(ABS(L178-L181)&lt;=0.15,0,ROUND(L178-L181,1)),"")</f>
        <v/>
      </c>
      <c r="M180" s="263">
        <f>IF(ISNUMBER(M181),IF(ABS(M178-M181)&lt;=0.15,0,ROUND(M178-M181,1)),"")</f>
        <v/>
      </c>
      <c r="N180" s="263">
        <f>IF(ISNUMBER(N181),IF(ABS(N178-N181)&lt;=0.15,0,ROUND(N178-N181,1)),"")</f>
        <v/>
      </c>
      <c r="O180" s="263">
        <f>IF(ISNUMBER(O181),IF(ABS(O178-O181)&lt;=0.15,0,ROUND(O178-O181,1)),"")</f>
        <v/>
      </c>
      <c r="P180" s="263">
        <f>IF(ISNUMBER(P181),IF(ABS(P178-P181)&lt;=0.15,0,ROUND(P178-P181,1)),"")</f>
        <v/>
      </c>
      <c r="Q180" s="263">
        <f>IF(ISNUMBER(Q181),IF(ABS(Q178-Q181)&lt;=0.15,0,ROUND(Q178-Q181,1)),"")</f>
        <v/>
      </c>
      <c r="R180" s="263">
        <f>IF(ISNUMBER(R181),IF(ABS(R178-R181)&lt;=0.15,0,ROUND(R178-R181,1)),"")</f>
        <v/>
      </c>
      <c r="S180" s="263">
        <f>IF(ISNUMBER(S181),IF(ABS(S178-S181)&lt;=0.15,0,ROUND(S178-S181,1)),"")</f>
        <v/>
      </c>
      <c r="T180" s="263">
        <f>IF(ISNUMBER(T181),IF(ABS(T178-T181)&lt;=0.15,0,ROUND(T178-T181,1)),"")</f>
        <v/>
      </c>
      <c r="U180" s="263">
        <f>IF(ISNUMBER(U181),IF(ABS(U178-U181)&lt;=0.15,0,ROUND(U178-U181,1)),"")</f>
        <v/>
      </c>
      <c r="V180" s="263">
        <f>IF(ISNUMBER(V181),IF(ABS(V178-V181)&lt;=0.15,0,ROUND(V178-V181,1)),"")</f>
        <v/>
      </c>
      <c r="W180" s="263">
        <f>IF(ISNUMBER(W181),IF(ABS(W178-W181)&lt;=0.15,0,ROUND(W178-W181,1)),"")</f>
        <v/>
      </c>
      <c r="X180" s="263">
        <f>IF(ISNUMBER(X181),IF(ABS(X178-X181)&lt;=0.15,0,ROUND(X178-X181,1)),"")</f>
        <v/>
      </c>
      <c r="Y180" s="263">
        <f>IF(ISNUMBER(Y181),IF(ABS(Y178-Y181)&lt;=0.15,0,ROUND(Y178-Y181,1)),"")</f>
        <v/>
      </c>
      <c r="Z180" s="263">
        <f>IF(ISNUMBER(Z181),IF(ABS(Z178-Z181)&lt;=0.15,0,ROUND(Z178-Z181,1)),"")</f>
        <v/>
      </c>
      <c r="AA180" s="263">
        <f>IF(ISNUMBER(AA181),IF(ABS(AA178-AA181)&lt;=0.15,0,ROUND(AA178-AA181,1)),"")</f>
        <v/>
      </c>
      <c r="AB180" s="263">
        <f>IF(ISNUMBER(AB181),IF(ABS(AB178-AB181)&lt;=0.15,0,ROUND(AB178-AB181,1)),"")</f>
        <v/>
      </c>
      <c r="AC180" s="263">
        <f>IF(ISNUMBER(AC181),IF(ABS(AC178-AC181)&lt;=0.15,0,ROUND(AC178-AC181,1)),"")</f>
        <v/>
      </c>
      <c r="AD180" s="263">
        <f>IF(ISNUMBER(AD181),IF(ABS(AD178-AD181)&lt;=0.15,0,ROUND(AD178-AD181,1)),"")</f>
        <v/>
      </c>
      <c r="AE180" s="263">
        <f>IF(ISNUMBER(AE181),IF(ABS(AE178-AE181)&lt;=0.15,0,ROUND(AE178-AE181,1)),"")</f>
        <v/>
      </c>
      <c r="AF180" s="263">
        <f>IF(ISNUMBER(AF181),IF(ABS(AF178-AF181)&lt;=0.15,0,ROUND(AF178-AF181,1)),"")</f>
        <v/>
      </c>
      <c r="AG180" s="263">
        <f>IF(ISNUMBER(AG181),IF(ABS(AG178-AG181)&lt;=0.15,0,ROUND(AG178-AG181,1)),"")</f>
        <v/>
      </c>
      <c r="AH180" s="263">
        <f>IF(ISNUMBER(AH181),IF(ABS(AH178-AH181)&lt;=0.15,0,ROUND(AH178-AH181,1)),"")</f>
        <v/>
      </c>
      <c r="AI180" s="263">
        <f>IF(ISNUMBER(AI181),IF(ABS(AI178-AI181)&lt;=0.15,0,ROUND(AI178-AI181,1)),"")</f>
        <v/>
      </c>
      <c r="AJ180" s="263">
        <f>IF(ISNUMBER(AJ181),IF(ABS(AJ178-AJ181)&lt;=0.15,0,ROUND(AJ178-AJ181,1)),"")</f>
        <v/>
      </c>
      <c r="AK180" s="263">
        <f>IF(ISNUMBER(AK181),IF(ABS(AK178-AK181)&lt;=0.15,0,ROUND(AK178-AK181,1)),"")</f>
        <v/>
      </c>
      <c r="AL180" s="263">
        <f>IF(ISNUMBER(AL181),IF(ABS(AL178-AL181)&lt;=0.15,0,ROUND(AL178-AL181,1)),"")</f>
        <v/>
      </c>
      <c r="AM180" s="153" t="n"/>
      <c r="AN180" s="153" t="n"/>
      <c r="AO180" s="153" t="n"/>
      <c r="AP180" s="153" t="n"/>
      <c r="AQ180" s="153" t="n"/>
      <c r="AR180" s="153" t="n"/>
      <c r="AS180" s="153" t="n"/>
      <c r="AT180" s="153" t="n"/>
      <c r="AU180" s="153" t="n"/>
    </row>
    <row r="181" ht="15" customHeight="1" s="251">
      <c r="B181" s="156" t="inlineStr">
        <is>
          <t xml:space="preserve">  Memo: net income attributable to shareholders as reported</t>
        </is>
      </c>
      <c r="C181" s="253" t="n">
        <v>136.115</v>
      </c>
      <c r="D181" s="253" t="n">
        <v>159.977</v>
      </c>
      <c r="E181" s="253" t="n">
        <v>129.442</v>
      </c>
      <c r="F181" s="253" t="n">
        <v>135.064</v>
      </c>
      <c r="G181" s="253" t="n">
        <v>110.763</v>
      </c>
      <c r="H181" s="253" t="n">
        <v>109.965</v>
      </c>
      <c r="I181" s="253" t="n">
        <v>290.915</v>
      </c>
      <c r="J181" s="253" t="n">
        <v>304.051</v>
      </c>
      <c r="K181" s="253" t="n">
        <v>407.605</v>
      </c>
      <c r="L181" s="253" t="n">
        <v>397.4</v>
      </c>
      <c r="M181" s="253" t="n">
        <v>-21.807</v>
      </c>
      <c r="N181" s="253" t="n">
        <v>69.81100000000001</v>
      </c>
      <c r="O181" s="253" t="n">
        <v>143.623</v>
      </c>
      <c r="P181" s="253" t="n">
        <v>52.261</v>
      </c>
      <c r="Q181" s="253" t="n">
        <v>243.888</v>
      </c>
      <c r="R181" s="253" t="n">
        <v>111.262</v>
      </c>
      <c r="S181" s="253" t="n">
        <v>-315.285</v>
      </c>
      <c r="T181" s="253" t="n">
        <v>123.828</v>
      </c>
      <c r="U181" s="253" t="n">
        <v>187.225</v>
      </c>
      <c r="V181" s="253" t="n">
        <v>107.03</v>
      </c>
      <c r="W181" s="253" t="n">
        <v>123.554</v>
      </c>
      <c r="X181" s="253" t="n">
        <v>115.319</v>
      </c>
      <c r="Y181" s="253" t="n">
        <v>140.743</v>
      </c>
      <c r="Z181" s="253" t="n">
        <v>-1.377</v>
      </c>
      <c r="AA181" s="253" t="n">
        <v>378.239</v>
      </c>
      <c r="AB181" s="253" t="n">
        <v>145.401</v>
      </c>
      <c r="AC181" s="253" t="n">
        <v>150.034</v>
      </c>
      <c r="AD181" s="253" t="n">
        <v>173.534</v>
      </c>
      <c r="AE181" s="253" t="n">
        <v>145.67</v>
      </c>
      <c r="AF181" s="253" t="n">
        <v>614.641</v>
      </c>
      <c r="AG181" s="253" t="n">
        <v>177.4</v>
      </c>
      <c r="AH181" s="253" t="n">
        <v>191.9</v>
      </c>
      <c r="AI181" s="253" t="n">
        <v>192.9</v>
      </c>
      <c r="AJ181" s="253" t="n">
        <v>220.3</v>
      </c>
      <c r="AK181" s="253" t="n">
        <v>782.3</v>
      </c>
      <c r="AL181" s="253" t="n">
        <v>200.1</v>
      </c>
      <c r="AM181" s="153" t="n"/>
      <c r="AN181" s="153" t="n"/>
      <c r="AO181" s="153" t="n"/>
      <c r="AP181" s="153" t="n"/>
      <c r="AQ181" s="153" t="n"/>
      <c r="AR181" s="153" t="n"/>
      <c r="AS181" s="153" t="n"/>
      <c r="AT181" s="153" t="n"/>
      <c r="AU181" s="153" t="n"/>
    </row>
    <row r="182" ht="15" customHeight="1" s="251">
      <c r="B182" s="156" t="inlineStr">
        <is>
          <t xml:space="preserve">  Memo: depreciation, depletion &amp; amortization (total)</t>
        </is>
      </c>
      <c r="C182" s="263">
        <f>C142</f>
        <v/>
      </c>
      <c r="D182" s="263">
        <f>D142</f>
        <v/>
      </c>
      <c r="E182" s="263">
        <f>E142</f>
        <v/>
      </c>
      <c r="F182" s="263">
        <f>F142</f>
        <v/>
      </c>
      <c r="G182" s="263">
        <f>G142</f>
        <v/>
      </c>
      <c r="H182" s="263">
        <f>H142</f>
        <v/>
      </c>
      <c r="I182" s="263">
        <f>I142</f>
        <v/>
      </c>
      <c r="J182" s="263">
        <f>J142</f>
        <v/>
      </c>
      <c r="K182" s="263">
        <f>K142</f>
        <v/>
      </c>
      <c r="L182" s="263">
        <f>L142</f>
        <v/>
      </c>
      <c r="M182" s="263">
        <f>M142</f>
        <v/>
      </c>
      <c r="N182" s="263">
        <f>N142</f>
        <v/>
      </c>
      <c r="O182" s="263">
        <f>O142</f>
        <v/>
      </c>
      <c r="P182" s="263">
        <f>P142</f>
        <v/>
      </c>
      <c r="Q182" s="263">
        <f>Q142</f>
        <v/>
      </c>
      <c r="R182" s="263">
        <f>R142</f>
        <v/>
      </c>
      <c r="S182" s="263">
        <f>S142</f>
        <v/>
      </c>
      <c r="T182" s="263">
        <f>T142</f>
        <v/>
      </c>
      <c r="U182" s="263">
        <f>U142</f>
        <v/>
      </c>
      <c r="V182" s="263">
        <f>V142</f>
        <v/>
      </c>
      <c r="W182" s="263">
        <f>W142</f>
        <v/>
      </c>
      <c r="X182" s="263">
        <f>X142</f>
        <v/>
      </c>
      <c r="Y182" s="263">
        <f>Y142</f>
        <v/>
      </c>
      <c r="Z182" s="263">
        <f>Z142</f>
        <v/>
      </c>
      <c r="AA182" s="263">
        <f>AA142</f>
        <v/>
      </c>
      <c r="AB182" s="263">
        <f>AB142</f>
        <v/>
      </c>
      <c r="AC182" s="263">
        <f>AC142</f>
        <v/>
      </c>
      <c r="AD182" s="263">
        <f>AD142</f>
        <v/>
      </c>
      <c r="AE182" s="263">
        <f>AE142</f>
        <v/>
      </c>
      <c r="AF182" s="263">
        <f>AF142</f>
        <v/>
      </c>
      <c r="AG182" s="263">
        <f>AG142</f>
        <v/>
      </c>
      <c r="AH182" s="263">
        <f>AH142</f>
        <v/>
      </c>
      <c r="AI182" s="263">
        <f>AI142</f>
        <v/>
      </c>
      <c r="AJ182" s="263">
        <f>AJ142</f>
        <v/>
      </c>
      <c r="AK182" s="263">
        <f>AK142</f>
        <v/>
      </c>
      <c r="AL182" s="263">
        <f>AL142</f>
        <v/>
      </c>
      <c r="AM182" s="254">
        <f>AM142</f>
        <v/>
      </c>
      <c r="AN182" s="254">
        <f>AN142</f>
        <v/>
      </c>
      <c r="AO182" s="254">
        <f>AO142</f>
        <v/>
      </c>
      <c r="AP182" s="254">
        <f>AP142</f>
        <v/>
      </c>
      <c r="AQ182" s="254">
        <f>AQ142</f>
        <v/>
      </c>
      <c r="AR182" s="254">
        <f>AR142</f>
        <v/>
      </c>
      <c r="AS182" s="254">
        <f>AS142</f>
        <v/>
      </c>
      <c r="AT182" s="254">
        <f>AT142</f>
        <v/>
      </c>
      <c r="AU182" s="153" t="n"/>
      <c r="AW182" s="20">
        <f>IFERROR((AT182/AK182)^(1/5)-1,"n/m")</f>
        <v/>
      </c>
      <c r="AX182" s="20">
        <f>IFERROR((AK182/L182)^(1/5)-1,"n/m")</f>
        <v/>
      </c>
      <c r="AY182" s="20">
        <f>IFERROR((AK182/G182)^(1/10)-1,"n/m")</f>
        <v/>
      </c>
      <c r="AZ182" s="20">
        <f>IFERROR((AK182/C182)^(1/14)-1,"n/m")</f>
        <v/>
      </c>
    </row>
    <row r="183" ht="15" customHeight="1" s="251">
      <c r="B183" s="156" t="inlineStr">
        <is>
          <t xml:space="preserve">  Memo: share-based compensation</t>
        </is>
      </c>
      <c r="C183" s="263">
        <f>C149</f>
        <v/>
      </c>
      <c r="D183" s="263">
        <f>D149</f>
        <v/>
      </c>
      <c r="E183" s="263">
        <f>E149</f>
        <v/>
      </c>
      <c r="F183" s="263">
        <f>F149</f>
        <v/>
      </c>
      <c r="G183" s="263">
        <f>G149</f>
        <v/>
      </c>
      <c r="H183" s="263">
        <f>H149</f>
        <v/>
      </c>
      <c r="I183" s="263">
        <f>I149</f>
        <v/>
      </c>
      <c r="J183" s="263">
        <f>J149</f>
        <v/>
      </c>
      <c r="K183" s="263">
        <f>K149</f>
        <v/>
      </c>
      <c r="L183" s="263">
        <f>L149</f>
        <v/>
      </c>
      <c r="M183" s="263">
        <f>M149</f>
        <v/>
      </c>
      <c r="N183" s="263">
        <f>N149</f>
        <v/>
      </c>
      <c r="O183" s="263">
        <f>O149</f>
        <v/>
      </c>
      <c r="P183" s="263">
        <f>P149</f>
        <v/>
      </c>
      <c r="Q183" s="263">
        <f>Q149</f>
        <v/>
      </c>
      <c r="R183" s="263">
        <f>R149</f>
        <v/>
      </c>
      <c r="S183" s="263">
        <f>S149</f>
        <v/>
      </c>
      <c r="T183" s="263">
        <f>T149</f>
        <v/>
      </c>
      <c r="U183" s="263">
        <f>U149</f>
        <v/>
      </c>
      <c r="V183" s="263">
        <f>V149</f>
        <v/>
      </c>
      <c r="W183" s="263">
        <f>W149</f>
        <v/>
      </c>
      <c r="X183" s="263">
        <f>X149</f>
        <v/>
      </c>
      <c r="Y183" s="263">
        <f>Y149</f>
        <v/>
      </c>
      <c r="Z183" s="263">
        <f>Z149</f>
        <v/>
      </c>
      <c r="AA183" s="263">
        <f>AA149</f>
        <v/>
      </c>
      <c r="AB183" s="263">
        <f>AB149</f>
        <v/>
      </c>
      <c r="AC183" s="263">
        <f>AC149</f>
        <v/>
      </c>
      <c r="AD183" s="263">
        <f>AD149</f>
        <v/>
      </c>
      <c r="AE183" s="263">
        <f>AE149</f>
        <v/>
      </c>
      <c r="AF183" s="263">
        <f>AF149</f>
        <v/>
      </c>
      <c r="AG183" s="263">
        <f>AG149</f>
        <v/>
      </c>
      <c r="AH183" s="263">
        <f>AH149</f>
        <v/>
      </c>
      <c r="AI183" s="263">
        <f>AI149</f>
        <v/>
      </c>
      <c r="AJ183" s="263">
        <f>AJ149</f>
        <v/>
      </c>
      <c r="AK183" s="263">
        <f>AK149</f>
        <v/>
      </c>
      <c r="AL183" s="263">
        <f>AL149</f>
        <v/>
      </c>
      <c r="AM183" s="254">
        <f>AM149</f>
        <v/>
      </c>
      <c r="AN183" s="254">
        <f>AN149</f>
        <v/>
      </c>
      <c r="AO183" s="254">
        <f>AO149</f>
        <v/>
      </c>
      <c r="AP183" s="254">
        <f>AP149</f>
        <v/>
      </c>
      <c r="AQ183" s="254">
        <f>AQ149</f>
        <v/>
      </c>
      <c r="AR183" s="254">
        <f>AR149</f>
        <v/>
      </c>
      <c r="AS183" s="254">
        <f>AS149</f>
        <v/>
      </c>
      <c r="AT183" s="254">
        <f>AT149</f>
        <v/>
      </c>
      <c r="AU183" s="153" t="n"/>
    </row>
    <row r="184" ht="15" customHeight="1" s="251">
      <c r="B184" s="25" t="inlineStr">
        <is>
          <t>(Earnings per share — STERIS plc ordinary shares; STERIS Corp common shares to Nov-2015)</t>
        </is>
      </c>
      <c r="AU184" s="153" t="n"/>
    </row>
    <row r="185" ht="15" customHeight="1" s="251">
      <c r="B185" s="25" t="inlineStr">
        <is>
          <t xml:space="preserve">  Weighted-average basic shares (m)</t>
        </is>
      </c>
      <c r="C185" s="253" t="n">
        <v>58.367</v>
      </c>
      <c r="D185" s="253" t="n">
        <v>58.305</v>
      </c>
      <c r="E185" s="253" t="n">
        <v>58.966</v>
      </c>
      <c r="F185" s="253" t="n">
        <v>59.413</v>
      </c>
      <c r="G185" s="253" t="n">
        <v>70.69799999999999</v>
      </c>
      <c r="H185" s="253" t="n">
        <v>85.473</v>
      </c>
      <c r="I185" s="253" t="n">
        <v>85.02800000000001</v>
      </c>
      <c r="J185" s="253" t="n">
        <v>84.577</v>
      </c>
      <c r="K185" s="253" t="n">
        <v>84.77800000000001</v>
      </c>
      <c r="L185" s="253" t="n">
        <v>85.203</v>
      </c>
      <c r="M185" s="253" t="n">
        <v>90.152</v>
      </c>
      <c r="N185" s="253" t="n">
        <v>99.848</v>
      </c>
      <c r="O185" s="253" t="n">
        <v>100.038</v>
      </c>
      <c r="P185" s="253" t="n">
        <v>100.101</v>
      </c>
      <c r="Q185" s="253" t="n">
        <v>97.535</v>
      </c>
      <c r="R185" s="253" t="n">
        <v>100.082</v>
      </c>
      <c r="S185" s="253" t="n">
        <v>99.96899999999999</v>
      </c>
      <c r="T185" s="253" t="n">
        <v>99.71599999999999</v>
      </c>
      <c r="U185" s="253" t="n">
        <v>99.05500000000001</v>
      </c>
      <c r="V185" s="253" t="n">
        <v>99.706</v>
      </c>
      <c r="W185" s="253" t="n">
        <v>98.708</v>
      </c>
      <c r="X185" s="253" t="n">
        <v>98.785</v>
      </c>
      <c r="Y185" s="253" t="n">
        <v>98.80200000000001</v>
      </c>
      <c r="Z185" s="253" t="n">
        <v>98.851</v>
      </c>
      <c r="AA185" s="253" t="n">
        <v>98.78700000000001</v>
      </c>
      <c r="AB185" s="253" t="n">
        <v>98.869</v>
      </c>
      <c r="AC185" s="253" t="n">
        <v>98.669</v>
      </c>
      <c r="AD185" s="253" t="n">
        <v>98.48999999999999</v>
      </c>
      <c r="AE185" s="253" t="n">
        <v>98.273</v>
      </c>
      <c r="AF185" s="253" t="n">
        <v>98.575</v>
      </c>
      <c r="AG185" s="253" t="n">
        <v>98.40000000000001</v>
      </c>
      <c r="AH185" s="253" t="n">
        <v>98.40000000000001</v>
      </c>
      <c r="AI185" s="253" t="n">
        <v>98.2</v>
      </c>
      <c r="AJ185" s="253" t="n">
        <v>98</v>
      </c>
      <c r="AK185" s="253" t="n">
        <v>98.2</v>
      </c>
      <c r="AL185" s="253" t="n">
        <v>97.59999999999999</v>
      </c>
      <c r="AM185" s="254">
        <f>AL364-$AP$328/3*0.5+$AP$329/3*0.5</f>
        <v/>
      </c>
      <c r="AN185" s="254">
        <f>AL364-$AP$328/3*1.5+$AP$329/3*1.5</f>
        <v/>
      </c>
      <c r="AO185" s="254">
        <f>AL364-$AP$328/3*2.5+$AP$329/3*2.5</f>
        <v/>
      </c>
      <c r="AP185" s="254">
        <f>AVERAGE(AL185,AM185,AN185,AO185)</f>
        <v/>
      </c>
      <c r="AQ185" s="254">
        <f>AVERAGE(AQ330,AQ331)</f>
        <v/>
      </c>
      <c r="AR185" s="254">
        <f>AVERAGE(AR330,AR331)</f>
        <v/>
      </c>
      <c r="AS185" s="254">
        <f>AVERAGE(AS330,AS331)</f>
        <v/>
      </c>
      <c r="AT185" s="254">
        <f>AVERAGE(AT330,AT331)</f>
        <v/>
      </c>
      <c r="AU185" s="19" t="inlineStr">
        <is>
          <t>Q2–Q4/27E: shares outstanding at 30-Jun-2026 − Q2–Q4 buybacks phased evenly (mid-quarter) + equity-plan issuance. 2028E+: average of beginning and ending shares.</t>
        </is>
      </c>
    </row>
    <row r="186" ht="15" customHeight="1" s="251">
      <c r="B186" s="25" t="inlineStr">
        <is>
          <t xml:space="preserve">  Weighted-average diluted shares (m)</t>
        </is>
      </c>
      <c r="C186" s="253" t="n">
        <v>58.963</v>
      </c>
      <c r="D186" s="253" t="n">
        <v>58.844</v>
      </c>
      <c r="E186" s="253" t="n">
        <v>59.745</v>
      </c>
      <c r="F186" s="253" t="n">
        <v>60.045</v>
      </c>
      <c r="G186" s="253" t="n">
        <v>71.184</v>
      </c>
      <c r="H186" s="253" t="n">
        <v>86.09399999999999</v>
      </c>
      <c r="I186" s="253" t="n">
        <v>85.71299999999999</v>
      </c>
      <c r="J186" s="253" t="n">
        <v>85.468</v>
      </c>
      <c r="K186" s="253" t="n">
        <v>85.64100000000001</v>
      </c>
      <c r="L186" s="253" t="n">
        <v>85.898</v>
      </c>
      <c r="M186" s="253" t="n">
        <v>90.152</v>
      </c>
      <c r="N186" s="253" t="n">
        <v>100.689</v>
      </c>
      <c r="O186" s="253" t="n">
        <v>100.826</v>
      </c>
      <c r="P186" s="253" t="n">
        <v>100.795</v>
      </c>
      <c r="Q186" s="253" t="n">
        <v>98.32599999999999</v>
      </c>
      <c r="R186" s="253" t="n">
        <v>100.722</v>
      </c>
      <c r="S186" s="253" t="n">
        <v>99.96899999999999</v>
      </c>
      <c r="T186" s="253" t="n">
        <v>100.166</v>
      </c>
      <c r="U186" s="253" t="n">
        <v>99.568</v>
      </c>
      <c r="V186" s="253" t="n">
        <v>100.246</v>
      </c>
      <c r="W186" s="253" t="n">
        <v>99.239</v>
      </c>
      <c r="X186" s="253" t="n">
        <v>99.40600000000001</v>
      </c>
      <c r="Y186" s="253" t="n">
        <v>99.354</v>
      </c>
      <c r="Z186" s="253" t="n">
        <v>99.435</v>
      </c>
      <c r="AA186" s="253" t="n">
        <v>99.35899999999999</v>
      </c>
      <c r="AB186" s="253" t="n">
        <v>99.376</v>
      </c>
      <c r="AC186" s="253" t="n">
        <v>99.20399999999999</v>
      </c>
      <c r="AD186" s="253" t="n">
        <v>98.94199999999999</v>
      </c>
      <c r="AE186" s="253" t="n">
        <v>98.756</v>
      </c>
      <c r="AF186" s="253" t="n">
        <v>99.069</v>
      </c>
      <c r="AG186" s="253" t="n">
        <v>98.8</v>
      </c>
      <c r="AH186" s="253" t="n">
        <v>98.8</v>
      </c>
      <c r="AI186" s="253" t="n">
        <v>98.59999999999999</v>
      </c>
      <c r="AJ186" s="253" t="n">
        <v>98.40000000000001</v>
      </c>
      <c r="AK186" s="253" t="n">
        <v>98.7</v>
      </c>
      <c r="AL186" s="253" t="n">
        <v>97.90000000000001</v>
      </c>
      <c r="AM186" s="254">
        <f>AM185+(AL186-AL185)</f>
        <v/>
      </c>
      <c r="AN186" s="254">
        <f>AN185+(AL186-AL185)</f>
        <v/>
      </c>
      <c r="AO186" s="254">
        <f>AO185+(AL186-AL185)</f>
        <v/>
      </c>
      <c r="AP186" s="254">
        <f>AVERAGE(AL186,AM186,AN186,AO186)</f>
        <v/>
      </c>
      <c r="AQ186" s="254">
        <f>AQ185+AQ391</f>
        <v/>
      </c>
      <c r="AR186" s="254">
        <f>AR185+AR391</f>
        <v/>
      </c>
      <c r="AS186" s="254">
        <f>AS185+AS391</f>
        <v/>
      </c>
      <c r="AT186" s="254">
        <f>AT185+AT391</f>
        <v/>
      </c>
      <c r="AU186" s="19" t="n"/>
      <c r="AW186" s="20">
        <f>IFERROR((AT186/AK186)^(1/5)-1,"n/m")</f>
        <v/>
      </c>
      <c r="AX186" s="20">
        <f>IFERROR((AK186/L186)^(1/5)-1,"n/m")</f>
        <v/>
      </c>
      <c r="AY186" s="20">
        <f>IFERROR((AK186/G186)^(1/10)-1,"n/m")</f>
        <v/>
      </c>
      <c r="AZ186" s="20">
        <f>IFERROR((AK186/C186)^(1/14)-1,"n/m")</f>
        <v/>
      </c>
    </row>
    <row r="187" ht="15" customHeight="1" s="251">
      <c r="B187" s="55" t="inlineStr">
        <is>
          <t>EPS – diluted, continuing operations ($)</t>
        </is>
      </c>
      <c r="C187" s="278">
        <f>IF(ISNUMBER(C186),IFERROR(C179/C186,""),"")</f>
        <v/>
      </c>
      <c r="D187" s="278">
        <f>IF(ISNUMBER(D186),IFERROR(D179/D186,""),"")</f>
        <v/>
      </c>
      <c r="E187" s="278">
        <f>IF(ISNUMBER(E186),IFERROR(E179/E186,""),"")</f>
        <v/>
      </c>
      <c r="F187" s="278">
        <f>IF(ISNUMBER(F186),IFERROR(F179/F186,""),"")</f>
        <v/>
      </c>
      <c r="G187" s="278">
        <f>IF(ISNUMBER(G186),IFERROR(G179/G186,""),"")</f>
        <v/>
      </c>
      <c r="H187" s="278">
        <f>IF(ISNUMBER(H186),IFERROR(H179/H186,""),"")</f>
        <v/>
      </c>
      <c r="I187" s="278">
        <f>IF(ISNUMBER(I186),IFERROR(I179/I186,""),"")</f>
        <v/>
      </c>
      <c r="J187" s="278">
        <f>IF(ISNUMBER(J186),IFERROR(J179/J186,""),"")</f>
        <v/>
      </c>
      <c r="K187" s="278">
        <f>IF(ISNUMBER(K186),IFERROR(K179/K186,""),"")</f>
        <v/>
      </c>
      <c r="L187" s="278">
        <f>IF(ISNUMBER(L186),IFERROR(L179/L186,""),"")</f>
        <v/>
      </c>
      <c r="M187" s="278">
        <f>IF(ISNUMBER(M186),IFERROR(M179/M186,""),"")</f>
        <v/>
      </c>
      <c r="N187" s="278">
        <f>IF(ISNUMBER(N186),IFERROR(N179/N186,""),"")</f>
        <v/>
      </c>
      <c r="O187" s="278">
        <f>IF(ISNUMBER(O186),IFERROR(O179/O186,""),"")</f>
        <v/>
      </c>
      <c r="P187" s="278">
        <f>IF(ISNUMBER(P186),IFERROR(P179/P186,""),"")</f>
        <v/>
      </c>
      <c r="Q187" s="278">
        <f>IF(ISNUMBER(Q186),IFERROR(Q179/Q186,""),"")</f>
        <v/>
      </c>
      <c r="R187" s="278">
        <f>IF(ISNUMBER(R186),IFERROR(R179/R186,""),"")</f>
        <v/>
      </c>
      <c r="S187" s="278">
        <f>IF(ISNUMBER(S186),IFERROR(S179/S186,""),"")</f>
        <v/>
      </c>
      <c r="T187" s="278">
        <f>IF(ISNUMBER(T186),IFERROR(T179/T186,""),"")</f>
        <v/>
      </c>
      <c r="U187" s="278">
        <f>IF(ISNUMBER(U186),IFERROR(U179/U186,""),"")</f>
        <v/>
      </c>
      <c r="V187" s="278">
        <f>IF(ISNUMBER(V186),IFERROR(V179/V186,""),"")</f>
        <v/>
      </c>
      <c r="W187" s="278">
        <f>IF(ISNUMBER(W186),IFERROR(W179/W186,""),"")</f>
        <v/>
      </c>
      <c r="X187" s="278">
        <f>IF(ISNUMBER(X186),IFERROR(X179/X186,""),"")</f>
        <v/>
      </c>
      <c r="Y187" s="278">
        <f>IF(ISNUMBER(Y186),IFERROR(Y179/Y186,""),"")</f>
        <v/>
      </c>
      <c r="Z187" s="278">
        <f>IF(ISNUMBER(Z186),IFERROR(Z179/Z186,""),"")</f>
        <v/>
      </c>
      <c r="AA187" s="278">
        <f>IF(ISNUMBER(AA186),IFERROR(AA179/AA186,""),"")</f>
        <v/>
      </c>
      <c r="AB187" s="278">
        <f>IF(ISNUMBER(AB186),IFERROR(AB179/AB186,""),"")</f>
        <v/>
      </c>
      <c r="AC187" s="278">
        <f>IF(ISNUMBER(AC186),IFERROR(AC179/AC186,""),"")</f>
        <v/>
      </c>
      <c r="AD187" s="278">
        <f>IF(ISNUMBER(AD186),IFERROR(AD179/AD186,""),"")</f>
        <v/>
      </c>
      <c r="AE187" s="278">
        <f>IF(ISNUMBER(AE186),IFERROR(AE179/AE186,""),"")</f>
        <v/>
      </c>
      <c r="AF187" s="278">
        <f>IF(ISNUMBER(AF186),IFERROR(AF179/AF186,""),"")</f>
        <v/>
      </c>
      <c r="AG187" s="278">
        <f>IF(ISNUMBER(AG186),IFERROR(AG179/AG186,""),"")</f>
        <v/>
      </c>
      <c r="AH187" s="278">
        <f>IF(ISNUMBER(AH186),IFERROR(AH179/AH186,""),"")</f>
        <v/>
      </c>
      <c r="AI187" s="278">
        <f>IF(ISNUMBER(AI186),IFERROR(AI179/AI186,""),"")</f>
        <v/>
      </c>
      <c r="AJ187" s="278">
        <f>IF(ISNUMBER(AJ186),IFERROR(AJ179/AJ186,""),"")</f>
        <v/>
      </c>
      <c r="AK187" s="278">
        <f>IF(ISNUMBER(AK186),IFERROR(AK179/AK186,""),"")</f>
        <v/>
      </c>
      <c r="AL187" s="278">
        <f>IF(ISNUMBER(AL186),IFERROR(AL179/AL186,""),"")</f>
        <v/>
      </c>
      <c r="AM187" s="278">
        <f>IF(ISNUMBER(AM186),IFERROR(AM179/AM186,""),"")</f>
        <v/>
      </c>
      <c r="AN187" s="278">
        <f>IF(ISNUMBER(AN186),IFERROR(AN179/AN186,""),"")</f>
        <v/>
      </c>
      <c r="AO187" s="278">
        <f>IF(ISNUMBER(AO186),IFERROR(AO179/AO186,""),"")</f>
        <v/>
      </c>
      <c r="AP187" s="278">
        <f>IF(ISNUMBER(AP186),IFERROR(AP179/AP186,""),"")</f>
        <v/>
      </c>
      <c r="AQ187" s="278">
        <f>IF(ISNUMBER(AQ186),IFERROR(AQ179/AQ186,""),"")</f>
        <v/>
      </c>
      <c r="AR187" s="278">
        <f>IF(ISNUMBER(AR186),IFERROR(AR179/AR186,""),"")</f>
        <v/>
      </c>
      <c r="AS187" s="278">
        <f>IF(ISNUMBER(AS186),IFERROR(AS179/AS186,""),"")</f>
        <v/>
      </c>
      <c r="AT187" s="278">
        <f>IF(ISNUMBER(AT186),IFERROR(AT179/AT186,""),"")</f>
        <v/>
      </c>
      <c r="AU187" s="19" t="inlineStr">
        <is>
          <t>Net income from continuing operations attributable / weighted diluted shares (±$0.01 vs reported).</t>
        </is>
      </c>
      <c r="AW187" s="20">
        <f>IFERROR((AT187/AK187)^(1/5)-1,"n/m")</f>
        <v/>
      </c>
      <c r="AX187" s="20">
        <f>IFERROR((AK187/L187)^(1/5)-1,"n/m")</f>
        <v/>
      </c>
      <c r="AY187" s="20">
        <f>IFERROR((AK187/G187)^(1/10)-1,"n/m")</f>
        <v/>
      </c>
      <c r="AZ187" s="20">
        <f>IFERROR((AK187/C187)^(1/14)-1,"n/m")</f>
        <v/>
      </c>
    </row>
    <row r="188" ht="15" customHeight="1" s="251">
      <c r="B188" s="22" t="inlineStr">
        <is>
          <t xml:space="preserve">  EPS – diluted (continuing) y/y %</t>
        </is>
      </c>
      <c r="C188" s="23" t="n"/>
      <c r="D188" s="255">
        <f>IF(AND(ISNUMBER(D187),ISNUMBER(C187)),IFERROR(D187/C187-1,""),"")</f>
        <v/>
      </c>
      <c r="E188" s="255">
        <f>IF(AND(ISNUMBER(E187),ISNUMBER(D187)),IFERROR(E187/D187-1,""),"")</f>
        <v/>
      </c>
      <c r="F188" s="255">
        <f>IF(AND(ISNUMBER(F187),ISNUMBER(E187)),IFERROR(F187/E187-1,""),"")</f>
        <v/>
      </c>
      <c r="G188" s="255">
        <f>IF(AND(ISNUMBER(G187),ISNUMBER(F187)),IFERROR(G187/F187-1,""),"")</f>
        <v/>
      </c>
      <c r="H188" s="255">
        <f>IF(AND(ISNUMBER(H187),ISNUMBER(G187)),IFERROR(H187/G187-1,""),"")</f>
        <v/>
      </c>
      <c r="I188" s="255">
        <f>IF(AND(ISNUMBER(I187),ISNUMBER(H187)),IFERROR(I187/H187-1,""),"")</f>
        <v/>
      </c>
      <c r="J188" s="255">
        <f>IF(AND(ISNUMBER(J187),ISNUMBER(I187)),IFERROR(J187/I187-1,""),"")</f>
        <v/>
      </c>
      <c r="K188" s="255">
        <f>IF(AND(ISNUMBER(K187),ISNUMBER(J187)),IFERROR(K187/J187-1,""),"")</f>
        <v/>
      </c>
      <c r="L188" s="255">
        <f>IF(AND(ISNUMBER(L187),ISNUMBER(K187)),IFERROR(L187/K187-1,""),"")</f>
        <v/>
      </c>
      <c r="M188" s="23" t="n"/>
      <c r="N188" s="23" t="n"/>
      <c r="O188" s="23" t="n"/>
      <c r="P188" s="23" t="n"/>
      <c r="Q188" s="255">
        <f>IF(AND(ISNUMBER(Q187),ISNUMBER(L187)),IFERROR(Q187/L187-1,""),"")</f>
        <v/>
      </c>
      <c r="R188" s="255">
        <f>IF(AND(ISNUMBER(R187),ISNUMBER(M187)),IFERROR(R187/M187-1,""),"")</f>
        <v/>
      </c>
      <c r="S188" s="255">
        <f>IF(AND(ISNUMBER(S187),ISNUMBER(N187)),IFERROR(S187/N187-1,""),"")</f>
        <v/>
      </c>
      <c r="T188" s="255">
        <f>IF(AND(ISNUMBER(T187),ISNUMBER(O187)),IFERROR(T187/O187-1,""),"")</f>
        <v/>
      </c>
      <c r="U188" s="255">
        <f>IF(AND(ISNUMBER(U187),ISNUMBER(P187)),IFERROR(U187/P187-1,""),"")</f>
        <v/>
      </c>
      <c r="V188" s="255">
        <f>IF(AND(ISNUMBER(V187),ISNUMBER(Q187)),IFERROR(V187/Q187-1,""),"")</f>
        <v/>
      </c>
      <c r="W188" s="255">
        <f>IF(AND(ISNUMBER(W187),ISNUMBER(R187)),IFERROR(W187/R187-1,""),"")</f>
        <v/>
      </c>
      <c r="X188" s="255">
        <f>IF(AND(ISNUMBER(X187),ISNUMBER(S187)),IFERROR(X187/S187-1,""),"")</f>
        <v/>
      </c>
      <c r="Y188" s="255">
        <f>IF(AND(ISNUMBER(Y187),ISNUMBER(T187)),IFERROR(Y187/T187-1,""),"")</f>
        <v/>
      </c>
      <c r="Z188" s="255">
        <f>IF(AND(ISNUMBER(Z187),ISNUMBER(U187)),IFERROR(Z187/U187-1,""),"")</f>
        <v/>
      </c>
      <c r="AA188" s="255">
        <f>IF(AND(ISNUMBER(AA187),ISNUMBER(V187)),IFERROR(AA187/V187-1,""),"")</f>
        <v/>
      </c>
      <c r="AB188" s="255">
        <f>IF(AND(ISNUMBER(AB187),ISNUMBER(W187)),IFERROR(AB187/W187-1,""),"")</f>
        <v/>
      </c>
      <c r="AC188" s="255">
        <f>IF(AND(ISNUMBER(AC187),ISNUMBER(X187)),IFERROR(AC187/X187-1,""),"")</f>
        <v/>
      </c>
      <c r="AD188" s="255">
        <f>IF(AND(ISNUMBER(AD187),ISNUMBER(Y187)),IFERROR(AD187/Y187-1,""),"")</f>
        <v/>
      </c>
      <c r="AE188" s="255">
        <f>IF(AND(ISNUMBER(AE187),ISNUMBER(Z187)),IFERROR(AE187/Z187-1,""),"")</f>
        <v/>
      </c>
      <c r="AF188" s="255">
        <f>IF(AND(ISNUMBER(AF187),ISNUMBER(AA187)),IFERROR(AF187/AA187-1,""),"")</f>
        <v/>
      </c>
      <c r="AG188" s="255">
        <f>IF(AND(ISNUMBER(AG187),ISNUMBER(AB187)),IFERROR(AG187/AB187-1,""),"")</f>
        <v/>
      </c>
      <c r="AH188" s="255">
        <f>IF(AND(ISNUMBER(AH187),ISNUMBER(AC187)),IFERROR(AH187/AC187-1,""),"")</f>
        <v/>
      </c>
      <c r="AI188" s="255">
        <f>IF(AND(ISNUMBER(AI187),ISNUMBER(AD187)),IFERROR(AI187/AD187-1,""),"")</f>
        <v/>
      </c>
      <c r="AJ188" s="255">
        <f>IF(AND(ISNUMBER(AJ187),ISNUMBER(AE187)),IFERROR(AJ187/AE187-1,""),"")</f>
        <v/>
      </c>
      <c r="AK188" s="255">
        <f>IF(AND(ISNUMBER(AK187),ISNUMBER(AF187)),IFERROR(AK187/AF187-1,""),"")</f>
        <v/>
      </c>
      <c r="AL188" s="255">
        <f>IF(AND(ISNUMBER(AL187),ISNUMBER(AG187)),IFERROR(AL187/AG187-1,""),"")</f>
        <v/>
      </c>
      <c r="AM188" s="256">
        <f>IF(AND(ISNUMBER(AM187),ISNUMBER(AH187)),IFERROR(AM187/AH187-1,""),"")</f>
        <v/>
      </c>
      <c r="AN188" s="256">
        <f>IF(AND(ISNUMBER(AN187),ISNUMBER(AI187)),IFERROR(AN187/AI187-1,""),"")</f>
        <v/>
      </c>
      <c r="AO188" s="256">
        <f>IF(AND(ISNUMBER(AO187),ISNUMBER(AJ187)),IFERROR(AO187/AJ187-1,""),"")</f>
        <v/>
      </c>
      <c r="AP188" s="256">
        <f>IF(AND(ISNUMBER(AP187),ISNUMBER(AK187)),IFERROR(AP187/AK187-1,""),"")</f>
        <v/>
      </c>
      <c r="AQ188" s="256">
        <f>IF(AND(ISNUMBER(AQ187),ISNUMBER(AP187)),IFERROR(AQ187/AP187-1,""),"")</f>
        <v/>
      </c>
      <c r="AR188" s="256">
        <f>IF(AND(ISNUMBER(AR187),ISNUMBER(AQ187)),IFERROR(AR187/AQ187-1,""),"")</f>
        <v/>
      </c>
      <c r="AS188" s="256">
        <f>IF(AND(ISNUMBER(AS187),ISNUMBER(AR187)),IFERROR(AS187/AR187-1,""),"")</f>
        <v/>
      </c>
      <c r="AT188" s="256">
        <f>IF(AND(ISNUMBER(AT187),ISNUMBER(AS187)),IFERROR(AT187/AS187-1,""),"")</f>
        <v/>
      </c>
      <c r="AU188" s="153" t="n"/>
    </row>
    <row r="189" ht="15" customHeight="1" s="251">
      <c r="B189" s="156" t="inlineStr">
        <is>
          <t xml:space="preserve">  Memo: EPS – diluted, continuing operations as reported ($)</t>
        </is>
      </c>
      <c r="C189" s="279" t="n">
        <v>2.31</v>
      </c>
      <c r="D189" s="279" t="n">
        <v>2.72</v>
      </c>
      <c r="E189" s="279" t="n">
        <v>2.17</v>
      </c>
      <c r="F189" s="279" t="n">
        <v>2.25</v>
      </c>
      <c r="G189" s="279" t="n">
        <v>1.56</v>
      </c>
      <c r="H189" s="279" t="n">
        <v>1.28</v>
      </c>
      <c r="I189" s="279" t="n">
        <v>3.39</v>
      </c>
      <c r="J189" s="279" t="n">
        <v>3.56</v>
      </c>
      <c r="K189" s="279" t="n">
        <v>4.76</v>
      </c>
      <c r="L189" s="279" t="n">
        <v>4.63</v>
      </c>
      <c r="M189" s="279" t="n">
        <v>-0.24</v>
      </c>
      <c r="N189" s="279" t="n">
        <v>0.6899999999999999</v>
      </c>
      <c r="O189" s="279" t="n">
        <v>1.42</v>
      </c>
      <c r="P189" s="279" t="n">
        <v>0.52</v>
      </c>
      <c r="Q189" s="279" t="n">
        <v>2.48</v>
      </c>
      <c r="R189" s="279" t="n">
        <v>1.19</v>
      </c>
      <c r="S189" s="279" t="n">
        <v>1.24</v>
      </c>
      <c r="T189" s="279" t="n">
        <v>1.31</v>
      </c>
      <c r="U189" s="279" t="n">
        <v>1.83</v>
      </c>
      <c r="V189" s="279" t="n">
        <v>5.56</v>
      </c>
      <c r="W189" s="279" t="n">
        <v>1.31</v>
      </c>
      <c r="X189" s="279" t="n">
        <v>1.2</v>
      </c>
      <c r="Y189" s="279" t="n">
        <v>1.49</v>
      </c>
      <c r="Z189" s="279" t="n">
        <v>1.54</v>
      </c>
      <c r="AA189" s="279" t="n">
        <v>5.55</v>
      </c>
      <c r="AB189" s="279" t="n">
        <v>1.41</v>
      </c>
      <c r="AC189" s="279" t="n">
        <v>1.51</v>
      </c>
      <c r="AD189" s="279" t="n">
        <v>1.75</v>
      </c>
      <c r="AE189" s="279" t="n">
        <v>1.48</v>
      </c>
      <c r="AF189" s="279" t="n">
        <v>6.16</v>
      </c>
      <c r="AG189" s="279" t="n">
        <v>1.79</v>
      </c>
      <c r="AH189" s="279" t="n">
        <v>1.94</v>
      </c>
      <c r="AI189" s="279" t="n">
        <v>1.96</v>
      </c>
      <c r="AJ189" s="279" t="n">
        <v>2.24</v>
      </c>
      <c r="AK189" s="279" t="n">
        <v>7.93</v>
      </c>
      <c r="AL189" s="279" t="n">
        <v>2.04</v>
      </c>
      <c r="AM189" s="153" t="n"/>
      <c r="AN189" s="153" t="n"/>
      <c r="AO189" s="153" t="n"/>
      <c r="AP189" s="153" t="n"/>
      <c r="AQ189" s="153" t="n"/>
      <c r="AR189" s="153" t="n"/>
      <c r="AS189" s="153" t="n"/>
      <c r="AT189" s="153" t="n"/>
      <c r="AU189" s="153" t="n"/>
    </row>
    <row r="190" ht="15" customHeight="1" s="251">
      <c r="B190" s="57" t="inlineStr">
        <is>
          <t xml:space="preserve">  Check: model vs reported diluted EPS, continuing (should be 0.00; ±0.01 rounding)</t>
        </is>
      </c>
      <c r="C190" s="280">
        <f>IF(AND(ISNUMBER(C189),ISNUMBER(C187)),IF(ABS(C187-C189)&lt;=0.0101,0,ROUND(C187-C189,2)),"n/p")</f>
        <v/>
      </c>
      <c r="D190" s="280">
        <f>IF(AND(ISNUMBER(D189),ISNUMBER(D187)),IF(ABS(D187-D189)&lt;=0.0101,0,ROUND(D187-D189,2)),"n/p")</f>
        <v/>
      </c>
      <c r="E190" s="280">
        <f>IF(AND(ISNUMBER(E189),ISNUMBER(E187)),IF(ABS(E187-E189)&lt;=0.0101,0,ROUND(E187-E189,2)),"n/p")</f>
        <v/>
      </c>
      <c r="F190" s="280">
        <f>IF(AND(ISNUMBER(F189),ISNUMBER(F187)),IF(ABS(F187-F189)&lt;=0.0101,0,ROUND(F187-F189,2)),"n/p")</f>
        <v/>
      </c>
      <c r="G190" s="280">
        <f>IF(AND(ISNUMBER(G189),ISNUMBER(G187)),IF(ABS(G187-G189)&lt;=0.0101,0,ROUND(G187-G189,2)),"n/p")</f>
        <v/>
      </c>
      <c r="H190" s="280">
        <f>IF(AND(ISNUMBER(H189),ISNUMBER(H187)),IF(ABS(H187-H189)&lt;=0.0101,0,ROUND(H187-H189,2)),"n/p")</f>
        <v/>
      </c>
      <c r="I190" s="280">
        <f>IF(AND(ISNUMBER(I189),ISNUMBER(I187)),IF(ABS(I187-I189)&lt;=0.0101,0,ROUND(I187-I189,2)),"n/p")</f>
        <v/>
      </c>
      <c r="J190" s="280">
        <f>IF(AND(ISNUMBER(J189),ISNUMBER(J187)),IF(ABS(J187-J189)&lt;=0.0101,0,ROUND(J187-J189,2)),"n/p")</f>
        <v/>
      </c>
      <c r="K190" s="280">
        <f>IF(AND(ISNUMBER(K189),ISNUMBER(K187)),IF(ABS(K187-K189)&lt;=0.0101,0,ROUND(K187-K189,2)),"n/p")</f>
        <v/>
      </c>
      <c r="L190" s="280">
        <f>IF(AND(ISNUMBER(L189),ISNUMBER(L187)),IF(ABS(L187-L189)&lt;=0.0101,0,ROUND(L187-L189,2)),"n/p")</f>
        <v/>
      </c>
      <c r="M190" s="280">
        <f>IF(AND(ISNUMBER(M189),ISNUMBER(M187)),IF(ABS(M187-M189)&lt;=0.0101,0,ROUND(M187-M189,2)),"n/p")</f>
        <v/>
      </c>
      <c r="N190" s="280">
        <f>IF(AND(ISNUMBER(N189),ISNUMBER(N187)),IF(ABS(N187-N189)&lt;=0.0101,0,ROUND(N187-N189,2)),"n/p")</f>
        <v/>
      </c>
      <c r="O190" s="280">
        <f>IF(AND(ISNUMBER(O189),ISNUMBER(O187)),IF(ABS(O187-O189)&lt;=0.0101,0,ROUND(O187-O189,2)),"n/p")</f>
        <v/>
      </c>
      <c r="P190" s="280">
        <f>IF(AND(ISNUMBER(P189),ISNUMBER(P187)),IF(ABS(P187-P189)&lt;=0.0101,0,ROUND(P187-P189,2)),"n/p")</f>
        <v/>
      </c>
      <c r="Q190" s="280">
        <f>IF(AND(ISNUMBER(Q189),ISNUMBER(Q187)),IF(ABS(Q187-Q189)&lt;=0.0101,0,ROUND(Q187-Q189,2)),"n/p")</f>
        <v/>
      </c>
      <c r="R190" s="280">
        <f>IF(AND(ISNUMBER(R189),ISNUMBER(R187)),IF(ABS(R187-R189)&lt;=0.0101,0,ROUND(R187-R189,2)),"n/p")</f>
        <v/>
      </c>
      <c r="S190" s="280">
        <f>IF(AND(ISNUMBER(S189),ISNUMBER(S187)),IF(ABS(S187-S189)&lt;=0.0101,0,ROUND(S187-S189,2)),"n/p")</f>
        <v/>
      </c>
      <c r="T190" s="280">
        <f>IF(AND(ISNUMBER(T189),ISNUMBER(T187)),IF(ABS(T187-T189)&lt;=0.0101,0,ROUND(T187-T189,2)),"n/p")</f>
        <v/>
      </c>
      <c r="U190" s="280">
        <f>IF(AND(ISNUMBER(U189),ISNUMBER(U187)),IF(ABS(U187-U189)&lt;=0.0101,0,ROUND(U187-U189,2)),"n/p")</f>
        <v/>
      </c>
      <c r="V190" s="280">
        <f>IF(AND(ISNUMBER(V189),ISNUMBER(V187)),IF(ABS(V187-V189)&lt;=0.0101,0,ROUND(V187-V189,2)),"n/p")</f>
        <v/>
      </c>
      <c r="W190" s="280">
        <f>IF(AND(ISNUMBER(W189),ISNUMBER(W187)),IF(ABS(W187-W189)&lt;=0.0101,0,ROUND(W187-W189,2)),"n/p")</f>
        <v/>
      </c>
      <c r="X190" s="280">
        <f>IF(AND(ISNUMBER(X189),ISNUMBER(X187)),IF(ABS(X187-X189)&lt;=0.0101,0,ROUND(X187-X189,2)),"n/p")</f>
        <v/>
      </c>
      <c r="Y190" s="280">
        <f>IF(AND(ISNUMBER(Y189),ISNUMBER(Y187)),IF(ABS(Y187-Y189)&lt;=0.0101,0,ROUND(Y187-Y189,2)),"n/p")</f>
        <v/>
      </c>
      <c r="Z190" s="280">
        <f>IF(AND(ISNUMBER(Z189),ISNUMBER(Z187)),IF(ABS(Z187-Z189)&lt;=0.0101,0,ROUND(Z187-Z189,2)),"n/p")</f>
        <v/>
      </c>
      <c r="AA190" s="280">
        <f>IF(AND(ISNUMBER(AA189),ISNUMBER(AA187)),IF(ABS(AA187-AA189)&lt;=0.0101,0,ROUND(AA187-AA189,2)),"n/p")</f>
        <v/>
      </c>
      <c r="AB190" s="280">
        <f>IF(AND(ISNUMBER(AB189),ISNUMBER(AB187)),IF(ABS(AB187-AB189)&lt;=0.0101,0,ROUND(AB187-AB189,2)),"n/p")</f>
        <v/>
      </c>
      <c r="AC190" s="280">
        <f>IF(AND(ISNUMBER(AC189),ISNUMBER(AC187)),IF(ABS(AC187-AC189)&lt;=0.0101,0,ROUND(AC187-AC189,2)),"n/p")</f>
        <v/>
      </c>
      <c r="AD190" s="280">
        <f>IF(AND(ISNUMBER(AD189),ISNUMBER(AD187)),IF(ABS(AD187-AD189)&lt;=0.0101,0,ROUND(AD187-AD189,2)),"n/p")</f>
        <v/>
      </c>
      <c r="AE190" s="280">
        <f>IF(AND(ISNUMBER(AE189),ISNUMBER(AE187)),IF(ABS(AE187-AE189)&lt;=0.0101,0,ROUND(AE187-AE189,2)),"n/p")</f>
        <v/>
      </c>
      <c r="AF190" s="280">
        <f>IF(AND(ISNUMBER(AF189),ISNUMBER(AF187)),IF(ABS(AF187-AF189)&lt;=0.0101,0,ROUND(AF187-AF189,2)),"n/p")</f>
        <v/>
      </c>
      <c r="AG190" s="280">
        <f>IF(AND(ISNUMBER(AG189),ISNUMBER(AG187)),IF(ABS(AG187-AG189)&lt;=0.0101,0,ROUND(AG187-AG189,2)),"n/p")</f>
        <v/>
      </c>
      <c r="AH190" s="280">
        <f>IF(AND(ISNUMBER(AH189),ISNUMBER(AH187)),IF(ABS(AH187-AH189)&lt;=0.0101,0,ROUND(AH187-AH189,2)),"n/p")</f>
        <v/>
      </c>
      <c r="AI190" s="280">
        <f>IF(AND(ISNUMBER(AI189),ISNUMBER(AI187)),IF(ABS(AI187-AI189)&lt;=0.0101,0,ROUND(AI187-AI189,2)),"n/p")</f>
        <v/>
      </c>
      <c r="AJ190" s="280">
        <f>IF(AND(ISNUMBER(AJ189),ISNUMBER(AJ187)),IF(ABS(AJ187-AJ189)&lt;=0.0101,0,ROUND(AJ187-AJ189,2)),"n/p")</f>
        <v/>
      </c>
      <c r="AK190" s="280">
        <f>IF(AND(ISNUMBER(AK189),ISNUMBER(AK187)),IF(ABS(AK187-AK189)&lt;=0.0101,0,ROUND(AK187-AK189,2)),"n/p")</f>
        <v/>
      </c>
      <c r="AL190" s="280">
        <f>IF(AND(ISNUMBER(AL189),ISNUMBER(AL187)),IF(ABS(AL187-AL189)&lt;=0.0101,0,ROUND(AL187-AL189,2)),"n/p")</f>
        <v/>
      </c>
      <c r="AM190" s="153" t="n"/>
      <c r="AN190" s="153" t="n"/>
      <c r="AO190" s="153" t="n"/>
      <c r="AP190" s="153" t="n"/>
      <c r="AQ190" s="153" t="n"/>
      <c r="AR190" s="153" t="n"/>
      <c r="AS190" s="153" t="n"/>
      <c r="AT190" s="153" t="n"/>
      <c r="AU190" s="153" t="n"/>
    </row>
    <row r="191" ht="15" customHeight="1" s="251">
      <c r="B191" s="25" t="inlineStr">
        <is>
          <t>EPS – diluted, total incl. discontinued operations ($)</t>
        </is>
      </c>
      <c r="C191" s="280">
        <f>IF(ISNUMBER(C186),IFERROR(C178/C186,""),"")</f>
        <v/>
      </c>
      <c r="D191" s="280">
        <f>IF(ISNUMBER(D186),IFERROR(D178/D186,""),"")</f>
        <v/>
      </c>
      <c r="E191" s="280">
        <f>IF(ISNUMBER(E186),IFERROR(E178/E186,""),"")</f>
        <v/>
      </c>
      <c r="F191" s="280">
        <f>IF(ISNUMBER(F186),IFERROR(F178/F186,""),"")</f>
        <v/>
      </c>
      <c r="G191" s="280">
        <f>IF(ISNUMBER(G186),IFERROR(G178/G186,""),"")</f>
        <v/>
      </c>
      <c r="H191" s="280">
        <f>IF(ISNUMBER(H186),IFERROR(H178/H186,""),"")</f>
        <v/>
      </c>
      <c r="I191" s="280">
        <f>IF(ISNUMBER(I186),IFERROR(I178/I186,""),"")</f>
        <v/>
      </c>
      <c r="J191" s="280">
        <f>IF(ISNUMBER(J186),IFERROR(J178/J186,""),"")</f>
        <v/>
      </c>
      <c r="K191" s="280">
        <f>IF(ISNUMBER(K186),IFERROR(K178/K186,""),"")</f>
        <v/>
      </c>
      <c r="L191" s="280">
        <f>IF(ISNUMBER(L186),IFERROR(L178/L186,""),"")</f>
        <v/>
      </c>
      <c r="M191" s="280">
        <f>IF(ISNUMBER(M186),IFERROR(M178/M186,""),"")</f>
        <v/>
      </c>
      <c r="N191" s="280">
        <f>IF(ISNUMBER(N186),IFERROR(N178/N186,""),"")</f>
        <v/>
      </c>
      <c r="O191" s="280">
        <f>IF(ISNUMBER(O186),IFERROR(O178/O186,""),"")</f>
        <v/>
      </c>
      <c r="P191" s="280">
        <f>IF(ISNUMBER(P186),IFERROR(P178/P186,""),"")</f>
        <v/>
      </c>
      <c r="Q191" s="280">
        <f>IF(ISNUMBER(Q186),IFERROR(Q178/Q186,""),"")</f>
        <v/>
      </c>
      <c r="R191" s="280">
        <f>IF(ISNUMBER(R186),IFERROR(R178/R186,""),"")</f>
        <v/>
      </c>
      <c r="S191" s="280">
        <f>IF(ISNUMBER(S186),IFERROR(S178/S186,""),"")</f>
        <v/>
      </c>
      <c r="T191" s="280">
        <f>IF(ISNUMBER(T186),IFERROR(T178/T186,""),"")</f>
        <v/>
      </c>
      <c r="U191" s="280">
        <f>IF(ISNUMBER(U186),IFERROR(U178/U186,""),"")</f>
        <v/>
      </c>
      <c r="V191" s="280">
        <f>IF(ISNUMBER(V186),IFERROR(V178/V186,""),"")</f>
        <v/>
      </c>
      <c r="W191" s="280">
        <f>IF(ISNUMBER(W186),IFERROR(W178/W186,""),"")</f>
        <v/>
      </c>
      <c r="X191" s="280">
        <f>IF(ISNUMBER(X186),IFERROR(X178/X186,""),"")</f>
        <v/>
      </c>
      <c r="Y191" s="280">
        <f>IF(ISNUMBER(Y186),IFERROR(Y178/Y186,""),"")</f>
        <v/>
      </c>
      <c r="Z191" s="280">
        <f>IF(ISNUMBER(Z186),IFERROR(Z178/Z186,""),"")</f>
        <v/>
      </c>
      <c r="AA191" s="280">
        <f>IF(ISNUMBER(AA186),IFERROR(AA178/AA186,""),"")</f>
        <v/>
      </c>
      <c r="AB191" s="280">
        <f>IF(ISNUMBER(AB186),IFERROR(AB178/AB186,""),"")</f>
        <v/>
      </c>
      <c r="AC191" s="280">
        <f>IF(ISNUMBER(AC186),IFERROR(AC178/AC186,""),"")</f>
        <v/>
      </c>
      <c r="AD191" s="280">
        <f>IF(ISNUMBER(AD186),IFERROR(AD178/AD186,""),"")</f>
        <v/>
      </c>
      <c r="AE191" s="280">
        <f>IF(ISNUMBER(AE186),IFERROR(AE178/AE186,""),"")</f>
        <v/>
      </c>
      <c r="AF191" s="280">
        <f>IF(ISNUMBER(AF186),IFERROR(AF178/AF186,""),"")</f>
        <v/>
      </c>
      <c r="AG191" s="280">
        <f>IF(ISNUMBER(AG186),IFERROR(AG178/AG186,""),"")</f>
        <v/>
      </c>
      <c r="AH191" s="280">
        <f>IF(ISNUMBER(AH186),IFERROR(AH178/AH186,""),"")</f>
        <v/>
      </c>
      <c r="AI191" s="280">
        <f>IF(ISNUMBER(AI186),IFERROR(AI178/AI186,""),"")</f>
        <v/>
      </c>
      <c r="AJ191" s="280">
        <f>IF(ISNUMBER(AJ186),IFERROR(AJ178/AJ186,""),"")</f>
        <v/>
      </c>
      <c r="AK191" s="280">
        <f>IF(ISNUMBER(AK186),IFERROR(AK178/AK186,""),"")</f>
        <v/>
      </c>
      <c r="AL191" s="280">
        <f>IF(ISNUMBER(AL186),IFERROR(AL178/AL186,""),"")</f>
        <v/>
      </c>
      <c r="AM191" s="281">
        <f>IF(ISNUMBER(AM186),IFERROR(AM178/AM186,""),"")</f>
        <v/>
      </c>
      <c r="AN191" s="281">
        <f>IF(ISNUMBER(AN186),IFERROR(AN178/AN186,""),"")</f>
        <v/>
      </c>
      <c r="AO191" s="281">
        <f>IF(ISNUMBER(AO186),IFERROR(AO178/AO186,""),"")</f>
        <v/>
      </c>
      <c r="AP191" s="281">
        <f>IF(ISNUMBER(AP186),IFERROR(AP178/AP186,""),"")</f>
        <v/>
      </c>
      <c r="AQ191" s="281">
        <f>IF(ISNUMBER(AQ186),IFERROR(AQ178/AQ186,""),"")</f>
        <v/>
      </c>
      <c r="AR191" s="281">
        <f>IF(ISNUMBER(AR186),IFERROR(AR178/AR186,""),"")</f>
        <v/>
      </c>
      <c r="AS191" s="281">
        <f>IF(ISNUMBER(AS186),IFERROR(AS178/AS186,""),"")</f>
        <v/>
      </c>
      <c r="AT191" s="281">
        <f>IF(ISNUMBER(AT186),IFERROR(AT178/AT186,""),"")</f>
        <v/>
      </c>
      <c r="AU191" s="153" t="n"/>
    </row>
    <row r="192" ht="15" customHeight="1" s="251">
      <c r="B192" s="25" t="inlineStr">
        <is>
          <t xml:space="preserve">  Dividends declared per share ($)</t>
        </is>
      </c>
      <c r="C192" s="279" t="n">
        <v>0.66</v>
      </c>
      <c r="D192" s="279" t="n">
        <v>0.74</v>
      </c>
      <c r="E192" s="279" t="n">
        <v>0.82</v>
      </c>
      <c r="F192" s="279" t="n">
        <v>0.9</v>
      </c>
      <c r="G192" s="279" t="n">
        <v>0.98</v>
      </c>
      <c r="H192" s="279" t="n">
        <v>1.09</v>
      </c>
      <c r="I192" s="279" t="n">
        <v>1.21</v>
      </c>
      <c r="J192" s="279" t="n">
        <v>1.33</v>
      </c>
      <c r="K192" s="279" t="n">
        <v>1.45</v>
      </c>
      <c r="L192" s="279" t="n">
        <v>1.57</v>
      </c>
      <c r="M192" s="279" t="n">
        <v>0.4</v>
      </c>
      <c r="N192" s="279" t="n">
        <v>0.43</v>
      </c>
      <c r="O192" s="279" t="n">
        <v>0.43</v>
      </c>
      <c r="P192" s="279" t="n">
        <v>0.43</v>
      </c>
      <c r="Q192" s="279" t="n">
        <v>1.69</v>
      </c>
      <c r="R192" s="279" t="n">
        <v>0.43</v>
      </c>
      <c r="S192" s="279" t="n">
        <v>0.47</v>
      </c>
      <c r="T192" s="279" t="n">
        <v>0.47</v>
      </c>
      <c r="U192" s="279" t="n">
        <v>0.47</v>
      </c>
      <c r="V192" s="279" t="n">
        <v>1.84</v>
      </c>
      <c r="W192" s="279" t="n">
        <v>0.47</v>
      </c>
      <c r="X192" s="279" t="n">
        <v>0.52</v>
      </c>
      <c r="Y192" s="279" t="n">
        <v>0.52</v>
      </c>
      <c r="Z192" s="279" t="n">
        <v>0.52</v>
      </c>
      <c r="AA192" s="279" t="n">
        <v>2.03</v>
      </c>
      <c r="AB192" s="279" t="n">
        <v>0.52</v>
      </c>
      <c r="AC192" s="279" t="n">
        <v>0.57</v>
      </c>
      <c r="AD192" s="279" t="n">
        <v>0.57</v>
      </c>
      <c r="AE192" s="279" t="n">
        <v>0.57</v>
      </c>
      <c r="AF192" s="279" t="n">
        <v>2.23</v>
      </c>
      <c r="AG192" s="279" t="n">
        <v>0.57</v>
      </c>
      <c r="AH192" s="279" t="n">
        <v>0.63</v>
      </c>
      <c r="AI192" s="279" t="n">
        <v>0.63</v>
      </c>
      <c r="AJ192" s="279" t="n">
        <v>0.63</v>
      </c>
      <c r="AK192" s="279" t="n">
        <v>2.46</v>
      </c>
      <c r="AL192" s="279" t="n">
        <v>0.63</v>
      </c>
      <c r="AM192" s="282" t="n">
        <v>0.63</v>
      </c>
      <c r="AN192" s="282" t="n">
        <v>0.63</v>
      </c>
      <c r="AO192" s="282" t="n">
        <v>0.63</v>
      </c>
      <c r="AP192" s="281">
        <f>SUM(AL192,AM192,AN192,AO192)</f>
        <v/>
      </c>
      <c r="AQ192" s="281">
        <f>AP192*(1+AQ193)</f>
        <v/>
      </c>
      <c r="AR192" s="281">
        <f>AQ192*(1+AR193)</f>
        <v/>
      </c>
      <c r="AS192" s="281">
        <f>AR192*(1+AS193)</f>
        <v/>
      </c>
      <c r="AT192" s="281">
        <f>AS192*(1+AT193)</f>
        <v/>
      </c>
      <c r="AU192" s="19" t="inlineStr">
        <is>
          <t>Quarterly dividend $0.63 from Q1/27 (raised each August). 2028E+: prior year × (1 + growth).</t>
        </is>
      </c>
      <c r="AW192" s="20">
        <f>IFERROR((AT192/AK192)^(1/5)-1,"n/m")</f>
        <v/>
      </c>
      <c r="AX192" s="20">
        <f>IFERROR((AK192/L192)^(1/5)-1,"n/m")</f>
        <v/>
      </c>
      <c r="AY192" s="20">
        <f>IFERROR((AK192/G192)^(1/10)-1,"n/m")</f>
        <v/>
      </c>
      <c r="AZ192" s="20">
        <f>IFERROR((AK192/C192)^(1/14)-1,"n/m")</f>
        <v/>
      </c>
    </row>
    <row r="193" ht="15" customHeight="1" s="251">
      <c r="B193" s="25" t="inlineStr">
        <is>
          <t xml:space="preserve">  Dividend per share growth %</t>
        </is>
      </c>
      <c r="C193" s="36" t="n"/>
      <c r="D193" s="215">
        <f>IF(AND(ISNUMBER(D192),ISNUMBER(C192)),IFERROR(D192/C192-1,""),"")</f>
        <v/>
      </c>
      <c r="E193" s="215">
        <f>IF(AND(ISNUMBER(E192),ISNUMBER(D192)),IFERROR(E192/D192-1,""),"")</f>
        <v/>
      </c>
      <c r="F193" s="215">
        <f>IF(AND(ISNUMBER(F192),ISNUMBER(E192)),IFERROR(F192/E192-1,""),"")</f>
        <v/>
      </c>
      <c r="G193" s="215">
        <f>IF(AND(ISNUMBER(G192),ISNUMBER(F192)),IFERROR(G192/F192-1,""),"")</f>
        <v/>
      </c>
      <c r="H193" s="215">
        <f>IF(AND(ISNUMBER(H192),ISNUMBER(G192)),IFERROR(H192/G192-1,""),"")</f>
        <v/>
      </c>
      <c r="I193" s="215">
        <f>IF(AND(ISNUMBER(I192),ISNUMBER(H192)),IFERROR(I192/H192-1,""),"")</f>
        <v/>
      </c>
      <c r="J193" s="215">
        <f>IF(AND(ISNUMBER(J192),ISNUMBER(I192)),IFERROR(J192/I192-1,""),"")</f>
        <v/>
      </c>
      <c r="K193" s="215">
        <f>IF(AND(ISNUMBER(K192),ISNUMBER(J192)),IFERROR(K192/J192-1,""),"")</f>
        <v/>
      </c>
      <c r="L193" s="215">
        <f>IF(AND(ISNUMBER(L192),ISNUMBER(K192)),IFERROR(L192/K192-1,""),"")</f>
        <v/>
      </c>
      <c r="M193" s="36" t="n"/>
      <c r="N193" s="36" t="n"/>
      <c r="O193" s="36" t="n"/>
      <c r="P193" s="36" t="n"/>
      <c r="Q193" s="215">
        <f>IF(AND(ISNUMBER(Q192),ISNUMBER(L192)),IFERROR(Q192/L192-1,""),"")</f>
        <v/>
      </c>
      <c r="R193" s="215">
        <f>IF(AND(ISNUMBER(R192),ISNUMBER(M192)),IFERROR(R192/M192-1,""),"")</f>
        <v/>
      </c>
      <c r="S193" s="215">
        <f>IF(AND(ISNUMBER(S192),ISNUMBER(N192)),IFERROR(S192/N192-1,""),"")</f>
        <v/>
      </c>
      <c r="T193" s="215">
        <f>IF(AND(ISNUMBER(T192),ISNUMBER(O192)),IFERROR(T192/O192-1,""),"")</f>
        <v/>
      </c>
      <c r="U193" s="215">
        <f>IF(AND(ISNUMBER(U192),ISNUMBER(P192)),IFERROR(U192/P192-1,""),"")</f>
        <v/>
      </c>
      <c r="V193" s="215">
        <f>IF(AND(ISNUMBER(V192),ISNUMBER(Q192)),IFERROR(V192/Q192-1,""),"")</f>
        <v/>
      </c>
      <c r="W193" s="215">
        <f>IF(AND(ISNUMBER(W192),ISNUMBER(R192)),IFERROR(W192/R192-1,""),"")</f>
        <v/>
      </c>
      <c r="X193" s="215">
        <f>IF(AND(ISNUMBER(X192),ISNUMBER(S192)),IFERROR(X192/S192-1,""),"")</f>
        <v/>
      </c>
      <c r="Y193" s="215">
        <f>IF(AND(ISNUMBER(Y192),ISNUMBER(T192)),IFERROR(Y192/T192-1,""),"")</f>
        <v/>
      </c>
      <c r="Z193" s="215">
        <f>IF(AND(ISNUMBER(Z192),ISNUMBER(U192)),IFERROR(Z192/U192-1,""),"")</f>
        <v/>
      </c>
      <c r="AA193" s="215">
        <f>IF(AND(ISNUMBER(AA192),ISNUMBER(V192)),IFERROR(AA192/V192-1,""),"")</f>
        <v/>
      </c>
      <c r="AB193" s="215">
        <f>IF(AND(ISNUMBER(AB192),ISNUMBER(W192)),IFERROR(AB192/W192-1,""),"")</f>
        <v/>
      </c>
      <c r="AC193" s="215">
        <f>IF(AND(ISNUMBER(AC192),ISNUMBER(X192)),IFERROR(AC192/X192-1,""),"")</f>
        <v/>
      </c>
      <c r="AD193" s="215">
        <f>IF(AND(ISNUMBER(AD192),ISNUMBER(Y192)),IFERROR(AD192/Y192-1,""),"")</f>
        <v/>
      </c>
      <c r="AE193" s="215">
        <f>IF(AND(ISNUMBER(AE192),ISNUMBER(Z192)),IFERROR(AE192/Z192-1,""),"")</f>
        <v/>
      </c>
      <c r="AF193" s="215">
        <f>IF(AND(ISNUMBER(AF192),ISNUMBER(AA192)),IFERROR(AF192/AA192-1,""),"")</f>
        <v/>
      </c>
      <c r="AG193" s="215">
        <f>IF(AND(ISNUMBER(AG192),ISNUMBER(AB192)),IFERROR(AG192/AB192-1,""),"")</f>
        <v/>
      </c>
      <c r="AH193" s="215">
        <f>IF(AND(ISNUMBER(AH192),ISNUMBER(AC192)),IFERROR(AH192/AC192-1,""),"")</f>
        <v/>
      </c>
      <c r="AI193" s="215">
        <f>IF(AND(ISNUMBER(AI192),ISNUMBER(AD192)),IFERROR(AI192/AD192-1,""),"")</f>
        <v/>
      </c>
      <c r="AJ193" s="215">
        <f>IF(AND(ISNUMBER(AJ192),ISNUMBER(AE192)),IFERROR(AJ192/AE192-1,""),"")</f>
        <v/>
      </c>
      <c r="AK193" s="215">
        <f>IF(AND(ISNUMBER(AK192),ISNUMBER(AF192)),IFERROR(AK192/AF192-1,""),"")</f>
        <v/>
      </c>
      <c r="AL193" s="215">
        <f>IF(AND(ISNUMBER(AL192),ISNUMBER(AG192)),IFERROR(AL192/AG192-1,""),"")</f>
        <v/>
      </c>
      <c r="AM193" s="256">
        <f>IF(AND(ISNUMBER(AM192),ISNUMBER(AH192)),IFERROR(AM192/AH192-1,""),"")</f>
        <v/>
      </c>
      <c r="AN193" s="256">
        <f>IF(AND(ISNUMBER(AN192),ISNUMBER(AI192)),IFERROR(AN192/AI192-1,""),"")</f>
        <v/>
      </c>
      <c r="AO193" s="256">
        <f>IF(AND(ISNUMBER(AO192),ISNUMBER(AJ192)),IFERROR(AO192/AJ192-1,""),"")</f>
        <v/>
      </c>
      <c r="AP193" s="256">
        <f>IF(AND(ISNUMBER(AP192),ISNUMBER(AK192)),IFERROR(AP192/AK192-1,""),"")</f>
        <v/>
      </c>
      <c r="AQ193" s="265" t="n">
        <v>0.08</v>
      </c>
      <c r="AR193" s="265" t="n">
        <v>0.08</v>
      </c>
      <c r="AS193" s="265" t="n">
        <v>0.08</v>
      </c>
      <c r="AT193" s="265" t="n">
        <v>0.08</v>
      </c>
      <c r="AU193" s="19" t="n"/>
    </row>
    <row r="194" ht="15" customHeight="1" s="251">
      <c r="BC194" s="11" t="n"/>
      <c r="BD194" s="12" t="n"/>
      <c r="BE194" s="12" t="n"/>
      <c r="BF194" s="12" t="n"/>
      <c r="BG194" s="13" t="n"/>
    </row>
    <row r="195" ht="15" customHeight="1" s="251">
      <c r="B195" s="10" t="inlineStr">
        <is>
          <t>RECONCILIATION: GAAP INCOME FROM OPERATIONS → ADJUSTED INCOME FROM OPERATIONS (company definition, as published)</t>
        </is>
      </c>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inlineStr">
        <is>
          <t>ADJUSTED OPERATING INCOME — per the release Non-GAAP tables ("Income from Operations" column) and the segment-data adjustments</t>
        </is>
      </c>
    </row>
    <row r="196" ht="15" customHeight="1" s="251">
      <c r="B196" s="16" t="inlineStr">
        <is>
          <t>Income from operations (GAAP)</t>
        </is>
      </c>
      <c r="C196" s="261">
        <f>C167</f>
        <v/>
      </c>
      <c r="D196" s="261">
        <f>D167</f>
        <v/>
      </c>
      <c r="E196" s="261">
        <f>E167</f>
        <v/>
      </c>
      <c r="F196" s="261">
        <f>F167</f>
        <v/>
      </c>
      <c r="G196" s="261">
        <f>G167</f>
        <v/>
      </c>
      <c r="H196" s="261">
        <f>H167</f>
        <v/>
      </c>
      <c r="I196" s="261">
        <f>I167</f>
        <v/>
      </c>
      <c r="J196" s="261">
        <f>J167</f>
        <v/>
      </c>
      <c r="K196" s="261">
        <f>K167</f>
        <v/>
      </c>
      <c r="L196" s="261">
        <f>L167</f>
        <v/>
      </c>
      <c r="M196" s="261">
        <f>M167</f>
        <v/>
      </c>
      <c r="N196" s="261">
        <f>N167</f>
        <v/>
      </c>
      <c r="O196" s="261">
        <f>O167</f>
        <v/>
      </c>
      <c r="P196" s="261">
        <f>P167</f>
        <v/>
      </c>
      <c r="Q196" s="261">
        <f>Q167</f>
        <v/>
      </c>
      <c r="R196" s="261">
        <f>R167</f>
        <v/>
      </c>
      <c r="S196" s="261">
        <f>S167</f>
        <v/>
      </c>
      <c r="T196" s="261">
        <f>T167</f>
        <v/>
      </c>
      <c r="U196" s="261">
        <f>U167</f>
        <v/>
      </c>
      <c r="V196" s="261">
        <f>V167</f>
        <v/>
      </c>
      <c r="W196" s="261">
        <f>W167</f>
        <v/>
      </c>
      <c r="X196" s="261">
        <f>X167</f>
        <v/>
      </c>
      <c r="Y196" s="261">
        <f>Y167</f>
        <v/>
      </c>
      <c r="Z196" s="261">
        <f>Z167</f>
        <v/>
      </c>
      <c r="AA196" s="261">
        <f>AA167</f>
        <v/>
      </c>
      <c r="AB196" s="261">
        <f>AB167</f>
        <v/>
      </c>
      <c r="AC196" s="261">
        <f>AC167</f>
        <v/>
      </c>
      <c r="AD196" s="261">
        <f>AD167</f>
        <v/>
      </c>
      <c r="AE196" s="261">
        <f>AE167</f>
        <v/>
      </c>
      <c r="AF196" s="261">
        <f>AF167</f>
        <v/>
      </c>
      <c r="AG196" s="261">
        <f>AG167</f>
        <v/>
      </c>
      <c r="AH196" s="261">
        <f>AH167</f>
        <v/>
      </c>
      <c r="AI196" s="261">
        <f>AI167</f>
        <v/>
      </c>
      <c r="AJ196" s="261">
        <f>AJ167</f>
        <v/>
      </c>
      <c r="AK196" s="261">
        <f>AK167</f>
        <v/>
      </c>
      <c r="AL196" s="261">
        <f>AL167</f>
        <v/>
      </c>
      <c r="AM196" s="262">
        <f>AM167</f>
        <v/>
      </c>
      <c r="AN196" s="262">
        <f>AN167</f>
        <v/>
      </c>
      <c r="AO196" s="262">
        <f>AO167</f>
        <v/>
      </c>
      <c r="AP196" s="262">
        <f>AP167</f>
        <v/>
      </c>
      <c r="AQ196" s="262">
        <f>AQ167</f>
        <v/>
      </c>
      <c r="AR196" s="262">
        <f>AR167</f>
        <v/>
      </c>
      <c r="AS196" s="262">
        <f>AS167</f>
        <v/>
      </c>
      <c r="AT196" s="262">
        <f>AT167</f>
        <v/>
      </c>
      <c r="AU196" s="153" t="n"/>
    </row>
    <row r="197" ht="15" customHeight="1" s="251">
      <c r="B197" s="25" t="inlineStr">
        <is>
          <t xml:space="preserve">  (+) Amortization (and impairment) of acquired intangible assets</t>
        </is>
      </c>
      <c r="C197" s="263">
        <f>C143</f>
        <v/>
      </c>
      <c r="D197" s="263">
        <f>D143</f>
        <v/>
      </c>
      <c r="E197" s="263">
        <f>E143</f>
        <v/>
      </c>
      <c r="F197" s="263">
        <f>F143</f>
        <v/>
      </c>
      <c r="G197" s="263">
        <f>G143</f>
        <v/>
      </c>
      <c r="H197" s="263">
        <f>H143</f>
        <v/>
      </c>
      <c r="I197" s="263">
        <f>I143</f>
        <v/>
      </c>
      <c r="J197" s="263">
        <f>J143</f>
        <v/>
      </c>
      <c r="K197" s="263">
        <f>K143</f>
        <v/>
      </c>
      <c r="L197" s="263">
        <f>L143</f>
        <v/>
      </c>
      <c r="M197" s="263">
        <f>M143</f>
        <v/>
      </c>
      <c r="N197" s="263">
        <f>N143</f>
        <v/>
      </c>
      <c r="O197" s="263">
        <f>O143</f>
        <v/>
      </c>
      <c r="P197" s="263">
        <f>P143</f>
        <v/>
      </c>
      <c r="Q197" s="263">
        <f>Q143</f>
        <v/>
      </c>
      <c r="R197" s="263">
        <f>R143</f>
        <v/>
      </c>
      <c r="S197" s="263">
        <f>S143</f>
        <v/>
      </c>
      <c r="T197" s="263">
        <f>T143</f>
        <v/>
      </c>
      <c r="U197" s="263">
        <f>U143</f>
        <v/>
      </c>
      <c r="V197" s="263">
        <f>V143</f>
        <v/>
      </c>
      <c r="W197" s="263">
        <f>W143</f>
        <v/>
      </c>
      <c r="X197" s="263">
        <f>X143</f>
        <v/>
      </c>
      <c r="Y197" s="263">
        <f>Y143</f>
        <v/>
      </c>
      <c r="Z197" s="263">
        <f>Z143</f>
        <v/>
      </c>
      <c r="AA197" s="263">
        <f>AA143</f>
        <v/>
      </c>
      <c r="AB197" s="263">
        <f>AB143</f>
        <v/>
      </c>
      <c r="AC197" s="263">
        <f>AC143</f>
        <v/>
      </c>
      <c r="AD197" s="263">
        <f>AD143</f>
        <v/>
      </c>
      <c r="AE197" s="263">
        <f>AE143</f>
        <v/>
      </c>
      <c r="AF197" s="263">
        <f>AF143</f>
        <v/>
      </c>
      <c r="AG197" s="263">
        <f>AG143</f>
        <v/>
      </c>
      <c r="AH197" s="263">
        <f>AH143</f>
        <v/>
      </c>
      <c r="AI197" s="263">
        <f>AI143</f>
        <v/>
      </c>
      <c r="AJ197" s="263">
        <f>AJ143</f>
        <v/>
      </c>
      <c r="AK197" s="263">
        <f>AK143</f>
        <v/>
      </c>
      <c r="AL197" s="263">
        <f>AL143</f>
        <v/>
      </c>
      <c r="AM197" s="254">
        <f>AM143</f>
        <v/>
      </c>
      <c r="AN197" s="254">
        <f>AN143</f>
        <v/>
      </c>
      <c r="AO197" s="254">
        <f>AO143</f>
        <v/>
      </c>
      <c r="AP197" s="254">
        <f>AP143</f>
        <v/>
      </c>
      <c r="AQ197" s="254">
        <f>AQ143</f>
        <v/>
      </c>
      <c r="AR197" s="254">
        <f>AR143</f>
        <v/>
      </c>
      <c r="AS197" s="254">
        <f>AS143</f>
        <v/>
      </c>
      <c r="AT197" s="254">
        <f>AT143</f>
        <v/>
      </c>
      <c r="AU197" s="19" t="n"/>
    </row>
    <row r="198" ht="15" customHeight="1" s="251">
      <c r="B198" s="25" t="inlineStr">
        <is>
          <t xml:space="preserve">  (+) Acquisition &amp; integration-related charges (incl. contingent-consideration fair value)</t>
        </is>
      </c>
      <c r="C198" s="263">
        <f>C151</f>
        <v/>
      </c>
      <c r="D198" s="263">
        <f>D151</f>
        <v/>
      </c>
      <c r="E198" s="263">
        <f>E151</f>
        <v/>
      </c>
      <c r="F198" s="263">
        <f>F151</f>
        <v/>
      </c>
      <c r="G198" s="263">
        <f>G151</f>
        <v/>
      </c>
      <c r="H198" s="263">
        <f>H151</f>
        <v/>
      </c>
      <c r="I198" s="263">
        <f>I151</f>
        <v/>
      </c>
      <c r="J198" s="263">
        <f>J151</f>
        <v/>
      </c>
      <c r="K198" s="263">
        <f>K151</f>
        <v/>
      </c>
      <c r="L198" s="263">
        <f>L151</f>
        <v/>
      </c>
      <c r="M198" s="263">
        <f>M151</f>
        <v/>
      </c>
      <c r="N198" s="263">
        <f>N151</f>
        <v/>
      </c>
      <c r="O198" s="263">
        <f>O151</f>
        <v/>
      </c>
      <c r="P198" s="263">
        <f>P151</f>
        <v/>
      </c>
      <c r="Q198" s="263">
        <f>Q151</f>
        <v/>
      </c>
      <c r="R198" s="263">
        <f>R151</f>
        <v/>
      </c>
      <c r="S198" s="263">
        <f>S151</f>
        <v/>
      </c>
      <c r="T198" s="263">
        <f>T151</f>
        <v/>
      </c>
      <c r="U198" s="263">
        <f>U151</f>
        <v/>
      </c>
      <c r="V198" s="263">
        <f>V151</f>
        <v/>
      </c>
      <c r="W198" s="263">
        <f>W151</f>
        <v/>
      </c>
      <c r="X198" s="263">
        <f>X151</f>
        <v/>
      </c>
      <c r="Y198" s="263">
        <f>Y151</f>
        <v/>
      </c>
      <c r="Z198" s="263">
        <f>Z151</f>
        <v/>
      </c>
      <c r="AA198" s="263">
        <f>AA151</f>
        <v/>
      </c>
      <c r="AB198" s="263">
        <f>AB151</f>
        <v/>
      </c>
      <c r="AC198" s="263">
        <f>AC151</f>
        <v/>
      </c>
      <c r="AD198" s="263">
        <f>AD151</f>
        <v/>
      </c>
      <c r="AE198" s="263">
        <f>AE151</f>
        <v/>
      </c>
      <c r="AF198" s="263">
        <f>AF151</f>
        <v/>
      </c>
      <c r="AG198" s="263">
        <f>AG151</f>
        <v/>
      </c>
      <c r="AH198" s="263">
        <f>AH151</f>
        <v/>
      </c>
      <c r="AI198" s="263">
        <f>AI151</f>
        <v/>
      </c>
      <c r="AJ198" s="263">
        <f>AJ151</f>
        <v/>
      </c>
      <c r="AK198" s="263">
        <f>AK151</f>
        <v/>
      </c>
      <c r="AL198" s="263">
        <f>AL151</f>
        <v/>
      </c>
      <c r="AM198" s="254">
        <f>AM151</f>
        <v/>
      </c>
      <c r="AN198" s="254">
        <f>AN151</f>
        <v/>
      </c>
      <c r="AO198" s="254">
        <f>AO151</f>
        <v/>
      </c>
      <c r="AP198" s="254">
        <f>AP151</f>
        <v/>
      </c>
      <c r="AQ198" s="254">
        <f>AQ151</f>
        <v/>
      </c>
      <c r="AR198" s="254">
        <f>AR151</f>
        <v/>
      </c>
      <c r="AS198" s="254">
        <f>AS151</f>
        <v/>
      </c>
      <c r="AT198" s="254">
        <f>AT151</f>
        <v/>
      </c>
      <c r="AU198" s="19" t="n"/>
    </row>
    <row r="199" ht="15" customHeight="1" s="251">
      <c r="B199" s="25" t="inlineStr">
        <is>
          <t xml:space="preserve">  (+) Amortization of inventory &amp; property step-up to fair value</t>
        </is>
      </c>
      <c r="C199" s="263">
        <f>C154</f>
        <v/>
      </c>
      <c r="D199" s="263">
        <f>D154</f>
        <v/>
      </c>
      <c r="E199" s="263">
        <f>E154</f>
        <v/>
      </c>
      <c r="F199" s="263">
        <f>F154</f>
        <v/>
      </c>
      <c r="G199" s="263">
        <f>G154</f>
        <v/>
      </c>
      <c r="H199" s="263">
        <f>H154</f>
        <v/>
      </c>
      <c r="I199" s="263">
        <f>I154</f>
        <v/>
      </c>
      <c r="J199" s="263">
        <f>J154</f>
        <v/>
      </c>
      <c r="K199" s="263">
        <f>K154</f>
        <v/>
      </c>
      <c r="L199" s="263">
        <f>L154</f>
        <v/>
      </c>
      <c r="M199" s="263">
        <f>M154</f>
        <v/>
      </c>
      <c r="N199" s="263">
        <f>N154</f>
        <v/>
      </c>
      <c r="O199" s="263">
        <f>O154</f>
        <v/>
      </c>
      <c r="P199" s="263">
        <f>P154</f>
        <v/>
      </c>
      <c r="Q199" s="263">
        <f>Q154</f>
        <v/>
      </c>
      <c r="R199" s="263">
        <f>R154</f>
        <v/>
      </c>
      <c r="S199" s="263">
        <f>S154</f>
        <v/>
      </c>
      <c r="T199" s="263">
        <f>T154</f>
        <v/>
      </c>
      <c r="U199" s="263">
        <f>U154</f>
        <v/>
      </c>
      <c r="V199" s="263">
        <f>V154</f>
        <v/>
      </c>
      <c r="W199" s="263">
        <f>W154</f>
        <v/>
      </c>
      <c r="X199" s="263">
        <f>X154</f>
        <v/>
      </c>
      <c r="Y199" s="263">
        <f>Y154</f>
        <v/>
      </c>
      <c r="Z199" s="263">
        <f>Z154</f>
        <v/>
      </c>
      <c r="AA199" s="263">
        <f>AA154</f>
        <v/>
      </c>
      <c r="AB199" s="263">
        <f>AB154</f>
        <v/>
      </c>
      <c r="AC199" s="263">
        <f>AC154</f>
        <v/>
      </c>
      <c r="AD199" s="263">
        <f>AD154</f>
        <v/>
      </c>
      <c r="AE199" s="263">
        <f>AE154</f>
        <v/>
      </c>
      <c r="AF199" s="263">
        <f>AF154</f>
        <v/>
      </c>
      <c r="AG199" s="263">
        <f>AG154</f>
        <v/>
      </c>
      <c r="AH199" s="263">
        <f>AH154</f>
        <v/>
      </c>
      <c r="AI199" s="263">
        <f>AI154</f>
        <v/>
      </c>
      <c r="AJ199" s="263">
        <f>AJ154</f>
        <v/>
      </c>
      <c r="AK199" s="263">
        <f>AK154</f>
        <v/>
      </c>
      <c r="AL199" s="263">
        <f>AL154</f>
        <v/>
      </c>
      <c r="AM199" s="254">
        <f>AM154</f>
        <v/>
      </c>
      <c r="AN199" s="254">
        <f>AN154</f>
        <v/>
      </c>
      <c r="AO199" s="254">
        <f>AO154</f>
        <v/>
      </c>
      <c r="AP199" s="254">
        <f>AP154</f>
        <v/>
      </c>
      <c r="AQ199" s="254">
        <f>AQ154</f>
        <v/>
      </c>
      <c r="AR199" s="254">
        <f>AR154</f>
        <v/>
      </c>
      <c r="AS199" s="254">
        <f>AS154</f>
        <v/>
      </c>
      <c r="AT199" s="254">
        <f>AT154</f>
        <v/>
      </c>
      <c r="AU199" s="19" t="n"/>
    </row>
    <row r="200" ht="15" customHeight="1" s="251">
      <c r="B200" s="25" t="inlineStr">
        <is>
          <t xml:space="preserve">  (+) Restructuring charges</t>
        </is>
      </c>
      <c r="C200" s="263">
        <f>C153</f>
        <v/>
      </c>
      <c r="D200" s="263">
        <f>D153</f>
        <v/>
      </c>
      <c r="E200" s="263">
        <f>E153</f>
        <v/>
      </c>
      <c r="F200" s="263">
        <f>F153</f>
        <v/>
      </c>
      <c r="G200" s="263">
        <f>G153</f>
        <v/>
      </c>
      <c r="H200" s="263">
        <f>H153</f>
        <v/>
      </c>
      <c r="I200" s="263">
        <f>I153</f>
        <v/>
      </c>
      <c r="J200" s="263">
        <f>J153</f>
        <v/>
      </c>
      <c r="K200" s="263">
        <f>K153</f>
        <v/>
      </c>
      <c r="L200" s="263">
        <f>L153</f>
        <v/>
      </c>
      <c r="M200" s="263">
        <f>M153</f>
        <v/>
      </c>
      <c r="N200" s="263">
        <f>N153</f>
        <v/>
      </c>
      <c r="O200" s="263">
        <f>O153</f>
        <v/>
      </c>
      <c r="P200" s="263">
        <f>P153</f>
        <v/>
      </c>
      <c r="Q200" s="263">
        <f>Q153</f>
        <v/>
      </c>
      <c r="R200" s="263">
        <f>R153</f>
        <v/>
      </c>
      <c r="S200" s="263">
        <f>S153</f>
        <v/>
      </c>
      <c r="T200" s="263">
        <f>T153</f>
        <v/>
      </c>
      <c r="U200" s="263">
        <f>U153</f>
        <v/>
      </c>
      <c r="V200" s="263">
        <f>V153</f>
        <v/>
      </c>
      <c r="W200" s="263">
        <f>W153</f>
        <v/>
      </c>
      <c r="X200" s="263">
        <f>X153</f>
        <v/>
      </c>
      <c r="Y200" s="263">
        <f>Y153</f>
        <v/>
      </c>
      <c r="Z200" s="263">
        <f>Z153</f>
        <v/>
      </c>
      <c r="AA200" s="263">
        <f>AA153</f>
        <v/>
      </c>
      <c r="AB200" s="263">
        <f>AB153</f>
        <v/>
      </c>
      <c r="AC200" s="263">
        <f>AC153</f>
        <v/>
      </c>
      <c r="AD200" s="263">
        <f>AD153</f>
        <v/>
      </c>
      <c r="AE200" s="263">
        <f>AE153</f>
        <v/>
      </c>
      <c r="AF200" s="263">
        <f>AF153</f>
        <v/>
      </c>
      <c r="AG200" s="263">
        <f>AG153</f>
        <v/>
      </c>
      <c r="AH200" s="263">
        <f>AH153</f>
        <v/>
      </c>
      <c r="AI200" s="263">
        <f>AI153</f>
        <v/>
      </c>
      <c r="AJ200" s="263">
        <f>AJ153</f>
        <v/>
      </c>
      <c r="AK200" s="263">
        <f>AK153</f>
        <v/>
      </c>
      <c r="AL200" s="263">
        <f>AL153</f>
        <v/>
      </c>
      <c r="AM200" s="254">
        <f>AM153</f>
        <v/>
      </c>
      <c r="AN200" s="254">
        <f>AN153</f>
        <v/>
      </c>
      <c r="AO200" s="254">
        <f>AO153</f>
        <v/>
      </c>
      <c r="AP200" s="254">
        <f>AP153</f>
        <v/>
      </c>
      <c r="AQ200" s="254">
        <f>AQ153</f>
        <v/>
      </c>
      <c r="AR200" s="254">
        <f>AR153</f>
        <v/>
      </c>
      <c r="AS200" s="254">
        <f>AS153</f>
        <v/>
      </c>
      <c r="AT200" s="254">
        <f>AT153</f>
        <v/>
      </c>
      <c r="AU200" s="19" t="n"/>
    </row>
    <row r="201" ht="15" customHeight="1" s="251">
      <c r="B201" s="25" t="inlineStr">
        <is>
          <t xml:space="preserve">  (+) Redomiciliation &amp; tax restructuring costs</t>
        </is>
      </c>
      <c r="C201" s="253" t="n">
        <v>0</v>
      </c>
      <c r="D201" s="253" t="n">
        <v>0</v>
      </c>
      <c r="E201" s="253" t="n">
        <v>0</v>
      </c>
      <c r="F201" s="253" t="n">
        <v>0</v>
      </c>
      <c r="G201" s="253" t="n">
        <v>0</v>
      </c>
      <c r="H201" s="253" t="n">
        <v>0</v>
      </c>
      <c r="I201" s="253" t="n">
        <v>0</v>
      </c>
      <c r="J201" s="253" t="n">
        <v>8.782999999999999</v>
      </c>
      <c r="K201" s="253" t="n">
        <v>3.699</v>
      </c>
      <c r="L201" s="253" t="n">
        <v>1.592</v>
      </c>
      <c r="M201" s="253" t="n">
        <v>-0.049</v>
      </c>
      <c r="N201" s="253" t="n">
        <v>0.159</v>
      </c>
      <c r="O201" s="253" t="n">
        <v>0.118</v>
      </c>
      <c r="P201" s="253" t="n">
        <v>0.073</v>
      </c>
      <c r="Q201" s="253" t="n">
        <v>0.301</v>
      </c>
      <c r="R201" s="253" t="n">
        <v>0.173</v>
      </c>
      <c r="S201" s="253" t="n">
        <v>0.077</v>
      </c>
      <c r="T201" s="253" t="n">
        <v>0.282</v>
      </c>
      <c r="U201" s="253" t="n">
        <v>0.129</v>
      </c>
      <c r="V201" s="253" t="n">
        <v>0.661</v>
      </c>
      <c r="W201" s="253" t="n">
        <v>0.008999999999999999</v>
      </c>
      <c r="X201" s="253" t="n">
        <v>0</v>
      </c>
      <c r="Y201" s="253" t="n">
        <v>0.643</v>
      </c>
      <c r="Z201" s="253" t="n">
        <v>-0.032</v>
      </c>
      <c r="AA201" s="253" t="n">
        <v>0.62</v>
      </c>
      <c r="AB201" s="253" t="n">
        <v>0.518</v>
      </c>
      <c r="AC201" s="253" t="n">
        <v>-0.5610000000000001</v>
      </c>
      <c r="AD201" s="253" t="n">
        <v>0.097</v>
      </c>
      <c r="AE201" s="253" t="n">
        <v>0</v>
      </c>
      <c r="AF201" s="253" t="n">
        <v>0.054</v>
      </c>
      <c r="AG201" s="253" t="n">
        <v>0.2</v>
      </c>
      <c r="AH201" s="253" t="n">
        <v>0.3</v>
      </c>
      <c r="AI201" s="253" t="n">
        <v>0</v>
      </c>
      <c r="AJ201" s="253" t="n">
        <v>0</v>
      </c>
      <c r="AK201" s="253" t="n">
        <v>0.5</v>
      </c>
      <c r="AL201" s="253" t="n">
        <v>0.3</v>
      </c>
      <c r="AM201" s="254">
        <f>0</f>
        <v/>
      </c>
      <c r="AN201" s="254">
        <f>0</f>
        <v/>
      </c>
      <c r="AO201" s="254">
        <f>0</f>
        <v/>
      </c>
      <c r="AP201" s="254">
        <f>SUM(AL201,AM201,AN201,AO201)</f>
        <v/>
      </c>
      <c r="AQ201" s="254">
        <f>0</f>
        <v/>
      </c>
      <c r="AR201" s="254">
        <f>0</f>
        <v/>
      </c>
      <c r="AS201" s="254">
        <f>0</f>
        <v/>
      </c>
      <c r="AT201" s="254">
        <f>0</f>
        <v/>
      </c>
      <c r="AU201" s="19" t="n"/>
    </row>
    <row r="202" ht="15" customHeight="1" s="251">
      <c r="B202" s="25" t="inlineStr">
        <is>
          <t xml:space="preserve">  (+) Net loss (gain) on divestiture of businesses</t>
        </is>
      </c>
      <c r="C202" s="253" t="n">
        <v>0</v>
      </c>
      <c r="D202" s="253" t="n">
        <v>0</v>
      </c>
      <c r="E202" s="253" t="n">
        <v>0</v>
      </c>
      <c r="F202" s="253" t="n">
        <v>0</v>
      </c>
      <c r="G202" s="253" t="n">
        <v>0</v>
      </c>
      <c r="H202" s="253" t="n">
        <v>86.574</v>
      </c>
      <c r="I202" s="253" t="n">
        <v>14.547</v>
      </c>
      <c r="J202" s="253" t="n">
        <v>-1.37</v>
      </c>
      <c r="K202" s="253" t="n">
        <v>1.77</v>
      </c>
      <c r="L202" s="253" t="n">
        <v>2.03</v>
      </c>
      <c r="M202" s="253" t="n">
        <v>0.419</v>
      </c>
      <c r="N202" s="253" t="n">
        <v>-0.015</v>
      </c>
      <c r="O202" s="253" t="n">
        <v>0.489</v>
      </c>
      <c r="P202" s="253" t="n">
        <v>-1.767</v>
      </c>
      <c r="Q202" s="253" t="n">
        <v>-0.874</v>
      </c>
      <c r="R202" s="253" t="n">
        <v>3.878</v>
      </c>
      <c r="S202" s="253" t="n">
        <v>0.899</v>
      </c>
      <c r="T202" s="253" t="n">
        <v>-0.838</v>
      </c>
      <c r="U202" s="253" t="n">
        <v>-4.006</v>
      </c>
      <c r="V202" s="253" t="n">
        <v>-0.067</v>
      </c>
      <c r="W202" s="253" t="n">
        <v>0</v>
      </c>
      <c r="X202" s="253" t="n">
        <v>0</v>
      </c>
      <c r="Y202" s="253" t="n">
        <v>0</v>
      </c>
      <c r="Z202" s="253" t="n">
        <v>0.873</v>
      </c>
      <c r="AA202" s="253" t="n">
        <v>0.873</v>
      </c>
      <c r="AB202" s="253" t="n">
        <v>0</v>
      </c>
      <c r="AC202" s="253" t="n">
        <v>0</v>
      </c>
      <c r="AD202" s="253" t="n">
        <v>0</v>
      </c>
      <c r="AE202" s="253" t="n">
        <v>0</v>
      </c>
      <c r="AF202" s="253" t="n">
        <v>0</v>
      </c>
      <c r="AG202" s="253" t="n">
        <v>0</v>
      </c>
      <c r="AH202" s="253" t="n">
        <v>0</v>
      </c>
      <c r="AI202" s="253" t="n">
        <v>0</v>
      </c>
      <c r="AJ202" s="253" t="n">
        <v>0</v>
      </c>
      <c r="AK202" s="253" t="n">
        <v>0</v>
      </c>
      <c r="AL202" s="253" t="n">
        <v>0</v>
      </c>
      <c r="AM202" s="254">
        <f>0</f>
        <v/>
      </c>
      <c r="AN202" s="254">
        <f>0</f>
        <v/>
      </c>
      <c r="AO202" s="254">
        <f>0</f>
        <v/>
      </c>
      <c r="AP202" s="254">
        <f>SUM(AL202,AM202,AN202,AO202)</f>
        <v/>
      </c>
      <c r="AQ202" s="254">
        <f>0</f>
        <v/>
      </c>
      <c r="AR202" s="254">
        <f>0</f>
        <v/>
      </c>
      <c r="AS202" s="254">
        <f>0</f>
        <v/>
      </c>
      <c r="AT202" s="254">
        <f>0</f>
        <v/>
      </c>
      <c r="AU202" s="19" t="n"/>
    </row>
    <row r="203" ht="15" customHeight="1" s="251">
      <c r="B203" s="25" t="inlineStr">
        <is>
          <t xml:space="preserve">  (+) Goodwill impairment</t>
        </is>
      </c>
      <c r="C203" s="253" t="n">
        <v>0</v>
      </c>
      <c r="D203" s="253" t="n">
        <v>0</v>
      </c>
      <c r="E203" s="253" t="n">
        <v>0</v>
      </c>
      <c r="F203" s="253" t="n">
        <v>0</v>
      </c>
      <c r="G203" s="253" t="n">
        <v>0</v>
      </c>
      <c r="H203" s="253" t="n">
        <v>58.356</v>
      </c>
      <c r="I203" s="253" t="n">
        <v>0</v>
      </c>
      <c r="J203" s="253" t="n">
        <v>0</v>
      </c>
      <c r="K203" s="253" t="n">
        <v>0</v>
      </c>
      <c r="L203" s="253" t="n">
        <v>0</v>
      </c>
      <c r="M203" s="253" t="n">
        <v>0</v>
      </c>
      <c r="N203" s="253" t="n">
        <v>0</v>
      </c>
      <c r="O203" s="253" t="n">
        <v>0</v>
      </c>
      <c r="P203" s="253" t="n">
        <v>0</v>
      </c>
      <c r="Q203" s="253" t="n">
        <v>0</v>
      </c>
      <c r="R203" s="253" t="n">
        <v>0</v>
      </c>
      <c r="S203" s="253" t="n">
        <v>0</v>
      </c>
      <c r="T203" s="253" t="n">
        <v>0</v>
      </c>
      <c r="U203" s="253" t="n">
        <v>0</v>
      </c>
      <c r="V203" s="253" t="n">
        <v>0</v>
      </c>
      <c r="W203" s="253" t="n">
        <v>0</v>
      </c>
      <c r="X203" s="253" t="n">
        <v>0</v>
      </c>
      <c r="Y203" s="253" t="n">
        <v>0</v>
      </c>
      <c r="Z203" s="253" t="n">
        <v>0</v>
      </c>
      <c r="AA203" s="253" t="n">
        <v>0</v>
      </c>
      <c r="AB203" s="253" t="n">
        <v>0</v>
      </c>
      <c r="AC203" s="253" t="n">
        <v>0</v>
      </c>
      <c r="AD203" s="253" t="n">
        <v>0</v>
      </c>
      <c r="AE203" s="253" t="n">
        <v>0</v>
      </c>
      <c r="AF203" s="253" t="n">
        <v>0</v>
      </c>
      <c r="AG203" s="253" t="n">
        <v>0</v>
      </c>
      <c r="AH203" s="253" t="n">
        <v>0</v>
      </c>
      <c r="AI203" s="253" t="n">
        <v>0</v>
      </c>
      <c r="AJ203" s="253" t="n">
        <v>0</v>
      </c>
      <c r="AK203" s="253" t="n">
        <v>0</v>
      </c>
      <c r="AL203" s="253" t="n">
        <v>0</v>
      </c>
      <c r="AM203" s="254">
        <f>0</f>
        <v/>
      </c>
      <c r="AN203" s="254">
        <f>0</f>
        <v/>
      </c>
      <c r="AO203" s="254">
        <f>0</f>
        <v/>
      </c>
      <c r="AP203" s="254">
        <f>SUM(AL203,AM203,AN203,AO203)</f>
        <v/>
      </c>
      <c r="AQ203" s="254">
        <f>0</f>
        <v/>
      </c>
      <c r="AR203" s="254">
        <f>0</f>
        <v/>
      </c>
      <c r="AS203" s="254">
        <f>0</f>
        <v/>
      </c>
      <c r="AT203" s="254">
        <f>0</f>
        <v/>
      </c>
      <c r="AU203" s="19" t="n"/>
    </row>
    <row r="204" ht="15" customHeight="1" s="251">
      <c r="B204" s="25" t="inlineStr">
        <is>
          <t xml:space="preserve">  (+) Litigation &amp; settlements (SYSTEM 1 rebate &amp; class action FY2012–13; Illinois EO settlement FY2025)</t>
        </is>
      </c>
      <c r="C204" s="253" t="n">
        <v>-17.403</v>
      </c>
      <c r="D204" s="253" t="n">
        <v>-40.422</v>
      </c>
      <c r="E204" s="253" t="n">
        <v>0</v>
      </c>
      <c r="F204" s="253" t="n">
        <v>0</v>
      </c>
      <c r="G204" s="253" t="n">
        <v>0</v>
      </c>
      <c r="H204" s="253" t="n">
        <v>0</v>
      </c>
      <c r="I204" s="253" t="n">
        <v>0</v>
      </c>
      <c r="J204" s="253" t="n">
        <v>0</v>
      </c>
      <c r="K204" s="253" t="n">
        <v>0</v>
      </c>
      <c r="L204" s="253" t="n">
        <v>0</v>
      </c>
      <c r="M204" s="253" t="n">
        <v>0</v>
      </c>
      <c r="N204" s="253" t="n">
        <v>0</v>
      </c>
      <c r="O204" s="253" t="n">
        <v>0</v>
      </c>
      <c r="P204" s="253" t="n">
        <v>0</v>
      </c>
      <c r="Q204" s="253" t="n">
        <v>0</v>
      </c>
      <c r="R204" s="253" t="n">
        <v>0</v>
      </c>
      <c r="S204" s="253" t="n">
        <v>0</v>
      </c>
      <c r="T204" s="253" t="n">
        <v>0</v>
      </c>
      <c r="U204" s="253" t="n">
        <v>0</v>
      </c>
      <c r="V204" s="253" t="n">
        <v>0</v>
      </c>
      <c r="W204" s="253" t="n">
        <v>0</v>
      </c>
      <c r="X204" s="253" t="n">
        <v>0</v>
      </c>
      <c r="Y204" s="253" t="n">
        <v>0</v>
      </c>
      <c r="Z204" s="253" t="n">
        <v>0</v>
      </c>
      <c r="AA204" s="253" t="n">
        <v>0</v>
      </c>
      <c r="AB204" s="253" t="n">
        <v>0</v>
      </c>
      <c r="AC204" s="253" t="n">
        <v>0</v>
      </c>
      <c r="AD204" s="253" t="n">
        <v>0</v>
      </c>
      <c r="AE204" s="253" t="n">
        <v>48.15</v>
      </c>
      <c r="AF204" s="253" t="n">
        <v>48.15</v>
      </c>
      <c r="AG204" s="253" t="n">
        <v>0</v>
      </c>
      <c r="AH204" s="253" t="n">
        <v>0</v>
      </c>
      <c r="AI204" s="253" t="n">
        <v>0</v>
      </c>
      <c r="AJ204" s="253" t="n">
        <v>0</v>
      </c>
      <c r="AK204" s="253" t="n">
        <v>0</v>
      </c>
      <c r="AL204" s="253" t="n">
        <v>0</v>
      </c>
      <c r="AM204" s="254">
        <f>0</f>
        <v/>
      </c>
      <c r="AN204" s="254">
        <f>0</f>
        <v/>
      </c>
      <c r="AO204" s="254">
        <f>0</f>
        <v/>
      </c>
      <c r="AP204" s="254">
        <f>SUM(AL204,AM204,AN204,AO204)</f>
        <v/>
      </c>
      <c r="AQ204" s="254">
        <f>0</f>
        <v/>
      </c>
      <c r="AR204" s="254">
        <f>0</f>
        <v/>
      </c>
      <c r="AS204" s="254">
        <f>0</f>
        <v/>
      </c>
      <c r="AT204" s="254">
        <f>0</f>
        <v/>
      </c>
      <c r="AU204" s="19" t="n"/>
    </row>
    <row r="205" ht="15" customHeight="1" s="251">
      <c r="B205" s="25" t="inlineStr">
        <is>
          <t xml:space="preserve">  (+) COVID-19 incremental costs (FY2020–21)</t>
        </is>
      </c>
      <c r="C205" s="253" t="n">
        <v>0</v>
      </c>
      <c r="D205" s="253" t="n">
        <v>0</v>
      </c>
      <c r="E205" s="253" t="n">
        <v>0</v>
      </c>
      <c r="F205" s="253" t="n">
        <v>0</v>
      </c>
      <c r="G205" s="253" t="n">
        <v>0</v>
      </c>
      <c r="H205" s="253" t="n">
        <v>0</v>
      </c>
      <c r="I205" s="253" t="n">
        <v>0</v>
      </c>
      <c r="J205" s="253" t="n">
        <v>0</v>
      </c>
      <c r="K205" s="253" t="n">
        <v>0.749</v>
      </c>
      <c r="L205" s="253" t="n">
        <v>25.793</v>
      </c>
      <c r="M205" s="253" t="n">
        <v>0</v>
      </c>
      <c r="N205" s="253" t="n">
        <v>0</v>
      </c>
      <c r="O205" s="253" t="n">
        <v>0</v>
      </c>
      <c r="P205" s="253" t="n">
        <v>0</v>
      </c>
      <c r="Q205" s="253" t="n">
        <v>0</v>
      </c>
      <c r="R205" s="253" t="n">
        <v>0</v>
      </c>
      <c r="S205" s="253" t="n">
        <v>0</v>
      </c>
      <c r="T205" s="253" t="n">
        <v>0</v>
      </c>
      <c r="U205" s="253" t="n">
        <v>0</v>
      </c>
      <c r="V205" s="253" t="n">
        <v>0</v>
      </c>
      <c r="W205" s="253" t="n">
        <v>0</v>
      </c>
      <c r="X205" s="253" t="n">
        <v>0</v>
      </c>
      <c r="Y205" s="253" t="n">
        <v>0</v>
      </c>
      <c r="Z205" s="253" t="n">
        <v>0</v>
      </c>
      <c r="AA205" s="253" t="n">
        <v>0</v>
      </c>
      <c r="AB205" s="253" t="n">
        <v>0</v>
      </c>
      <c r="AC205" s="253" t="n">
        <v>0</v>
      </c>
      <c r="AD205" s="253" t="n">
        <v>0</v>
      </c>
      <c r="AE205" s="253" t="n">
        <v>0</v>
      </c>
      <c r="AF205" s="253" t="n">
        <v>0</v>
      </c>
      <c r="AG205" s="253" t="n">
        <v>0</v>
      </c>
      <c r="AH205" s="253" t="n">
        <v>0</v>
      </c>
      <c r="AI205" s="253" t="n">
        <v>0</v>
      </c>
      <c r="AJ205" s="253" t="n">
        <v>0</v>
      </c>
      <c r="AK205" s="253" t="n">
        <v>0</v>
      </c>
      <c r="AL205" s="253" t="n">
        <v>0</v>
      </c>
      <c r="AM205" s="254">
        <f>0</f>
        <v/>
      </c>
      <c r="AN205" s="254">
        <f>0</f>
        <v/>
      </c>
      <c r="AO205" s="254">
        <f>0</f>
        <v/>
      </c>
      <c r="AP205" s="254">
        <f>SUM(AL205,AM205,AN205,AO205)</f>
        <v/>
      </c>
      <c r="AQ205" s="254">
        <f>0</f>
        <v/>
      </c>
      <c r="AR205" s="254">
        <f>0</f>
        <v/>
      </c>
      <c r="AS205" s="254">
        <f>0</f>
        <v/>
      </c>
      <c r="AT205" s="254">
        <f>0</f>
        <v/>
      </c>
      <c r="AU205" s="19" t="n"/>
    </row>
    <row r="206" ht="15" customHeight="1" s="251">
      <c r="B206" s="25" t="inlineStr">
        <is>
          <t xml:space="preserve">  (+) Other (pension settlement FY2016, US tax reform bonus FY2018, S1E inventory reserve FY2012; forecast: other unusual items)</t>
        </is>
      </c>
      <c r="C206" s="253" t="n">
        <v>2.857</v>
      </c>
      <c r="D206" s="253" t="n">
        <v>0</v>
      </c>
      <c r="E206" s="253" t="n">
        <v>0</v>
      </c>
      <c r="F206" s="253" t="n">
        <v>0</v>
      </c>
      <c r="G206" s="253" t="n">
        <v>26.47</v>
      </c>
      <c r="H206" s="253" t="n">
        <v>0</v>
      </c>
      <c r="I206" s="253" t="n">
        <v>10.264</v>
      </c>
      <c r="J206" s="253" t="n">
        <v>0</v>
      </c>
      <c r="K206" s="253" t="n">
        <v>0</v>
      </c>
      <c r="L206" s="253" t="n">
        <v>0</v>
      </c>
      <c r="M206" s="253" t="n">
        <v>0</v>
      </c>
      <c r="N206" s="253" t="n">
        <v>0</v>
      </c>
      <c r="O206" s="253" t="n">
        <v>0</v>
      </c>
      <c r="P206" s="253" t="n">
        <v>0</v>
      </c>
      <c r="Q206" s="253" t="n">
        <v>0</v>
      </c>
      <c r="R206" s="253" t="n">
        <v>0</v>
      </c>
      <c r="S206" s="253" t="n">
        <v>0</v>
      </c>
      <c r="T206" s="253" t="n">
        <v>0</v>
      </c>
      <c r="U206" s="253" t="n">
        <v>0</v>
      </c>
      <c r="V206" s="253" t="n">
        <v>0</v>
      </c>
      <c r="W206" s="253" t="n">
        <v>0</v>
      </c>
      <c r="X206" s="253" t="n">
        <v>0</v>
      </c>
      <c r="Y206" s="253" t="n">
        <v>0</v>
      </c>
      <c r="Z206" s="253" t="n">
        <v>0</v>
      </c>
      <c r="AA206" s="253" t="n">
        <v>0</v>
      </c>
      <c r="AB206" s="253" t="n">
        <v>0</v>
      </c>
      <c r="AC206" s="253" t="n">
        <v>0</v>
      </c>
      <c r="AD206" s="253" t="n">
        <v>0</v>
      </c>
      <c r="AE206" s="253" t="n">
        <v>0</v>
      </c>
      <c r="AF206" s="253" t="n">
        <v>0</v>
      </c>
      <c r="AG206" s="253" t="n">
        <v>0</v>
      </c>
      <c r="AH206" s="253" t="n">
        <v>0</v>
      </c>
      <c r="AI206" s="253" t="n">
        <v>0</v>
      </c>
      <c r="AJ206" s="253" t="n">
        <v>0</v>
      </c>
      <c r="AK206" s="253" t="n">
        <v>0</v>
      </c>
      <c r="AL206" s="253" t="n">
        <v>0</v>
      </c>
      <c r="AM206" s="254">
        <f>AM155</f>
        <v/>
      </c>
      <c r="AN206" s="254">
        <f>AN155</f>
        <v/>
      </c>
      <c r="AO206" s="254">
        <f>AO155</f>
        <v/>
      </c>
      <c r="AP206" s="254">
        <f>SUM(AL206,AM206,AN206,AO206)</f>
        <v/>
      </c>
      <c r="AQ206" s="254">
        <f>AQ155</f>
        <v/>
      </c>
      <c r="AR206" s="254">
        <f>AR155</f>
        <v/>
      </c>
      <c r="AS206" s="254">
        <f>AS155</f>
        <v/>
      </c>
      <c r="AT206" s="254">
        <f>AT155</f>
        <v/>
      </c>
      <c r="AU206" s="19" t="n"/>
    </row>
    <row r="207" ht="15" customHeight="1" s="251">
      <c r="B207" s="16" t="inlineStr">
        <is>
          <t xml:space="preserve">  Total adjusting items (pre-tax)</t>
        </is>
      </c>
      <c r="C207" s="261">
        <f>IF(ISNUMBER(C196),N(C197)+N(C198)+N(C199)+N(C200)+N(C201)+N(C202)+N(C203)+N(C204)+N(C205)+N(C206),"")</f>
        <v/>
      </c>
      <c r="D207" s="261">
        <f>IF(ISNUMBER(D196),N(D197)+N(D198)+N(D199)+N(D200)+N(D201)+N(D202)+N(D203)+N(D204)+N(D205)+N(D206),"")</f>
        <v/>
      </c>
      <c r="E207" s="261">
        <f>IF(ISNUMBER(E196),N(E197)+N(E198)+N(E199)+N(E200)+N(E201)+N(E202)+N(E203)+N(E204)+N(E205)+N(E206),"")</f>
        <v/>
      </c>
      <c r="F207" s="261">
        <f>IF(ISNUMBER(F196),N(F197)+N(F198)+N(F199)+N(F200)+N(F201)+N(F202)+N(F203)+N(F204)+N(F205)+N(F206),"")</f>
        <v/>
      </c>
      <c r="G207" s="261">
        <f>IF(ISNUMBER(G196),N(G197)+N(G198)+N(G199)+N(G200)+N(G201)+N(G202)+N(G203)+N(G204)+N(G205)+N(G206),"")</f>
        <v/>
      </c>
      <c r="H207" s="261">
        <f>IF(ISNUMBER(H196),N(H197)+N(H198)+N(H199)+N(H200)+N(H201)+N(H202)+N(H203)+N(H204)+N(H205)+N(H206),"")</f>
        <v/>
      </c>
      <c r="I207" s="261">
        <f>IF(ISNUMBER(I196),N(I197)+N(I198)+N(I199)+N(I200)+N(I201)+N(I202)+N(I203)+N(I204)+N(I205)+N(I206),"")</f>
        <v/>
      </c>
      <c r="J207" s="261">
        <f>IF(ISNUMBER(J196),N(J197)+N(J198)+N(J199)+N(J200)+N(J201)+N(J202)+N(J203)+N(J204)+N(J205)+N(J206),"")</f>
        <v/>
      </c>
      <c r="K207" s="261">
        <f>IF(ISNUMBER(K196),N(K197)+N(K198)+N(K199)+N(K200)+N(K201)+N(K202)+N(K203)+N(K204)+N(K205)+N(K206),"")</f>
        <v/>
      </c>
      <c r="L207" s="261">
        <f>IF(ISNUMBER(L196),N(L197)+N(L198)+N(L199)+N(L200)+N(L201)+N(L202)+N(L203)+N(L204)+N(L205)+N(L206),"")</f>
        <v/>
      </c>
      <c r="M207" s="261">
        <f>IF(ISNUMBER(M196),N(M197)+N(M198)+N(M199)+N(M200)+N(M201)+N(M202)+N(M203)+N(M204)+N(M205)+N(M206),"")</f>
        <v/>
      </c>
      <c r="N207" s="261">
        <f>IF(ISNUMBER(N196),N(N197)+N(N198)+N(N199)+N(N200)+N(N201)+N(N202)+N(N203)+N(N204)+N(N205)+N(N206),"")</f>
        <v/>
      </c>
      <c r="O207" s="261">
        <f>IF(ISNUMBER(O196),N(O197)+N(O198)+N(O199)+N(O200)+N(O201)+N(O202)+N(O203)+N(O204)+N(O205)+N(O206),"")</f>
        <v/>
      </c>
      <c r="P207" s="261">
        <f>IF(ISNUMBER(P196),N(P197)+N(P198)+N(P199)+N(P200)+N(P201)+N(P202)+N(P203)+N(P204)+N(P205)+N(P206),"")</f>
        <v/>
      </c>
      <c r="Q207" s="261">
        <f>IF(ISNUMBER(Q196),N(Q197)+N(Q198)+N(Q199)+N(Q200)+N(Q201)+N(Q202)+N(Q203)+N(Q204)+N(Q205)+N(Q206),"")</f>
        <v/>
      </c>
      <c r="R207" s="261">
        <f>IF(ISNUMBER(R196),N(R197)+N(R198)+N(R199)+N(R200)+N(R201)+N(R202)+N(R203)+N(R204)+N(R205)+N(R206),"")</f>
        <v/>
      </c>
      <c r="S207" s="261">
        <f>IF(ISNUMBER(S196),N(S197)+N(S198)+N(S199)+N(S200)+N(S201)+N(S202)+N(S203)+N(S204)+N(S205)+N(S206),"")</f>
        <v/>
      </c>
      <c r="T207" s="261">
        <f>IF(ISNUMBER(T196),N(T197)+N(T198)+N(T199)+N(T200)+N(T201)+N(T202)+N(T203)+N(T204)+N(T205)+N(T206),"")</f>
        <v/>
      </c>
      <c r="U207" s="261">
        <f>IF(ISNUMBER(U196),N(U197)+N(U198)+N(U199)+N(U200)+N(U201)+N(U202)+N(U203)+N(U204)+N(U205)+N(U206),"")</f>
        <v/>
      </c>
      <c r="V207" s="261">
        <f>IF(ISNUMBER(V196),N(V197)+N(V198)+N(V199)+N(V200)+N(V201)+N(V202)+N(V203)+N(V204)+N(V205)+N(V206),"")</f>
        <v/>
      </c>
      <c r="W207" s="261">
        <f>IF(ISNUMBER(W196),N(W197)+N(W198)+N(W199)+N(W200)+N(W201)+N(W202)+N(W203)+N(W204)+N(W205)+N(W206),"")</f>
        <v/>
      </c>
      <c r="X207" s="261">
        <f>IF(ISNUMBER(X196),N(X197)+N(X198)+N(X199)+N(X200)+N(X201)+N(X202)+N(X203)+N(X204)+N(X205)+N(X206),"")</f>
        <v/>
      </c>
      <c r="Y207" s="261">
        <f>IF(ISNUMBER(Y196),N(Y197)+N(Y198)+N(Y199)+N(Y200)+N(Y201)+N(Y202)+N(Y203)+N(Y204)+N(Y205)+N(Y206),"")</f>
        <v/>
      </c>
      <c r="Z207" s="261">
        <f>IF(ISNUMBER(Z196),N(Z197)+N(Z198)+N(Z199)+N(Z200)+N(Z201)+N(Z202)+N(Z203)+N(Z204)+N(Z205)+N(Z206),"")</f>
        <v/>
      </c>
      <c r="AA207" s="261">
        <f>IF(ISNUMBER(AA196),N(AA197)+N(AA198)+N(AA199)+N(AA200)+N(AA201)+N(AA202)+N(AA203)+N(AA204)+N(AA205)+N(AA206),"")</f>
        <v/>
      </c>
      <c r="AB207" s="261">
        <f>IF(ISNUMBER(AB196),N(AB197)+N(AB198)+N(AB199)+N(AB200)+N(AB201)+N(AB202)+N(AB203)+N(AB204)+N(AB205)+N(AB206),"")</f>
        <v/>
      </c>
      <c r="AC207" s="261">
        <f>IF(ISNUMBER(AC196),N(AC197)+N(AC198)+N(AC199)+N(AC200)+N(AC201)+N(AC202)+N(AC203)+N(AC204)+N(AC205)+N(AC206),"")</f>
        <v/>
      </c>
      <c r="AD207" s="261">
        <f>IF(ISNUMBER(AD196),N(AD197)+N(AD198)+N(AD199)+N(AD200)+N(AD201)+N(AD202)+N(AD203)+N(AD204)+N(AD205)+N(AD206),"")</f>
        <v/>
      </c>
      <c r="AE207" s="261">
        <f>IF(ISNUMBER(AE196),N(AE197)+N(AE198)+N(AE199)+N(AE200)+N(AE201)+N(AE202)+N(AE203)+N(AE204)+N(AE205)+N(AE206),"")</f>
        <v/>
      </c>
      <c r="AF207" s="261">
        <f>IF(ISNUMBER(AF196),N(AF197)+N(AF198)+N(AF199)+N(AF200)+N(AF201)+N(AF202)+N(AF203)+N(AF204)+N(AF205)+N(AF206),"")</f>
        <v/>
      </c>
      <c r="AG207" s="261">
        <f>IF(ISNUMBER(AG196),N(AG197)+N(AG198)+N(AG199)+N(AG200)+N(AG201)+N(AG202)+N(AG203)+N(AG204)+N(AG205)+N(AG206),"")</f>
        <v/>
      </c>
      <c r="AH207" s="261">
        <f>IF(ISNUMBER(AH196),N(AH197)+N(AH198)+N(AH199)+N(AH200)+N(AH201)+N(AH202)+N(AH203)+N(AH204)+N(AH205)+N(AH206),"")</f>
        <v/>
      </c>
      <c r="AI207" s="261">
        <f>IF(ISNUMBER(AI196),N(AI197)+N(AI198)+N(AI199)+N(AI200)+N(AI201)+N(AI202)+N(AI203)+N(AI204)+N(AI205)+N(AI206),"")</f>
        <v/>
      </c>
      <c r="AJ207" s="261">
        <f>IF(ISNUMBER(AJ196),N(AJ197)+N(AJ198)+N(AJ199)+N(AJ200)+N(AJ201)+N(AJ202)+N(AJ203)+N(AJ204)+N(AJ205)+N(AJ206),"")</f>
        <v/>
      </c>
      <c r="AK207" s="261">
        <f>IF(ISNUMBER(AK196),N(AK197)+N(AK198)+N(AK199)+N(AK200)+N(AK201)+N(AK202)+N(AK203)+N(AK204)+N(AK205)+N(AK206),"")</f>
        <v/>
      </c>
      <c r="AL207" s="261">
        <f>IF(ISNUMBER(AL196),N(AL197)+N(AL198)+N(AL199)+N(AL200)+N(AL201)+N(AL202)+N(AL203)+N(AL204)+N(AL205)+N(AL206),"")</f>
        <v/>
      </c>
      <c r="AM207" s="262">
        <f>IF(ISNUMBER(AM196),N(AM197)+N(AM198)+N(AM199)+N(AM200)+N(AM201)+N(AM202)+N(AM203)+N(AM204)+N(AM205)+N(AM206),"")</f>
        <v/>
      </c>
      <c r="AN207" s="262">
        <f>IF(ISNUMBER(AN196),N(AN197)+N(AN198)+N(AN199)+N(AN200)+N(AN201)+N(AN202)+N(AN203)+N(AN204)+N(AN205)+N(AN206),"")</f>
        <v/>
      </c>
      <c r="AO207" s="262">
        <f>IF(ISNUMBER(AO196),N(AO197)+N(AO198)+N(AO199)+N(AO200)+N(AO201)+N(AO202)+N(AO203)+N(AO204)+N(AO205)+N(AO206),"")</f>
        <v/>
      </c>
      <c r="AP207" s="262">
        <f>IF(ISNUMBER(AP196),N(AP197)+N(AP198)+N(AP199)+N(AP200)+N(AP201)+N(AP202)+N(AP203)+N(AP204)+N(AP205)+N(AP206),"")</f>
        <v/>
      </c>
      <c r="AQ207" s="262">
        <f>IF(ISNUMBER(AQ196),N(AQ197)+N(AQ198)+N(AQ199)+N(AQ200)+N(AQ201)+N(AQ202)+N(AQ203)+N(AQ204)+N(AQ205)+N(AQ206),"")</f>
        <v/>
      </c>
      <c r="AR207" s="262">
        <f>IF(ISNUMBER(AR196),N(AR197)+N(AR198)+N(AR199)+N(AR200)+N(AR201)+N(AR202)+N(AR203)+N(AR204)+N(AR205)+N(AR206),"")</f>
        <v/>
      </c>
      <c r="AS207" s="262">
        <f>IF(ISNUMBER(AS196),N(AS197)+N(AS198)+N(AS199)+N(AS200)+N(AS201)+N(AS202)+N(AS203)+N(AS204)+N(AS205)+N(AS206),"")</f>
        <v/>
      </c>
      <c r="AT207" s="262">
        <f>IF(ISNUMBER(AT196),N(AT197)+N(AT198)+N(AT199)+N(AT200)+N(AT201)+N(AT202)+N(AT203)+N(AT204)+N(AT205)+N(AT206),"")</f>
        <v/>
      </c>
      <c r="AU207" s="153" t="n"/>
    </row>
    <row r="208" ht="15" customHeight="1" s="251">
      <c r="B208" s="55" t="inlineStr">
        <is>
          <t xml:space="preserve">  = Adjusted income from operations (model bridge)</t>
        </is>
      </c>
      <c r="C208" s="274">
        <f>IF(ISNUMBER(C196),C196+C207,"")</f>
        <v/>
      </c>
      <c r="D208" s="274">
        <f>IF(ISNUMBER(D196),D196+D207,"")</f>
        <v/>
      </c>
      <c r="E208" s="274">
        <f>IF(ISNUMBER(E196),E196+E207,"")</f>
        <v/>
      </c>
      <c r="F208" s="274">
        <f>IF(ISNUMBER(F196),F196+F207,"")</f>
        <v/>
      </c>
      <c r="G208" s="274">
        <f>IF(ISNUMBER(G196),G196+G207,"")</f>
        <v/>
      </c>
      <c r="H208" s="274">
        <f>IF(ISNUMBER(H196),H196+H207,"")</f>
        <v/>
      </c>
      <c r="I208" s="274">
        <f>IF(ISNUMBER(I196),I196+I207,"")</f>
        <v/>
      </c>
      <c r="J208" s="274">
        <f>IF(ISNUMBER(J196),J196+J207,"")</f>
        <v/>
      </c>
      <c r="K208" s="274">
        <f>IF(ISNUMBER(K196),K196+K207,"")</f>
        <v/>
      </c>
      <c r="L208" s="274">
        <f>IF(ISNUMBER(L196),L196+L207,"")</f>
        <v/>
      </c>
      <c r="M208" s="274">
        <f>IF(ISNUMBER(M196),M196+M207,"")</f>
        <v/>
      </c>
      <c r="N208" s="274">
        <f>IF(ISNUMBER(N196),N196+N207,"")</f>
        <v/>
      </c>
      <c r="O208" s="274">
        <f>IF(ISNUMBER(O196),O196+O207,"")</f>
        <v/>
      </c>
      <c r="P208" s="274">
        <f>IF(ISNUMBER(P196),P196+P207,"")</f>
        <v/>
      </c>
      <c r="Q208" s="274">
        <f>IF(ISNUMBER(Q196),Q196+Q207,"")</f>
        <v/>
      </c>
      <c r="R208" s="274">
        <f>IF(ISNUMBER(R196),R196+R207,"")</f>
        <v/>
      </c>
      <c r="S208" s="274">
        <f>IF(ISNUMBER(S196),S196+S207,"")</f>
        <v/>
      </c>
      <c r="T208" s="274">
        <f>IF(ISNUMBER(T196),T196+T207,"")</f>
        <v/>
      </c>
      <c r="U208" s="274">
        <f>IF(ISNUMBER(U196),U196+U207,"")</f>
        <v/>
      </c>
      <c r="V208" s="274">
        <f>IF(ISNUMBER(V196),V196+V207,"")</f>
        <v/>
      </c>
      <c r="W208" s="274">
        <f>IF(ISNUMBER(W196),W196+W207,"")</f>
        <v/>
      </c>
      <c r="X208" s="274">
        <f>IF(ISNUMBER(X196),X196+X207,"")</f>
        <v/>
      </c>
      <c r="Y208" s="274">
        <f>IF(ISNUMBER(Y196),Y196+Y207,"")</f>
        <v/>
      </c>
      <c r="Z208" s="274">
        <f>IF(ISNUMBER(Z196),Z196+Z207,"")</f>
        <v/>
      </c>
      <c r="AA208" s="274">
        <f>IF(ISNUMBER(AA196),AA196+AA207,"")</f>
        <v/>
      </c>
      <c r="AB208" s="274">
        <f>IF(ISNUMBER(AB196),AB196+AB207,"")</f>
        <v/>
      </c>
      <c r="AC208" s="274">
        <f>IF(ISNUMBER(AC196),AC196+AC207,"")</f>
        <v/>
      </c>
      <c r="AD208" s="274">
        <f>IF(ISNUMBER(AD196),AD196+AD207,"")</f>
        <v/>
      </c>
      <c r="AE208" s="274">
        <f>IF(ISNUMBER(AE196),AE196+AE207,"")</f>
        <v/>
      </c>
      <c r="AF208" s="274">
        <f>IF(ISNUMBER(AF196),AF196+AF207,"")</f>
        <v/>
      </c>
      <c r="AG208" s="274">
        <f>IF(ISNUMBER(AG196),AG196+AG207,"")</f>
        <v/>
      </c>
      <c r="AH208" s="274">
        <f>IF(ISNUMBER(AH196),AH196+AH207,"")</f>
        <v/>
      </c>
      <c r="AI208" s="274">
        <f>IF(ISNUMBER(AI196),AI196+AI207,"")</f>
        <v/>
      </c>
      <c r="AJ208" s="274">
        <f>IF(ISNUMBER(AJ196),AJ196+AJ207,"")</f>
        <v/>
      </c>
      <c r="AK208" s="274">
        <f>IF(ISNUMBER(AK196),AK196+AK207,"")</f>
        <v/>
      </c>
      <c r="AL208" s="274">
        <f>IF(ISNUMBER(AL196),AL196+AL207,"")</f>
        <v/>
      </c>
      <c r="AM208" s="274">
        <f>IF(ISNUMBER(AM196),AM196+AM207,"")</f>
        <v/>
      </c>
      <c r="AN208" s="274">
        <f>IF(ISNUMBER(AN196),AN196+AN207,"")</f>
        <v/>
      </c>
      <c r="AO208" s="274">
        <f>IF(ISNUMBER(AO196),AO196+AO207,"")</f>
        <v/>
      </c>
      <c r="AP208" s="274">
        <f>IF(ISNUMBER(AP196),AP196+AP207,"")</f>
        <v/>
      </c>
      <c r="AQ208" s="274">
        <f>IF(ISNUMBER(AQ196),AQ196+AQ207,"")</f>
        <v/>
      </c>
      <c r="AR208" s="274">
        <f>IF(ISNUMBER(AR196),AR196+AR207,"")</f>
        <v/>
      </c>
      <c r="AS208" s="274">
        <f>IF(ISNUMBER(AS196),AS196+AS207,"")</f>
        <v/>
      </c>
      <c r="AT208" s="274">
        <f>IF(ISNUMBER(AT196),AT196+AT207,"")</f>
        <v/>
      </c>
      <c r="AU208" s="153" t="inlineStr">
        <is>
          <t>Rebuilt from the published reconciliation lines; forecast = GAAP operating income + forecast adjusting items (equals the segment build — check in the Group block).</t>
        </is>
      </c>
      <c r="AW208" s="20">
        <f>IFERROR((AT208/AK208)^(1/5)-1,"n/m")</f>
        <v/>
      </c>
      <c r="AX208" s="20">
        <f>IFERROR((AK208/L208)^(1/5)-1,"n/m")</f>
        <v/>
      </c>
      <c r="AY208" s="20">
        <f>IFERROR((AK208/G208)^(1/10)-1,"n/m")</f>
        <v/>
      </c>
      <c r="AZ208" s="20">
        <f>IFERROR((AK208/C208)^(1/14)-1,"n/m")</f>
        <v/>
      </c>
    </row>
    <row r="209" ht="15" customHeight="1" s="251">
      <c r="B209" s="25" t="inlineStr">
        <is>
          <t xml:space="preserve">  Adjusted operating margin %</t>
        </is>
      </c>
      <c r="C209" s="215">
        <f>IF(AND(ISNUMBER(C208),ISNUMBER(C159)),IFERROR(C208/C159,""),"")</f>
        <v/>
      </c>
      <c r="D209" s="215">
        <f>IF(AND(ISNUMBER(D208),ISNUMBER(D159)),IFERROR(D208/D159,""),"")</f>
        <v/>
      </c>
      <c r="E209" s="215">
        <f>IF(AND(ISNUMBER(E208),ISNUMBER(E159)),IFERROR(E208/E159,""),"")</f>
        <v/>
      </c>
      <c r="F209" s="215">
        <f>IF(AND(ISNUMBER(F208),ISNUMBER(F159)),IFERROR(F208/F159,""),"")</f>
        <v/>
      </c>
      <c r="G209" s="215">
        <f>IF(AND(ISNUMBER(G208),ISNUMBER(G159)),IFERROR(G208/G159,""),"")</f>
        <v/>
      </c>
      <c r="H209" s="215">
        <f>IF(AND(ISNUMBER(H208),ISNUMBER(H159)),IFERROR(H208/H159,""),"")</f>
        <v/>
      </c>
      <c r="I209" s="215">
        <f>IF(AND(ISNUMBER(I208),ISNUMBER(I159)),IFERROR(I208/I159,""),"")</f>
        <v/>
      </c>
      <c r="J209" s="215">
        <f>IF(AND(ISNUMBER(J208),ISNUMBER(J159)),IFERROR(J208/J159,""),"")</f>
        <v/>
      </c>
      <c r="K209" s="215">
        <f>IF(AND(ISNUMBER(K208),ISNUMBER(K159)),IFERROR(K208/K159,""),"")</f>
        <v/>
      </c>
      <c r="L209" s="215">
        <f>IF(AND(ISNUMBER(L208),ISNUMBER(L159)),IFERROR(L208/L159,""),"")</f>
        <v/>
      </c>
      <c r="M209" s="215">
        <f>IF(AND(ISNUMBER(M208),ISNUMBER(M159)),IFERROR(M208/M159,""),"")</f>
        <v/>
      </c>
      <c r="N209" s="215">
        <f>IF(AND(ISNUMBER(N208),ISNUMBER(N159)),IFERROR(N208/N159,""),"")</f>
        <v/>
      </c>
      <c r="O209" s="215">
        <f>IF(AND(ISNUMBER(O208),ISNUMBER(O159)),IFERROR(O208/O159,""),"")</f>
        <v/>
      </c>
      <c r="P209" s="215">
        <f>IF(AND(ISNUMBER(P208),ISNUMBER(P159)),IFERROR(P208/P159,""),"")</f>
        <v/>
      </c>
      <c r="Q209" s="215">
        <f>IF(AND(ISNUMBER(Q208),ISNUMBER(Q159)),IFERROR(Q208/Q159,""),"")</f>
        <v/>
      </c>
      <c r="R209" s="215">
        <f>IF(AND(ISNUMBER(R208),ISNUMBER(R159)),IFERROR(R208/R159,""),"")</f>
        <v/>
      </c>
      <c r="S209" s="215">
        <f>IF(AND(ISNUMBER(S208),ISNUMBER(S159)),IFERROR(S208/S159,""),"")</f>
        <v/>
      </c>
      <c r="T209" s="215">
        <f>IF(AND(ISNUMBER(T208),ISNUMBER(T159)),IFERROR(T208/T159,""),"")</f>
        <v/>
      </c>
      <c r="U209" s="215">
        <f>IF(AND(ISNUMBER(U208),ISNUMBER(U159)),IFERROR(U208/U159,""),"")</f>
        <v/>
      </c>
      <c r="V209" s="215">
        <f>IF(AND(ISNUMBER(V208),ISNUMBER(V159)),IFERROR(V208/V159,""),"")</f>
        <v/>
      </c>
      <c r="W209" s="215">
        <f>IF(AND(ISNUMBER(W208),ISNUMBER(W159)),IFERROR(W208/W159,""),"")</f>
        <v/>
      </c>
      <c r="X209" s="215">
        <f>IF(AND(ISNUMBER(X208),ISNUMBER(X159)),IFERROR(X208/X159,""),"")</f>
        <v/>
      </c>
      <c r="Y209" s="215">
        <f>IF(AND(ISNUMBER(Y208),ISNUMBER(Y159)),IFERROR(Y208/Y159,""),"")</f>
        <v/>
      </c>
      <c r="Z209" s="215">
        <f>IF(AND(ISNUMBER(Z208),ISNUMBER(Z159)),IFERROR(Z208/Z159,""),"")</f>
        <v/>
      </c>
      <c r="AA209" s="215">
        <f>IF(AND(ISNUMBER(AA208),ISNUMBER(AA159)),IFERROR(AA208/AA159,""),"")</f>
        <v/>
      </c>
      <c r="AB209" s="215">
        <f>IF(AND(ISNUMBER(AB208),ISNUMBER(AB159)),IFERROR(AB208/AB159,""),"")</f>
        <v/>
      </c>
      <c r="AC209" s="215">
        <f>IF(AND(ISNUMBER(AC208),ISNUMBER(AC159)),IFERROR(AC208/AC159,""),"")</f>
        <v/>
      </c>
      <c r="AD209" s="215">
        <f>IF(AND(ISNUMBER(AD208),ISNUMBER(AD159)),IFERROR(AD208/AD159,""),"")</f>
        <v/>
      </c>
      <c r="AE209" s="215">
        <f>IF(AND(ISNUMBER(AE208),ISNUMBER(AE159)),IFERROR(AE208/AE159,""),"")</f>
        <v/>
      </c>
      <c r="AF209" s="215">
        <f>IF(AND(ISNUMBER(AF208),ISNUMBER(AF159)),IFERROR(AF208/AF159,""),"")</f>
        <v/>
      </c>
      <c r="AG209" s="215">
        <f>IF(AND(ISNUMBER(AG208),ISNUMBER(AG159)),IFERROR(AG208/AG159,""),"")</f>
        <v/>
      </c>
      <c r="AH209" s="215">
        <f>IF(AND(ISNUMBER(AH208),ISNUMBER(AH159)),IFERROR(AH208/AH159,""),"")</f>
        <v/>
      </c>
      <c r="AI209" s="215">
        <f>IF(AND(ISNUMBER(AI208),ISNUMBER(AI159)),IFERROR(AI208/AI159,""),"")</f>
        <v/>
      </c>
      <c r="AJ209" s="215">
        <f>IF(AND(ISNUMBER(AJ208),ISNUMBER(AJ159)),IFERROR(AJ208/AJ159,""),"")</f>
        <v/>
      </c>
      <c r="AK209" s="215">
        <f>IF(AND(ISNUMBER(AK208),ISNUMBER(AK159)),IFERROR(AK208/AK159,""),"")</f>
        <v/>
      </c>
      <c r="AL209" s="215">
        <f>IF(AND(ISNUMBER(AL208),ISNUMBER(AL159)),IFERROR(AL208/AL159,""),"")</f>
        <v/>
      </c>
      <c r="AM209" s="256">
        <f>IF(AND(ISNUMBER(AM208),ISNUMBER(AM159)),IFERROR(AM208/AM159,""),"")</f>
        <v/>
      </c>
      <c r="AN209" s="256">
        <f>IF(AND(ISNUMBER(AN208),ISNUMBER(AN159)),IFERROR(AN208/AN159,""),"")</f>
        <v/>
      </c>
      <c r="AO209" s="256">
        <f>IF(AND(ISNUMBER(AO208),ISNUMBER(AO159)),IFERROR(AO208/AO159,""),"")</f>
        <v/>
      </c>
      <c r="AP209" s="256">
        <f>IF(AND(ISNUMBER(AP208),ISNUMBER(AP159)),IFERROR(AP208/AP159,""),"")</f>
        <v/>
      </c>
      <c r="AQ209" s="256">
        <f>IF(AND(ISNUMBER(AQ208),ISNUMBER(AQ159)),IFERROR(AQ208/AQ159,""),"")</f>
        <v/>
      </c>
      <c r="AR209" s="256">
        <f>IF(AND(ISNUMBER(AR208),ISNUMBER(AR159)),IFERROR(AR208/AR159,""),"")</f>
        <v/>
      </c>
      <c r="AS209" s="256">
        <f>IF(AND(ISNUMBER(AS208),ISNUMBER(AS159)),IFERROR(AS208/AS159,""),"")</f>
        <v/>
      </c>
      <c r="AT209" s="256">
        <f>IF(AND(ISNUMBER(AT208),ISNUMBER(AT159)),IFERROR(AT208/AT159,""),"")</f>
        <v/>
      </c>
      <c r="AU209" s="153" t="n"/>
      <c r="AW209" s="37">
        <f>IFERROR(AVERAGE(AP209,AQ209,AR209,AS209,AT209),"n/m")</f>
        <v/>
      </c>
      <c r="AX209" s="37">
        <f>IFERROR(AVERAGE(Q209,V209,AA209,AF209,AK209),"n/m")</f>
        <v/>
      </c>
      <c r="AY209" s="37">
        <f>IFERROR(AVERAGE(H209,I209,J209,K209,L209,Q209,V209,AA209,AF209,AK209),"n/m")</f>
        <v/>
      </c>
      <c r="AZ209" s="37">
        <f>IFERROR(AVERAGE(C209,D209,E209,F209,G209,H209,I209,J209,K209,L209,Q209,V209,AA209,AF209,AK209),"n/m")</f>
        <v/>
      </c>
    </row>
    <row r="210" ht="15" customHeight="1" s="251">
      <c r="B210" s="156" t="inlineStr">
        <is>
          <t xml:space="preserve">  Company-published adjusted income from operations</t>
        </is>
      </c>
      <c r="C210" s="253" t="n">
        <v>208.423</v>
      </c>
      <c r="D210" s="253" t="n">
        <v>219.743</v>
      </c>
      <c r="E210" s="253" t="n">
        <v>250.07</v>
      </c>
      <c r="F210" s="253" t="n">
        <v>291.132</v>
      </c>
      <c r="G210" s="253" t="n">
        <v>378.662</v>
      </c>
      <c r="H210" s="253" t="n">
        <v>476.532</v>
      </c>
      <c r="I210" s="253" t="n">
        <v>513.378</v>
      </c>
      <c r="J210" s="253" t="n">
        <v>556.963</v>
      </c>
      <c r="K210" s="253" t="n">
        <v>628.626</v>
      </c>
      <c r="L210" s="253" t="n">
        <v>699.38</v>
      </c>
      <c r="M210" s="253" t="n">
        <v>222.234</v>
      </c>
      <c r="N210" s="253" t="n">
        <v>278.538</v>
      </c>
      <c r="O210" s="253" t="n">
        <v>289.889</v>
      </c>
      <c r="P210" s="253" t="n">
        <v>286.108</v>
      </c>
      <c r="Q210" s="253" t="n">
        <v>1076.769</v>
      </c>
      <c r="R210" s="253" t="n">
        <v>245.347</v>
      </c>
      <c r="S210" s="253" t="n">
        <v>256.888</v>
      </c>
      <c r="T210" s="253" t="n">
        <v>271.042</v>
      </c>
      <c r="U210" s="253" t="n">
        <v>307.014</v>
      </c>
      <c r="V210" s="253" t="n">
        <v>1080.291</v>
      </c>
      <c r="W210" s="253" t="n">
        <v>265.74</v>
      </c>
      <c r="X210" s="253" t="n">
        <v>278.101</v>
      </c>
      <c r="Y210" s="253" t="n">
        <v>304.233</v>
      </c>
      <c r="Z210" s="253" t="n">
        <v>335.881</v>
      </c>
      <c r="AA210" s="253" t="n">
        <v>1183.954</v>
      </c>
      <c r="AB210" s="253" t="n">
        <v>285.437</v>
      </c>
      <c r="AC210" s="253" t="n">
        <v>294.479</v>
      </c>
      <c r="AD210" s="253" t="n">
        <v>319.965</v>
      </c>
      <c r="AE210" s="253" t="n">
        <v>367.623</v>
      </c>
      <c r="AF210" s="253" t="n">
        <v>1267.505</v>
      </c>
      <c r="AG210" s="253" t="n">
        <v>316.9</v>
      </c>
      <c r="AH210" s="253" t="n">
        <v>337.1</v>
      </c>
      <c r="AI210" s="253" t="n">
        <v>343.1</v>
      </c>
      <c r="AJ210" s="253" t="n">
        <v>384.9</v>
      </c>
      <c r="AK210" s="253" t="n">
        <v>1381.9</v>
      </c>
      <c r="AL210" s="253" t="n">
        <v>354.8</v>
      </c>
      <c r="AM210" s="153" t="n"/>
      <c r="AN210" s="153" t="n"/>
      <c r="AO210" s="153" t="n"/>
      <c r="AP210" s="153" t="n"/>
      <c r="AQ210" s="153" t="n"/>
      <c r="AR210" s="153" t="n"/>
      <c r="AS210" s="153" t="n"/>
      <c r="AT210" s="153" t="n"/>
      <c r="AU210" s="153" t="n"/>
    </row>
    <row r="211" ht="15" customHeight="1" s="251">
      <c r="B211" s="57" t="inlineStr">
        <is>
          <t xml:space="preserve">  Check: model bridge vs company-published (should be 0)</t>
        </is>
      </c>
      <c r="C211" s="263">
        <f>IF(ISNUMBER(C210),IF(ABS(C208-C210)&lt;=0.15,0,ROUND(C208-C210,1)),"n/p")</f>
        <v/>
      </c>
      <c r="D211" s="263">
        <f>IF(ISNUMBER(D210),IF(ABS(D208-D210)&lt;=0.15,0,ROUND(D208-D210,1)),"n/p")</f>
        <v/>
      </c>
      <c r="E211" s="263">
        <f>IF(ISNUMBER(E210),IF(ABS(E208-E210)&lt;=0.15,0,ROUND(E208-E210,1)),"n/p")</f>
        <v/>
      </c>
      <c r="F211" s="263">
        <f>IF(ISNUMBER(F210),IF(ABS(F208-F210)&lt;=0.15,0,ROUND(F208-F210,1)),"n/p")</f>
        <v/>
      </c>
      <c r="G211" s="263">
        <f>IF(ISNUMBER(G210),IF(ABS(G208-G210)&lt;=0.15,0,ROUND(G208-G210,1)),"n/p")</f>
        <v/>
      </c>
      <c r="H211" s="263">
        <f>IF(ISNUMBER(H210),IF(ABS(H208-H210)&lt;=0.15,0,ROUND(H208-H210,1)),"n/p")</f>
        <v/>
      </c>
      <c r="I211" s="263">
        <f>IF(ISNUMBER(I210),IF(ABS(I208-I210)&lt;=0.15,0,ROUND(I208-I210,1)),"n/p")</f>
        <v/>
      </c>
      <c r="J211" s="263">
        <f>IF(ISNUMBER(J210),IF(ABS(J208-J210)&lt;=0.15,0,ROUND(J208-J210,1)),"n/p")</f>
        <v/>
      </c>
      <c r="K211" s="263">
        <f>IF(ISNUMBER(K210),IF(ABS(K208-K210)&lt;=0.15,0,ROUND(K208-K210,1)),"n/p")</f>
        <v/>
      </c>
      <c r="L211" s="263">
        <f>IF(ISNUMBER(L210),IF(ABS(L208-L210)&lt;=0.15,0,ROUND(L208-L210,1)),"n/p")</f>
        <v/>
      </c>
      <c r="M211" s="263">
        <f>IF(ISNUMBER(M210),IF(ABS(M208-M210)&lt;=0.15,0,ROUND(M208-M210,1)),"n/p")</f>
        <v/>
      </c>
      <c r="N211" s="263">
        <f>IF(ISNUMBER(N210),IF(ABS(N208-N210)&lt;=0.15,0,ROUND(N208-N210,1)),"n/p")</f>
        <v/>
      </c>
      <c r="O211" s="263">
        <f>IF(ISNUMBER(O210),IF(ABS(O208-O210)&lt;=0.15,0,ROUND(O208-O210,1)),"n/p")</f>
        <v/>
      </c>
      <c r="P211" s="263">
        <f>IF(ISNUMBER(P210),IF(ABS(P208-P210)&lt;=0.15,0,ROUND(P208-P210,1)),"n/p")</f>
        <v/>
      </c>
      <c r="Q211" s="263">
        <f>IF(ISNUMBER(Q210),IF(ABS(Q208-Q210)&lt;=0.15,0,ROUND(Q208-Q210,1)),"n/p")</f>
        <v/>
      </c>
      <c r="R211" s="263">
        <f>IF(ISNUMBER(R210),IF(ABS(R208-R210)&lt;=0.15,0,ROUND(R208-R210,1)),"n/p")</f>
        <v/>
      </c>
      <c r="S211" s="263">
        <f>IF(ISNUMBER(S210),IF(ABS(S208-S210)&lt;=0.15,0,ROUND(S208-S210,1)),"n/p")</f>
        <v/>
      </c>
      <c r="T211" s="263">
        <f>IF(ISNUMBER(T210),IF(ABS(T208-T210)&lt;=0.15,0,ROUND(T208-T210,1)),"n/p")</f>
        <v/>
      </c>
      <c r="U211" s="263">
        <f>IF(ISNUMBER(U210),IF(ABS(U208-U210)&lt;=0.15,0,ROUND(U208-U210,1)),"n/p")</f>
        <v/>
      </c>
      <c r="V211" s="263">
        <f>IF(ISNUMBER(V210),IF(ABS(V208-V210)&lt;=0.15,0,ROUND(V208-V210,1)),"n/p")</f>
        <v/>
      </c>
      <c r="W211" s="263">
        <f>IF(ISNUMBER(W210),IF(ABS(W208-W210)&lt;=0.15,0,ROUND(W208-W210,1)),"n/p")</f>
        <v/>
      </c>
      <c r="X211" s="263">
        <f>IF(ISNUMBER(X210),IF(ABS(X208-X210)&lt;=0.15,0,ROUND(X208-X210,1)),"n/p")</f>
        <v/>
      </c>
      <c r="Y211" s="263">
        <f>IF(ISNUMBER(Y210),IF(ABS(Y208-Y210)&lt;=0.15,0,ROUND(Y208-Y210,1)),"n/p")</f>
        <v/>
      </c>
      <c r="Z211" s="263">
        <f>IF(ISNUMBER(Z210),IF(ABS(Z208-Z210)&lt;=0.15,0,ROUND(Z208-Z210,1)),"n/p")</f>
        <v/>
      </c>
      <c r="AA211" s="263">
        <f>IF(ISNUMBER(AA210),IF(ABS(AA208-AA210)&lt;=0.15,0,ROUND(AA208-AA210,1)),"n/p")</f>
        <v/>
      </c>
      <c r="AB211" s="263">
        <f>IF(ISNUMBER(AB210),IF(ABS(AB208-AB210)&lt;=0.15,0,ROUND(AB208-AB210,1)),"n/p")</f>
        <v/>
      </c>
      <c r="AC211" s="263">
        <f>IF(ISNUMBER(AC210),IF(ABS(AC208-AC210)&lt;=0.15,0,ROUND(AC208-AC210,1)),"n/p")</f>
        <v/>
      </c>
      <c r="AD211" s="263">
        <f>IF(ISNUMBER(AD210),IF(ABS(AD208-AD210)&lt;=0.15,0,ROUND(AD208-AD210,1)),"n/p")</f>
        <v/>
      </c>
      <c r="AE211" s="263">
        <f>IF(ISNUMBER(AE210),IF(ABS(AE208-AE210)&lt;=0.15,0,ROUND(AE208-AE210,1)),"n/p")</f>
        <v/>
      </c>
      <c r="AF211" s="263">
        <f>IF(ISNUMBER(AF210),IF(ABS(AF208-AF210)&lt;=0.15,0,ROUND(AF208-AF210,1)),"n/p")</f>
        <v/>
      </c>
      <c r="AG211" s="263">
        <f>IF(ISNUMBER(AG210),IF(ABS(AG208-AG210)&lt;=0.15,0,ROUND(AG208-AG210,1)),"n/p")</f>
        <v/>
      </c>
      <c r="AH211" s="263">
        <f>IF(ISNUMBER(AH210),IF(ABS(AH208-AH210)&lt;=0.15,0,ROUND(AH208-AH210,1)),"n/p")</f>
        <v/>
      </c>
      <c r="AI211" s="263">
        <f>IF(ISNUMBER(AI210),IF(ABS(AI208-AI210)&lt;=0.15,0,ROUND(AI208-AI210,1)),"n/p")</f>
        <v/>
      </c>
      <c r="AJ211" s="263">
        <f>IF(ISNUMBER(AJ210),IF(ABS(AJ208-AJ210)&lt;=0.15,0,ROUND(AJ208-AJ210,1)),"n/p")</f>
        <v/>
      </c>
      <c r="AK211" s="263">
        <f>IF(ISNUMBER(AK210),IF(ABS(AK208-AK210)&lt;=0.15,0,ROUND(AK208-AK210,1)),"n/p")</f>
        <v/>
      </c>
      <c r="AL211" s="263">
        <f>IF(ISNUMBER(AL210),IF(ABS(AL208-AL210)&lt;=0.15,0,ROUND(AL208-AL210,1)),"n/p")</f>
        <v/>
      </c>
      <c r="AM211" s="153" t="n"/>
      <c r="AN211" s="153" t="n"/>
      <c r="AO211" s="153" t="n"/>
      <c r="AP211" s="153" t="n"/>
      <c r="AQ211" s="153" t="n"/>
      <c r="AR211" s="153" t="n"/>
      <c r="AS211" s="153" t="n"/>
      <c r="AT211" s="153" t="n"/>
      <c r="AU211" s="153" t="n"/>
    </row>
    <row r="212" ht="15" customHeight="1" s="251">
      <c r="B212" s="158" t="inlineStr">
        <is>
          <t xml:space="preserve">  Definition / basis (company adjusted definition and presentation basis in force)</t>
        </is>
      </c>
      <c r="C212" s="283" t="inlineStr">
        <is>
          <t>FY2012–15 STERIS Corp: as reported; SYSTEM 1 rebate &amp; class action adjusted out (FY2011–13); segments Healthcare / Life Sciences / Isomedix</t>
        </is>
      </c>
      <c r="G212" s="283" t="inlineStr">
        <is>
          <t>FY2016: Synergy combination (Nov-2015); segments Healthcare Products / Healthcare Specialty Services / Life Sciences / AST; segment OI before adjustments</t>
        </is>
      </c>
      <c r="J212" s="283" t="inlineStr">
        <is>
          <t>FY2019+: corporate costs reported separately (previously largely allocated to segments)</t>
        </is>
      </c>
      <c r="L212" s="283" t="inlineStr">
        <is>
          <t>FY2021+: Healthcare Products and Healthcare Specialty Services combined into Healthcare</t>
        </is>
      </c>
      <c r="M212" s="283" t="inlineStr">
        <is>
          <t>Q1/22: Cantel (Jun-2021) — Dental segment; STERIS plc presentation as reported</t>
        </is>
      </c>
      <c r="R212" s="283" t="inlineStr">
        <is>
          <t>FY2023+: continuing operations (Dental discontinued; recast in the Q4 FY24 release and FY25 releases)</t>
        </is>
      </c>
      <c r="AG212" s="283" t="inlineStr">
        <is>
          <t>Q1/26+: releases presented in USD millions (one decimal) — checks use ±0.15 tolerance</t>
        </is>
      </c>
      <c r="AM212" s="153" t="n"/>
      <c r="AN212" s="153" t="n"/>
      <c r="AO212" s="153" t="n"/>
      <c r="AP212" s="153" t="n"/>
      <c r="AQ212" s="153" t="n"/>
      <c r="AR212" s="153" t="n"/>
      <c r="AS212" s="153" t="n"/>
      <c r="AT212" s="153" t="n"/>
      <c r="AU212" s="19" t="inlineStr">
        <is>
          <t>Basis changes are flagged in the column where they take effect (cell comment gives the detail).</t>
        </is>
      </c>
    </row>
    <row r="213" ht="15" customHeight="1" s="251">
      <c r="B213" s="22" t="inlineStr">
        <is>
          <t xml:space="preserve">  Adjusted operating income y/y %</t>
        </is>
      </c>
      <c r="C213" s="23" t="n"/>
      <c r="D213" s="255">
        <f>IF(AND(ISNUMBER(D208),ISNUMBER(C208)),IFERROR(D208/C208-1,""),"")</f>
        <v/>
      </c>
      <c r="E213" s="255">
        <f>IF(AND(ISNUMBER(E208),ISNUMBER(D208)),IFERROR(E208/D208-1,""),"")</f>
        <v/>
      </c>
      <c r="F213" s="255">
        <f>IF(AND(ISNUMBER(F208),ISNUMBER(E208)),IFERROR(F208/E208-1,""),"")</f>
        <v/>
      </c>
      <c r="G213" s="255">
        <f>IF(AND(ISNUMBER(G208),ISNUMBER(F208)),IFERROR(G208/F208-1,""),"")</f>
        <v/>
      </c>
      <c r="H213" s="255">
        <f>IF(AND(ISNUMBER(H208),ISNUMBER(G208)),IFERROR(H208/G208-1,""),"")</f>
        <v/>
      </c>
      <c r="I213" s="255">
        <f>IF(AND(ISNUMBER(I208),ISNUMBER(H208)),IFERROR(I208/H208-1,""),"")</f>
        <v/>
      </c>
      <c r="J213" s="255">
        <f>IF(AND(ISNUMBER(J208),ISNUMBER(I208)),IFERROR(J208/I208-1,""),"")</f>
        <v/>
      </c>
      <c r="K213" s="255">
        <f>IF(AND(ISNUMBER(K208),ISNUMBER(J208)),IFERROR(K208/J208-1,""),"")</f>
        <v/>
      </c>
      <c r="L213" s="255">
        <f>IF(AND(ISNUMBER(L208),ISNUMBER(K208)),IFERROR(L208/K208-1,""),"")</f>
        <v/>
      </c>
      <c r="M213" s="23" t="n"/>
      <c r="N213" s="23" t="n"/>
      <c r="O213" s="23" t="n"/>
      <c r="P213" s="23" t="n"/>
      <c r="Q213" s="255">
        <f>IF(AND(ISNUMBER(Q208),ISNUMBER(L208)),IFERROR(Q208/L208-1,""),"")</f>
        <v/>
      </c>
      <c r="R213" s="255">
        <f>IF(AND(ISNUMBER(R208),ISNUMBER(M208)),IFERROR(R208/M208-1,""),"")</f>
        <v/>
      </c>
      <c r="S213" s="255">
        <f>IF(AND(ISNUMBER(S208),ISNUMBER(N208)),IFERROR(S208/N208-1,""),"")</f>
        <v/>
      </c>
      <c r="T213" s="255">
        <f>IF(AND(ISNUMBER(T208),ISNUMBER(O208)),IFERROR(T208/O208-1,""),"")</f>
        <v/>
      </c>
      <c r="U213" s="255">
        <f>IF(AND(ISNUMBER(U208),ISNUMBER(P208)),IFERROR(U208/P208-1,""),"")</f>
        <v/>
      </c>
      <c r="V213" s="255">
        <f>IF(AND(ISNUMBER(V208),ISNUMBER(Q208)),IFERROR(V208/Q208-1,""),"")</f>
        <v/>
      </c>
      <c r="W213" s="255">
        <f>IF(AND(ISNUMBER(W208),ISNUMBER(R208)),IFERROR(W208/R208-1,""),"")</f>
        <v/>
      </c>
      <c r="X213" s="255">
        <f>IF(AND(ISNUMBER(X208),ISNUMBER(S208)),IFERROR(X208/S208-1,""),"")</f>
        <v/>
      </c>
      <c r="Y213" s="255">
        <f>IF(AND(ISNUMBER(Y208),ISNUMBER(T208)),IFERROR(Y208/T208-1,""),"")</f>
        <v/>
      </c>
      <c r="Z213" s="255">
        <f>IF(AND(ISNUMBER(Z208),ISNUMBER(U208)),IFERROR(Z208/U208-1,""),"")</f>
        <v/>
      </c>
      <c r="AA213" s="255">
        <f>IF(AND(ISNUMBER(AA208),ISNUMBER(V208)),IFERROR(AA208/V208-1,""),"")</f>
        <v/>
      </c>
      <c r="AB213" s="255">
        <f>IF(AND(ISNUMBER(AB208),ISNUMBER(W208)),IFERROR(AB208/W208-1,""),"")</f>
        <v/>
      </c>
      <c r="AC213" s="255">
        <f>IF(AND(ISNUMBER(AC208),ISNUMBER(X208)),IFERROR(AC208/X208-1,""),"")</f>
        <v/>
      </c>
      <c r="AD213" s="255">
        <f>IF(AND(ISNUMBER(AD208),ISNUMBER(Y208)),IFERROR(AD208/Y208-1,""),"")</f>
        <v/>
      </c>
      <c r="AE213" s="255">
        <f>IF(AND(ISNUMBER(AE208),ISNUMBER(Z208)),IFERROR(AE208/Z208-1,""),"")</f>
        <v/>
      </c>
      <c r="AF213" s="255">
        <f>IF(AND(ISNUMBER(AF208),ISNUMBER(AA208)),IFERROR(AF208/AA208-1,""),"")</f>
        <v/>
      </c>
      <c r="AG213" s="255">
        <f>IF(AND(ISNUMBER(AG208),ISNUMBER(AB208)),IFERROR(AG208/AB208-1,""),"")</f>
        <v/>
      </c>
      <c r="AH213" s="255">
        <f>IF(AND(ISNUMBER(AH208),ISNUMBER(AC208)),IFERROR(AH208/AC208-1,""),"")</f>
        <v/>
      </c>
      <c r="AI213" s="255">
        <f>IF(AND(ISNUMBER(AI208),ISNUMBER(AD208)),IFERROR(AI208/AD208-1,""),"")</f>
        <v/>
      </c>
      <c r="AJ213" s="255">
        <f>IF(AND(ISNUMBER(AJ208),ISNUMBER(AE208)),IFERROR(AJ208/AE208-1,""),"")</f>
        <v/>
      </c>
      <c r="AK213" s="255">
        <f>IF(AND(ISNUMBER(AK208),ISNUMBER(AF208)),IFERROR(AK208/AF208-1,""),"")</f>
        <v/>
      </c>
      <c r="AL213" s="255">
        <f>IF(AND(ISNUMBER(AL208),ISNUMBER(AG208)),IFERROR(AL208/AG208-1,""),"")</f>
        <v/>
      </c>
      <c r="AM213" s="256">
        <f>IF(AND(ISNUMBER(AM208),ISNUMBER(AH208)),IFERROR(AM208/AH208-1,""),"")</f>
        <v/>
      </c>
      <c r="AN213" s="256">
        <f>IF(AND(ISNUMBER(AN208),ISNUMBER(AI208)),IFERROR(AN208/AI208-1,""),"")</f>
        <v/>
      </c>
      <c r="AO213" s="256">
        <f>IF(AND(ISNUMBER(AO208),ISNUMBER(AJ208)),IFERROR(AO208/AJ208-1,""),"")</f>
        <v/>
      </c>
      <c r="AP213" s="256">
        <f>IF(AND(ISNUMBER(AP208),ISNUMBER(AK208)),IFERROR(AP208/AK208-1,""),"")</f>
        <v/>
      </c>
      <c r="AQ213" s="256">
        <f>IF(AND(ISNUMBER(AQ208),ISNUMBER(AP208)),IFERROR(AQ208/AP208-1,""),"")</f>
        <v/>
      </c>
      <c r="AR213" s="256">
        <f>IF(AND(ISNUMBER(AR208),ISNUMBER(AQ208)),IFERROR(AR208/AQ208-1,""),"")</f>
        <v/>
      </c>
      <c r="AS213" s="256">
        <f>IF(AND(ISNUMBER(AS208),ISNUMBER(AR208)),IFERROR(AS208/AR208-1,""),"")</f>
        <v/>
      </c>
      <c r="AT213" s="256">
        <f>IF(AND(ISNUMBER(AT208),ISNUMBER(AS208)),IFERROR(AT208/AS208-1,""),"")</f>
        <v/>
      </c>
      <c r="AU213" s="153" t="n"/>
    </row>
    <row r="214" ht="15" customHeight="1" s="251">
      <c r="B214" s="25" t="inlineStr">
        <is>
          <t xml:space="preserve">  Incremental adjusted operating margin (Δ adjusted operating income / Δ revenue)</t>
        </is>
      </c>
      <c r="C214" s="36" t="n"/>
      <c r="D214" s="215">
        <f>IFERROR((D208-C208)/(D159-C159),"")</f>
        <v/>
      </c>
      <c r="E214" s="215">
        <f>IFERROR((E208-D208)/(E159-D159),"")</f>
        <v/>
      </c>
      <c r="F214" s="215">
        <f>IFERROR((F208-E208)/(F159-E159),"")</f>
        <v/>
      </c>
      <c r="G214" s="215">
        <f>IFERROR((G208-F208)/(G159-F159),"")</f>
        <v/>
      </c>
      <c r="H214" s="215">
        <f>IFERROR((H208-G208)/(H159-G159),"")</f>
        <v/>
      </c>
      <c r="I214" s="215">
        <f>IFERROR((I208-H208)/(I159-H159),"")</f>
        <v/>
      </c>
      <c r="J214" s="215">
        <f>IFERROR((J208-I208)/(J159-I159),"")</f>
        <v/>
      </c>
      <c r="K214" s="215">
        <f>IFERROR((K208-J208)/(K159-J159),"")</f>
        <v/>
      </c>
      <c r="L214" s="215">
        <f>IFERROR((L208-K208)/(L159-K159),"")</f>
        <v/>
      </c>
      <c r="M214" s="36" t="n"/>
      <c r="N214" s="36" t="n"/>
      <c r="O214" s="36" t="n"/>
      <c r="P214" s="36" t="n"/>
      <c r="Q214" s="215">
        <f>IFERROR((Q208-L208)/(Q159-L159),"")</f>
        <v/>
      </c>
      <c r="R214" s="215">
        <f>IFERROR((R208-M208)/(R159-M159),"")</f>
        <v/>
      </c>
      <c r="S214" s="215">
        <f>IFERROR((S208-N208)/(S159-N159),"")</f>
        <v/>
      </c>
      <c r="T214" s="215">
        <f>IFERROR((T208-O208)/(T159-O159),"")</f>
        <v/>
      </c>
      <c r="U214" s="215">
        <f>IFERROR((U208-P208)/(U159-P159),"")</f>
        <v/>
      </c>
      <c r="V214" s="215">
        <f>IFERROR((V208-Q208)/(V159-Q159),"")</f>
        <v/>
      </c>
      <c r="W214" s="215">
        <f>IFERROR((W208-R208)/(W159-R159),"")</f>
        <v/>
      </c>
      <c r="X214" s="215">
        <f>IFERROR((X208-S208)/(X159-S159),"")</f>
        <v/>
      </c>
      <c r="Y214" s="215">
        <f>IFERROR((Y208-T208)/(Y159-T159),"")</f>
        <v/>
      </c>
      <c r="Z214" s="215">
        <f>IFERROR((Z208-U208)/(Z159-U159),"")</f>
        <v/>
      </c>
      <c r="AA214" s="215">
        <f>IFERROR((AA208-V208)/(AA159-V159),"")</f>
        <v/>
      </c>
      <c r="AB214" s="215">
        <f>IFERROR((AB208-W208)/(AB159-W159),"")</f>
        <v/>
      </c>
      <c r="AC214" s="215">
        <f>IFERROR((AC208-X208)/(AC159-X159),"")</f>
        <v/>
      </c>
      <c r="AD214" s="215">
        <f>IFERROR((AD208-Y208)/(AD159-Y159),"")</f>
        <v/>
      </c>
      <c r="AE214" s="215">
        <f>IFERROR((AE208-Z208)/(AE159-Z159),"")</f>
        <v/>
      </c>
      <c r="AF214" s="215">
        <f>IFERROR((AF208-AA208)/(AF159-AA159),"")</f>
        <v/>
      </c>
      <c r="AG214" s="215">
        <f>IFERROR((AG208-AB208)/(AG159-AB159),"")</f>
        <v/>
      </c>
      <c r="AH214" s="215">
        <f>IFERROR((AH208-AC208)/(AH159-AC159),"")</f>
        <v/>
      </c>
      <c r="AI214" s="215">
        <f>IFERROR((AI208-AD208)/(AI159-AD159),"")</f>
        <v/>
      </c>
      <c r="AJ214" s="215">
        <f>IFERROR((AJ208-AE208)/(AJ159-AE159),"")</f>
        <v/>
      </c>
      <c r="AK214" s="215">
        <f>IFERROR((AK208-AF208)/(AK159-AF159),"")</f>
        <v/>
      </c>
      <c r="AL214" s="215">
        <f>IFERROR((AL208-AG208)/(AL159-AG159),"")</f>
        <v/>
      </c>
      <c r="AM214" s="256">
        <f>IFERROR((AM208-AH208)/(AM159-AH159),"")</f>
        <v/>
      </c>
      <c r="AN214" s="256">
        <f>IFERROR((AN208-AI208)/(AN159-AI159),"")</f>
        <v/>
      </c>
      <c r="AO214" s="256">
        <f>IFERROR((AO208-AJ208)/(AO159-AJ159),"")</f>
        <v/>
      </c>
      <c r="AP214" s="256">
        <f>IFERROR((AP208-AK208)/(AP159-AK159),"")</f>
        <v/>
      </c>
      <c r="AQ214" s="256">
        <f>IFERROR((AQ208-AP208)/(AQ159-AP159),"")</f>
        <v/>
      </c>
      <c r="AR214" s="256">
        <f>IFERROR((AR208-AQ208)/(AR159-AQ159),"")</f>
        <v/>
      </c>
      <c r="AS214" s="256">
        <f>IFERROR((AS208-AR208)/(AS159-AR159),"")</f>
        <v/>
      </c>
      <c r="AT214" s="256">
        <f>IFERROR((AT208-AS208)/(AT159-AS159),"")</f>
        <v/>
      </c>
      <c r="AU214" s="153" t="n"/>
    </row>
    <row r="215" ht="15" customHeight="1" s="251">
      <c r="B215" s="25" t="inlineStr">
        <is>
          <t>Adjusted gross profit:</t>
        </is>
      </c>
      <c r="AU215" s="153" t="n"/>
    </row>
    <row r="216" ht="15" customHeight="1" s="251">
      <c r="B216" s="25" t="inlineStr">
        <is>
          <t xml:space="preserve">  (+) Adjusting items in cost of revenues (step-up, restructuring, amortization, other)</t>
        </is>
      </c>
      <c r="C216" s="253" t="n">
        <v>-14.537</v>
      </c>
      <c r="D216" s="253" t="n">
        <v>-22.047</v>
      </c>
      <c r="E216" s="253" t="n">
        <v>8.757</v>
      </c>
      <c r="F216" s="253" t="n">
        <v>0.866</v>
      </c>
      <c r="G216" s="253" t="n">
        <v>13.124</v>
      </c>
      <c r="H216" s="253" t="n">
        <v>8.202</v>
      </c>
      <c r="I216" s="253" t="n">
        <v>12.569</v>
      </c>
      <c r="J216" s="253" t="n">
        <v>15.191</v>
      </c>
      <c r="K216" s="253" t="n">
        <v>8.593</v>
      </c>
      <c r="L216" s="253" t="n">
        <v>37.742</v>
      </c>
      <c r="M216" s="253" t="n">
        <v>24.669</v>
      </c>
      <c r="N216" s="253" t="n">
        <v>72.634</v>
      </c>
      <c r="O216" s="253" t="n">
        <v>6.666</v>
      </c>
      <c r="P216" s="253" t="n">
        <v>-21.134</v>
      </c>
      <c r="Q216" s="253" t="n">
        <v>82.83499999999999</v>
      </c>
      <c r="R216" s="253" t="n">
        <v>3.756</v>
      </c>
      <c r="S216" s="253" t="n">
        <v>4.952</v>
      </c>
      <c r="T216" s="253" t="n">
        <v>2.492</v>
      </c>
      <c r="U216" s="253" t="n">
        <v>9.32</v>
      </c>
      <c r="V216" s="253" t="n">
        <v>20.52</v>
      </c>
      <c r="W216" s="253" t="n">
        <v>1.134</v>
      </c>
      <c r="X216" s="253" t="n">
        <v>1.352</v>
      </c>
      <c r="Y216" s="253" t="n">
        <v>6.974</v>
      </c>
      <c r="Z216" s="253" t="n">
        <v>21.409</v>
      </c>
      <c r="AA216" s="253" t="n">
        <v>30.869</v>
      </c>
      <c r="AB216" s="253" t="n">
        <v>4.179</v>
      </c>
      <c r="AC216" s="253" t="n">
        <v>2.183</v>
      </c>
      <c r="AD216" s="253" t="n">
        <v>1.554</v>
      </c>
      <c r="AE216" s="253" t="n">
        <v>15.27</v>
      </c>
      <c r="AF216" s="253" t="n">
        <v>23.193</v>
      </c>
      <c r="AG216" s="253" t="n">
        <v>1.6</v>
      </c>
      <c r="AH216" s="253" t="n">
        <v>0.8</v>
      </c>
      <c r="AI216" s="253" t="n">
        <v>1.5</v>
      </c>
      <c r="AJ216" s="253" t="n">
        <v>2.4</v>
      </c>
      <c r="AK216" s="253" t="n">
        <v>6.5</v>
      </c>
      <c r="AL216" s="253" t="n">
        <v>2.2</v>
      </c>
      <c r="AM216" s="35" t="n"/>
      <c r="AN216" s="35" t="n"/>
      <c r="AO216" s="35" t="n"/>
      <c r="AP216" s="35" t="n"/>
      <c r="AQ216" s="35" t="n"/>
      <c r="AR216" s="35" t="n"/>
      <c r="AS216" s="35" t="n"/>
      <c r="AT216" s="35" t="n"/>
      <c r="AU216" s="19" t="n"/>
    </row>
    <row r="217" ht="15" customHeight="1" s="251">
      <c r="B217" s="16" t="inlineStr">
        <is>
          <t xml:space="preserve">  = Adjusted gross profit (model)</t>
        </is>
      </c>
      <c r="C217" s="261">
        <f>IF(ISNUMBER(C216),C161+C216,"")</f>
        <v/>
      </c>
      <c r="D217" s="261">
        <f>IF(ISNUMBER(D216),D161+D216,"")</f>
        <v/>
      </c>
      <c r="E217" s="261">
        <f>IF(ISNUMBER(E216),E161+E216,"")</f>
        <v/>
      </c>
      <c r="F217" s="261">
        <f>IF(ISNUMBER(F216),F161+F216,"")</f>
        <v/>
      </c>
      <c r="G217" s="261">
        <f>IF(ISNUMBER(G216),G161+G216,"")</f>
        <v/>
      </c>
      <c r="H217" s="261">
        <f>IF(ISNUMBER(H216),H161+H216,"")</f>
        <v/>
      </c>
      <c r="I217" s="261">
        <f>IF(ISNUMBER(I216),I161+I216,"")</f>
        <v/>
      </c>
      <c r="J217" s="261">
        <f>IF(ISNUMBER(J216),J161+J216,"")</f>
        <v/>
      </c>
      <c r="K217" s="261">
        <f>IF(ISNUMBER(K216),K161+K216,"")</f>
        <v/>
      </c>
      <c r="L217" s="261">
        <f>IF(ISNUMBER(L216),L161+L216,"")</f>
        <v/>
      </c>
      <c r="M217" s="261">
        <f>IF(ISNUMBER(M216),M161+M216,"")</f>
        <v/>
      </c>
      <c r="N217" s="261">
        <f>IF(ISNUMBER(N216),N161+N216,"")</f>
        <v/>
      </c>
      <c r="O217" s="261">
        <f>IF(ISNUMBER(O216),O161+O216,"")</f>
        <v/>
      </c>
      <c r="P217" s="261">
        <f>IF(ISNUMBER(P216),P161+P216,"")</f>
        <v/>
      </c>
      <c r="Q217" s="261">
        <f>IF(ISNUMBER(Q216),Q161+Q216,"")</f>
        <v/>
      </c>
      <c r="R217" s="261">
        <f>IF(ISNUMBER(R216),R161+R216,"")</f>
        <v/>
      </c>
      <c r="S217" s="261">
        <f>IF(ISNUMBER(S216),S161+S216,"")</f>
        <v/>
      </c>
      <c r="T217" s="261">
        <f>IF(ISNUMBER(T216),T161+T216,"")</f>
        <v/>
      </c>
      <c r="U217" s="261">
        <f>IF(ISNUMBER(U216),U161+U216,"")</f>
        <v/>
      </c>
      <c r="V217" s="261">
        <f>IF(ISNUMBER(V216),V161+V216,"")</f>
        <v/>
      </c>
      <c r="W217" s="261">
        <f>IF(ISNUMBER(W216),W161+W216,"")</f>
        <v/>
      </c>
      <c r="X217" s="261">
        <f>IF(ISNUMBER(X216),X161+X216,"")</f>
        <v/>
      </c>
      <c r="Y217" s="261">
        <f>IF(ISNUMBER(Y216),Y161+Y216,"")</f>
        <v/>
      </c>
      <c r="Z217" s="261">
        <f>IF(ISNUMBER(Z216),Z161+Z216,"")</f>
        <v/>
      </c>
      <c r="AA217" s="261">
        <f>IF(ISNUMBER(AA216),AA161+AA216,"")</f>
        <v/>
      </c>
      <c r="AB217" s="261">
        <f>IF(ISNUMBER(AB216),AB161+AB216,"")</f>
        <v/>
      </c>
      <c r="AC217" s="261">
        <f>IF(ISNUMBER(AC216),AC161+AC216,"")</f>
        <v/>
      </c>
      <c r="AD217" s="261">
        <f>IF(ISNUMBER(AD216),AD161+AD216,"")</f>
        <v/>
      </c>
      <c r="AE217" s="261">
        <f>IF(ISNUMBER(AE216),AE161+AE216,"")</f>
        <v/>
      </c>
      <c r="AF217" s="261">
        <f>IF(ISNUMBER(AF216),AF161+AF216,"")</f>
        <v/>
      </c>
      <c r="AG217" s="261">
        <f>IF(ISNUMBER(AG216),AG161+AG216,"")</f>
        <v/>
      </c>
      <c r="AH217" s="261">
        <f>IF(ISNUMBER(AH216),AH161+AH216,"")</f>
        <v/>
      </c>
      <c r="AI217" s="261">
        <f>IF(ISNUMBER(AI216),AI161+AI216,"")</f>
        <v/>
      </c>
      <c r="AJ217" s="261">
        <f>IF(ISNUMBER(AJ216),AJ161+AJ216,"")</f>
        <v/>
      </c>
      <c r="AK217" s="261">
        <f>IF(ISNUMBER(AK216),AK161+AK216,"")</f>
        <v/>
      </c>
      <c r="AL217" s="261">
        <f>IF(ISNUMBER(AL216),AL161+AL216,"")</f>
        <v/>
      </c>
      <c r="AM217" s="32" t="n"/>
      <c r="AN217" s="32" t="n"/>
      <c r="AO217" s="32" t="n"/>
      <c r="AP217" s="32" t="n"/>
      <c r="AQ217" s="32" t="n"/>
      <c r="AR217" s="32" t="n"/>
      <c r="AS217" s="32" t="n"/>
      <c r="AT217" s="32" t="n"/>
      <c r="AU217" s="153" t="n"/>
    </row>
    <row r="218" ht="15" customHeight="1" s="251">
      <c r="B218" s="25" t="inlineStr">
        <is>
          <t xml:space="preserve">  Adjusted gross margin %</t>
        </is>
      </c>
      <c r="C218" s="215">
        <f>IF(AND(ISNUMBER(C217),ISNUMBER(C159)),IFERROR(C217/C159,""),"")</f>
        <v/>
      </c>
      <c r="D218" s="215">
        <f>IF(AND(ISNUMBER(D217),ISNUMBER(D159)),IFERROR(D217/D159,""),"")</f>
        <v/>
      </c>
      <c r="E218" s="215">
        <f>IF(AND(ISNUMBER(E217),ISNUMBER(E159)),IFERROR(E217/E159,""),"")</f>
        <v/>
      </c>
      <c r="F218" s="215">
        <f>IF(AND(ISNUMBER(F217),ISNUMBER(F159)),IFERROR(F217/F159,""),"")</f>
        <v/>
      </c>
      <c r="G218" s="215">
        <f>IF(AND(ISNUMBER(G217),ISNUMBER(G159)),IFERROR(G217/G159,""),"")</f>
        <v/>
      </c>
      <c r="H218" s="215">
        <f>IF(AND(ISNUMBER(H217),ISNUMBER(H159)),IFERROR(H217/H159,""),"")</f>
        <v/>
      </c>
      <c r="I218" s="215">
        <f>IF(AND(ISNUMBER(I217),ISNUMBER(I159)),IFERROR(I217/I159,""),"")</f>
        <v/>
      </c>
      <c r="J218" s="215">
        <f>IF(AND(ISNUMBER(J217),ISNUMBER(J159)),IFERROR(J217/J159,""),"")</f>
        <v/>
      </c>
      <c r="K218" s="215">
        <f>IF(AND(ISNUMBER(K217),ISNUMBER(K159)),IFERROR(K217/K159,""),"")</f>
        <v/>
      </c>
      <c r="L218" s="215">
        <f>IF(AND(ISNUMBER(L217),ISNUMBER(L159)),IFERROR(L217/L159,""),"")</f>
        <v/>
      </c>
      <c r="M218" s="215">
        <f>IF(AND(ISNUMBER(M217),ISNUMBER(M159)),IFERROR(M217/M159,""),"")</f>
        <v/>
      </c>
      <c r="N218" s="215">
        <f>IF(AND(ISNUMBER(N217),ISNUMBER(N159)),IFERROR(N217/N159,""),"")</f>
        <v/>
      </c>
      <c r="O218" s="215">
        <f>IF(AND(ISNUMBER(O217),ISNUMBER(O159)),IFERROR(O217/O159,""),"")</f>
        <v/>
      </c>
      <c r="P218" s="215">
        <f>IF(AND(ISNUMBER(P217),ISNUMBER(P159)),IFERROR(P217/P159,""),"")</f>
        <v/>
      </c>
      <c r="Q218" s="215">
        <f>IF(AND(ISNUMBER(Q217),ISNUMBER(Q159)),IFERROR(Q217/Q159,""),"")</f>
        <v/>
      </c>
      <c r="R218" s="215">
        <f>IF(AND(ISNUMBER(R217),ISNUMBER(R159)),IFERROR(R217/R159,""),"")</f>
        <v/>
      </c>
      <c r="S218" s="215">
        <f>IF(AND(ISNUMBER(S217),ISNUMBER(S159)),IFERROR(S217/S159,""),"")</f>
        <v/>
      </c>
      <c r="T218" s="215">
        <f>IF(AND(ISNUMBER(T217),ISNUMBER(T159)),IFERROR(T217/T159,""),"")</f>
        <v/>
      </c>
      <c r="U218" s="215">
        <f>IF(AND(ISNUMBER(U217),ISNUMBER(U159)),IFERROR(U217/U159,""),"")</f>
        <v/>
      </c>
      <c r="V218" s="215">
        <f>IF(AND(ISNUMBER(V217),ISNUMBER(V159)),IFERROR(V217/V159,""),"")</f>
        <v/>
      </c>
      <c r="W218" s="215">
        <f>IF(AND(ISNUMBER(W217),ISNUMBER(W159)),IFERROR(W217/W159,""),"")</f>
        <v/>
      </c>
      <c r="X218" s="215">
        <f>IF(AND(ISNUMBER(X217),ISNUMBER(X159)),IFERROR(X217/X159,""),"")</f>
        <v/>
      </c>
      <c r="Y218" s="215">
        <f>IF(AND(ISNUMBER(Y217),ISNUMBER(Y159)),IFERROR(Y217/Y159,""),"")</f>
        <v/>
      </c>
      <c r="Z218" s="215">
        <f>IF(AND(ISNUMBER(Z217),ISNUMBER(Z159)),IFERROR(Z217/Z159,""),"")</f>
        <v/>
      </c>
      <c r="AA218" s="215">
        <f>IF(AND(ISNUMBER(AA217),ISNUMBER(AA159)),IFERROR(AA217/AA159,""),"")</f>
        <v/>
      </c>
      <c r="AB218" s="215">
        <f>IF(AND(ISNUMBER(AB217),ISNUMBER(AB159)),IFERROR(AB217/AB159,""),"")</f>
        <v/>
      </c>
      <c r="AC218" s="215">
        <f>IF(AND(ISNUMBER(AC217),ISNUMBER(AC159)),IFERROR(AC217/AC159,""),"")</f>
        <v/>
      </c>
      <c r="AD218" s="215">
        <f>IF(AND(ISNUMBER(AD217),ISNUMBER(AD159)),IFERROR(AD217/AD159,""),"")</f>
        <v/>
      </c>
      <c r="AE218" s="215">
        <f>IF(AND(ISNUMBER(AE217),ISNUMBER(AE159)),IFERROR(AE217/AE159,""),"")</f>
        <v/>
      </c>
      <c r="AF218" s="215">
        <f>IF(AND(ISNUMBER(AF217),ISNUMBER(AF159)),IFERROR(AF217/AF159,""),"")</f>
        <v/>
      </c>
      <c r="AG218" s="215">
        <f>IF(AND(ISNUMBER(AG217),ISNUMBER(AG159)),IFERROR(AG217/AG159,""),"")</f>
        <v/>
      </c>
      <c r="AH218" s="215">
        <f>IF(AND(ISNUMBER(AH217),ISNUMBER(AH159)),IFERROR(AH217/AH159,""),"")</f>
        <v/>
      </c>
      <c r="AI218" s="215">
        <f>IF(AND(ISNUMBER(AI217),ISNUMBER(AI159)),IFERROR(AI217/AI159,""),"")</f>
        <v/>
      </c>
      <c r="AJ218" s="215">
        <f>IF(AND(ISNUMBER(AJ217),ISNUMBER(AJ159)),IFERROR(AJ217/AJ159,""),"")</f>
        <v/>
      </c>
      <c r="AK218" s="215">
        <f>IF(AND(ISNUMBER(AK217),ISNUMBER(AK159)),IFERROR(AK217/AK159,""),"")</f>
        <v/>
      </c>
      <c r="AL218" s="215">
        <f>IF(AND(ISNUMBER(AL217),ISNUMBER(AL159)),IFERROR(AL217/AL159,""),"")</f>
        <v/>
      </c>
      <c r="AM218" s="256">
        <f>IF(AND(ISNUMBER(AM217),ISNUMBER(AM159)),IFERROR(AM217/AM159,""),"")</f>
        <v/>
      </c>
      <c r="AN218" s="256">
        <f>IF(AND(ISNUMBER(AN217),ISNUMBER(AN159)),IFERROR(AN217/AN159,""),"")</f>
        <v/>
      </c>
      <c r="AO218" s="256">
        <f>IF(AND(ISNUMBER(AO217),ISNUMBER(AO159)),IFERROR(AO217/AO159,""),"")</f>
        <v/>
      </c>
      <c r="AP218" s="256">
        <f>IF(AND(ISNUMBER(AP217),ISNUMBER(AP159)),IFERROR(AP217/AP159,""),"")</f>
        <v/>
      </c>
      <c r="AQ218" s="256">
        <f>IF(AND(ISNUMBER(AQ217),ISNUMBER(AQ159)),IFERROR(AQ217/AQ159,""),"")</f>
        <v/>
      </c>
      <c r="AR218" s="256">
        <f>IF(AND(ISNUMBER(AR217),ISNUMBER(AR159)),IFERROR(AR217/AR159,""),"")</f>
        <v/>
      </c>
      <c r="AS218" s="256">
        <f>IF(AND(ISNUMBER(AS217),ISNUMBER(AS159)),IFERROR(AS217/AS159,""),"")</f>
        <v/>
      </c>
      <c r="AT218" s="256">
        <f>IF(AND(ISNUMBER(AT217),ISNUMBER(AT159)),IFERROR(AT217/AT159,""),"")</f>
        <v/>
      </c>
      <c r="AU218" s="153" t="n"/>
    </row>
    <row r="219" ht="15" customHeight="1" s="251">
      <c r="B219" s="156" t="inlineStr">
        <is>
          <t xml:space="preserve">  Company-published adjusted gross profit</t>
        </is>
      </c>
      <c r="C219" s="253" t="n">
        <v>553.928</v>
      </c>
      <c r="D219" s="253" t="n">
        <v>599.216</v>
      </c>
      <c r="E219" s="253" t="n">
        <v>658.379</v>
      </c>
      <c r="F219" s="253" t="n">
        <v>775.167</v>
      </c>
      <c r="G219" s="253" t="n">
        <v>908.605</v>
      </c>
      <c r="H219" s="253" t="n">
        <v>1033.834</v>
      </c>
      <c r="I219" s="253" t="n">
        <v>1106.792</v>
      </c>
      <c r="J219" s="253" t="n">
        <v>1190.618</v>
      </c>
      <c r="K219" s="253" t="n">
        <v>1328.516</v>
      </c>
      <c r="L219" s="253" t="n">
        <v>1380.842</v>
      </c>
      <c r="M219" s="253" t="n">
        <v>450.951</v>
      </c>
      <c r="N219" s="253" t="n">
        <v>552.978</v>
      </c>
      <c r="O219" s="253" t="n">
        <v>544.78</v>
      </c>
      <c r="P219" s="253" t="n">
        <v>550.4880000000001</v>
      </c>
      <c r="Q219" s="253" t="n">
        <v>2099.197</v>
      </c>
      <c r="R219" s="253" t="n">
        <v>477.581</v>
      </c>
      <c r="S219" s="253" t="n">
        <v>487.264</v>
      </c>
      <c r="T219" s="253" t="n">
        <v>480.679</v>
      </c>
      <c r="U219" s="253" t="n">
        <v>555.722</v>
      </c>
      <c r="V219" s="253" t="n">
        <v>2001.246</v>
      </c>
      <c r="W219" s="253" t="n">
        <v>530.138</v>
      </c>
      <c r="X219" s="253" t="n">
        <v>547.58</v>
      </c>
      <c r="Y219" s="253" t="n">
        <v>567</v>
      </c>
      <c r="Z219" s="253" t="n">
        <v>604.311</v>
      </c>
      <c r="AA219" s="253" t="n">
        <v>2249.029</v>
      </c>
      <c r="AB219" s="253" t="n">
        <v>576.609</v>
      </c>
      <c r="AC219" s="253" t="n">
        <v>580.974</v>
      </c>
      <c r="AD219" s="253" t="n">
        <v>611.886</v>
      </c>
      <c r="AE219" s="253" t="n">
        <v>656.481</v>
      </c>
      <c r="AF219" s="253" t="n">
        <v>2425.957</v>
      </c>
      <c r="AG219" s="253" t="n">
        <v>629.6</v>
      </c>
      <c r="AH219" s="253" t="n">
        <v>646.7</v>
      </c>
      <c r="AI219" s="253" t="n">
        <v>657.1</v>
      </c>
      <c r="AJ219" s="253" t="n">
        <v>699.6</v>
      </c>
      <c r="AK219" s="253" t="n">
        <v>2633</v>
      </c>
      <c r="AL219" s="253" t="n">
        <v>686.4</v>
      </c>
      <c r="AM219" s="153" t="n"/>
      <c r="AN219" s="153" t="n"/>
      <c r="AO219" s="153" t="n"/>
      <c r="AP219" s="153" t="n"/>
      <c r="AQ219" s="153" t="n"/>
      <c r="AR219" s="153" t="n"/>
      <c r="AS219" s="153" t="n"/>
      <c r="AT219" s="153" t="n"/>
      <c r="AU219" s="153" t="n"/>
    </row>
    <row r="220" ht="15" customHeight="1" s="251">
      <c r="B220" s="57" t="inlineStr">
        <is>
          <t xml:space="preserve">  Check: model vs company-published adjusted gross profit (should be 0)</t>
        </is>
      </c>
      <c r="C220" s="263">
        <f>IF(AND(ISNUMBER(C219),ISNUMBER(C217)),IF(ABS(C217-C219)&lt;=0.15,0,ROUND(C217-C219,1)),"n/p")</f>
        <v/>
      </c>
      <c r="D220" s="263">
        <f>IF(AND(ISNUMBER(D219),ISNUMBER(D217)),IF(ABS(D217-D219)&lt;=0.15,0,ROUND(D217-D219,1)),"n/p")</f>
        <v/>
      </c>
      <c r="E220" s="263">
        <f>IF(AND(ISNUMBER(E219),ISNUMBER(E217)),IF(ABS(E217-E219)&lt;=0.15,0,ROUND(E217-E219,1)),"n/p")</f>
        <v/>
      </c>
      <c r="F220" s="263">
        <f>IF(AND(ISNUMBER(F219),ISNUMBER(F217)),IF(ABS(F217-F219)&lt;=0.15,0,ROUND(F217-F219,1)),"n/p")</f>
        <v/>
      </c>
      <c r="G220" s="263">
        <f>IF(AND(ISNUMBER(G219),ISNUMBER(G217)),IF(ABS(G217-G219)&lt;=0.15,0,ROUND(G217-G219,1)),"n/p")</f>
        <v/>
      </c>
      <c r="H220" s="263">
        <f>IF(AND(ISNUMBER(H219),ISNUMBER(H217)),IF(ABS(H217-H219)&lt;=0.15,0,ROUND(H217-H219,1)),"n/p")</f>
        <v/>
      </c>
      <c r="I220" s="263">
        <f>IF(AND(ISNUMBER(I219),ISNUMBER(I217)),IF(ABS(I217-I219)&lt;=0.15,0,ROUND(I217-I219,1)),"n/p")</f>
        <v/>
      </c>
      <c r="J220" s="263">
        <f>IF(AND(ISNUMBER(J219),ISNUMBER(J217)),IF(ABS(J217-J219)&lt;=0.15,0,ROUND(J217-J219,1)),"n/p")</f>
        <v/>
      </c>
      <c r="K220" s="263">
        <f>IF(AND(ISNUMBER(K219),ISNUMBER(K217)),IF(ABS(K217-K219)&lt;=0.15,0,ROUND(K217-K219,1)),"n/p")</f>
        <v/>
      </c>
      <c r="L220" s="263">
        <f>IF(AND(ISNUMBER(L219),ISNUMBER(L217)),IF(ABS(L217-L219)&lt;=0.15,0,ROUND(L217-L219,1)),"n/p")</f>
        <v/>
      </c>
      <c r="M220" s="263">
        <f>IF(AND(ISNUMBER(M219),ISNUMBER(M217)),IF(ABS(M217-M219)&lt;=0.15,0,ROUND(M217-M219,1)),"n/p")</f>
        <v/>
      </c>
      <c r="N220" s="263">
        <f>IF(AND(ISNUMBER(N219),ISNUMBER(N217)),IF(ABS(N217-N219)&lt;=0.15,0,ROUND(N217-N219,1)),"n/p")</f>
        <v/>
      </c>
      <c r="O220" s="263">
        <f>IF(AND(ISNUMBER(O219),ISNUMBER(O217)),IF(ABS(O217-O219)&lt;=0.15,0,ROUND(O217-O219,1)),"n/p")</f>
        <v/>
      </c>
      <c r="P220" s="263">
        <f>IF(AND(ISNUMBER(P219),ISNUMBER(P217)),IF(ABS(P217-P219)&lt;=0.15,0,ROUND(P217-P219,1)),"n/p")</f>
        <v/>
      </c>
      <c r="Q220" s="263">
        <f>IF(AND(ISNUMBER(Q219),ISNUMBER(Q217)),IF(ABS(Q217-Q219)&lt;=0.15,0,ROUND(Q217-Q219,1)),"n/p")</f>
        <v/>
      </c>
      <c r="R220" s="263">
        <f>IF(AND(ISNUMBER(R219),ISNUMBER(R217)),IF(ABS(R217-R219)&lt;=0.15,0,ROUND(R217-R219,1)),"n/p")</f>
        <v/>
      </c>
      <c r="S220" s="263">
        <f>IF(AND(ISNUMBER(S219),ISNUMBER(S217)),IF(ABS(S217-S219)&lt;=0.15,0,ROUND(S217-S219,1)),"n/p")</f>
        <v/>
      </c>
      <c r="T220" s="263">
        <f>IF(AND(ISNUMBER(T219),ISNUMBER(T217)),IF(ABS(T217-T219)&lt;=0.15,0,ROUND(T217-T219,1)),"n/p")</f>
        <v/>
      </c>
      <c r="U220" s="263">
        <f>IF(AND(ISNUMBER(U219),ISNUMBER(U217)),IF(ABS(U217-U219)&lt;=0.15,0,ROUND(U217-U219,1)),"n/p")</f>
        <v/>
      </c>
      <c r="V220" s="263">
        <f>IF(AND(ISNUMBER(V219),ISNUMBER(V217)),IF(ABS(V217-V219)&lt;=0.15,0,ROUND(V217-V219,1)),"n/p")</f>
        <v/>
      </c>
      <c r="W220" s="263">
        <f>IF(AND(ISNUMBER(W219),ISNUMBER(W217)),IF(ABS(W217-W219)&lt;=0.15,0,ROUND(W217-W219,1)),"n/p")</f>
        <v/>
      </c>
      <c r="X220" s="263">
        <f>IF(AND(ISNUMBER(X219),ISNUMBER(X217)),IF(ABS(X217-X219)&lt;=0.15,0,ROUND(X217-X219,1)),"n/p")</f>
        <v/>
      </c>
      <c r="Y220" s="263">
        <f>IF(AND(ISNUMBER(Y219),ISNUMBER(Y217)),IF(ABS(Y217-Y219)&lt;=0.15,0,ROUND(Y217-Y219,1)),"n/p")</f>
        <v/>
      </c>
      <c r="Z220" s="263">
        <f>IF(AND(ISNUMBER(Z219),ISNUMBER(Z217)),IF(ABS(Z217-Z219)&lt;=0.15,0,ROUND(Z217-Z219,1)),"n/p")</f>
        <v/>
      </c>
      <c r="AA220" s="263">
        <f>IF(AND(ISNUMBER(AA219),ISNUMBER(AA217)),IF(ABS(AA217-AA219)&lt;=0.15,0,ROUND(AA217-AA219,1)),"n/p")</f>
        <v/>
      </c>
      <c r="AB220" s="263">
        <f>IF(AND(ISNUMBER(AB219),ISNUMBER(AB217)),IF(ABS(AB217-AB219)&lt;=0.15,0,ROUND(AB217-AB219,1)),"n/p")</f>
        <v/>
      </c>
      <c r="AC220" s="263">
        <f>IF(AND(ISNUMBER(AC219),ISNUMBER(AC217)),IF(ABS(AC217-AC219)&lt;=0.15,0,ROUND(AC217-AC219,1)),"n/p")</f>
        <v/>
      </c>
      <c r="AD220" s="263">
        <f>IF(AND(ISNUMBER(AD219),ISNUMBER(AD217)),IF(ABS(AD217-AD219)&lt;=0.15,0,ROUND(AD217-AD219,1)),"n/p")</f>
        <v/>
      </c>
      <c r="AE220" s="263">
        <f>IF(AND(ISNUMBER(AE219),ISNUMBER(AE217)),IF(ABS(AE217-AE219)&lt;=0.15,0,ROUND(AE217-AE219,1)),"n/p")</f>
        <v/>
      </c>
      <c r="AF220" s="263">
        <f>IF(AND(ISNUMBER(AF219),ISNUMBER(AF217)),IF(ABS(AF217-AF219)&lt;=0.15,0,ROUND(AF217-AF219,1)),"n/p")</f>
        <v/>
      </c>
      <c r="AG220" s="263">
        <f>IF(AND(ISNUMBER(AG219),ISNUMBER(AG217)),IF(ABS(AG217-AG219)&lt;=0.15,0,ROUND(AG217-AG219,1)),"n/p")</f>
        <v/>
      </c>
      <c r="AH220" s="263">
        <f>IF(AND(ISNUMBER(AH219),ISNUMBER(AH217)),IF(ABS(AH217-AH219)&lt;=0.15,0,ROUND(AH217-AH219,1)),"n/p")</f>
        <v/>
      </c>
      <c r="AI220" s="263">
        <f>IF(AND(ISNUMBER(AI219),ISNUMBER(AI217)),IF(ABS(AI217-AI219)&lt;=0.15,0,ROUND(AI217-AI219,1)),"n/p")</f>
        <v/>
      </c>
      <c r="AJ220" s="263">
        <f>IF(AND(ISNUMBER(AJ219),ISNUMBER(AJ217)),IF(ABS(AJ217-AJ219)&lt;=0.15,0,ROUND(AJ217-AJ219,1)),"n/p")</f>
        <v/>
      </c>
      <c r="AK220" s="263">
        <f>IF(AND(ISNUMBER(AK219),ISNUMBER(AK217)),IF(ABS(AK217-AK219)&lt;=0.15,0,ROUND(AK217-AK219,1)),"n/p")</f>
        <v/>
      </c>
      <c r="AL220" s="263">
        <f>IF(AND(ISNUMBER(AL219),ISNUMBER(AL217)),IF(ABS(AL217-AL219)&lt;=0.15,0,ROUND(AL217-AL219,1)),"n/p")</f>
        <v/>
      </c>
      <c r="AM220" s="153" t="n"/>
      <c r="AN220" s="153" t="n"/>
      <c r="AO220" s="153" t="n"/>
      <c r="AP220" s="153" t="n"/>
      <c r="AQ220" s="153" t="n"/>
      <c r="AR220" s="153" t="n"/>
      <c r="AS220" s="153" t="n"/>
      <c r="AT220" s="153" t="n"/>
      <c r="AU220" s="153" t="n"/>
    </row>
    <row r="221" ht="15" customHeight="1" s="251">
      <c r="BC221" s="11" t="n"/>
      <c r="BD221" s="12" t="n"/>
      <c r="BE221" s="12" t="n"/>
      <c r="BF221" s="12" t="n"/>
      <c r="BG221" s="13" t="n"/>
    </row>
    <row r="222" collapsed="1" ht="15" customHeight="1" s="251">
      <c r="B222" s="10" t="inlineStr">
        <is>
          <t>RECONCILIATION: NET INCOME → EBITDA → ADJUSTED EBITDA (model definition; STERIS does not publish EBITDA)</t>
        </is>
      </c>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c r="AJ222" s="10" t="n"/>
      <c r="AK222" s="10" t="n"/>
      <c r="AL222" s="10" t="n"/>
      <c r="AM222" s="10" t="n"/>
      <c r="AN222" s="10" t="n"/>
      <c r="AO222" s="10" t="n"/>
      <c r="AP222" s="10" t="n"/>
      <c r="AQ222" s="10" t="n"/>
      <c r="AR222" s="10" t="n"/>
      <c r="AS222" s="10" t="n"/>
      <c r="AT222" s="10" t="n"/>
      <c r="AU222" s="10" t="inlineStr">
        <is>
          <t>ADJUSTED EBITDA — model bridge on the company items: GAAP net income + NCI + tax + non-operating = operating income; + total D&amp;A = EBITDA; + adjusting items other than acquired-intangible amortization</t>
        </is>
      </c>
    </row>
    <row r="223" ht="15" customHeight="1" s="251">
      <c r="B223" s="16" t="inlineStr">
        <is>
          <t>Net income from continuing operations attributable to shareholders (GAAP)</t>
        </is>
      </c>
      <c r="C223" s="261">
        <f>C179</f>
        <v/>
      </c>
      <c r="D223" s="261">
        <f>D179</f>
        <v/>
      </c>
      <c r="E223" s="261">
        <f>E179</f>
        <v/>
      </c>
      <c r="F223" s="261">
        <f>F179</f>
        <v/>
      </c>
      <c r="G223" s="261">
        <f>G179</f>
        <v/>
      </c>
      <c r="H223" s="261">
        <f>H179</f>
        <v/>
      </c>
      <c r="I223" s="261">
        <f>I179</f>
        <v/>
      </c>
      <c r="J223" s="261">
        <f>J179</f>
        <v/>
      </c>
      <c r="K223" s="261">
        <f>K179</f>
        <v/>
      </c>
      <c r="L223" s="261">
        <f>L179</f>
        <v/>
      </c>
      <c r="M223" s="261">
        <f>M179</f>
        <v/>
      </c>
      <c r="N223" s="261">
        <f>N179</f>
        <v/>
      </c>
      <c r="O223" s="261">
        <f>O179</f>
        <v/>
      </c>
      <c r="P223" s="261">
        <f>P179</f>
        <v/>
      </c>
      <c r="Q223" s="261">
        <f>Q179</f>
        <v/>
      </c>
      <c r="R223" s="261">
        <f>R179</f>
        <v/>
      </c>
      <c r="S223" s="261">
        <f>S179</f>
        <v/>
      </c>
      <c r="T223" s="261">
        <f>T179</f>
        <v/>
      </c>
      <c r="U223" s="261">
        <f>U179</f>
        <v/>
      </c>
      <c r="V223" s="261">
        <f>V179</f>
        <v/>
      </c>
      <c r="W223" s="261">
        <f>W179</f>
        <v/>
      </c>
      <c r="X223" s="261">
        <f>X179</f>
        <v/>
      </c>
      <c r="Y223" s="261">
        <f>Y179</f>
        <v/>
      </c>
      <c r="Z223" s="261">
        <f>Z179</f>
        <v/>
      </c>
      <c r="AA223" s="261">
        <f>AA179</f>
        <v/>
      </c>
      <c r="AB223" s="261">
        <f>AB179</f>
        <v/>
      </c>
      <c r="AC223" s="261">
        <f>AC179</f>
        <v/>
      </c>
      <c r="AD223" s="261">
        <f>AD179</f>
        <v/>
      </c>
      <c r="AE223" s="261">
        <f>AE179</f>
        <v/>
      </c>
      <c r="AF223" s="261">
        <f>AF179</f>
        <v/>
      </c>
      <c r="AG223" s="261">
        <f>AG179</f>
        <v/>
      </c>
      <c r="AH223" s="261">
        <f>AH179</f>
        <v/>
      </c>
      <c r="AI223" s="261">
        <f>AI179</f>
        <v/>
      </c>
      <c r="AJ223" s="261">
        <f>AJ179</f>
        <v/>
      </c>
      <c r="AK223" s="261">
        <f>AK179</f>
        <v/>
      </c>
      <c r="AL223" s="261">
        <f>AL179</f>
        <v/>
      </c>
      <c r="AM223" s="262">
        <f>AM179</f>
        <v/>
      </c>
      <c r="AN223" s="262">
        <f>AN179</f>
        <v/>
      </c>
      <c r="AO223" s="262">
        <f>AO179</f>
        <v/>
      </c>
      <c r="AP223" s="262">
        <f>AP179</f>
        <v/>
      </c>
      <c r="AQ223" s="262">
        <f>AQ179</f>
        <v/>
      </c>
      <c r="AR223" s="262">
        <f>AR179</f>
        <v/>
      </c>
      <c r="AS223" s="262">
        <f>AS179</f>
        <v/>
      </c>
      <c r="AT223" s="262">
        <f>AT179</f>
        <v/>
      </c>
      <c r="AU223" s="153" t="n"/>
    </row>
    <row r="224" ht="15" customHeight="1" s="251">
      <c r="B224" s="25" t="inlineStr">
        <is>
          <t xml:space="preserve">  (+) Net income attributable to noncontrolling interests</t>
        </is>
      </c>
      <c r="C224" s="263">
        <f>N(C177)</f>
        <v/>
      </c>
      <c r="D224" s="263">
        <f>N(D177)</f>
        <v/>
      </c>
      <c r="E224" s="263">
        <f>N(E177)</f>
        <v/>
      </c>
      <c r="F224" s="263">
        <f>N(F177)</f>
        <v/>
      </c>
      <c r="G224" s="263">
        <f>N(G177)</f>
        <v/>
      </c>
      <c r="H224" s="263">
        <f>N(H177)</f>
        <v/>
      </c>
      <c r="I224" s="263">
        <f>N(I177)</f>
        <v/>
      </c>
      <c r="J224" s="263">
        <f>N(J177)</f>
        <v/>
      </c>
      <c r="K224" s="263">
        <f>N(K177)</f>
        <v/>
      </c>
      <c r="L224" s="263">
        <f>N(L177)</f>
        <v/>
      </c>
      <c r="M224" s="263">
        <f>N(M177)</f>
        <v/>
      </c>
      <c r="N224" s="263">
        <f>N(N177)</f>
        <v/>
      </c>
      <c r="O224" s="263">
        <f>N(O177)</f>
        <v/>
      </c>
      <c r="P224" s="263">
        <f>N(P177)</f>
        <v/>
      </c>
      <c r="Q224" s="263">
        <f>N(Q177)</f>
        <v/>
      </c>
      <c r="R224" s="263">
        <f>N(R177)</f>
        <v/>
      </c>
      <c r="S224" s="263">
        <f>N(S177)</f>
        <v/>
      </c>
      <c r="T224" s="263">
        <f>N(T177)</f>
        <v/>
      </c>
      <c r="U224" s="263">
        <f>N(U177)</f>
        <v/>
      </c>
      <c r="V224" s="263">
        <f>N(V177)</f>
        <v/>
      </c>
      <c r="W224" s="263">
        <f>N(W177)</f>
        <v/>
      </c>
      <c r="X224" s="263">
        <f>N(X177)</f>
        <v/>
      </c>
      <c r="Y224" s="263">
        <f>N(Y177)</f>
        <v/>
      </c>
      <c r="Z224" s="263">
        <f>N(Z177)</f>
        <v/>
      </c>
      <c r="AA224" s="263">
        <f>N(AA177)</f>
        <v/>
      </c>
      <c r="AB224" s="263">
        <f>N(AB177)</f>
        <v/>
      </c>
      <c r="AC224" s="263">
        <f>N(AC177)</f>
        <v/>
      </c>
      <c r="AD224" s="263">
        <f>N(AD177)</f>
        <v/>
      </c>
      <c r="AE224" s="263">
        <f>N(AE177)</f>
        <v/>
      </c>
      <c r="AF224" s="263">
        <f>N(AF177)</f>
        <v/>
      </c>
      <c r="AG224" s="263">
        <f>N(AG177)</f>
        <v/>
      </c>
      <c r="AH224" s="263">
        <f>N(AH177)</f>
        <v/>
      </c>
      <c r="AI224" s="263">
        <f>N(AI177)</f>
        <v/>
      </c>
      <c r="AJ224" s="263">
        <f>N(AJ177)</f>
        <v/>
      </c>
      <c r="AK224" s="263">
        <f>N(AK177)</f>
        <v/>
      </c>
      <c r="AL224" s="263">
        <f>N(AL177)</f>
        <v/>
      </c>
      <c r="AM224" s="254">
        <f>N(AM177)</f>
        <v/>
      </c>
      <c r="AN224" s="254">
        <f>N(AN177)</f>
        <v/>
      </c>
      <c r="AO224" s="254">
        <f>N(AO177)</f>
        <v/>
      </c>
      <c r="AP224" s="254">
        <f>N(AP177)</f>
        <v/>
      </c>
      <c r="AQ224" s="254">
        <f>N(AQ177)</f>
        <v/>
      </c>
      <c r="AR224" s="254">
        <f>N(AR177)</f>
        <v/>
      </c>
      <c r="AS224" s="254">
        <f>N(AS177)</f>
        <v/>
      </c>
      <c r="AT224" s="254">
        <f>N(AT177)</f>
        <v/>
      </c>
      <c r="AU224" s="19" t="n"/>
    </row>
    <row r="225" ht="15" customHeight="1" s="251">
      <c r="B225" s="25" t="inlineStr">
        <is>
          <t xml:space="preserve">  (+) Income tax expense</t>
        </is>
      </c>
      <c r="C225" s="263">
        <f>C172</f>
        <v/>
      </c>
      <c r="D225" s="263">
        <f>D172</f>
        <v/>
      </c>
      <c r="E225" s="263">
        <f>E172</f>
        <v/>
      </c>
      <c r="F225" s="263">
        <f>F172</f>
        <v/>
      </c>
      <c r="G225" s="263">
        <f>G172</f>
        <v/>
      </c>
      <c r="H225" s="263">
        <f>H172</f>
        <v/>
      </c>
      <c r="I225" s="263">
        <f>I172</f>
        <v/>
      </c>
      <c r="J225" s="263">
        <f>J172</f>
        <v/>
      </c>
      <c r="K225" s="263">
        <f>K172</f>
        <v/>
      </c>
      <c r="L225" s="263">
        <f>L172</f>
        <v/>
      </c>
      <c r="M225" s="263">
        <f>M172</f>
        <v/>
      </c>
      <c r="N225" s="263">
        <f>N172</f>
        <v/>
      </c>
      <c r="O225" s="263">
        <f>O172</f>
        <v/>
      </c>
      <c r="P225" s="263">
        <f>P172</f>
        <v/>
      </c>
      <c r="Q225" s="263">
        <f>Q172</f>
        <v/>
      </c>
      <c r="R225" s="263">
        <f>R172</f>
        <v/>
      </c>
      <c r="S225" s="263">
        <f>S172</f>
        <v/>
      </c>
      <c r="T225" s="263">
        <f>T172</f>
        <v/>
      </c>
      <c r="U225" s="263">
        <f>U172</f>
        <v/>
      </c>
      <c r="V225" s="263">
        <f>V172</f>
        <v/>
      </c>
      <c r="W225" s="263">
        <f>W172</f>
        <v/>
      </c>
      <c r="X225" s="263">
        <f>X172</f>
        <v/>
      </c>
      <c r="Y225" s="263">
        <f>Y172</f>
        <v/>
      </c>
      <c r="Z225" s="263">
        <f>Z172</f>
        <v/>
      </c>
      <c r="AA225" s="263">
        <f>AA172</f>
        <v/>
      </c>
      <c r="AB225" s="263">
        <f>AB172</f>
        <v/>
      </c>
      <c r="AC225" s="263">
        <f>AC172</f>
        <v/>
      </c>
      <c r="AD225" s="263">
        <f>AD172</f>
        <v/>
      </c>
      <c r="AE225" s="263">
        <f>AE172</f>
        <v/>
      </c>
      <c r="AF225" s="263">
        <f>AF172</f>
        <v/>
      </c>
      <c r="AG225" s="263">
        <f>AG172</f>
        <v/>
      </c>
      <c r="AH225" s="263">
        <f>AH172</f>
        <v/>
      </c>
      <c r="AI225" s="263">
        <f>AI172</f>
        <v/>
      </c>
      <c r="AJ225" s="263">
        <f>AJ172</f>
        <v/>
      </c>
      <c r="AK225" s="263">
        <f>AK172</f>
        <v/>
      </c>
      <c r="AL225" s="263">
        <f>AL172</f>
        <v/>
      </c>
      <c r="AM225" s="254">
        <f>AM172</f>
        <v/>
      </c>
      <c r="AN225" s="254">
        <f>AN172</f>
        <v/>
      </c>
      <c r="AO225" s="254">
        <f>AO172</f>
        <v/>
      </c>
      <c r="AP225" s="254">
        <f>AP172</f>
        <v/>
      </c>
      <c r="AQ225" s="254">
        <f>AQ172</f>
        <v/>
      </c>
      <c r="AR225" s="254">
        <f>AR172</f>
        <v/>
      </c>
      <c r="AS225" s="254">
        <f>AS172</f>
        <v/>
      </c>
      <c r="AT225" s="254">
        <f>AT172</f>
        <v/>
      </c>
      <c r="AU225" s="19" t="n"/>
    </row>
    <row r="226" ht="15" customHeight="1" s="251">
      <c r="B226" s="25" t="inlineStr">
        <is>
          <t xml:space="preserve">  (+) Interest expense</t>
        </is>
      </c>
      <c r="C226" s="263">
        <f>C169</f>
        <v/>
      </c>
      <c r="D226" s="263">
        <f>D169</f>
        <v/>
      </c>
      <c r="E226" s="263">
        <f>E169</f>
        <v/>
      </c>
      <c r="F226" s="263">
        <f>F169</f>
        <v/>
      </c>
      <c r="G226" s="263">
        <f>G169</f>
        <v/>
      </c>
      <c r="H226" s="263">
        <f>H169</f>
        <v/>
      </c>
      <c r="I226" s="263">
        <f>I169</f>
        <v/>
      </c>
      <c r="J226" s="263">
        <f>J169</f>
        <v/>
      </c>
      <c r="K226" s="263">
        <f>K169</f>
        <v/>
      </c>
      <c r="L226" s="263">
        <f>L169</f>
        <v/>
      </c>
      <c r="M226" s="263">
        <f>M169</f>
        <v/>
      </c>
      <c r="N226" s="263">
        <f>N169</f>
        <v/>
      </c>
      <c r="O226" s="263">
        <f>O169</f>
        <v/>
      </c>
      <c r="P226" s="263">
        <f>P169</f>
        <v/>
      </c>
      <c r="Q226" s="263">
        <f>Q169</f>
        <v/>
      </c>
      <c r="R226" s="263">
        <f>R169</f>
        <v/>
      </c>
      <c r="S226" s="263">
        <f>S169</f>
        <v/>
      </c>
      <c r="T226" s="263">
        <f>T169</f>
        <v/>
      </c>
      <c r="U226" s="263">
        <f>U169</f>
        <v/>
      </c>
      <c r="V226" s="263">
        <f>V169</f>
        <v/>
      </c>
      <c r="W226" s="263">
        <f>W169</f>
        <v/>
      </c>
      <c r="X226" s="263">
        <f>X169</f>
        <v/>
      </c>
      <c r="Y226" s="263">
        <f>Y169</f>
        <v/>
      </c>
      <c r="Z226" s="263">
        <f>Z169</f>
        <v/>
      </c>
      <c r="AA226" s="263">
        <f>AA169</f>
        <v/>
      </c>
      <c r="AB226" s="263">
        <f>AB169</f>
        <v/>
      </c>
      <c r="AC226" s="263">
        <f>AC169</f>
        <v/>
      </c>
      <c r="AD226" s="263">
        <f>AD169</f>
        <v/>
      </c>
      <c r="AE226" s="263">
        <f>AE169</f>
        <v/>
      </c>
      <c r="AF226" s="263">
        <f>AF169</f>
        <v/>
      </c>
      <c r="AG226" s="263">
        <f>AG169</f>
        <v/>
      </c>
      <c r="AH226" s="263">
        <f>AH169</f>
        <v/>
      </c>
      <c r="AI226" s="263">
        <f>AI169</f>
        <v/>
      </c>
      <c r="AJ226" s="263">
        <f>AJ169</f>
        <v/>
      </c>
      <c r="AK226" s="263">
        <f>AK169</f>
        <v/>
      </c>
      <c r="AL226" s="263">
        <f>AL169</f>
        <v/>
      </c>
      <c r="AM226" s="254">
        <f>AM169</f>
        <v/>
      </c>
      <c r="AN226" s="254">
        <f>AN169</f>
        <v/>
      </c>
      <c r="AO226" s="254">
        <f>AO169</f>
        <v/>
      </c>
      <c r="AP226" s="254">
        <f>AP169</f>
        <v/>
      </c>
      <c r="AQ226" s="254">
        <f>AQ169</f>
        <v/>
      </c>
      <c r="AR226" s="254">
        <f>AR169</f>
        <v/>
      </c>
      <c r="AS226" s="254">
        <f>AS169</f>
        <v/>
      </c>
      <c r="AT226" s="254">
        <f>AT169</f>
        <v/>
      </c>
      <c r="AU226" s="19" t="n"/>
    </row>
    <row r="227" ht="15" customHeight="1" s="251">
      <c r="B227" s="25" t="inlineStr">
        <is>
          <t xml:space="preserve">  (+) Other non-operating expense (income), net</t>
        </is>
      </c>
      <c r="C227" s="263">
        <f>N(C170)</f>
        <v/>
      </c>
      <c r="D227" s="263">
        <f>N(D170)</f>
        <v/>
      </c>
      <c r="E227" s="263">
        <f>N(E170)</f>
        <v/>
      </c>
      <c r="F227" s="263">
        <f>N(F170)</f>
        <v/>
      </c>
      <c r="G227" s="263">
        <f>N(G170)</f>
        <v/>
      </c>
      <c r="H227" s="263">
        <f>N(H170)</f>
        <v/>
      </c>
      <c r="I227" s="263">
        <f>N(I170)</f>
        <v/>
      </c>
      <c r="J227" s="263">
        <f>N(J170)</f>
        <v/>
      </c>
      <c r="K227" s="263">
        <f>N(K170)</f>
        <v/>
      </c>
      <c r="L227" s="263">
        <f>N(L170)</f>
        <v/>
      </c>
      <c r="M227" s="263">
        <f>N(M170)</f>
        <v/>
      </c>
      <c r="N227" s="263">
        <f>N(N170)</f>
        <v/>
      </c>
      <c r="O227" s="263">
        <f>N(O170)</f>
        <v/>
      </c>
      <c r="P227" s="263">
        <f>N(P170)</f>
        <v/>
      </c>
      <c r="Q227" s="263">
        <f>N(Q170)</f>
        <v/>
      </c>
      <c r="R227" s="263">
        <f>N(R170)</f>
        <v/>
      </c>
      <c r="S227" s="263">
        <f>N(S170)</f>
        <v/>
      </c>
      <c r="T227" s="263">
        <f>N(T170)</f>
        <v/>
      </c>
      <c r="U227" s="263">
        <f>N(U170)</f>
        <v/>
      </c>
      <c r="V227" s="263">
        <f>N(V170)</f>
        <v/>
      </c>
      <c r="W227" s="263">
        <f>N(W170)</f>
        <v/>
      </c>
      <c r="X227" s="263">
        <f>N(X170)</f>
        <v/>
      </c>
      <c r="Y227" s="263">
        <f>N(Y170)</f>
        <v/>
      </c>
      <c r="Z227" s="263">
        <f>N(Z170)</f>
        <v/>
      </c>
      <c r="AA227" s="263">
        <f>N(AA170)</f>
        <v/>
      </c>
      <c r="AB227" s="263">
        <f>N(AB170)</f>
        <v/>
      </c>
      <c r="AC227" s="263">
        <f>N(AC170)</f>
        <v/>
      </c>
      <c r="AD227" s="263">
        <f>N(AD170)</f>
        <v/>
      </c>
      <c r="AE227" s="263">
        <f>N(AE170)</f>
        <v/>
      </c>
      <c r="AF227" s="263">
        <f>N(AF170)</f>
        <v/>
      </c>
      <c r="AG227" s="263">
        <f>N(AG170)</f>
        <v/>
      </c>
      <c r="AH227" s="263">
        <f>N(AH170)</f>
        <v/>
      </c>
      <c r="AI227" s="263">
        <f>N(AI170)</f>
        <v/>
      </c>
      <c r="AJ227" s="263">
        <f>N(AJ170)</f>
        <v/>
      </c>
      <c r="AK227" s="263">
        <f>N(AK170)</f>
        <v/>
      </c>
      <c r="AL227" s="263">
        <f>N(AL170)</f>
        <v/>
      </c>
      <c r="AM227" s="254">
        <f>N(AM170)</f>
        <v/>
      </c>
      <c r="AN227" s="254">
        <f>N(AN170)</f>
        <v/>
      </c>
      <c r="AO227" s="254">
        <f>N(AO170)</f>
        <v/>
      </c>
      <c r="AP227" s="254">
        <f>N(AP170)</f>
        <v/>
      </c>
      <c r="AQ227" s="254">
        <f>N(AQ170)</f>
        <v/>
      </c>
      <c r="AR227" s="254">
        <f>N(AR170)</f>
        <v/>
      </c>
      <c r="AS227" s="254">
        <f>N(AS170)</f>
        <v/>
      </c>
      <c r="AT227" s="254">
        <f>N(AT170)</f>
        <v/>
      </c>
      <c r="AU227" s="19" t="n"/>
    </row>
    <row r="228" ht="15" customHeight="1" s="251">
      <c r="B228" s="16" t="inlineStr">
        <is>
          <t xml:space="preserve">  = Income from operations</t>
        </is>
      </c>
      <c r="C228" s="261">
        <f>IF(ISNUMBER(C223),C223+C224+C225+N(C226)+C227,"")</f>
        <v/>
      </c>
      <c r="D228" s="261">
        <f>IF(ISNUMBER(D223),D223+D224+D225+N(D226)+D227,"")</f>
        <v/>
      </c>
      <c r="E228" s="261">
        <f>IF(ISNUMBER(E223),E223+E224+E225+N(E226)+E227,"")</f>
        <v/>
      </c>
      <c r="F228" s="261">
        <f>IF(ISNUMBER(F223),F223+F224+F225+N(F226)+F227,"")</f>
        <v/>
      </c>
      <c r="G228" s="261">
        <f>IF(ISNUMBER(G223),G223+G224+G225+N(G226)+G227,"")</f>
        <v/>
      </c>
      <c r="H228" s="261">
        <f>IF(ISNUMBER(H223),H223+H224+H225+N(H226)+H227,"")</f>
        <v/>
      </c>
      <c r="I228" s="261">
        <f>IF(ISNUMBER(I223),I223+I224+I225+N(I226)+I227,"")</f>
        <v/>
      </c>
      <c r="J228" s="261">
        <f>IF(ISNUMBER(J223),J223+J224+J225+N(J226)+J227,"")</f>
        <v/>
      </c>
      <c r="K228" s="261">
        <f>IF(ISNUMBER(K223),K223+K224+K225+N(K226)+K227,"")</f>
        <v/>
      </c>
      <c r="L228" s="261">
        <f>IF(ISNUMBER(L223),L223+L224+L225+N(L226)+L227,"")</f>
        <v/>
      </c>
      <c r="M228" s="261">
        <f>IF(ISNUMBER(M223),M223+M224+M225+N(M226)+M227,"")</f>
        <v/>
      </c>
      <c r="N228" s="261">
        <f>IF(ISNUMBER(N223),N223+N224+N225+N(N226)+N227,"")</f>
        <v/>
      </c>
      <c r="O228" s="261">
        <f>IF(ISNUMBER(O223),O223+O224+O225+N(O226)+O227,"")</f>
        <v/>
      </c>
      <c r="P228" s="261">
        <f>IF(ISNUMBER(P223),P223+P224+P225+N(P226)+P227,"")</f>
        <v/>
      </c>
      <c r="Q228" s="261">
        <f>IF(ISNUMBER(Q223),Q223+Q224+Q225+N(Q226)+Q227,"")</f>
        <v/>
      </c>
      <c r="R228" s="261">
        <f>IF(ISNUMBER(R223),R223+R224+R225+N(R226)+R227,"")</f>
        <v/>
      </c>
      <c r="S228" s="261">
        <f>IF(ISNUMBER(S223),S223+S224+S225+N(S226)+S227,"")</f>
        <v/>
      </c>
      <c r="T228" s="261">
        <f>IF(ISNUMBER(T223),T223+T224+T225+N(T226)+T227,"")</f>
        <v/>
      </c>
      <c r="U228" s="261">
        <f>IF(ISNUMBER(U223),U223+U224+U225+N(U226)+U227,"")</f>
        <v/>
      </c>
      <c r="V228" s="261">
        <f>IF(ISNUMBER(V223),V223+V224+V225+N(V226)+V227,"")</f>
        <v/>
      </c>
      <c r="W228" s="261">
        <f>IF(ISNUMBER(W223),W223+W224+W225+N(W226)+W227,"")</f>
        <v/>
      </c>
      <c r="X228" s="261">
        <f>IF(ISNUMBER(X223),X223+X224+X225+N(X226)+X227,"")</f>
        <v/>
      </c>
      <c r="Y228" s="261">
        <f>IF(ISNUMBER(Y223),Y223+Y224+Y225+N(Y226)+Y227,"")</f>
        <v/>
      </c>
      <c r="Z228" s="261">
        <f>IF(ISNUMBER(Z223),Z223+Z224+Z225+N(Z226)+Z227,"")</f>
        <v/>
      </c>
      <c r="AA228" s="261">
        <f>IF(ISNUMBER(AA223),AA223+AA224+AA225+N(AA226)+AA227,"")</f>
        <v/>
      </c>
      <c r="AB228" s="261">
        <f>IF(ISNUMBER(AB223),AB223+AB224+AB225+N(AB226)+AB227,"")</f>
        <v/>
      </c>
      <c r="AC228" s="261">
        <f>IF(ISNUMBER(AC223),AC223+AC224+AC225+N(AC226)+AC227,"")</f>
        <v/>
      </c>
      <c r="AD228" s="261">
        <f>IF(ISNUMBER(AD223),AD223+AD224+AD225+N(AD226)+AD227,"")</f>
        <v/>
      </c>
      <c r="AE228" s="261">
        <f>IF(ISNUMBER(AE223),AE223+AE224+AE225+N(AE226)+AE227,"")</f>
        <v/>
      </c>
      <c r="AF228" s="261">
        <f>IF(ISNUMBER(AF223),AF223+AF224+AF225+N(AF226)+AF227,"")</f>
        <v/>
      </c>
      <c r="AG228" s="261">
        <f>IF(ISNUMBER(AG223),AG223+AG224+AG225+N(AG226)+AG227,"")</f>
        <v/>
      </c>
      <c r="AH228" s="261">
        <f>IF(ISNUMBER(AH223),AH223+AH224+AH225+N(AH226)+AH227,"")</f>
        <v/>
      </c>
      <c r="AI228" s="261">
        <f>IF(ISNUMBER(AI223),AI223+AI224+AI225+N(AI226)+AI227,"")</f>
        <v/>
      </c>
      <c r="AJ228" s="261">
        <f>IF(ISNUMBER(AJ223),AJ223+AJ224+AJ225+N(AJ226)+AJ227,"")</f>
        <v/>
      </c>
      <c r="AK228" s="261">
        <f>IF(ISNUMBER(AK223),AK223+AK224+AK225+N(AK226)+AK227,"")</f>
        <v/>
      </c>
      <c r="AL228" s="261">
        <f>IF(ISNUMBER(AL223),AL223+AL224+AL225+N(AL226)+AL227,"")</f>
        <v/>
      </c>
      <c r="AM228" s="262">
        <f>IF(ISNUMBER(AM223),AM223+AM224+AM225+N(AM226)+AM227,"")</f>
        <v/>
      </c>
      <c r="AN228" s="262">
        <f>IF(ISNUMBER(AN223),AN223+AN224+AN225+N(AN226)+AN227,"")</f>
        <v/>
      </c>
      <c r="AO228" s="262">
        <f>IF(ISNUMBER(AO223),AO223+AO224+AO225+N(AO226)+AO227,"")</f>
        <v/>
      </c>
      <c r="AP228" s="262">
        <f>IF(ISNUMBER(AP223),AP223+AP224+AP225+N(AP226)+AP227,"")</f>
        <v/>
      </c>
      <c r="AQ228" s="262">
        <f>IF(ISNUMBER(AQ223),AQ223+AQ224+AQ225+N(AQ226)+AQ227,"")</f>
        <v/>
      </c>
      <c r="AR228" s="262">
        <f>IF(ISNUMBER(AR223),AR223+AR224+AR225+N(AR226)+AR227,"")</f>
        <v/>
      </c>
      <c r="AS228" s="262">
        <f>IF(ISNUMBER(AS223),AS223+AS224+AS225+N(AS226)+AS227,"")</f>
        <v/>
      </c>
      <c r="AT228" s="262">
        <f>IF(ISNUMBER(AT223),AT223+AT224+AT225+N(AT226)+AT227,"")</f>
        <v/>
      </c>
      <c r="AU228" s="153" t="n"/>
    </row>
    <row r="229" ht="15" customHeight="1" s="251">
      <c r="B229" s="25" t="inlineStr">
        <is>
          <t xml:space="preserve">  (+) Depreciation, depletion &amp; amortization (total)</t>
        </is>
      </c>
      <c r="C229" s="263">
        <f>C142</f>
        <v/>
      </c>
      <c r="D229" s="263">
        <f>D142</f>
        <v/>
      </c>
      <c r="E229" s="263">
        <f>E142</f>
        <v/>
      </c>
      <c r="F229" s="263">
        <f>F142</f>
        <v/>
      </c>
      <c r="G229" s="263">
        <f>G142</f>
        <v/>
      </c>
      <c r="H229" s="263">
        <f>H142</f>
        <v/>
      </c>
      <c r="I229" s="263">
        <f>I142</f>
        <v/>
      </c>
      <c r="J229" s="263">
        <f>J142</f>
        <v/>
      </c>
      <c r="K229" s="263">
        <f>K142</f>
        <v/>
      </c>
      <c r="L229" s="263">
        <f>L142</f>
        <v/>
      </c>
      <c r="M229" s="263">
        <f>M142</f>
        <v/>
      </c>
      <c r="N229" s="263">
        <f>N142</f>
        <v/>
      </c>
      <c r="O229" s="263">
        <f>O142</f>
        <v/>
      </c>
      <c r="P229" s="263">
        <f>P142</f>
        <v/>
      </c>
      <c r="Q229" s="263">
        <f>Q142</f>
        <v/>
      </c>
      <c r="R229" s="263">
        <f>R142</f>
        <v/>
      </c>
      <c r="S229" s="263">
        <f>S142</f>
        <v/>
      </c>
      <c r="T229" s="263">
        <f>T142</f>
        <v/>
      </c>
      <c r="U229" s="263">
        <f>U142</f>
        <v/>
      </c>
      <c r="V229" s="263">
        <f>V142</f>
        <v/>
      </c>
      <c r="W229" s="263">
        <f>W142</f>
        <v/>
      </c>
      <c r="X229" s="263">
        <f>X142</f>
        <v/>
      </c>
      <c r="Y229" s="263">
        <f>Y142</f>
        <v/>
      </c>
      <c r="Z229" s="263">
        <f>Z142</f>
        <v/>
      </c>
      <c r="AA229" s="263">
        <f>AA142</f>
        <v/>
      </c>
      <c r="AB229" s="263">
        <f>AB142</f>
        <v/>
      </c>
      <c r="AC229" s="263">
        <f>AC142</f>
        <v/>
      </c>
      <c r="AD229" s="263">
        <f>AD142</f>
        <v/>
      </c>
      <c r="AE229" s="263">
        <f>AE142</f>
        <v/>
      </c>
      <c r="AF229" s="263">
        <f>AF142</f>
        <v/>
      </c>
      <c r="AG229" s="263">
        <f>AG142</f>
        <v/>
      </c>
      <c r="AH229" s="263">
        <f>AH142</f>
        <v/>
      </c>
      <c r="AI229" s="263">
        <f>AI142</f>
        <v/>
      </c>
      <c r="AJ229" s="263">
        <f>AJ142</f>
        <v/>
      </c>
      <c r="AK229" s="263">
        <f>AK142</f>
        <v/>
      </c>
      <c r="AL229" s="263">
        <f>AL142</f>
        <v/>
      </c>
      <c r="AM229" s="254">
        <f>AM142</f>
        <v/>
      </c>
      <c r="AN229" s="254">
        <f>AN142</f>
        <v/>
      </c>
      <c r="AO229" s="254">
        <f>AO142</f>
        <v/>
      </c>
      <c r="AP229" s="254">
        <f>AP142</f>
        <v/>
      </c>
      <c r="AQ229" s="254">
        <f>AQ142</f>
        <v/>
      </c>
      <c r="AR229" s="254">
        <f>AR142</f>
        <v/>
      </c>
      <c r="AS229" s="254">
        <f>AS142</f>
        <v/>
      </c>
      <c r="AT229" s="254">
        <f>AT142</f>
        <v/>
      </c>
      <c r="AU229" s="19" t="n"/>
    </row>
    <row r="230" ht="15" customHeight="1" s="251">
      <c r="B230" s="55" t="inlineStr">
        <is>
          <t xml:space="preserve">  = EBITDA (model)</t>
        </is>
      </c>
      <c r="C230" s="274">
        <f>IF(AND(ISNUMBER(C228),ISNUMBER(C229)),C228+C229,"")</f>
        <v/>
      </c>
      <c r="D230" s="274">
        <f>IF(AND(ISNUMBER(D228),ISNUMBER(D229)),D228+D229,"")</f>
        <v/>
      </c>
      <c r="E230" s="274">
        <f>IF(AND(ISNUMBER(E228),ISNUMBER(E229)),E228+E229,"")</f>
        <v/>
      </c>
      <c r="F230" s="274">
        <f>IF(AND(ISNUMBER(F228),ISNUMBER(F229)),F228+F229,"")</f>
        <v/>
      </c>
      <c r="G230" s="274">
        <f>IF(AND(ISNUMBER(G228),ISNUMBER(G229)),G228+G229,"")</f>
        <v/>
      </c>
      <c r="H230" s="274">
        <f>IF(AND(ISNUMBER(H228),ISNUMBER(H229)),H228+H229,"")</f>
        <v/>
      </c>
      <c r="I230" s="274">
        <f>IF(AND(ISNUMBER(I228),ISNUMBER(I229)),I228+I229,"")</f>
        <v/>
      </c>
      <c r="J230" s="274">
        <f>IF(AND(ISNUMBER(J228),ISNUMBER(J229)),J228+J229,"")</f>
        <v/>
      </c>
      <c r="K230" s="274">
        <f>IF(AND(ISNUMBER(K228),ISNUMBER(K229)),K228+K229,"")</f>
        <v/>
      </c>
      <c r="L230" s="274">
        <f>IF(AND(ISNUMBER(L228),ISNUMBER(L229)),L228+L229,"")</f>
        <v/>
      </c>
      <c r="M230" s="274">
        <f>IF(AND(ISNUMBER(M228),ISNUMBER(M229)),M228+M229,"")</f>
        <v/>
      </c>
      <c r="N230" s="274">
        <f>IF(AND(ISNUMBER(N228),ISNUMBER(N229)),N228+N229,"")</f>
        <v/>
      </c>
      <c r="O230" s="274">
        <f>IF(AND(ISNUMBER(O228),ISNUMBER(O229)),O228+O229,"")</f>
        <v/>
      </c>
      <c r="P230" s="274">
        <f>IF(AND(ISNUMBER(P228),ISNUMBER(P229)),P228+P229,"")</f>
        <v/>
      </c>
      <c r="Q230" s="274">
        <f>IF(AND(ISNUMBER(Q228),ISNUMBER(Q229)),Q228+Q229,"")</f>
        <v/>
      </c>
      <c r="R230" s="274">
        <f>IF(AND(ISNUMBER(R228),ISNUMBER(R229)),R228+R229,"")</f>
        <v/>
      </c>
      <c r="S230" s="274">
        <f>IF(AND(ISNUMBER(S228),ISNUMBER(S229)),S228+S229,"")</f>
        <v/>
      </c>
      <c r="T230" s="274">
        <f>IF(AND(ISNUMBER(T228),ISNUMBER(T229)),T228+T229,"")</f>
        <v/>
      </c>
      <c r="U230" s="274">
        <f>IF(AND(ISNUMBER(U228),ISNUMBER(U229)),U228+U229,"")</f>
        <v/>
      </c>
      <c r="V230" s="274">
        <f>IF(AND(ISNUMBER(V228),ISNUMBER(V229)),V228+V229,"")</f>
        <v/>
      </c>
      <c r="W230" s="274">
        <f>IF(AND(ISNUMBER(W228),ISNUMBER(W229)),W228+W229,"")</f>
        <v/>
      </c>
      <c r="X230" s="274">
        <f>IF(AND(ISNUMBER(X228),ISNUMBER(X229)),X228+X229,"")</f>
        <v/>
      </c>
      <c r="Y230" s="274">
        <f>IF(AND(ISNUMBER(Y228),ISNUMBER(Y229)),Y228+Y229,"")</f>
        <v/>
      </c>
      <c r="Z230" s="274">
        <f>IF(AND(ISNUMBER(Z228),ISNUMBER(Z229)),Z228+Z229,"")</f>
        <v/>
      </c>
      <c r="AA230" s="274">
        <f>IF(AND(ISNUMBER(AA228),ISNUMBER(AA229)),AA228+AA229,"")</f>
        <v/>
      </c>
      <c r="AB230" s="274">
        <f>IF(AND(ISNUMBER(AB228),ISNUMBER(AB229)),AB228+AB229,"")</f>
        <v/>
      </c>
      <c r="AC230" s="274">
        <f>IF(AND(ISNUMBER(AC228),ISNUMBER(AC229)),AC228+AC229,"")</f>
        <v/>
      </c>
      <c r="AD230" s="274">
        <f>IF(AND(ISNUMBER(AD228),ISNUMBER(AD229)),AD228+AD229,"")</f>
        <v/>
      </c>
      <c r="AE230" s="274">
        <f>IF(AND(ISNUMBER(AE228),ISNUMBER(AE229)),AE228+AE229,"")</f>
        <v/>
      </c>
      <c r="AF230" s="274">
        <f>IF(AND(ISNUMBER(AF228),ISNUMBER(AF229)),AF228+AF229,"")</f>
        <v/>
      </c>
      <c r="AG230" s="274">
        <f>IF(AND(ISNUMBER(AG228),ISNUMBER(AG229)),AG228+AG229,"")</f>
        <v/>
      </c>
      <c r="AH230" s="274">
        <f>IF(AND(ISNUMBER(AH228),ISNUMBER(AH229)),AH228+AH229,"")</f>
        <v/>
      </c>
      <c r="AI230" s="274">
        <f>IF(AND(ISNUMBER(AI228),ISNUMBER(AI229)),AI228+AI229,"")</f>
        <v/>
      </c>
      <c r="AJ230" s="274">
        <f>IF(AND(ISNUMBER(AJ228),ISNUMBER(AJ229)),AJ228+AJ229,"")</f>
        <v/>
      </c>
      <c r="AK230" s="274">
        <f>IF(AND(ISNUMBER(AK228),ISNUMBER(AK229)),AK228+AK229,"")</f>
        <v/>
      </c>
      <c r="AL230" s="274">
        <f>IF(AND(ISNUMBER(AL228),ISNUMBER(AL229)),AL228+AL229,"")</f>
        <v/>
      </c>
      <c r="AM230" s="274">
        <f>IF(AND(ISNUMBER(AM228),ISNUMBER(AM229)),AM228+AM229,"")</f>
        <v/>
      </c>
      <c r="AN230" s="274">
        <f>IF(AND(ISNUMBER(AN228),ISNUMBER(AN229)),AN228+AN229,"")</f>
        <v/>
      </c>
      <c r="AO230" s="274">
        <f>IF(AND(ISNUMBER(AO228),ISNUMBER(AO229)),AO228+AO229,"")</f>
        <v/>
      </c>
      <c r="AP230" s="274">
        <f>IF(AND(ISNUMBER(AP228),ISNUMBER(AP229)),AP228+AP229,"")</f>
        <v/>
      </c>
      <c r="AQ230" s="274">
        <f>IF(AND(ISNUMBER(AQ228),ISNUMBER(AQ229)),AQ228+AQ229,"")</f>
        <v/>
      </c>
      <c r="AR230" s="274">
        <f>IF(AND(ISNUMBER(AR228),ISNUMBER(AR229)),AR228+AR229,"")</f>
        <v/>
      </c>
      <c r="AS230" s="274">
        <f>IF(AND(ISNUMBER(AS228),ISNUMBER(AS229)),AS228+AS229,"")</f>
        <v/>
      </c>
      <c r="AT230" s="274">
        <f>IF(AND(ISNUMBER(AT228),ISNUMBER(AT229)),AT228+AT229,"")</f>
        <v/>
      </c>
      <c r="AU230" s="153" t="n"/>
      <c r="AW230" s="20">
        <f>IFERROR((AT230/AK230)^(1/5)-1,"n/m")</f>
        <v/>
      </c>
      <c r="AX230" s="20">
        <f>IFERROR((AK230/L230)^(1/5)-1,"n/m")</f>
        <v/>
      </c>
      <c r="AY230" s="20">
        <f>IFERROR((AK230/G230)^(1/10)-1,"n/m")</f>
        <v/>
      </c>
      <c r="AZ230" s="20">
        <f>IFERROR((AK230/C230)^(1/14)-1,"n/m")</f>
        <v/>
      </c>
    </row>
    <row r="231" ht="15" customHeight="1" s="251">
      <c r="B231" s="57" t="inlineStr">
        <is>
          <t xml:space="preserve">  Check: rebuilt operating income vs reported (should be 0)</t>
        </is>
      </c>
      <c r="C231" s="263">
        <f>IF(ISNUMBER(C228),IF(ABS(C228-C167)&lt;=0.15,0,ROUND(C228-C167,1)),"")</f>
        <v/>
      </c>
      <c r="D231" s="263">
        <f>IF(ISNUMBER(D228),IF(ABS(D228-D167)&lt;=0.15,0,ROUND(D228-D167,1)),"")</f>
        <v/>
      </c>
      <c r="E231" s="263">
        <f>IF(ISNUMBER(E228),IF(ABS(E228-E167)&lt;=0.15,0,ROUND(E228-E167,1)),"")</f>
        <v/>
      </c>
      <c r="F231" s="263">
        <f>IF(ISNUMBER(F228),IF(ABS(F228-F167)&lt;=0.15,0,ROUND(F228-F167,1)),"")</f>
        <v/>
      </c>
      <c r="G231" s="263">
        <f>IF(ISNUMBER(G228),IF(ABS(G228-G167)&lt;=0.15,0,ROUND(G228-G167,1)),"")</f>
        <v/>
      </c>
      <c r="H231" s="263">
        <f>IF(ISNUMBER(H228),IF(ABS(H228-H167)&lt;=0.15,0,ROUND(H228-H167,1)),"")</f>
        <v/>
      </c>
      <c r="I231" s="263">
        <f>IF(ISNUMBER(I228),IF(ABS(I228-I167)&lt;=0.15,0,ROUND(I228-I167,1)),"")</f>
        <v/>
      </c>
      <c r="J231" s="263">
        <f>IF(ISNUMBER(J228),IF(ABS(J228-J167)&lt;=0.15,0,ROUND(J228-J167,1)),"")</f>
        <v/>
      </c>
      <c r="K231" s="263">
        <f>IF(ISNUMBER(K228),IF(ABS(K228-K167)&lt;=0.15,0,ROUND(K228-K167,1)),"")</f>
        <v/>
      </c>
      <c r="L231" s="263">
        <f>IF(ISNUMBER(L228),IF(ABS(L228-L167)&lt;=0.15,0,ROUND(L228-L167,1)),"")</f>
        <v/>
      </c>
      <c r="M231" s="263">
        <f>IF(ISNUMBER(M228),IF(ABS(M228-M167)&lt;=0.15,0,ROUND(M228-M167,1)),"")</f>
        <v/>
      </c>
      <c r="N231" s="263">
        <f>IF(ISNUMBER(N228),IF(ABS(N228-N167)&lt;=0.15,0,ROUND(N228-N167,1)),"")</f>
        <v/>
      </c>
      <c r="O231" s="263">
        <f>IF(ISNUMBER(O228),IF(ABS(O228-O167)&lt;=0.15,0,ROUND(O228-O167,1)),"")</f>
        <v/>
      </c>
      <c r="P231" s="263">
        <f>IF(ISNUMBER(P228),IF(ABS(P228-P167)&lt;=0.15,0,ROUND(P228-P167,1)),"")</f>
        <v/>
      </c>
      <c r="Q231" s="263">
        <f>IF(ISNUMBER(Q228),IF(ABS(Q228-Q167)&lt;=0.15,0,ROUND(Q228-Q167,1)),"")</f>
        <v/>
      </c>
      <c r="R231" s="263">
        <f>IF(ISNUMBER(R228),IF(ABS(R228-R167)&lt;=0.15,0,ROUND(R228-R167,1)),"")</f>
        <v/>
      </c>
      <c r="S231" s="263">
        <f>IF(ISNUMBER(S228),IF(ABS(S228-S167)&lt;=0.15,0,ROUND(S228-S167,1)),"")</f>
        <v/>
      </c>
      <c r="T231" s="263">
        <f>IF(ISNUMBER(T228),IF(ABS(T228-T167)&lt;=0.15,0,ROUND(T228-T167,1)),"")</f>
        <v/>
      </c>
      <c r="U231" s="263">
        <f>IF(ISNUMBER(U228),IF(ABS(U228-U167)&lt;=0.15,0,ROUND(U228-U167,1)),"")</f>
        <v/>
      </c>
      <c r="V231" s="263">
        <f>IF(ISNUMBER(V228),IF(ABS(V228-V167)&lt;=0.15,0,ROUND(V228-V167,1)),"")</f>
        <v/>
      </c>
      <c r="W231" s="263">
        <f>IF(ISNUMBER(W228),IF(ABS(W228-W167)&lt;=0.15,0,ROUND(W228-W167,1)),"")</f>
        <v/>
      </c>
      <c r="X231" s="263">
        <f>IF(ISNUMBER(X228),IF(ABS(X228-X167)&lt;=0.15,0,ROUND(X228-X167,1)),"")</f>
        <v/>
      </c>
      <c r="Y231" s="263">
        <f>IF(ISNUMBER(Y228),IF(ABS(Y228-Y167)&lt;=0.15,0,ROUND(Y228-Y167,1)),"")</f>
        <v/>
      </c>
      <c r="Z231" s="263">
        <f>IF(ISNUMBER(Z228),IF(ABS(Z228-Z167)&lt;=0.15,0,ROUND(Z228-Z167,1)),"")</f>
        <v/>
      </c>
      <c r="AA231" s="263">
        <f>IF(ISNUMBER(AA228),IF(ABS(AA228-AA167)&lt;=0.15,0,ROUND(AA228-AA167,1)),"")</f>
        <v/>
      </c>
      <c r="AB231" s="263">
        <f>IF(ISNUMBER(AB228),IF(ABS(AB228-AB167)&lt;=0.15,0,ROUND(AB228-AB167,1)),"")</f>
        <v/>
      </c>
      <c r="AC231" s="263">
        <f>IF(ISNUMBER(AC228),IF(ABS(AC228-AC167)&lt;=0.15,0,ROUND(AC228-AC167,1)),"")</f>
        <v/>
      </c>
      <c r="AD231" s="263">
        <f>IF(ISNUMBER(AD228),IF(ABS(AD228-AD167)&lt;=0.15,0,ROUND(AD228-AD167,1)),"")</f>
        <v/>
      </c>
      <c r="AE231" s="263">
        <f>IF(ISNUMBER(AE228),IF(ABS(AE228-AE167)&lt;=0.15,0,ROUND(AE228-AE167,1)),"")</f>
        <v/>
      </c>
      <c r="AF231" s="263">
        <f>IF(ISNUMBER(AF228),IF(ABS(AF228-AF167)&lt;=0.15,0,ROUND(AF228-AF167,1)),"")</f>
        <v/>
      </c>
      <c r="AG231" s="263">
        <f>IF(ISNUMBER(AG228),IF(ABS(AG228-AG167)&lt;=0.15,0,ROUND(AG228-AG167,1)),"")</f>
        <v/>
      </c>
      <c r="AH231" s="263">
        <f>IF(ISNUMBER(AH228),IF(ABS(AH228-AH167)&lt;=0.15,0,ROUND(AH228-AH167,1)),"")</f>
        <v/>
      </c>
      <c r="AI231" s="263">
        <f>IF(ISNUMBER(AI228),IF(ABS(AI228-AI167)&lt;=0.15,0,ROUND(AI228-AI167,1)),"")</f>
        <v/>
      </c>
      <c r="AJ231" s="263">
        <f>IF(ISNUMBER(AJ228),IF(ABS(AJ228-AJ167)&lt;=0.15,0,ROUND(AJ228-AJ167,1)),"")</f>
        <v/>
      </c>
      <c r="AK231" s="263">
        <f>IF(ISNUMBER(AK228),IF(ABS(AK228-AK167)&lt;=0.15,0,ROUND(AK228-AK167,1)),"")</f>
        <v/>
      </c>
      <c r="AL231" s="263">
        <f>IF(ISNUMBER(AL228),IF(ABS(AL228-AL167)&lt;=0.15,0,ROUND(AL228-AL167,1)),"")</f>
        <v/>
      </c>
      <c r="AM231" s="153" t="n"/>
      <c r="AN231" s="153" t="n"/>
      <c r="AO231" s="153" t="n"/>
      <c r="AP231" s="153" t="n"/>
      <c r="AQ231" s="153" t="n"/>
      <c r="AR231" s="153" t="n"/>
      <c r="AS231" s="153" t="n"/>
      <c r="AT231" s="153" t="n"/>
      <c r="AU231" s="153" t="n"/>
    </row>
    <row r="232" ht="15" customHeight="1" s="251">
      <c r="B232" s="25" t="inlineStr">
        <is>
          <t xml:space="preserve">  (+) Adjusting items excl. acquired-intangible amortization (already in D&amp;A)</t>
        </is>
      </c>
      <c r="C232" s="263">
        <f>IF(ISNUMBER(C207),C207-C197,"")</f>
        <v/>
      </c>
      <c r="D232" s="263">
        <f>IF(ISNUMBER(D207),D207-D197,"")</f>
        <v/>
      </c>
      <c r="E232" s="263">
        <f>IF(ISNUMBER(E207),E207-E197,"")</f>
        <v/>
      </c>
      <c r="F232" s="263">
        <f>IF(ISNUMBER(F207),F207-F197,"")</f>
        <v/>
      </c>
      <c r="G232" s="263">
        <f>IF(ISNUMBER(G207),G207-G197,"")</f>
        <v/>
      </c>
      <c r="H232" s="263">
        <f>IF(ISNUMBER(H207),H207-H197,"")</f>
        <v/>
      </c>
      <c r="I232" s="263">
        <f>IF(ISNUMBER(I207),I207-I197,"")</f>
        <v/>
      </c>
      <c r="J232" s="263">
        <f>IF(ISNUMBER(J207),J207-J197,"")</f>
        <v/>
      </c>
      <c r="K232" s="263">
        <f>IF(ISNUMBER(K207),K207-K197,"")</f>
        <v/>
      </c>
      <c r="L232" s="263">
        <f>IF(ISNUMBER(L207),L207-L197,"")</f>
        <v/>
      </c>
      <c r="M232" s="263">
        <f>IF(ISNUMBER(M207),M207-M197,"")</f>
        <v/>
      </c>
      <c r="N232" s="263">
        <f>IF(ISNUMBER(N207),N207-N197,"")</f>
        <v/>
      </c>
      <c r="O232" s="263">
        <f>IF(ISNUMBER(O207),O207-O197,"")</f>
        <v/>
      </c>
      <c r="P232" s="263">
        <f>IF(ISNUMBER(P207),P207-P197,"")</f>
        <v/>
      </c>
      <c r="Q232" s="263">
        <f>IF(ISNUMBER(Q207),Q207-Q197,"")</f>
        <v/>
      </c>
      <c r="R232" s="263">
        <f>IF(ISNUMBER(R207),R207-R197,"")</f>
        <v/>
      </c>
      <c r="S232" s="263">
        <f>IF(ISNUMBER(S207),S207-S197,"")</f>
        <v/>
      </c>
      <c r="T232" s="263">
        <f>IF(ISNUMBER(T207),T207-T197,"")</f>
        <v/>
      </c>
      <c r="U232" s="263">
        <f>IF(ISNUMBER(U207),U207-U197,"")</f>
        <v/>
      </c>
      <c r="V232" s="263">
        <f>IF(ISNUMBER(V207),V207-V197,"")</f>
        <v/>
      </c>
      <c r="W232" s="263">
        <f>IF(ISNUMBER(W207),W207-W197,"")</f>
        <v/>
      </c>
      <c r="X232" s="263">
        <f>IF(ISNUMBER(X207),X207-X197,"")</f>
        <v/>
      </c>
      <c r="Y232" s="263">
        <f>IF(ISNUMBER(Y207),Y207-Y197,"")</f>
        <v/>
      </c>
      <c r="Z232" s="263">
        <f>IF(ISNUMBER(Z207),Z207-Z197,"")</f>
        <v/>
      </c>
      <c r="AA232" s="263">
        <f>IF(ISNUMBER(AA207),AA207-AA197,"")</f>
        <v/>
      </c>
      <c r="AB232" s="263">
        <f>IF(ISNUMBER(AB207),AB207-AB197,"")</f>
        <v/>
      </c>
      <c r="AC232" s="263">
        <f>IF(ISNUMBER(AC207),AC207-AC197,"")</f>
        <v/>
      </c>
      <c r="AD232" s="263">
        <f>IF(ISNUMBER(AD207),AD207-AD197,"")</f>
        <v/>
      </c>
      <c r="AE232" s="263">
        <f>IF(ISNUMBER(AE207),AE207-AE197,"")</f>
        <v/>
      </c>
      <c r="AF232" s="263">
        <f>IF(ISNUMBER(AF207),AF207-AF197,"")</f>
        <v/>
      </c>
      <c r="AG232" s="263">
        <f>IF(ISNUMBER(AG207),AG207-AG197,"")</f>
        <v/>
      </c>
      <c r="AH232" s="263">
        <f>IF(ISNUMBER(AH207),AH207-AH197,"")</f>
        <v/>
      </c>
      <c r="AI232" s="263">
        <f>IF(ISNUMBER(AI207),AI207-AI197,"")</f>
        <v/>
      </c>
      <c r="AJ232" s="263">
        <f>IF(ISNUMBER(AJ207),AJ207-AJ197,"")</f>
        <v/>
      </c>
      <c r="AK232" s="263">
        <f>IF(ISNUMBER(AK207),AK207-AK197,"")</f>
        <v/>
      </c>
      <c r="AL232" s="263">
        <f>IF(ISNUMBER(AL207),AL207-AL197,"")</f>
        <v/>
      </c>
      <c r="AM232" s="254">
        <f>IF(ISNUMBER(AM207),AM207-AM197,"")</f>
        <v/>
      </c>
      <c r="AN232" s="254">
        <f>IF(ISNUMBER(AN207),AN207-AN197,"")</f>
        <v/>
      </c>
      <c r="AO232" s="254">
        <f>IF(ISNUMBER(AO207),AO207-AO197,"")</f>
        <v/>
      </c>
      <c r="AP232" s="254">
        <f>IF(ISNUMBER(AP207),AP207-AP197,"")</f>
        <v/>
      </c>
      <c r="AQ232" s="254">
        <f>IF(ISNUMBER(AQ207),AQ207-AQ197,"")</f>
        <v/>
      </c>
      <c r="AR232" s="254">
        <f>IF(ISNUMBER(AR207),AR207-AR197,"")</f>
        <v/>
      </c>
      <c r="AS232" s="254">
        <f>IF(ISNUMBER(AS207),AS207-AS197,"")</f>
        <v/>
      </c>
      <c r="AT232" s="254">
        <f>IF(ISNUMBER(AT207),AT207-AT197,"")</f>
        <v/>
      </c>
      <c r="AU232" s="19" t="n"/>
    </row>
    <row r="233" ht="15" customHeight="1" s="251">
      <c r="B233" s="55" t="inlineStr">
        <is>
          <t xml:space="preserve">  = Adjusted EBITDA (model: adjusted income from operations + depreciation &amp; other amortization)</t>
        </is>
      </c>
      <c r="C233" s="274">
        <f>IF(AND(ISNUMBER(C230),ISNUMBER(C232)),C230+C232,"")</f>
        <v/>
      </c>
      <c r="D233" s="274">
        <f>IF(AND(ISNUMBER(D230),ISNUMBER(D232)),D230+D232,"")</f>
        <v/>
      </c>
      <c r="E233" s="274">
        <f>IF(AND(ISNUMBER(E230),ISNUMBER(E232)),E230+E232,"")</f>
        <v/>
      </c>
      <c r="F233" s="274">
        <f>IF(AND(ISNUMBER(F230),ISNUMBER(F232)),F230+F232,"")</f>
        <v/>
      </c>
      <c r="G233" s="274">
        <f>IF(AND(ISNUMBER(G230),ISNUMBER(G232)),G230+G232,"")</f>
        <v/>
      </c>
      <c r="H233" s="274">
        <f>IF(AND(ISNUMBER(H230),ISNUMBER(H232)),H230+H232,"")</f>
        <v/>
      </c>
      <c r="I233" s="274">
        <f>IF(AND(ISNUMBER(I230),ISNUMBER(I232)),I230+I232,"")</f>
        <v/>
      </c>
      <c r="J233" s="274">
        <f>IF(AND(ISNUMBER(J230),ISNUMBER(J232)),J230+J232,"")</f>
        <v/>
      </c>
      <c r="K233" s="274">
        <f>IF(AND(ISNUMBER(K230),ISNUMBER(K232)),K230+K232,"")</f>
        <v/>
      </c>
      <c r="L233" s="274">
        <f>IF(AND(ISNUMBER(L230),ISNUMBER(L232)),L230+L232,"")</f>
        <v/>
      </c>
      <c r="M233" s="274">
        <f>IF(AND(ISNUMBER(M230),ISNUMBER(M232)),M230+M232,"")</f>
        <v/>
      </c>
      <c r="N233" s="274">
        <f>IF(AND(ISNUMBER(N230),ISNUMBER(N232)),N230+N232,"")</f>
        <v/>
      </c>
      <c r="O233" s="274">
        <f>IF(AND(ISNUMBER(O230),ISNUMBER(O232)),O230+O232,"")</f>
        <v/>
      </c>
      <c r="P233" s="274">
        <f>IF(AND(ISNUMBER(P230),ISNUMBER(P232)),P230+P232,"")</f>
        <v/>
      </c>
      <c r="Q233" s="274">
        <f>IF(AND(ISNUMBER(Q230),ISNUMBER(Q232)),Q230+Q232,"")</f>
        <v/>
      </c>
      <c r="R233" s="274">
        <f>IF(AND(ISNUMBER(R230),ISNUMBER(R232)),R230+R232,"")</f>
        <v/>
      </c>
      <c r="S233" s="274">
        <f>IF(AND(ISNUMBER(S230),ISNUMBER(S232)),S230+S232,"")</f>
        <v/>
      </c>
      <c r="T233" s="274">
        <f>IF(AND(ISNUMBER(T230),ISNUMBER(T232)),T230+T232,"")</f>
        <v/>
      </c>
      <c r="U233" s="274">
        <f>IF(AND(ISNUMBER(U230),ISNUMBER(U232)),U230+U232,"")</f>
        <v/>
      </c>
      <c r="V233" s="274">
        <f>IF(AND(ISNUMBER(V230),ISNUMBER(V232)),V230+V232,"")</f>
        <v/>
      </c>
      <c r="W233" s="274">
        <f>IF(AND(ISNUMBER(W230),ISNUMBER(W232)),W230+W232,"")</f>
        <v/>
      </c>
      <c r="X233" s="274">
        <f>IF(AND(ISNUMBER(X230),ISNUMBER(X232)),X230+X232,"")</f>
        <v/>
      </c>
      <c r="Y233" s="274">
        <f>IF(AND(ISNUMBER(Y230),ISNUMBER(Y232)),Y230+Y232,"")</f>
        <v/>
      </c>
      <c r="Z233" s="274">
        <f>IF(AND(ISNUMBER(Z230),ISNUMBER(Z232)),Z230+Z232,"")</f>
        <v/>
      </c>
      <c r="AA233" s="274">
        <f>IF(AND(ISNUMBER(AA230),ISNUMBER(AA232)),AA230+AA232,"")</f>
        <v/>
      </c>
      <c r="AB233" s="274">
        <f>IF(AND(ISNUMBER(AB230),ISNUMBER(AB232)),AB230+AB232,"")</f>
        <v/>
      </c>
      <c r="AC233" s="274">
        <f>IF(AND(ISNUMBER(AC230),ISNUMBER(AC232)),AC230+AC232,"")</f>
        <v/>
      </c>
      <c r="AD233" s="274">
        <f>IF(AND(ISNUMBER(AD230),ISNUMBER(AD232)),AD230+AD232,"")</f>
        <v/>
      </c>
      <c r="AE233" s="274">
        <f>IF(AND(ISNUMBER(AE230),ISNUMBER(AE232)),AE230+AE232,"")</f>
        <v/>
      </c>
      <c r="AF233" s="274">
        <f>IF(AND(ISNUMBER(AF230),ISNUMBER(AF232)),AF230+AF232,"")</f>
        <v/>
      </c>
      <c r="AG233" s="274">
        <f>IF(AND(ISNUMBER(AG230),ISNUMBER(AG232)),AG230+AG232,"")</f>
        <v/>
      </c>
      <c r="AH233" s="274">
        <f>IF(AND(ISNUMBER(AH230),ISNUMBER(AH232)),AH230+AH232,"")</f>
        <v/>
      </c>
      <c r="AI233" s="274">
        <f>IF(AND(ISNUMBER(AI230),ISNUMBER(AI232)),AI230+AI232,"")</f>
        <v/>
      </c>
      <c r="AJ233" s="274">
        <f>IF(AND(ISNUMBER(AJ230),ISNUMBER(AJ232)),AJ230+AJ232,"")</f>
        <v/>
      </c>
      <c r="AK233" s="274">
        <f>IF(AND(ISNUMBER(AK230),ISNUMBER(AK232)),AK230+AK232,"")</f>
        <v/>
      </c>
      <c r="AL233" s="274">
        <f>IF(AND(ISNUMBER(AL230),ISNUMBER(AL232)),AL230+AL232,"")</f>
        <v/>
      </c>
      <c r="AM233" s="274">
        <f>IF(AND(ISNUMBER(AM230),ISNUMBER(AM232)),AM230+AM232,"")</f>
        <v/>
      </c>
      <c r="AN233" s="274">
        <f>IF(AND(ISNUMBER(AN230),ISNUMBER(AN232)),AN230+AN232,"")</f>
        <v/>
      </c>
      <c r="AO233" s="274">
        <f>IF(AND(ISNUMBER(AO230),ISNUMBER(AO232)),AO230+AO232,"")</f>
        <v/>
      </c>
      <c r="AP233" s="274">
        <f>IF(AND(ISNUMBER(AP230),ISNUMBER(AP232)),AP230+AP232,"")</f>
        <v/>
      </c>
      <c r="AQ233" s="274">
        <f>IF(AND(ISNUMBER(AQ230),ISNUMBER(AQ232)),AQ230+AQ232,"")</f>
        <v/>
      </c>
      <c r="AR233" s="274">
        <f>IF(AND(ISNUMBER(AR230),ISNUMBER(AR232)),AR230+AR232,"")</f>
        <v/>
      </c>
      <c r="AS233" s="274">
        <f>IF(AND(ISNUMBER(AS230),ISNUMBER(AS232)),AS230+AS232,"")</f>
        <v/>
      </c>
      <c r="AT233" s="274">
        <f>IF(AND(ISNUMBER(AT230),ISNUMBER(AT232)),AT230+AT232,"")</f>
        <v/>
      </c>
      <c r="AU233" s="153" t="inlineStr">
        <is>
          <t>Used for leverage (net debt / adjusted EBITDA) and EV / EBITDA. Accelerated depreciation in restructuring (FY27–30 plan) is excluded once in restructuring.</t>
        </is>
      </c>
      <c r="AW233" s="20">
        <f>IFERROR((AT233/AK233)^(1/5)-1,"n/m")</f>
        <v/>
      </c>
      <c r="AX233" s="20">
        <f>IFERROR((AK233/L233)^(1/5)-1,"n/m")</f>
        <v/>
      </c>
      <c r="AY233" s="20">
        <f>IFERROR((AK233/G233)^(1/10)-1,"n/m")</f>
        <v/>
      </c>
      <c r="AZ233" s="20">
        <f>IFERROR((AK233/C233)^(1/14)-1,"n/m")</f>
        <v/>
      </c>
    </row>
    <row r="234" ht="15" customHeight="1" s="251">
      <c r="B234" s="25" t="inlineStr">
        <is>
          <t xml:space="preserve">  Adjusted EBITDA margin %</t>
        </is>
      </c>
      <c r="C234" s="215">
        <f>IF(AND(ISNUMBER(C233),ISNUMBER(C159)),IFERROR(C233/C159,""),"")</f>
        <v/>
      </c>
      <c r="D234" s="215">
        <f>IF(AND(ISNUMBER(D233),ISNUMBER(D159)),IFERROR(D233/D159,""),"")</f>
        <v/>
      </c>
      <c r="E234" s="215">
        <f>IF(AND(ISNUMBER(E233),ISNUMBER(E159)),IFERROR(E233/E159,""),"")</f>
        <v/>
      </c>
      <c r="F234" s="215">
        <f>IF(AND(ISNUMBER(F233),ISNUMBER(F159)),IFERROR(F233/F159,""),"")</f>
        <v/>
      </c>
      <c r="G234" s="215">
        <f>IF(AND(ISNUMBER(G233),ISNUMBER(G159)),IFERROR(G233/G159,""),"")</f>
        <v/>
      </c>
      <c r="H234" s="215">
        <f>IF(AND(ISNUMBER(H233),ISNUMBER(H159)),IFERROR(H233/H159,""),"")</f>
        <v/>
      </c>
      <c r="I234" s="215">
        <f>IF(AND(ISNUMBER(I233),ISNUMBER(I159)),IFERROR(I233/I159,""),"")</f>
        <v/>
      </c>
      <c r="J234" s="215">
        <f>IF(AND(ISNUMBER(J233),ISNUMBER(J159)),IFERROR(J233/J159,""),"")</f>
        <v/>
      </c>
      <c r="K234" s="215">
        <f>IF(AND(ISNUMBER(K233),ISNUMBER(K159)),IFERROR(K233/K159,""),"")</f>
        <v/>
      </c>
      <c r="L234" s="215">
        <f>IF(AND(ISNUMBER(L233),ISNUMBER(L159)),IFERROR(L233/L159,""),"")</f>
        <v/>
      </c>
      <c r="M234" s="215">
        <f>IF(AND(ISNUMBER(M233),ISNUMBER(M159)),IFERROR(M233/M159,""),"")</f>
        <v/>
      </c>
      <c r="N234" s="215">
        <f>IF(AND(ISNUMBER(N233),ISNUMBER(N159)),IFERROR(N233/N159,""),"")</f>
        <v/>
      </c>
      <c r="O234" s="215">
        <f>IF(AND(ISNUMBER(O233),ISNUMBER(O159)),IFERROR(O233/O159,""),"")</f>
        <v/>
      </c>
      <c r="P234" s="215">
        <f>IF(AND(ISNUMBER(P233),ISNUMBER(P159)),IFERROR(P233/P159,""),"")</f>
        <v/>
      </c>
      <c r="Q234" s="215">
        <f>IF(AND(ISNUMBER(Q233),ISNUMBER(Q159)),IFERROR(Q233/Q159,""),"")</f>
        <v/>
      </c>
      <c r="R234" s="215">
        <f>IF(AND(ISNUMBER(R233),ISNUMBER(R159)),IFERROR(R233/R159,""),"")</f>
        <v/>
      </c>
      <c r="S234" s="215">
        <f>IF(AND(ISNUMBER(S233),ISNUMBER(S159)),IFERROR(S233/S159,""),"")</f>
        <v/>
      </c>
      <c r="T234" s="215">
        <f>IF(AND(ISNUMBER(T233),ISNUMBER(T159)),IFERROR(T233/T159,""),"")</f>
        <v/>
      </c>
      <c r="U234" s="215">
        <f>IF(AND(ISNUMBER(U233),ISNUMBER(U159)),IFERROR(U233/U159,""),"")</f>
        <v/>
      </c>
      <c r="V234" s="215">
        <f>IF(AND(ISNUMBER(V233),ISNUMBER(V159)),IFERROR(V233/V159,""),"")</f>
        <v/>
      </c>
      <c r="W234" s="215">
        <f>IF(AND(ISNUMBER(W233),ISNUMBER(W159)),IFERROR(W233/W159,""),"")</f>
        <v/>
      </c>
      <c r="X234" s="215">
        <f>IF(AND(ISNUMBER(X233),ISNUMBER(X159)),IFERROR(X233/X159,""),"")</f>
        <v/>
      </c>
      <c r="Y234" s="215">
        <f>IF(AND(ISNUMBER(Y233),ISNUMBER(Y159)),IFERROR(Y233/Y159,""),"")</f>
        <v/>
      </c>
      <c r="Z234" s="215">
        <f>IF(AND(ISNUMBER(Z233),ISNUMBER(Z159)),IFERROR(Z233/Z159,""),"")</f>
        <v/>
      </c>
      <c r="AA234" s="215">
        <f>IF(AND(ISNUMBER(AA233),ISNUMBER(AA159)),IFERROR(AA233/AA159,""),"")</f>
        <v/>
      </c>
      <c r="AB234" s="215">
        <f>IF(AND(ISNUMBER(AB233),ISNUMBER(AB159)),IFERROR(AB233/AB159,""),"")</f>
        <v/>
      </c>
      <c r="AC234" s="215">
        <f>IF(AND(ISNUMBER(AC233),ISNUMBER(AC159)),IFERROR(AC233/AC159,""),"")</f>
        <v/>
      </c>
      <c r="AD234" s="215">
        <f>IF(AND(ISNUMBER(AD233),ISNUMBER(AD159)),IFERROR(AD233/AD159,""),"")</f>
        <v/>
      </c>
      <c r="AE234" s="215">
        <f>IF(AND(ISNUMBER(AE233),ISNUMBER(AE159)),IFERROR(AE233/AE159,""),"")</f>
        <v/>
      </c>
      <c r="AF234" s="215">
        <f>IF(AND(ISNUMBER(AF233),ISNUMBER(AF159)),IFERROR(AF233/AF159,""),"")</f>
        <v/>
      </c>
      <c r="AG234" s="215">
        <f>IF(AND(ISNUMBER(AG233),ISNUMBER(AG159)),IFERROR(AG233/AG159,""),"")</f>
        <v/>
      </c>
      <c r="AH234" s="215">
        <f>IF(AND(ISNUMBER(AH233),ISNUMBER(AH159)),IFERROR(AH233/AH159,""),"")</f>
        <v/>
      </c>
      <c r="AI234" s="215">
        <f>IF(AND(ISNUMBER(AI233),ISNUMBER(AI159)),IFERROR(AI233/AI159,""),"")</f>
        <v/>
      </c>
      <c r="AJ234" s="215">
        <f>IF(AND(ISNUMBER(AJ233),ISNUMBER(AJ159)),IFERROR(AJ233/AJ159,""),"")</f>
        <v/>
      </c>
      <c r="AK234" s="215">
        <f>IF(AND(ISNUMBER(AK233),ISNUMBER(AK159)),IFERROR(AK233/AK159,""),"")</f>
        <v/>
      </c>
      <c r="AL234" s="215">
        <f>IF(AND(ISNUMBER(AL233),ISNUMBER(AL159)),IFERROR(AL233/AL159,""),"")</f>
        <v/>
      </c>
      <c r="AM234" s="256">
        <f>IF(AND(ISNUMBER(AM233),ISNUMBER(AM159)),IFERROR(AM233/AM159,""),"")</f>
        <v/>
      </c>
      <c r="AN234" s="256">
        <f>IF(AND(ISNUMBER(AN233),ISNUMBER(AN159)),IFERROR(AN233/AN159,""),"")</f>
        <v/>
      </c>
      <c r="AO234" s="256">
        <f>IF(AND(ISNUMBER(AO233),ISNUMBER(AO159)),IFERROR(AO233/AO159,""),"")</f>
        <v/>
      </c>
      <c r="AP234" s="256">
        <f>IF(AND(ISNUMBER(AP233),ISNUMBER(AP159)),IFERROR(AP233/AP159,""),"")</f>
        <v/>
      </c>
      <c r="AQ234" s="256">
        <f>IF(AND(ISNUMBER(AQ233),ISNUMBER(AQ159)),IFERROR(AQ233/AQ159,""),"")</f>
        <v/>
      </c>
      <c r="AR234" s="256">
        <f>IF(AND(ISNUMBER(AR233),ISNUMBER(AR159)),IFERROR(AR233/AR159,""),"")</f>
        <v/>
      </c>
      <c r="AS234" s="256">
        <f>IF(AND(ISNUMBER(AS233),ISNUMBER(AS159)),IFERROR(AS233/AS159,""),"")</f>
        <v/>
      </c>
      <c r="AT234" s="256">
        <f>IF(AND(ISNUMBER(AT233),ISNUMBER(AT159)),IFERROR(AT233/AT159,""),"")</f>
        <v/>
      </c>
      <c r="AU234" s="153" t="n"/>
      <c r="AW234" s="37">
        <f>IFERROR(AVERAGE(AP234,AQ234,AR234,AS234,AT234),"n/m")</f>
        <v/>
      </c>
      <c r="AX234" s="37">
        <f>IFERROR(AVERAGE(Q234,V234,AA234,AF234,AK234),"n/m")</f>
        <v/>
      </c>
      <c r="AY234" s="37">
        <f>IFERROR(AVERAGE(H234,I234,J234,K234,L234,Q234,V234,AA234,AF234,AK234),"n/m")</f>
        <v/>
      </c>
      <c r="AZ234" s="37">
        <f>IFERROR(AVERAGE(C234,D234,E234,F234,G234,H234,I234,J234,K234,L234,Q234,V234,AA234,AF234,AK234),"n/m")</f>
        <v/>
      </c>
    </row>
    <row r="235" ht="15" customHeight="1" s="251">
      <c r="B235" s="57" t="inlineStr">
        <is>
          <t xml:space="preserve">  Check: adjusted EBITDA − depreciation &amp; other amortization vs company adjusted operating income (should be 0)</t>
        </is>
      </c>
      <c r="C235" s="263">
        <f>IF(AND(ISNUMBER(C233),ISNUMBER(C210)),IF(ABS(C233-C145-C210)&lt;=0.15,0,ROUND(C233-C145-C210,1)),"n/p")</f>
        <v/>
      </c>
      <c r="D235" s="263">
        <f>IF(AND(ISNUMBER(D233),ISNUMBER(D210)),IF(ABS(D233-D145-D210)&lt;=0.15,0,ROUND(D233-D145-D210,1)),"n/p")</f>
        <v/>
      </c>
      <c r="E235" s="263">
        <f>IF(AND(ISNUMBER(E233),ISNUMBER(E210)),IF(ABS(E233-E145-E210)&lt;=0.15,0,ROUND(E233-E145-E210,1)),"n/p")</f>
        <v/>
      </c>
      <c r="F235" s="263">
        <f>IF(AND(ISNUMBER(F233),ISNUMBER(F210)),IF(ABS(F233-F145-F210)&lt;=0.15,0,ROUND(F233-F145-F210,1)),"n/p")</f>
        <v/>
      </c>
      <c r="G235" s="263">
        <f>IF(AND(ISNUMBER(G233),ISNUMBER(G210)),IF(ABS(G233-G145-G210)&lt;=0.15,0,ROUND(G233-G145-G210,1)),"n/p")</f>
        <v/>
      </c>
      <c r="H235" s="263">
        <f>IF(AND(ISNUMBER(H233),ISNUMBER(H210)),IF(ABS(H233-H145-H210)&lt;=0.15,0,ROUND(H233-H145-H210,1)),"n/p")</f>
        <v/>
      </c>
      <c r="I235" s="263">
        <f>IF(AND(ISNUMBER(I233),ISNUMBER(I210)),IF(ABS(I233-I145-I210)&lt;=0.15,0,ROUND(I233-I145-I210,1)),"n/p")</f>
        <v/>
      </c>
      <c r="J235" s="263">
        <f>IF(AND(ISNUMBER(J233),ISNUMBER(J210)),IF(ABS(J233-J145-J210)&lt;=0.15,0,ROUND(J233-J145-J210,1)),"n/p")</f>
        <v/>
      </c>
      <c r="K235" s="263">
        <f>IF(AND(ISNUMBER(K233),ISNUMBER(K210)),IF(ABS(K233-K145-K210)&lt;=0.15,0,ROUND(K233-K145-K210,1)),"n/p")</f>
        <v/>
      </c>
      <c r="L235" s="263">
        <f>IF(AND(ISNUMBER(L233),ISNUMBER(L210)),IF(ABS(L233-L145-L210)&lt;=0.15,0,ROUND(L233-L145-L210,1)),"n/p")</f>
        <v/>
      </c>
      <c r="M235" s="263">
        <f>IF(AND(ISNUMBER(M233),ISNUMBER(M210)),IF(ABS(M233-M145-M210)&lt;=0.15,0,ROUND(M233-M145-M210,1)),"n/p")</f>
        <v/>
      </c>
      <c r="N235" s="263">
        <f>IF(AND(ISNUMBER(N233),ISNUMBER(N210)),IF(ABS(N233-N145-N210)&lt;=0.15,0,ROUND(N233-N145-N210,1)),"n/p")</f>
        <v/>
      </c>
      <c r="O235" s="263">
        <f>IF(AND(ISNUMBER(O233),ISNUMBER(O210)),IF(ABS(O233-O145-O210)&lt;=0.15,0,ROUND(O233-O145-O210,1)),"n/p")</f>
        <v/>
      </c>
      <c r="P235" s="263">
        <f>IF(AND(ISNUMBER(P233),ISNUMBER(P210)),IF(ABS(P233-P145-P210)&lt;=0.15,0,ROUND(P233-P145-P210,1)),"n/p")</f>
        <v/>
      </c>
      <c r="Q235" s="263">
        <f>IF(AND(ISNUMBER(Q233),ISNUMBER(Q210)),IF(ABS(Q233-Q145-Q210)&lt;=0.15,0,ROUND(Q233-Q145-Q210,1)),"n/p")</f>
        <v/>
      </c>
      <c r="R235" s="263">
        <f>IF(AND(ISNUMBER(R233),ISNUMBER(R210)),IF(ABS(R233-R145-R210)&lt;=0.15,0,ROUND(R233-R145-R210,1)),"n/p")</f>
        <v/>
      </c>
      <c r="S235" s="263">
        <f>IF(AND(ISNUMBER(S233),ISNUMBER(S210)),IF(ABS(S233-S145-S210)&lt;=0.15,0,ROUND(S233-S145-S210,1)),"n/p")</f>
        <v/>
      </c>
      <c r="T235" s="263">
        <f>IF(AND(ISNUMBER(T233),ISNUMBER(T210)),IF(ABS(T233-T145-T210)&lt;=0.15,0,ROUND(T233-T145-T210,1)),"n/p")</f>
        <v/>
      </c>
      <c r="U235" s="263">
        <f>IF(AND(ISNUMBER(U233),ISNUMBER(U210)),IF(ABS(U233-U145-U210)&lt;=0.15,0,ROUND(U233-U145-U210,1)),"n/p")</f>
        <v/>
      </c>
      <c r="V235" s="263">
        <f>IF(AND(ISNUMBER(V233),ISNUMBER(V210)),IF(ABS(V233-V145-V210)&lt;=0.15,0,ROUND(V233-V145-V210,1)),"n/p")</f>
        <v/>
      </c>
      <c r="W235" s="263">
        <f>IF(AND(ISNUMBER(W233),ISNUMBER(W210)),IF(ABS(W233-W145-W210)&lt;=0.15,0,ROUND(W233-W145-W210,1)),"n/p")</f>
        <v/>
      </c>
      <c r="X235" s="263">
        <f>IF(AND(ISNUMBER(X233),ISNUMBER(X210)),IF(ABS(X233-X145-X210)&lt;=0.15,0,ROUND(X233-X145-X210,1)),"n/p")</f>
        <v/>
      </c>
      <c r="Y235" s="263">
        <f>IF(AND(ISNUMBER(Y233),ISNUMBER(Y210)),IF(ABS(Y233-Y145-Y210)&lt;=0.15,0,ROUND(Y233-Y145-Y210,1)),"n/p")</f>
        <v/>
      </c>
      <c r="Z235" s="263">
        <f>IF(AND(ISNUMBER(Z233),ISNUMBER(Z210)),IF(ABS(Z233-Z145-Z210)&lt;=0.15,0,ROUND(Z233-Z145-Z210,1)),"n/p")</f>
        <v/>
      </c>
      <c r="AA235" s="263">
        <f>IF(AND(ISNUMBER(AA233),ISNUMBER(AA210)),IF(ABS(AA233-AA145-AA210)&lt;=0.15,0,ROUND(AA233-AA145-AA210,1)),"n/p")</f>
        <v/>
      </c>
      <c r="AB235" s="263">
        <f>IF(AND(ISNUMBER(AB233),ISNUMBER(AB210)),IF(ABS(AB233-AB145-AB210)&lt;=0.15,0,ROUND(AB233-AB145-AB210,1)),"n/p")</f>
        <v/>
      </c>
      <c r="AC235" s="263">
        <f>IF(AND(ISNUMBER(AC233),ISNUMBER(AC210)),IF(ABS(AC233-AC145-AC210)&lt;=0.15,0,ROUND(AC233-AC145-AC210,1)),"n/p")</f>
        <v/>
      </c>
      <c r="AD235" s="263">
        <f>IF(AND(ISNUMBER(AD233),ISNUMBER(AD210)),IF(ABS(AD233-AD145-AD210)&lt;=0.15,0,ROUND(AD233-AD145-AD210,1)),"n/p")</f>
        <v/>
      </c>
      <c r="AE235" s="263">
        <f>IF(AND(ISNUMBER(AE233),ISNUMBER(AE210)),IF(ABS(AE233-AE145-AE210)&lt;=0.15,0,ROUND(AE233-AE145-AE210,1)),"n/p")</f>
        <v/>
      </c>
      <c r="AF235" s="263">
        <f>IF(AND(ISNUMBER(AF233),ISNUMBER(AF210)),IF(ABS(AF233-AF145-AF210)&lt;=0.15,0,ROUND(AF233-AF145-AF210,1)),"n/p")</f>
        <v/>
      </c>
      <c r="AG235" s="263">
        <f>IF(AND(ISNUMBER(AG233),ISNUMBER(AG210)),IF(ABS(AG233-AG145-AG210)&lt;=0.15,0,ROUND(AG233-AG145-AG210,1)),"n/p")</f>
        <v/>
      </c>
      <c r="AH235" s="263">
        <f>IF(AND(ISNUMBER(AH233),ISNUMBER(AH210)),IF(ABS(AH233-AH145-AH210)&lt;=0.15,0,ROUND(AH233-AH145-AH210,1)),"n/p")</f>
        <v/>
      </c>
      <c r="AI235" s="263">
        <f>IF(AND(ISNUMBER(AI233),ISNUMBER(AI210)),IF(ABS(AI233-AI145-AI210)&lt;=0.15,0,ROUND(AI233-AI145-AI210,1)),"n/p")</f>
        <v/>
      </c>
      <c r="AJ235" s="263">
        <f>IF(AND(ISNUMBER(AJ233),ISNUMBER(AJ210)),IF(ABS(AJ233-AJ145-AJ210)&lt;=0.15,0,ROUND(AJ233-AJ145-AJ210,1)),"n/p")</f>
        <v/>
      </c>
      <c r="AK235" s="263">
        <f>IF(AND(ISNUMBER(AK233),ISNUMBER(AK210)),IF(ABS(AK233-AK145-AK210)&lt;=0.15,0,ROUND(AK233-AK145-AK210,1)),"n/p")</f>
        <v/>
      </c>
      <c r="AL235" s="263">
        <f>IF(AND(ISNUMBER(AL233),ISNUMBER(AL210)),IF(ABS(AL233-AL145-AL210)&lt;=0.15,0,ROUND(AL233-AL145-AL210,1)),"n/p")</f>
        <v/>
      </c>
      <c r="AM235" s="153" t="n"/>
      <c r="AN235" s="153" t="n"/>
      <c r="AO235" s="153" t="n"/>
      <c r="AP235" s="153" t="n"/>
      <c r="AQ235" s="153" t="n"/>
      <c r="AR235" s="153" t="n"/>
      <c r="AS235" s="153" t="n"/>
      <c r="AT235" s="153" t="n"/>
      <c r="AU235" s="153" t="n"/>
    </row>
    <row r="236" ht="15" customHeight="1" s="251">
      <c r="B236" s="25" t="inlineStr">
        <is>
          <t>To adjusted EBIT (full-cost; for NOPAT, ROIC and the DCF):</t>
        </is>
      </c>
      <c r="AU236" s="153" t="n"/>
    </row>
    <row r="237" ht="15" customHeight="1" s="251">
      <c r="B237" s="25" t="inlineStr">
        <is>
          <t xml:space="preserve">  (−) Depreciation, depletion &amp; amortization (total)</t>
        </is>
      </c>
      <c r="C237" s="263">
        <f>IF(ISNUMBER(C229),-C229,"")</f>
        <v/>
      </c>
      <c r="D237" s="263">
        <f>IF(ISNUMBER(D229),-D229,"")</f>
        <v/>
      </c>
      <c r="E237" s="263">
        <f>IF(ISNUMBER(E229),-E229,"")</f>
        <v/>
      </c>
      <c r="F237" s="263">
        <f>IF(ISNUMBER(F229),-F229,"")</f>
        <v/>
      </c>
      <c r="G237" s="263">
        <f>IF(ISNUMBER(G229),-G229,"")</f>
        <v/>
      </c>
      <c r="H237" s="263">
        <f>IF(ISNUMBER(H229),-H229,"")</f>
        <v/>
      </c>
      <c r="I237" s="263">
        <f>IF(ISNUMBER(I229),-I229,"")</f>
        <v/>
      </c>
      <c r="J237" s="263">
        <f>IF(ISNUMBER(J229),-J229,"")</f>
        <v/>
      </c>
      <c r="K237" s="263">
        <f>IF(ISNUMBER(K229),-K229,"")</f>
        <v/>
      </c>
      <c r="L237" s="263">
        <f>IF(ISNUMBER(L229),-L229,"")</f>
        <v/>
      </c>
      <c r="M237" s="263">
        <f>IF(ISNUMBER(M229),-M229,"")</f>
        <v/>
      </c>
      <c r="N237" s="263">
        <f>IF(ISNUMBER(N229),-N229,"")</f>
        <v/>
      </c>
      <c r="O237" s="263">
        <f>IF(ISNUMBER(O229),-O229,"")</f>
        <v/>
      </c>
      <c r="P237" s="263">
        <f>IF(ISNUMBER(P229),-P229,"")</f>
        <v/>
      </c>
      <c r="Q237" s="263">
        <f>IF(ISNUMBER(Q229),-Q229,"")</f>
        <v/>
      </c>
      <c r="R237" s="263">
        <f>IF(ISNUMBER(R229),-R229,"")</f>
        <v/>
      </c>
      <c r="S237" s="263">
        <f>IF(ISNUMBER(S229),-S229,"")</f>
        <v/>
      </c>
      <c r="T237" s="263">
        <f>IF(ISNUMBER(T229),-T229,"")</f>
        <v/>
      </c>
      <c r="U237" s="263">
        <f>IF(ISNUMBER(U229),-U229,"")</f>
        <v/>
      </c>
      <c r="V237" s="263">
        <f>IF(ISNUMBER(V229),-V229,"")</f>
        <v/>
      </c>
      <c r="W237" s="263">
        <f>IF(ISNUMBER(W229),-W229,"")</f>
        <v/>
      </c>
      <c r="X237" s="263">
        <f>IF(ISNUMBER(X229),-X229,"")</f>
        <v/>
      </c>
      <c r="Y237" s="263">
        <f>IF(ISNUMBER(Y229),-Y229,"")</f>
        <v/>
      </c>
      <c r="Z237" s="263">
        <f>IF(ISNUMBER(Z229),-Z229,"")</f>
        <v/>
      </c>
      <c r="AA237" s="263">
        <f>IF(ISNUMBER(AA229),-AA229,"")</f>
        <v/>
      </c>
      <c r="AB237" s="263">
        <f>IF(ISNUMBER(AB229),-AB229,"")</f>
        <v/>
      </c>
      <c r="AC237" s="263">
        <f>IF(ISNUMBER(AC229),-AC229,"")</f>
        <v/>
      </c>
      <c r="AD237" s="263">
        <f>IF(ISNUMBER(AD229),-AD229,"")</f>
        <v/>
      </c>
      <c r="AE237" s="263">
        <f>IF(ISNUMBER(AE229),-AE229,"")</f>
        <v/>
      </c>
      <c r="AF237" s="263">
        <f>IF(ISNUMBER(AF229),-AF229,"")</f>
        <v/>
      </c>
      <c r="AG237" s="263">
        <f>IF(ISNUMBER(AG229),-AG229,"")</f>
        <v/>
      </c>
      <c r="AH237" s="263">
        <f>IF(ISNUMBER(AH229),-AH229,"")</f>
        <v/>
      </c>
      <c r="AI237" s="263">
        <f>IF(ISNUMBER(AI229),-AI229,"")</f>
        <v/>
      </c>
      <c r="AJ237" s="263">
        <f>IF(ISNUMBER(AJ229),-AJ229,"")</f>
        <v/>
      </c>
      <c r="AK237" s="263">
        <f>IF(ISNUMBER(AK229),-AK229,"")</f>
        <v/>
      </c>
      <c r="AL237" s="263">
        <f>IF(ISNUMBER(AL229),-AL229,"")</f>
        <v/>
      </c>
      <c r="AM237" s="254">
        <f>IF(ISNUMBER(AM229),-AM229,"")</f>
        <v/>
      </c>
      <c r="AN237" s="254">
        <f>IF(ISNUMBER(AN229),-AN229,"")</f>
        <v/>
      </c>
      <c r="AO237" s="254">
        <f>IF(ISNUMBER(AO229),-AO229,"")</f>
        <v/>
      </c>
      <c r="AP237" s="254">
        <f>IF(ISNUMBER(AP229),-AP229,"")</f>
        <v/>
      </c>
      <c r="AQ237" s="254">
        <f>IF(ISNUMBER(AQ229),-AQ229,"")</f>
        <v/>
      </c>
      <c r="AR237" s="254">
        <f>IF(ISNUMBER(AR229),-AR229,"")</f>
        <v/>
      </c>
      <c r="AS237" s="254">
        <f>IF(ISNUMBER(AS229),-AS229,"")</f>
        <v/>
      </c>
      <c r="AT237" s="254">
        <f>IF(ISNUMBER(AT229),-AT229,"")</f>
        <v/>
      </c>
      <c r="AU237" s="19" t="n"/>
    </row>
    <row r="238" ht="15" customHeight="1" s="251">
      <c r="B238" s="55" t="inlineStr">
        <is>
          <t xml:space="preserve">  = Adjusted EBIT (model; adjusted EBITDA − total D&amp;A = adjusted operating income − acquired-intangible amortization)</t>
        </is>
      </c>
      <c r="C238" s="274">
        <f>IF(ISNUMBER(C233),C233+C237,"")</f>
        <v/>
      </c>
      <c r="D238" s="274">
        <f>IF(ISNUMBER(D233),D233+D237,"")</f>
        <v/>
      </c>
      <c r="E238" s="274">
        <f>IF(ISNUMBER(E233),E233+E237,"")</f>
        <v/>
      </c>
      <c r="F238" s="274">
        <f>IF(ISNUMBER(F233),F233+F237,"")</f>
        <v/>
      </c>
      <c r="G238" s="274">
        <f>IF(ISNUMBER(G233),G233+G237,"")</f>
        <v/>
      </c>
      <c r="H238" s="274">
        <f>IF(ISNUMBER(H233),H233+H237,"")</f>
        <v/>
      </c>
      <c r="I238" s="274">
        <f>IF(ISNUMBER(I233),I233+I237,"")</f>
        <v/>
      </c>
      <c r="J238" s="274">
        <f>IF(ISNUMBER(J233),J233+J237,"")</f>
        <v/>
      </c>
      <c r="K238" s="274">
        <f>IF(ISNUMBER(K233),K233+K237,"")</f>
        <v/>
      </c>
      <c r="L238" s="274">
        <f>IF(ISNUMBER(L233),L233+L237,"")</f>
        <v/>
      </c>
      <c r="M238" s="274">
        <f>IF(ISNUMBER(M233),M233+M237,"")</f>
        <v/>
      </c>
      <c r="N238" s="274">
        <f>IF(ISNUMBER(N233),N233+N237,"")</f>
        <v/>
      </c>
      <c r="O238" s="274">
        <f>IF(ISNUMBER(O233),O233+O237,"")</f>
        <v/>
      </c>
      <c r="P238" s="274">
        <f>IF(ISNUMBER(P233),P233+P237,"")</f>
        <v/>
      </c>
      <c r="Q238" s="274">
        <f>IF(ISNUMBER(Q233),Q233+Q237,"")</f>
        <v/>
      </c>
      <c r="R238" s="274">
        <f>IF(ISNUMBER(R233),R233+R237,"")</f>
        <v/>
      </c>
      <c r="S238" s="274">
        <f>IF(ISNUMBER(S233),S233+S237,"")</f>
        <v/>
      </c>
      <c r="T238" s="274">
        <f>IF(ISNUMBER(T233),T233+T237,"")</f>
        <v/>
      </c>
      <c r="U238" s="274">
        <f>IF(ISNUMBER(U233),U233+U237,"")</f>
        <v/>
      </c>
      <c r="V238" s="274">
        <f>IF(ISNUMBER(V233),V233+V237,"")</f>
        <v/>
      </c>
      <c r="W238" s="274">
        <f>IF(ISNUMBER(W233),W233+W237,"")</f>
        <v/>
      </c>
      <c r="X238" s="274">
        <f>IF(ISNUMBER(X233),X233+X237,"")</f>
        <v/>
      </c>
      <c r="Y238" s="274">
        <f>IF(ISNUMBER(Y233),Y233+Y237,"")</f>
        <v/>
      </c>
      <c r="Z238" s="274">
        <f>IF(ISNUMBER(Z233),Z233+Z237,"")</f>
        <v/>
      </c>
      <c r="AA238" s="274">
        <f>IF(ISNUMBER(AA233),AA233+AA237,"")</f>
        <v/>
      </c>
      <c r="AB238" s="274">
        <f>IF(ISNUMBER(AB233),AB233+AB237,"")</f>
        <v/>
      </c>
      <c r="AC238" s="274">
        <f>IF(ISNUMBER(AC233),AC233+AC237,"")</f>
        <v/>
      </c>
      <c r="AD238" s="274">
        <f>IF(ISNUMBER(AD233),AD233+AD237,"")</f>
        <v/>
      </c>
      <c r="AE238" s="274">
        <f>IF(ISNUMBER(AE233),AE233+AE237,"")</f>
        <v/>
      </c>
      <c r="AF238" s="274">
        <f>IF(ISNUMBER(AF233),AF233+AF237,"")</f>
        <v/>
      </c>
      <c r="AG238" s="274">
        <f>IF(ISNUMBER(AG233),AG233+AG237,"")</f>
        <v/>
      </c>
      <c r="AH238" s="274">
        <f>IF(ISNUMBER(AH233),AH233+AH237,"")</f>
        <v/>
      </c>
      <c r="AI238" s="274">
        <f>IF(ISNUMBER(AI233),AI233+AI237,"")</f>
        <v/>
      </c>
      <c r="AJ238" s="274">
        <f>IF(ISNUMBER(AJ233),AJ233+AJ237,"")</f>
        <v/>
      </c>
      <c r="AK238" s="274">
        <f>IF(ISNUMBER(AK233),AK233+AK237,"")</f>
        <v/>
      </c>
      <c r="AL238" s="274">
        <f>IF(ISNUMBER(AL233),AL233+AL237,"")</f>
        <v/>
      </c>
      <c r="AM238" s="274">
        <f>IF(ISNUMBER(AM233),AM233+AM237,"")</f>
        <v/>
      </c>
      <c r="AN238" s="274">
        <f>IF(ISNUMBER(AN233),AN233+AN237,"")</f>
        <v/>
      </c>
      <c r="AO238" s="274">
        <f>IF(ISNUMBER(AO233),AO233+AO237,"")</f>
        <v/>
      </c>
      <c r="AP238" s="274">
        <f>IF(ISNUMBER(AP233),AP233+AP237,"")</f>
        <v/>
      </c>
      <c r="AQ238" s="274">
        <f>IF(ISNUMBER(AQ233),AQ233+AQ237,"")</f>
        <v/>
      </c>
      <c r="AR238" s="274">
        <f>IF(ISNUMBER(AR233),AR233+AR237,"")</f>
        <v/>
      </c>
      <c r="AS238" s="274">
        <f>IF(ISNUMBER(AS233),AS233+AS237,"")</f>
        <v/>
      </c>
      <c r="AT238" s="274">
        <f>IF(ISNUMBER(AT233),AT233+AT237,"")</f>
        <v/>
      </c>
      <c r="AU238" s="153" t="inlineStr">
        <is>
          <t>Acquired-intangible amortization deducted, so returns are on a full-cost basis.</t>
        </is>
      </c>
    </row>
    <row r="239" ht="15" customHeight="1" s="251">
      <c r="B239" s="25" t="inlineStr">
        <is>
          <t xml:space="preserve">  Adjusted EBIT margin %</t>
        </is>
      </c>
      <c r="C239" s="215">
        <f>IF(AND(ISNUMBER(C238),ISNUMBER(C159)),IFERROR(C238/C159,""),"")</f>
        <v/>
      </c>
      <c r="D239" s="215">
        <f>IF(AND(ISNUMBER(D238),ISNUMBER(D159)),IFERROR(D238/D159,""),"")</f>
        <v/>
      </c>
      <c r="E239" s="215">
        <f>IF(AND(ISNUMBER(E238),ISNUMBER(E159)),IFERROR(E238/E159,""),"")</f>
        <v/>
      </c>
      <c r="F239" s="215">
        <f>IF(AND(ISNUMBER(F238),ISNUMBER(F159)),IFERROR(F238/F159,""),"")</f>
        <v/>
      </c>
      <c r="G239" s="215">
        <f>IF(AND(ISNUMBER(G238),ISNUMBER(G159)),IFERROR(G238/G159,""),"")</f>
        <v/>
      </c>
      <c r="H239" s="215">
        <f>IF(AND(ISNUMBER(H238),ISNUMBER(H159)),IFERROR(H238/H159,""),"")</f>
        <v/>
      </c>
      <c r="I239" s="215">
        <f>IF(AND(ISNUMBER(I238),ISNUMBER(I159)),IFERROR(I238/I159,""),"")</f>
        <v/>
      </c>
      <c r="J239" s="215">
        <f>IF(AND(ISNUMBER(J238),ISNUMBER(J159)),IFERROR(J238/J159,""),"")</f>
        <v/>
      </c>
      <c r="K239" s="215">
        <f>IF(AND(ISNUMBER(K238),ISNUMBER(K159)),IFERROR(K238/K159,""),"")</f>
        <v/>
      </c>
      <c r="L239" s="215">
        <f>IF(AND(ISNUMBER(L238),ISNUMBER(L159)),IFERROR(L238/L159,""),"")</f>
        <v/>
      </c>
      <c r="M239" s="215">
        <f>IF(AND(ISNUMBER(M238),ISNUMBER(M159)),IFERROR(M238/M159,""),"")</f>
        <v/>
      </c>
      <c r="N239" s="215">
        <f>IF(AND(ISNUMBER(N238),ISNUMBER(N159)),IFERROR(N238/N159,""),"")</f>
        <v/>
      </c>
      <c r="O239" s="215">
        <f>IF(AND(ISNUMBER(O238),ISNUMBER(O159)),IFERROR(O238/O159,""),"")</f>
        <v/>
      </c>
      <c r="P239" s="215">
        <f>IF(AND(ISNUMBER(P238),ISNUMBER(P159)),IFERROR(P238/P159,""),"")</f>
        <v/>
      </c>
      <c r="Q239" s="215">
        <f>IF(AND(ISNUMBER(Q238),ISNUMBER(Q159)),IFERROR(Q238/Q159,""),"")</f>
        <v/>
      </c>
      <c r="R239" s="215">
        <f>IF(AND(ISNUMBER(R238),ISNUMBER(R159)),IFERROR(R238/R159,""),"")</f>
        <v/>
      </c>
      <c r="S239" s="215">
        <f>IF(AND(ISNUMBER(S238),ISNUMBER(S159)),IFERROR(S238/S159,""),"")</f>
        <v/>
      </c>
      <c r="T239" s="215">
        <f>IF(AND(ISNUMBER(T238),ISNUMBER(T159)),IFERROR(T238/T159,""),"")</f>
        <v/>
      </c>
      <c r="U239" s="215">
        <f>IF(AND(ISNUMBER(U238),ISNUMBER(U159)),IFERROR(U238/U159,""),"")</f>
        <v/>
      </c>
      <c r="V239" s="215">
        <f>IF(AND(ISNUMBER(V238),ISNUMBER(V159)),IFERROR(V238/V159,""),"")</f>
        <v/>
      </c>
      <c r="W239" s="215">
        <f>IF(AND(ISNUMBER(W238),ISNUMBER(W159)),IFERROR(W238/W159,""),"")</f>
        <v/>
      </c>
      <c r="X239" s="215">
        <f>IF(AND(ISNUMBER(X238),ISNUMBER(X159)),IFERROR(X238/X159,""),"")</f>
        <v/>
      </c>
      <c r="Y239" s="215">
        <f>IF(AND(ISNUMBER(Y238),ISNUMBER(Y159)),IFERROR(Y238/Y159,""),"")</f>
        <v/>
      </c>
      <c r="Z239" s="215">
        <f>IF(AND(ISNUMBER(Z238),ISNUMBER(Z159)),IFERROR(Z238/Z159,""),"")</f>
        <v/>
      </c>
      <c r="AA239" s="215">
        <f>IF(AND(ISNUMBER(AA238),ISNUMBER(AA159)),IFERROR(AA238/AA159,""),"")</f>
        <v/>
      </c>
      <c r="AB239" s="215">
        <f>IF(AND(ISNUMBER(AB238),ISNUMBER(AB159)),IFERROR(AB238/AB159,""),"")</f>
        <v/>
      </c>
      <c r="AC239" s="215">
        <f>IF(AND(ISNUMBER(AC238),ISNUMBER(AC159)),IFERROR(AC238/AC159,""),"")</f>
        <v/>
      </c>
      <c r="AD239" s="215">
        <f>IF(AND(ISNUMBER(AD238),ISNUMBER(AD159)),IFERROR(AD238/AD159,""),"")</f>
        <v/>
      </c>
      <c r="AE239" s="215">
        <f>IF(AND(ISNUMBER(AE238),ISNUMBER(AE159)),IFERROR(AE238/AE159,""),"")</f>
        <v/>
      </c>
      <c r="AF239" s="215">
        <f>IF(AND(ISNUMBER(AF238),ISNUMBER(AF159)),IFERROR(AF238/AF159,""),"")</f>
        <v/>
      </c>
      <c r="AG239" s="215">
        <f>IF(AND(ISNUMBER(AG238),ISNUMBER(AG159)),IFERROR(AG238/AG159,""),"")</f>
        <v/>
      </c>
      <c r="AH239" s="215">
        <f>IF(AND(ISNUMBER(AH238),ISNUMBER(AH159)),IFERROR(AH238/AH159,""),"")</f>
        <v/>
      </c>
      <c r="AI239" s="215">
        <f>IF(AND(ISNUMBER(AI238),ISNUMBER(AI159)),IFERROR(AI238/AI159,""),"")</f>
        <v/>
      </c>
      <c r="AJ239" s="215">
        <f>IF(AND(ISNUMBER(AJ238),ISNUMBER(AJ159)),IFERROR(AJ238/AJ159,""),"")</f>
        <v/>
      </c>
      <c r="AK239" s="215">
        <f>IF(AND(ISNUMBER(AK238),ISNUMBER(AK159)),IFERROR(AK238/AK159,""),"")</f>
        <v/>
      </c>
      <c r="AL239" s="215">
        <f>IF(AND(ISNUMBER(AL238),ISNUMBER(AL159)),IFERROR(AL238/AL159,""),"")</f>
        <v/>
      </c>
      <c r="AM239" s="256">
        <f>IF(AND(ISNUMBER(AM238),ISNUMBER(AM159)),IFERROR(AM238/AM159,""),"")</f>
        <v/>
      </c>
      <c r="AN239" s="256">
        <f>IF(AND(ISNUMBER(AN238),ISNUMBER(AN159)),IFERROR(AN238/AN159,""),"")</f>
        <v/>
      </c>
      <c r="AO239" s="256">
        <f>IF(AND(ISNUMBER(AO238),ISNUMBER(AO159)),IFERROR(AO238/AO159,""),"")</f>
        <v/>
      </c>
      <c r="AP239" s="256">
        <f>IF(AND(ISNUMBER(AP238),ISNUMBER(AP159)),IFERROR(AP238/AP159,""),"")</f>
        <v/>
      </c>
      <c r="AQ239" s="256">
        <f>IF(AND(ISNUMBER(AQ238),ISNUMBER(AQ159)),IFERROR(AQ238/AQ159,""),"")</f>
        <v/>
      </c>
      <c r="AR239" s="256">
        <f>IF(AND(ISNUMBER(AR238),ISNUMBER(AR159)),IFERROR(AR238/AR159,""),"")</f>
        <v/>
      </c>
      <c r="AS239" s="256">
        <f>IF(AND(ISNUMBER(AS238),ISNUMBER(AS159)),IFERROR(AS238/AS159,""),"")</f>
        <v/>
      </c>
      <c r="AT239" s="256">
        <f>IF(AND(ISNUMBER(AT238),ISNUMBER(AT159)),IFERROR(AT238/AT159,""),"")</f>
        <v/>
      </c>
      <c r="AU239" s="153" t="n"/>
      <c r="AW239" s="37">
        <f>IFERROR(AVERAGE(AP239,AQ239,AR239,AS239,AT239),"n/m")</f>
        <v/>
      </c>
      <c r="AX239" s="37">
        <f>IFERROR(AVERAGE(Q239,V239,AA239,AF239,AK239),"n/m")</f>
        <v/>
      </c>
      <c r="AY239" s="37">
        <f>IFERROR(AVERAGE(H239,I239,J239,K239,L239,Q239,V239,AA239,AF239,AK239),"n/m")</f>
        <v/>
      </c>
      <c r="AZ239" s="37">
        <f>IFERROR(AVERAGE(C239,D239,E239,F239,G239,H239,I239,J239,K239,L239,Q239,V239,AA239,AF239,AK239),"n/m")</f>
        <v/>
      </c>
    </row>
    <row r="240" ht="15" customHeight="1" s="251">
      <c r="B240" s="156" t="inlineStr">
        <is>
          <t xml:space="preserve">  Memo: acquisition, integration &amp; restructuring charges (cash costs adjusted out; deducted in the DCF)</t>
        </is>
      </c>
      <c r="C240" s="263">
        <f>IF(ISNUMBER(C198),C198+C200,"")</f>
        <v/>
      </c>
      <c r="D240" s="263">
        <f>IF(ISNUMBER(D198),D198+D200,"")</f>
        <v/>
      </c>
      <c r="E240" s="263">
        <f>IF(ISNUMBER(E198),E198+E200,"")</f>
        <v/>
      </c>
      <c r="F240" s="263">
        <f>IF(ISNUMBER(F198),F198+F200,"")</f>
        <v/>
      </c>
      <c r="G240" s="263">
        <f>IF(ISNUMBER(G198),G198+G200,"")</f>
        <v/>
      </c>
      <c r="H240" s="263">
        <f>IF(ISNUMBER(H198),H198+H200,"")</f>
        <v/>
      </c>
      <c r="I240" s="263">
        <f>IF(ISNUMBER(I198),I198+I200,"")</f>
        <v/>
      </c>
      <c r="J240" s="263">
        <f>IF(ISNUMBER(J198),J198+J200,"")</f>
        <v/>
      </c>
      <c r="K240" s="263">
        <f>IF(ISNUMBER(K198),K198+K200,"")</f>
        <v/>
      </c>
      <c r="L240" s="263">
        <f>IF(ISNUMBER(L198),L198+L200,"")</f>
        <v/>
      </c>
      <c r="M240" s="263">
        <f>IF(ISNUMBER(M198),M198+M200,"")</f>
        <v/>
      </c>
      <c r="N240" s="263">
        <f>IF(ISNUMBER(N198),N198+N200,"")</f>
        <v/>
      </c>
      <c r="O240" s="263">
        <f>IF(ISNUMBER(O198),O198+O200,"")</f>
        <v/>
      </c>
      <c r="P240" s="263">
        <f>IF(ISNUMBER(P198),P198+P200,"")</f>
        <v/>
      </c>
      <c r="Q240" s="263">
        <f>IF(ISNUMBER(Q198),Q198+Q200,"")</f>
        <v/>
      </c>
      <c r="R240" s="263">
        <f>IF(ISNUMBER(R198),R198+R200,"")</f>
        <v/>
      </c>
      <c r="S240" s="263">
        <f>IF(ISNUMBER(S198),S198+S200,"")</f>
        <v/>
      </c>
      <c r="T240" s="263">
        <f>IF(ISNUMBER(T198),T198+T200,"")</f>
        <v/>
      </c>
      <c r="U240" s="263">
        <f>IF(ISNUMBER(U198),U198+U200,"")</f>
        <v/>
      </c>
      <c r="V240" s="263">
        <f>IF(ISNUMBER(V198),V198+V200,"")</f>
        <v/>
      </c>
      <c r="W240" s="263">
        <f>IF(ISNUMBER(W198),W198+W200,"")</f>
        <v/>
      </c>
      <c r="X240" s="263">
        <f>IF(ISNUMBER(X198),X198+X200,"")</f>
        <v/>
      </c>
      <c r="Y240" s="263">
        <f>IF(ISNUMBER(Y198),Y198+Y200,"")</f>
        <v/>
      </c>
      <c r="Z240" s="263">
        <f>IF(ISNUMBER(Z198),Z198+Z200,"")</f>
        <v/>
      </c>
      <c r="AA240" s="263">
        <f>IF(ISNUMBER(AA198),AA198+AA200,"")</f>
        <v/>
      </c>
      <c r="AB240" s="263">
        <f>IF(ISNUMBER(AB198),AB198+AB200,"")</f>
        <v/>
      </c>
      <c r="AC240" s="263">
        <f>IF(ISNUMBER(AC198),AC198+AC200,"")</f>
        <v/>
      </c>
      <c r="AD240" s="263">
        <f>IF(ISNUMBER(AD198),AD198+AD200,"")</f>
        <v/>
      </c>
      <c r="AE240" s="263">
        <f>IF(ISNUMBER(AE198),AE198+AE200,"")</f>
        <v/>
      </c>
      <c r="AF240" s="263">
        <f>IF(ISNUMBER(AF198),AF198+AF200,"")</f>
        <v/>
      </c>
      <c r="AG240" s="263">
        <f>IF(ISNUMBER(AG198),AG198+AG200,"")</f>
        <v/>
      </c>
      <c r="AH240" s="263">
        <f>IF(ISNUMBER(AH198),AH198+AH200,"")</f>
        <v/>
      </c>
      <c r="AI240" s="263">
        <f>IF(ISNUMBER(AI198),AI198+AI200,"")</f>
        <v/>
      </c>
      <c r="AJ240" s="263">
        <f>IF(ISNUMBER(AJ198),AJ198+AJ200,"")</f>
        <v/>
      </c>
      <c r="AK240" s="263">
        <f>IF(ISNUMBER(AK198),AK198+AK200,"")</f>
        <v/>
      </c>
      <c r="AL240" s="263">
        <f>IF(ISNUMBER(AL198),AL198+AL200,"")</f>
        <v/>
      </c>
      <c r="AM240" s="254">
        <f>IF(ISNUMBER(AM198),AM198+AM200,"")</f>
        <v/>
      </c>
      <c r="AN240" s="254">
        <f>IF(ISNUMBER(AN198),AN198+AN200,"")</f>
        <v/>
      </c>
      <c r="AO240" s="254">
        <f>IF(ISNUMBER(AO198),AO198+AO200,"")</f>
        <v/>
      </c>
      <c r="AP240" s="254">
        <f>IF(ISNUMBER(AP198),AP198+AP200,"")</f>
        <v/>
      </c>
      <c r="AQ240" s="254">
        <f>IF(ISNUMBER(AQ198),AQ198+AQ200,"")</f>
        <v/>
      </c>
      <c r="AR240" s="254">
        <f>IF(ISNUMBER(AR198),AR198+AR200,"")</f>
        <v/>
      </c>
      <c r="AS240" s="254">
        <f>IF(ISNUMBER(AS198),AS198+AS200,"")</f>
        <v/>
      </c>
      <c r="AT240" s="254">
        <f>IF(ISNUMBER(AT198),AT198+AT200,"")</f>
        <v/>
      </c>
      <c r="AU240" s="153" t="n"/>
    </row>
    <row r="241" ht="15" customHeight="1" s="251">
      <c r="BC241" s="11" t="n"/>
      <c r="BD241" s="12" t="n"/>
      <c r="BE241" s="12" t="n"/>
      <c r="BF241" s="12" t="n"/>
      <c r="BG241" s="13" t="n"/>
    </row>
    <row r="242" ht="15" customHeight="1" s="251">
      <c r="B242" s="10" t="inlineStr">
        <is>
          <t>RECONCILIATION: GAAP NET INCOME / DILUTED EPS → ADJUSTED NET INCOME → ADJUSTED EPS (continuing operations, company definition)</t>
        </is>
      </c>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c r="AJ242" s="10" t="n"/>
      <c r="AK242" s="10" t="n"/>
      <c r="AL242" s="10" t="n"/>
      <c r="AM242" s="10" t="n"/>
      <c r="AN242" s="10" t="n"/>
      <c r="AO242" s="10" t="n"/>
      <c r="AP242" s="10" t="n"/>
      <c r="AQ242" s="10" t="n"/>
      <c r="AR242" s="10" t="n"/>
      <c r="AS242" s="10" t="n"/>
      <c r="AT242" s="10" t="n"/>
      <c r="AU242" s="10" t="inlineStr">
        <is>
          <t>ADJUSTED EPS — GAAP net income from continuing operations attributable + pre-tax adjusting items − tax effect of the adjustments (incl. discrete tax items)</t>
        </is>
      </c>
    </row>
    <row r="243" ht="15" customHeight="1" s="251">
      <c r="B243" s="16" t="inlineStr">
        <is>
          <t>Net income from continuing operations attributable to shareholders (GAAP)</t>
        </is>
      </c>
      <c r="C243" s="261">
        <f>C179</f>
        <v/>
      </c>
      <c r="D243" s="261">
        <f>D179</f>
        <v/>
      </c>
      <c r="E243" s="261">
        <f>E179</f>
        <v/>
      </c>
      <c r="F243" s="261">
        <f>F179</f>
        <v/>
      </c>
      <c r="G243" s="261">
        <f>G179</f>
        <v/>
      </c>
      <c r="H243" s="261">
        <f>H179</f>
        <v/>
      </c>
      <c r="I243" s="261">
        <f>I179</f>
        <v/>
      </c>
      <c r="J243" s="261">
        <f>J179</f>
        <v/>
      </c>
      <c r="K243" s="261">
        <f>K179</f>
        <v/>
      </c>
      <c r="L243" s="261">
        <f>L179</f>
        <v/>
      </c>
      <c r="M243" s="261">
        <f>M179</f>
        <v/>
      </c>
      <c r="N243" s="261">
        <f>N179</f>
        <v/>
      </c>
      <c r="O243" s="261">
        <f>O179</f>
        <v/>
      </c>
      <c r="P243" s="261">
        <f>P179</f>
        <v/>
      </c>
      <c r="Q243" s="261">
        <f>Q179</f>
        <v/>
      </c>
      <c r="R243" s="261">
        <f>R179</f>
        <v/>
      </c>
      <c r="S243" s="261">
        <f>S179</f>
        <v/>
      </c>
      <c r="T243" s="261">
        <f>T179</f>
        <v/>
      </c>
      <c r="U243" s="261">
        <f>U179</f>
        <v/>
      </c>
      <c r="V243" s="261">
        <f>V179</f>
        <v/>
      </c>
      <c r="W243" s="261">
        <f>W179</f>
        <v/>
      </c>
      <c r="X243" s="261">
        <f>X179</f>
        <v/>
      </c>
      <c r="Y243" s="261">
        <f>Y179</f>
        <v/>
      </c>
      <c r="Z243" s="261">
        <f>Z179</f>
        <v/>
      </c>
      <c r="AA243" s="261">
        <f>AA179</f>
        <v/>
      </c>
      <c r="AB243" s="261">
        <f>AB179</f>
        <v/>
      </c>
      <c r="AC243" s="261">
        <f>AC179</f>
        <v/>
      </c>
      <c r="AD243" s="261">
        <f>AD179</f>
        <v/>
      </c>
      <c r="AE243" s="261">
        <f>AE179</f>
        <v/>
      </c>
      <c r="AF243" s="261">
        <f>AF179</f>
        <v/>
      </c>
      <c r="AG243" s="261">
        <f>AG179</f>
        <v/>
      </c>
      <c r="AH243" s="261">
        <f>AH179</f>
        <v/>
      </c>
      <c r="AI243" s="261">
        <f>AI179</f>
        <v/>
      </c>
      <c r="AJ243" s="261">
        <f>AJ179</f>
        <v/>
      </c>
      <c r="AK243" s="261">
        <f>AK179</f>
        <v/>
      </c>
      <c r="AL243" s="261">
        <f>AL179</f>
        <v/>
      </c>
      <c r="AM243" s="262">
        <f>AM179</f>
        <v/>
      </c>
      <c r="AN243" s="262">
        <f>AN179</f>
        <v/>
      </c>
      <c r="AO243" s="262">
        <f>AO179</f>
        <v/>
      </c>
      <c r="AP243" s="262">
        <f>AP179</f>
        <v/>
      </c>
      <c r="AQ243" s="262">
        <f>AQ179</f>
        <v/>
      </c>
      <c r="AR243" s="262">
        <f>AR179</f>
        <v/>
      </c>
      <c r="AS243" s="262">
        <f>AS179</f>
        <v/>
      </c>
      <c r="AT243" s="262">
        <f>AT179</f>
        <v/>
      </c>
      <c r="AU243" s="153" t="n"/>
    </row>
    <row r="244" ht="15" customHeight="1" s="251">
      <c r="B244" s="25" t="inlineStr">
        <is>
          <t xml:space="preserve">  (+) Operating adjusting items (pre-tax; bridge above)</t>
        </is>
      </c>
      <c r="C244" s="263">
        <f>C207</f>
        <v/>
      </c>
      <c r="D244" s="263">
        <f>D207</f>
        <v/>
      </c>
      <c r="E244" s="263">
        <f>E207</f>
        <v/>
      </c>
      <c r="F244" s="263">
        <f>F207</f>
        <v/>
      </c>
      <c r="G244" s="263">
        <f>G207</f>
        <v/>
      </c>
      <c r="H244" s="263">
        <f>H207</f>
        <v/>
      </c>
      <c r="I244" s="263">
        <f>I207</f>
        <v/>
      </c>
      <c r="J244" s="263">
        <f>J207</f>
        <v/>
      </c>
      <c r="K244" s="263">
        <f>K207</f>
        <v/>
      </c>
      <c r="L244" s="263">
        <f>L207</f>
        <v/>
      </c>
      <c r="M244" s="263">
        <f>M207</f>
        <v/>
      </c>
      <c r="N244" s="263">
        <f>N207</f>
        <v/>
      </c>
      <c r="O244" s="263">
        <f>O207</f>
        <v/>
      </c>
      <c r="P244" s="263">
        <f>P207</f>
        <v/>
      </c>
      <c r="Q244" s="263">
        <f>Q207</f>
        <v/>
      </c>
      <c r="R244" s="263">
        <f>R207</f>
        <v/>
      </c>
      <c r="S244" s="263">
        <f>S207</f>
        <v/>
      </c>
      <c r="T244" s="263">
        <f>T207</f>
        <v/>
      </c>
      <c r="U244" s="263">
        <f>U207</f>
        <v/>
      </c>
      <c r="V244" s="263">
        <f>V207</f>
        <v/>
      </c>
      <c r="W244" s="263">
        <f>W207</f>
        <v/>
      </c>
      <c r="X244" s="263">
        <f>X207</f>
        <v/>
      </c>
      <c r="Y244" s="263">
        <f>Y207</f>
        <v/>
      </c>
      <c r="Z244" s="263">
        <f>Z207</f>
        <v/>
      </c>
      <c r="AA244" s="263">
        <f>AA207</f>
        <v/>
      </c>
      <c r="AB244" s="263">
        <f>AB207</f>
        <v/>
      </c>
      <c r="AC244" s="263">
        <f>AC207</f>
        <v/>
      </c>
      <c r="AD244" s="263">
        <f>AD207</f>
        <v/>
      </c>
      <c r="AE244" s="263">
        <f>AE207</f>
        <v/>
      </c>
      <c r="AF244" s="263">
        <f>AF207</f>
        <v/>
      </c>
      <c r="AG244" s="263">
        <f>AG207</f>
        <v/>
      </c>
      <c r="AH244" s="263">
        <f>AH207</f>
        <v/>
      </c>
      <c r="AI244" s="263">
        <f>AI207</f>
        <v/>
      </c>
      <c r="AJ244" s="263">
        <f>AJ207</f>
        <v/>
      </c>
      <c r="AK244" s="263">
        <f>AK207</f>
        <v/>
      </c>
      <c r="AL244" s="263">
        <f>AL207</f>
        <v/>
      </c>
      <c r="AM244" s="254">
        <f>AM207</f>
        <v/>
      </c>
      <c r="AN244" s="254">
        <f>AN207</f>
        <v/>
      </c>
      <c r="AO244" s="254">
        <f>AO207</f>
        <v/>
      </c>
      <c r="AP244" s="254">
        <f>AP207</f>
        <v/>
      </c>
      <c r="AQ244" s="254">
        <f>AQ207</f>
        <v/>
      </c>
      <c r="AR244" s="254">
        <f>AR207</f>
        <v/>
      </c>
      <c r="AS244" s="254">
        <f>AS207</f>
        <v/>
      </c>
      <c r="AT244" s="254">
        <f>AT207</f>
        <v/>
      </c>
      <c r="AU244" s="19" t="n"/>
    </row>
    <row r="245" ht="15" customHeight="1" s="251">
      <c r="B245" s="25" t="inlineStr">
        <is>
          <t xml:space="preserve">  (+) Non-operating adjusting items (pre-tax)</t>
        </is>
      </c>
      <c r="C245" s="263">
        <f>N(C156)</f>
        <v/>
      </c>
      <c r="D245" s="263">
        <f>N(D156)</f>
        <v/>
      </c>
      <c r="E245" s="263">
        <f>N(E156)</f>
        <v/>
      </c>
      <c r="F245" s="263">
        <f>N(F156)</f>
        <v/>
      </c>
      <c r="G245" s="263">
        <f>N(G156)</f>
        <v/>
      </c>
      <c r="H245" s="263">
        <f>N(H156)</f>
        <v/>
      </c>
      <c r="I245" s="263">
        <f>N(I156)</f>
        <v/>
      </c>
      <c r="J245" s="263">
        <f>N(J156)</f>
        <v/>
      </c>
      <c r="K245" s="263">
        <f>N(K156)</f>
        <v/>
      </c>
      <c r="L245" s="263">
        <f>N(L156)</f>
        <v/>
      </c>
      <c r="M245" s="263">
        <f>N(M156)</f>
        <v/>
      </c>
      <c r="N245" s="263">
        <f>N(N156)</f>
        <v/>
      </c>
      <c r="O245" s="263">
        <f>N(O156)</f>
        <v/>
      </c>
      <c r="P245" s="263">
        <f>N(P156)</f>
        <v/>
      </c>
      <c r="Q245" s="263">
        <f>N(Q156)</f>
        <v/>
      </c>
      <c r="R245" s="263">
        <f>N(R156)</f>
        <v/>
      </c>
      <c r="S245" s="263">
        <f>N(S156)</f>
        <v/>
      </c>
      <c r="T245" s="263">
        <f>N(T156)</f>
        <v/>
      </c>
      <c r="U245" s="263">
        <f>N(U156)</f>
        <v/>
      </c>
      <c r="V245" s="263">
        <f>N(V156)</f>
        <v/>
      </c>
      <c r="W245" s="263">
        <f>N(W156)</f>
        <v/>
      </c>
      <c r="X245" s="263">
        <f>N(X156)</f>
        <v/>
      </c>
      <c r="Y245" s="263">
        <f>N(Y156)</f>
        <v/>
      </c>
      <c r="Z245" s="263">
        <f>N(Z156)</f>
        <v/>
      </c>
      <c r="AA245" s="263">
        <f>N(AA156)</f>
        <v/>
      </c>
      <c r="AB245" s="263">
        <f>N(AB156)</f>
        <v/>
      </c>
      <c r="AC245" s="263">
        <f>N(AC156)</f>
        <v/>
      </c>
      <c r="AD245" s="263">
        <f>N(AD156)</f>
        <v/>
      </c>
      <c r="AE245" s="263">
        <f>N(AE156)</f>
        <v/>
      </c>
      <c r="AF245" s="263">
        <f>N(AF156)</f>
        <v/>
      </c>
      <c r="AG245" s="263">
        <f>N(AG156)</f>
        <v/>
      </c>
      <c r="AH245" s="263">
        <f>N(AH156)</f>
        <v/>
      </c>
      <c r="AI245" s="263">
        <f>N(AI156)</f>
        <v/>
      </c>
      <c r="AJ245" s="263">
        <f>N(AJ156)</f>
        <v/>
      </c>
      <c r="AK245" s="263">
        <f>N(AK156)</f>
        <v/>
      </c>
      <c r="AL245" s="263">
        <f>N(AL156)</f>
        <v/>
      </c>
      <c r="AM245" s="254">
        <f>N(AM156)</f>
        <v/>
      </c>
      <c r="AN245" s="254">
        <f>N(AN156)</f>
        <v/>
      </c>
      <c r="AO245" s="254">
        <f>N(AO156)</f>
        <v/>
      </c>
      <c r="AP245" s="254">
        <f>N(AP156)</f>
        <v/>
      </c>
      <c r="AQ245" s="254">
        <f>N(AQ156)</f>
        <v/>
      </c>
      <c r="AR245" s="254">
        <f>N(AR156)</f>
        <v/>
      </c>
      <c r="AS245" s="254">
        <f>N(AS156)</f>
        <v/>
      </c>
      <c r="AT245" s="254">
        <f>N(AT156)</f>
        <v/>
      </c>
      <c r="AU245" s="19" t="n"/>
    </row>
    <row r="246" ht="15" customHeight="1" s="251">
      <c r="B246" s="25" t="inlineStr">
        <is>
          <t xml:space="preserve">  (−) Tax effect of the adjustments &amp; discrete tax items</t>
        </is>
      </c>
      <c r="C246" s="263">
        <f>IF(ISNUMBER(C248),C248-C243-C244-C245,"")</f>
        <v/>
      </c>
      <c r="D246" s="263">
        <f>IF(ISNUMBER(D248),D248-D243-D244-D245,"")</f>
        <v/>
      </c>
      <c r="E246" s="263">
        <f>IF(ISNUMBER(E248),E248-E243-E244-E245,"")</f>
        <v/>
      </c>
      <c r="F246" s="263">
        <f>IF(ISNUMBER(F248),F248-F243-F244-F245,"")</f>
        <v/>
      </c>
      <c r="G246" s="263">
        <f>IF(ISNUMBER(G248),G248-G243-G244-G245,"")</f>
        <v/>
      </c>
      <c r="H246" s="263">
        <f>IF(ISNUMBER(H248),H248-H243-H244-H245,"")</f>
        <v/>
      </c>
      <c r="I246" s="263">
        <f>IF(ISNUMBER(I248),I248-I243-I244-I245,"")</f>
        <v/>
      </c>
      <c r="J246" s="263">
        <f>IF(ISNUMBER(J248),J248-J243-J244-J245,"")</f>
        <v/>
      </c>
      <c r="K246" s="263">
        <f>IF(ISNUMBER(K248),K248-K243-K244-K245,"")</f>
        <v/>
      </c>
      <c r="L246" s="263">
        <f>IF(ISNUMBER(L248),L248-L243-L244-L245,"")</f>
        <v/>
      </c>
      <c r="M246" s="263">
        <f>IF(ISNUMBER(M248),M248-M243-M244-M245,"")</f>
        <v/>
      </c>
      <c r="N246" s="263">
        <f>IF(ISNUMBER(N248),N248-N243-N244-N245,"")</f>
        <v/>
      </c>
      <c r="O246" s="263">
        <f>IF(ISNUMBER(O248),O248-O243-O244-O245,"")</f>
        <v/>
      </c>
      <c r="P246" s="263">
        <f>IF(ISNUMBER(P248),P248-P243-P244-P245,"")</f>
        <v/>
      </c>
      <c r="Q246" s="263">
        <f>IF(ISNUMBER(Q248),Q248-Q243-Q244-Q245,"")</f>
        <v/>
      </c>
      <c r="R246" s="263">
        <f>IF(ISNUMBER(R248),R248-R243-R244-R245,"")</f>
        <v/>
      </c>
      <c r="S246" s="263">
        <f>IF(ISNUMBER(S248),S248-S243-S244-S245,"")</f>
        <v/>
      </c>
      <c r="T246" s="263">
        <f>IF(ISNUMBER(T248),T248-T243-T244-T245,"")</f>
        <v/>
      </c>
      <c r="U246" s="263">
        <f>IF(ISNUMBER(U248),U248-U243-U244-U245,"")</f>
        <v/>
      </c>
      <c r="V246" s="263">
        <f>IF(ISNUMBER(V248),V248-V243-V244-V245,"")</f>
        <v/>
      </c>
      <c r="W246" s="263">
        <f>IF(ISNUMBER(W248),W248-W243-W244-W245,"")</f>
        <v/>
      </c>
      <c r="X246" s="263">
        <f>IF(ISNUMBER(X248),X248-X243-X244-X245,"")</f>
        <v/>
      </c>
      <c r="Y246" s="263">
        <f>IF(ISNUMBER(Y248),Y248-Y243-Y244-Y245,"")</f>
        <v/>
      </c>
      <c r="Z246" s="263">
        <f>IF(ISNUMBER(Z248),Z248-Z243-Z244-Z245,"")</f>
        <v/>
      </c>
      <c r="AA246" s="263">
        <f>IF(ISNUMBER(AA248),AA248-AA243-AA244-AA245,"")</f>
        <v/>
      </c>
      <c r="AB246" s="263">
        <f>IF(ISNUMBER(AB248),AB248-AB243-AB244-AB245,"")</f>
        <v/>
      </c>
      <c r="AC246" s="263">
        <f>IF(ISNUMBER(AC248),AC248-AC243-AC244-AC245,"")</f>
        <v/>
      </c>
      <c r="AD246" s="263">
        <f>IF(ISNUMBER(AD248),AD248-AD243-AD244-AD245,"")</f>
        <v/>
      </c>
      <c r="AE246" s="263">
        <f>IF(ISNUMBER(AE248),AE248-AE243-AE244-AE245,"")</f>
        <v/>
      </c>
      <c r="AF246" s="263">
        <f>IF(ISNUMBER(AF248),AF248-AF243-AF244-AF245,"")</f>
        <v/>
      </c>
      <c r="AG246" s="263">
        <f>IF(ISNUMBER(AG248),AG248-AG243-AG244-AG245,"")</f>
        <v/>
      </c>
      <c r="AH246" s="263">
        <f>IF(ISNUMBER(AH248),AH248-AH243-AH244-AH245,"")</f>
        <v/>
      </c>
      <c r="AI246" s="263">
        <f>IF(ISNUMBER(AI248),AI248-AI243-AI244-AI245,"")</f>
        <v/>
      </c>
      <c r="AJ246" s="263">
        <f>IF(ISNUMBER(AJ248),AJ248-AJ243-AJ244-AJ245,"")</f>
        <v/>
      </c>
      <c r="AK246" s="263">
        <f>IF(ISNUMBER(AK248),AK248-AK243-AK244-AK245,"")</f>
        <v/>
      </c>
      <c r="AL246" s="263">
        <f>IF(ISNUMBER(AL248),AL248-AL243-AL244-AL245,"")</f>
        <v/>
      </c>
      <c r="AM246" s="254">
        <f>AM172-AM256</f>
        <v/>
      </c>
      <c r="AN246" s="254">
        <f>AN172-AN256</f>
        <v/>
      </c>
      <c r="AO246" s="254">
        <f>AO172-AO256</f>
        <v/>
      </c>
      <c r="AP246" s="254">
        <f>SUM(AL246,AM246,AN246,AO246)</f>
        <v/>
      </c>
      <c r="AQ246" s="254">
        <f>AQ172-AQ256</f>
        <v/>
      </c>
      <c r="AR246" s="254">
        <f>AR172-AR256</f>
        <v/>
      </c>
      <c r="AS246" s="254">
        <f>AS172-AS256</f>
        <v/>
      </c>
      <c r="AT246" s="254">
        <f>AT172-AT256</f>
        <v/>
      </c>
      <c r="AU246" s="19" t="inlineStr">
        <is>
          <t>Historical: published adjusted net income less GAAP net income and the pre-tax items ("net impact of adjustments after tax" less the pre-tax amounts; FY2012–15 releases show the items net of tax). Includes discrete tax items (European / Canadian tax restructuring, US tax reform). Forecast: GAAP tax − adjusted tax.</t>
        </is>
      </c>
    </row>
    <row r="247" ht="15" customHeight="1" s="251">
      <c r="B247" s="55" t="inlineStr">
        <is>
          <t xml:space="preserve">  = Adjusted net income, continuing operations (model bridge)</t>
        </is>
      </c>
      <c r="C247" s="274">
        <f>IF(ISNUMBER(C246),C243+C244+C245+C246,"")</f>
        <v/>
      </c>
      <c r="D247" s="274">
        <f>IF(ISNUMBER(D246),D243+D244+D245+D246,"")</f>
        <v/>
      </c>
      <c r="E247" s="274">
        <f>IF(ISNUMBER(E246),E243+E244+E245+E246,"")</f>
        <v/>
      </c>
      <c r="F247" s="274">
        <f>IF(ISNUMBER(F246),F243+F244+F245+F246,"")</f>
        <v/>
      </c>
      <c r="G247" s="274">
        <f>IF(ISNUMBER(G246),G243+G244+G245+G246,"")</f>
        <v/>
      </c>
      <c r="H247" s="274">
        <f>IF(ISNUMBER(H246),H243+H244+H245+H246,"")</f>
        <v/>
      </c>
      <c r="I247" s="274">
        <f>IF(ISNUMBER(I246),I243+I244+I245+I246,"")</f>
        <v/>
      </c>
      <c r="J247" s="274">
        <f>IF(ISNUMBER(J246),J243+J244+J245+J246,"")</f>
        <v/>
      </c>
      <c r="K247" s="274">
        <f>IF(ISNUMBER(K246),K243+K244+K245+K246,"")</f>
        <v/>
      </c>
      <c r="L247" s="274">
        <f>IF(ISNUMBER(L246),L243+L244+L245+L246,"")</f>
        <v/>
      </c>
      <c r="M247" s="274">
        <f>IF(ISNUMBER(M246),M243+M244+M245+M246,"")</f>
        <v/>
      </c>
      <c r="N247" s="274">
        <f>IF(ISNUMBER(N246),N243+N244+N245+N246,"")</f>
        <v/>
      </c>
      <c r="O247" s="274">
        <f>IF(ISNUMBER(O246),O243+O244+O245+O246,"")</f>
        <v/>
      </c>
      <c r="P247" s="274">
        <f>IF(ISNUMBER(P246),P243+P244+P245+P246,"")</f>
        <v/>
      </c>
      <c r="Q247" s="274">
        <f>IF(ISNUMBER(Q246),Q243+Q244+Q245+Q246,"")</f>
        <v/>
      </c>
      <c r="R247" s="274">
        <f>IF(ISNUMBER(R246),R243+R244+R245+R246,"")</f>
        <v/>
      </c>
      <c r="S247" s="274">
        <f>IF(ISNUMBER(S246),S243+S244+S245+S246,"")</f>
        <v/>
      </c>
      <c r="T247" s="274">
        <f>IF(ISNUMBER(T246),T243+T244+T245+T246,"")</f>
        <v/>
      </c>
      <c r="U247" s="274">
        <f>IF(ISNUMBER(U246),U243+U244+U245+U246,"")</f>
        <v/>
      </c>
      <c r="V247" s="274">
        <f>IF(ISNUMBER(V246),V243+V244+V245+V246,"")</f>
        <v/>
      </c>
      <c r="W247" s="274">
        <f>IF(ISNUMBER(W246),W243+W244+W245+W246,"")</f>
        <v/>
      </c>
      <c r="X247" s="274">
        <f>IF(ISNUMBER(X246),X243+X244+X245+X246,"")</f>
        <v/>
      </c>
      <c r="Y247" s="274">
        <f>IF(ISNUMBER(Y246),Y243+Y244+Y245+Y246,"")</f>
        <v/>
      </c>
      <c r="Z247" s="274">
        <f>IF(ISNUMBER(Z246),Z243+Z244+Z245+Z246,"")</f>
        <v/>
      </c>
      <c r="AA247" s="274">
        <f>IF(ISNUMBER(AA246),AA243+AA244+AA245+AA246,"")</f>
        <v/>
      </c>
      <c r="AB247" s="274">
        <f>IF(ISNUMBER(AB246),AB243+AB244+AB245+AB246,"")</f>
        <v/>
      </c>
      <c r="AC247" s="274">
        <f>IF(ISNUMBER(AC246),AC243+AC244+AC245+AC246,"")</f>
        <v/>
      </c>
      <c r="AD247" s="274">
        <f>IF(ISNUMBER(AD246),AD243+AD244+AD245+AD246,"")</f>
        <v/>
      </c>
      <c r="AE247" s="274">
        <f>IF(ISNUMBER(AE246),AE243+AE244+AE245+AE246,"")</f>
        <v/>
      </c>
      <c r="AF247" s="274">
        <f>IF(ISNUMBER(AF246),AF243+AF244+AF245+AF246,"")</f>
        <v/>
      </c>
      <c r="AG247" s="274">
        <f>IF(ISNUMBER(AG246),AG243+AG244+AG245+AG246,"")</f>
        <v/>
      </c>
      <c r="AH247" s="274">
        <f>IF(ISNUMBER(AH246),AH243+AH244+AH245+AH246,"")</f>
        <v/>
      </c>
      <c r="AI247" s="274">
        <f>IF(ISNUMBER(AI246),AI243+AI244+AI245+AI246,"")</f>
        <v/>
      </c>
      <c r="AJ247" s="274">
        <f>IF(ISNUMBER(AJ246),AJ243+AJ244+AJ245+AJ246,"")</f>
        <v/>
      </c>
      <c r="AK247" s="274">
        <f>IF(ISNUMBER(AK246),AK243+AK244+AK245+AK246,"")</f>
        <v/>
      </c>
      <c r="AL247" s="274">
        <f>IF(ISNUMBER(AL246),AL243+AL244+AL245+AL246,"")</f>
        <v/>
      </c>
      <c r="AM247" s="274">
        <f>IF(ISNUMBER(AM246),AM243+AM244+AM245+AM246,"")</f>
        <v/>
      </c>
      <c r="AN247" s="274">
        <f>IF(ISNUMBER(AN246),AN243+AN244+AN245+AN246,"")</f>
        <v/>
      </c>
      <c r="AO247" s="274">
        <f>IF(ISNUMBER(AO246),AO243+AO244+AO245+AO246,"")</f>
        <v/>
      </c>
      <c r="AP247" s="274">
        <f>IF(ISNUMBER(AP246),AP243+AP244+AP245+AP246,"")</f>
        <v/>
      </c>
      <c r="AQ247" s="274">
        <f>IF(ISNUMBER(AQ246),AQ243+AQ244+AQ245+AQ246,"")</f>
        <v/>
      </c>
      <c r="AR247" s="274">
        <f>IF(ISNUMBER(AR246),AR243+AR244+AR245+AR246,"")</f>
        <v/>
      </c>
      <c r="AS247" s="274">
        <f>IF(ISNUMBER(AS246),AS243+AS244+AS245+AS246,"")</f>
        <v/>
      </c>
      <c r="AT247" s="274">
        <f>IF(ISNUMBER(AT246),AT243+AT244+AT245+AT246,"")</f>
        <v/>
      </c>
      <c r="AU247" s="153" t="n"/>
      <c r="AW247" s="20">
        <f>IFERROR((AT247/AK247)^(1/5)-1,"n/m")</f>
        <v/>
      </c>
      <c r="AX247" s="20">
        <f>IFERROR((AK247/L247)^(1/5)-1,"n/m")</f>
        <v/>
      </c>
      <c r="AY247" s="20">
        <f>IFERROR((AK247/G247)^(1/10)-1,"n/m")</f>
        <v/>
      </c>
      <c r="AZ247" s="20">
        <f>IFERROR((AK247/C247)^(1/14)-1,"n/m")</f>
        <v/>
      </c>
    </row>
    <row r="248" ht="15" customHeight="1" s="251">
      <c r="B248" s="156" t="inlineStr">
        <is>
          <t xml:space="preserve">  Company-published adjusted net income (continuing operations, attributable)</t>
        </is>
      </c>
      <c r="C248" s="253" t="n">
        <v>127.178</v>
      </c>
      <c r="D248" s="253" t="n">
        <v>137.777</v>
      </c>
      <c r="E248" s="253" t="n">
        <v>147.877</v>
      </c>
      <c r="F248" s="253" t="n">
        <v>179.641</v>
      </c>
      <c r="G248" s="253" t="n">
        <v>241.457</v>
      </c>
      <c r="H248" s="253" t="n">
        <v>323.463</v>
      </c>
      <c r="I248" s="253" t="n">
        <v>355.627</v>
      </c>
      <c r="J248" s="253" t="n">
        <v>417.548</v>
      </c>
      <c r="K248" s="253" t="n">
        <v>482.624</v>
      </c>
      <c r="L248" s="253" t="n">
        <v>530.15</v>
      </c>
      <c r="M248" s="253" t="n">
        <v>159.921</v>
      </c>
      <c r="N248" s="253" t="n">
        <v>200.314</v>
      </c>
      <c r="O248" s="253" t="n">
        <v>213.318</v>
      </c>
      <c r="P248" s="253" t="n">
        <v>205.363</v>
      </c>
      <c r="Q248" s="253" t="n">
        <v>778.9160000000001</v>
      </c>
      <c r="R248" s="253" t="n">
        <v>176.605</v>
      </c>
      <c r="S248" s="253" t="n">
        <v>178.183</v>
      </c>
      <c r="T248" s="253" t="n">
        <v>187.767</v>
      </c>
      <c r="U248" s="253" t="n">
        <v>213.753</v>
      </c>
      <c r="V248" s="253" t="n">
        <v>756.308</v>
      </c>
      <c r="W248" s="253" t="n">
        <v>182.266</v>
      </c>
      <c r="X248" s="253" t="n">
        <v>184.895</v>
      </c>
      <c r="Y248" s="253" t="n">
        <v>207.585</v>
      </c>
      <c r="Z248" s="253" t="n">
        <v>240.123</v>
      </c>
      <c r="AA248" s="253" t="n">
        <v>814.869</v>
      </c>
      <c r="AB248" s="253" t="n">
        <v>201.568</v>
      </c>
      <c r="AC248" s="253" t="n">
        <v>212.204</v>
      </c>
      <c r="AD248" s="253" t="n">
        <v>229.125</v>
      </c>
      <c r="AE248" s="253" t="n">
        <v>270.327</v>
      </c>
      <c r="AF248" s="253" t="n">
        <v>913.2190000000001</v>
      </c>
      <c r="AG248" s="253" t="n">
        <v>231.2</v>
      </c>
      <c r="AH248" s="253" t="n">
        <v>244.5</v>
      </c>
      <c r="AI248" s="253" t="n">
        <v>249.4</v>
      </c>
      <c r="AJ248" s="253" t="n">
        <v>278.3</v>
      </c>
      <c r="AK248" s="253" t="n">
        <v>1003.4</v>
      </c>
      <c r="AL248" s="253" t="n">
        <v>253.4</v>
      </c>
      <c r="AM248" s="153" t="n"/>
      <c r="AN248" s="153" t="n"/>
      <c r="AO248" s="153" t="n"/>
      <c r="AP248" s="153" t="n"/>
      <c r="AQ248" s="153" t="n"/>
      <c r="AR248" s="153" t="n"/>
      <c r="AS248" s="153" t="n"/>
      <c r="AT248" s="153" t="n"/>
      <c r="AU248" s="153" t="n"/>
    </row>
    <row r="249" ht="15" customHeight="1" s="251">
      <c r="B249" s="156" t="inlineStr">
        <is>
          <t xml:space="preserve">  Adjusted diluted shares where different from GAAP (net-loss quarters; input)</t>
        </is>
      </c>
      <c r="C249" s="34" t="n"/>
      <c r="D249" s="34" t="n"/>
      <c r="E249" s="34" t="n"/>
      <c r="F249" s="34" t="n"/>
      <c r="G249" s="34" t="n"/>
      <c r="H249" s="34" t="n"/>
      <c r="I249" s="34" t="n"/>
      <c r="J249" s="34" t="n"/>
      <c r="K249" s="34" t="n"/>
      <c r="L249" s="34" t="n"/>
      <c r="M249" s="253" t="n">
        <v>90.86</v>
      </c>
      <c r="N249" s="34" t="n"/>
      <c r="O249" s="34" t="n"/>
      <c r="P249" s="34" t="n"/>
      <c r="Q249" s="34" t="n"/>
      <c r="R249" s="34" t="n"/>
      <c r="S249" s="34" t="n"/>
      <c r="T249" s="34" t="n"/>
      <c r="U249" s="34" t="n"/>
      <c r="V249" s="34" t="n"/>
      <c r="W249" s="34" t="n"/>
      <c r="X249" s="34" t="n"/>
      <c r="Y249" s="34" t="n"/>
      <c r="Z249" s="34" t="n"/>
      <c r="AA249" s="34" t="n"/>
      <c r="AB249" s="34" t="n"/>
      <c r="AC249" s="34" t="n"/>
      <c r="AD249" s="34" t="n"/>
      <c r="AE249" s="34" t="n"/>
      <c r="AF249" s="34" t="n"/>
      <c r="AG249" s="34" t="n"/>
      <c r="AH249" s="34" t="n"/>
      <c r="AI249" s="34" t="n"/>
      <c r="AJ249" s="34" t="n"/>
      <c r="AK249" s="34" t="n"/>
      <c r="AL249" s="34" t="n"/>
      <c r="AM249" s="153" t="n"/>
      <c r="AN249" s="153" t="n"/>
      <c r="AO249" s="153" t="n"/>
      <c r="AP249" s="153" t="n"/>
      <c r="AQ249" s="153" t="n"/>
      <c r="AR249" s="153" t="n"/>
      <c r="AS249" s="153" t="n"/>
      <c r="AT249" s="153" t="n"/>
      <c r="AU249" s="153" t="n"/>
    </row>
    <row r="250" ht="15" customHeight="1" s="251">
      <c r="B250" s="25" t="inlineStr">
        <is>
          <t xml:space="preserve">  Weighted-average diluted shares (m)</t>
        </is>
      </c>
      <c r="C250" s="263">
        <f>IF(ISNUMBER(C249),C249,IF(ISNUMBER(C186),C186,""))</f>
        <v/>
      </c>
      <c r="D250" s="263">
        <f>IF(ISNUMBER(D249),D249,IF(ISNUMBER(D186),D186,""))</f>
        <v/>
      </c>
      <c r="E250" s="263">
        <f>IF(ISNUMBER(E249),E249,IF(ISNUMBER(E186),E186,""))</f>
        <v/>
      </c>
      <c r="F250" s="263">
        <f>IF(ISNUMBER(F249),F249,IF(ISNUMBER(F186),F186,""))</f>
        <v/>
      </c>
      <c r="G250" s="263">
        <f>IF(ISNUMBER(G249),G249,IF(ISNUMBER(G186),G186,""))</f>
        <v/>
      </c>
      <c r="H250" s="263">
        <f>IF(ISNUMBER(H249),H249,IF(ISNUMBER(H186),H186,""))</f>
        <v/>
      </c>
      <c r="I250" s="263">
        <f>IF(ISNUMBER(I249),I249,IF(ISNUMBER(I186),I186,""))</f>
        <v/>
      </c>
      <c r="J250" s="263">
        <f>IF(ISNUMBER(J249),J249,IF(ISNUMBER(J186),J186,""))</f>
        <v/>
      </c>
      <c r="K250" s="263">
        <f>IF(ISNUMBER(K249),K249,IF(ISNUMBER(K186),K186,""))</f>
        <v/>
      </c>
      <c r="L250" s="263">
        <f>IF(ISNUMBER(L249),L249,IF(ISNUMBER(L186),L186,""))</f>
        <v/>
      </c>
      <c r="M250" s="263">
        <f>IF(ISNUMBER(M249),M249,IF(ISNUMBER(M186),M186,""))</f>
        <v/>
      </c>
      <c r="N250" s="263">
        <f>IF(ISNUMBER(N249),N249,IF(ISNUMBER(N186),N186,""))</f>
        <v/>
      </c>
      <c r="O250" s="263">
        <f>IF(ISNUMBER(O249),O249,IF(ISNUMBER(O186),O186,""))</f>
        <v/>
      </c>
      <c r="P250" s="263">
        <f>IF(ISNUMBER(P249),P249,IF(ISNUMBER(P186),P186,""))</f>
        <v/>
      </c>
      <c r="Q250" s="263">
        <f>IF(ISNUMBER(Q249),Q249,IF(ISNUMBER(Q186),Q186,""))</f>
        <v/>
      </c>
      <c r="R250" s="263">
        <f>IF(ISNUMBER(R249),R249,IF(ISNUMBER(R186),R186,""))</f>
        <v/>
      </c>
      <c r="S250" s="263">
        <f>IF(ISNUMBER(S249),S249,IF(ISNUMBER(S186),S186,""))</f>
        <v/>
      </c>
      <c r="T250" s="263">
        <f>IF(ISNUMBER(T249),T249,IF(ISNUMBER(T186),T186,""))</f>
        <v/>
      </c>
      <c r="U250" s="263">
        <f>IF(ISNUMBER(U249),U249,IF(ISNUMBER(U186),U186,""))</f>
        <v/>
      </c>
      <c r="V250" s="263">
        <f>IF(ISNUMBER(V249),V249,IF(ISNUMBER(V186),V186,""))</f>
        <v/>
      </c>
      <c r="W250" s="263">
        <f>IF(ISNUMBER(W249),W249,IF(ISNUMBER(W186),W186,""))</f>
        <v/>
      </c>
      <c r="X250" s="263">
        <f>IF(ISNUMBER(X249),X249,IF(ISNUMBER(X186),X186,""))</f>
        <v/>
      </c>
      <c r="Y250" s="263">
        <f>IF(ISNUMBER(Y249),Y249,IF(ISNUMBER(Y186),Y186,""))</f>
        <v/>
      </c>
      <c r="Z250" s="263">
        <f>IF(ISNUMBER(Z249),Z249,IF(ISNUMBER(Z186),Z186,""))</f>
        <v/>
      </c>
      <c r="AA250" s="263">
        <f>IF(ISNUMBER(AA249),AA249,IF(ISNUMBER(AA186),AA186,""))</f>
        <v/>
      </c>
      <c r="AB250" s="263">
        <f>IF(ISNUMBER(AB249),AB249,IF(ISNUMBER(AB186),AB186,""))</f>
        <v/>
      </c>
      <c r="AC250" s="263">
        <f>IF(ISNUMBER(AC249),AC249,IF(ISNUMBER(AC186),AC186,""))</f>
        <v/>
      </c>
      <c r="AD250" s="263">
        <f>IF(ISNUMBER(AD249),AD249,IF(ISNUMBER(AD186),AD186,""))</f>
        <v/>
      </c>
      <c r="AE250" s="263">
        <f>IF(ISNUMBER(AE249),AE249,IF(ISNUMBER(AE186),AE186,""))</f>
        <v/>
      </c>
      <c r="AF250" s="263">
        <f>IF(ISNUMBER(AF249),AF249,IF(ISNUMBER(AF186),AF186,""))</f>
        <v/>
      </c>
      <c r="AG250" s="263">
        <f>IF(ISNUMBER(AG249),AG249,IF(ISNUMBER(AG186),AG186,""))</f>
        <v/>
      </c>
      <c r="AH250" s="263">
        <f>IF(ISNUMBER(AH249),AH249,IF(ISNUMBER(AH186),AH186,""))</f>
        <v/>
      </c>
      <c r="AI250" s="263">
        <f>IF(ISNUMBER(AI249),AI249,IF(ISNUMBER(AI186),AI186,""))</f>
        <v/>
      </c>
      <c r="AJ250" s="263">
        <f>IF(ISNUMBER(AJ249),AJ249,IF(ISNUMBER(AJ186),AJ186,""))</f>
        <v/>
      </c>
      <c r="AK250" s="263">
        <f>IF(ISNUMBER(AK249),AK249,IF(ISNUMBER(AK186),AK186,""))</f>
        <v/>
      </c>
      <c r="AL250" s="263">
        <f>IF(ISNUMBER(AL249),AL249,IF(ISNUMBER(AL186),AL186,""))</f>
        <v/>
      </c>
      <c r="AM250" s="254">
        <f>IF(ISNUMBER(AM249),AM249,IF(ISNUMBER(AM186),AM186,""))</f>
        <v/>
      </c>
      <c r="AN250" s="254">
        <f>IF(ISNUMBER(AN249),AN249,IF(ISNUMBER(AN186),AN186,""))</f>
        <v/>
      </c>
      <c r="AO250" s="254">
        <f>IF(ISNUMBER(AO249),AO249,IF(ISNUMBER(AO186),AO186,""))</f>
        <v/>
      </c>
      <c r="AP250" s="254">
        <f>IF(ISNUMBER(AP249),AP249,IF(ISNUMBER(AP186),AP186,""))</f>
        <v/>
      </c>
      <c r="AQ250" s="254">
        <f>IF(ISNUMBER(AQ249),AQ249,IF(ISNUMBER(AQ186),AQ186,""))</f>
        <v/>
      </c>
      <c r="AR250" s="254">
        <f>IF(ISNUMBER(AR249),AR249,IF(ISNUMBER(AR186),AR186,""))</f>
        <v/>
      </c>
      <c r="AS250" s="254">
        <f>IF(ISNUMBER(AS249),AS249,IF(ISNUMBER(AS186),AS186,""))</f>
        <v/>
      </c>
      <c r="AT250" s="254">
        <f>IF(ISNUMBER(AT249),AT249,IF(ISNUMBER(AT186),AT186,""))</f>
        <v/>
      </c>
      <c r="AU250" s="19" t="n"/>
    </row>
    <row r="251" ht="15" customHeight="1" s="251">
      <c r="B251" s="55" t="inlineStr">
        <is>
          <t>Adjusted EPS – diluted, continuing operations ($) (model bridge)</t>
        </is>
      </c>
      <c r="C251" s="278">
        <f>IF(AND(ISNUMBER(C247),ISNUMBER(C250)),IFERROR(C247/C250,""),"")</f>
        <v/>
      </c>
      <c r="D251" s="278">
        <f>IF(AND(ISNUMBER(D247),ISNUMBER(D250)),IFERROR(D247/D250,""),"")</f>
        <v/>
      </c>
      <c r="E251" s="278">
        <f>IF(AND(ISNUMBER(E247),ISNUMBER(E250)),IFERROR(E247/E250,""),"")</f>
        <v/>
      </c>
      <c r="F251" s="278">
        <f>IF(AND(ISNUMBER(F247),ISNUMBER(F250)),IFERROR(F247/F250,""),"")</f>
        <v/>
      </c>
      <c r="G251" s="278">
        <f>IF(AND(ISNUMBER(G247),ISNUMBER(G250)),IFERROR(G247/G250,""),"")</f>
        <v/>
      </c>
      <c r="H251" s="278">
        <f>IF(AND(ISNUMBER(H247),ISNUMBER(H250)),IFERROR(H247/H250,""),"")</f>
        <v/>
      </c>
      <c r="I251" s="278">
        <f>IF(AND(ISNUMBER(I247),ISNUMBER(I250)),IFERROR(I247/I250,""),"")</f>
        <v/>
      </c>
      <c r="J251" s="278">
        <f>IF(AND(ISNUMBER(J247),ISNUMBER(J250)),IFERROR(J247/J250,""),"")</f>
        <v/>
      </c>
      <c r="K251" s="278">
        <f>IF(AND(ISNUMBER(K247),ISNUMBER(K250)),IFERROR(K247/K250,""),"")</f>
        <v/>
      </c>
      <c r="L251" s="278">
        <f>IF(AND(ISNUMBER(L247),ISNUMBER(L250)),IFERROR(L247/L250,""),"")</f>
        <v/>
      </c>
      <c r="M251" s="278">
        <f>IF(AND(ISNUMBER(M247),ISNUMBER(M250)),IFERROR(M247/M250,""),"")</f>
        <v/>
      </c>
      <c r="N251" s="278">
        <f>IF(AND(ISNUMBER(N247),ISNUMBER(N250)),IFERROR(N247/N250,""),"")</f>
        <v/>
      </c>
      <c r="O251" s="278">
        <f>IF(AND(ISNUMBER(O247),ISNUMBER(O250)),IFERROR(O247/O250,""),"")</f>
        <v/>
      </c>
      <c r="P251" s="278">
        <f>IF(AND(ISNUMBER(P247),ISNUMBER(P250)),IFERROR(P247/P250,""),"")</f>
        <v/>
      </c>
      <c r="Q251" s="278">
        <f>IF(AND(ISNUMBER(Q247),ISNUMBER(Q250)),IFERROR(Q247/Q250,""),"")</f>
        <v/>
      </c>
      <c r="R251" s="278">
        <f>IF(AND(ISNUMBER(R247),ISNUMBER(R250)),IFERROR(R247/R250,""),"")</f>
        <v/>
      </c>
      <c r="S251" s="278">
        <f>IF(AND(ISNUMBER(S247),ISNUMBER(S250)),IFERROR(S247/S250,""),"")</f>
        <v/>
      </c>
      <c r="T251" s="278">
        <f>IF(AND(ISNUMBER(T247),ISNUMBER(T250)),IFERROR(T247/T250,""),"")</f>
        <v/>
      </c>
      <c r="U251" s="278">
        <f>IF(AND(ISNUMBER(U247),ISNUMBER(U250)),IFERROR(U247/U250,""),"")</f>
        <v/>
      </c>
      <c r="V251" s="278">
        <f>IF(AND(ISNUMBER(V247),ISNUMBER(V250)),IFERROR(V247/V250,""),"")</f>
        <v/>
      </c>
      <c r="W251" s="278">
        <f>IF(AND(ISNUMBER(W247),ISNUMBER(W250)),IFERROR(W247/W250,""),"")</f>
        <v/>
      </c>
      <c r="X251" s="278">
        <f>IF(AND(ISNUMBER(X247),ISNUMBER(X250)),IFERROR(X247/X250,""),"")</f>
        <v/>
      </c>
      <c r="Y251" s="278">
        <f>IF(AND(ISNUMBER(Y247),ISNUMBER(Y250)),IFERROR(Y247/Y250,""),"")</f>
        <v/>
      </c>
      <c r="Z251" s="278">
        <f>IF(AND(ISNUMBER(Z247),ISNUMBER(Z250)),IFERROR(Z247/Z250,""),"")</f>
        <v/>
      </c>
      <c r="AA251" s="278">
        <f>IF(AND(ISNUMBER(AA247),ISNUMBER(AA250)),IFERROR(AA247/AA250,""),"")</f>
        <v/>
      </c>
      <c r="AB251" s="278">
        <f>IF(AND(ISNUMBER(AB247),ISNUMBER(AB250)),IFERROR(AB247/AB250,""),"")</f>
        <v/>
      </c>
      <c r="AC251" s="278">
        <f>IF(AND(ISNUMBER(AC247),ISNUMBER(AC250)),IFERROR(AC247/AC250,""),"")</f>
        <v/>
      </c>
      <c r="AD251" s="278">
        <f>IF(AND(ISNUMBER(AD247),ISNUMBER(AD250)),IFERROR(AD247/AD250,""),"")</f>
        <v/>
      </c>
      <c r="AE251" s="278">
        <f>IF(AND(ISNUMBER(AE247),ISNUMBER(AE250)),IFERROR(AE247/AE250,""),"")</f>
        <v/>
      </c>
      <c r="AF251" s="278">
        <f>IF(AND(ISNUMBER(AF247),ISNUMBER(AF250)),IFERROR(AF247/AF250,""),"")</f>
        <v/>
      </c>
      <c r="AG251" s="278">
        <f>IF(AND(ISNUMBER(AG247),ISNUMBER(AG250)),IFERROR(AG247/AG250,""),"")</f>
        <v/>
      </c>
      <c r="AH251" s="278">
        <f>IF(AND(ISNUMBER(AH247),ISNUMBER(AH250)),IFERROR(AH247/AH250,""),"")</f>
        <v/>
      </c>
      <c r="AI251" s="278">
        <f>IF(AND(ISNUMBER(AI247),ISNUMBER(AI250)),IFERROR(AI247/AI250,""),"")</f>
        <v/>
      </c>
      <c r="AJ251" s="278">
        <f>IF(AND(ISNUMBER(AJ247),ISNUMBER(AJ250)),IFERROR(AJ247/AJ250,""),"")</f>
        <v/>
      </c>
      <c r="AK251" s="278">
        <f>IF(AND(ISNUMBER(AK247),ISNUMBER(AK250)),IFERROR(AK247/AK250,""),"")</f>
        <v/>
      </c>
      <c r="AL251" s="278">
        <f>IF(AND(ISNUMBER(AL247),ISNUMBER(AL250)),IFERROR(AL247/AL250,""),"")</f>
        <v/>
      </c>
      <c r="AM251" s="278">
        <f>IF(AND(ISNUMBER(AM247),ISNUMBER(AM250)),IFERROR(AM247/AM250,""),"")</f>
        <v/>
      </c>
      <c r="AN251" s="278">
        <f>IF(AND(ISNUMBER(AN247),ISNUMBER(AN250)),IFERROR(AN247/AN250,""),"")</f>
        <v/>
      </c>
      <c r="AO251" s="278">
        <f>IF(AND(ISNUMBER(AO247),ISNUMBER(AO250)),IFERROR(AO247/AO250,""),"")</f>
        <v/>
      </c>
      <c r="AP251" s="278">
        <f>IF(AND(ISNUMBER(AP247),ISNUMBER(AP250)),IFERROR(AP247/AP250,""),"")</f>
        <v/>
      </c>
      <c r="AQ251" s="278">
        <f>IF(AND(ISNUMBER(AQ247),ISNUMBER(AQ250)),IFERROR(AQ247/AQ250,""),"")</f>
        <v/>
      </c>
      <c r="AR251" s="278">
        <f>IF(AND(ISNUMBER(AR247),ISNUMBER(AR250)),IFERROR(AR247/AR250,""),"")</f>
        <v/>
      </c>
      <c r="AS251" s="278">
        <f>IF(AND(ISNUMBER(AS247),ISNUMBER(AS250)),IFERROR(AS247/AS250,""),"")</f>
        <v/>
      </c>
      <c r="AT251" s="278">
        <f>IF(AND(ISNUMBER(AT247),ISNUMBER(AT250)),IFERROR(AT247/AT250,""),"")</f>
        <v/>
      </c>
      <c r="AU251" s="19" t="n"/>
      <c r="AW251" s="20">
        <f>IFERROR((AT251/AK251)^(1/5)-1,"n/m")</f>
        <v/>
      </c>
      <c r="AX251" s="20">
        <f>IFERROR((AK251/L251)^(1/5)-1,"n/m")</f>
        <v/>
      </c>
      <c r="AY251" s="20">
        <f>IFERROR((AK251/G251)^(1/10)-1,"n/m")</f>
        <v/>
      </c>
      <c r="AZ251" s="20">
        <f>IFERROR((AK251/C251)^(1/14)-1,"n/m")</f>
        <v/>
      </c>
    </row>
    <row r="252" ht="15" customHeight="1" s="251">
      <c r="B252" s="156" t="inlineStr">
        <is>
          <t xml:space="preserve">  Company-published adjusted EPS, continuing operations ($)</t>
        </is>
      </c>
      <c r="C252" s="279" t="n">
        <v>2.16</v>
      </c>
      <c r="D252" s="279" t="n">
        <v>2.34</v>
      </c>
      <c r="E252" s="279" t="n">
        <v>2.48</v>
      </c>
      <c r="F252" s="279" t="n">
        <v>2.99</v>
      </c>
      <c r="G252" s="279" t="n">
        <v>3.39</v>
      </c>
      <c r="H252" s="279" t="n">
        <v>3.76</v>
      </c>
      <c r="I252" s="279" t="n">
        <v>4.15</v>
      </c>
      <c r="J252" s="279" t="n">
        <v>4.89</v>
      </c>
      <c r="K252" s="279" t="n">
        <v>5.64</v>
      </c>
      <c r="L252" s="279" t="n">
        <v>6.17</v>
      </c>
      <c r="M252" s="279" t="n">
        <v>1.76</v>
      </c>
      <c r="N252" s="279" t="n">
        <v>1.99</v>
      </c>
      <c r="O252" s="279" t="n">
        <v>2.12</v>
      </c>
      <c r="P252" s="279" t="n">
        <v>2.04</v>
      </c>
      <c r="Q252" s="279" t="n">
        <v>7.92</v>
      </c>
      <c r="R252" s="279" t="n">
        <v>1.75</v>
      </c>
      <c r="S252" s="279" t="n">
        <v>1.78</v>
      </c>
      <c r="T252" s="279" t="n">
        <v>1.87</v>
      </c>
      <c r="U252" s="279" t="n">
        <v>2.15</v>
      </c>
      <c r="V252" s="279" t="n">
        <v>7.54</v>
      </c>
      <c r="W252" s="279" t="n">
        <v>1.84</v>
      </c>
      <c r="X252" s="279" t="n">
        <v>1.86</v>
      </c>
      <c r="Y252" s="279" t="n">
        <v>2.09</v>
      </c>
      <c r="Z252" s="279" t="n">
        <v>2.41</v>
      </c>
      <c r="AA252" s="279" t="n">
        <v>8.199999999999999</v>
      </c>
      <c r="AB252" s="279" t="n">
        <v>2.03</v>
      </c>
      <c r="AC252" s="279" t="n">
        <v>2.14</v>
      </c>
      <c r="AD252" s="279" t="n">
        <v>2.32</v>
      </c>
      <c r="AE252" s="279" t="n">
        <v>2.74</v>
      </c>
      <c r="AF252" s="279" t="n">
        <v>9.220000000000001</v>
      </c>
      <c r="AG252" s="279" t="n">
        <v>2.34</v>
      </c>
      <c r="AH252" s="279" t="n">
        <v>2.47</v>
      </c>
      <c r="AI252" s="279" t="n">
        <v>2.53</v>
      </c>
      <c r="AJ252" s="279" t="n">
        <v>2.83</v>
      </c>
      <c r="AK252" s="279" t="n">
        <v>10.17</v>
      </c>
      <c r="AL252" s="279" t="n">
        <v>2.59</v>
      </c>
      <c r="AM252" s="153" t="n"/>
      <c r="AN252" s="153" t="n"/>
      <c r="AO252" s="153" t="n"/>
      <c r="AP252" s="153" t="n"/>
      <c r="AQ252" s="153" t="n"/>
      <c r="AR252" s="153" t="n"/>
      <c r="AS252" s="153" t="n"/>
      <c r="AT252" s="153" t="n"/>
      <c r="AU252" s="153" t="n"/>
    </row>
    <row r="253" ht="15" customHeight="1" s="251">
      <c r="B253" s="57" t="inlineStr">
        <is>
          <t xml:space="preserve">  Check: model vs company-published (should be 0.00; ±0.01 rounding)</t>
        </is>
      </c>
      <c r="C253" s="280">
        <f>IF(AND(ISNUMBER(C252),ISNUMBER(C251)),IF(ABS(C251-C252)&lt;=0.0101,0,ROUND(C251-C252,2)),"n/p")</f>
        <v/>
      </c>
      <c r="D253" s="280">
        <f>IF(AND(ISNUMBER(D252),ISNUMBER(D251)),IF(ABS(D251-D252)&lt;=0.0101,0,ROUND(D251-D252,2)),"n/p")</f>
        <v/>
      </c>
      <c r="E253" s="280">
        <f>IF(AND(ISNUMBER(E252),ISNUMBER(E251)),IF(ABS(E251-E252)&lt;=0.0101,0,ROUND(E251-E252,2)),"n/p")</f>
        <v/>
      </c>
      <c r="F253" s="280">
        <f>IF(AND(ISNUMBER(F252),ISNUMBER(F251)),IF(ABS(F251-F252)&lt;=0.0101,0,ROUND(F251-F252,2)),"n/p")</f>
        <v/>
      </c>
      <c r="G253" s="280">
        <f>IF(AND(ISNUMBER(G252),ISNUMBER(G251)),IF(ABS(G251-G252)&lt;=0.0101,0,ROUND(G251-G252,2)),"n/p")</f>
        <v/>
      </c>
      <c r="H253" s="280">
        <f>IF(AND(ISNUMBER(H252),ISNUMBER(H251)),IF(ABS(H251-H252)&lt;=0.0101,0,ROUND(H251-H252,2)),"n/p")</f>
        <v/>
      </c>
      <c r="I253" s="280">
        <f>IF(AND(ISNUMBER(I252),ISNUMBER(I251)),IF(ABS(I251-I252)&lt;=0.0101,0,ROUND(I251-I252,2)),"n/p")</f>
        <v/>
      </c>
      <c r="J253" s="280">
        <f>IF(AND(ISNUMBER(J252),ISNUMBER(J251)),IF(ABS(J251-J252)&lt;=0.0101,0,ROUND(J251-J252,2)),"n/p")</f>
        <v/>
      </c>
      <c r="K253" s="280">
        <f>IF(AND(ISNUMBER(K252),ISNUMBER(K251)),IF(ABS(K251-K252)&lt;=0.0101,0,ROUND(K251-K252,2)),"n/p")</f>
        <v/>
      </c>
      <c r="L253" s="280">
        <f>IF(AND(ISNUMBER(L252),ISNUMBER(L251)),IF(ABS(L251-L252)&lt;=0.0101,0,ROUND(L251-L252,2)),"n/p")</f>
        <v/>
      </c>
      <c r="M253" s="280">
        <f>IF(AND(ISNUMBER(M252),ISNUMBER(M251)),IF(ABS(M251-M252)&lt;=0.0101,0,ROUND(M251-M252,2)),"n/p")</f>
        <v/>
      </c>
      <c r="N253" s="280">
        <f>IF(AND(ISNUMBER(N252),ISNUMBER(N251)),IF(ABS(N251-N252)&lt;=0.0101,0,ROUND(N251-N252,2)),"n/p")</f>
        <v/>
      </c>
      <c r="O253" s="280">
        <f>IF(AND(ISNUMBER(O252),ISNUMBER(O251)),IF(ABS(O251-O252)&lt;=0.0101,0,ROUND(O251-O252,2)),"n/p")</f>
        <v/>
      </c>
      <c r="P253" s="280">
        <f>IF(AND(ISNUMBER(P252),ISNUMBER(P251)),IF(ABS(P251-P252)&lt;=0.0101,0,ROUND(P251-P252,2)),"n/p")</f>
        <v/>
      </c>
      <c r="Q253" s="280">
        <f>IF(AND(ISNUMBER(Q252),ISNUMBER(Q251)),IF(ABS(Q251-Q252)&lt;=0.0101,0,ROUND(Q251-Q252,2)),"n/p")</f>
        <v/>
      </c>
      <c r="R253" s="280">
        <f>IF(AND(ISNUMBER(R252),ISNUMBER(R251)),IF(ABS(R251-R252)&lt;=0.0101,0,ROUND(R251-R252,2)),"n/p")</f>
        <v/>
      </c>
      <c r="S253" s="280">
        <f>IF(AND(ISNUMBER(S252),ISNUMBER(S251)),IF(ABS(S251-S252)&lt;=0.0101,0,ROUND(S251-S252,2)),"n/p")</f>
        <v/>
      </c>
      <c r="T253" s="280">
        <f>IF(AND(ISNUMBER(T252),ISNUMBER(T251)),IF(ABS(T251-T252)&lt;=0.0101,0,ROUND(T251-T252,2)),"n/p")</f>
        <v/>
      </c>
      <c r="U253" s="280">
        <f>IF(AND(ISNUMBER(U252),ISNUMBER(U251)),IF(ABS(U251-U252)&lt;=0.0101,0,ROUND(U251-U252,2)),"n/p")</f>
        <v/>
      </c>
      <c r="V253" s="280">
        <f>IF(AND(ISNUMBER(V252),ISNUMBER(V251)),IF(ABS(V251-V252)&lt;=0.0101,0,ROUND(V251-V252,2)),"n/p")</f>
        <v/>
      </c>
      <c r="W253" s="280">
        <f>IF(AND(ISNUMBER(W252),ISNUMBER(W251)),IF(ABS(W251-W252)&lt;=0.0101,0,ROUND(W251-W252,2)),"n/p")</f>
        <v/>
      </c>
      <c r="X253" s="280">
        <f>IF(AND(ISNUMBER(X252),ISNUMBER(X251)),IF(ABS(X251-X252)&lt;=0.0101,0,ROUND(X251-X252,2)),"n/p")</f>
        <v/>
      </c>
      <c r="Y253" s="280">
        <f>IF(AND(ISNUMBER(Y252),ISNUMBER(Y251)),IF(ABS(Y251-Y252)&lt;=0.0101,0,ROUND(Y251-Y252,2)),"n/p")</f>
        <v/>
      </c>
      <c r="Z253" s="280">
        <f>IF(AND(ISNUMBER(Z252),ISNUMBER(Z251)),IF(ABS(Z251-Z252)&lt;=0.0101,0,ROUND(Z251-Z252,2)),"n/p")</f>
        <v/>
      </c>
      <c r="AA253" s="280">
        <f>IF(AND(ISNUMBER(AA252),ISNUMBER(AA251)),IF(ABS(AA251-AA252)&lt;=0.0101,0,ROUND(AA251-AA252,2)),"n/p")</f>
        <v/>
      </c>
      <c r="AB253" s="280">
        <f>IF(AND(ISNUMBER(AB252),ISNUMBER(AB251)),IF(ABS(AB251-AB252)&lt;=0.0101,0,ROUND(AB251-AB252,2)),"n/p")</f>
        <v/>
      </c>
      <c r="AC253" s="280">
        <f>IF(AND(ISNUMBER(AC252),ISNUMBER(AC251)),IF(ABS(AC251-AC252)&lt;=0.0101,0,ROUND(AC251-AC252,2)),"n/p")</f>
        <v/>
      </c>
      <c r="AD253" s="280">
        <f>IF(AND(ISNUMBER(AD252),ISNUMBER(AD251)),IF(ABS(AD251-AD252)&lt;=0.0101,0,ROUND(AD251-AD252,2)),"n/p")</f>
        <v/>
      </c>
      <c r="AE253" s="280">
        <f>IF(AND(ISNUMBER(AE252),ISNUMBER(AE251)),IF(ABS(AE251-AE252)&lt;=0.0101,0,ROUND(AE251-AE252,2)),"n/p")</f>
        <v/>
      </c>
      <c r="AF253" s="280">
        <f>IF(AND(ISNUMBER(AF252),ISNUMBER(AF251)),IF(ABS(AF251-AF252)&lt;=0.0101,0,ROUND(AF251-AF252,2)),"n/p")</f>
        <v/>
      </c>
      <c r="AG253" s="280">
        <f>IF(AND(ISNUMBER(AG252),ISNUMBER(AG251)),IF(ABS(AG251-AG252)&lt;=0.0101,0,ROUND(AG251-AG252,2)),"n/p")</f>
        <v/>
      </c>
      <c r="AH253" s="280">
        <f>IF(AND(ISNUMBER(AH252),ISNUMBER(AH251)),IF(ABS(AH251-AH252)&lt;=0.0101,0,ROUND(AH251-AH252,2)),"n/p")</f>
        <v/>
      </c>
      <c r="AI253" s="280">
        <f>IF(AND(ISNUMBER(AI252),ISNUMBER(AI251)),IF(ABS(AI251-AI252)&lt;=0.0101,0,ROUND(AI251-AI252,2)),"n/p")</f>
        <v/>
      </c>
      <c r="AJ253" s="280">
        <f>IF(AND(ISNUMBER(AJ252),ISNUMBER(AJ251)),IF(ABS(AJ251-AJ252)&lt;=0.0101,0,ROUND(AJ251-AJ252,2)),"n/p")</f>
        <v/>
      </c>
      <c r="AK253" s="280">
        <f>IF(AND(ISNUMBER(AK252),ISNUMBER(AK251)),IF(ABS(AK251-AK252)&lt;=0.0101,0,ROUND(AK251-AK252,2)),"n/p")</f>
        <v/>
      </c>
      <c r="AL253" s="280">
        <f>IF(AND(ISNUMBER(AL252),ISNUMBER(AL251)),IF(ABS(AL251-AL252)&lt;=0.0101,0,ROUND(AL251-AL252,2)),"n/p")</f>
        <v/>
      </c>
      <c r="AM253" s="153" t="n"/>
      <c r="AN253" s="153" t="n"/>
      <c r="AO253" s="153" t="n"/>
      <c r="AP253" s="153" t="n"/>
      <c r="AQ253" s="153" t="n"/>
      <c r="AR253" s="153" t="n"/>
      <c r="AS253" s="153" t="n"/>
      <c r="AT253" s="153" t="n"/>
      <c r="AU253" s="153" t="n"/>
    </row>
    <row r="254" ht="15" customHeight="1" s="251">
      <c r="B254" s="22" t="inlineStr">
        <is>
          <t xml:space="preserve">  Adjusted EPS y/y %</t>
        </is>
      </c>
      <c r="C254" s="23" t="n"/>
      <c r="D254" s="255">
        <f>IF(AND(ISNUMBER(D251),ISNUMBER(C251)),IFERROR(D251/C251-1,""),"")</f>
        <v/>
      </c>
      <c r="E254" s="255">
        <f>IF(AND(ISNUMBER(E251),ISNUMBER(D251)),IFERROR(E251/D251-1,""),"")</f>
        <v/>
      </c>
      <c r="F254" s="255">
        <f>IF(AND(ISNUMBER(F251),ISNUMBER(E251)),IFERROR(F251/E251-1,""),"")</f>
        <v/>
      </c>
      <c r="G254" s="255">
        <f>IF(AND(ISNUMBER(G251),ISNUMBER(F251)),IFERROR(G251/F251-1,""),"")</f>
        <v/>
      </c>
      <c r="H254" s="255">
        <f>IF(AND(ISNUMBER(H251),ISNUMBER(G251)),IFERROR(H251/G251-1,""),"")</f>
        <v/>
      </c>
      <c r="I254" s="255">
        <f>IF(AND(ISNUMBER(I251),ISNUMBER(H251)),IFERROR(I251/H251-1,""),"")</f>
        <v/>
      </c>
      <c r="J254" s="255">
        <f>IF(AND(ISNUMBER(J251),ISNUMBER(I251)),IFERROR(J251/I251-1,""),"")</f>
        <v/>
      </c>
      <c r="K254" s="255">
        <f>IF(AND(ISNUMBER(K251),ISNUMBER(J251)),IFERROR(K251/J251-1,""),"")</f>
        <v/>
      </c>
      <c r="L254" s="255">
        <f>IF(AND(ISNUMBER(L251),ISNUMBER(K251)),IFERROR(L251/K251-1,""),"")</f>
        <v/>
      </c>
      <c r="M254" s="23" t="n"/>
      <c r="N254" s="23" t="n"/>
      <c r="O254" s="23" t="n"/>
      <c r="P254" s="23" t="n"/>
      <c r="Q254" s="255">
        <f>IF(AND(ISNUMBER(Q251),ISNUMBER(L251)),IFERROR(Q251/L251-1,""),"")</f>
        <v/>
      </c>
      <c r="R254" s="255">
        <f>IF(AND(ISNUMBER(R251),ISNUMBER(M251)),IFERROR(R251/M251-1,""),"")</f>
        <v/>
      </c>
      <c r="S254" s="255">
        <f>IF(AND(ISNUMBER(S251),ISNUMBER(N251)),IFERROR(S251/N251-1,""),"")</f>
        <v/>
      </c>
      <c r="T254" s="255">
        <f>IF(AND(ISNUMBER(T251),ISNUMBER(O251)),IFERROR(T251/O251-1,""),"")</f>
        <v/>
      </c>
      <c r="U254" s="255">
        <f>IF(AND(ISNUMBER(U251),ISNUMBER(P251)),IFERROR(U251/P251-1,""),"")</f>
        <v/>
      </c>
      <c r="V254" s="255">
        <f>IF(AND(ISNUMBER(V251),ISNUMBER(Q251)),IFERROR(V251/Q251-1,""),"")</f>
        <v/>
      </c>
      <c r="W254" s="255">
        <f>IF(AND(ISNUMBER(W251),ISNUMBER(R251)),IFERROR(W251/R251-1,""),"")</f>
        <v/>
      </c>
      <c r="X254" s="255">
        <f>IF(AND(ISNUMBER(X251),ISNUMBER(S251)),IFERROR(X251/S251-1,""),"")</f>
        <v/>
      </c>
      <c r="Y254" s="255">
        <f>IF(AND(ISNUMBER(Y251),ISNUMBER(T251)),IFERROR(Y251/T251-1,""),"")</f>
        <v/>
      </c>
      <c r="Z254" s="255">
        <f>IF(AND(ISNUMBER(Z251),ISNUMBER(U251)),IFERROR(Z251/U251-1,""),"")</f>
        <v/>
      </c>
      <c r="AA254" s="255">
        <f>IF(AND(ISNUMBER(AA251),ISNUMBER(V251)),IFERROR(AA251/V251-1,""),"")</f>
        <v/>
      </c>
      <c r="AB254" s="255">
        <f>IF(AND(ISNUMBER(AB251),ISNUMBER(W251)),IFERROR(AB251/W251-1,""),"")</f>
        <v/>
      </c>
      <c r="AC254" s="255">
        <f>IF(AND(ISNUMBER(AC251),ISNUMBER(X251)),IFERROR(AC251/X251-1,""),"")</f>
        <v/>
      </c>
      <c r="AD254" s="255">
        <f>IF(AND(ISNUMBER(AD251),ISNUMBER(Y251)),IFERROR(AD251/Y251-1,""),"")</f>
        <v/>
      </c>
      <c r="AE254" s="255">
        <f>IF(AND(ISNUMBER(AE251),ISNUMBER(Z251)),IFERROR(AE251/Z251-1,""),"")</f>
        <v/>
      </c>
      <c r="AF254" s="255">
        <f>IF(AND(ISNUMBER(AF251),ISNUMBER(AA251)),IFERROR(AF251/AA251-1,""),"")</f>
        <v/>
      </c>
      <c r="AG254" s="255">
        <f>IF(AND(ISNUMBER(AG251),ISNUMBER(AB251)),IFERROR(AG251/AB251-1,""),"")</f>
        <v/>
      </c>
      <c r="AH254" s="255">
        <f>IF(AND(ISNUMBER(AH251),ISNUMBER(AC251)),IFERROR(AH251/AC251-1,""),"")</f>
        <v/>
      </c>
      <c r="AI254" s="255">
        <f>IF(AND(ISNUMBER(AI251),ISNUMBER(AD251)),IFERROR(AI251/AD251-1,""),"")</f>
        <v/>
      </c>
      <c r="AJ254" s="255">
        <f>IF(AND(ISNUMBER(AJ251),ISNUMBER(AE251)),IFERROR(AJ251/AE251-1,""),"")</f>
        <v/>
      </c>
      <c r="AK254" s="255">
        <f>IF(AND(ISNUMBER(AK251),ISNUMBER(AF251)),IFERROR(AK251/AF251-1,""),"")</f>
        <v/>
      </c>
      <c r="AL254" s="255">
        <f>IF(AND(ISNUMBER(AL251),ISNUMBER(AG251)),IFERROR(AL251/AG251-1,""),"")</f>
        <v/>
      </c>
      <c r="AM254" s="256">
        <f>IF(AND(ISNUMBER(AM251),ISNUMBER(AH251)),IFERROR(AM251/AH251-1,""),"")</f>
        <v/>
      </c>
      <c r="AN254" s="256">
        <f>IF(AND(ISNUMBER(AN251),ISNUMBER(AI251)),IFERROR(AN251/AI251-1,""),"")</f>
        <v/>
      </c>
      <c r="AO254" s="256">
        <f>IF(AND(ISNUMBER(AO251),ISNUMBER(AJ251)),IFERROR(AO251/AJ251-1,""),"")</f>
        <v/>
      </c>
      <c r="AP254" s="256">
        <f>IF(AND(ISNUMBER(AP251),ISNUMBER(AK251)),IFERROR(AP251/AK251-1,""),"")</f>
        <v/>
      </c>
      <c r="AQ254" s="256">
        <f>IF(AND(ISNUMBER(AQ251),ISNUMBER(AP251)),IFERROR(AQ251/AP251-1,""),"")</f>
        <v/>
      </c>
      <c r="AR254" s="256">
        <f>IF(AND(ISNUMBER(AR251),ISNUMBER(AQ251)),IFERROR(AR251/AQ251-1,""),"")</f>
        <v/>
      </c>
      <c r="AS254" s="256">
        <f>IF(AND(ISNUMBER(AS251),ISNUMBER(AR251)),IFERROR(AS251/AR251-1,""),"")</f>
        <v/>
      </c>
      <c r="AT254" s="256">
        <f>IF(AND(ISNUMBER(AT251),ISNUMBER(AS251)),IFERROR(AT251/AS251-1,""),"")</f>
        <v/>
      </c>
      <c r="AU254" s="153" t="n"/>
    </row>
    <row r="255" ht="15" customHeight="1" s="251">
      <c r="B255" s="25" t="inlineStr">
        <is>
          <t xml:space="preserve">  Adjusted income before tax (adjusted operating income − non-operating expense + non-operating adjustments)</t>
        </is>
      </c>
      <c r="C255" s="263">
        <f>IF(ISNUMBER(C208),C208-N(C169)-N(C170)+C245,"")</f>
        <v/>
      </c>
      <c r="D255" s="263">
        <f>IF(ISNUMBER(D208),D208-N(D169)-N(D170)+D245,"")</f>
        <v/>
      </c>
      <c r="E255" s="263">
        <f>IF(ISNUMBER(E208),E208-N(E169)-N(E170)+E245,"")</f>
        <v/>
      </c>
      <c r="F255" s="263">
        <f>IF(ISNUMBER(F208),F208-N(F169)-N(F170)+F245,"")</f>
        <v/>
      </c>
      <c r="G255" s="263">
        <f>IF(ISNUMBER(G208),G208-N(G169)-N(G170)+G245,"")</f>
        <v/>
      </c>
      <c r="H255" s="263">
        <f>IF(ISNUMBER(H208),H208-N(H169)-N(H170)+H245,"")</f>
        <v/>
      </c>
      <c r="I255" s="263">
        <f>IF(ISNUMBER(I208),I208-N(I169)-N(I170)+I245,"")</f>
        <v/>
      </c>
      <c r="J255" s="263">
        <f>IF(ISNUMBER(J208),J208-N(J169)-N(J170)+J245,"")</f>
        <v/>
      </c>
      <c r="K255" s="263">
        <f>IF(ISNUMBER(K208),K208-N(K169)-N(K170)+K245,"")</f>
        <v/>
      </c>
      <c r="L255" s="263">
        <f>IF(ISNUMBER(L208),L208-N(L169)-N(L170)+L245,"")</f>
        <v/>
      </c>
      <c r="M255" s="263">
        <f>IF(ISNUMBER(M208),M208-N(M169)-N(M170)+M245,"")</f>
        <v/>
      </c>
      <c r="N255" s="263">
        <f>IF(ISNUMBER(N208),N208-N(N169)-N(N170)+N245,"")</f>
        <v/>
      </c>
      <c r="O255" s="263">
        <f>IF(ISNUMBER(O208),O208-N(O169)-N(O170)+O245,"")</f>
        <v/>
      </c>
      <c r="P255" s="263">
        <f>IF(ISNUMBER(P208),P208-N(P169)-N(P170)+P245,"")</f>
        <v/>
      </c>
      <c r="Q255" s="263">
        <f>IF(ISNUMBER(Q208),Q208-N(Q169)-N(Q170)+Q245,"")</f>
        <v/>
      </c>
      <c r="R255" s="263">
        <f>IF(ISNUMBER(R208),R208-N(R169)-N(R170)+R245,"")</f>
        <v/>
      </c>
      <c r="S255" s="263">
        <f>IF(ISNUMBER(S208),S208-N(S169)-N(S170)+S245,"")</f>
        <v/>
      </c>
      <c r="T255" s="263">
        <f>IF(ISNUMBER(T208),T208-N(T169)-N(T170)+T245,"")</f>
        <v/>
      </c>
      <c r="U255" s="263">
        <f>IF(ISNUMBER(U208),U208-N(U169)-N(U170)+U245,"")</f>
        <v/>
      </c>
      <c r="V255" s="263">
        <f>IF(ISNUMBER(V208),V208-N(V169)-N(V170)+V245,"")</f>
        <v/>
      </c>
      <c r="W255" s="263">
        <f>IF(ISNUMBER(W208),W208-N(W169)-N(W170)+W245,"")</f>
        <v/>
      </c>
      <c r="X255" s="263">
        <f>IF(ISNUMBER(X208),X208-N(X169)-N(X170)+X245,"")</f>
        <v/>
      </c>
      <c r="Y255" s="263">
        <f>IF(ISNUMBER(Y208),Y208-N(Y169)-N(Y170)+Y245,"")</f>
        <v/>
      </c>
      <c r="Z255" s="263">
        <f>IF(ISNUMBER(Z208),Z208-N(Z169)-N(Z170)+Z245,"")</f>
        <v/>
      </c>
      <c r="AA255" s="263">
        <f>IF(ISNUMBER(AA208),AA208-N(AA169)-N(AA170)+AA245,"")</f>
        <v/>
      </c>
      <c r="AB255" s="263">
        <f>IF(ISNUMBER(AB208),AB208-N(AB169)-N(AB170)+AB245,"")</f>
        <v/>
      </c>
      <c r="AC255" s="263">
        <f>IF(ISNUMBER(AC208),AC208-N(AC169)-N(AC170)+AC245,"")</f>
        <v/>
      </c>
      <c r="AD255" s="263">
        <f>IF(ISNUMBER(AD208),AD208-N(AD169)-N(AD170)+AD245,"")</f>
        <v/>
      </c>
      <c r="AE255" s="263">
        <f>IF(ISNUMBER(AE208),AE208-N(AE169)-N(AE170)+AE245,"")</f>
        <v/>
      </c>
      <c r="AF255" s="263">
        <f>IF(ISNUMBER(AF208),AF208-N(AF169)-N(AF170)+AF245,"")</f>
        <v/>
      </c>
      <c r="AG255" s="263">
        <f>IF(ISNUMBER(AG208),AG208-N(AG169)-N(AG170)+AG245,"")</f>
        <v/>
      </c>
      <c r="AH255" s="263">
        <f>IF(ISNUMBER(AH208),AH208-N(AH169)-N(AH170)+AH245,"")</f>
        <v/>
      </c>
      <c r="AI255" s="263">
        <f>IF(ISNUMBER(AI208),AI208-N(AI169)-N(AI170)+AI245,"")</f>
        <v/>
      </c>
      <c r="AJ255" s="263">
        <f>IF(ISNUMBER(AJ208),AJ208-N(AJ169)-N(AJ170)+AJ245,"")</f>
        <v/>
      </c>
      <c r="AK255" s="263">
        <f>IF(ISNUMBER(AK208),AK208-N(AK169)-N(AK170)+AK245,"")</f>
        <v/>
      </c>
      <c r="AL255" s="263">
        <f>IF(ISNUMBER(AL208),AL208-N(AL169)-N(AL170)+AL245,"")</f>
        <v/>
      </c>
      <c r="AM255" s="254">
        <f>IF(ISNUMBER(AM208),AM208-N(AM169)-N(AM170)+AM245,"")</f>
        <v/>
      </c>
      <c r="AN255" s="254">
        <f>IF(ISNUMBER(AN208),AN208-N(AN169)-N(AN170)+AN245,"")</f>
        <v/>
      </c>
      <c r="AO255" s="254">
        <f>IF(ISNUMBER(AO208),AO208-N(AO169)-N(AO170)+AO245,"")</f>
        <v/>
      </c>
      <c r="AP255" s="254">
        <f>IF(ISNUMBER(AP208),AP208-N(AP169)-N(AP170)+AP245,"")</f>
        <v/>
      </c>
      <c r="AQ255" s="254">
        <f>IF(ISNUMBER(AQ208),AQ208-N(AQ169)-N(AQ170)+AQ245,"")</f>
        <v/>
      </c>
      <c r="AR255" s="254">
        <f>IF(ISNUMBER(AR208),AR208-N(AR169)-N(AR170)+AR245,"")</f>
        <v/>
      </c>
      <c r="AS255" s="254">
        <f>IF(ISNUMBER(AS208),AS208-N(AS169)-N(AS170)+AS245,"")</f>
        <v/>
      </c>
      <c r="AT255" s="254">
        <f>IF(ISNUMBER(AT208),AT208-N(AT169)-N(AT170)+AT245,"")</f>
        <v/>
      </c>
      <c r="AU255" s="19" t="n"/>
    </row>
    <row r="256" ht="15" customHeight="1" s="251">
      <c r="B256" s="25" t="inlineStr">
        <is>
          <t xml:space="preserve">  Adjusted income tax (adjusted income before tax − adjusted net income − NCI)</t>
        </is>
      </c>
      <c r="C256" s="263">
        <f>IF(AND(ISNUMBER(C247),ISNUMBER(C255)),C255-C247-N(C177),"")</f>
        <v/>
      </c>
      <c r="D256" s="263">
        <f>IF(AND(ISNUMBER(D247),ISNUMBER(D255)),D255-D247-N(D177),"")</f>
        <v/>
      </c>
      <c r="E256" s="263">
        <f>IF(AND(ISNUMBER(E247),ISNUMBER(E255)),E255-E247-N(E177),"")</f>
        <v/>
      </c>
      <c r="F256" s="263">
        <f>IF(AND(ISNUMBER(F247),ISNUMBER(F255)),F255-F247-N(F177),"")</f>
        <v/>
      </c>
      <c r="G256" s="263">
        <f>IF(AND(ISNUMBER(G247),ISNUMBER(G255)),G255-G247-N(G177),"")</f>
        <v/>
      </c>
      <c r="H256" s="263">
        <f>IF(AND(ISNUMBER(H247),ISNUMBER(H255)),H255-H247-N(H177),"")</f>
        <v/>
      </c>
      <c r="I256" s="263">
        <f>IF(AND(ISNUMBER(I247),ISNUMBER(I255)),I255-I247-N(I177),"")</f>
        <v/>
      </c>
      <c r="J256" s="263">
        <f>IF(AND(ISNUMBER(J247),ISNUMBER(J255)),J255-J247-N(J177),"")</f>
        <v/>
      </c>
      <c r="K256" s="263">
        <f>IF(AND(ISNUMBER(K247),ISNUMBER(K255)),K255-K247-N(K177),"")</f>
        <v/>
      </c>
      <c r="L256" s="263">
        <f>IF(AND(ISNUMBER(L247),ISNUMBER(L255)),L255-L247-N(L177),"")</f>
        <v/>
      </c>
      <c r="M256" s="263">
        <f>IF(AND(ISNUMBER(M247),ISNUMBER(M255)),M255-M247-N(M177),"")</f>
        <v/>
      </c>
      <c r="N256" s="263">
        <f>IF(AND(ISNUMBER(N247),ISNUMBER(N255)),N255-N247-N(N177),"")</f>
        <v/>
      </c>
      <c r="O256" s="263">
        <f>IF(AND(ISNUMBER(O247),ISNUMBER(O255)),O255-O247-N(O177),"")</f>
        <v/>
      </c>
      <c r="P256" s="263">
        <f>IF(AND(ISNUMBER(P247),ISNUMBER(P255)),P255-P247-N(P177),"")</f>
        <v/>
      </c>
      <c r="Q256" s="263">
        <f>IF(AND(ISNUMBER(Q247),ISNUMBER(Q255)),Q255-Q247-N(Q177),"")</f>
        <v/>
      </c>
      <c r="R256" s="263">
        <f>IF(AND(ISNUMBER(R247),ISNUMBER(R255)),R255-R247-N(R177),"")</f>
        <v/>
      </c>
      <c r="S256" s="263">
        <f>IF(AND(ISNUMBER(S247),ISNUMBER(S255)),S255-S247-N(S177),"")</f>
        <v/>
      </c>
      <c r="T256" s="263">
        <f>IF(AND(ISNUMBER(T247),ISNUMBER(T255)),T255-T247-N(T177),"")</f>
        <v/>
      </c>
      <c r="U256" s="263">
        <f>IF(AND(ISNUMBER(U247),ISNUMBER(U255)),U255-U247-N(U177),"")</f>
        <v/>
      </c>
      <c r="V256" s="263">
        <f>IF(AND(ISNUMBER(V247),ISNUMBER(V255)),V255-V247-N(V177),"")</f>
        <v/>
      </c>
      <c r="W256" s="263">
        <f>IF(AND(ISNUMBER(W247),ISNUMBER(W255)),W255-W247-N(W177),"")</f>
        <v/>
      </c>
      <c r="X256" s="263">
        <f>IF(AND(ISNUMBER(X247),ISNUMBER(X255)),X255-X247-N(X177),"")</f>
        <v/>
      </c>
      <c r="Y256" s="263">
        <f>IF(AND(ISNUMBER(Y247),ISNUMBER(Y255)),Y255-Y247-N(Y177),"")</f>
        <v/>
      </c>
      <c r="Z256" s="263">
        <f>IF(AND(ISNUMBER(Z247),ISNUMBER(Z255)),Z255-Z247-N(Z177),"")</f>
        <v/>
      </c>
      <c r="AA256" s="263">
        <f>IF(AND(ISNUMBER(AA247),ISNUMBER(AA255)),AA255-AA247-N(AA177),"")</f>
        <v/>
      </c>
      <c r="AB256" s="263">
        <f>IF(AND(ISNUMBER(AB247),ISNUMBER(AB255)),AB255-AB247-N(AB177),"")</f>
        <v/>
      </c>
      <c r="AC256" s="263">
        <f>IF(AND(ISNUMBER(AC247),ISNUMBER(AC255)),AC255-AC247-N(AC177),"")</f>
        <v/>
      </c>
      <c r="AD256" s="263">
        <f>IF(AND(ISNUMBER(AD247),ISNUMBER(AD255)),AD255-AD247-N(AD177),"")</f>
        <v/>
      </c>
      <c r="AE256" s="263">
        <f>IF(AND(ISNUMBER(AE247),ISNUMBER(AE255)),AE255-AE247-N(AE177),"")</f>
        <v/>
      </c>
      <c r="AF256" s="263">
        <f>IF(AND(ISNUMBER(AF247),ISNUMBER(AF255)),AF255-AF247-N(AF177),"")</f>
        <v/>
      </c>
      <c r="AG256" s="263">
        <f>IF(AND(ISNUMBER(AG247),ISNUMBER(AG255)),AG255-AG247-N(AG177),"")</f>
        <v/>
      </c>
      <c r="AH256" s="263">
        <f>IF(AND(ISNUMBER(AH247),ISNUMBER(AH255)),AH255-AH247-N(AH177),"")</f>
        <v/>
      </c>
      <c r="AI256" s="263">
        <f>IF(AND(ISNUMBER(AI247),ISNUMBER(AI255)),AI255-AI247-N(AI177),"")</f>
        <v/>
      </c>
      <c r="AJ256" s="263">
        <f>IF(AND(ISNUMBER(AJ247),ISNUMBER(AJ255)),AJ255-AJ247-N(AJ177),"")</f>
        <v/>
      </c>
      <c r="AK256" s="263">
        <f>IF(AND(ISNUMBER(AK247),ISNUMBER(AK255)),AK255-AK247-N(AK177),"")</f>
        <v/>
      </c>
      <c r="AL256" s="263">
        <f>IF(AND(ISNUMBER(AL247),ISNUMBER(AL255)),AL255-AL247-N(AL177),"")</f>
        <v/>
      </c>
      <c r="AM256" s="254">
        <f>AM255*AM257</f>
        <v/>
      </c>
      <c r="AN256" s="254">
        <f>AN255*AN257</f>
        <v/>
      </c>
      <c r="AO256" s="254">
        <f>AO255*AO257</f>
        <v/>
      </c>
      <c r="AP256" s="254">
        <f>SUM(AL256,AM256,AN256,AO256)</f>
        <v/>
      </c>
      <c r="AQ256" s="254">
        <f>AQ255*AQ257</f>
        <v/>
      </c>
      <c r="AR256" s="254">
        <f>AR255*AR257</f>
        <v/>
      </c>
      <c r="AS256" s="254">
        <f>AS255*AS257</f>
        <v/>
      </c>
      <c r="AT256" s="254">
        <f>AT255*AT257</f>
        <v/>
      </c>
      <c r="AU256" s="19" t="n"/>
    </row>
    <row r="257" ht="15" customHeight="1" s="251">
      <c r="B257" s="25" t="inlineStr">
        <is>
          <t xml:space="preserve">  Adjusted effective tax rate</t>
        </is>
      </c>
      <c r="C257" s="215">
        <f>IF(AND(ISNUMBER(C256),ISNUMBER(C255)),IFERROR(C256/C255,""),"")</f>
        <v/>
      </c>
      <c r="D257" s="215">
        <f>IF(AND(ISNUMBER(D256),ISNUMBER(D255)),IFERROR(D256/D255,""),"")</f>
        <v/>
      </c>
      <c r="E257" s="215">
        <f>IF(AND(ISNUMBER(E256),ISNUMBER(E255)),IFERROR(E256/E255,""),"")</f>
        <v/>
      </c>
      <c r="F257" s="215">
        <f>IF(AND(ISNUMBER(F256),ISNUMBER(F255)),IFERROR(F256/F255,""),"")</f>
        <v/>
      </c>
      <c r="G257" s="215">
        <f>IF(AND(ISNUMBER(G256),ISNUMBER(G255)),IFERROR(G256/G255,""),"")</f>
        <v/>
      </c>
      <c r="H257" s="215">
        <f>IF(AND(ISNUMBER(H256),ISNUMBER(H255)),IFERROR(H256/H255,""),"")</f>
        <v/>
      </c>
      <c r="I257" s="215">
        <f>IF(AND(ISNUMBER(I256),ISNUMBER(I255)),IFERROR(I256/I255,""),"")</f>
        <v/>
      </c>
      <c r="J257" s="215">
        <f>IF(AND(ISNUMBER(J256),ISNUMBER(J255)),IFERROR(J256/J255,""),"")</f>
        <v/>
      </c>
      <c r="K257" s="215">
        <f>IF(AND(ISNUMBER(K256),ISNUMBER(K255)),IFERROR(K256/K255,""),"")</f>
        <v/>
      </c>
      <c r="L257" s="215">
        <f>IF(AND(ISNUMBER(L256),ISNUMBER(L255)),IFERROR(L256/L255,""),"")</f>
        <v/>
      </c>
      <c r="M257" s="215">
        <f>IF(AND(ISNUMBER(M256),ISNUMBER(M255)),IFERROR(M256/M255,""),"")</f>
        <v/>
      </c>
      <c r="N257" s="215">
        <f>IF(AND(ISNUMBER(N256),ISNUMBER(N255)),IFERROR(N256/N255,""),"")</f>
        <v/>
      </c>
      <c r="O257" s="215">
        <f>IF(AND(ISNUMBER(O256),ISNUMBER(O255)),IFERROR(O256/O255,""),"")</f>
        <v/>
      </c>
      <c r="P257" s="215">
        <f>IF(AND(ISNUMBER(P256),ISNUMBER(P255)),IFERROR(P256/P255,""),"")</f>
        <v/>
      </c>
      <c r="Q257" s="215">
        <f>IF(AND(ISNUMBER(Q256),ISNUMBER(Q255)),IFERROR(Q256/Q255,""),"")</f>
        <v/>
      </c>
      <c r="R257" s="215">
        <f>IF(AND(ISNUMBER(R256),ISNUMBER(R255)),IFERROR(R256/R255,""),"")</f>
        <v/>
      </c>
      <c r="S257" s="215">
        <f>IF(AND(ISNUMBER(S256),ISNUMBER(S255)),IFERROR(S256/S255,""),"")</f>
        <v/>
      </c>
      <c r="T257" s="215">
        <f>IF(AND(ISNUMBER(T256),ISNUMBER(T255)),IFERROR(T256/T255,""),"")</f>
        <v/>
      </c>
      <c r="U257" s="215">
        <f>IF(AND(ISNUMBER(U256),ISNUMBER(U255)),IFERROR(U256/U255,""),"")</f>
        <v/>
      </c>
      <c r="V257" s="215">
        <f>IF(AND(ISNUMBER(V256),ISNUMBER(V255)),IFERROR(V256/V255,""),"")</f>
        <v/>
      </c>
      <c r="W257" s="215">
        <f>IF(AND(ISNUMBER(W256),ISNUMBER(W255)),IFERROR(W256/W255,""),"")</f>
        <v/>
      </c>
      <c r="X257" s="215">
        <f>IF(AND(ISNUMBER(X256),ISNUMBER(X255)),IFERROR(X256/X255,""),"")</f>
        <v/>
      </c>
      <c r="Y257" s="215">
        <f>IF(AND(ISNUMBER(Y256),ISNUMBER(Y255)),IFERROR(Y256/Y255,""),"")</f>
        <v/>
      </c>
      <c r="Z257" s="215">
        <f>IF(AND(ISNUMBER(Z256),ISNUMBER(Z255)),IFERROR(Z256/Z255,""),"")</f>
        <v/>
      </c>
      <c r="AA257" s="215">
        <f>IF(AND(ISNUMBER(AA256),ISNUMBER(AA255)),IFERROR(AA256/AA255,""),"")</f>
        <v/>
      </c>
      <c r="AB257" s="215">
        <f>IF(AND(ISNUMBER(AB256),ISNUMBER(AB255)),IFERROR(AB256/AB255,""),"")</f>
        <v/>
      </c>
      <c r="AC257" s="215">
        <f>IF(AND(ISNUMBER(AC256),ISNUMBER(AC255)),IFERROR(AC256/AC255,""),"")</f>
        <v/>
      </c>
      <c r="AD257" s="215">
        <f>IF(AND(ISNUMBER(AD256),ISNUMBER(AD255)),IFERROR(AD256/AD255,""),"")</f>
        <v/>
      </c>
      <c r="AE257" s="215">
        <f>IF(AND(ISNUMBER(AE256),ISNUMBER(AE255)),IFERROR(AE256/AE255,""),"")</f>
        <v/>
      </c>
      <c r="AF257" s="215">
        <f>IF(AND(ISNUMBER(AF256),ISNUMBER(AF255)),IFERROR(AF256/AF255,""),"")</f>
        <v/>
      </c>
      <c r="AG257" s="215">
        <f>IF(AND(ISNUMBER(AG256),ISNUMBER(AG255)),IFERROR(AG256/AG255,""),"")</f>
        <v/>
      </c>
      <c r="AH257" s="215">
        <f>IF(AND(ISNUMBER(AH256),ISNUMBER(AH255)),IFERROR(AH256/AH255,""),"")</f>
        <v/>
      </c>
      <c r="AI257" s="215">
        <f>IF(AND(ISNUMBER(AI256),ISNUMBER(AI255)),IFERROR(AI256/AI255,""),"")</f>
        <v/>
      </c>
      <c r="AJ257" s="215">
        <f>IF(AND(ISNUMBER(AJ256),ISNUMBER(AJ255)),IFERROR(AJ256/AJ255,""),"")</f>
        <v/>
      </c>
      <c r="AK257" s="215">
        <f>IF(AND(ISNUMBER(AK256),ISNUMBER(AK255)),IFERROR(AK256/AK255,""),"")</f>
        <v/>
      </c>
      <c r="AL257" s="215">
        <f>IF(AND(ISNUMBER(AL256),ISNUMBER(AL255)),IFERROR(AL256/AL255,""),"")</f>
        <v/>
      </c>
      <c r="AM257" s="256">
        <f>$BE$23</f>
        <v/>
      </c>
      <c r="AN257" s="256">
        <f>$BE$23</f>
        <v/>
      </c>
      <c r="AO257" s="256">
        <f>$BE$23</f>
        <v/>
      </c>
      <c r="AP257" s="256">
        <f>IF(AND(ISNUMBER(AP256),ISNUMBER(AP255)),IFERROR(AP256/AP255,""),"")</f>
        <v/>
      </c>
      <c r="AQ257" s="256">
        <f>AQ173</f>
        <v/>
      </c>
      <c r="AR257" s="256">
        <f>AR173</f>
        <v/>
      </c>
      <c r="AS257" s="256">
        <f>AS173</f>
        <v/>
      </c>
      <c r="AT257" s="256">
        <f>AT173</f>
        <v/>
      </c>
      <c r="AU257" s="153" t="inlineStr">
        <is>
          <t>Q1/27 adjusted rate 25.9%; FY27 outlook ~25%. Forecast = GAAP effective tax rate.</t>
        </is>
      </c>
      <c r="AW257" s="37">
        <f>IFERROR(AVERAGE(AP257,AQ257,AR257,AS257,AT257),"n/m")</f>
        <v/>
      </c>
      <c r="AX257" s="37">
        <f>IFERROR(AVERAGE(Q257,V257,AA257,AF257,AK257),"n/m")</f>
        <v/>
      </c>
      <c r="AY257" s="37">
        <f>IFERROR(AVERAGE(H257,I257,J257,K257,L257,Q257,V257,AA257,AF257,AK257),"n/m")</f>
        <v/>
      </c>
      <c r="AZ257" s="37">
        <f>IFERROR(AVERAGE(C257,D257,E257,F257,G257,H257,I257,J257,K257,L257,Q257,V257,AA257,AF257,AK257),"n/m")</f>
        <v/>
      </c>
    </row>
    <row r="258" ht="15" customHeight="1" s="251">
      <c r="B258" s="158" t="inlineStr">
        <is>
          <t xml:space="preserve">  Definition / basis (company adjusted EPS definition and presentation basis)</t>
        </is>
      </c>
      <c r="C258" s="283" t="inlineStr">
        <is>
          <t>Adjusted EPS = GAAP diluted EPS + adjusting items, net of tax (company definition throughout); FY2012–15 items shown net of tax</t>
        </is>
      </c>
      <c r="M258" s="283" t="inlineStr">
        <is>
          <t>Q1/22: GAAP net loss — adjusted EPS on diluted shares (input, implied from the release)</t>
        </is>
      </c>
      <c r="R258" s="283" t="inlineStr">
        <is>
          <t>FY2023–24: continuing operations (restated); as-originally-reported adjusted EPS incl. Dental rebuilt in the memo rows below</t>
        </is>
      </c>
      <c r="AB258" s="283" t="inlineStr">
        <is>
          <t>FY2025+: continuing operations as reported</t>
        </is>
      </c>
      <c r="AM258" s="153" t="n"/>
      <c r="AN258" s="153" t="n"/>
      <c r="AO258" s="153" t="n"/>
      <c r="AP258" s="153" t="n"/>
      <c r="AQ258" s="153" t="n"/>
      <c r="AR258" s="153" t="n"/>
      <c r="AS258" s="153" t="n"/>
      <c r="AT258" s="153" t="n"/>
      <c r="AU258" s="19" t="n"/>
    </row>
    <row r="259" ht="15" customHeight="1" s="251">
      <c r="B259" s="25" t="inlineStr">
        <is>
          <t xml:space="preserve">  As originally reported (incl. Dental) — FY2023 to FY2024, before the discontinued-operations recast:</t>
        </is>
      </c>
      <c r="AU259" s="153" t="n"/>
    </row>
    <row r="260" ht="15" customHeight="1" s="251">
      <c r="B260" s="156" t="inlineStr">
        <is>
          <t xml:space="preserve">    Adjusted income from discontinued operations (Dental), net of tax (Q4 FY24 release recast)</t>
        </is>
      </c>
      <c r="C260" s="34" t="n"/>
      <c r="D260" s="34" t="n"/>
      <c r="E260" s="34" t="n"/>
      <c r="F260" s="34" t="n"/>
      <c r="G260" s="34" t="n"/>
      <c r="H260" s="34" t="n"/>
      <c r="I260" s="34" t="n"/>
      <c r="J260" s="34" t="n"/>
      <c r="K260" s="34" t="n"/>
      <c r="L260" s="34" t="n"/>
      <c r="M260" s="34" t="n"/>
      <c r="N260" s="34" t="n"/>
      <c r="O260" s="34" t="n"/>
      <c r="P260" s="34" t="n"/>
      <c r="Q260" s="34" t="n"/>
      <c r="R260" s="253" t="n">
        <v>14.501</v>
      </c>
      <c r="S260" s="253" t="n">
        <v>21.399</v>
      </c>
      <c r="T260" s="253" t="n">
        <v>14.522</v>
      </c>
      <c r="U260" s="253" t="n">
        <v>15.487</v>
      </c>
      <c r="V260" s="253" t="n">
        <v>65.90900000000001</v>
      </c>
      <c r="W260" s="253" t="n">
        <v>15.947</v>
      </c>
      <c r="X260" s="253" t="n">
        <v>17.281</v>
      </c>
      <c r="Y260" s="253" t="n">
        <v>13.344</v>
      </c>
      <c r="Z260" s="253" t="n">
        <v>16.187</v>
      </c>
      <c r="AA260" s="253" t="n">
        <v>62.759</v>
      </c>
      <c r="AB260" s="34" t="n"/>
      <c r="AC260" s="34" t="n"/>
      <c r="AD260" s="34" t="n"/>
      <c r="AE260" s="34" t="n"/>
      <c r="AF260" s="34" t="n"/>
      <c r="AG260" s="34" t="n"/>
      <c r="AH260" s="34" t="n"/>
      <c r="AI260" s="34" t="n"/>
      <c r="AJ260" s="34" t="n"/>
      <c r="AK260" s="34" t="n"/>
      <c r="AL260" s="34" t="n"/>
      <c r="AM260" s="153" t="n"/>
      <c r="AN260" s="153" t="n"/>
      <c r="AO260" s="153" t="n"/>
      <c r="AP260" s="153" t="n"/>
      <c r="AQ260" s="153" t="n"/>
      <c r="AR260" s="153" t="n"/>
      <c r="AS260" s="153" t="n"/>
      <c r="AT260" s="153" t="n"/>
      <c r="AU260" s="153" t="n"/>
    </row>
    <row r="261" ht="15" customHeight="1" s="251">
      <c r="B261" s="156" t="inlineStr">
        <is>
          <t xml:space="preserve">    Adjusted EPS – total company incl. Dental (model = (adjusted NI continuing + Dental adjusted NI) ÷ diluted shares)</t>
        </is>
      </c>
      <c r="C261" s="280">
        <f>IF(ISNUMBER(C260),(C247+C260)/C250,"")</f>
        <v/>
      </c>
      <c r="D261" s="280">
        <f>IF(ISNUMBER(D260),(D247+D260)/D250,"")</f>
        <v/>
      </c>
      <c r="E261" s="280">
        <f>IF(ISNUMBER(E260),(E247+E260)/E250,"")</f>
        <v/>
      </c>
      <c r="F261" s="280">
        <f>IF(ISNUMBER(F260),(F247+F260)/F250,"")</f>
        <v/>
      </c>
      <c r="G261" s="280">
        <f>IF(ISNUMBER(G260),(G247+G260)/G250,"")</f>
        <v/>
      </c>
      <c r="H261" s="280">
        <f>IF(ISNUMBER(H260),(H247+H260)/H250,"")</f>
        <v/>
      </c>
      <c r="I261" s="280">
        <f>IF(ISNUMBER(I260),(I247+I260)/I250,"")</f>
        <v/>
      </c>
      <c r="J261" s="280">
        <f>IF(ISNUMBER(J260),(J247+J260)/J250,"")</f>
        <v/>
      </c>
      <c r="K261" s="280">
        <f>IF(ISNUMBER(K260),(K247+K260)/K250,"")</f>
        <v/>
      </c>
      <c r="L261" s="280">
        <f>IF(ISNUMBER(L260),(L247+L260)/L250,"")</f>
        <v/>
      </c>
      <c r="M261" s="280">
        <f>IF(ISNUMBER(M260),(M247+M260)/M250,"")</f>
        <v/>
      </c>
      <c r="N261" s="280">
        <f>IF(ISNUMBER(N260),(N247+N260)/N250,"")</f>
        <v/>
      </c>
      <c r="O261" s="280">
        <f>IF(ISNUMBER(O260),(O247+O260)/O250,"")</f>
        <v/>
      </c>
      <c r="P261" s="280">
        <f>IF(ISNUMBER(P260),(P247+P260)/P250,"")</f>
        <v/>
      </c>
      <c r="Q261" s="280">
        <f>IF(ISNUMBER(Q260),(Q247+Q260)/Q250,"")</f>
        <v/>
      </c>
      <c r="R261" s="280">
        <f>IF(ISNUMBER(R260),(R247+R260)/R250,"")</f>
        <v/>
      </c>
      <c r="S261" s="280">
        <f>IF(ISNUMBER(S260),(S247+S260)/S250,"")</f>
        <v/>
      </c>
      <c r="T261" s="280">
        <f>IF(ISNUMBER(T260),(T247+T260)/T250,"")</f>
        <v/>
      </c>
      <c r="U261" s="280">
        <f>IF(ISNUMBER(U260),(U247+U260)/U250,"")</f>
        <v/>
      </c>
      <c r="V261" s="280">
        <f>IF(ISNUMBER(V260),(V247+V260)/V250,"")</f>
        <v/>
      </c>
      <c r="W261" s="280">
        <f>IF(ISNUMBER(W260),(W247+W260)/W250,"")</f>
        <v/>
      </c>
      <c r="X261" s="280">
        <f>IF(ISNUMBER(X260),(X247+X260)/X250,"")</f>
        <v/>
      </c>
      <c r="Y261" s="280">
        <f>IF(ISNUMBER(Y260),(Y247+Y260)/Y250,"")</f>
        <v/>
      </c>
      <c r="Z261" s="280">
        <f>IF(ISNUMBER(Z260),(Z247+Z260)/Z250,"")</f>
        <v/>
      </c>
      <c r="AA261" s="280">
        <f>IF(ISNUMBER(AA260),(AA247+AA260)/AA250,"")</f>
        <v/>
      </c>
      <c r="AB261" s="280">
        <f>IF(ISNUMBER(AB260),(AB247+AB260)/AB250,"")</f>
        <v/>
      </c>
      <c r="AC261" s="280">
        <f>IF(ISNUMBER(AC260),(AC247+AC260)/AC250,"")</f>
        <v/>
      </c>
      <c r="AD261" s="280">
        <f>IF(ISNUMBER(AD260),(AD247+AD260)/AD250,"")</f>
        <v/>
      </c>
      <c r="AE261" s="280">
        <f>IF(ISNUMBER(AE260),(AE247+AE260)/AE250,"")</f>
        <v/>
      </c>
      <c r="AF261" s="280">
        <f>IF(ISNUMBER(AF260),(AF247+AF260)/AF250,"")</f>
        <v/>
      </c>
      <c r="AG261" s="280">
        <f>IF(ISNUMBER(AG260),(AG247+AG260)/AG250,"")</f>
        <v/>
      </c>
      <c r="AH261" s="280">
        <f>IF(ISNUMBER(AH260),(AH247+AH260)/AH250,"")</f>
        <v/>
      </c>
      <c r="AI261" s="280">
        <f>IF(ISNUMBER(AI260),(AI247+AI260)/AI250,"")</f>
        <v/>
      </c>
      <c r="AJ261" s="280">
        <f>IF(ISNUMBER(AJ260),(AJ247+AJ260)/AJ250,"")</f>
        <v/>
      </c>
      <c r="AK261" s="280">
        <f>IF(ISNUMBER(AK260),(AK247+AK260)/AK250,"")</f>
        <v/>
      </c>
      <c r="AL261" s="280">
        <f>IF(ISNUMBER(AL260),(AL247+AL260)/AL250,"")</f>
        <v/>
      </c>
      <c r="AM261" s="153" t="n"/>
      <c r="AN261" s="153" t="n"/>
      <c r="AO261" s="153" t="n"/>
      <c r="AP261" s="153" t="n"/>
      <c r="AQ261" s="153" t="n"/>
      <c r="AR261" s="153" t="n"/>
      <c r="AS261" s="153" t="n"/>
      <c r="AT261" s="153" t="n"/>
      <c r="AU261" s="153" t="n"/>
    </row>
    <row r="262" ht="15" customHeight="1" s="251">
      <c r="B262" s="156" t="inlineStr">
        <is>
          <t xml:space="preserve">    Company-published adjusted EPS as originally reported (incl. Dental; Q4 FY24 / FY2024: total company)</t>
        </is>
      </c>
      <c r="C262" s="27" t="n"/>
      <c r="D262" s="27" t="n"/>
      <c r="E262" s="27" t="n"/>
      <c r="F262" s="27" t="n"/>
      <c r="G262" s="27" t="n"/>
      <c r="H262" s="27" t="n"/>
      <c r="I262" s="27" t="n"/>
      <c r="J262" s="27" t="n"/>
      <c r="K262" s="27" t="n"/>
      <c r="L262" s="27" t="n"/>
      <c r="M262" s="27" t="n"/>
      <c r="N262" s="27" t="n"/>
      <c r="O262" s="27" t="n"/>
      <c r="P262" s="27" t="n"/>
      <c r="Q262" s="27" t="n"/>
      <c r="R262" s="279" t="n">
        <v>1.9</v>
      </c>
      <c r="S262" s="279" t="n">
        <v>1.99</v>
      </c>
      <c r="T262" s="279" t="n">
        <v>2.02</v>
      </c>
      <c r="U262" s="279" t="n">
        <v>2.3</v>
      </c>
      <c r="V262" s="279" t="n">
        <v>8.199999999999999</v>
      </c>
      <c r="W262" s="279" t="n">
        <v>2</v>
      </c>
      <c r="X262" s="279" t="n">
        <v>2.03</v>
      </c>
      <c r="Y262" s="279" t="n">
        <v>2.22</v>
      </c>
      <c r="Z262" s="279" t="n">
        <v>2.58</v>
      </c>
      <c r="AA262" s="279" t="n">
        <v>8.83</v>
      </c>
      <c r="AB262" s="27" t="n"/>
      <c r="AC262" s="27" t="n"/>
      <c r="AD262" s="27" t="n"/>
      <c r="AE262" s="27" t="n"/>
      <c r="AF262" s="27" t="n"/>
      <c r="AG262" s="27" t="n"/>
      <c r="AH262" s="27" t="n"/>
      <c r="AI262" s="27" t="n"/>
      <c r="AJ262" s="27" t="n"/>
      <c r="AK262" s="27" t="n"/>
      <c r="AL262" s="27" t="n"/>
      <c r="AM262" s="153" t="n"/>
      <c r="AN262" s="153" t="n"/>
      <c r="AO262" s="153" t="n"/>
      <c r="AP262" s="153" t="n"/>
      <c r="AQ262" s="153" t="n"/>
      <c r="AR262" s="153" t="n"/>
      <c r="AS262" s="153" t="n"/>
      <c r="AT262" s="153" t="n"/>
      <c r="AU262" s="153" t="n"/>
    </row>
    <row r="263" ht="15" customHeight="1" s="251">
      <c r="B263" s="57" t="inlineStr">
        <is>
          <t xml:space="preserve">    Check: model vs originally reported (should be 0.00; ±0.01 rounding)</t>
        </is>
      </c>
      <c r="C263" s="280">
        <f>IF(AND(ISNUMBER(C262),ISNUMBER(C261)),IF(ABS(C261-C262)&lt;=0.0101,0,ROUND(C261-C262,2)),"n/p")</f>
        <v/>
      </c>
      <c r="D263" s="280">
        <f>IF(AND(ISNUMBER(D262),ISNUMBER(D261)),IF(ABS(D261-D262)&lt;=0.0101,0,ROUND(D261-D262,2)),"n/p")</f>
        <v/>
      </c>
      <c r="E263" s="280">
        <f>IF(AND(ISNUMBER(E262),ISNUMBER(E261)),IF(ABS(E261-E262)&lt;=0.0101,0,ROUND(E261-E262,2)),"n/p")</f>
        <v/>
      </c>
      <c r="F263" s="280">
        <f>IF(AND(ISNUMBER(F262),ISNUMBER(F261)),IF(ABS(F261-F262)&lt;=0.0101,0,ROUND(F261-F262,2)),"n/p")</f>
        <v/>
      </c>
      <c r="G263" s="280">
        <f>IF(AND(ISNUMBER(G262),ISNUMBER(G261)),IF(ABS(G261-G262)&lt;=0.0101,0,ROUND(G261-G262,2)),"n/p")</f>
        <v/>
      </c>
      <c r="H263" s="280">
        <f>IF(AND(ISNUMBER(H262),ISNUMBER(H261)),IF(ABS(H261-H262)&lt;=0.0101,0,ROUND(H261-H262,2)),"n/p")</f>
        <v/>
      </c>
      <c r="I263" s="280">
        <f>IF(AND(ISNUMBER(I262),ISNUMBER(I261)),IF(ABS(I261-I262)&lt;=0.0101,0,ROUND(I261-I262,2)),"n/p")</f>
        <v/>
      </c>
      <c r="J263" s="280">
        <f>IF(AND(ISNUMBER(J262),ISNUMBER(J261)),IF(ABS(J261-J262)&lt;=0.0101,0,ROUND(J261-J262,2)),"n/p")</f>
        <v/>
      </c>
      <c r="K263" s="280">
        <f>IF(AND(ISNUMBER(K262),ISNUMBER(K261)),IF(ABS(K261-K262)&lt;=0.0101,0,ROUND(K261-K262,2)),"n/p")</f>
        <v/>
      </c>
      <c r="L263" s="280">
        <f>IF(AND(ISNUMBER(L262),ISNUMBER(L261)),IF(ABS(L261-L262)&lt;=0.0101,0,ROUND(L261-L262,2)),"n/p")</f>
        <v/>
      </c>
      <c r="M263" s="280">
        <f>IF(AND(ISNUMBER(M262),ISNUMBER(M261)),IF(ABS(M261-M262)&lt;=0.0101,0,ROUND(M261-M262,2)),"n/p")</f>
        <v/>
      </c>
      <c r="N263" s="280">
        <f>IF(AND(ISNUMBER(N262),ISNUMBER(N261)),IF(ABS(N261-N262)&lt;=0.0101,0,ROUND(N261-N262,2)),"n/p")</f>
        <v/>
      </c>
      <c r="O263" s="280">
        <f>IF(AND(ISNUMBER(O262),ISNUMBER(O261)),IF(ABS(O261-O262)&lt;=0.0101,0,ROUND(O261-O262,2)),"n/p")</f>
        <v/>
      </c>
      <c r="P263" s="280">
        <f>IF(AND(ISNUMBER(P262),ISNUMBER(P261)),IF(ABS(P261-P262)&lt;=0.0101,0,ROUND(P261-P262,2)),"n/p")</f>
        <v/>
      </c>
      <c r="Q263" s="280">
        <f>IF(AND(ISNUMBER(Q262),ISNUMBER(Q261)),IF(ABS(Q261-Q262)&lt;=0.0101,0,ROUND(Q261-Q262,2)),"n/p")</f>
        <v/>
      </c>
      <c r="R263" s="280">
        <f>IF(AND(ISNUMBER(R262),ISNUMBER(R261)),IF(ABS(R261-R262)&lt;=0.0101,0,ROUND(R261-R262,2)),"n/p")</f>
        <v/>
      </c>
      <c r="S263" s="280">
        <f>IF(AND(ISNUMBER(S262),ISNUMBER(S261)),IF(ABS(S261-S262)&lt;=0.0101,0,ROUND(S261-S262,2)),"n/p")</f>
        <v/>
      </c>
      <c r="T263" s="280">
        <f>IF(AND(ISNUMBER(T262),ISNUMBER(T261)),IF(ABS(T261-T262)&lt;=0.0101,0,ROUND(T261-T262,2)),"n/p")</f>
        <v/>
      </c>
      <c r="U263" s="280">
        <f>IF(AND(ISNUMBER(U262),ISNUMBER(U261)),IF(ABS(U261-U262)&lt;=0.0101,0,ROUND(U261-U262,2)),"n/p")</f>
        <v/>
      </c>
      <c r="V263" s="280">
        <f>IF(AND(ISNUMBER(V262),ISNUMBER(V261)),IF(ABS(V261-V262)&lt;=0.0101,0,ROUND(V261-V262,2)),"n/p")</f>
        <v/>
      </c>
      <c r="W263" s="280">
        <f>IF(AND(ISNUMBER(W262),ISNUMBER(W261)),IF(ABS(W261-W262)&lt;=0.0101,0,ROUND(W261-W262,2)),"n/p")</f>
        <v/>
      </c>
      <c r="X263" s="280">
        <f>IF(AND(ISNUMBER(X262),ISNUMBER(X261)),IF(ABS(X261-X262)&lt;=0.0101,0,ROUND(X261-X262,2)),"n/p")</f>
        <v/>
      </c>
      <c r="Y263" s="280">
        <f>IF(AND(ISNUMBER(Y262),ISNUMBER(Y261)),IF(ABS(Y261-Y262)&lt;=0.0101,0,ROUND(Y261-Y262,2)),"n/p")</f>
        <v/>
      </c>
      <c r="Z263" s="280">
        <f>IF(AND(ISNUMBER(Z262),ISNUMBER(Z261)),IF(ABS(Z261-Z262)&lt;=0.0101,0,ROUND(Z261-Z262,2)),"n/p")</f>
        <v/>
      </c>
      <c r="AA263" s="280">
        <f>IF(AND(ISNUMBER(AA262),ISNUMBER(AA261)),IF(ABS(AA261-AA262)&lt;=0.0101,0,ROUND(AA261-AA262,2)),"n/p")</f>
        <v/>
      </c>
      <c r="AB263" s="280">
        <f>IF(AND(ISNUMBER(AB262),ISNUMBER(AB261)),IF(ABS(AB261-AB262)&lt;=0.0101,0,ROUND(AB261-AB262,2)),"n/p")</f>
        <v/>
      </c>
      <c r="AC263" s="280">
        <f>IF(AND(ISNUMBER(AC262),ISNUMBER(AC261)),IF(ABS(AC261-AC262)&lt;=0.0101,0,ROUND(AC261-AC262,2)),"n/p")</f>
        <v/>
      </c>
      <c r="AD263" s="280">
        <f>IF(AND(ISNUMBER(AD262),ISNUMBER(AD261)),IF(ABS(AD261-AD262)&lt;=0.0101,0,ROUND(AD261-AD262,2)),"n/p")</f>
        <v/>
      </c>
      <c r="AE263" s="280">
        <f>IF(AND(ISNUMBER(AE262),ISNUMBER(AE261)),IF(ABS(AE261-AE262)&lt;=0.0101,0,ROUND(AE261-AE262,2)),"n/p")</f>
        <v/>
      </c>
      <c r="AF263" s="280">
        <f>IF(AND(ISNUMBER(AF262),ISNUMBER(AF261)),IF(ABS(AF261-AF262)&lt;=0.0101,0,ROUND(AF261-AF262,2)),"n/p")</f>
        <v/>
      </c>
      <c r="AG263" s="280">
        <f>IF(AND(ISNUMBER(AG262),ISNUMBER(AG261)),IF(ABS(AG261-AG262)&lt;=0.0101,0,ROUND(AG261-AG262,2)),"n/p")</f>
        <v/>
      </c>
      <c r="AH263" s="280">
        <f>IF(AND(ISNUMBER(AH262),ISNUMBER(AH261)),IF(ABS(AH261-AH262)&lt;=0.0101,0,ROUND(AH261-AH262,2)),"n/p")</f>
        <v/>
      </c>
      <c r="AI263" s="280">
        <f>IF(AND(ISNUMBER(AI262),ISNUMBER(AI261)),IF(ABS(AI261-AI262)&lt;=0.0101,0,ROUND(AI261-AI262,2)),"n/p")</f>
        <v/>
      </c>
      <c r="AJ263" s="280">
        <f>IF(AND(ISNUMBER(AJ262),ISNUMBER(AJ261)),IF(ABS(AJ261-AJ262)&lt;=0.0101,0,ROUND(AJ261-AJ262,2)),"n/p")</f>
        <v/>
      </c>
      <c r="AK263" s="280">
        <f>IF(AND(ISNUMBER(AK262),ISNUMBER(AK261)),IF(ABS(AK261-AK262)&lt;=0.0101,0,ROUND(AK261-AK262,2)),"n/p")</f>
        <v/>
      </c>
      <c r="AL263" s="280">
        <f>IF(AND(ISNUMBER(AL262),ISNUMBER(AL261)),IF(ABS(AL261-AL262)&lt;=0.0101,0,ROUND(AL261-AL262,2)),"n/p")</f>
        <v/>
      </c>
      <c r="AM263" s="153" t="n"/>
      <c r="AN263" s="153" t="n"/>
      <c r="AO263" s="153" t="n"/>
      <c r="AP263" s="153" t="n"/>
      <c r="AQ263" s="153" t="n"/>
      <c r="AR263" s="153" t="n"/>
      <c r="AS263" s="153" t="n"/>
      <c r="AT263" s="153" t="n"/>
      <c r="AU263" s="153" t="n"/>
    </row>
    <row r="264" ht="15" customHeight="1" s="251">
      <c r="BC264" s="11" t="n"/>
      <c r="BD264" s="12" t="n"/>
      <c r="BE264" s="12" t="n"/>
      <c r="BF264" s="12" t="n"/>
      <c r="BG264" s="13" t="n"/>
    </row>
    <row r="265" ht="15" customHeight="1" s="251">
      <c r="B265" s="10" t="inlineStr">
        <is>
          <t>GROWTH &amp; MARGINS</t>
        </is>
      </c>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n"/>
      <c r="AM265" s="10" t="n"/>
      <c r="AN265" s="10" t="n"/>
      <c r="AO265" s="10" t="n"/>
      <c r="AP265" s="10" t="n"/>
      <c r="AQ265" s="10" t="n"/>
      <c r="AR265" s="10" t="n"/>
      <c r="AS265" s="10" t="n"/>
      <c r="AT265" s="10" t="n"/>
      <c r="AU265" s="10" t="inlineStr">
        <is>
          <t>GROWTH &amp; MARGINS (consolidated) — forecast outputs</t>
        </is>
      </c>
    </row>
    <row r="266" ht="15" customHeight="1" s="251">
      <c r="B266" s="22" t="inlineStr">
        <is>
          <t xml:space="preserve">  Revenue y/y %</t>
        </is>
      </c>
      <c r="C266" s="23" t="n"/>
      <c r="D266" s="255">
        <f>IF(AND(ISNUMBER(D159),ISNUMBER(C159)),IFERROR(D159/C159-1,""),"")</f>
        <v/>
      </c>
      <c r="E266" s="255">
        <f>IF(AND(ISNUMBER(E159),ISNUMBER(D159)),IFERROR(E159/D159-1,""),"")</f>
        <v/>
      </c>
      <c r="F266" s="255">
        <f>IF(AND(ISNUMBER(F159),ISNUMBER(E159)),IFERROR(F159/E159-1,""),"")</f>
        <v/>
      </c>
      <c r="G266" s="255">
        <f>IF(AND(ISNUMBER(G159),ISNUMBER(F159)),IFERROR(G159/F159-1,""),"")</f>
        <v/>
      </c>
      <c r="H266" s="255">
        <f>IF(AND(ISNUMBER(H159),ISNUMBER(G159)),IFERROR(H159/G159-1,""),"")</f>
        <v/>
      </c>
      <c r="I266" s="255">
        <f>IF(AND(ISNUMBER(I159),ISNUMBER(H159)),IFERROR(I159/H159-1,""),"")</f>
        <v/>
      </c>
      <c r="J266" s="255">
        <f>IF(AND(ISNUMBER(J159),ISNUMBER(I159)),IFERROR(J159/I159-1,""),"")</f>
        <v/>
      </c>
      <c r="K266" s="255">
        <f>IF(AND(ISNUMBER(K159),ISNUMBER(J159)),IFERROR(K159/J159-1,""),"")</f>
        <v/>
      </c>
      <c r="L266" s="255">
        <f>IF(AND(ISNUMBER(L159),ISNUMBER(K159)),IFERROR(L159/K159-1,""),"")</f>
        <v/>
      </c>
      <c r="M266" s="23" t="n"/>
      <c r="N266" s="23" t="n"/>
      <c r="O266" s="23" t="n"/>
      <c r="P266" s="23" t="n"/>
      <c r="Q266" s="255">
        <f>IF(AND(ISNUMBER(Q159),ISNUMBER(L159)),IFERROR(Q159/L159-1,""),"")</f>
        <v/>
      </c>
      <c r="R266" s="255">
        <f>IF(AND(ISNUMBER(R159),ISNUMBER(M159)),IFERROR(R159/M159-1,""),"")</f>
        <v/>
      </c>
      <c r="S266" s="255">
        <f>IF(AND(ISNUMBER(S159),ISNUMBER(N159)),IFERROR(S159/N159-1,""),"")</f>
        <v/>
      </c>
      <c r="T266" s="255">
        <f>IF(AND(ISNUMBER(T159),ISNUMBER(O159)),IFERROR(T159/O159-1,""),"")</f>
        <v/>
      </c>
      <c r="U266" s="255">
        <f>IF(AND(ISNUMBER(U159),ISNUMBER(P159)),IFERROR(U159/P159-1,""),"")</f>
        <v/>
      </c>
      <c r="V266" s="255">
        <f>IF(AND(ISNUMBER(V159),ISNUMBER(Q159)),IFERROR(V159/Q159-1,""),"")</f>
        <v/>
      </c>
      <c r="W266" s="255">
        <f>IF(AND(ISNUMBER(W159),ISNUMBER(R159)),IFERROR(W159/R159-1,""),"")</f>
        <v/>
      </c>
      <c r="X266" s="255">
        <f>IF(AND(ISNUMBER(X159),ISNUMBER(S159)),IFERROR(X159/S159-1,""),"")</f>
        <v/>
      </c>
      <c r="Y266" s="255">
        <f>IF(AND(ISNUMBER(Y159),ISNUMBER(T159)),IFERROR(Y159/T159-1,""),"")</f>
        <v/>
      </c>
      <c r="Z266" s="255">
        <f>IF(AND(ISNUMBER(Z159),ISNUMBER(U159)),IFERROR(Z159/U159-1,""),"")</f>
        <v/>
      </c>
      <c r="AA266" s="255">
        <f>IF(AND(ISNUMBER(AA159),ISNUMBER(V159)),IFERROR(AA159/V159-1,""),"")</f>
        <v/>
      </c>
      <c r="AB266" s="255">
        <f>IF(AND(ISNUMBER(AB159),ISNUMBER(W159)),IFERROR(AB159/W159-1,""),"")</f>
        <v/>
      </c>
      <c r="AC266" s="255">
        <f>IF(AND(ISNUMBER(AC159),ISNUMBER(X159)),IFERROR(AC159/X159-1,""),"")</f>
        <v/>
      </c>
      <c r="AD266" s="255">
        <f>IF(AND(ISNUMBER(AD159),ISNUMBER(Y159)),IFERROR(AD159/Y159-1,""),"")</f>
        <v/>
      </c>
      <c r="AE266" s="255">
        <f>IF(AND(ISNUMBER(AE159),ISNUMBER(Z159)),IFERROR(AE159/Z159-1,""),"")</f>
        <v/>
      </c>
      <c r="AF266" s="255">
        <f>IF(AND(ISNUMBER(AF159),ISNUMBER(AA159)),IFERROR(AF159/AA159-1,""),"")</f>
        <v/>
      </c>
      <c r="AG266" s="255">
        <f>IF(AND(ISNUMBER(AG159),ISNUMBER(AB159)),IFERROR(AG159/AB159-1,""),"")</f>
        <v/>
      </c>
      <c r="AH266" s="255">
        <f>IF(AND(ISNUMBER(AH159),ISNUMBER(AC159)),IFERROR(AH159/AC159-1,""),"")</f>
        <v/>
      </c>
      <c r="AI266" s="255">
        <f>IF(AND(ISNUMBER(AI159),ISNUMBER(AD159)),IFERROR(AI159/AD159-1,""),"")</f>
        <v/>
      </c>
      <c r="AJ266" s="255">
        <f>IF(AND(ISNUMBER(AJ159),ISNUMBER(AE159)),IFERROR(AJ159/AE159-1,""),"")</f>
        <v/>
      </c>
      <c r="AK266" s="255">
        <f>IF(AND(ISNUMBER(AK159),ISNUMBER(AF159)),IFERROR(AK159/AF159-1,""),"")</f>
        <v/>
      </c>
      <c r="AL266" s="255">
        <f>IF(AND(ISNUMBER(AL159),ISNUMBER(AG159)),IFERROR(AL159/AG159-1,""),"")</f>
        <v/>
      </c>
      <c r="AM266" s="256">
        <f>IF(AND(ISNUMBER(AM159),ISNUMBER(AH159)),IFERROR(AM159/AH159-1,""),"")</f>
        <v/>
      </c>
      <c r="AN266" s="256">
        <f>IF(AND(ISNUMBER(AN159),ISNUMBER(AI159)),IFERROR(AN159/AI159-1,""),"")</f>
        <v/>
      </c>
      <c r="AO266" s="256">
        <f>IF(AND(ISNUMBER(AO159),ISNUMBER(AJ159)),IFERROR(AO159/AJ159-1,""),"")</f>
        <v/>
      </c>
      <c r="AP266" s="256">
        <f>IF(AND(ISNUMBER(AP159),ISNUMBER(AK159)),IFERROR(AP159/AK159-1,""),"")</f>
        <v/>
      </c>
      <c r="AQ266" s="256">
        <f>IF(AND(ISNUMBER(AQ159),ISNUMBER(AP159)),IFERROR(AQ159/AP159-1,""),"")</f>
        <v/>
      </c>
      <c r="AR266" s="256">
        <f>IF(AND(ISNUMBER(AR159),ISNUMBER(AQ159)),IFERROR(AR159/AQ159-1,""),"")</f>
        <v/>
      </c>
      <c r="AS266" s="256">
        <f>IF(AND(ISNUMBER(AS159),ISNUMBER(AR159)),IFERROR(AS159/AR159-1,""),"")</f>
        <v/>
      </c>
      <c r="AT266" s="256">
        <f>IF(AND(ISNUMBER(AT159),ISNUMBER(AS159)),IFERROR(AT159/AS159-1,""),"")</f>
        <v/>
      </c>
      <c r="AU266" s="153" t="n"/>
      <c r="AW266" s="37">
        <f>IFERROR(AVERAGE(AP266,AQ266,AR266,AS266,AT266),"n/m")</f>
        <v/>
      </c>
      <c r="AX266" s="37">
        <f>IFERROR(AVERAGE(Q266,V266,AA266,AF266,AK266),"n/m")</f>
        <v/>
      </c>
      <c r="AY266" s="37">
        <f>IFERROR(AVERAGE(H266,I266,J266,K266,L266,Q266,V266,AA266,AF266,AK266),"n/m")</f>
        <v/>
      </c>
      <c r="AZ266" s="37">
        <f>IFERROR(AVERAGE(C266,D266,E266,F266,G266,H266,I266,J266,K266,L266,Q266,V266,AA266,AF266,AK266),"n/m")</f>
        <v/>
      </c>
    </row>
    <row r="267" ht="15" customHeight="1" s="251">
      <c r="B267" s="22" t="inlineStr">
        <is>
          <t xml:space="preserve">  Constant-currency organic growth %</t>
        </is>
      </c>
      <c r="C267" s="23" t="n"/>
      <c r="D267" s="255">
        <f>IF(ISNUMBER(D95),D95,"")</f>
        <v/>
      </c>
      <c r="E267" s="255">
        <f>IF(ISNUMBER(E95),E95,"")</f>
        <v/>
      </c>
      <c r="F267" s="255">
        <f>IF(ISNUMBER(F95),F95,"")</f>
        <v/>
      </c>
      <c r="G267" s="255">
        <f>IF(ISNUMBER(G95),G95,"")</f>
        <v/>
      </c>
      <c r="H267" s="255">
        <f>IF(ISNUMBER(H95),H95,"")</f>
        <v/>
      </c>
      <c r="I267" s="255">
        <f>IF(ISNUMBER(I95),I95,"")</f>
        <v/>
      </c>
      <c r="J267" s="255">
        <f>IF(ISNUMBER(J95),J95,"")</f>
        <v/>
      </c>
      <c r="K267" s="255">
        <f>IF(ISNUMBER(K95),K95,"")</f>
        <v/>
      </c>
      <c r="L267" s="255">
        <f>IF(ISNUMBER(L95),L95,"")</f>
        <v/>
      </c>
      <c r="M267" s="23" t="n"/>
      <c r="N267" s="23" t="n"/>
      <c r="O267" s="23" t="n"/>
      <c r="P267" s="23" t="n"/>
      <c r="Q267" s="255">
        <f>IF(ISNUMBER(Q95),Q95,"")</f>
        <v/>
      </c>
      <c r="R267" s="255">
        <f>IF(ISNUMBER(R95),R95,"")</f>
        <v/>
      </c>
      <c r="S267" s="255">
        <f>IF(ISNUMBER(S95),S95,"")</f>
        <v/>
      </c>
      <c r="T267" s="255">
        <f>IF(ISNUMBER(T95),T95,"")</f>
        <v/>
      </c>
      <c r="U267" s="255">
        <f>IF(ISNUMBER(U95),U95,"")</f>
        <v/>
      </c>
      <c r="V267" s="255">
        <f>IF(ISNUMBER(V95),V95,"")</f>
        <v/>
      </c>
      <c r="W267" s="255">
        <f>IF(ISNUMBER(W95),W95,"")</f>
        <v/>
      </c>
      <c r="X267" s="255">
        <f>IF(ISNUMBER(X95),X95,"")</f>
        <v/>
      </c>
      <c r="Y267" s="255">
        <f>IF(ISNUMBER(Y95),Y95,"")</f>
        <v/>
      </c>
      <c r="Z267" s="255">
        <f>IF(ISNUMBER(Z95),Z95,"")</f>
        <v/>
      </c>
      <c r="AA267" s="255">
        <f>IF(ISNUMBER(AA95),AA95,"")</f>
        <v/>
      </c>
      <c r="AB267" s="255">
        <f>IF(ISNUMBER(AB95),AB95,"")</f>
        <v/>
      </c>
      <c r="AC267" s="255">
        <f>IF(ISNUMBER(AC95),AC95,"")</f>
        <v/>
      </c>
      <c r="AD267" s="255">
        <f>IF(ISNUMBER(AD95),AD95,"")</f>
        <v/>
      </c>
      <c r="AE267" s="255">
        <f>IF(ISNUMBER(AE95),AE95,"")</f>
        <v/>
      </c>
      <c r="AF267" s="255">
        <f>IF(ISNUMBER(AF95),AF95,"")</f>
        <v/>
      </c>
      <c r="AG267" s="255">
        <f>IF(ISNUMBER(AG95),AG95,"")</f>
        <v/>
      </c>
      <c r="AH267" s="255">
        <f>IF(ISNUMBER(AH95),AH95,"")</f>
        <v/>
      </c>
      <c r="AI267" s="255">
        <f>IF(ISNUMBER(AI95),AI95,"")</f>
        <v/>
      </c>
      <c r="AJ267" s="255">
        <f>IF(ISNUMBER(AJ95),AJ95,"")</f>
        <v/>
      </c>
      <c r="AK267" s="255">
        <f>IF(ISNUMBER(AK95),AK95,"")</f>
        <v/>
      </c>
      <c r="AL267" s="255">
        <f>IF(ISNUMBER(AL95),AL95,"")</f>
        <v/>
      </c>
      <c r="AM267" s="256">
        <f>IF(ISNUMBER(AM95),AM95,"")</f>
        <v/>
      </c>
      <c r="AN267" s="256">
        <f>IF(ISNUMBER(AN95),AN95,"")</f>
        <v/>
      </c>
      <c r="AO267" s="256">
        <f>IF(ISNUMBER(AO95),AO95,"")</f>
        <v/>
      </c>
      <c r="AP267" s="256">
        <f>IF(ISNUMBER(AP95),AP95,"")</f>
        <v/>
      </c>
      <c r="AQ267" s="256">
        <f>IF(ISNUMBER(AQ95),AQ95,"")</f>
        <v/>
      </c>
      <c r="AR267" s="256">
        <f>IF(ISNUMBER(AR95),AR95,"")</f>
        <v/>
      </c>
      <c r="AS267" s="256">
        <f>IF(ISNUMBER(AS95),AS95,"")</f>
        <v/>
      </c>
      <c r="AT267" s="256">
        <f>IF(ISNUMBER(AT95),AT95,"")</f>
        <v/>
      </c>
      <c r="AU267" s="153" t="n"/>
      <c r="AW267" s="37">
        <f>IFERROR(AVERAGE(AP267,AQ267,AR267,AS267,AT267),"n/m")</f>
        <v/>
      </c>
      <c r="AX267" s="37">
        <f>IFERROR(AVERAGE(Q267,V267,AA267,AF267,AK267),"n/m")</f>
        <v/>
      </c>
      <c r="AY267" s="37">
        <f>IFERROR(AVERAGE(H267,I267,J267,K267,L267,Q267,V267,AA267,AF267,AK267),"n/m")</f>
        <v/>
      </c>
      <c r="AZ267" s="37">
        <f>IFERROR(AVERAGE(C267,D267,E267,F267,G267,H267,I267,J267,K267,L267,Q267,V267,AA267,AF267,AK267),"n/m")</f>
        <v/>
      </c>
    </row>
    <row r="268" ht="15" customHeight="1" s="251">
      <c r="B268" s="22" t="inlineStr">
        <is>
          <t xml:space="preserve">  Recurring revenue y/y %</t>
        </is>
      </c>
      <c r="C268" s="23" t="n"/>
      <c r="D268" s="255">
        <f>D85</f>
        <v/>
      </c>
      <c r="E268" s="255">
        <f>E85</f>
        <v/>
      </c>
      <c r="F268" s="255">
        <f>F85</f>
        <v/>
      </c>
      <c r="G268" s="255">
        <f>G85</f>
        <v/>
      </c>
      <c r="H268" s="255">
        <f>H85</f>
        <v/>
      </c>
      <c r="I268" s="255">
        <f>I85</f>
        <v/>
      </c>
      <c r="J268" s="255">
        <f>J85</f>
        <v/>
      </c>
      <c r="K268" s="255">
        <f>K85</f>
        <v/>
      </c>
      <c r="L268" s="255">
        <f>L85</f>
        <v/>
      </c>
      <c r="M268" s="23" t="n"/>
      <c r="N268" s="23" t="n"/>
      <c r="O268" s="23" t="n"/>
      <c r="P268" s="23" t="n"/>
      <c r="Q268" s="255">
        <f>Q85</f>
        <v/>
      </c>
      <c r="R268" s="255">
        <f>R85</f>
        <v/>
      </c>
      <c r="S268" s="255">
        <f>S85</f>
        <v/>
      </c>
      <c r="T268" s="255">
        <f>T85</f>
        <v/>
      </c>
      <c r="U268" s="255">
        <f>U85</f>
        <v/>
      </c>
      <c r="V268" s="255">
        <f>V85</f>
        <v/>
      </c>
      <c r="W268" s="255">
        <f>W85</f>
        <v/>
      </c>
      <c r="X268" s="255">
        <f>X85</f>
        <v/>
      </c>
      <c r="Y268" s="255">
        <f>Y85</f>
        <v/>
      </c>
      <c r="Z268" s="255">
        <f>Z85</f>
        <v/>
      </c>
      <c r="AA268" s="255">
        <f>AA85</f>
        <v/>
      </c>
      <c r="AB268" s="255">
        <f>AB85</f>
        <v/>
      </c>
      <c r="AC268" s="255">
        <f>AC85</f>
        <v/>
      </c>
      <c r="AD268" s="255">
        <f>AD85</f>
        <v/>
      </c>
      <c r="AE268" s="255">
        <f>AE85</f>
        <v/>
      </c>
      <c r="AF268" s="255">
        <f>AF85</f>
        <v/>
      </c>
      <c r="AG268" s="255">
        <f>AG85</f>
        <v/>
      </c>
      <c r="AH268" s="255">
        <f>AH85</f>
        <v/>
      </c>
      <c r="AI268" s="255">
        <f>AI85</f>
        <v/>
      </c>
      <c r="AJ268" s="255">
        <f>AJ85</f>
        <v/>
      </c>
      <c r="AK268" s="255">
        <f>AK85</f>
        <v/>
      </c>
      <c r="AL268" s="255">
        <f>AL85</f>
        <v/>
      </c>
      <c r="AM268" s="256">
        <f>AM85</f>
        <v/>
      </c>
      <c r="AN268" s="256">
        <f>AN85</f>
        <v/>
      </c>
      <c r="AO268" s="256">
        <f>AO85</f>
        <v/>
      </c>
      <c r="AP268" s="256">
        <f>AP85</f>
        <v/>
      </c>
      <c r="AQ268" s="256">
        <f>AQ85</f>
        <v/>
      </c>
      <c r="AR268" s="256">
        <f>AR85</f>
        <v/>
      </c>
      <c r="AS268" s="256">
        <f>AS85</f>
        <v/>
      </c>
      <c r="AT268" s="256">
        <f>AT85</f>
        <v/>
      </c>
      <c r="AU268" s="153" t="n"/>
    </row>
    <row r="269" ht="15" customHeight="1" s="251">
      <c r="B269" s="22" t="inlineStr">
        <is>
          <t xml:space="preserve">  Capital equipment revenue y/y %</t>
        </is>
      </c>
      <c r="C269" s="23" t="n"/>
      <c r="D269" s="255">
        <f>IF(AND(ISNUMBER(D80),ISNUMBER(C80)),IFERROR(D80/C80-1,""),"")</f>
        <v/>
      </c>
      <c r="E269" s="255">
        <f>IF(AND(ISNUMBER(E80),ISNUMBER(D80)),IFERROR(E80/D80-1,""),"")</f>
        <v/>
      </c>
      <c r="F269" s="255">
        <f>IF(AND(ISNUMBER(F80),ISNUMBER(E80)),IFERROR(F80/E80-1,""),"")</f>
        <v/>
      </c>
      <c r="G269" s="255">
        <f>IF(AND(ISNUMBER(G80),ISNUMBER(F80)),IFERROR(G80/F80-1,""),"")</f>
        <v/>
      </c>
      <c r="H269" s="255">
        <f>IF(AND(ISNUMBER(H80),ISNUMBER(G80)),IFERROR(H80/G80-1,""),"")</f>
        <v/>
      </c>
      <c r="I269" s="255">
        <f>IF(AND(ISNUMBER(I80),ISNUMBER(H80)),IFERROR(I80/H80-1,""),"")</f>
        <v/>
      </c>
      <c r="J269" s="255">
        <f>IF(AND(ISNUMBER(J80),ISNUMBER(I80)),IFERROR(J80/I80-1,""),"")</f>
        <v/>
      </c>
      <c r="K269" s="255">
        <f>IF(AND(ISNUMBER(K80),ISNUMBER(J80)),IFERROR(K80/J80-1,""),"")</f>
        <v/>
      </c>
      <c r="L269" s="255">
        <f>IF(AND(ISNUMBER(L80),ISNUMBER(K80)),IFERROR(L80/K80-1,""),"")</f>
        <v/>
      </c>
      <c r="M269" s="23" t="n"/>
      <c r="N269" s="23" t="n"/>
      <c r="O269" s="23" t="n"/>
      <c r="P269" s="23" t="n"/>
      <c r="Q269" s="255">
        <f>IF(AND(ISNUMBER(Q80),ISNUMBER(L80)),IFERROR(Q80/L80-1,""),"")</f>
        <v/>
      </c>
      <c r="R269" s="255">
        <f>IF(AND(ISNUMBER(R80),ISNUMBER(M80)),IFERROR(R80/M80-1,""),"")</f>
        <v/>
      </c>
      <c r="S269" s="255">
        <f>IF(AND(ISNUMBER(S80),ISNUMBER(N80)),IFERROR(S80/N80-1,""),"")</f>
        <v/>
      </c>
      <c r="T269" s="255">
        <f>IF(AND(ISNUMBER(T80),ISNUMBER(O80)),IFERROR(T80/O80-1,""),"")</f>
        <v/>
      </c>
      <c r="U269" s="255">
        <f>IF(AND(ISNUMBER(U80),ISNUMBER(P80)),IFERROR(U80/P80-1,""),"")</f>
        <v/>
      </c>
      <c r="V269" s="255">
        <f>IF(AND(ISNUMBER(V80),ISNUMBER(Q80)),IFERROR(V80/Q80-1,""),"")</f>
        <v/>
      </c>
      <c r="W269" s="255">
        <f>IF(AND(ISNUMBER(W80),ISNUMBER(R80)),IFERROR(W80/R80-1,""),"")</f>
        <v/>
      </c>
      <c r="X269" s="255">
        <f>IF(AND(ISNUMBER(X80),ISNUMBER(S80)),IFERROR(X80/S80-1,""),"")</f>
        <v/>
      </c>
      <c r="Y269" s="255">
        <f>IF(AND(ISNUMBER(Y80),ISNUMBER(T80)),IFERROR(Y80/T80-1,""),"")</f>
        <v/>
      </c>
      <c r="Z269" s="255">
        <f>IF(AND(ISNUMBER(Z80),ISNUMBER(U80)),IFERROR(Z80/U80-1,""),"")</f>
        <v/>
      </c>
      <c r="AA269" s="255">
        <f>IF(AND(ISNUMBER(AA80),ISNUMBER(V80)),IFERROR(AA80/V80-1,""),"")</f>
        <v/>
      </c>
      <c r="AB269" s="255">
        <f>IF(AND(ISNUMBER(AB80),ISNUMBER(W80)),IFERROR(AB80/W80-1,""),"")</f>
        <v/>
      </c>
      <c r="AC269" s="255">
        <f>IF(AND(ISNUMBER(AC80),ISNUMBER(X80)),IFERROR(AC80/X80-1,""),"")</f>
        <v/>
      </c>
      <c r="AD269" s="255">
        <f>IF(AND(ISNUMBER(AD80),ISNUMBER(Y80)),IFERROR(AD80/Y80-1,""),"")</f>
        <v/>
      </c>
      <c r="AE269" s="255">
        <f>IF(AND(ISNUMBER(AE80),ISNUMBER(Z80)),IFERROR(AE80/Z80-1,""),"")</f>
        <v/>
      </c>
      <c r="AF269" s="255">
        <f>IF(AND(ISNUMBER(AF80),ISNUMBER(AA80)),IFERROR(AF80/AA80-1,""),"")</f>
        <v/>
      </c>
      <c r="AG269" s="255">
        <f>IF(AND(ISNUMBER(AG80),ISNUMBER(AB80)),IFERROR(AG80/AB80-1,""),"")</f>
        <v/>
      </c>
      <c r="AH269" s="255">
        <f>IF(AND(ISNUMBER(AH80),ISNUMBER(AC80)),IFERROR(AH80/AC80-1,""),"")</f>
        <v/>
      </c>
      <c r="AI269" s="255">
        <f>IF(AND(ISNUMBER(AI80),ISNUMBER(AD80)),IFERROR(AI80/AD80-1,""),"")</f>
        <v/>
      </c>
      <c r="AJ269" s="255">
        <f>IF(AND(ISNUMBER(AJ80),ISNUMBER(AE80)),IFERROR(AJ80/AE80-1,""),"")</f>
        <v/>
      </c>
      <c r="AK269" s="255">
        <f>IF(AND(ISNUMBER(AK80),ISNUMBER(AF80)),IFERROR(AK80/AF80-1,""),"")</f>
        <v/>
      </c>
      <c r="AL269" s="255">
        <f>IF(AND(ISNUMBER(AL80),ISNUMBER(AG80)),IFERROR(AL80/AG80-1,""),"")</f>
        <v/>
      </c>
      <c r="AM269" s="256">
        <f>IF(AND(ISNUMBER(AM80),ISNUMBER(AH80)),IFERROR(AM80/AH80-1,""),"")</f>
        <v/>
      </c>
      <c r="AN269" s="256">
        <f>IF(AND(ISNUMBER(AN80),ISNUMBER(AI80)),IFERROR(AN80/AI80-1,""),"")</f>
        <v/>
      </c>
      <c r="AO269" s="256">
        <f>IF(AND(ISNUMBER(AO80),ISNUMBER(AJ80)),IFERROR(AO80/AJ80-1,""),"")</f>
        <v/>
      </c>
      <c r="AP269" s="256">
        <f>IF(AND(ISNUMBER(AP80),ISNUMBER(AK80)),IFERROR(AP80/AK80-1,""),"")</f>
        <v/>
      </c>
      <c r="AQ269" s="256">
        <f>IF(AND(ISNUMBER(AQ80),ISNUMBER(AP80)),IFERROR(AQ80/AP80-1,""),"")</f>
        <v/>
      </c>
      <c r="AR269" s="256">
        <f>IF(AND(ISNUMBER(AR80),ISNUMBER(AQ80)),IFERROR(AR80/AQ80-1,""),"")</f>
        <v/>
      </c>
      <c r="AS269" s="256">
        <f>IF(AND(ISNUMBER(AS80),ISNUMBER(AR80)),IFERROR(AS80/AR80-1,""),"")</f>
        <v/>
      </c>
      <c r="AT269" s="256">
        <f>IF(AND(ISNUMBER(AT80),ISNUMBER(AS80)),IFERROR(AT80/AS80-1,""),"")</f>
        <v/>
      </c>
      <c r="AU269" s="153" t="n"/>
    </row>
    <row r="270" ht="15" customHeight="1" s="251">
      <c r="B270" s="22" t="inlineStr">
        <is>
          <t xml:space="preserve">  Adjusted operating income y/y %</t>
        </is>
      </c>
      <c r="C270" s="23" t="n"/>
      <c r="D270" s="255">
        <f>IF(AND(ISNUMBER(D208),ISNUMBER(C208)),IFERROR(D208/C208-1,""),"")</f>
        <v/>
      </c>
      <c r="E270" s="255">
        <f>IF(AND(ISNUMBER(E208),ISNUMBER(D208)),IFERROR(E208/D208-1,""),"")</f>
        <v/>
      </c>
      <c r="F270" s="255">
        <f>IF(AND(ISNUMBER(F208),ISNUMBER(E208)),IFERROR(F208/E208-1,""),"")</f>
        <v/>
      </c>
      <c r="G270" s="255">
        <f>IF(AND(ISNUMBER(G208),ISNUMBER(F208)),IFERROR(G208/F208-1,""),"")</f>
        <v/>
      </c>
      <c r="H270" s="255">
        <f>IF(AND(ISNUMBER(H208),ISNUMBER(G208)),IFERROR(H208/G208-1,""),"")</f>
        <v/>
      </c>
      <c r="I270" s="255">
        <f>IF(AND(ISNUMBER(I208),ISNUMBER(H208)),IFERROR(I208/H208-1,""),"")</f>
        <v/>
      </c>
      <c r="J270" s="255">
        <f>IF(AND(ISNUMBER(J208),ISNUMBER(I208)),IFERROR(J208/I208-1,""),"")</f>
        <v/>
      </c>
      <c r="K270" s="255">
        <f>IF(AND(ISNUMBER(K208),ISNUMBER(J208)),IFERROR(K208/J208-1,""),"")</f>
        <v/>
      </c>
      <c r="L270" s="255">
        <f>IF(AND(ISNUMBER(L208),ISNUMBER(K208)),IFERROR(L208/K208-1,""),"")</f>
        <v/>
      </c>
      <c r="M270" s="23" t="n"/>
      <c r="N270" s="23" t="n"/>
      <c r="O270" s="23" t="n"/>
      <c r="P270" s="23" t="n"/>
      <c r="Q270" s="255">
        <f>IF(AND(ISNUMBER(Q208),ISNUMBER(L208)),IFERROR(Q208/L208-1,""),"")</f>
        <v/>
      </c>
      <c r="R270" s="255">
        <f>IF(AND(ISNUMBER(R208),ISNUMBER(M208)),IFERROR(R208/M208-1,""),"")</f>
        <v/>
      </c>
      <c r="S270" s="255">
        <f>IF(AND(ISNUMBER(S208),ISNUMBER(N208)),IFERROR(S208/N208-1,""),"")</f>
        <v/>
      </c>
      <c r="T270" s="255">
        <f>IF(AND(ISNUMBER(T208),ISNUMBER(O208)),IFERROR(T208/O208-1,""),"")</f>
        <v/>
      </c>
      <c r="U270" s="255">
        <f>IF(AND(ISNUMBER(U208),ISNUMBER(P208)),IFERROR(U208/P208-1,""),"")</f>
        <v/>
      </c>
      <c r="V270" s="255">
        <f>IF(AND(ISNUMBER(V208),ISNUMBER(Q208)),IFERROR(V208/Q208-1,""),"")</f>
        <v/>
      </c>
      <c r="W270" s="255">
        <f>IF(AND(ISNUMBER(W208),ISNUMBER(R208)),IFERROR(W208/R208-1,""),"")</f>
        <v/>
      </c>
      <c r="X270" s="255">
        <f>IF(AND(ISNUMBER(X208),ISNUMBER(S208)),IFERROR(X208/S208-1,""),"")</f>
        <v/>
      </c>
      <c r="Y270" s="255">
        <f>IF(AND(ISNUMBER(Y208),ISNUMBER(T208)),IFERROR(Y208/T208-1,""),"")</f>
        <v/>
      </c>
      <c r="Z270" s="255">
        <f>IF(AND(ISNUMBER(Z208),ISNUMBER(U208)),IFERROR(Z208/U208-1,""),"")</f>
        <v/>
      </c>
      <c r="AA270" s="255">
        <f>IF(AND(ISNUMBER(AA208),ISNUMBER(V208)),IFERROR(AA208/V208-1,""),"")</f>
        <v/>
      </c>
      <c r="AB270" s="255">
        <f>IF(AND(ISNUMBER(AB208),ISNUMBER(W208)),IFERROR(AB208/W208-1,""),"")</f>
        <v/>
      </c>
      <c r="AC270" s="255">
        <f>IF(AND(ISNUMBER(AC208),ISNUMBER(X208)),IFERROR(AC208/X208-1,""),"")</f>
        <v/>
      </c>
      <c r="AD270" s="255">
        <f>IF(AND(ISNUMBER(AD208),ISNUMBER(Y208)),IFERROR(AD208/Y208-1,""),"")</f>
        <v/>
      </c>
      <c r="AE270" s="255">
        <f>IF(AND(ISNUMBER(AE208),ISNUMBER(Z208)),IFERROR(AE208/Z208-1,""),"")</f>
        <v/>
      </c>
      <c r="AF270" s="255">
        <f>IF(AND(ISNUMBER(AF208),ISNUMBER(AA208)),IFERROR(AF208/AA208-1,""),"")</f>
        <v/>
      </c>
      <c r="AG270" s="255">
        <f>IF(AND(ISNUMBER(AG208),ISNUMBER(AB208)),IFERROR(AG208/AB208-1,""),"")</f>
        <v/>
      </c>
      <c r="AH270" s="255">
        <f>IF(AND(ISNUMBER(AH208),ISNUMBER(AC208)),IFERROR(AH208/AC208-1,""),"")</f>
        <v/>
      </c>
      <c r="AI270" s="255">
        <f>IF(AND(ISNUMBER(AI208),ISNUMBER(AD208)),IFERROR(AI208/AD208-1,""),"")</f>
        <v/>
      </c>
      <c r="AJ270" s="255">
        <f>IF(AND(ISNUMBER(AJ208),ISNUMBER(AE208)),IFERROR(AJ208/AE208-1,""),"")</f>
        <v/>
      </c>
      <c r="AK270" s="255">
        <f>IF(AND(ISNUMBER(AK208),ISNUMBER(AF208)),IFERROR(AK208/AF208-1,""),"")</f>
        <v/>
      </c>
      <c r="AL270" s="255">
        <f>IF(AND(ISNUMBER(AL208),ISNUMBER(AG208)),IFERROR(AL208/AG208-1,""),"")</f>
        <v/>
      </c>
      <c r="AM270" s="256">
        <f>IF(AND(ISNUMBER(AM208),ISNUMBER(AH208)),IFERROR(AM208/AH208-1,""),"")</f>
        <v/>
      </c>
      <c r="AN270" s="256">
        <f>IF(AND(ISNUMBER(AN208),ISNUMBER(AI208)),IFERROR(AN208/AI208-1,""),"")</f>
        <v/>
      </c>
      <c r="AO270" s="256">
        <f>IF(AND(ISNUMBER(AO208),ISNUMBER(AJ208)),IFERROR(AO208/AJ208-1,""),"")</f>
        <v/>
      </c>
      <c r="AP270" s="256">
        <f>IF(AND(ISNUMBER(AP208),ISNUMBER(AK208)),IFERROR(AP208/AK208-1,""),"")</f>
        <v/>
      </c>
      <c r="AQ270" s="256">
        <f>IF(AND(ISNUMBER(AQ208),ISNUMBER(AP208)),IFERROR(AQ208/AP208-1,""),"")</f>
        <v/>
      </c>
      <c r="AR270" s="256">
        <f>IF(AND(ISNUMBER(AR208),ISNUMBER(AQ208)),IFERROR(AR208/AQ208-1,""),"")</f>
        <v/>
      </c>
      <c r="AS270" s="256">
        <f>IF(AND(ISNUMBER(AS208),ISNUMBER(AR208)),IFERROR(AS208/AR208-1,""),"")</f>
        <v/>
      </c>
      <c r="AT270" s="256">
        <f>IF(AND(ISNUMBER(AT208),ISNUMBER(AS208)),IFERROR(AT208/AS208-1,""),"")</f>
        <v/>
      </c>
      <c r="AU270" s="153" t="n"/>
    </row>
    <row r="271" ht="15" customHeight="1" s="251">
      <c r="B271" s="22" t="inlineStr">
        <is>
          <t xml:space="preserve">  Adjusted EBITDA y/y %</t>
        </is>
      </c>
      <c r="C271" s="23" t="n"/>
      <c r="D271" s="255">
        <f>IF(AND(ISNUMBER(D233),ISNUMBER(C233)),IFERROR(D233/C233-1,""),"")</f>
        <v/>
      </c>
      <c r="E271" s="255">
        <f>IF(AND(ISNUMBER(E233),ISNUMBER(D233)),IFERROR(E233/D233-1,""),"")</f>
        <v/>
      </c>
      <c r="F271" s="255">
        <f>IF(AND(ISNUMBER(F233),ISNUMBER(E233)),IFERROR(F233/E233-1,""),"")</f>
        <v/>
      </c>
      <c r="G271" s="255">
        <f>IF(AND(ISNUMBER(G233),ISNUMBER(F233)),IFERROR(G233/F233-1,""),"")</f>
        <v/>
      </c>
      <c r="H271" s="255">
        <f>IF(AND(ISNUMBER(H233),ISNUMBER(G233)),IFERROR(H233/G233-1,""),"")</f>
        <v/>
      </c>
      <c r="I271" s="255">
        <f>IF(AND(ISNUMBER(I233),ISNUMBER(H233)),IFERROR(I233/H233-1,""),"")</f>
        <v/>
      </c>
      <c r="J271" s="255">
        <f>IF(AND(ISNUMBER(J233),ISNUMBER(I233)),IFERROR(J233/I233-1,""),"")</f>
        <v/>
      </c>
      <c r="K271" s="255">
        <f>IF(AND(ISNUMBER(K233),ISNUMBER(J233)),IFERROR(K233/J233-1,""),"")</f>
        <v/>
      </c>
      <c r="L271" s="255">
        <f>IF(AND(ISNUMBER(L233),ISNUMBER(K233)),IFERROR(L233/K233-1,""),"")</f>
        <v/>
      </c>
      <c r="M271" s="23" t="n"/>
      <c r="N271" s="23" t="n"/>
      <c r="O271" s="23" t="n"/>
      <c r="P271" s="23" t="n"/>
      <c r="Q271" s="255">
        <f>IF(AND(ISNUMBER(Q233),ISNUMBER(L233)),IFERROR(Q233/L233-1,""),"")</f>
        <v/>
      </c>
      <c r="R271" s="255">
        <f>IF(AND(ISNUMBER(R233),ISNUMBER(M233)),IFERROR(R233/M233-1,""),"")</f>
        <v/>
      </c>
      <c r="S271" s="255">
        <f>IF(AND(ISNUMBER(S233),ISNUMBER(N233)),IFERROR(S233/N233-1,""),"")</f>
        <v/>
      </c>
      <c r="T271" s="255">
        <f>IF(AND(ISNUMBER(T233),ISNUMBER(O233)),IFERROR(T233/O233-1,""),"")</f>
        <v/>
      </c>
      <c r="U271" s="255">
        <f>IF(AND(ISNUMBER(U233),ISNUMBER(P233)),IFERROR(U233/P233-1,""),"")</f>
        <v/>
      </c>
      <c r="V271" s="255">
        <f>IF(AND(ISNUMBER(V233),ISNUMBER(Q233)),IFERROR(V233/Q233-1,""),"")</f>
        <v/>
      </c>
      <c r="W271" s="255">
        <f>IF(AND(ISNUMBER(W233),ISNUMBER(R233)),IFERROR(W233/R233-1,""),"")</f>
        <v/>
      </c>
      <c r="X271" s="255">
        <f>IF(AND(ISNUMBER(X233),ISNUMBER(S233)),IFERROR(X233/S233-1,""),"")</f>
        <v/>
      </c>
      <c r="Y271" s="255">
        <f>IF(AND(ISNUMBER(Y233),ISNUMBER(T233)),IFERROR(Y233/T233-1,""),"")</f>
        <v/>
      </c>
      <c r="Z271" s="255">
        <f>IF(AND(ISNUMBER(Z233),ISNUMBER(U233)),IFERROR(Z233/U233-1,""),"")</f>
        <v/>
      </c>
      <c r="AA271" s="255">
        <f>IF(AND(ISNUMBER(AA233),ISNUMBER(V233)),IFERROR(AA233/V233-1,""),"")</f>
        <v/>
      </c>
      <c r="AB271" s="255">
        <f>IF(AND(ISNUMBER(AB233),ISNUMBER(W233)),IFERROR(AB233/W233-1,""),"")</f>
        <v/>
      </c>
      <c r="AC271" s="255">
        <f>IF(AND(ISNUMBER(AC233),ISNUMBER(X233)),IFERROR(AC233/X233-1,""),"")</f>
        <v/>
      </c>
      <c r="AD271" s="255">
        <f>IF(AND(ISNUMBER(AD233),ISNUMBER(Y233)),IFERROR(AD233/Y233-1,""),"")</f>
        <v/>
      </c>
      <c r="AE271" s="255">
        <f>IF(AND(ISNUMBER(AE233),ISNUMBER(Z233)),IFERROR(AE233/Z233-1,""),"")</f>
        <v/>
      </c>
      <c r="AF271" s="255">
        <f>IF(AND(ISNUMBER(AF233),ISNUMBER(AA233)),IFERROR(AF233/AA233-1,""),"")</f>
        <v/>
      </c>
      <c r="AG271" s="255">
        <f>IF(AND(ISNUMBER(AG233),ISNUMBER(AB233)),IFERROR(AG233/AB233-1,""),"")</f>
        <v/>
      </c>
      <c r="AH271" s="255">
        <f>IF(AND(ISNUMBER(AH233),ISNUMBER(AC233)),IFERROR(AH233/AC233-1,""),"")</f>
        <v/>
      </c>
      <c r="AI271" s="255">
        <f>IF(AND(ISNUMBER(AI233),ISNUMBER(AD233)),IFERROR(AI233/AD233-1,""),"")</f>
        <v/>
      </c>
      <c r="AJ271" s="255">
        <f>IF(AND(ISNUMBER(AJ233),ISNUMBER(AE233)),IFERROR(AJ233/AE233-1,""),"")</f>
        <v/>
      </c>
      <c r="AK271" s="255">
        <f>IF(AND(ISNUMBER(AK233),ISNUMBER(AF233)),IFERROR(AK233/AF233-1,""),"")</f>
        <v/>
      </c>
      <c r="AL271" s="255">
        <f>IF(AND(ISNUMBER(AL233),ISNUMBER(AG233)),IFERROR(AL233/AG233-1,""),"")</f>
        <v/>
      </c>
      <c r="AM271" s="256">
        <f>IF(AND(ISNUMBER(AM233),ISNUMBER(AH233)),IFERROR(AM233/AH233-1,""),"")</f>
        <v/>
      </c>
      <c r="AN271" s="256">
        <f>IF(AND(ISNUMBER(AN233),ISNUMBER(AI233)),IFERROR(AN233/AI233-1,""),"")</f>
        <v/>
      </c>
      <c r="AO271" s="256">
        <f>IF(AND(ISNUMBER(AO233),ISNUMBER(AJ233)),IFERROR(AO233/AJ233-1,""),"")</f>
        <v/>
      </c>
      <c r="AP271" s="256">
        <f>IF(AND(ISNUMBER(AP233),ISNUMBER(AK233)),IFERROR(AP233/AK233-1,""),"")</f>
        <v/>
      </c>
      <c r="AQ271" s="256">
        <f>IF(AND(ISNUMBER(AQ233),ISNUMBER(AP233)),IFERROR(AQ233/AP233-1,""),"")</f>
        <v/>
      </c>
      <c r="AR271" s="256">
        <f>IF(AND(ISNUMBER(AR233),ISNUMBER(AQ233)),IFERROR(AR233/AQ233-1,""),"")</f>
        <v/>
      </c>
      <c r="AS271" s="256">
        <f>IF(AND(ISNUMBER(AS233),ISNUMBER(AR233)),IFERROR(AS233/AR233-1,""),"")</f>
        <v/>
      </c>
      <c r="AT271" s="256">
        <f>IF(AND(ISNUMBER(AT233),ISNUMBER(AS233)),IFERROR(AT233/AS233-1,""),"")</f>
        <v/>
      </c>
      <c r="AU271" s="153" t="n"/>
    </row>
    <row r="272" ht="15" customHeight="1" s="251">
      <c r="B272" s="22" t="inlineStr">
        <is>
          <t xml:space="preserve">  Income from operations (GAAP) y/y %</t>
        </is>
      </c>
      <c r="C272" s="23" t="n"/>
      <c r="D272" s="255">
        <f>IF(AND(ISNUMBER(D167),ISNUMBER(C167)),IFERROR(D167/C167-1,""),"")</f>
        <v/>
      </c>
      <c r="E272" s="255">
        <f>IF(AND(ISNUMBER(E167),ISNUMBER(D167)),IFERROR(E167/D167-1,""),"")</f>
        <v/>
      </c>
      <c r="F272" s="255">
        <f>IF(AND(ISNUMBER(F167),ISNUMBER(E167)),IFERROR(F167/E167-1,""),"")</f>
        <v/>
      </c>
      <c r="G272" s="255">
        <f>IF(AND(ISNUMBER(G167),ISNUMBER(F167)),IFERROR(G167/F167-1,""),"")</f>
        <v/>
      </c>
      <c r="H272" s="255">
        <f>IF(AND(ISNUMBER(H167),ISNUMBER(G167)),IFERROR(H167/G167-1,""),"")</f>
        <v/>
      </c>
      <c r="I272" s="255">
        <f>IF(AND(ISNUMBER(I167),ISNUMBER(H167)),IFERROR(I167/H167-1,""),"")</f>
        <v/>
      </c>
      <c r="J272" s="255">
        <f>IF(AND(ISNUMBER(J167),ISNUMBER(I167)),IFERROR(J167/I167-1,""),"")</f>
        <v/>
      </c>
      <c r="K272" s="255">
        <f>IF(AND(ISNUMBER(K167),ISNUMBER(J167)),IFERROR(K167/J167-1,""),"")</f>
        <v/>
      </c>
      <c r="L272" s="255">
        <f>IF(AND(ISNUMBER(L167),ISNUMBER(K167)),IFERROR(L167/K167-1,""),"")</f>
        <v/>
      </c>
      <c r="M272" s="23" t="n"/>
      <c r="N272" s="23" t="n"/>
      <c r="O272" s="23" t="n"/>
      <c r="P272" s="23" t="n"/>
      <c r="Q272" s="255">
        <f>IF(AND(ISNUMBER(Q167),ISNUMBER(L167)),IFERROR(Q167/L167-1,""),"")</f>
        <v/>
      </c>
      <c r="R272" s="255">
        <f>IF(AND(ISNUMBER(R167),ISNUMBER(M167)),IFERROR(R167/M167-1,""),"")</f>
        <v/>
      </c>
      <c r="S272" s="255">
        <f>IF(AND(ISNUMBER(S167),ISNUMBER(N167)),IFERROR(S167/N167-1,""),"")</f>
        <v/>
      </c>
      <c r="T272" s="255">
        <f>IF(AND(ISNUMBER(T167),ISNUMBER(O167)),IFERROR(T167/O167-1,""),"")</f>
        <v/>
      </c>
      <c r="U272" s="255">
        <f>IF(AND(ISNUMBER(U167),ISNUMBER(P167)),IFERROR(U167/P167-1,""),"")</f>
        <v/>
      </c>
      <c r="V272" s="255">
        <f>IF(AND(ISNUMBER(V167),ISNUMBER(Q167)),IFERROR(V167/Q167-1,""),"")</f>
        <v/>
      </c>
      <c r="W272" s="255">
        <f>IF(AND(ISNUMBER(W167),ISNUMBER(R167)),IFERROR(W167/R167-1,""),"")</f>
        <v/>
      </c>
      <c r="X272" s="255">
        <f>IF(AND(ISNUMBER(X167),ISNUMBER(S167)),IFERROR(X167/S167-1,""),"")</f>
        <v/>
      </c>
      <c r="Y272" s="255">
        <f>IF(AND(ISNUMBER(Y167),ISNUMBER(T167)),IFERROR(Y167/T167-1,""),"")</f>
        <v/>
      </c>
      <c r="Z272" s="255">
        <f>IF(AND(ISNUMBER(Z167),ISNUMBER(U167)),IFERROR(Z167/U167-1,""),"")</f>
        <v/>
      </c>
      <c r="AA272" s="255">
        <f>IF(AND(ISNUMBER(AA167),ISNUMBER(V167)),IFERROR(AA167/V167-1,""),"")</f>
        <v/>
      </c>
      <c r="AB272" s="255">
        <f>IF(AND(ISNUMBER(AB167),ISNUMBER(W167)),IFERROR(AB167/W167-1,""),"")</f>
        <v/>
      </c>
      <c r="AC272" s="255">
        <f>IF(AND(ISNUMBER(AC167),ISNUMBER(X167)),IFERROR(AC167/X167-1,""),"")</f>
        <v/>
      </c>
      <c r="AD272" s="255">
        <f>IF(AND(ISNUMBER(AD167),ISNUMBER(Y167)),IFERROR(AD167/Y167-1,""),"")</f>
        <v/>
      </c>
      <c r="AE272" s="255">
        <f>IF(AND(ISNUMBER(AE167),ISNUMBER(Z167)),IFERROR(AE167/Z167-1,""),"")</f>
        <v/>
      </c>
      <c r="AF272" s="255">
        <f>IF(AND(ISNUMBER(AF167),ISNUMBER(AA167)),IFERROR(AF167/AA167-1,""),"")</f>
        <v/>
      </c>
      <c r="AG272" s="255">
        <f>IF(AND(ISNUMBER(AG167),ISNUMBER(AB167)),IFERROR(AG167/AB167-1,""),"")</f>
        <v/>
      </c>
      <c r="AH272" s="255">
        <f>IF(AND(ISNUMBER(AH167),ISNUMBER(AC167)),IFERROR(AH167/AC167-1,""),"")</f>
        <v/>
      </c>
      <c r="AI272" s="255">
        <f>IF(AND(ISNUMBER(AI167),ISNUMBER(AD167)),IFERROR(AI167/AD167-1,""),"")</f>
        <v/>
      </c>
      <c r="AJ272" s="255">
        <f>IF(AND(ISNUMBER(AJ167),ISNUMBER(AE167)),IFERROR(AJ167/AE167-1,""),"")</f>
        <v/>
      </c>
      <c r="AK272" s="255">
        <f>IF(AND(ISNUMBER(AK167),ISNUMBER(AF167)),IFERROR(AK167/AF167-1,""),"")</f>
        <v/>
      </c>
      <c r="AL272" s="255">
        <f>IF(AND(ISNUMBER(AL167),ISNUMBER(AG167)),IFERROR(AL167/AG167-1,""),"")</f>
        <v/>
      </c>
      <c r="AM272" s="256">
        <f>IF(AND(ISNUMBER(AM167),ISNUMBER(AH167)),IFERROR(AM167/AH167-1,""),"")</f>
        <v/>
      </c>
      <c r="AN272" s="256">
        <f>IF(AND(ISNUMBER(AN167),ISNUMBER(AI167)),IFERROR(AN167/AI167-1,""),"")</f>
        <v/>
      </c>
      <c r="AO272" s="256">
        <f>IF(AND(ISNUMBER(AO167),ISNUMBER(AJ167)),IFERROR(AO167/AJ167-1,""),"")</f>
        <v/>
      </c>
      <c r="AP272" s="256">
        <f>IF(AND(ISNUMBER(AP167),ISNUMBER(AK167)),IFERROR(AP167/AK167-1,""),"")</f>
        <v/>
      </c>
      <c r="AQ272" s="256">
        <f>IF(AND(ISNUMBER(AQ167),ISNUMBER(AP167)),IFERROR(AQ167/AP167-1,""),"")</f>
        <v/>
      </c>
      <c r="AR272" s="256">
        <f>IF(AND(ISNUMBER(AR167),ISNUMBER(AQ167)),IFERROR(AR167/AQ167-1,""),"")</f>
        <v/>
      </c>
      <c r="AS272" s="256">
        <f>IF(AND(ISNUMBER(AS167),ISNUMBER(AR167)),IFERROR(AS167/AR167-1,""),"")</f>
        <v/>
      </c>
      <c r="AT272" s="256">
        <f>IF(AND(ISNUMBER(AT167),ISNUMBER(AS167)),IFERROR(AT167/AS167-1,""),"")</f>
        <v/>
      </c>
      <c r="AU272" s="153" t="n"/>
    </row>
    <row r="273" ht="15" customHeight="1" s="251">
      <c r="B273" s="22" t="inlineStr">
        <is>
          <t xml:space="preserve">  Net income (continuing, attributable) y/y %</t>
        </is>
      </c>
      <c r="C273" s="23" t="n"/>
      <c r="D273" s="255">
        <f>IF(AND(ISNUMBER(D179),ISNUMBER(C179)),IFERROR(D179/C179-1,""),"")</f>
        <v/>
      </c>
      <c r="E273" s="255">
        <f>IF(AND(ISNUMBER(E179),ISNUMBER(D179)),IFERROR(E179/D179-1,""),"")</f>
        <v/>
      </c>
      <c r="F273" s="255">
        <f>IF(AND(ISNUMBER(F179),ISNUMBER(E179)),IFERROR(F179/E179-1,""),"")</f>
        <v/>
      </c>
      <c r="G273" s="255">
        <f>IF(AND(ISNUMBER(G179),ISNUMBER(F179)),IFERROR(G179/F179-1,""),"")</f>
        <v/>
      </c>
      <c r="H273" s="255">
        <f>IF(AND(ISNUMBER(H179),ISNUMBER(G179)),IFERROR(H179/G179-1,""),"")</f>
        <v/>
      </c>
      <c r="I273" s="255">
        <f>IF(AND(ISNUMBER(I179),ISNUMBER(H179)),IFERROR(I179/H179-1,""),"")</f>
        <v/>
      </c>
      <c r="J273" s="255">
        <f>IF(AND(ISNUMBER(J179),ISNUMBER(I179)),IFERROR(J179/I179-1,""),"")</f>
        <v/>
      </c>
      <c r="K273" s="255">
        <f>IF(AND(ISNUMBER(K179),ISNUMBER(J179)),IFERROR(K179/J179-1,""),"")</f>
        <v/>
      </c>
      <c r="L273" s="255">
        <f>IF(AND(ISNUMBER(L179),ISNUMBER(K179)),IFERROR(L179/K179-1,""),"")</f>
        <v/>
      </c>
      <c r="M273" s="23" t="n"/>
      <c r="N273" s="23" t="n"/>
      <c r="O273" s="23" t="n"/>
      <c r="P273" s="23" t="n"/>
      <c r="Q273" s="255">
        <f>IF(AND(ISNUMBER(Q179),ISNUMBER(L179)),IFERROR(Q179/L179-1,""),"")</f>
        <v/>
      </c>
      <c r="R273" s="255">
        <f>IF(AND(ISNUMBER(R179),ISNUMBER(M179)),IFERROR(R179/M179-1,""),"")</f>
        <v/>
      </c>
      <c r="S273" s="255">
        <f>IF(AND(ISNUMBER(S179),ISNUMBER(N179)),IFERROR(S179/N179-1,""),"")</f>
        <v/>
      </c>
      <c r="T273" s="255">
        <f>IF(AND(ISNUMBER(T179),ISNUMBER(O179)),IFERROR(T179/O179-1,""),"")</f>
        <v/>
      </c>
      <c r="U273" s="255">
        <f>IF(AND(ISNUMBER(U179),ISNUMBER(P179)),IFERROR(U179/P179-1,""),"")</f>
        <v/>
      </c>
      <c r="V273" s="255">
        <f>IF(AND(ISNUMBER(V179),ISNUMBER(Q179)),IFERROR(V179/Q179-1,""),"")</f>
        <v/>
      </c>
      <c r="W273" s="255">
        <f>IF(AND(ISNUMBER(W179),ISNUMBER(R179)),IFERROR(W179/R179-1,""),"")</f>
        <v/>
      </c>
      <c r="X273" s="255">
        <f>IF(AND(ISNUMBER(X179),ISNUMBER(S179)),IFERROR(X179/S179-1,""),"")</f>
        <v/>
      </c>
      <c r="Y273" s="255">
        <f>IF(AND(ISNUMBER(Y179),ISNUMBER(T179)),IFERROR(Y179/T179-1,""),"")</f>
        <v/>
      </c>
      <c r="Z273" s="255">
        <f>IF(AND(ISNUMBER(Z179),ISNUMBER(U179)),IFERROR(Z179/U179-1,""),"")</f>
        <v/>
      </c>
      <c r="AA273" s="255">
        <f>IF(AND(ISNUMBER(AA179),ISNUMBER(V179)),IFERROR(AA179/V179-1,""),"")</f>
        <v/>
      </c>
      <c r="AB273" s="255">
        <f>IF(AND(ISNUMBER(AB179),ISNUMBER(W179)),IFERROR(AB179/W179-1,""),"")</f>
        <v/>
      </c>
      <c r="AC273" s="255">
        <f>IF(AND(ISNUMBER(AC179),ISNUMBER(X179)),IFERROR(AC179/X179-1,""),"")</f>
        <v/>
      </c>
      <c r="AD273" s="255">
        <f>IF(AND(ISNUMBER(AD179),ISNUMBER(Y179)),IFERROR(AD179/Y179-1,""),"")</f>
        <v/>
      </c>
      <c r="AE273" s="255">
        <f>IF(AND(ISNUMBER(AE179),ISNUMBER(Z179)),IFERROR(AE179/Z179-1,""),"")</f>
        <v/>
      </c>
      <c r="AF273" s="255">
        <f>IF(AND(ISNUMBER(AF179),ISNUMBER(AA179)),IFERROR(AF179/AA179-1,""),"")</f>
        <v/>
      </c>
      <c r="AG273" s="255">
        <f>IF(AND(ISNUMBER(AG179),ISNUMBER(AB179)),IFERROR(AG179/AB179-1,""),"")</f>
        <v/>
      </c>
      <c r="AH273" s="255">
        <f>IF(AND(ISNUMBER(AH179),ISNUMBER(AC179)),IFERROR(AH179/AC179-1,""),"")</f>
        <v/>
      </c>
      <c r="AI273" s="255">
        <f>IF(AND(ISNUMBER(AI179),ISNUMBER(AD179)),IFERROR(AI179/AD179-1,""),"")</f>
        <v/>
      </c>
      <c r="AJ273" s="255">
        <f>IF(AND(ISNUMBER(AJ179),ISNUMBER(AE179)),IFERROR(AJ179/AE179-1,""),"")</f>
        <v/>
      </c>
      <c r="AK273" s="255">
        <f>IF(AND(ISNUMBER(AK179),ISNUMBER(AF179)),IFERROR(AK179/AF179-1,""),"")</f>
        <v/>
      </c>
      <c r="AL273" s="255">
        <f>IF(AND(ISNUMBER(AL179),ISNUMBER(AG179)),IFERROR(AL179/AG179-1,""),"")</f>
        <v/>
      </c>
      <c r="AM273" s="256">
        <f>IF(AND(ISNUMBER(AM179),ISNUMBER(AH179)),IFERROR(AM179/AH179-1,""),"")</f>
        <v/>
      </c>
      <c r="AN273" s="256">
        <f>IF(AND(ISNUMBER(AN179),ISNUMBER(AI179)),IFERROR(AN179/AI179-1,""),"")</f>
        <v/>
      </c>
      <c r="AO273" s="256">
        <f>IF(AND(ISNUMBER(AO179),ISNUMBER(AJ179)),IFERROR(AO179/AJ179-1,""),"")</f>
        <v/>
      </c>
      <c r="AP273" s="256">
        <f>IF(AND(ISNUMBER(AP179),ISNUMBER(AK179)),IFERROR(AP179/AK179-1,""),"")</f>
        <v/>
      </c>
      <c r="AQ273" s="256">
        <f>IF(AND(ISNUMBER(AQ179),ISNUMBER(AP179)),IFERROR(AQ179/AP179-1,""),"")</f>
        <v/>
      </c>
      <c r="AR273" s="256">
        <f>IF(AND(ISNUMBER(AR179),ISNUMBER(AQ179)),IFERROR(AR179/AQ179-1,""),"")</f>
        <v/>
      </c>
      <c r="AS273" s="256">
        <f>IF(AND(ISNUMBER(AS179),ISNUMBER(AR179)),IFERROR(AS179/AR179-1,""),"")</f>
        <v/>
      </c>
      <c r="AT273" s="256">
        <f>IF(AND(ISNUMBER(AT179),ISNUMBER(AS179)),IFERROR(AT179/AS179-1,""),"")</f>
        <v/>
      </c>
      <c r="AU273" s="153" t="n"/>
    </row>
    <row r="274" ht="15" customHeight="1" s="251">
      <c r="B274" s="22" t="inlineStr">
        <is>
          <t xml:space="preserve">  Adjusted EPS y/y %</t>
        </is>
      </c>
      <c r="C274" s="23" t="n"/>
      <c r="D274" s="255">
        <f>IF(AND(ISNUMBER(D251),ISNUMBER(C251)),IFERROR(D251/C251-1,""),"")</f>
        <v/>
      </c>
      <c r="E274" s="255">
        <f>IF(AND(ISNUMBER(E251),ISNUMBER(D251)),IFERROR(E251/D251-1,""),"")</f>
        <v/>
      </c>
      <c r="F274" s="255">
        <f>IF(AND(ISNUMBER(F251),ISNUMBER(E251)),IFERROR(F251/E251-1,""),"")</f>
        <v/>
      </c>
      <c r="G274" s="255">
        <f>IF(AND(ISNUMBER(G251),ISNUMBER(F251)),IFERROR(G251/F251-1,""),"")</f>
        <v/>
      </c>
      <c r="H274" s="255">
        <f>IF(AND(ISNUMBER(H251),ISNUMBER(G251)),IFERROR(H251/G251-1,""),"")</f>
        <v/>
      </c>
      <c r="I274" s="255">
        <f>IF(AND(ISNUMBER(I251),ISNUMBER(H251)),IFERROR(I251/H251-1,""),"")</f>
        <v/>
      </c>
      <c r="J274" s="255">
        <f>IF(AND(ISNUMBER(J251),ISNUMBER(I251)),IFERROR(J251/I251-1,""),"")</f>
        <v/>
      </c>
      <c r="K274" s="255">
        <f>IF(AND(ISNUMBER(K251),ISNUMBER(J251)),IFERROR(K251/J251-1,""),"")</f>
        <v/>
      </c>
      <c r="L274" s="255">
        <f>IF(AND(ISNUMBER(L251),ISNUMBER(K251)),IFERROR(L251/K251-1,""),"")</f>
        <v/>
      </c>
      <c r="M274" s="23" t="n"/>
      <c r="N274" s="23" t="n"/>
      <c r="O274" s="23" t="n"/>
      <c r="P274" s="23" t="n"/>
      <c r="Q274" s="255">
        <f>IF(AND(ISNUMBER(Q251),ISNUMBER(L251)),IFERROR(Q251/L251-1,""),"")</f>
        <v/>
      </c>
      <c r="R274" s="255">
        <f>IF(AND(ISNUMBER(R251),ISNUMBER(M251)),IFERROR(R251/M251-1,""),"")</f>
        <v/>
      </c>
      <c r="S274" s="255">
        <f>IF(AND(ISNUMBER(S251),ISNUMBER(N251)),IFERROR(S251/N251-1,""),"")</f>
        <v/>
      </c>
      <c r="T274" s="255">
        <f>IF(AND(ISNUMBER(T251),ISNUMBER(O251)),IFERROR(T251/O251-1,""),"")</f>
        <v/>
      </c>
      <c r="U274" s="255">
        <f>IF(AND(ISNUMBER(U251),ISNUMBER(P251)),IFERROR(U251/P251-1,""),"")</f>
        <v/>
      </c>
      <c r="V274" s="255">
        <f>IF(AND(ISNUMBER(V251),ISNUMBER(Q251)),IFERROR(V251/Q251-1,""),"")</f>
        <v/>
      </c>
      <c r="W274" s="255">
        <f>IF(AND(ISNUMBER(W251),ISNUMBER(R251)),IFERROR(W251/R251-1,""),"")</f>
        <v/>
      </c>
      <c r="X274" s="255">
        <f>IF(AND(ISNUMBER(X251),ISNUMBER(S251)),IFERROR(X251/S251-1,""),"")</f>
        <v/>
      </c>
      <c r="Y274" s="255">
        <f>IF(AND(ISNUMBER(Y251),ISNUMBER(T251)),IFERROR(Y251/T251-1,""),"")</f>
        <v/>
      </c>
      <c r="Z274" s="255">
        <f>IF(AND(ISNUMBER(Z251),ISNUMBER(U251)),IFERROR(Z251/U251-1,""),"")</f>
        <v/>
      </c>
      <c r="AA274" s="255">
        <f>IF(AND(ISNUMBER(AA251),ISNUMBER(V251)),IFERROR(AA251/V251-1,""),"")</f>
        <v/>
      </c>
      <c r="AB274" s="255">
        <f>IF(AND(ISNUMBER(AB251),ISNUMBER(W251)),IFERROR(AB251/W251-1,""),"")</f>
        <v/>
      </c>
      <c r="AC274" s="255">
        <f>IF(AND(ISNUMBER(AC251),ISNUMBER(X251)),IFERROR(AC251/X251-1,""),"")</f>
        <v/>
      </c>
      <c r="AD274" s="255">
        <f>IF(AND(ISNUMBER(AD251),ISNUMBER(Y251)),IFERROR(AD251/Y251-1,""),"")</f>
        <v/>
      </c>
      <c r="AE274" s="255">
        <f>IF(AND(ISNUMBER(AE251),ISNUMBER(Z251)),IFERROR(AE251/Z251-1,""),"")</f>
        <v/>
      </c>
      <c r="AF274" s="255">
        <f>IF(AND(ISNUMBER(AF251),ISNUMBER(AA251)),IFERROR(AF251/AA251-1,""),"")</f>
        <v/>
      </c>
      <c r="AG274" s="255">
        <f>IF(AND(ISNUMBER(AG251),ISNUMBER(AB251)),IFERROR(AG251/AB251-1,""),"")</f>
        <v/>
      </c>
      <c r="AH274" s="255">
        <f>IF(AND(ISNUMBER(AH251),ISNUMBER(AC251)),IFERROR(AH251/AC251-1,""),"")</f>
        <v/>
      </c>
      <c r="AI274" s="255">
        <f>IF(AND(ISNUMBER(AI251),ISNUMBER(AD251)),IFERROR(AI251/AD251-1,""),"")</f>
        <v/>
      </c>
      <c r="AJ274" s="255">
        <f>IF(AND(ISNUMBER(AJ251),ISNUMBER(AE251)),IFERROR(AJ251/AE251-1,""),"")</f>
        <v/>
      </c>
      <c r="AK274" s="255">
        <f>IF(AND(ISNUMBER(AK251),ISNUMBER(AF251)),IFERROR(AK251/AF251-1,""),"")</f>
        <v/>
      </c>
      <c r="AL274" s="255">
        <f>IF(AND(ISNUMBER(AL251),ISNUMBER(AG251)),IFERROR(AL251/AG251-1,""),"")</f>
        <v/>
      </c>
      <c r="AM274" s="256">
        <f>IF(AND(ISNUMBER(AM251),ISNUMBER(AH251)),IFERROR(AM251/AH251-1,""),"")</f>
        <v/>
      </c>
      <c r="AN274" s="256">
        <f>IF(AND(ISNUMBER(AN251),ISNUMBER(AI251)),IFERROR(AN251/AI251-1,""),"")</f>
        <v/>
      </c>
      <c r="AO274" s="256">
        <f>IF(AND(ISNUMBER(AO251),ISNUMBER(AJ251)),IFERROR(AO251/AJ251-1,""),"")</f>
        <v/>
      </c>
      <c r="AP274" s="256">
        <f>IF(AND(ISNUMBER(AP251),ISNUMBER(AK251)),IFERROR(AP251/AK251-1,""),"")</f>
        <v/>
      </c>
      <c r="AQ274" s="256">
        <f>IF(AND(ISNUMBER(AQ251),ISNUMBER(AP251)),IFERROR(AQ251/AP251-1,""),"")</f>
        <v/>
      </c>
      <c r="AR274" s="256">
        <f>IF(AND(ISNUMBER(AR251),ISNUMBER(AQ251)),IFERROR(AR251/AQ251-1,""),"")</f>
        <v/>
      </c>
      <c r="AS274" s="256">
        <f>IF(AND(ISNUMBER(AS251),ISNUMBER(AR251)),IFERROR(AS251/AR251-1,""),"")</f>
        <v/>
      </c>
      <c r="AT274" s="256">
        <f>IF(AND(ISNUMBER(AT251),ISNUMBER(AS251)),IFERROR(AT251/AS251-1,""),"")</f>
        <v/>
      </c>
      <c r="AU274" s="153" t="n"/>
    </row>
    <row r="275" ht="15" customHeight="1" s="251">
      <c r="B275" s="25" t="inlineStr">
        <is>
          <t xml:space="preserve">  Gross margin %</t>
        </is>
      </c>
      <c r="C275" s="215">
        <f>IF(AND(ISNUMBER(C161),ISNUMBER(C159)),IFERROR(C161/C159,""),"")</f>
        <v/>
      </c>
      <c r="D275" s="215">
        <f>IF(AND(ISNUMBER(D161),ISNUMBER(D159)),IFERROR(D161/D159,""),"")</f>
        <v/>
      </c>
      <c r="E275" s="215">
        <f>IF(AND(ISNUMBER(E161),ISNUMBER(E159)),IFERROR(E161/E159,""),"")</f>
        <v/>
      </c>
      <c r="F275" s="215">
        <f>IF(AND(ISNUMBER(F161),ISNUMBER(F159)),IFERROR(F161/F159,""),"")</f>
        <v/>
      </c>
      <c r="G275" s="215">
        <f>IF(AND(ISNUMBER(G161),ISNUMBER(G159)),IFERROR(G161/G159,""),"")</f>
        <v/>
      </c>
      <c r="H275" s="215">
        <f>IF(AND(ISNUMBER(H161),ISNUMBER(H159)),IFERROR(H161/H159,""),"")</f>
        <v/>
      </c>
      <c r="I275" s="215">
        <f>IF(AND(ISNUMBER(I161),ISNUMBER(I159)),IFERROR(I161/I159,""),"")</f>
        <v/>
      </c>
      <c r="J275" s="215">
        <f>IF(AND(ISNUMBER(J161),ISNUMBER(J159)),IFERROR(J161/J159,""),"")</f>
        <v/>
      </c>
      <c r="K275" s="215">
        <f>IF(AND(ISNUMBER(K161),ISNUMBER(K159)),IFERROR(K161/K159,""),"")</f>
        <v/>
      </c>
      <c r="L275" s="215">
        <f>IF(AND(ISNUMBER(L161),ISNUMBER(L159)),IFERROR(L161/L159,""),"")</f>
        <v/>
      </c>
      <c r="M275" s="215">
        <f>IF(AND(ISNUMBER(M161),ISNUMBER(M159)),IFERROR(M161/M159,""),"")</f>
        <v/>
      </c>
      <c r="N275" s="215">
        <f>IF(AND(ISNUMBER(N161),ISNUMBER(N159)),IFERROR(N161/N159,""),"")</f>
        <v/>
      </c>
      <c r="O275" s="215">
        <f>IF(AND(ISNUMBER(O161),ISNUMBER(O159)),IFERROR(O161/O159,""),"")</f>
        <v/>
      </c>
      <c r="P275" s="215">
        <f>IF(AND(ISNUMBER(P161),ISNUMBER(P159)),IFERROR(P161/P159,""),"")</f>
        <v/>
      </c>
      <c r="Q275" s="215">
        <f>IF(AND(ISNUMBER(Q161),ISNUMBER(Q159)),IFERROR(Q161/Q159,""),"")</f>
        <v/>
      </c>
      <c r="R275" s="215">
        <f>IF(AND(ISNUMBER(R161),ISNUMBER(R159)),IFERROR(R161/R159,""),"")</f>
        <v/>
      </c>
      <c r="S275" s="215">
        <f>IF(AND(ISNUMBER(S161),ISNUMBER(S159)),IFERROR(S161/S159,""),"")</f>
        <v/>
      </c>
      <c r="T275" s="215">
        <f>IF(AND(ISNUMBER(T161),ISNUMBER(T159)),IFERROR(T161/T159,""),"")</f>
        <v/>
      </c>
      <c r="U275" s="215">
        <f>IF(AND(ISNUMBER(U161),ISNUMBER(U159)),IFERROR(U161/U159,""),"")</f>
        <v/>
      </c>
      <c r="V275" s="215">
        <f>IF(AND(ISNUMBER(V161),ISNUMBER(V159)),IFERROR(V161/V159,""),"")</f>
        <v/>
      </c>
      <c r="W275" s="215">
        <f>IF(AND(ISNUMBER(W161),ISNUMBER(W159)),IFERROR(W161/W159,""),"")</f>
        <v/>
      </c>
      <c r="X275" s="215">
        <f>IF(AND(ISNUMBER(X161),ISNUMBER(X159)),IFERROR(X161/X159,""),"")</f>
        <v/>
      </c>
      <c r="Y275" s="215">
        <f>IF(AND(ISNUMBER(Y161),ISNUMBER(Y159)),IFERROR(Y161/Y159,""),"")</f>
        <v/>
      </c>
      <c r="Z275" s="215">
        <f>IF(AND(ISNUMBER(Z161),ISNUMBER(Z159)),IFERROR(Z161/Z159,""),"")</f>
        <v/>
      </c>
      <c r="AA275" s="215">
        <f>IF(AND(ISNUMBER(AA161),ISNUMBER(AA159)),IFERROR(AA161/AA159,""),"")</f>
        <v/>
      </c>
      <c r="AB275" s="215">
        <f>IF(AND(ISNUMBER(AB161),ISNUMBER(AB159)),IFERROR(AB161/AB159,""),"")</f>
        <v/>
      </c>
      <c r="AC275" s="215">
        <f>IF(AND(ISNUMBER(AC161),ISNUMBER(AC159)),IFERROR(AC161/AC159,""),"")</f>
        <v/>
      </c>
      <c r="AD275" s="215">
        <f>IF(AND(ISNUMBER(AD161),ISNUMBER(AD159)),IFERROR(AD161/AD159,""),"")</f>
        <v/>
      </c>
      <c r="AE275" s="215">
        <f>IF(AND(ISNUMBER(AE161),ISNUMBER(AE159)),IFERROR(AE161/AE159,""),"")</f>
        <v/>
      </c>
      <c r="AF275" s="215">
        <f>IF(AND(ISNUMBER(AF161),ISNUMBER(AF159)),IFERROR(AF161/AF159,""),"")</f>
        <v/>
      </c>
      <c r="AG275" s="215">
        <f>IF(AND(ISNUMBER(AG161),ISNUMBER(AG159)),IFERROR(AG161/AG159,""),"")</f>
        <v/>
      </c>
      <c r="AH275" s="215">
        <f>IF(AND(ISNUMBER(AH161),ISNUMBER(AH159)),IFERROR(AH161/AH159,""),"")</f>
        <v/>
      </c>
      <c r="AI275" s="215">
        <f>IF(AND(ISNUMBER(AI161),ISNUMBER(AI159)),IFERROR(AI161/AI159,""),"")</f>
        <v/>
      </c>
      <c r="AJ275" s="215">
        <f>IF(AND(ISNUMBER(AJ161),ISNUMBER(AJ159)),IFERROR(AJ161/AJ159,""),"")</f>
        <v/>
      </c>
      <c r="AK275" s="215">
        <f>IF(AND(ISNUMBER(AK161),ISNUMBER(AK159)),IFERROR(AK161/AK159,""),"")</f>
        <v/>
      </c>
      <c r="AL275" s="215">
        <f>IF(AND(ISNUMBER(AL161),ISNUMBER(AL159)),IFERROR(AL161/AL159,""),"")</f>
        <v/>
      </c>
      <c r="AM275" s="256">
        <f>IF(AND(ISNUMBER(AM161),ISNUMBER(AM159)),IFERROR(AM161/AM159,""),"")</f>
        <v/>
      </c>
      <c r="AN275" s="256">
        <f>IF(AND(ISNUMBER(AN161),ISNUMBER(AN159)),IFERROR(AN161/AN159,""),"")</f>
        <v/>
      </c>
      <c r="AO275" s="256">
        <f>IF(AND(ISNUMBER(AO161),ISNUMBER(AO159)),IFERROR(AO161/AO159,""),"")</f>
        <v/>
      </c>
      <c r="AP275" s="256">
        <f>IF(AND(ISNUMBER(AP161),ISNUMBER(AP159)),IFERROR(AP161/AP159,""),"")</f>
        <v/>
      </c>
      <c r="AQ275" s="256">
        <f>IF(AND(ISNUMBER(AQ161),ISNUMBER(AQ159)),IFERROR(AQ161/AQ159,""),"")</f>
        <v/>
      </c>
      <c r="AR275" s="256">
        <f>IF(AND(ISNUMBER(AR161),ISNUMBER(AR159)),IFERROR(AR161/AR159,""),"")</f>
        <v/>
      </c>
      <c r="AS275" s="256">
        <f>IF(AND(ISNUMBER(AS161),ISNUMBER(AS159)),IFERROR(AS161/AS159,""),"")</f>
        <v/>
      </c>
      <c r="AT275" s="256">
        <f>IF(AND(ISNUMBER(AT161),ISNUMBER(AT159)),IFERROR(AT161/AT159,""),"")</f>
        <v/>
      </c>
      <c r="AU275" s="153" t="n"/>
      <c r="AW275" s="37">
        <f>IFERROR(AVERAGE(AP275,AQ275,AR275,AS275,AT275),"n/m")</f>
        <v/>
      </c>
      <c r="AX275" s="37">
        <f>IFERROR(AVERAGE(Q275,V275,AA275,AF275,AK275),"n/m")</f>
        <v/>
      </c>
      <c r="AY275" s="37">
        <f>IFERROR(AVERAGE(H275,I275,J275,K275,L275,Q275,V275,AA275,AF275,AK275),"n/m")</f>
        <v/>
      </c>
      <c r="AZ275" s="37">
        <f>IFERROR(AVERAGE(C275,D275,E275,F275,G275,H275,I275,J275,K275,L275,Q275,V275,AA275,AF275,AK275),"n/m")</f>
        <v/>
      </c>
    </row>
    <row r="276" ht="15" customHeight="1" s="251">
      <c r="B276" s="25" t="inlineStr">
        <is>
          <t xml:space="preserve">  Adjusted gross margin %</t>
        </is>
      </c>
      <c r="C276" s="215">
        <f>IF(AND(ISNUMBER(C217),ISNUMBER(C159)),IFERROR(C217/C159,""),"")</f>
        <v/>
      </c>
      <c r="D276" s="215">
        <f>IF(AND(ISNUMBER(D217),ISNUMBER(D159)),IFERROR(D217/D159,""),"")</f>
        <v/>
      </c>
      <c r="E276" s="215">
        <f>IF(AND(ISNUMBER(E217),ISNUMBER(E159)),IFERROR(E217/E159,""),"")</f>
        <v/>
      </c>
      <c r="F276" s="215">
        <f>IF(AND(ISNUMBER(F217),ISNUMBER(F159)),IFERROR(F217/F159,""),"")</f>
        <v/>
      </c>
      <c r="G276" s="215">
        <f>IF(AND(ISNUMBER(G217),ISNUMBER(G159)),IFERROR(G217/G159,""),"")</f>
        <v/>
      </c>
      <c r="H276" s="215">
        <f>IF(AND(ISNUMBER(H217),ISNUMBER(H159)),IFERROR(H217/H159,""),"")</f>
        <v/>
      </c>
      <c r="I276" s="215">
        <f>IF(AND(ISNUMBER(I217),ISNUMBER(I159)),IFERROR(I217/I159,""),"")</f>
        <v/>
      </c>
      <c r="J276" s="215">
        <f>IF(AND(ISNUMBER(J217),ISNUMBER(J159)),IFERROR(J217/J159,""),"")</f>
        <v/>
      </c>
      <c r="K276" s="215">
        <f>IF(AND(ISNUMBER(K217),ISNUMBER(K159)),IFERROR(K217/K159,""),"")</f>
        <v/>
      </c>
      <c r="L276" s="215">
        <f>IF(AND(ISNUMBER(L217),ISNUMBER(L159)),IFERROR(L217/L159,""),"")</f>
        <v/>
      </c>
      <c r="M276" s="215">
        <f>IF(AND(ISNUMBER(M217),ISNUMBER(M159)),IFERROR(M217/M159,""),"")</f>
        <v/>
      </c>
      <c r="N276" s="215">
        <f>IF(AND(ISNUMBER(N217),ISNUMBER(N159)),IFERROR(N217/N159,""),"")</f>
        <v/>
      </c>
      <c r="O276" s="215">
        <f>IF(AND(ISNUMBER(O217),ISNUMBER(O159)),IFERROR(O217/O159,""),"")</f>
        <v/>
      </c>
      <c r="P276" s="215">
        <f>IF(AND(ISNUMBER(P217),ISNUMBER(P159)),IFERROR(P217/P159,""),"")</f>
        <v/>
      </c>
      <c r="Q276" s="215">
        <f>IF(AND(ISNUMBER(Q217),ISNUMBER(Q159)),IFERROR(Q217/Q159,""),"")</f>
        <v/>
      </c>
      <c r="R276" s="215">
        <f>IF(AND(ISNUMBER(R217),ISNUMBER(R159)),IFERROR(R217/R159,""),"")</f>
        <v/>
      </c>
      <c r="S276" s="215">
        <f>IF(AND(ISNUMBER(S217),ISNUMBER(S159)),IFERROR(S217/S159,""),"")</f>
        <v/>
      </c>
      <c r="T276" s="215">
        <f>IF(AND(ISNUMBER(T217),ISNUMBER(T159)),IFERROR(T217/T159,""),"")</f>
        <v/>
      </c>
      <c r="U276" s="215">
        <f>IF(AND(ISNUMBER(U217),ISNUMBER(U159)),IFERROR(U217/U159,""),"")</f>
        <v/>
      </c>
      <c r="V276" s="215">
        <f>IF(AND(ISNUMBER(V217),ISNUMBER(V159)),IFERROR(V217/V159,""),"")</f>
        <v/>
      </c>
      <c r="W276" s="215">
        <f>IF(AND(ISNUMBER(W217),ISNUMBER(W159)),IFERROR(W217/W159,""),"")</f>
        <v/>
      </c>
      <c r="X276" s="215">
        <f>IF(AND(ISNUMBER(X217),ISNUMBER(X159)),IFERROR(X217/X159,""),"")</f>
        <v/>
      </c>
      <c r="Y276" s="215">
        <f>IF(AND(ISNUMBER(Y217),ISNUMBER(Y159)),IFERROR(Y217/Y159,""),"")</f>
        <v/>
      </c>
      <c r="Z276" s="215">
        <f>IF(AND(ISNUMBER(Z217),ISNUMBER(Z159)),IFERROR(Z217/Z159,""),"")</f>
        <v/>
      </c>
      <c r="AA276" s="215">
        <f>IF(AND(ISNUMBER(AA217),ISNUMBER(AA159)),IFERROR(AA217/AA159,""),"")</f>
        <v/>
      </c>
      <c r="AB276" s="215">
        <f>IF(AND(ISNUMBER(AB217),ISNUMBER(AB159)),IFERROR(AB217/AB159,""),"")</f>
        <v/>
      </c>
      <c r="AC276" s="215">
        <f>IF(AND(ISNUMBER(AC217),ISNUMBER(AC159)),IFERROR(AC217/AC159,""),"")</f>
        <v/>
      </c>
      <c r="AD276" s="215">
        <f>IF(AND(ISNUMBER(AD217),ISNUMBER(AD159)),IFERROR(AD217/AD159,""),"")</f>
        <v/>
      </c>
      <c r="AE276" s="215">
        <f>IF(AND(ISNUMBER(AE217),ISNUMBER(AE159)),IFERROR(AE217/AE159,""),"")</f>
        <v/>
      </c>
      <c r="AF276" s="215">
        <f>IF(AND(ISNUMBER(AF217),ISNUMBER(AF159)),IFERROR(AF217/AF159,""),"")</f>
        <v/>
      </c>
      <c r="AG276" s="215">
        <f>IF(AND(ISNUMBER(AG217),ISNUMBER(AG159)),IFERROR(AG217/AG159,""),"")</f>
        <v/>
      </c>
      <c r="AH276" s="215">
        <f>IF(AND(ISNUMBER(AH217),ISNUMBER(AH159)),IFERROR(AH217/AH159,""),"")</f>
        <v/>
      </c>
      <c r="AI276" s="215">
        <f>IF(AND(ISNUMBER(AI217),ISNUMBER(AI159)),IFERROR(AI217/AI159,""),"")</f>
        <v/>
      </c>
      <c r="AJ276" s="215">
        <f>IF(AND(ISNUMBER(AJ217),ISNUMBER(AJ159)),IFERROR(AJ217/AJ159,""),"")</f>
        <v/>
      </c>
      <c r="AK276" s="215">
        <f>IF(AND(ISNUMBER(AK217),ISNUMBER(AK159)),IFERROR(AK217/AK159,""),"")</f>
        <v/>
      </c>
      <c r="AL276" s="215">
        <f>IF(AND(ISNUMBER(AL217),ISNUMBER(AL159)),IFERROR(AL217/AL159,""),"")</f>
        <v/>
      </c>
      <c r="AM276" s="256">
        <f>IF(AND(ISNUMBER(AM217),ISNUMBER(AM159)),IFERROR(AM217/AM159,""),"")</f>
        <v/>
      </c>
      <c r="AN276" s="256">
        <f>IF(AND(ISNUMBER(AN217),ISNUMBER(AN159)),IFERROR(AN217/AN159,""),"")</f>
        <v/>
      </c>
      <c r="AO276" s="256">
        <f>IF(AND(ISNUMBER(AO217),ISNUMBER(AO159)),IFERROR(AO217/AO159,""),"")</f>
        <v/>
      </c>
      <c r="AP276" s="256">
        <f>IF(AND(ISNUMBER(AP217),ISNUMBER(AP159)),IFERROR(AP217/AP159,""),"")</f>
        <v/>
      </c>
      <c r="AQ276" s="256">
        <f>IF(AND(ISNUMBER(AQ217),ISNUMBER(AQ159)),IFERROR(AQ217/AQ159,""),"")</f>
        <v/>
      </c>
      <c r="AR276" s="256">
        <f>IF(AND(ISNUMBER(AR217),ISNUMBER(AR159)),IFERROR(AR217/AR159,""),"")</f>
        <v/>
      </c>
      <c r="AS276" s="256">
        <f>IF(AND(ISNUMBER(AS217),ISNUMBER(AS159)),IFERROR(AS217/AS159,""),"")</f>
        <v/>
      </c>
      <c r="AT276" s="256">
        <f>IF(AND(ISNUMBER(AT217),ISNUMBER(AT159)),IFERROR(AT217/AT159,""),"")</f>
        <v/>
      </c>
      <c r="AU276" s="153" t="n"/>
      <c r="AW276" s="37">
        <f>IFERROR(AVERAGE(AP276,AQ276,AR276,AS276,AT276),"n/m")</f>
        <v/>
      </c>
      <c r="AX276" s="37">
        <f>IFERROR(AVERAGE(Q276,V276,AA276,AF276,AK276),"n/m")</f>
        <v/>
      </c>
      <c r="AY276" s="37">
        <f>IFERROR(AVERAGE(H276,I276,J276,K276,L276,Q276,V276,AA276,AF276,AK276),"n/m")</f>
        <v/>
      </c>
      <c r="AZ276" s="37">
        <f>IFERROR(AVERAGE(C276,D276,E276,F276,G276,H276,I276,J276,K276,L276,Q276,V276,AA276,AF276,AK276),"n/m")</f>
        <v/>
      </c>
    </row>
    <row r="277" ht="15" customHeight="1" s="251">
      <c r="B277" s="25" t="inlineStr">
        <is>
          <t xml:space="preserve">  Adjusted operating margin %</t>
        </is>
      </c>
      <c r="C277" s="215">
        <f>IF(AND(ISNUMBER(C208),ISNUMBER(C159)),IFERROR(C208/C159,""),"")</f>
        <v/>
      </c>
      <c r="D277" s="215">
        <f>IF(AND(ISNUMBER(D208),ISNUMBER(D159)),IFERROR(D208/D159,""),"")</f>
        <v/>
      </c>
      <c r="E277" s="215">
        <f>IF(AND(ISNUMBER(E208),ISNUMBER(E159)),IFERROR(E208/E159,""),"")</f>
        <v/>
      </c>
      <c r="F277" s="215">
        <f>IF(AND(ISNUMBER(F208),ISNUMBER(F159)),IFERROR(F208/F159,""),"")</f>
        <v/>
      </c>
      <c r="G277" s="215">
        <f>IF(AND(ISNUMBER(G208),ISNUMBER(G159)),IFERROR(G208/G159,""),"")</f>
        <v/>
      </c>
      <c r="H277" s="215">
        <f>IF(AND(ISNUMBER(H208),ISNUMBER(H159)),IFERROR(H208/H159,""),"")</f>
        <v/>
      </c>
      <c r="I277" s="215">
        <f>IF(AND(ISNUMBER(I208),ISNUMBER(I159)),IFERROR(I208/I159,""),"")</f>
        <v/>
      </c>
      <c r="J277" s="215">
        <f>IF(AND(ISNUMBER(J208),ISNUMBER(J159)),IFERROR(J208/J159,""),"")</f>
        <v/>
      </c>
      <c r="K277" s="215">
        <f>IF(AND(ISNUMBER(K208),ISNUMBER(K159)),IFERROR(K208/K159,""),"")</f>
        <v/>
      </c>
      <c r="L277" s="215">
        <f>IF(AND(ISNUMBER(L208),ISNUMBER(L159)),IFERROR(L208/L159,""),"")</f>
        <v/>
      </c>
      <c r="M277" s="215">
        <f>IF(AND(ISNUMBER(M208),ISNUMBER(M159)),IFERROR(M208/M159,""),"")</f>
        <v/>
      </c>
      <c r="N277" s="215">
        <f>IF(AND(ISNUMBER(N208),ISNUMBER(N159)),IFERROR(N208/N159,""),"")</f>
        <v/>
      </c>
      <c r="O277" s="215">
        <f>IF(AND(ISNUMBER(O208),ISNUMBER(O159)),IFERROR(O208/O159,""),"")</f>
        <v/>
      </c>
      <c r="P277" s="215">
        <f>IF(AND(ISNUMBER(P208),ISNUMBER(P159)),IFERROR(P208/P159,""),"")</f>
        <v/>
      </c>
      <c r="Q277" s="215">
        <f>IF(AND(ISNUMBER(Q208),ISNUMBER(Q159)),IFERROR(Q208/Q159,""),"")</f>
        <v/>
      </c>
      <c r="R277" s="215">
        <f>IF(AND(ISNUMBER(R208),ISNUMBER(R159)),IFERROR(R208/R159,""),"")</f>
        <v/>
      </c>
      <c r="S277" s="215">
        <f>IF(AND(ISNUMBER(S208),ISNUMBER(S159)),IFERROR(S208/S159,""),"")</f>
        <v/>
      </c>
      <c r="T277" s="215">
        <f>IF(AND(ISNUMBER(T208),ISNUMBER(T159)),IFERROR(T208/T159,""),"")</f>
        <v/>
      </c>
      <c r="U277" s="215">
        <f>IF(AND(ISNUMBER(U208),ISNUMBER(U159)),IFERROR(U208/U159,""),"")</f>
        <v/>
      </c>
      <c r="V277" s="215">
        <f>IF(AND(ISNUMBER(V208),ISNUMBER(V159)),IFERROR(V208/V159,""),"")</f>
        <v/>
      </c>
      <c r="W277" s="215">
        <f>IF(AND(ISNUMBER(W208),ISNUMBER(W159)),IFERROR(W208/W159,""),"")</f>
        <v/>
      </c>
      <c r="X277" s="215">
        <f>IF(AND(ISNUMBER(X208),ISNUMBER(X159)),IFERROR(X208/X159,""),"")</f>
        <v/>
      </c>
      <c r="Y277" s="215">
        <f>IF(AND(ISNUMBER(Y208),ISNUMBER(Y159)),IFERROR(Y208/Y159,""),"")</f>
        <v/>
      </c>
      <c r="Z277" s="215">
        <f>IF(AND(ISNUMBER(Z208),ISNUMBER(Z159)),IFERROR(Z208/Z159,""),"")</f>
        <v/>
      </c>
      <c r="AA277" s="215">
        <f>IF(AND(ISNUMBER(AA208),ISNUMBER(AA159)),IFERROR(AA208/AA159,""),"")</f>
        <v/>
      </c>
      <c r="AB277" s="215">
        <f>IF(AND(ISNUMBER(AB208),ISNUMBER(AB159)),IFERROR(AB208/AB159,""),"")</f>
        <v/>
      </c>
      <c r="AC277" s="215">
        <f>IF(AND(ISNUMBER(AC208),ISNUMBER(AC159)),IFERROR(AC208/AC159,""),"")</f>
        <v/>
      </c>
      <c r="AD277" s="215">
        <f>IF(AND(ISNUMBER(AD208),ISNUMBER(AD159)),IFERROR(AD208/AD159,""),"")</f>
        <v/>
      </c>
      <c r="AE277" s="215">
        <f>IF(AND(ISNUMBER(AE208),ISNUMBER(AE159)),IFERROR(AE208/AE159,""),"")</f>
        <v/>
      </c>
      <c r="AF277" s="215">
        <f>IF(AND(ISNUMBER(AF208),ISNUMBER(AF159)),IFERROR(AF208/AF159,""),"")</f>
        <v/>
      </c>
      <c r="AG277" s="215">
        <f>IF(AND(ISNUMBER(AG208),ISNUMBER(AG159)),IFERROR(AG208/AG159,""),"")</f>
        <v/>
      </c>
      <c r="AH277" s="215">
        <f>IF(AND(ISNUMBER(AH208),ISNUMBER(AH159)),IFERROR(AH208/AH159,""),"")</f>
        <v/>
      </c>
      <c r="AI277" s="215">
        <f>IF(AND(ISNUMBER(AI208),ISNUMBER(AI159)),IFERROR(AI208/AI159,""),"")</f>
        <v/>
      </c>
      <c r="AJ277" s="215">
        <f>IF(AND(ISNUMBER(AJ208),ISNUMBER(AJ159)),IFERROR(AJ208/AJ159,""),"")</f>
        <v/>
      </c>
      <c r="AK277" s="215">
        <f>IF(AND(ISNUMBER(AK208),ISNUMBER(AK159)),IFERROR(AK208/AK159,""),"")</f>
        <v/>
      </c>
      <c r="AL277" s="215">
        <f>IF(AND(ISNUMBER(AL208),ISNUMBER(AL159)),IFERROR(AL208/AL159,""),"")</f>
        <v/>
      </c>
      <c r="AM277" s="256">
        <f>IF(AND(ISNUMBER(AM208),ISNUMBER(AM159)),IFERROR(AM208/AM159,""),"")</f>
        <v/>
      </c>
      <c r="AN277" s="256">
        <f>IF(AND(ISNUMBER(AN208),ISNUMBER(AN159)),IFERROR(AN208/AN159,""),"")</f>
        <v/>
      </c>
      <c r="AO277" s="256">
        <f>IF(AND(ISNUMBER(AO208),ISNUMBER(AO159)),IFERROR(AO208/AO159,""),"")</f>
        <v/>
      </c>
      <c r="AP277" s="256">
        <f>IF(AND(ISNUMBER(AP208),ISNUMBER(AP159)),IFERROR(AP208/AP159,""),"")</f>
        <v/>
      </c>
      <c r="AQ277" s="256">
        <f>IF(AND(ISNUMBER(AQ208),ISNUMBER(AQ159)),IFERROR(AQ208/AQ159,""),"")</f>
        <v/>
      </c>
      <c r="AR277" s="256">
        <f>IF(AND(ISNUMBER(AR208),ISNUMBER(AR159)),IFERROR(AR208/AR159,""),"")</f>
        <v/>
      </c>
      <c r="AS277" s="256">
        <f>IF(AND(ISNUMBER(AS208),ISNUMBER(AS159)),IFERROR(AS208/AS159,""),"")</f>
        <v/>
      </c>
      <c r="AT277" s="256">
        <f>IF(AND(ISNUMBER(AT208),ISNUMBER(AT159)),IFERROR(AT208/AT159,""),"")</f>
        <v/>
      </c>
      <c r="AU277" s="153" t="n"/>
      <c r="AW277" s="37">
        <f>IFERROR(AVERAGE(AP277,AQ277,AR277,AS277,AT277),"n/m")</f>
        <v/>
      </c>
      <c r="AX277" s="37">
        <f>IFERROR(AVERAGE(Q277,V277,AA277,AF277,AK277),"n/m")</f>
        <v/>
      </c>
      <c r="AY277" s="37">
        <f>IFERROR(AVERAGE(H277,I277,J277,K277,L277,Q277,V277,AA277,AF277,AK277),"n/m")</f>
        <v/>
      </c>
      <c r="AZ277" s="37">
        <f>IFERROR(AVERAGE(C277,D277,E277,F277,G277,H277,I277,J277,K277,L277,Q277,V277,AA277,AF277,AK277),"n/m")</f>
        <v/>
      </c>
    </row>
    <row r="278" ht="15" customHeight="1" s="251">
      <c r="B278" s="25" t="inlineStr">
        <is>
          <t xml:space="preserve">  Incremental adjusted operating margin (Δ adjusted operating income / Δ revenue)</t>
        </is>
      </c>
      <c r="C278" s="36" t="n"/>
      <c r="D278" s="215">
        <f>IFERROR((D208-C208)/(D159-C159),"")</f>
        <v/>
      </c>
      <c r="E278" s="215">
        <f>IFERROR((E208-D208)/(E159-D159),"")</f>
        <v/>
      </c>
      <c r="F278" s="215">
        <f>IFERROR((F208-E208)/(F159-E159),"")</f>
        <v/>
      </c>
      <c r="G278" s="215">
        <f>IFERROR((G208-F208)/(G159-F159),"")</f>
        <v/>
      </c>
      <c r="H278" s="215">
        <f>IFERROR((H208-G208)/(H159-G159),"")</f>
        <v/>
      </c>
      <c r="I278" s="215">
        <f>IFERROR((I208-H208)/(I159-H159),"")</f>
        <v/>
      </c>
      <c r="J278" s="215">
        <f>IFERROR((J208-I208)/(J159-I159),"")</f>
        <v/>
      </c>
      <c r="K278" s="215">
        <f>IFERROR((K208-J208)/(K159-J159),"")</f>
        <v/>
      </c>
      <c r="L278" s="215">
        <f>IFERROR((L208-K208)/(L159-K159),"")</f>
        <v/>
      </c>
      <c r="M278" s="36" t="n"/>
      <c r="N278" s="36" t="n"/>
      <c r="O278" s="36" t="n"/>
      <c r="P278" s="36" t="n"/>
      <c r="Q278" s="215">
        <f>IFERROR((Q208-L208)/(Q159-L159),"")</f>
        <v/>
      </c>
      <c r="R278" s="215">
        <f>IFERROR((R208-M208)/(R159-M159),"")</f>
        <v/>
      </c>
      <c r="S278" s="215">
        <f>IFERROR((S208-N208)/(S159-N159),"")</f>
        <v/>
      </c>
      <c r="T278" s="215">
        <f>IFERROR((T208-O208)/(T159-O159),"")</f>
        <v/>
      </c>
      <c r="U278" s="215">
        <f>IFERROR((U208-P208)/(U159-P159),"")</f>
        <v/>
      </c>
      <c r="V278" s="215">
        <f>IFERROR((V208-Q208)/(V159-Q159),"")</f>
        <v/>
      </c>
      <c r="W278" s="215">
        <f>IFERROR((W208-R208)/(W159-R159),"")</f>
        <v/>
      </c>
      <c r="X278" s="215">
        <f>IFERROR((X208-S208)/(X159-S159),"")</f>
        <v/>
      </c>
      <c r="Y278" s="215">
        <f>IFERROR((Y208-T208)/(Y159-T159),"")</f>
        <v/>
      </c>
      <c r="Z278" s="215">
        <f>IFERROR((Z208-U208)/(Z159-U159),"")</f>
        <v/>
      </c>
      <c r="AA278" s="215">
        <f>IFERROR((AA208-V208)/(AA159-V159),"")</f>
        <v/>
      </c>
      <c r="AB278" s="215">
        <f>IFERROR((AB208-W208)/(AB159-W159),"")</f>
        <v/>
      </c>
      <c r="AC278" s="215">
        <f>IFERROR((AC208-X208)/(AC159-X159),"")</f>
        <v/>
      </c>
      <c r="AD278" s="215">
        <f>IFERROR((AD208-Y208)/(AD159-Y159),"")</f>
        <v/>
      </c>
      <c r="AE278" s="215">
        <f>IFERROR((AE208-Z208)/(AE159-Z159),"")</f>
        <v/>
      </c>
      <c r="AF278" s="215">
        <f>IFERROR((AF208-AA208)/(AF159-AA159),"")</f>
        <v/>
      </c>
      <c r="AG278" s="215">
        <f>IFERROR((AG208-AB208)/(AG159-AB159),"")</f>
        <v/>
      </c>
      <c r="AH278" s="215">
        <f>IFERROR((AH208-AC208)/(AH159-AC159),"")</f>
        <v/>
      </c>
      <c r="AI278" s="215">
        <f>IFERROR((AI208-AD208)/(AI159-AD159),"")</f>
        <v/>
      </c>
      <c r="AJ278" s="215">
        <f>IFERROR((AJ208-AE208)/(AJ159-AE159),"")</f>
        <v/>
      </c>
      <c r="AK278" s="215">
        <f>IFERROR((AK208-AF208)/(AK159-AF159),"")</f>
        <v/>
      </c>
      <c r="AL278" s="215">
        <f>IFERROR((AL208-AG208)/(AL159-AG159),"")</f>
        <v/>
      </c>
      <c r="AM278" s="256">
        <f>IFERROR((AM208-AH208)/(AM159-AH159),"")</f>
        <v/>
      </c>
      <c r="AN278" s="256">
        <f>IFERROR((AN208-AI208)/(AN159-AI159),"")</f>
        <v/>
      </c>
      <c r="AO278" s="256">
        <f>IFERROR((AO208-AJ208)/(AO159-AJ159),"")</f>
        <v/>
      </c>
      <c r="AP278" s="256">
        <f>IFERROR((AP208-AK208)/(AP159-AK159),"")</f>
        <v/>
      </c>
      <c r="AQ278" s="256">
        <f>IFERROR((AQ208-AP208)/(AQ159-AP159),"")</f>
        <v/>
      </c>
      <c r="AR278" s="256">
        <f>IFERROR((AR208-AQ208)/(AR159-AQ159),"")</f>
        <v/>
      </c>
      <c r="AS278" s="256">
        <f>IFERROR((AS208-AR208)/(AS159-AR159),"")</f>
        <v/>
      </c>
      <c r="AT278" s="256">
        <f>IFERROR((AT208-AS208)/(AT159-AS159),"")</f>
        <v/>
      </c>
      <c r="AU278" s="153" t="n"/>
    </row>
    <row r="279" ht="15" customHeight="1" s="251">
      <c r="B279" s="25" t="inlineStr">
        <is>
          <t xml:space="preserve">  Adjusted EBITDA margin %</t>
        </is>
      </c>
      <c r="C279" s="215">
        <f>IF(AND(ISNUMBER(C233),ISNUMBER(C159)),IFERROR(C233/C159,""),"")</f>
        <v/>
      </c>
      <c r="D279" s="215">
        <f>IF(AND(ISNUMBER(D233),ISNUMBER(D159)),IFERROR(D233/D159,""),"")</f>
        <v/>
      </c>
      <c r="E279" s="215">
        <f>IF(AND(ISNUMBER(E233),ISNUMBER(E159)),IFERROR(E233/E159,""),"")</f>
        <v/>
      </c>
      <c r="F279" s="215">
        <f>IF(AND(ISNUMBER(F233),ISNUMBER(F159)),IFERROR(F233/F159,""),"")</f>
        <v/>
      </c>
      <c r="G279" s="215">
        <f>IF(AND(ISNUMBER(G233),ISNUMBER(G159)),IFERROR(G233/G159,""),"")</f>
        <v/>
      </c>
      <c r="H279" s="215">
        <f>IF(AND(ISNUMBER(H233),ISNUMBER(H159)),IFERROR(H233/H159,""),"")</f>
        <v/>
      </c>
      <c r="I279" s="215">
        <f>IF(AND(ISNUMBER(I233),ISNUMBER(I159)),IFERROR(I233/I159,""),"")</f>
        <v/>
      </c>
      <c r="J279" s="215">
        <f>IF(AND(ISNUMBER(J233),ISNUMBER(J159)),IFERROR(J233/J159,""),"")</f>
        <v/>
      </c>
      <c r="K279" s="215">
        <f>IF(AND(ISNUMBER(K233),ISNUMBER(K159)),IFERROR(K233/K159,""),"")</f>
        <v/>
      </c>
      <c r="L279" s="215">
        <f>IF(AND(ISNUMBER(L233),ISNUMBER(L159)),IFERROR(L233/L159,""),"")</f>
        <v/>
      </c>
      <c r="M279" s="215">
        <f>IF(AND(ISNUMBER(M233),ISNUMBER(M159)),IFERROR(M233/M159,""),"")</f>
        <v/>
      </c>
      <c r="N279" s="215">
        <f>IF(AND(ISNUMBER(N233),ISNUMBER(N159)),IFERROR(N233/N159,""),"")</f>
        <v/>
      </c>
      <c r="O279" s="215">
        <f>IF(AND(ISNUMBER(O233),ISNUMBER(O159)),IFERROR(O233/O159,""),"")</f>
        <v/>
      </c>
      <c r="P279" s="215">
        <f>IF(AND(ISNUMBER(P233),ISNUMBER(P159)),IFERROR(P233/P159,""),"")</f>
        <v/>
      </c>
      <c r="Q279" s="215">
        <f>IF(AND(ISNUMBER(Q233),ISNUMBER(Q159)),IFERROR(Q233/Q159,""),"")</f>
        <v/>
      </c>
      <c r="R279" s="215">
        <f>IF(AND(ISNUMBER(R233),ISNUMBER(R159)),IFERROR(R233/R159,""),"")</f>
        <v/>
      </c>
      <c r="S279" s="215">
        <f>IF(AND(ISNUMBER(S233),ISNUMBER(S159)),IFERROR(S233/S159,""),"")</f>
        <v/>
      </c>
      <c r="T279" s="215">
        <f>IF(AND(ISNUMBER(T233),ISNUMBER(T159)),IFERROR(T233/T159,""),"")</f>
        <v/>
      </c>
      <c r="U279" s="215">
        <f>IF(AND(ISNUMBER(U233),ISNUMBER(U159)),IFERROR(U233/U159,""),"")</f>
        <v/>
      </c>
      <c r="V279" s="215">
        <f>IF(AND(ISNUMBER(V233),ISNUMBER(V159)),IFERROR(V233/V159,""),"")</f>
        <v/>
      </c>
      <c r="W279" s="215">
        <f>IF(AND(ISNUMBER(W233),ISNUMBER(W159)),IFERROR(W233/W159,""),"")</f>
        <v/>
      </c>
      <c r="X279" s="215">
        <f>IF(AND(ISNUMBER(X233),ISNUMBER(X159)),IFERROR(X233/X159,""),"")</f>
        <v/>
      </c>
      <c r="Y279" s="215">
        <f>IF(AND(ISNUMBER(Y233),ISNUMBER(Y159)),IFERROR(Y233/Y159,""),"")</f>
        <v/>
      </c>
      <c r="Z279" s="215">
        <f>IF(AND(ISNUMBER(Z233),ISNUMBER(Z159)),IFERROR(Z233/Z159,""),"")</f>
        <v/>
      </c>
      <c r="AA279" s="215">
        <f>IF(AND(ISNUMBER(AA233),ISNUMBER(AA159)),IFERROR(AA233/AA159,""),"")</f>
        <v/>
      </c>
      <c r="AB279" s="215">
        <f>IF(AND(ISNUMBER(AB233),ISNUMBER(AB159)),IFERROR(AB233/AB159,""),"")</f>
        <v/>
      </c>
      <c r="AC279" s="215">
        <f>IF(AND(ISNUMBER(AC233),ISNUMBER(AC159)),IFERROR(AC233/AC159,""),"")</f>
        <v/>
      </c>
      <c r="AD279" s="215">
        <f>IF(AND(ISNUMBER(AD233),ISNUMBER(AD159)),IFERROR(AD233/AD159,""),"")</f>
        <v/>
      </c>
      <c r="AE279" s="215">
        <f>IF(AND(ISNUMBER(AE233),ISNUMBER(AE159)),IFERROR(AE233/AE159,""),"")</f>
        <v/>
      </c>
      <c r="AF279" s="215">
        <f>IF(AND(ISNUMBER(AF233),ISNUMBER(AF159)),IFERROR(AF233/AF159,""),"")</f>
        <v/>
      </c>
      <c r="AG279" s="215">
        <f>IF(AND(ISNUMBER(AG233),ISNUMBER(AG159)),IFERROR(AG233/AG159,""),"")</f>
        <v/>
      </c>
      <c r="AH279" s="215">
        <f>IF(AND(ISNUMBER(AH233),ISNUMBER(AH159)),IFERROR(AH233/AH159,""),"")</f>
        <v/>
      </c>
      <c r="AI279" s="215">
        <f>IF(AND(ISNUMBER(AI233),ISNUMBER(AI159)),IFERROR(AI233/AI159,""),"")</f>
        <v/>
      </c>
      <c r="AJ279" s="215">
        <f>IF(AND(ISNUMBER(AJ233),ISNUMBER(AJ159)),IFERROR(AJ233/AJ159,""),"")</f>
        <v/>
      </c>
      <c r="AK279" s="215">
        <f>IF(AND(ISNUMBER(AK233),ISNUMBER(AK159)),IFERROR(AK233/AK159,""),"")</f>
        <v/>
      </c>
      <c r="AL279" s="215">
        <f>IF(AND(ISNUMBER(AL233),ISNUMBER(AL159)),IFERROR(AL233/AL159,""),"")</f>
        <v/>
      </c>
      <c r="AM279" s="256">
        <f>IF(AND(ISNUMBER(AM233),ISNUMBER(AM159)),IFERROR(AM233/AM159,""),"")</f>
        <v/>
      </c>
      <c r="AN279" s="256">
        <f>IF(AND(ISNUMBER(AN233),ISNUMBER(AN159)),IFERROR(AN233/AN159,""),"")</f>
        <v/>
      </c>
      <c r="AO279" s="256">
        <f>IF(AND(ISNUMBER(AO233),ISNUMBER(AO159)),IFERROR(AO233/AO159,""),"")</f>
        <v/>
      </c>
      <c r="AP279" s="256">
        <f>IF(AND(ISNUMBER(AP233),ISNUMBER(AP159)),IFERROR(AP233/AP159,""),"")</f>
        <v/>
      </c>
      <c r="AQ279" s="256">
        <f>IF(AND(ISNUMBER(AQ233),ISNUMBER(AQ159)),IFERROR(AQ233/AQ159,""),"")</f>
        <v/>
      </c>
      <c r="AR279" s="256">
        <f>IF(AND(ISNUMBER(AR233),ISNUMBER(AR159)),IFERROR(AR233/AR159,""),"")</f>
        <v/>
      </c>
      <c r="AS279" s="256">
        <f>IF(AND(ISNUMBER(AS233),ISNUMBER(AS159)),IFERROR(AS233/AS159,""),"")</f>
        <v/>
      </c>
      <c r="AT279" s="256">
        <f>IF(AND(ISNUMBER(AT233),ISNUMBER(AT159)),IFERROR(AT233/AT159,""),"")</f>
        <v/>
      </c>
      <c r="AU279" s="153" t="n"/>
      <c r="AW279" s="37">
        <f>IFERROR(AVERAGE(AP279,AQ279,AR279,AS279,AT279),"n/m")</f>
        <v/>
      </c>
      <c r="AX279" s="37">
        <f>IFERROR(AVERAGE(Q279,V279,AA279,AF279,AK279),"n/m")</f>
        <v/>
      </c>
      <c r="AY279" s="37">
        <f>IFERROR(AVERAGE(H279,I279,J279,K279,L279,Q279,V279,AA279,AF279,AK279),"n/m")</f>
        <v/>
      </c>
      <c r="AZ279" s="37">
        <f>IFERROR(AVERAGE(C279,D279,E279,F279,G279,H279,I279,J279,K279,L279,Q279,V279,AA279,AF279,AK279),"n/m")</f>
        <v/>
      </c>
    </row>
    <row r="280" ht="15" customHeight="1" s="251">
      <c r="B280" s="25" t="inlineStr">
        <is>
          <t xml:space="preserve">  Operating margin (GAAP) %</t>
        </is>
      </c>
      <c r="C280" s="215">
        <f>IF(AND(ISNUMBER(C167),ISNUMBER(C159)),IFERROR(C167/C159,""),"")</f>
        <v/>
      </c>
      <c r="D280" s="215">
        <f>IF(AND(ISNUMBER(D167),ISNUMBER(D159)),IFERROR(D167/D159,""),"")</f>
        <v/>
      </c>
      <c r="E280" s="215">
        <f>IF(AND(ISNUMBER(E167),ISNUMBER(E159)),IFERROR(E167/E159,""),"")</f>
        <v/>
      </c>
      <c r="F280" s="215">
        <f>IF(AND(ISNUMBER(F167),ISNUMBER(F159)),IFERROR(F167/F159,""),"")</f>
        <v/>
      </c>
      <c r="G280" s="215">
        <f>IF(AND(ISNUMBER(G167),ISNUMBER(G159)),IFERROR(G167/G159,""),"")</f>
        <v/>
      </c>
      <c r="H280" s="215">
        <f>IF(AND(ISNUMBER(H167),ISNUMBER(H159)),IFERROR(H167/H159,""),"")</f>
        <v/>
      </c>
      <c r="I280" s="215">
        <f>IF(AND(ISNUMBER(I167),ISNUMBER(I159)),IFERROR(I167/I159,""),"")</f>
        <v/>
      </c>
      <c r="J280" s="215">
        <f>IF(AND(ISNUMBER(J167),ISNUMBER(J159)),IFERROR(J167/J159,""),"")</f>
        <v/>
      </c>
      <c r="K280" s="215">
        <f>IF(AND(ISNUMBER(K167),ISNUMBER(K159)),IFERROR(K167/K159,""),"")</f>
        <v/>
      </c>
      <c r="L280" s="215">
        <f>IF(AND(ISNUMBER(L167),ISNUMBER(L159)),IFERROR(L167/L159,""),"")</f>
        <v/>
      </c>
      <c r="M280" s="215">
        <f>IF(AND(ISNUMBER(M167),ISNUMBER(M159)),IFERROR(M167/M159,""),"")</f>
        <v/>
      </c>
      <c r="N280" s="215">
        <f>IF(AND(ISNUMBER(N167),ISNUMBER(N159)),IFERROR(N167/N159,""),"")</f>
        <v/>
      </c>
      <c r="O280" s="215">
        <f>IF(AND(ISNUMBER(O167),ISNUMBER(O159)),IFERROR(O167/O159,""),"")</f>
        <v/>
      </c>
      <c r="P280" s="215">
        <f>IF(AND(ISNUMBER(P167),ISNUMBER(P159)),IFERROR(P167/P159,""),"")</f>
        <v/>
      </c>
      <c r="Q280" s="215">
        <f>IF(AND(ISNUMBER(Q167),ISNUMBER(Q159)),IFERROR(Q167/Q159,""),"")</f>
        <v/>
      </c>
      <c r="R280" s="215">
        <f>IF(AND(ISNUMBER(R167),ISNUMBER(R159)),IFERROR(R167/R159,""),"")</f>
        <v/>
      </c>
      <c r="S280" s="215">
        <f>IF(AND(ISNUMBER(S167),ISNUMBER(S159)),IFERROR(S167/S159,""),"")</f>
        <v/>
      </c>
      <c r="T280" s="215">
        <f>IF(AND(ISNUMBER(T167),ISNUMBER(T159)),IFERROR(T167/T159,""),"")</f>
        <v/>
      </c>
      <c r="U280" s="215">
        <f>IF(AND(ISNUMBER(U167),ISNUMBER(U159)),IFERROR(U167/U159,""),"")</f>
        <v/>
      </c>
      <c r="V280" s="215">
        <f>IF(AND(ISNUMBER(V167),ISNUMBER(V159)),IFERROR(V167/V159,""),"")</f>
        <v/>
      </c>
      <c r="W280" s="215">
        <f>IF(AND(ISNUMBER(W167),ISNUMBER(W159)),IFERROR(W167/W159,""),"")</f>
        <v/>
      </c>
      <c r="X280" s="215">
        <f>IF(AND(ISNUMBER(X167),ISNUMBER(X159)),IFERROR(X167/X159,""),"")</f>
        <v/>
      </c>
      <c r="Y280" s="215">
        <f>IF(AND(ISNUMBER(Y167),ISNUMBER(Y159)),IFERROR(Y167/Y159,""),"")</f>
        <v/>
      </c>
      <c r="Z280" s="215">
        <f>IF(AND(ISNUMBER(Z167),ISNUMBER(Z159)),IFERROR(Z167/Z159,""),"")</f>
        <v/>
      </c>
      <c r="AA280" s="215">
        <f>IF(AND(ISNUMBER(AA167),ISNUMBER(AA159)),IFERROR(AA167/AA159,""),"")</f>
        <v/>
      </c>
      <c r="AB280" s="215">
        <f>IF(AND(ISNUMBER(AB167),ISNUMBER(AB159)),IFERROR(AB167/AB159,""),"")</f>
        <v/>
      </c>
      <c r="AC280" s="215">
        <f>IF(AND(ISNUMBER(AC167),ISNUMBER(AC159)),IFERROR(AC167/AC159,""),"")</f>
        <v/>
      </c>
      <c r="AD280" s="215">
        <f>IF(AND(ISNUMBER(AD167),ISNUMBER(AD159)),IFERROR(AD167/AD159,""),"")</f>
        <v/>
      </c>
      <c r="AE280" s="215">
        <f>IF(AND(ISNUMBER(AE167),ISNUMBER(AE159)),IFERROR(AE167/AE159,""),"")</f>
        <v/>
      </c>
      <c r="AF280" s="215">
        <f>IF(AND(ISNUMBER(AF167),ISNUMBER(AF159)),IFERROR(AF167/AF159,""),"")</f>
        <v/>
      </c>
      <c r="AG280" s="215">
        <f>IF(AND(ISNUMBER(AG167),ISNUMBER(AG159)),IFERROR(AG167/AG159,""),"")</f>
        <v/>
      </c>
      <c r="AH280" s="215">
        <f>IF(AND(ISNUMBER(AH167),ISNUMBER(AH159)),IFERROR(AH167/AH159,""),"")</f>
        <v/>
      </c>
      <c r="AI280" s="215">
        <f>IF(AND(ISNUMBER(AI167),ISNUMBER(AI159)),IFERROR(AI167/AI159,""),"")</f>
        <v/>
      </c>
      <c r="AJ280" s="215">
        <f>IF(AND(ISNUMBER(AJ167),ISNUMBER(AJ159)),IFERROR(AJ167/AJ159,""),"")</f>
        <v/>
      </c>
      <c r="AK280" s="215">
        <f>IF(AND(ISNUMBER(AK167),ISNUMBER(AK159)),IFERROR(AK167/AK159,""),"")</f>
        <v/>
      </c>
      <c r="AL280" s="215">
        <f>IF(AND(ISNUMBER(AL167),ISNUMBER(AL159)),IFERROR(AL167/AL159,""),"")</f>
        <v/>
      </c>
      <c r="AM280" s="256">
        <f>IF(AND(ISNUMBER(AM167),ISNUMBER(AM159)),IFERROR(AM167/AM159,""),"")</f>
        <v/>
      </c>
      <c r="AN280" s="256">
        <f>IF(AND(ISNUMBER(AN167),ISNUMBER(AN159)),IFERROR(AN167/AN159,""),"")</f>
        <v/>
      </c>
      <c r="AO280" s="256">
        <f>IF(AND(ISNUMBER(AO167),ISNUMBER(AO159)),IFERROR(AO167/AO159,""),"")</f>
        <v/>
      </c>
      <c r="AP280" s="256">
        <f>IF(AND(ISNUMBER(AP167),ISNUMBER(AP159)),IFERROR(AP167/AP159,""),"")</f>
        <v/>
      </c>
      <c r="AQ280" s="256">
        <f>IF(AND(ISNUMBER(AQ167),ISNUMBER(AQ159)),IFERROR(AQ167/AQ159,""),"")</f>
        <v/>
      </c>
      <c r="AR280" s="256">
        <f>IF(AND(ISNUMBER(AR167),ISNUMBER(AR159)),IFERROR(AR167/AR159,""),"")</f>
        <v/>
      </c>
      <c r="AS280" s="256">
        <f>IF(AND(ISNUMBER(AS167),ISNUMBER(AS159)),IFERROR(AS167/AS159,""),"")</f>
        <v/>
      </c>
      <c r="AT280" s="256">
        <f>IF(AND(ISNUMBER(AT167),ISNUMBER(AT159)),IFERROR(AT167/AT159,""),"")</f>
        <v/>
      </c>
      <c r="AU280" s="153" t="n"/>
      <c r="AW280" s="37">
        <f>IFERROR(AVERAGE(AP280,AQ280,AR280,AS280,AT280),"n/m")</f>
        <v/>
      </c>
      <c r="AX280" s="37">
        <f>IFERROR(AVERAGE(Q280,V280,AA280,AF280,AK280),"n/m")</f>
        <v/>
      </c>
      <c r="AY280" s="37">
        <f>IFERROR(AVERAGE(H280,I280,J280,K280,L280,Q280,V280,AA280,AF280,AK280),"n/m")</f>
        <v/>
      </c>
      <c r="AZ280" s="37">
        <f>IFERROR(AVERAGE(C280,D280,E280,F280,G280,H280,I280,J280,K280,L280,Q280,V280,AA280,AF280,AK280),"n/m")</f>
        <v/>
      </c>
    </row>
    <row r="281" ht="15" customHeight="1" s="251">
      <c r="B281" s="25" t="inlineStr">
        <is>
          <t xml:space="preserve">  Net margin (continuing, attributable) %</t>
        </is>
      </c>
      <c r="C281" s="215">
        <f>IF(AND(ISNUMBER(C179),ISNUMBER(C159)),IFERROR(C179/C159,""),"")</f>
        <v/>
      </c>
      <c r="D281" s="215">
        <f>IF(AND(ISNUMBER(D179),ISNUMBER(D159)),IFERROR(D179/D159,""),"")</f>
        <v/>
      </c>
      <c r="E281" s="215">
        <f>IF(AND(ISNUMBER(E179),ISNUMBER(E159)),IFERROR(E179/E159,""),"")</f>
        <v/>
      </c>
      <c r="F281" s="215">
        <f>IF(AND(ISNUMBER(F179),ISNUMBER(F159)),IFERROR(F179/F159,""),"")</f>
        <v/>
      </c>
      <c r="G281" s="215">
        <f>IF(AND(ISNUMBER(G179),ISNUMBER(G159)),IFERROR(G179/G159,""),"")</f>
        <v/>
      </c>
      <c r="H281" s="215">
        <f>IF(AND(ISNUMBER(H179),ISNUMBER(H159)),IFERROR(H179/H159,""),"")</f>
        <v/>
      </c>
      <c r="I281" s="215">
        <f>IF(AND(ISNUMBER(I179),ISNUMBER(I159)),IFERROR(I179/I159,""),"")</f>
        <v/>
      </c>
      <c r="J281" s="215">
        <f>IF(AND(ISNUMBER(J179),ISNUMBER(J159)),IFERROR(J179/J159,""),"")</f>
        <v/>
      </c>
      <c r="K281" s="215">
        <f>IF(AND(ISNUMBER(K179),ISNUMBER(K159)),IFERROR(K179/K159,""),"")</f>
        <v/>
      </c>
      <c r="L281" s="215">
        <f>IF(AND(ISNUMBER(L179),ISNUMBER(L159)),IFERROR(L179/L159,""),"")</f>
        <v/>
      </c>
      <c r="M281" s="215">
        <f>IF(AND(ISNUMBER(M179),ISNUMBER(M159)),IFERROR(M179/M159,""),"")</f>
        <v/>
      </c>
      <c r="N281" s="215">
        <f>IF(AND(ISNUMBER(N179),ISNUMBER(N159)),IFERROR(N179/N159,""),"")</f>
        <v/>
      </c>
      <c r="O281" s="215">
        <f>IF(AND(ISNUMBER(O179),ISNUMBER(O159)),IFERROR(O179/O159,""),"")</f>
        <v/>
      </c>
      <c r="P281" s="215">
        <f>IF(AND(ISNUMBER(P179),ISNUMBER(P159)),IFERROR(P179/P159,""),"")</f>
        <v/>
      </c>
      <c r="Q281" s="215">
        <f>IF(AND(ISNUMBER(Q179),ISNUMBER(Q159)),IFERROR(Q179/Q159,""),"")</f>
        <v/>
      </c>
      <c r="R281" s="215">
        <f>IF(AND(ISNUMBER(R179),ISNUMBER(R159)),IFERROR(R179/R159,""),"")</f>
        <v/>
      </c>
      <c r="S281" s="215">
        <f>IF(AND(ISNUMBER(S179),ISNUMBER(S159)),IFERROR(S179/S159,""),"")</f>
        <v/>
      </c>
      <c r="T281" s="215">
        <f>IF(AND(ISNUMBER(T179),ISNUMBER(T159)),IFERROR(T179/T159,""),"")</f>
        <v/>
      </c>
      <c r="U281" s="215">
        <f>IF(AND(ISNUMBER(U179),ISNUMBER(U159)),IFERROR(U179/U159,""),"")</f>
        <v/>
      </c>
      <c r="V281" s="215">
        <f>IF(AND(ISNUMBER(V179),ISNUMBER(V159)),IFERROR(V179/V159,""),"")</f>
        <v/>
      </c>
      <c r="W281" s="215">
        <f>IF(AND(ISNUMBER(W179),ISNUMBER(W159)),IFERROR(W179/W159,""),"")</f>
        <v/>
      </c>
      <c r="X281" s="215">
        <f>IF(AND(ISNUMBER(X179),ISNUMBER(X159)),IFERROR(X179/X159,""),"")</f>
        <v/>
      </c>
      <c r="Y281" s="215">
        <f>IF(AND(ISNUMBER(Y179),ISNUMBER(Y159)),IFERROR(Y179/Y159,""),"")</f>
        <v/>
      </c>
      <c r="Z281" s="215">
        <f>IF(AND(ISNUMBER(Z179),ISNUMBER(Z159)),IFERROR(Z179/Z159,""),"")</f>
        <v/>
      </c>
      <c r="AA281" s="215">
        <f>IF(AND(ISNUMBER(AA179),ISNUMBER(AA159)),IFERROR(AA179/AA159,""),"")</f>
        <v/>
      </c>
      <c r="AB281" s="215">
        <f>IF(AND(ISNUMBER(AB179),ISNUMBER(AB159)),IFERROR(AB179/AB159,""),"")</f>
        <v/>
      </c>
      <c r="AC281" s="215">
        <f>IF(AND(ISNUMBER(AC179),ISNUMBER(AC159)),IFERROR(AC179/AC159,""),"")</f>
        <v/>
      </c>
      <c r="AD281" s="215">
        <f>IF(AND(ISNUMBER(AD179),ISNUMBER(AD159)),IFERROR(AD179/AD159,""),"")</f>
        <v/>
      </c>
      <c r="AE281" s="215">
        <f>IF(AND(ISNUMBER(AE179),ISNUMBER(AE159)),IFERROR(AE179/AE159,""),"")</f>
        <v/>
      </c>
      <c r="AF281" s="215">
        <f>IF(AND(ISNUMBER(AF179),ISNUMBER(AF159)),IFERROR(AF179/AF159,""),"")</f>
        <v/>
      </c>
      <c r="AG281" s="215">
        <f>IF(AND(ISNUMBER(AG179),ISNUMBER(AG159)),IFERROR(AG179/AG159,""),"")</f>
        <v/>
      </c>
      <c r="AH281" s="215">
        <f>IF(AND(ISNUMBER(AH179),ISNUMBER(AH159)),IFERROR(AH179/AH159,""),"")</f>
        <v/>
      </c>
      <c r="AI281" s="215">
        <f>IF(AND(ISNUMBER(AI179),ISNUMBER(AI159)),IFERROR(AI179/AI159,""),"")</f>
        <v/>
      </c>
      <c r="AJ281" s="215">
        <f>IF(AND(ISNUMBER(AJ179),ISNUMBER(AJ159)),IFERROR(AJ179/AJ159,""),"")</f>
        <v/>
      </c>
      <c r="AK281" s="215">
        <f>IF(AND(ISNUMBER(AK179),ISNUMBER(AK159)),IFERROR(AK179/AK159,""),"")</f>
        <v/>
      </c>
      <c r="AL281" s="215">
        <f>IF(AND(ISNUMBER(AL179),ISNUMBER(AL159)),IFERROR(AL179/AL159,""),"")</f>
        <v/>
      </c>
      <c r="AM281" s="256">
        <f>IF(AND(ISNUMBER(AM179),ISNUMBER(AM159)),IFERROR(AM179/AM159,""),"")</f>
        <v/>
      </c>
      <c r="AN281" s="256">
        <f>IF(AND(ISNUMBER(AN179),ISNUMBER(AN159)),IFERROR(AN179/AN159,""),"")</f>
        <v/>
      </c>
      <c r="AO281" s="256">
        <f>IF(AND(ISNUMBER(AO179),ISNUMBER(AO159)),IFERROR(AO179/AO159,""),"")</f>
        <v/>
      </c>
      <c r="AP281" s="256">
        <f>IF(AND(ISNUMBER(AP179),ISNUMBER(AP159)),IFERROR(AP179/AP159,""),"")</f>
        <v/>
      </c>
      <c r="AQ281" s="256">
        <f>IF(AND(ISNUMBER(AQ179),ISNUMBER(AQ159)),IFERROR(AQ179/AQ159,""),"")</f>
        <v/>
      </c>
      <c r="AR281" s="256">
        <f>IF(AND(ISNUMBER(AR179),ISNUMBER(AR159)),IFERROR(AR179/AR159,""),"")</f>
        <v/>
      </c>
      <c r="AS281" s="256">
        <f>IF(AND(ISNUMBER(AS179),ISNUMBER(AS159)),IFERROR(AS179/AS159,""),"")</f>
        <v/>
      </c>
      <c r="AT281" s="256">
        <f>IF(AND(ISNUMBER(AT179),ISNUMBER(AT159)),IFERROR(AT179/AT159,""),"")</f>
        <v/>
      </c>
      <c r="AU281" s="153" t="n"/>
      <c r="AW281" s="37">
        <f>IFERROR(AVERAGE(AP281,AQ281,AR281,AS281,AT281),"n/m")</f>
        <v/>
      </c>
      <c r="AX281" s="37">
        <f>IFERROR(AVERAGE(Q281,V281,AA281,AF281,AK281),"n/m")</f>
        <v/>
      </c>
      <c r="AY281" s="37">
        <f>IFERROR(AVERAGE(H281,I281,J281,K281,L281,Q281,V281,AA281,AF281,AK281),"n/m")</f>
        <v/>
      </c>
      <c r="AZ281" s="37">
        <f>IFERROR(AVERAGE(C281,D281,E281,F281,G281,H281,I281,J281,K281,L281,Q281,V281,AA281,AF281,AK281),"n/m")</f>
        <v/>
      </c>
    </row>
    <row r="282" ht="15" customHeight="1" s="251">
      <c r="B282" s="25" t="inlineStr">
        <is>
          <t xml:space="preserve">  SG&amp;A % of revenue</t>
        </is>
      </c>
      <c r="C282" s="215">
        <f>IF(AND(ISNUMBER(C163),ISNUMBER(C159)),IFERROR(C163/C159,""),"")</f>
        <v/>
      </c>
      <c r="D282" s="215">
        <f>IF(AND(ISNUMBER(D163),ISNUMBER(D159)),IFERROR(D163/D159,""),"")</f>
        <v/>
      </c>
      <c r="E282" s="215">
        <f>IF(AND(ISNUMBER(E163),ISNUMBER(E159)),IFERROR(E163/E159,""),"")</f>
        <v/>
      </c>
      <c r="F282" s="215">
        <f>IF(AND(ISNUMBER(F163),ISNUMBER(F159)),IFERROR(F163/F159,""),"")</f>
        <v/>
      </c>
      <c r="G282" s="215">
        <f>IF(AND(ISNUMBER(G163),ISNUMBER(G159)),IFERROR(G163/G159,""),"")</f>
        <v/>
      </c>
      <c r="H282" s="215">
        <f>IF(AND(ISNUMBER(H163),ISNUMBER(H159)),IFERROR(H163/H159,""),"")</f>
        <v/>
      </c>
      <c r="I282" s="215">
        <f>IF(AND(ISNUMBER(I163),ISNUMBER(I159)),IFERROR(I163/I159,""),"")</f>
        <v/>
      </c>
      <c r="J282" s="215">
        <f>IF(AND(ISNUMBER(J163),ISNUMBER(J159)),IFERROR(J163/J159,""),"")</f>
        <v/>
      </c>
      <c r="K282" s="215">
        <f>IF(AND(ISNUMBER(K163),ISNUMBER(K159)),IFERROR(K163/K159,""),"")</f>
        <v/>
      </c>
      <c r="L282" s="215">
        <f>IF(AND(ISNUMBER(L163),ISNUMBER(L159)),IFERROR(L163/L159,""),"")</f>
        <v/>
      </c>
      <c r="M282" s="215">
        <f>IF(AND(ISNUMBER(M163),ISNUMBER(M159)),IFERROR(M163/M159,""),"")</f>
        <v/>
      </c>
      <c r="N282" s="215">
        <f>IF(AND(ISNUMBER(N163),ISNUMBER(N159)),IFERROR(N163/N159,""),"")</f>
        <v/>
      </c>
      <c r="O282" s="215">
        <f>IF(AND(ISNUMBER(O163),ISNUMBER(O159)),IFERROR(O163/O159,""),"")</f>
        <v/>
      </c>
      <c r="P282" s="215">
        <f>IF(AND(ISNUMBER(P163),ISNUMBER(P159)),IFERROR(P163/P159,""),"")</f>
        <v/>
      </c>
      <c r="Q282" s="215">
        <f>IF(AND(ISNUMBER(Q163),ISNUMBER(Q159)),IFERROR(Q163/Q159,""),"")</f>
        <v/>
      </c>
      <c r="R282" s="215">
        <f>IF(AND(ISNUMBER(R163),ISNUMBER(R159)),IFERROR(R163/R159,""),"")</f>
        <v/>
      </c>
      <c r="S282" s="215">
        <f>IF(AND(ISNUMBER(S163),ISNUMBER(S159)),IFERROR(S163/S159,""),"")</f>
        <v/>
      </c>
      <c r="T282" s="215">
        <f>IF(AND(ISNUMBER(T163),ISNUMBER(T159)),IFERROR(T163/T159,""),"")</f>
        <v/>
      </c>
      <c r="U282" s="215">
        <f>IF(AND(ISNUMBER(U163),ISNUMBER(U159)),IFERROR(U163/U159,""),"")</f>
        <v/>
      </c>
      <c r="V282" s="215">
        <f>IF(AND(ISNUMBER(V163),ISNUMBER(V159)),IFERROR(V163/V159,""),"")</f>
        <v/>
      </c>
      <c r="W282" s="215">
        <f>IF(AND(ISNUMBER(W163),ISNUMBER(W159)),IFERROR(W163/W159,""),"")</f>
        <v/>
      </c>
      <c r="X282" s="215">
        <f>IF(AND(ISNUMBER(X163),ISNUMBER(X159)),IFERROR(X163/X159,""),"")</f>
        <v/>
      </c>
      <c r="Y282" s="215">
        <f>IF(AND(ISNUMBER(Y163),ISNUMBER(Y159)),IFERROR(Y163/Y159,""),"")</f>
        <v/>
      </c>
      <c r="Z282" s="215">
        <f>IF(AND(ISNUMBER(Z163),ISNUMBER(Z159)),IFERROR(Z163/Z159,""),"")</f>
        <v/>
      </c>
      <c r="AA282" s="215">
        <f>IF(AND(ISNUMBER(AA163),ISNUMBER(AA159)),IFERROR(AA163/AA159,""),"")</f>
        <v/>
      </c>
      <c r="AB282" s="215">
        <f>IF(AND(ISNUMBER(AB163),ISNUMBER(AB159)),IFERROR(AB163/AB159,""),"")</f>
        <v/>
      </c>
      <c r="AC282" s="215">
        <f>IF(AND(ISNUMBER(AC163),ISNUMBER(AC159)),IFERROR(AC163/AC159,""),"")</f>
        <v/>
      </c>
      <c r="AD282" s="215">
        <f>IF(AND(ISNUMBER(AD163),ISNUMBER(AD159)),IFERROR(AD163/AD159,""),"")</f>
        <v/>
      </c>
      <c r="AE282" s="215">
        <f>IF(AND(ISNUMBER(AE163),ISNUMBER(AE159)),IFERROR(AE163/AE159,""),"")</f>
        <v/>
      </c>
      <c r="AF282" s="215">
        <f>IF(AND(ISNUMBER(AF163),ISNUMBER(AF159)),IFERROR(AF163/AF159,""),"")</f>
        <v/>
      </c>
      <c r="AG282" s="215">
        <f>IF(AND(ISNUMBER(AG163),ISNUMBER(AG159)),IFERROR(AG163/AG159,""),"")</f>
        <v/>
      </c>
      <c r="AH282" s="215">
        <f>IF(AND(ISNUMBER(AH163),ISNUMBER(AH159)),IFERROR(AH163/AH159,""),"")</f>
        <v/>
      </c>
      <c r="AI282" s="215">
        <f>IF(AND(ISNUMBER(AI163),ISNUMBER(AI159)),IFERROR(AI163/AI159,""),"")</f>
        <v/>
      </c>
      <c r="AJ282" s="215">
        <f>IF(AND(ISNUMBER(AJ163),ISNUMBER(AJ159)),IFERROR(AJ163/AJ159,""),"")</f>
        <v/>
      </c>
      <c r="AK282" s="215">
        <f>IF(AND(ISNUMBER(AK163),ISNUMBER(AK159)),IFERROR(AK163/AK159,""),"")</f>
        <v/>
      </c>
      <c r="AL282" s="215">
        <f>IF(AND(ISNUMBER(AL163),ISNUMBER(AL159)),IFERROR(AL163/AL159,""),"")</f>
        <v/>
      </c>
      <c r="AM282" s="256">
        <f>IF(AND(ISNUMBER(AM163),ISNUMBER(AM159)),IFERROR(AM163/AM159,""),"")</f>
        <v/>
      </c>
      <c r="AN282" s="256">
        <f>IF(AND(ISNUMBER(AN163),ISNUMBER(AN159)),IFERROR(AN163/AN159,""),"")</f>
        <v/>
      </c>
      <c r="AO282" s="256">
        <f>IF(AND(ISNUMBER(AO163),ISNUMBER(AO159)),IFERROR(AO163/AO159,""),"")</f>
        <v/>
      </c>
      <c r="AP282" s="256">
        <f>IF(AND(ISNUMBER(AP163),ISNUMBER(AP159)),IFERROR(AP163/AP159,""),"")</f>
        <v/>
      </c>
      <c r="AQ282" s="256">
        <f>IF(AND(ISNUMBER(AQ163),ISNUMBER(AQ159)),IFERROR(AQ163/AQ159,""),"")</f>
        <v/>
      </c>
      <c r="AR282" s="256">
        <f>IF(AND(ISNUMBER(AR163),ISNUMBER(AR159)),IFERROR(AR163/AR159,""),"")</f>
        <v/>
      </c>
      <c r="AS282" s="256">
        <f>IF(AND(ISNUMBER(AS163),ISNUMBER(AS159)),IFERROR(AS163/AS159,""),"")</f>
        <v/>
      </c>
      <c r="AT282" s="256">
        <f>IF(AND(ISNUMBER(AT163),ISNUMBER(AT159)),IFERROR(AT163/AT159,""),"")</f>
        <v/>
      </c>
      <c r="AU282" s="153" t="n"/>
      <c r="AW282" s="37">
        <f>IFERROR(AVERAGE(AP282,AQ282,AR282,AS282,AT282),"n/m")</f>
        <v/>
      </c>
      <c r="AX282" s="37">
        <f>IFERROR(AVERAGE(Q282,V282,AA282,AF282,AK282),"n/m")</f>
        <v/>
      </c>
      <c r="AY282" s="37">
        <f>IFERROR(AVERAGE(H282,I282,J282,K282,L282,Q282,V282,AA282,AF282,AK282),"n/m")</f>
        <v/>
      </c>
      <c r="AZ282" s="37">
        <f>IFERROR(AVERAGE(C282,D282,E282,F282,G282,H282,I282,J282,K282,L282,Q282,V282,AA282,AF282,AK282),"n/m")</f>
        <v/>
      </c>
    </row>
    <row r="283" ht="15" customHeight="1" s="251">
      <c r="B283" s="25" t="inlineStr">
        <is>
          <t xml:space="preserve">  R&amp;D % of revenue</t>
        </is>
      </c>
      <c r="C283" s="215">
        <f>IF(AND(ISNUMBER(C164),ISNUMBER(C159)),IFERROR(C164/C159,""),"")</f>
        <v/>
      </c>
      <c r="D283" s="215">
        <f>IF(AND(ISNUMBER(D164),ISNUMBER(D159)),IFERROR(D164/D159,""),"")</f>
        <v/>
      </c>
      <c r="E283" s="215">
        <f>IF(AND(ISNUMBER(E164),ISNUMBER(E159)),IFERROR(E164/E159,""),"")</f>
        <v/>
      </c>
      <c r="F283" s="215">
        <f>IF(AND(ISNUMBER(F164),ISNUMBER(F159)),IFERROR(F164/F159,""),"")</f>
        <v/>
      </c>
      <c r="G283" s="215">
        <f>IF(AND(ISNUMBER(G164),ISNUMBER(G159)),IFERROR(G164/G159,""),"")</f>
        <v/>
      </c>
      <c r="H283" s="215">
        <f>IF(AND(ISNUMBER(H164),ISNUMBER(H159)),IFERROR(H164/H159,""),"")</f>
        <v/>
      </c>
      <c r="I283" s="215">
        <f>IF(AND(ISNUMBER(I164),ISNUMBER(I159)),IFERROR(I164/I159,""),"")</f>
        <v/>
      </c>
      <c r="J283" s="215">
        <f>IF(AND(ISNUMBER(J164),ISNUMBER(J159)),IFERROR(J164/J159,""),"")</f>
        <v/>
      </c>
      <c r="K283" s="215">
        <f>IF(AND(ISNUMBER(K164),ISNUMBER(K159)),IFERROR(K164/K159,""),"")</f>
        <v/>
      </c>
      <c r="L283" s="215">
        <f>IF(AND(ISNUMBER(L164),ISNUMBER(L159)),IFERROR(L164/L159,""),"")</f>
        <v/>
      </c>
      <c r="M283" s="215">
        <f>IF(AND(ISNUMBER(M164),ISNUMBER(M159)),IFERROR(M164/M159,""),"")</f>
        <v/>
      </c>
      <c r="N283" s="215">
        <f>IF(AND(ISNUMBER(N164),ISNUMBER(N159)),IFERROR(N164/N159,""),"")</f>
        <v/>
      </c>
      <c r="O283" s="215">
        <f>IF(AND(ISNUMBER(O164),ISNUMBER(O159)),IFERROR(O164/O159,""),"")</f>
        <v/>
      </c>
      <c r="P283" s="215">
        <f>IF(AND(ISNUMBER(P164),ISNUMBER(P159)),IFERROR(P164/P159,""),"")</f>
        <v/>
      </c>
      <c r="Q283" s="215">
        <f>IF(AND(ISNUMBER(Q164),ISNUMBER(Q159)),IFERROR(Q164/Q159,""),"")</f>
        <v/>
      </c>
      <c r="R283" s="215">
        <f>IF(AND(ISNUMBER(R164),ISNUMBER(R159)),IFERROR(R164/R159,""),"")</f>
        <v/>
      </c>
      <c r="S283" s="215">
        <f>IF(AND(ISNUMBER(S164),ISNUMBER(S159)),IFERROR(S164/S159,""),"")</f>
        <v/>
      </c>
      <c r="T283" s="215">
        <f>IF(AND(ISNUMBER(T164),ISNUMBER(T159)),IFERROR(T164/T159,""),"")</f>
        <v/>
      </c>
      <c r="U283" s="215">
        <f>IF(AND(ISNUMBER(U164),ISNUMBER(U159)),IFERROR(U164/U159,""),"")</f>
        <v/>
      </c>
      <c r="V283" s="215">
        <f>IF(AND(ISNUMBER(V164),ISNUMBER(V159)),IFERROR(V164/V159,""),"")</f>
        <v/>
      </c>
      <c r="W283" s="215">
        <f>IF(AND(ISNUMBER(W164),ISNUMBER(W159)),IFERROR(W164/W159,""),"")</f>
        <v/>
      </c>
      <c r="X283" s="215">
        <f>IF(AND(ISNUMBER(X164),ISNUMBER(X159)),IFERROR(X164/X159,""),"")</f>
        <v/>
      </c>
      <c r="Y283" s="215">
        <f>IF(AND(ISNUMBER(Y164),ISNUMBER(Y159)),IFERROR(Y164/Y159,""),"")</f>
        <v/>
      </c>
      <c r="Z283" s="215">
        <f>IF(AND(ISNUMBER(Z164),ISNUMBER(Z159)),IFERROR(Z164/Z159,""),"")</f>
        <v/>
      </c>
      <c r="AA283" s="215">
        <f>IF(AND(ISNUMBER(AA164),ISNUMBER(AA159)),IFERROR(AA164/AA159,""),"")</f>
        <v/>
      </c>
      <c r="AB283" s="215">
        <f>IF(AND(ISNUMBER(AB164),ISNUMBER(AB159)),IFERROR(AB164/AB159,""),"")</f>
        <v/>
      </c>
      <c r="AC283" s="215">
        <f>IF(AND(ISNUMBER(AC164),ISNUMBER(AC159)),IFERROR(AC164/AC159,""),"")</f>
        <v/>
      </c>
      <c r="AD283" s="215">
        <f>IF(AND(ISNUMBER(AD164),ISNUMBER(AD159)),IFERROR(AD164/AD159,""),"")</f>
        <v/>
      </c>
      <c r="AE283" s="215">
        <f>IF(AND(ISNUMBER(AE164),ISNUMBER(AE159)),IFERROR(AE164/AE159,""),"")</f>
        <v/>
      </c>
      <c r="AF283" s="215">
        <f>IF(AND(ISNUMBER(AF164),ISNUMBER(AF159)),IFERROR(AF164/AF159,""),"")</f>
        <v/>
      </c>
      <c r="AG283" s="215">
        <f>IF(AND(ISNUMBER(AG164),ISNUMBER(AG159)),IFERROR(AG164/AG159,""),"")</f>
        <v/>
      </c>
      <c r="AH283" s="215">
        <f>IF(AND(ISNUMBER(AH164),ISNUMBER(AH159)),IFERROR(AH164/AH159,""),"")</f>
        <v/>
      </c>
      <c r="AI283" s="215">
        <f>IF(AND(ISNUMBER(AI164),ISNUMBER(AI159)),IFERROR(AI164/AI159,""),"")</f>
        <v/>
      </c>
      <c r="AJ283" s="215">
        <f>IF(AND(ISNUMBER(AJ164),ISNUMBER(AJ159)),IFERROR(AJ164/AJ159,""),"")</f>
        <v/>
      </c>
      <c r="AK283" s="215">
        <f>IF(AND(ISNUMBER(AK164),ISNUMBER(AK159)),IFERROR(AK164/AK159,""),"")</f>
        <v/>
      </c>
      <c r="AL283" s="215">
        <f>IF(AND(ISNUMBER(AL164),ISNUMBER(AL159)),IFERROR(AL164/AL159,""),"")</f>
        <v/>
      </c>
      <c r="AM283" s="256">
        <f>IF(AND(ISNUMBER(AM164),ISNUMBER(AM159)),IFERROR(AM164/AM159,""),"")</f>
        <v/>
      </c>
      <c r="AN283" s="256">
        <f>IF(AND(ISNUMBER(AN164),ISNUMBER(AN159)),IFERROR(AN164/AN159,""),"")</f>
        <v/>
      </c>
      <c r="AO283" s="256">
        <f>IF(AND(ISNUMBER(AO164),ISNUMBER(AO159)),IFERROR(AO164/AO159,""),"")</f>
        <v/>
      </c>
      <c r="AP283" s="256">
        <f>IF(AND(ISNUMBER(AP164),ISNUMBER(AP159)),IFERROR(AP164/AP159,""),"")</f>
        <v/>
      </c>
      <c r="AQ283" s="256">
        <f>IF(AND(ISNUMBER(AQ164),ISNUMBER(AQ159)),IFERROR(AQ164/AQ159,""),"")</f>
        <v/>
      </c>
      <c r="AR283" s="256">
        <f>IF(AND(ISNUMBER(AR164),ISNUMBER(AR159)),IFERROR(AR164/AR159,""),"")</f>
        <v/>
      </c>
      <c r="AS283" s="256">
        <f>IF(AND(ISNUMBER(AS164),ISNUMBER(AS159)),IFERROR(AS164/AS159,""),"")</f>
        <v/>
      </c>
      <c r="AT283" s="256">
        <f>IF(AND(ISNUMBER(AT164),ISNUMBER(AT159)),IFERROR(AT164/AT159,""),"")</f>
        <v/>
      </c>
      <c r="AU283" s="153" t="n"/>
      <c r="AW283" s="37">
        <f>IFERROR(AVERAGE(AP283,AQ283,AR283,AS283,AT283),"n/m")</f>
        <v/>
      </c>
      <c r="AX283" s="37">
        <f>IFERROR(AVERAGE(Q283,V283,AA283,AF283,AK283),"n/m")</f>
        <v/>
      </c>
      <c r="AY283" s="37">
        <f>IFERROR(AVERAGE(H283,I283,J283,K283,L283,Q283,V283,AA283,AF283,AK283),"n/m")</f>
        <v/>
      </c>
      <c r="AZ283" s="37">
        <f>IFERROR(AVERAGE(C283,D283,E283,F283,G283,H283,I283,J283,K283,L283,Q283,V283,AA283,AF283,AK283),"n/m")</f>
        <v/>
      </c>
    </row>
    <row r="284" ht="15" customHeight="1" s="251">
      <c r="BC284" s="11" t="n"/>
      <c r="BD284" s="12" t="n"/>
      <c r="BE284" s="12" t="n"/>
      <c r="BF284" s="12" t="n"/>
      <c r="BG284" s="13" t="n"/>
    </row>
    <row r="285" ht="15" customHeight="1" s="251">
      <c r="B285" s="10" t="inlineStr">
        <is>
          <t>CONSOLIDATED STATEMENT OF CASH FLOWS (total company, incl. discontinued operations)</t>
        </is>
      </c>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c r="AH285" s="10" t="n"/>
      <c r="AI285" s="10" t="n"/>
      <c r="AJ285" s="10" t="n"/>
      <c r="AK285" s="10" t="n"/>
      <c r="AL285" s="10" t="n"/>
      <c r="AM285" s="10" t="n"/>
      <c r="AN285" s="10" t="n"/>
      <c r="AO285" s="10" t="n"/>
      <c r="AP285" s="10" t="n"/>
      <c r="AQ285" s="10" t="n"/>
      <c r="AR285" s="10" t="n"/>
      <c r="AS285" s="10" t="n"/>
      <c r="AT285" s="10" t="n"/>
      <c r="AU285" s="10" t="inlineStr">
        <is>
          <t>CASH FLOW — forecast logic (annual; 2027E = Q1/27 actual + Q2–Q4 estimate; quarters = discrete, derived from year-to-date statements)</t>
        </is>
      </c>
    </row>
    <row r="286" ht="15" customHeight="1" s="251">
      <c r="B286" s="25" t="inlineStr">
        <is>
          <t>Net income (incl. noncontrolling interests and discontinued operations)</t>
        </is>
      </c>
      <c r="C286" s="253" t="n">
        <v>136.115</v>
      </c>
      <c r="D286" s="253" t="n">
        <v>159.977</v>
      </c>
      <c r="E286" s="253" t="n">
        <v>129.442</v>
      </c>
      <c r="F286" s="253" t="n">
        <v>135.064</v>
      </c>
      <c r="G286" s="253" t="n">
        <v>111.585</v>
      </c>
      <c r="H286" s="253" t="n">
        <v>110.631</v>
      </c>
      <c r="I286" s="253" t="n">
        <v>291.622</v>
      </c>
      <c r="J286" s="253" t="n">
        <v>305.076</v>
      </c>
      <c r="K286" s="253" t="n">
        <v>407.805</v>
      </c>
      <c r="L286" s="253" t="n">
        <v>396.87</v>
      </c>
      <c r="M286" s="253" t="n">
        <v>-21.902</v>
      </c>
      <c r="N286" s="253" t="n">
        <v>69.625</v>
      </c>
      <c r="O286" s="253" t="n">
        <v>143.094</v>
      </c>
      <c r="P286" s="253" t="n">
        <v>52.053</v>
      </c>
      <c r="Q286" s="253" t="n">
        <v>242.87</v>
      </c>
      <c r="R286" s="253" t="n">
        <v>110.755</v>
      </c>
      <c r="S286" s="253" t="n">
        <v>-315.231</v>
      </c>
      <c r="T286" s="253" t="n">
        <v>123.325</v>
      </c>
      <c r="U286" s="253" t="n">
        <v>186.964</v>
      </c>
      <c r="V286" s="253" t="n">
        <v>105.813</v>
      </c>
      <c r="W286" s="253" t="n">
        <v>123.79</v>
      </c>
      <c r="X286" s="253" t="n">
        <v>116.346</v>
      </c>
      <c r="Y286" s="253" t="n">
        <v>140.945</v>
      </c>
      <c r="Z286" s="253" t="n">
        <v>-1.002</v>
      </c>
      <c r="AA286" s="253" t="n">
        <v>380.079</v>
      </c>
      <c r="AB286" s="253" t="n">
        <v>145.541</v>
      </c>
      <c r="AC286" s="253" t="n">
        <v>151.173</v>
      </c>
      <c r="AD286" s="253" t="n">
        <v>173.285</v>
      </c>
      <c r="AE286" s="253" t="n">
        <v>146.075</v>
      </c>
      <c r="AF286" s="253" t="n">
        <v>616.074</v>
      </c>
      <c r="AG286" s="253" t="n">
        <v>178</v>
      </c>
      <c r="AH286" s="253" t="n">
        <v>192.4</v>
      </c>
      <c r="AI286" s="253" t="n">
        <v>194.4</v>
      </c>
      <c r="AJ286" s="253" t="n">
        <v>220.3</v>
      </c>
      <c r="AK286" s="253" t="n">
        <v>785.1</v>
      </c>
      <c r="AL286" s="253" t="n">
        <v>201</v>
      </c>
      <c r="AM286" s="35" t="n"/>
      <c r="AN286" s="35" t="n"/>
      <c r="AO286" s="35" t="n"/>
      <c r="AP286" s="254">
        <f>AL286+(AM176+AN176+AO176)</f>
        <v/>
      </c>
      <c r="AQ286" s="254">
        <f>AQ176</f>
        <v/>
      </c>
      <c r="AR286" s="254">
        <f>AR176</f>
        <v/>
      </c>
      <c r="AS286" s="254">
        <f>AS176</f>
        <v/>
      </c>
      <c r="AT286" s="254">
        <f>AT176</f>
        <v/>
      </c>
      <c r="AU286" s="19" t="n"/>
    </row>
    <row r="287" ht="15" customHeight="1" s="251">
      <c r="B287" s="25" t="inlineStr">
        <is>
          <t>Non-cash items:</t>
        </is>
      </c>
      <c r="AU287" s="153" t="n"/>
    </row>
    <row r="288" ht="15" customHeight="1" s="251">
      <c r="B288" s="25" t="inlineStr">
        <is>
          <t xml:space="preserve">  Depreciation, depletion &amp; amortization</t>
        </is>
      </c>
      <c r="C288" s="253" t="n">
        <v>62.906</v>
      </c>
      <c r="D288" s="253" t="n">
        <v>69.035</v>
      </c>
      <c r="E288" s="253" t="n">
        <v>75.649</v>
      </c>
      <c r="F288" s="253" t="n">
        <v>91.541</v>
      </c>
      <c r="G288" s="253" t="n">
        <v>143.74</v>
      </c>
      <c r="H288" s="253" t="n">
        <v>188.142</v>
      </c>
      <c r="I288" s="253" t="n">
        <v>178.332</v>
      </c>
      <c r="J288" s="253" t="n">
        <v>225.921</v>
      </c>
      <c r="K288" s="253" t="n">
        <v>197.235</v>
      </c>
      <c r="L288" s="253" t="n">
        <v>219.237</v>
      </c>
      <c r="M288" s="253" t="n">
        <v>83.621</v>
      </c>
      <c r="N288" s="253" t="n">
        <v>118.042</v>
      </c>
      <c r="O288" s="253" t="n">
        <v>117.61</v>
      </c>
      <c r="P288" s="253" t="n">
        <v>233.831</v>
      </c>
      <c r="Q288" s="253" t="n">
        <v>553.104</v>
      </c>
      <c r="R288" s="253" t="n">
        <v>138.863</v>
      </c>
      <c r="S288" s="253" t="n">
        <v>133.879</v>
      </c>
      <c r="T288" s="253" t="n">
        <v>137.951</v>
      </c>
      <c r="U288" s="253" t="n">
        <v>142.204</v>
      </c>
      <c r="V288" s="253" t="n">
        <v>552.897</v>
      </c>
      <c r="W288" s="253" t="n">
        <v>137.925</v>
      </c>
      <c r="X288" s="253" t="n">
        <v>152.252</v>
      </c>
      <c r="Y288" s="253" t="n">
        <v>140.629</v>
      </c>
      <c r="Z288" s="253" t="n">
        <v>134.438</v>
      </c>
      <c r="AA288" s="253" t="n">
        <v>565.244</v>
      </c>
      <c r="AB288" s="253" t="n">
        <v>112.698</v>
      </c>
      <c r="AC288" s="253" t="n">
        <v>115.255</v>
      </c>
      <c r="AD288" s="253" t="n">
        <v>125.913</v>
      </c>
      <c r="AE288" s="253" t="n">
        <v>122.349</v>
      </c>
      <c r="AF288" s="253" t="n">
        <v>476.215</v>
      </c>
      <c r="AG288" s="253" t="n">
        <v>119.4</v>
      </c>
      <c r="AH288" s="253" t="n">
        <v>121.7</v>
      </c>
      <c r="AI288" s="253" t="n">
        <v>122</v>
      </c>
      <c r="AJ288" s="253" t="n">
        <v>123.4</v>
      </c>
      <c r="AK288" s="253" t="n">
        <v>486.5</v>
      </c>
      <c r="AL288" s="253" t="n">
        <v>123.8</v>
      </c>
      <c r="AM288" s="35" t="n"/>
      <c r="AN288" s="35" t="n"/>
      <c r="AO288" s="35" t="n"/>
      <c r="AP288" s="254">
        <f>AL288+(AM182+AN182+AO182)</f>
        <v/>
      </c>
      <c r="AQ288" s="254">
        <f>AQ182</f>
        <v/>
      </c>
      <c r="AR288" s="254">
        <f>AR182</f>
        <v/>
      </c>
      <c r="AS288" s="254">
        <f>AS182</f>
        <v/>
      </c>
      <c r="AT288" s="254">
        <f>AT182</f>
        <v/>
      </c>
      <c r="AU288" s="19" t="n"/>
    </row>
    <row r="289" ht="15" customHeight="1" s="251">
      <c r="B289" s="25" t="inlineStr">
        <is>
          <t xml:space="preserve">  Share-based compensation</t>
        </is>
      </c>
      <c r="C289" s="253" t="n">
        <v>7.858</v>
      </c>
      <c r="D289" s="253" t="n">
        <v>8.917</v>
      </c>
      <c r="E289" s="253" t="n">
        <v>11.1</v>
      </c>
      <c r="F289" s="253" t="n">
        <v>14.921</v>
      </c>
      <c r="G289" s="253" t="n">
        <v>16.147</v>
      </c>
      <c r="H289" s="253" t="n">
        <v>18.794</v>
      </c>
      <c r="I289" s="253" t="n">
        <v>22.187</v>
      </c>
      <c r="J289" s="253" t="n">
        <v>23.965</v>
      </c>
      <c r="K289" s="253" t="n">
        <v>23.811</v>
      </c>
      <c r="L289" s="253" t="n">
        <v>25.966</v>
      </c>
      <c r="M289" s="253" t="n">
        <v>26.6</v>
      </c>
      <c r="N289" s="253" t="n">
        <v>11.31</v>
      </c>
      <c r="O289" s="253" t="n">
        <v>9.999000000000001</v>
      </c>
      <c r="P289" s="253" t="n">
        <v>9.750999999999999</v>
      </c>
      <c r="Q289" s="253" t="n">
        <v>57.66</v>
      </c>
      <c r="R289" s="253" t="n">
        <v>8.962999999999999</v>
      </c>
      <c r="S289" s="253" t="n">
        <v>11.548</v>
      </c>
      <c r="T289" s="253" t="n">
        <v>9.346</v>
      </c>
      <c r="U289" s="253" t="n">
        <v>9.093999999999999</v>
      </c>
      <c r="V289" s="253" t="n">
        <v>38.951</v>
      </c>
      <c r="W289" s="253" t="n">
        <v>11.579</v>
      </c>
      <c r="X289" s="253" t="n">
        <v>20.716</v>
      </c>
      <c r="Y289" s="253" t="n">
        <v>15.293</v>
      </c>
      <c r="Z289" s="253" t="n">
        <v>8.946999999999999</v>
      </c>
      <c r="AA289" s="253" t="n">
        <v>56.535</v>
      </c>
      <c r="AB289" s="253" t="n">
        <v>11.46</v>
      </c>
      <c r="AC289" s="253" t="n">
        <v>20.812</v>
      </c>
      <c r="AD289" s="253" t="n">
        <v>15.334</v>
      </c>
      <c r="AE289" s="253" t="n">
        <v>9.791</v>
      </c>
      <c r="AF289" s="253" t="n">
        <v>57.397</v>
      </c>
      <c r="AG289" s="253" t="n">
        <v>11.9</v>
      </c>
      <c r="AH289" s="253" t="n">
        <v>21.2</v>
      </c>
      <c r="AI289" s="253" t="n">
        <v>15.7</v>
      </c>
      <c r="AJ289" s="253" t="n">
        <v>12.9</v>
      </c>
      <c r="AK289" s="253" t="n">
        <v>61.7</v>
      </c>
      <c r="AL289" s="253" t="n">
        <v>12.8</v>
      </c>
      <c r="AM289" s="35" t="n"/>
      <c r="AN289" s="35" t="n"/>
      <c r="AO289" s="35" t="n"/>
      <c r="AP289" s="254">
        <f>AL289+(AM183+AN183+AO183)</f>
        <v/>
      </c>
      <c r="AQ289" s="254">
        <f>AQ183</f>
        <v/>
      </c>
      <c r="AR289" s="254">
        <f>AR183</f>
        <v/>
      </c>
      <c r="AS289" s="254">
        <f>AS183</f>
        <v/>
      </c>
      <c r="AT289" s="254">
        <f>AT183</f>
        <v/>
      </c>
      <c r="AU289" s="19" t="n"/>
    </row>
    <row r="290" ht="15" customHeight="1" s="251">
      <c r="B290" s="25" t="inlineStr">
        <is>
          <t xml:space="preserve">  Deferred income taxes</t>
        </is>
      </c>
      <c r="C290" s="253" t="n">
        <v>22.093</v>
      </c>
      <c r="D290" s="253" t="n">
        <v>23.751</v>
      </c>
      <c r="E290" s="253" t="n">
        <v>15.176</v>
      </c>
      <c r="F290" s="253" t="n">
        <v>-4.916</v>
      </c>
      <c r="G290" s="253" t="n">
        <v>0.704</v>
      </c>
      <c r="H290" s="253" t="n">
        <v>31.274</v>
      </c>
      <c r="I290" s="253" t="n">
        <v>-24.722</v>
      </c>
      <c r="J290" s="253" t="n">
        <v>-6.511</v>
      </c>
      <c r="K290" s="253" t="n">
        <v>9.423</v>
      </c>
      <c r="L290" s="253" t="n">
        <v>4.24</v>
      </c>
      <c r="M290" s="253" t="n">
        <v>0.456</v>
      </c>
      <c r="N290" s="253" t="n">
        <v>2.673</v>
      </c>
      <c r="O290" s="253" t="n">
        <v>0.012</v>
      </c>
      <c r="P290" s="253" t="n">
        <v>-109.761</v>
      </c>
      <c r="Q290" s="253" t="n">
        <v>-106.62</v>
      </c>
      <c r="R290" s="253" t="n">
        <v>5.304</v>
      </c>
      <c r="S290" s="253" t="n">
        <v>-68.202</v>
      </c>
      <c r="T290" s="253" t="n">
        <v>0.101</v>
      </c>
      <c r="U290" s="253" t="n">
        <v>-123.116</v>
      </c>
      <c r="V290" s="253" t="n">
        <v>-185.913</v>
      </c>
      <c r="W290" s="253" t="n">
        <v>-0.445</v>
      </c>
      <c r="X290" s="253" t="n">
        <v>-0.869</v>
      </c>
      <c r="Y290" s="253" t="n">
        <v>0.8080000000000001</v>
      </c>
      <c r="Z290" s="253" t="n">
        <v>-130.906</v>
      </c>
      <c r="AA290" s="253" t="n">
        <v>-131.412</v>
      </c>
      <c r="AB290" s="253" t="n">
        <v>-22.121</v>
      </c>
      <c r="AC290" s="253" t="n">
        <v>0.036</v>
      </c>
      <c r="AD290" s="253" t="n">
        <v>-1.702</v>
      </c>
      <c r="AE290" s="253" t="n">
        <v>-52.759</v>
      </c>
      <c r="AF290" s="253" t="n">
        <v>-76.54600000000001</v>
      </c>
      <c r="AG290" s="253" t="n">
        <v>0</v>
      </c>
      <c r="AH290" s="253" t="n">
        <v>-0.1</v>
      </c>
      <c r="AI290" s="253" t="n">
        <v>-0.1</v>
      </c>
      <c r="AJ290" s="253" t="n">
        <v>-16.7</v>
      </c>
      <c r="AK290" s="253" t="n">
        <v>-16.9</v>
      </c>
      <c r="AL290" s="253" t="n">
        <v>0.6</v>
      </c>
      <c r="AM290" s="35" t="n"/>
      <c r="AN290" s="35" t="n"/>
      <c r="AO290" s="35" t="n"/>
      <c r="AP290" s="254">
        <f>AL290+-12.0</f>
        <v/>
      </c>
      <c r="AQ290" s="266" t="n">
        <v>-15</v>
      </c>
      <c r="AR290" s="266" t="n">
        <v>-15</v>
      </c>
      <c r="AS290" s="266" t="n">
        <v>-15</v>
      </c>
      <c r="AT290" s="266" t="n">
        <v>-15</v>
      </c>
      <c r="AU290" s="19" t="inlineStr">
        <is>
          <t>Deferred tax benefit on book amortization of acquired intangibles (Cantel); 2028E+ input.</t>
        </is>
      </c>
    </row>
    <row r="291" ht="15" customHeight="1" s="251">
      <c r="B291" s="25" t="inlineStr">
        <is>
          <t xml:space="preserve">  Other non-cash items (step-up, impairments, (gains) / losses on businesses, other; derived)</t>
        </is>
      </c>
      <c r="C291" s="253" t="n">
        <v>-0.329</v>
      </c>
      <c r="D291" s="253" t="n">
        <v>-7.124</v>
      </c>
      <c r="E291" s="253" t="n">
        <v>5.213</v>
      </c>
      <c r="F291" s="253" t="n">
        <v>-8.076000000000001</v>
      </c>
      <c r="G291" s="253" t="n">
        <v>-13.448</v>
      </c>
      <c r="H291" s="253" t="n">
        <v>74.092</v>
      </c>
      <c r="I291" s="253" t="n">
        <v>49.358</v>
      </c>
      <c r="J291" s="253" t="n">
        <v>-18.843</v>
      </c>
      <c r="K291" s="253" t="n">
        <v>2.022</v>
      </c>
      <c r="L291" s="253" t="n">
        <v>24.321</v>
      </c>
      <c r="M291" s="253" t="n">
        <v>21.832</v>
      </c>
      <c r="N291" s="253" t="n">
        <v>100.055</v>
      </c>
      <c r="O291" s="253" t="n">
        <v>-7.18</v>
      </c>
      <c r="P291" s="253" t="n">
        <v>-28.09</v>
      </c>
      <c r="Q291" s="253" t="n">
        <v>86.617</v>
      </c>
      <c r="R291" s="253" t="n">
        <v>13.318</v>
      </c>
      <c r="S291" s="253" t="n">
        <v>493.291</v>
      </c>
      <c r="T291" s="253" t="n">
        <v>-4.542</v>
      </c>
      <c r="U291" s="253" t="n">
        <v>-6.845</v>
      </c>
      <c r="V291" s="253" t="n">
        <v>495.222</v>
      </c>
      <c r="W291" s="253" t="n">
        <v>2.088</v>
      </c>
      <c r="X291" s="253" t="n">
        <v>-3.078</v>
      </c>
      <c r="Y291" s="253" t="n">
        <v>9.276999999999999</v>
      </c>
      <c r="Z291" s="253" t="n">
        <v>237.178</v>
      </c>
      <c r="AA291" s="253" t="n">
        <v>245.465</v>
      </c>
      <c r="AB291" s="253" t="n">
        <v>-11.26</v>
      </c>
      <c r="AC291" s="253" t="n">
        <v>10.087</v>
      </c>
      <c r="AD291" s="253" t="n">
        <v>-7.452</v>
      </c>
      <c r="AE291" s="253" t="n">
        <v>17.059</v>
      </c>
      <c r="AF291" s="253" t="n">
        <v>8.433999999999999</v>
      </c>
      <c r="AG291" s="253" t="n">
        <v>14.5</v>
      </c>
      <c r="AH291" s="253" t="n">
        <v>-0.9</v>
      </c>
      <c r="AI291" s="253" t="n">
        <v>2.2</v>
      </c>
      <c r="AJ291" s="253" t="n">
        <v>-18</v>
      </c>
      <c r="AK291" s="253" t="n">
        <v>-2.2</v>
      </c>
      <c r="AL291" s="253" t="n">
        <v>11.1</v>
      </c>
      <c r="AM291" s="35" t="n"/>
      <c r="AN291" s="35" t="n"/>
      <c r="AO291" s="35" t="n"/>
      <c r="AP291" s="254">
        <f>AL291</f>
        <v/>
      </c>
      <c r="AQ291" s="266" t="n">
        <v>0</v>
      </c>
      <c r="AR291" s="266" t="n">
        <v>0</v>
      </c>
      <c r="AS291" s="266" t="n">
        <v>0</v>
      </c>
      <c r="AT291" s="266" t="n">
        <v>0</v>
      </c>
      <c r="AU291" s="19" t="inlineStr">
        <is>
          <t>Release "non-cash items" less D&amp;A, share-based compensation and deferred taxes (Q2-23: $490.6m Dental goodwill impairment). Forecast 0 (step-up amortization inside the inventory roll).</t>
        </is>
      </c>
    </row>
    <row r="292" ht="15" customHeight="1" s="251">
      <c r="B292" s="25" t="inlineStr">
        <is>
          <t xml:space="preserve">  Changes in operating assets &amp; liabilities (working capital), net</t>
        </is>
      </c>
      <c r="C292" s="253" t="n">
        <v>-79.271</v>
      </c>
      <c r="D292" s="253" t="n">
        <v>-26.741</v>
      </c>
      <c r="E292" s="253" t="n">
        <v>-26.949</v>
      </c>
      <c r="F292" s="253" t="n">
        <v>17.506</v>
      </c>
      <c r="G292" s="253" t="n">
        <v>-4.053</v>
      </c>
      <c r="H292" s="253" t="n">
        <v>1.153</v>
      </c>
      <c r="I292" s="253" t="n">
        <v>-59.145</v>
      </c>
      <c r="J292" s="253" t="n">
        <v>9.897</v>
      </c>
      <c r="K292" s="253" t="n">
        <v>-49.737</v>
      </c>
      <c r="L292" s="253" t="n">
        <v>19.006</v>
      </c>
      <c r="M292" s="253" t="n">
        <v>-13.181</v>
      </c>
      <c r="N292" s="253" t="n">
        <v>-130.365</v>
      </c>
      <c r="O292" s="253" t="n">
        <v>-19.221</v>
      </c>
      <c r="P292" s="253" t="n">
        <v>13.947</v>
      </c>
      <c r="Q292" s="253" t="n">
        <v>-148.82</v>
      </c>
      <c r="R292" s="253" t="n">
        <v>-45.457</v>
      </c>
      <c r="S292" s="253" t="n">
        <v>-151.461</v>
      </c>
      <c r="T292" s="253" t="n">
        <v>-60.603</v>
      </c>
      <c r="U292" s="253" t="n">
        <v>7.498</v>
      </c>
      <c r="V292" s="253" t="n">
        <v>-250.023</v>
      </c>
      <c r="W292" s="253" t="n">
        <v>6.192</v>
      </c>
      <c r="X292" s="253" t="n">
        <v>-139.272</v>
      </c>
      <c r="Y292" s="253" t="n">
        <v>-15.709</v>
      </c>
      <c r="Z292" s="253" t="n">
        <v>6.152</v>
      </c>
      <c r="AA292" s="253" t="n">
        <v>-142.637</v>
      </c>
      <c r="AB292" s="253" t="n">
        <v>67.425</v>
      </c>
      <c r="AC292" s="253" t="n">
        <v>-46.638</v>
      </c>
      <c r="AD292" s="253" t="n">
        <v>27.46</v>
      </c>
      <c r="AE292" s="253" t="n">
        <v>18.266</v>
      </c>
      <c r="AF292" s="253" t="n">
        <v>66.51300000000001</v>
      </c>
      <c r="AG292" s="253" t="n">
        <v>96.2</v>
      </c>
      <c r="AH292" s="253" t="n">
        <v>-46.5</v>
      </c>
      <c r="AI292" s="253" t="n">
        <v>-36</v>
      </c>
      <c r="AJ292" s="253" t="n">
        <v>13.5</v>
      </c>
      <c r="AK292" s="253" t="n">
        <v>27.2</v>
      </c>
      <c r="AL292" s="253" t="n">
        <v>17.8</v>
      </c>
      <c r="AM292" s="35" t="n"/>
      <c r="AN292" s="35" t="n"/>
      <c r="AO292" s="35" t="n"/>
      <c r="AP292" s="254">
        <f>AL292-(AP338-AL338)-(AP339-AL339)-(AP340-AL340)+(AP349-AL349)+(AP351-AL351)</f>
        <v/>
      </c>
      <c r="AQ292" s="254">
        <f>-(AQ338-AP338)-(AQ339-AP339)-(AQ340-AP340)+(AQ349-AP349)+(AQ351-AP351)</f>
        <v/>
      </c>
      <c r="AR292" s="254">
        <f>-(AR338-AQ338)-(AR339-AQ339)-(AR340-AQ340)+(AR349-AQ349)+(AR351-AQ351)</f>
        <v/>
      </c>
      <c r="AS292" s="254">
        <f>-(AS338-AR338)-(AS339-AR339)-(AS340-AR340)+(AS349-AR349)+(AS351-AR351)</f>
        <v/>
      </c>
      <c r="AT292" s="254">
        <f>-(AT338-AS338)-(AT339-AS339)-(AT340-AS340)+(AT349-AS349)+(AT351-AS351)</f>
        <v/>
      </c>
      <c r="AU292" s="19" t="inlineStr">
        <is>
          <t>Linked to the balance sheet: −Δ(receivables, inventories, prepaid &amp; other) + Δ(payables, other current liabilities). 2027E = Q1/27 actual + change from 30-Jun-26.</t>
        </is>
      </c>
    </row>
    <row r="293" ht="15" customHeight="1" s="251">
      <c r="B293" s="16" t="inlineStr">
        <is>
          <t>Net cash provided by operating activities</t>
        </is>
      </c>
      <c r="C293" s="284" t="n">
        <v>149.372</v>
      </c>
      <c r="D293" s="284" t="n">
        <v>227.815</v>
      </c>
      <c r="E293" s="284" t="n">
        <v>209.631</v>
      </c>
      <c r="F293" s="284" t="n">
        <v>246.04</v>
      </c>
      <c r="G293" s="284" t="n">
        <v>254.675</v>
      </c>
      <c r="H293" s="284" t="n">
        <v>424.086</v>
      </c>
      <c r="I293" s="284" t="n">
        <v>457.632</v>
      </c>
      <c r="J293" s="284" t="n">
        <v>539.505</v>
      </c>
      <c r="K293" s="284" t="n">
        <v>590.559</v>
      </c>
      <c r="L293" s="284" t="n">
        <v>689.64</v>
      </c>
      <c r="M293" s="284" t="n">
        <v>97.426</v>
      </c>
      <c r="N293" s="284" t="n">
        <v>171.34</v>
      </c>
      <c r="O293" s="284" t="n">
        <v>244.314</v>
      </c>
      <c r="P293" s="284" t="n">
        <v>171.731</v>
      </c>
      <c r="Q293" s="284" t="n">
        <v>684.811</v>
      </c>
      <c r="R293" s="284" t="n">
        <v>231.746</v>
      </c>
      <c r="S293" s="284" t="n">
        <v>103.824</v>
      </c>
      <c r="T293" s="284" t="n">
        <v>205.578</v>
      </c>
      <c r="U293" s="284" t="n">
        <v>215.799</v>
      </c>
      <c r="V293" s="284" t="n">
        <v>756.947</v>
      </c>
      <c r="W293" s="284" t="n">
        <v>281.129</v>
      </c>
      <c r="X293" s="284" t="n">
        <v>146.095</v>
      </c>
      <c r="Y293" s="284" t="n">
        <v>291.243</v>
      </c>
      <c r="Z293" s="284" t="n">
        <v>254.807</v>
      </c>
      <c r="AA293" s="284" t="n">
        <v>973.274</v>
      </c>
      <c r="AB293" s="284" t="n">
        <v>303.743</v>
      </c>
      <c r="AC293" s="284" t="n">
        <v>250.725</v>
      </c>
      <c r="AD293" s="284" t="n">
        <v>332.838</v>
      </c>
      <c r="AE293" s="284" t="n">
        <v>260.781</v>
      </c>
      <c r="AF293" s="284" t="n">
        <v>1148.087</v>
      </c>
      <c r="AG293" s="284" t="n">
        <v>420</v>
      </c>
      <c r="AH293" s="284" t="n">
        <v>287.8</v>
      </c>
      <c r="AI293" s="284" t="n">
        <v>298.2</v>
      </c>
      <c r="AJ293" s="284" t="n">
        <v>335.4</v>
      </c>
      <c r="AK293" s="284" t="n">
        <v>1341.4</v>
      </c>
      <c r="AL293" s="284" t="n">
        <v>367.1</v>
      </c>
      <c r="AM293" s="32" t="n"/>
      <c r="AN293" s="32" t="n"/>
      <c r="AO293" s="32" t="n"/>
      <c r="AP293" s="262">
        <f>SUM(AP286:AP292)</f>
        <v/>
      </c>
      <c r="AQ293" s="262">
        <f>SUM(AQ286:AQ292)</f>
        <v/>
      </c>
      <c r="AR293" s="262">
        <f>SUM(AR286:AR292)</f>
        <v/>
      </c>
      <c r="AS293" s="262">
        <f>SUM(AS286:AS292)</f>
        <v/>
      </c>
      <c r="AT293" s="262">
        <f>SUM(AT286:AT292)</f>
        <v/>
      </c>
      <c r="AU293" s="153" t="n"/>
      <c r="AW293" s="20">
        <f>IFERROR((AT293/AK293)^(1/5)-1,"n/m")</f>
        <v/>
      </c>
      <c r="AX293" s="20">
        <f>IFERROR((AK293/L293)^(1/5)-1,"n/m")</f>
        <v/>
      </c>
      <c r="AY293" s="20">
        <f>IFERROR((AK293/G293)^(1/10)-1,"n/m")</f>
        <v/>
      </c>
      <c r="AZ293" s="20">
        <f>IFERROR((AK293/C293)^(1/14)-1,"n/m")</f>
        <v/>
      </c>
    </row>
    <row r="294" ht="15" customHeight="1" s="251">
      <c r="B294" s="25" t="inlineStr">
        <is>
          <t>Purchases of property, plant, equipment &amp; intangibles, net</t>
        </is>
      </c>
      <c r="C294" s="253" t="n">
        <v>-66.682</v>
      </c>
      <c r="D294" s="253" t="n">
        <v>-87.41200000000001</v>
      </c>
      <c r="E294" s="253" t="n">
        <v>-86.367</v>
      </c>
      <c r="F294" s="253" t="n">
        <v>-85.255</v>
      </c>
      <c r="G294" s="253" t="n">
        <v>-126.407</v>
      </c>
      <c r="H294" s="253" t="n">
        <v>-172.901</v>
      </c>
      <c r="I294" s="253" t="n">
        <v>-165.457</v>
      </c>
      <c r="J294" s="253" t="n">
        <v>-189.715</v>
      </c>
      <c r="K294" s="253" t="n">
        <v>-214.516</v>
      </c>
      <c r="L294" s="253" t="n">
        <v>-239.262</v>
      </c>
      <c r="M294" s="253" t="n">
        <v>-56.396</v>
      </c>
      <c r="N294" s="253" t="n">
        <v>-76.973</v>
      </c>
      <c r="O294" s="253" t="n">
        <v>-81.122</v>
      </c>
      <c r="P294" s="253" t="n">
        <v>-73.072</v>
      </c>
      <c r="Q294" s="253" t="n">
        <v>-287.563</v>
      </c>
      <c r="R294" s="253" t="n">
        <v>-115.933</v>
      </c>
      <c r="S294" s="253" t="n">
        <v>-82.768</v>
      </c>
      <c r="T294" s="253" t="n">
        <v>-91.819</v>
      </c>
      <c r="U294" s="253" t="n">
        <v>-71.449</v>
      </c>
      <c r="V294" s="253" t="n">
        <v>-361.969</v>
      </c>
      <c r="W294" s="253" t="n">
        <v>-66.601</v>
      </c>
      <c r="X294" s="253" t="n">
        <v>-83.292</v>
      </c>
      <c r="Y294" s="253" t="n">
        <v>-118.936</v>
      </c>
      <c r="Z294" s="253" t="n">
        <v>-91.497</v>
      </c>
      <c r="AA294" s="253" t="n">
        <v>-360.326</v>
      </c>
      <c r="AB294" s="253" t="n">
        <v>-108.083</v>
      </c>
      <c r="AC294" s="253" t="n">
        <v>-101.892</v>
      </c>
      <c r="AD294" s="253" t="n">
        <v>-89.23099999999999</v>
      </c>
      <c r="AE294" s="253" t="n">
        <v>-70.88500000000001</v>
      </c>
      <c r="AF294" s="253" t="n">
        <v>-370.091</v>
      </c>
      <c r="AG294" s="253" t="n">
        <v>-93.59999999999999</v>
      </c>
      <c r="AH294" s="253" t="n">
        <v>-86.5</v>
      </c>
      <c r="AI294" s="253" t="n">
        <v>-98.7</v>
      </c>
      <c r="AJ294" s="253" t="n">
        <v>-90.2</v>
      </c>
      <c r="AK294" s="253" t="n">
        <v>-369</v>
      </c>
      <c r="AL294" s="253" t="n">
        <v>-87.5</v>
      </c>
      <c r="AM294" s="35" t="n"/>
      <c r="AN294" s="35" t="n"/>
      <c r="AO294" s="35" t="n"/>
      <c r="AP294" s="254">
        <f>-$BE$24</f>
        <v/>
      </c>
      <c r="AQ294" s="254">
        <f>-AQ159*AQ322</f>
        <v/>
      </c>
      <c r="AR294" s="254">
        <f>-AR159*AR322</f>
        <v/>
      </c>
      <c r="AS294" s="254">
        <f>-AS159*AS322</f>
        <v/>
      </c>
      <c r="AT294" s="254">
        <f>-AT159*AT322</f>
        <v/>
      </c>
      <c r="AU294" s="19" t="inlineStr">
        <is>
          <t>2027E: FY27 outlook ~$450m (raised from $375m for the North Carolina chemistries Center of Excellence). 2028E+: revenue × capex %.</t>
        </is>
      </c>
    </row>
    <row r="295" ht="15" customHeight="1" s="251">
      <c r="B295" s="25" t="inlineStr">
        <is>
          <t>Proceeds from the sale of property, plant, equipment &amp; intangibles</t>
        </is>
      </c>
      <c r="C295" s="253" t="n">
        <v>0.042</v>
      </c>
      <c r="D295" s="253" t="n">
        <v>0.034</v>
      </c>
      <c r="E295" s="253" t="n">
        <v>4.774</v>
      </c>
      <c r="F295" s="253" t="n">
        <v>0.829</v>
      </c>
      <c r="G295" s="253" t="n">
        <v>0.844</v>
      </c>
      <c r="H295" s="253" t="n">
        <v>4.846</v>
      </c>
      <c r="I295" s="253" t="n">
        <v>2.094</v>
      </c>
      <c r="J295" s="253" t="n">
        <v>5.567</v>
      </c>
      <c r="K295" s="253" t="n">
        <v>4.156</v>
      </c>
      <c r="L295" s="253" t="n">
        <v>0.569</v>
      </c>
      <c r="M295" s="253" t="n">
        <v>0.217</v>
      </c>
      <c r="N295" s="253" t="n">
        <v>0.17</v>
      </c>
      <c r="O295" s="253" t="n">
        <v>1.322</v>
      </c>
      <c r="P295" s="253" t="n">
        <v>0.032</v>
      </c>
      <c r="Q295" s="253" t="n">
        <v>1.741</v>
      </c>
      <c r="R295" s="253" t="n">
        <v>1.288</v>
      </c>
      <c r="S295" s="253" t="n">
        <v>0.035</v>
      </c>
      <c r="T295" s="253" t="n">
        <v>10.841</v>
      </c>
      <c r="U295" s="253" t="n">
        <v>2.423</v>
      </c>
      <c r="V295" s="253" t="n">
        <v>14.587</v>
      </c>
      <c r="W295" s="253" t="n">
        <v>0.005</v>
      </c>
      <c r="X295" s="253" t="n">
        <v>7.355</v>
      </c>
      <c r="Y295" s="253" t="n">
        <v>0.015</v>
      </c>
      <c r="Z295" s="253" t="n">
        <v>0.006</v>
      </c>
      <c r="AA295" s="253" t="n">
        <v>7.381</v>
      </c>
      <c r="AB295" s="253" t="n">
        <v>0</v>
      </c>
      <c r="AC295" s="253" t="n">
        <v>0</v>
      </c>
      <c r="AD295" s="253" t="n">
        <v>0.004</v>
      </c>
      <c r="AE295" s="253" t="n">
        <v>9.191000000000001</v>
      </c>
      <c r="AF295" s="253" t="n">
        <v>9.195</v>
      </c>
      <c r="AG295" s="253" t="n">
        <v>0.1</v>
      </c>
      <c r="AH295" s="253" t="n">
        <v>-0.1</v>
      </c>
      <c r="AI295" s="253" t="n">
        <v>10.4</v>
      </c>
      <c r="AJ295" s="253" t="n">
        <v>0.1</v>
      </c>
      <c r="AK295" s="253" t="n">
        <v>10.5</v>
      </c>
      <c r="AL295" s="253" t="n">
        <v>0</v>
      </c>
      <c r="AM295" s="35" t="n"/>
      <c r="AN295" s="35" t="n"/>
      <c r="AO295" s="35" t="n"/>
      <c r="AP295" s="254">
        <f>AL295</f>
        <v/>
      </c>
      <c r="AQ295" s="266" t="n">
        <v>0</v>
      </c>
      <c r="AR295" s="266" t="n">
        <v>0</v>
      </c>
      <c r="AS295" s="266" t="n">
        <v>0</v>
      </c>
      <c r="AT295" s="266" t="n">
        <v>0</v>
      </c>
      <c r="AU295" s="19" t="n"/>
    </row>
    <row r="296" ht="15" customHeight="1" s="251">
      <c r="B296" s="25" t="inlineStr">
        <is>
          <t>Acquisition of businesses, net of cash acquired</t>
        </is>
      </c>
      <c r="C296" s="253" t="n">
        <v>-34.635</v>
      </c>
      <c r="D296" s="253" t="n">
        <v>-399.676</v>
      </c>
      <c r="E296" s="253" t="n">
        <v>-67.059</v>
      </c>
      <c r="F296" s="253" t="n">
        <v>-194.662</v>
      </c>
      <c r="G296" s="253" t="n">
        <v>-604.021</v>
      </c>
      <c r="H296" s="253" t="n">
        <v>-65.557</v>
      </c>
      <c r="I296" s="253" t="n">
        <v>-46.271</v>
      </c>
      <c r="J296" s="253" t="n">
        <v>-13.313</v>
      </c>
      <c r="K296" s="253" t="n">
        <v>-109.814</v>
      </c>
      <c r="L296" s="253" t="n">
        <v>-909.192</v>
      </c>
      <c r="M296" s="253" t="n">
        <v>-547.353</v>
      </c>
      <c r="N296" s="253" t="n">
        <v>0</v>
      </c>
      <c r="O296" s="253" t="n">
        <v>0</v>
      </c>
      <c r="P296" s="253" t="n">
        <v>-3.096</v>
      </c>
      <c r="Q296" s="253" t="n">
        <v>-550.449</v>
      </c>
      <c r="R296" s="253" t="n">
        <v>0</v>
      </c>
      <c r="S296" s="253" t="n">
        <v>-15.192</v>
      </c>
      <c r="T296" s="253" t="n">
        <v>-18.828</v>
      </c>
      <c r="U296" s="253" t="n">
        <v>-8.552</v>
      </c>
      <c r="V296" s="253" t="n">
        <v>-42.572</v>
      </c>
      <c r="W296" s="253" t="n">
        <v>0</v>
      </c>
      <c r="X296" s="253" t="n">
        <v>-539.758</v>
      </c>
      <c r="Y296" s="253" t="n">
        <v>0</v>
      </c>
      <c r="Z296" s="253" t="n">
        <v>-6.498</v>
      </c>
      <c r="AA296" s="253" t="n">
        <v>-546.256</v>
      </c>
      <c r="AB296" s="253" t="n">
        <v>-13.659</v>
      </c>
      <c r="AC296" s="253" t="n">
        <v>-3.808</v>
      </c>
      <c r="AD296" s="253" t="n">
        <v>-36.192</v>
      </c>
      <c r="AE296" s="253" t="n">
        <v>-0.48</v>
      </c>
      <c r="AF296" s="253" t="n">
        <v>-54.139</v>
      </c>
      <c r="AG296" s="253" t="n">
        <v>-15</v>
      </c>
      <c r="AH296" s="253" t="n">
        <v>0</v>
      </c>
      <c r="AI296" s="253" t="n">
        <v>-5.1</v>
      </c>
      <c r="AJ296" s="253" t="n">
        <v>0</v>
      </c>
      <c r="AK296" s="253" t="n">
        <v>-20.1</v>
      </c>
      <c r="AL296" s="253" t="n">
        <v>-16</v>
      </c>
      <c r="AM296" s="35" t="n"/>
      <c r="AN296" s="35" t="n"/>
      <c r="AO296" s="35" t="n"/>
      <c r="AP296" s="254">
        <f>AL296-0.0</f>
        <v/>
      </c>
      <c r="AQ296" s="254">
        <f>-AQ102</f>
        <v/>
      </c>
      <c r="AR296" s="254">
        <f>-AR102</f>
        <v/>
      </c>
      <c r="AS296" s="254">
        <f>-AS102</f>
        <v/>
      </c>
      <c r="AT296" s="254">
        <f>-AT102</f>
        <v/>
      </c>
      <c r="AU296" s="19" t="inlineStr">
        <is>
          <t>2027E = Q1/27 actual ($16.0m Healthcare tuck-ins) + Q2–Q4 input. 2028E+: M&amp;A lever.</t>
        </is>
      </c>
    </row>
    <row r="297" ht="15" customHeight="1" s="251">
      <c r="B297" s="25" t="inlineStr">
        <is>
          <t>Proceeds from the sale of businesses</t>
        </is>
      </c>
      <c r="C297" s="253" t="n">
        <v>0</v>
      </c>
      <c r="D297" s="253" t="n">
        <v>0</v>
      </c>
      <c r="E297" s="253" t="n">
        <v>0</v>
      </c>
      <c r="F297" s="253" t="n">
        <v>0</v>
      </c>
      <c r="G297" s="253" t="n">
        <v>0</v>
      </c>
      <c r="H297" s="253" t="n">
        <v>135.713</v>
      </c>
      <c r="I297" s="253" t="n">
        <v>8.888</v>
      </c>
      <c r="J297" s="253" t="n">
        <v>2.478</v>
      </c>
      <c r="K297" s="253" t="n">
        <v>0.439</v>
      </c>
      <c r="L297" s="253" t="n">
        <v>0.518</v>
      </c>
      <c r="M297" s="253" t="n">
        <v>0</v>
      </c>
      <c r="N297" s="253" t="n">
        <v>0</v>
      </c>
      <c r="O297" s="253" t="n">
        <v>0</v>
      </c>
      <c r="P297" s="253" t="n">
        <v>169.712</v>
      </c>
      <c r="Q297" s="253" t="n">
        <v>169.712</v>
      </c>
      <c r="R297" s="253" t="n">
        <v>5.228</v>
      </c>
      <c r="S297" s="253" t="n">
        <v>0</v>
      </c>
      <c r="T297" s="253" t="n">
        <v>1.396</v>
      </c>
      <c r="U297" s="253" t="n">
        <v>0</v>
      </c>
      <c r="V297" s="253" t="n">
        <v>6.624</v>
      </c>
      <c r="W297" s="253" t="n">
        <v>0</v>
      </c>
      <c r="X297" s="253" t="n">
        <v>9.458</v>
      </c>
      <c r="Y297" s="253" t="n">
        <v>0</v>
      </c>
      <c r="Z297" s="253" t="n">
        <v>0</v>
      </c>
      <c r="AA297" s="253" t="n">
        <v>9.458</v>
      </c>
      <c r="AB297" s="253" t="n">
        <v>809.571</v>
      </c>
      <c r="AC297" s="253" t="n">
        <v>0.348</v>
      </c>
      <c r="AD297" s="253" t="n">
        <v>1.515</v>
      </c>
      <c r="AE297" s="253" t="n">
        <v>3.124</v>
      </c>
      <c r="AF297" s="253" t="n">
        <v>814.558</v>
      </c>
      <c r="AG297" s="253" t="n">
        <v>0</v>
      </c>
      <c r="AH297" s="253" t="n">
        <v>0</v>
      </c>
      <c r="AI297" s="253" t="n">
        <v>0</v>
      </c>
      <c r="AJ297" s="253" t="n">
        <v>0</v>
      </c>
      <c r="AK297" s="253" t="n">
        <v>0</v>
      </c>
      <c r="AL297" s="253" t="n">
        <v>0</v>
      </c>
      <c r="AM297" s="35" t="n"/>
      <c r="AN297" s="35" t="n"/>
      <c r="AO297" s="35" t="n"/>
      <c r="AP297" s="254">
        <f>AL297</f>
        <v/>
      </c>
      <c r="AQ297" s="266" t="n">
        <v>0</v>
      </c>
      <c r="AR297" s="266" t="n">
        <v>0</v>
      </c>
      <c r="AS297" s="266" t="n">
        <v>0</v>
      </c>
      <c r="AT297" s="266" t="n">
        <v>0</v>
      </c>
      <c r="AU297" s="19" t="inlineStr">
        <is>
          <t>FY2025: Dental ($787.5m) and CECS; FY2017–18: linen management and other Synergy businesses.</t>
        </is>
      </c>
    </row>
    <row r="298" ht="15" customHeight="1" s="251">
      <c r="B298" s="25" t="inlineStr">
        <is>
          <t>Other investing activities, net (investments, equity stakes; derived)</t>
        </is>
      </c>
      <c r="C298" s="253" t="n">
        <v>0</v>
      </c>
      <c r="D298" s="253" t="n">
        <v>0</v>
      </c>
      <c r="E298" s="253" t="n">
        <v>0</v>
      </c>
      <c r="F298" s="253" t="n">
        <v>-4.681</v>
      </c>
      <c r="G298" s="253" t="n">
        <v>0</v>
      </c>
      <c r="H298" s="253" t="n">
        <v>-6.356</v>
      </c>
      <c r="I298" s="253" t="n">
        <v>-3.083</v>
      </c>
      <c r="J298" s="253" t="n">
        <v>-18.241</v>
      </c>
      <c r="K298" s="253" t="n">
        <v>0</v>
      </c>
      <c r="L298" s="253" t="n">
        <v>-6.792</v>
      </c>
      <c r="M298" s="253" t="n">
        <v>0</v>
      </c>
      <c r="N298" s="253" t="n">
        <v>0</v>
      </c>
      <c r="O298" s="253" t="n">
        <v>0</v>
      </c>
      <c r="P298" s="253" t="n">
        <v>0</v>
      </c>
      <c r="Q298" s="253" t="n">
        <v>0</v>
      </c>
      <c r="R298" s="253" t="n">
        <v>0</v>
      </c>
      <c r="S298" s="253" t="n">
        <v>0</v>
      </c>
      <c r="T298" s="253" t="n">
        <v>0</v>
      </c>
      <c r="U298" s="253" t="n">
        <v>0</v>
      </c>
      <c r="V298" s="253" t="n">
        <v>0</v>
      </c>
      <c r="W298" s="253" t="n">
        <v>0</v>
      </c>
      <c r="X298" s="253" t="n">
        <v>0</v>
      </c>
      <c r="Y298" s="253" t="n">
        <v>0</v>
      </c>
      <c r="Z298" s="253" t="n">
        <v>2.382</v>
      </c>
      <c r="AA298" s="253" t="n">
        <v>2.382</v>
      </c>
      <c r="AB298" s="253" t="n">
        <v>0</v>
      </c>
      <c r="AC298" s="253" t="n">
        <v>0</v>
      </c>
      <c r="AD298" s="253" t="n">
        <v>0</v>
      </c>
      <c r="AE298" s="253" t="n">
        <v>-10.75</v>
      </c>
      <c r="AF298" s="253" t="n">
        <v>-10.75</v>
      </c>
      <c r="AG298" s="253" t="n">
        <v>0</v>
      </c>
      <c r="AH298" s="253" t="n">
        <v>-1.7</v>
      </c>
      <c r="AI298" s="253" t="n">
        <v>-5.1</v>
      </c>
      <c r="AJ298" s="253" t="n">
        <v>-127.1</v>
      </c>
      <c r="AK298" s="253" t="n">
        <v>-133.9</v>
      </c>
      <c r="AL298" s="253" t="n">
        <v>-5</v>
      </c>
      <c r="AM298" s="35" t="n"/>
      <c r="AN298" s="35" t="n"/>
      <c r="AO298" s="35" t="n"/>
      <c r="AP298" s="254">
        <f>AL298</f>
        <v/>
      </c>
      <c r="AQ298" s="266" t="n">
        <v>0</v>
      </c>
      <c r="AR298" s="266" t="n">
        <v>0</v>
      </c>
      <c r="AS298" s="266" t="n">
        <v>0</v>
      </c>
      <c r="AT298" s="266" t="n">
        <v>0</v>
      </c>
      <c r="AU298" s="19" t="n"/>
    </row>
    <row r="299" ht="15" customHeight="1" s="251">
      <c r="B299" s="16" t="inlineStr">
        <is>
          <t>Net cash used in investing activities</t>
        </is>
      </c>
      <c r="C299" s="284" t="n">
        <v>-101.275</v>
      </c>
      <c r="D299" s="284" t="n">
        <v>-487.054</v>
      </c>
      <c r="E299" s="284" t="n">
        <v>-148.652</v>
      </c>
      <c r="F299" s="284" t="n">
        <v>-283.769</v>
      </c>
      <c r="G299" s="284" t="n">
        <v>-729.5839999999999</v>
      </c>
      <c r="H299" s="284" t="n">
        <v>-104.255</v>
      </c>
      <c r="I299" s="284" t="n">
        <v>-203.829</v>
      </c>
      <c r="J299" s="284" t="n">
        <v>-213.224</v>
      </c>
      <c r="K299" s="284" t="n">
        <v>-319.735</v>
      </c>
      <c r="L299" s="284" t="n">
        <v>-1154.159</v>
      </c>
      <c r="M299" s="284" t="n">
        <v>-603.532</v>
      </c>
      <c r="N299" s="284" t="n">
        <v>-76.803</v>
      </c>
      <c r="O299" s="284" t="n">
        <v>-79.8</v>
      </c>
      <c r="P299" s="284" t="n">
        <v>93.57599999999999</v>
      </c>
      <c r="Q299" s="284" t="n">
        <v>-666.559</v>
      </c>
      <c r="R299" s="284" t="n">
        <v>-109.417</v>
      </c>
      <c r="S299" s="284" t="n">
        <v>-97.925</v>
      </c>
      <c r="T299" s="284" t="n">
        <v>-98.41</v>
      </c>
      <c r="U299" s="284" t="n">
        <v>-77.578</v>
      </c>
      <c r="V299" s="284" t="n">
        <v>-383.33</v>
      </c>
      <c r="W299" s="284" t="n">
        <v>-66.596</v>
      </c>
      <c r="X299" s="284" t="n">
        <v>-606.237</v>
      </c>
      <c r="Y299" s="284" t="n">
        <v>-118.921</v>
      </c>
      <c r="Z299" s="284" t="n">
        <v>-95.607</v>
      </c>
      <c r="AA299" s="284" t="n">
        <v>-887.361</v>
      </c>
      <c r="AB299" s="284" t="n">
        <v>687.829</v>
      </c>
      <c r="AC299" s="284" t="n">
        <v>-105.352</v>
      </c>
      <c r="AD299" s="284" t="n">
        <v>-123.904</v>
      </c>
      <c r="AE299" s="284" t="n">
        <v>-69.8</v>
      </c>
      <c r="AF299" s="284" t="n">
        <v>388.773</v>
      </c>
      <c r="AG299" s="284" t="n">
        <v>-108.5</v>
      </c>
      <c r="AH299" s="284" t="n">
        <v>-88.3</v>
      </c>
      <c r="AI299" s="284" t="n">
        <v>-98.5</v>
      </c>
      <c r="AJ299" s="284" t="n">
        <v>-217.2</v>
      </c>
      <c r="AK299" s="284" t="n">
        <v>-512.5</v>
      </c>
      <c r="AL299" s="284" t="n">
        <v>-108.5</v>
      </c>
      <c r="AM299" s="32" t="n"/>
      <c r="AN299" s="32" t="n"/>
      <c r="AO299" s="32" t="n"/>
      <c r="AP299" s="262">
        <f>SUM(AP294:AP298)</f>
        <v/>
      </c>
      <c r="AQ299" s="262">
        <f>SUM(AQ294:AQ298)</f>
        <v/>
      </c>
      <c r="AR299" s="262">
        <f>SUM(AR294:AR298)</f>
        <v/>
      </c>
      <c r="AS299" s="262">
        <f>SUM(AS294:AS298)</f>
        <v/>
      </c>
      <c r="AT299" s="262">
        <f>SUM(AT294:AT298)</f>
        <v/>
      </c>
      <c r="AU299" s="153" t="n"/>
    </row>
    <row r="300" ht="15" customHeight="1" s="251">
      <c r="B300" s="25" t="inlineStr">
        <is>
          <t>Repurchases of ordinary shares</t>
        </is>
      </c>
      <c r="C300" s="253" t="n">
        <v>-56.751</v>
      </c>
      <c r="D300" s="253" t="n">
        <v>-8.002000000000001</v>
      </c>
      <c r="E300" s="253" t="n">
        <v>-25.469</v>
      </c>
      <c r="F300" s="253" t="n">
        <v>-30.546</v>
      </c>
      <c r="G300" s="253" t="n">
        <v>0</v>
      </c>
      <c r="H300" s="253" t="n">
        <v>0</v>
      </c>
      <c r="I300" s="253" t="n">
        <v>0</v>
      </c>
      <c r="J300" s="253" t="n">
        <v>0</v>
      </c>
      <c r="K300" s="253" t="n">
        <v>-51.241</v>
      </c>
      <c r="L300" s="253" t="n">
        <v>-14.646</v>
      </c>
      <c r="M300" s="253" t="n">
        <v>-10.67</v>
      </c>
      <c r="N300" s="253" t="n">
        <v>-14.081</v>
      </c>
      <c r="O300" s="253" t="n">
        <v>-2.877</v>
      </c>
      <c r="P300" s="253" t="n">
        <v>-28.149</v>
      </c>
      <c r="Q300" s="253" t="n">
        <v>-55.777</v>
      </c>
      <c r="R300" s="253" t="n">
        <v>-24.679</v>
      </c>
      <c r="S300" s="253" t="n">
        <v>-45.243</v>
      </c>
      <c r="T300" s="253" t="n">
        <v>-84.03</v>
      </c>
      <c r="U300" s="253" t="n">
        <v>-154.613</v>
      </c>
      <c r="V300" s="253" t="n">
        <v>-308.565</v>
      </c>
      <c r="W300" s="253" t="n">
        <v>-8.724</v>
      </c>
      <c r="X300" s="253" t="n">
        <v>-0.489</v>
      </c>
      <c r="Y300" s="253" t="n">
        <v>-2.227</v>
      </c>
      <c r="Z300" s="253" t="n">
        <v>-0.325</v>
      </c>
      <c r="AA300" s="253" t="n">
        <v>-11.765</v>
      </c>
      <c r="AB300" s="253" t="n">
        <v>-64.203</v>
      </c>
      <c r="AC300" s="253" t="n">
        <v>-46.422</v>
      </c>
      <c r="AD300" s="253" t="n">
        <v>-100.433</v>
      </c>
      <c r="AE300" s="253" t="n">
        <v>-0.263</v>
      </c>
      <c r="AF300" s="253" t="n">
        <v>-211.321</v>
      </c>
      <c r="AG300" s="253" t="n">
        <v>-10.6</v>
      </c>
      <c r="AH300" s="253" t="n">
        <v>-100.5</v>
      </c>
      <c r="AI300" s="253" t="n">
        <v>-50.1</v>
      </c>
      <c r="AJ300" s="253" t="n">
        <v>-74.3</v>
      </c>
      <c r="AK300" s="253" t="n">
        <v>-235.5</v>
      </c>
      <c r="AL300" s="253" t="n">
        <v>-115.5</v>
      </c>
      <c r="AM300" s="35" t="n"/>
      <c r="AN300" s="35" t="n"/>
      <c r="AO300" s="35" t="n"/>
      <c r="AP300" s="254">
        <f>AL300-CHOOSE(MATCH($AU$2,{"Bull","Base","Bear"},0),$BD$16,$BE$16,$BF$16)</f>
        <v/>
      </c>
      <c r="AQ300" s="254">
        <f>-AQ410</f>
        <v/>
      </c>
      <c r="AR300" s="254">
        <f>-AR410</f>
        <v/>
      </c>
      <c r="AS300" s="254">
        <f>-AS410</f>
        <v/>
      </c>
      <c r="AT300" s="254">
        <f>-AT410</f>
        <v/>
      </c>
      <c r="AU300" s="19" t="inlineStr">
        <is>
          <t>2027E: Q1/27 actual + Q2–Q4 scenario input ($1.0bn authorization, May-2026). 2028E+ = leverage plug (surplus cash returned until net debt / adjusted EBITDA reaches the target).</t>
        </is>
      </c>
    </row>
    <row r="301" ht="15" customHeight="1" s="251">
      <c r="B301" s="25" t="inlineStr">
        <is>
          <t>Cash dividends paid to ordinary shareholders</t>
        </is>
      </c>
      <c r="C301" s="253" t="n">
        <v>-38.56</v>
      </c>
      <c r="D301" s="253" t="n">
        <v>-43.195</v>
      </c>
      <c r="E301" s="253" t="n">
        <v>-48.385</v>
      </c>
      <c r="F301" s="253" t="n">
        <v>-53.513</v>
      </c>
      <c r="G301" s="253" t="n">
        <v>-65.203</v>
      </c>
      <c r="H301" s="253" t="n">
        <v>-93.193</v>
      </c>
      <c r="I301" s="253" t="n">
        <v>-102.929</v>
      </c>
      <c r="J301" s="253" t="n">
        <v>-112.503</v>
      </c>
      <c r="K301" s="253" t="n">
        <v>-123.034</v>
      </c>
      <c r="L301" s="253" t="n">
        <v>-133.837</v>
      </c>
      <c r="M301" s="253" t="n">
        <v>-34.148</v>
      </c>
      <c r="N301" s="253" t="n">
        <v>-42.959</v>
      </c>
      <c r="O301" s="253" t="n">
        <v>-43.011</v>
      </c>
      <c r="P301" s="253" t="n">
        <v>-43.051</v>
      </c>
      <c r="Q301" s="253" t="n">
        <v>-163.169</v>
      </c>
      <c r="R301" s="253" t="n">
        <v>-43.008</v>
      </c>
      <c r="S301" s="253" t="n">
        <v>-46.973</v>
      </c>
      <c r="T301" s="253" t="n">
        <v>-46.917</v>
      </c>
      <c r="U301" s="253" t="n">
        <v>-46.6</v>
      </c>
      <c r="V301" s="253" t="n">
        <v>-183.498</v>
      </c>
      <c r="W301" s="253" t="n">
        <v>-46.427</v>
      </c>
      <c r="X301" s="253" t="n">
        <v>-51.368</v>
      </c>
      <c r="Y301" s="253" t="n">
        <v>-51.378</v>
      </c>
      <c r="Z301" s="253" t="n">
        <v>-51.397</v>
      </c>
      <c r="AA301" s="253" t="n">
        <v>-200.57</v>
      </c>
      <c r="AB301" s="253" t="n">
        <v>-51.436</v>
      </c>
      <c r="AC301" s="253" t="n">
        <v>-56.237</v>
      </c>
      <c r="AD301" s="253" t="n">
        <v>-56.196</v>
      </c>
      <c r="AE301" s="253" t="n">
        <v>-56.006</v>
      </c>
      <c r="AF301" s="253" t="n">
        <v>-219.875</v>
      </c>
      <c r="AG301" s="253" t="n">
        <v>-56.2</v>
      </c>
      <c r="AH301" s="253" t="n">
        <v>-61.9</v>
      </c>
      <c r="AI301" s="253" t="n">
        <v>-61.9</v>
      </c>
      <c r="AJ301" s="253" t="n">
        <v>-61.8</v>
      </c>
      <c r="AK301" s="253" t="n">
        <v>-241.8</v>
      </c>
      <c r="AL301" s="253" t="n">
        <v>-61.4</v>
      </c>
      <c r="AM301" s="35" t="n"/>
      <c r="AN301" s="35" t="n"/>
      <c r="AO301" s="35" t="n"/>
      <c r="AP301" s="254">
        <f>AL301-(AM192*AM185+AN192*AN185+AO192*AO185)</f>
        <v/>
      </c>
      <c r="AQ301" s="254">
        <f>-AQ192*AQ330</f>
        <v/>
      </c>
      <c r="AR301" s="254">
        <f>-AR192*AR330</f>
        <v/>
      </c>
      <c r="AS301" s="254">
        <f>-AS192*AS330</f>
        <v/>
      </c>
      <c r="AT301" s="254">
        <f>-AT192*AT330</f>
        <v/>
      </c>
      <c r="AU301" s="19" t="n"/>
    </row>
    <row r="302" ht="15" customHeight="1" s="251">
      <c r="B302" s="25" t="inlineStr">
        <is>
          <t>Stock option &amp; other equity transactions, net (forecast; included in other financing historically)</t>
        </is>
      </c>
      <c r="C302" s="34" t="n"/>
      <c r="D302" s="34" t="n"/>
      <c r="E302" s="34" t="n"/>
      <c r="F302" s="34" t="n"/>
      <c r="G302" s="34" t="n"/>
      <c r="H302" s="34" t="n"/>
      <c r="I302" s="34" t="n"/>
      <c r="J302" s="34" t="n"/>
      <c r="K302" s="34" t="n"/>
      <c r="L302" s="34" t="n"/>
      <c r="M302" s="34" t="n"/>
      <c r="N302" s="34" t="n"/>
      <c r="O302" s="34" t="n"/>
      <c r="P302" s="34" t="n"/>
      <c r="Q302" s="34" t="n"/>
      <c r="R302" s="34" t="n"/>
      <c r="S302" s="34" t="n"/>
      <c r="T302" s="34" t="n"/>
      <c r="U302" s="34" t="n"/>
      <c r="V302" s="34" t="n"/>
      <c r="W302" s="34" t="n"/>
      <c r="X302" s="34" t="n"/>
      <c r="Y302" s="34" t="n"/>
      <c r="Z302" s="34" t="n"/>
      <c r="AA302" s="34" t="n"/>
      <c r="AB302" s="34" t="n"/>
      <c r="AC302" s="34" t="n"/>
      <c r="AD302" s="34" t="n"/>
      <c r="AE302" s="34" t="n"/>
      <c r="AF302" s="34" t="n"/>
      <c r="AG302" s="34" t="n"/>
      <c r="AH302" s="34" t="n"/>
      <c r="AI302" s="34" t="n"/>
      <c r="AJ302" s="34" t="n"/>
      <c r="AK302" s="34" t="n"/>
      <c r="AL302" s="34" t="n"/>
      <c r="AM302" s="35" t="n"/>
      <c r="AN302" s="35" t="n"/>
      <c r="AO302" s="35" t="n"/>
      <c r="AP302" s="254">
        <f>9.0</f>
        <v/>
      </c>
      <c r="AQ302" s="266" t="n">
        <v>15</v>
      </c>
      <c r="AR302" s="266" t="n">
        <v>15</v>
      </c>
      <c r="AS302" s="266" t="n">
        <v>15</v>
      </c>
      <c r="AT302" s="266" t="n">
        <v>15</v>
      </c>
      <c r="AU302" s="19" t="n"/>
    </row>
    <row r="303" ht="15" customHeight="1" s="251">
      <c r="B303" s="25" t="inlineStr">
        <is>
          <t>Net debt issuance / (repayment) (forecast; included in other financing historically)</t>
        </is>
      </c>
      <c r="C303" s="34" t="n"/>
      <c r="D303" s="34" t="n"/>
      <c r="E303" s="34" t="n"/>
      <c r="F303" s="34" t="n"/>
      <c r="G303" s="34" t="n"/>
      <c r="H303" s="34" t="n"/>
      <c r="I303" s="34" t="n"/>
      <c r="J303" s="34" t="n"/>
      <c r="K303" s="34" t="n"/>
      <c r="L303" s="34" t="n"/>
      <c r="M303" s="34" t="n"/>
      <c r="N303" s="34" t="n"/>
      <c r="O303" s="34" t="n"/>
      <c r="P303" s="34" t="n"/>
      <c r="Q303" s="34" t="n"/>
      <c r="R303" s="34" t="n"/>
      <c r="S303" s="34" t="n"/>
      <c r="T303" s="34" t="n"/>
      <c r="U303" s="34" t="n"/>
      <c r="V303" s="34" t="n"/>
      <c r="W303" s="34" t="n"/>
      <c r="X303" s="34" t="n"/>
      <c r="Y303" s="34" t="n"/>
      <c r="Z303" s="34" t="n"/>
      <c r="AA303" s="34" t="n"/>
      <c r="AB303" s="34" t="n"/>
      <c r="AC303" s="34" t="n"/>
      <c r="AD303" s="34" t="n"/>
      <c r="AE303" s="34" t="n"/>
      <c r="AF303" s="34" t="n"/>
      <c r="AG303" s="34" t="n"/>
      <c r="AH303" s="34" t="n"/>
      <c r="AI303" s="34" t="n"/>
      <c r="AJ303" s="34" t="n"/>
      <c r="AK303" s="34" t="n"/>
      <c r="AL303" s="34" t="n"/>
      <c r="AM303" s="35" t="n"/>
      <c r="AN303" s="35" t="n"/>
      <c r="AO303" s="35" t="n"/>
      <c r="AP303" s="254">
        <f>AP394-AL394</f>
        <v/>
      </c>
      <c r="AQ303" s="254">
        <f>AQ401</f>
        <v/>
      </c>
      <c r="AR303" s="254">
        <f>AR401</f>
        <v/>
      </c>
      <c r="AS303" s="254">
        <f>AS401</f>
        <v/>
      </c>
      <c r="AT303" s="254">
        <f>AT401</f>
        <v/>
      </c>
      <c r="AU303" s="19" t="inlineStr">
        <is>
          <t>Per the debt schedule: notes repaid at maturity; revolver / commercial paper drawn or repaid to the minimum cash balance.</t>
        </is>
      </c>
    </row>
    <row r="304" ht="15" customHeight="1" s="251">
      <c r="B304" s="25" t="inlineStr">
        <is>
          <t>Debt, equity-plan, NCI &amp; other financing, net (derived historically; forecast: NCI distributions)</t>
        </is>
      </c>
      <c r="C304" s="253" t="n">
        <v>7.237</v>
      </c>
      <c r="D304" s="253" t="n">
        <v>305.443</v>
      </c>
      <c r="E304" s="253" t="n">
        <v>19.648</v>
      </c>
      <c r="F304" s="253" t="n">
        <v>153.809</v>
      </c>
      <c r="G304" s="253" t="n">
        <v>625.492</v>
      </c>
      <c r="H304" s="253" t="n">
        <v>-173.906</v>
      </c>
      <c r="I304" s="253" t="n">
        <v>-253.255</v>
      </c>
      <c r="J304" s="253" t="n">
        <v>-182.289</v>
      </c>
      <c r="K304" s="253" t="n">
        <v>11.129</v>
      </c>
      <c r="L304" s="253" t="n">
        <v>494.103</v>
      </c>
      <c r="M304" s="253" t="n">
        <v>863.628</v>
      </c>
      <c r="N304" s="253" t="n">
        <v>-182.067</v>
      </c>
      <c r="O304" s="253" t="n">
        <v>-143.377</v>
      </c>
      <c r="P304" s="253" t="n">
        <v>-203.408</v>
      </c>
      <c r="Q304" s="253" t="n">
        <v>334.776</v>
      </c>
      <c r="R304" s="253" t="n">
        <v>-73.727</v>
      </c>
      <c r="S304" s="253" t="n">
        <v>47.268</v>
      </c>
      <c r="T304" s="253" t="n">
        <v>10.538</v>
      </c>
      <c r="U304" s="253" t="n">
        <v>9.266</v>
      </c>
      <c r="V304" s="253" t="n">
        <v>-6.655</v>
      </c>
      <c r="W304" s="253" t="n">
        <v>-158.486</v>
      </c>
      <c r="X304" s="253" t="n">
        <v>522.071</v>
      </c>
      <c r="Y304" s="253" t="n">
        <v>-144.389</v>
      </c>
      <c r="Z304" s="253" t="n">
        <v>-92.047</v>
      </c>
      <c r="AA304" s="253" t="n">
        <v>127.149</v>
      </c>
      <c r="AB304" s="253" t="n">
        <v>-883.293</v>
      </c>
      <c r="AC304" s="253" t="n">
        <v>-78.30500000000001</v>
      </c>
      <c r="AD304" s="253" t="n">
        <v>-57.768</v>
      </c>
      <c r="AE304" s="253" t="n">
        <v>-121.802</v>
      </c>
      <c r="AF304" s="253" t="n">
        <v>-1141.168</v>
      </c>
      <c r="AG304" s="253" t="n">
        <v>-146.3</v>
      </c>
      <c r="AH304" s="253" t="n">
        <v>3.2</v>
      </c>
      <c r="AI304" s="253" t="n">
        <v>14</v>
      </c>
      <c r="AJ304" s="253" t="n">
        <v>38.2</v>
      </c>
      <c r="AK304" s="253" t="n">
        <v>-90.90000000000001</v>
      </c>
      <c r="AL304" s="253" t="n">
        <v>-36.6</v>
      </c>
      <c r="AM304" s="35" t="n"/>
      <c r="AN304" s="35" t="n"/>
      <c r="AO304" s="35" t="n"/>
      <c r="AP304" s="254">
        <f>AL304-(AM177+AN177+AO177)</f>
        <v/>
      </c>
      <c r="AQ304" s="254">
        <f>-AQ177</f>
        <v/>
      </c>
      <c r="AR304" s="254">
        <f>-AR177</f>
        <v/>
      </c>
      <c r="AS304" s="254">
        <f>-AS177</f>
        <v/>
      </c>
      <c r="AT304" s="254">
        <f>-AT177</f>
        <v/>
      </c>
      <c r="AU304" s="19" t="n"/>
    </row>
    <row r="305" ht="15" customHeight="1" s="251">
      <c r="B305" s="16" t="inlineStr">
        <is>
          <t>Net cash provided by (used in) financing activities</t>
        </is>
      </c>
      <c r="C305" s="284" t="n">
        <v>-88.074</v>
      </c>
      <c r="D305" s="284" t="n">
        <v>254.246</v>
      </c>
      <c r="E305" s="284" t="n">
        <v>-54.206</v>
      </c>
      <c r="F305" s="284" t="n">
        <v>69.75</v>
      </c>
      <c r="G305" s="284" t="n">
        <v>560.289</v>
      </c>
      <c r="H305" s="284" t="n">
        <v>-267.099</v>
      </c>
      <c r="I305" s="284" t="n">
        <v>-356.184</v>
      </c>
      <c r="J305" s="284" t="n">
        <v>-294.792</v>
      </c>
      <c r="K305" s="284" t="n">
        <v>-163.146</v>
      </c>
      <c r="L305" s="284" t="n">
        <v>345.62</v>
      </c>
      <c r="M305" s="284" t="n">
        <v>818.8099999999999</v>
      </c>
      <c r="N305" s="284" t="n">
        <v>-239.107</v>
      </c>
      <c r="O305" s="284" t="n">
        <v>-189.265</v>
      </c>
      <c r="P305" s="284" t="n">
        <v>-274.608</v>
      </c>
      <c r="Q305" s="284" t="n">
        <v>115.83</v>
      </c>
      <c r="R305" s="284" t="n">
        <v>-141.414</v>
      </c>
      <c r="S305" s="284" t="n">
        <v>-44.948</v>
      </c>
      <c r="T305" s="284" t="n">
        <v>-120.409</v>
      </c>
      <c r="U305" s="284" t="n">
        <v>-191.947</v>
      </c>
      <c r="V305" s="284" t="n">
        <v>-498.718</v>
      </c>
      <c r="W305" s="284" t="n">
        <v>-213.637</v>
      </c>
      <c r="X305" s="284" t="n">
        <v>470.214</v>
      </c>
      <c r="Y305" s="284" t="n">
        <v>-197.994</v>
      </c>
      <c r="Z305" s="284" t="n">
        <v>-143.769</v>
      </c>
      <c r="AA305" s="284" t="n">
        <v>-85.18600000000001</v>
      </c>
      <c r="AB305" s="284" t="n">
        <v>-998.932</v>
      </c>
      <c r="AC305" s="284" t="n">
        <v>-180.964</v>
      </c>
      <c r="AD305" s="284" t="n">
        <v>-214.397</v>
      </c>
      <c r="AE305" s="284" t="n">
        <v>-178.071</v>
      </c>
      <c r="AF305" s="284" t="n">
        <v>-1572.364</v>
      </c>
      <c r="AG305" s="284" t="n">
        <v>-213.1</v>
      </c>
      <c r="AH305" s="284" t="n">
        <v>-159.2</v>
      </c>
      <c r="AI305" s="284" t="n">
        <v>-98</v>
      </c>
      <c r="AJ305" s="284" t="n">
        <v>-97.90000000000001</v>
      </c>
      <c r="AK305" s="284" t="n">
        <v>-568.2</v>
      </c>
      <c r="AL305" s="284" t="n">
        <v>-213.5</v>
      </c>
      <c r="AM305" s="32" t="n"/>
      <c r="AN305" s="32" t="n"/>
      <c r="AO305" s="32" t="n"/>
      <c r="AP305" s="262">
        <f>SUM(AP300:AP304)</f>
        <v/>
      </c>
      <c r="AQ305" s="262">
        <f>SUM(AQ300:AQ304)</f>
        <v/>
      </c>
      <c r="AR305" s="262">
        <f>SUM(AR300:AR304)</f>
        <v/>
      </c>
      <c r="AS305" s="262">
        <f>SUM(AS300:AS304)</f>
        <v/>
      </c>
      <c r="AT305" s="262">
        <f>SUM(AT300:AT304)</f>
        <v/>
      </c>
      <c r="AU305" s="153" t="n"/>
    </row>
    <row r="306" ht="15" customHeight="1" s="251">
      <c r="B306" s="25" t="inlineStr">
        <is>
          <t>Effect of exchange rate changes on cash</t>
        </is>
      </c>
      <c r="C306" s="253" t="n">
        <v>-2.218</v>
      </c>
      <c r="D306" s="253" t="n">
        <v>-3.82</v>
      </c>
      <c r="E306" s="253" t="n">
        <v>4.021</v>
      </c>
      <c r="F306" s="253" t="n">
        <v>-17.134</v>
      </c>
      <c r="G306" s="253" t="n">
        <v>-4.228</v>
      </c>
      <c r="H306" s="253" t="n">
        <v>-18.655</v>
      </c>
      <c r="I306" s="253" t="n">
        <v>20.997</v>
      </c>
      <c r="J306" s="253" t="n">
        <v>-12.39</v>
      </c>
      <c r="K306" s="253" t="n">
        <v>-8.73</v>
      </c>
      <c r="L306" s="253" t="n">
        <v>19.849</v>
      </c>
      <c r="M306" s="253" t="n">
        <v>1.539</v>
      </c>
      <c r="N306" s="253" t="n">
        <v>-6.71</v>
      </c>
      <c r="O306" s="253" t="n">
        <v>0.346</v>
      </c>
      <c r="P306" s="253" t="n">
        <v>-1.468</v>
      </c>
      <c r="Q306" s="253" t="n">
        <v>-6.293</v>
      </c>
      <c r="R306" s="253" t="n">
        <v>-12.908</v>
      </c>
      <c r="S306" s="253" t="n">
        <v>-19.019</v>
      </c>
      <c r="T306" s="253" t="n">
        <v>14.353</v>
      </c>
      <c r="U306" s="253" t="n">
        <v>2.712</v>
      </c>
      <c r="V306" s="253" t="n">
        <v>-14.862</v>
      </c>
      <c r="W306" s="253" t="n">
        <v>-0.639</v>
      </c>
      <c r="X306" s="253" t="n">
        <v>-4.929</v>
      </c>
      <c r="Y306" s="253" t="n">
        <v>7.5</v>
      </c>
      <c r="Z306" s="253" t="n">
        <v>-3.996</v>
      </c>
      <c r="AA306" s="253" t="n">
        <v>-2.064</v>
      </c>
      <c r="AB306" s="253" t="n">
        <v>-1.332</v>
      </c>
      <c r="AC306" s="253" t="n">
        <v>9.458</v>
      </c>
      <c r="AD306" s="253" t="n">
        <v>-11.554</v>
      </c>
      <c r="AE306" s="253" t="n">
        <v>3.613</v>
      </c>
      <c r="AF306" s="253" t="n">
        <v>0.185</v>
      </c>
      <c r="AG306" s="253" t="n">
        <v>9.6</v>
      </c>
      <c r="AH306" s="253" t="n">
        <v>-0.9</v>
      </c>
      <c r="AI306" s="253" t="n">
        <v>2.9</v>
      </c>
      <c r="AJ306" s="253" t="n">
        <v>-4.4</v>
      </c>
      <c r="AK306" s="253" t="n">
        <v>7.2</v>
      </c>
      <c r="AL306" s="253" t="n">
        <v>-2.3</v>
      </c>
      <c r="AM306" s="35" t="n"/>
      <c r="AN306" s="35" t="n"/>
      <c r="AO306" s="35" t="n"/>
      <c r="AP306" s="254">
        <f>AL306</f>
        <v/>
      </c>
      <c r="AQ306" s="266" t="n">
        <v>0</v>
      </c>
      <c r="AR306" s="266" t="n">
        <v>0</v>
      </c>
      <c r="AS306" s="266" t="n">
        <v>0</v>
      </c>
      <c r="AT306" s="266" t="n">
        <v>0</v>
      </c>
      <c r="AU306" s="19" t="n"/>
    </row>
    <row r="307" ht="15" customHeight="1" s="251">
      <c r="B307" s="25" t="inlineStr">
        <is>
          <t>Increase (decrease) in cash</t>
        </is>
      </c>
      <c r="C307" s="253" t="n">
        <v>-42.195</v>
      </c>
      <c r="D307" s="253" t="n">
        <v>-8.813000000000001</v>
      </c>
      <c r="E307" s="253" t="n">
        <v>10.794</v>
      </c>
      <c r="F307" s="253" t="n">
        <v>14.887</v>
      </c>
      <c r="G307" s="253" t="n">
        <v>81.152</v>
      </c>
      <c r="H307" s="253" t="n">
        <v>34.077</v>
      </c>
      <c r="I307" s="253" t="n">
        <v>-81.384</v>
      </c>
      <c r="J307" s="253" t="n">
        <v>19.099</v>
      </c>
      <c r="K307" s="253" t="n">
        <v>98.94799999999999</v>
      </c>
      <c r="L307" s="253" t="n">
        <v>-99.05</v>
      </c>
      <c r="M307" s="253" t="n">
        <v>314.243</v>
      </c>
      <c r="N307" s="253" t="n">
        <v>-151.28</v>
      </c>
      <c r="O307" s="253" t="n">
        <v>-24.405</v>
      </c>
      <c r="P307" s="253" t="n">
        <v>-10.769</v>
      </c>
      <c r="Q307" s="253" t="n">
        <v>127.789</v>
      </c>
      <c r="R307" s="253" t="n">
        <v>-31.993</v>
      </c>
      <c r="S307" s="253" t="n">
        <v>-58.068</v>
      </c>
      <c r="T307" s="253" t="n">
        <v>1.112</v>
      </c>
      <c r="U307" s="253" t="n">
        <v>-51.014</v>
      </c>
      <c r="V307" s="253" t="n">
        <v>-139.963</v>
      </c>
      <c r="W307" s="253" t="n">
        <v>0.257</v>
      </c>
      <c r="X307" s="253" t="n">
        <v>5.143</v>
      </c>
      <c r="Y307" s="253" t="n">
        <v>-18.172</v>
      </c>
      <c r="Z307" s="253" t="n">
        <v>11.435</v>
      </c>
      <c r="AA307" s="253" t="n">
        <v>-1.337</v>
      </c>
      <c r="AB307" s="253" t="n">
        <v>-8.692</v>
      </c>
      <c r="AC307" s="253" t="n">
        <v>-26.133</v>
      </c>
      <c r="AD307" s="253" t="n">
        <v>-17.017</v>
      </c>
      <c r="AE307" s="253" t="n">
        <v>16.523</v>
      </c>
      <c r="AF307" s="253" t="n">
        <v>-35.319</v>
      </c>
      <c r="AG307" s="253" t="n">
        <v>108</v>
      </c>
      <c r="AH307" s="253" t="n">
        <v>39.4</v>
      </c>
      <c r="AI307" s="253" t="n">
        <v>104.6</v>
      </c>
      <c r="AJ307" s="253" t="n">
        <v>15.9</v>
      </c>
      <c r="AK307" s="253" t="n">
        <v>267.9</v>
      </c>
      <c r="AL307" s="253" t="n">
        <v>42.8</v>
      </c>
      <c r="AM307" s="35" t="n"/>
      <c r="AN307" s="35" t="n"/>
      <c r="AO307" s="35" t="n"/>
      <c r="AP307" s="254">
        <f>AP293+AP299+AP305+AP306</f>
        <v/>
      </c>
      <c r="AQ307" s="254">
        <f>AQ293+AQ299+AQ305+AQ306</f>
        <v/>
      </c>
      <c r="AR307" s="254">
        <f>AR293+AR299+AR305+AR306</f>
        <v/>
      </c>
      <c r="AS307" s="254">
        <f>AS293+AS299+AS305+AS306</f>
        <v/>
      </c>
      <c r="AT307" s="254">
        <f>AT293+AT299+AT305+AT306</f>
        <v/>
      </c>
      <c r="AU307" s="19" t="n"/>
    </row>
    <row r="308" ht="15" customHeight="1" s="251">
      <c r="B308" s="25" t="inlineStr">
        <is>
          <t>Cash — beginning of period</t>
        </is>
      </c>
      <c r="C308" s="253" t="n">
        <v>193.016</v>
      </c>
      <c r="D308" s="253" t="n">
        <v>150.821</v>
      </c>
      <c r="E308" s="253" t="n">
        <v>142.008</v>
      </c>
      <c r="F308" s="253" t="n">
        <v>152.802</v>
      </c>
      <c r="G308" s="253" t="n">
        <v>167.689</v>
      </c>
      <c r="H308" s="253" t="n">
        <v>248.841</v>
      </c>
      <c r="I308" s="253" t="n">
        <v>282.918</v>
      </c>
      <c r="J308" s="253" t="n">
        <v>201.534</v>
      </c>
      <c r="K308" s="253" t="n">
        <v>220.633</v>
      </c>
      <c r="L308" s="253" t="n">
        <v>319.581</v>
      </c>
      <c r="M308" s="253" t="n">
        <v>220.531</v>
      </c>
      <c r="N308" s="253" t="n">
        <v>534.774</v>
      </c>
      <c r="O308" s="253" t="n">
        <v>383.494</v>
      </c>
      <c r="P308" s="253" t="n">
        <v>359.089</v>
      </c>
      <c r="Q308" s="253" t="n">
        <v>220.531</v>
      </c>
      <c r="R308" s="253" t="n">
        <v>348.32</v>
      </c>
      <c r="S308" s="253" t="n">
        <v>316.327</v>
      </c>
      <c r="T308" s="253" t="n">
        <v>258.259</v>
      </c>
      <c r="U308" s="253" t="n">
        <v>259.371</v>
      </c>
      <c r="V308" s="253" t="n">
        <v>348.32</v>
      </c>
      <c r="W308" s="253" t="n">
        <v>208.357</v>
      </c>
      <c r="X308" s="253" t="n">
        <v>208.614</v>
      </c>
      <c r="Y308" s="253" t="n">
        <v>213.757</v>
      </c>
      <c r="Z308" s="253" t="n">
        <v>195.585</v>
      </c>
      <c r="AA308" s="253" t="n">
        <v>208.357</v>
      </c>
      <c r="AB308" s="253" t="n">
        <v>207.02</v>
      </c>
      <c r="AC308" s="253" t="n">
        <v>198.328</v>
      </c>
      <c r="AD308" s="253" t="n">
        <v>172.195</v>
      </c>
      <c r="AE308" s="253" t="n">
        <v>155.178</v>
      </c>
      <c r="AF308" s="253" t="n">
        <v>207.02</v>
      </c>
      <c r="AG308" s="253" t="n">
        <v>171.7</v>
      </c>
      <c r="AH308" s="253" t="n">
        <v>279.7</v>
      </c>
      <c r="AI308" s="253" t="n">
        <v>319.2</v>
      </c>
      <c r="AJ308" s="253" t="n">
        <v>423.7</v>
      </c>
      <c r="AK308" s="253" t="n">
        <v>171.7</v>
      </c>
      <c r="AL308" s="253" t="n">
        <v>439.6</v>
      </c>
      <c r="AM308" s="35" t="n"/>
      <c r="AN308" s="35" t="n"/>
      <c r="AO308" s="35" t="n"/>
      <c r="AP308" s="254">
        <f>AK309</f>
        <v/>
      </c>
      <c r="AQ308" s="254">
        <f>AP309</f>
        <v/>
      </c>
      <c r="AR308" s="254">
        <f>AQ309</f>
        <v/>
      </c>
      <c r="AS308" s="254">
        <f>AR309</f>
        <v/>
      </c>
      <c r="AT308" s="254">
        <f>AS309</f>
        <v/>
      </c>
      <c r="AU308" s="19" t="n"/>
    </row>
    <row r="309" ht="15" customHeight="1" s="251">
      <c r="B309" s="16" t="inlineStr">
        <is>
          <t>Cash — end of period</t>
        </is>
      </c>
      <c r="C309" s="284" t="n">
        <v>150.821</v>
      </c>
      <c r="D309" s="284" t="n">
        <v>142.008</v>
      </c>
      <c r="E309" s="284" t="n">
        <v>152.802</v>
      </c>
      <c r="F309" s="284" t="n">
        <v>167.689</v>
      </c>
      <c r="G309" s="284" t="n">
        <v>248.841</v>
      </c>
      <c r="H309" s="284" t="n">
        <v>282.918</v>
      </c>
      <c r="I309" s="284" t="n">
        <v>201.534</v>
      </c>
      <c r="J309" s="284" t="n">
        <v>220.633</v>
      </c>
      <c r="K309" s="284" t="n">
        <v>319.581</v>
      </c>
      <c r="L309" s="284" t="n">
        <v>220.531</v>
      </c>
      <c r="M309" s="284" t="n">
        <v>534.774</v>
      </c>
      <c r="N309" s="284" t="n">
        <v>383.494</v>
      </c>
      <c r="O309" s="284" t="n">
        <v>359.089</v>
      </c>
      <c r="P309" s="284" t="n">
        <v>348.32</v>
      </c>
      <c r="Q309" s="284" t="n">
        <v>348.32</v>
      </c>
      <c r="R309" s="284" t="n">
        <v>316.327</v>
      </c>
      <c r="S309" s="284" t="n">
        <v>258.259</v>
      </c>
      <c r="T309" s="284" t="n">
        <v>259.371</v>
      </c>
      <c r="U309" s="284" t="n">
        <v>208.357</v>
      </c>
      <c r="V309" s="284" t="n">
        <v>208.357</v>
      </c>
      <c r="W309" s="284" t="n">
        <v>208.614</v>
      </c>
      <c r="X309" s="284" t="n">
        <v>213.757</v>
      </c>
      <c r="Y309" s="284" t="n">
        <v>195.585</v>
      </c>
      <c r="Z309" s="284" t="n">
        <v>207.02</v>
      </c>
      <c r="AA309" s="284" t="n">
        <v>207.02</v>
      </c>
      <c r="AB309" s="284" t="n">
        <v>198.328</v>
      </c>
      <c r="AC309" s="284" t="n">
        <v>172.195</v>
      </c>
      <c r="AD309" s="284" t="n">
        <v>155.178</v>
      </c>
      <c r="AE309" s="284" t="n">
        <v>171.701</v>
      </c>
      <c r="AF309" s="284" t="n">
        <v>171.701</v>
      </c>
      <c r="AG309" s="284" t="n">
        <v>279.7</v>
      </c>
      <c r="AH309" s="284" t="n">
        <v>319.2</v>
      </c>
      <c r="AI309" s="284" t="n">
        <v>423.7</v>
      </c>
      <c r="AJ309" s="284" t="n">
        <v>439.6</v>
      </c>
      <c r="AK309" s="284" t="n">
        <v>439.6</v>
      </c>
      <c r="AL309" s="284" t="n">
        <v>482.3</v>
      </c>
      <c r="AM309" s="32" t="n"/>
      <c r="AN309" s="32" t="n"/>
      <c r="AO309" s="32" t="n"/>
      <c r="AP309" s="262">
        <f>AP308+AP307</f>
        <v/>
      </c>
      <c r="AQ309" s="262">
        <f>AQ308+AQ307</f>
        <v/>
      </c>
      <c r="AR309" s="262">
        <f>AR308+AR307</f>
        <v/>
      </c>
      <c r="AS309" s="262">
        <f>AS308+AS307</f>
        <v/>
      </c>
      <c r="AT309" s="262">
        <f>AT308+AT307</f>
        <v/>
      </c>
      <c r="AU309" s="153" t="n"/>
    </row>
    <row r="310" ht="15" customHeight="1" s="251">
      <c r="B310" s="57" t="inlineStr">
        <is>
          <t xml:space="preserve">  Check: CFO + CFI + CFF + FX = change in cash (should be 0)</t>
        </is>
      </c>
      <c r="C310" s="263">
        <f>IF(AND(ISNUMBER(C308),ISNUMBER(C293)),IF(ABS(C308+C307-C309)&lt;=0.15,0,ROUND(C308+C307-C309,1)),"")</f>
        <v/>
      </c>
      <c r="D310" s="263">
        <f>IF(AND(ISNUMBER(D308),ISNUMBER(D293)),IF(ABS(D308+D307-D309)&lt;=0.15,0,ROUND(D308+D307-D309,1)),"")</f>
        <v/>
      </c>
      <c r="E310" s="263">
        <f>IF(AND(ISNUMBER(E308),ISNUMBER(E293)),IF(ABS(E308+E307-E309)&lt;=0.15,0,ROUND(E308+E307-E309,1)),"")</f>
        <v/>
      </c>
      <c r="F310" s="263">
        <f>IF(AND(ISNUMBER(F308),ISNUMBER(F293)),IF(ABS(F308+F307-F309)&lt;=0.15,0,ROUND(F308+F307-F309,1)),"")</f>
        <v/>
      </c>
      <c r="G310" s="263">
        <f>IF(AND(ISNUMBER(G308),ISNUMBER(G293)),IF(ABS(G308+G307-G309)&lt;=0.15,0,ROUND(G308+G307-G309,1)),"")</f>
        <v/>
      </c>
      <c r="H310" s="263">
        <f>IF(AND(ISNUMBER(H308),ISNUMBER(H293)),IF(ABS(H308+H307-H309)&lt;=0.15,0,ROUND(H308+H307-H309,1)),"")</f>
        <v/>
      </c>
      <c r="I310" s="263">
        <f>IF(AND(ISNUMBER(I308),ISNUMBER(I293)),IF(ABS(I308+I307-I309)&lt;=0.15,0,ROUND(I308+I307-I309,1)),"")</f>
        <v/>
      </c>
      <c r="J310" s="263">
        <f>IF(AND(ISNUMBER(J308),ISNUMBER(J293)),IF(ABS(J308+J307-J309)&lt;=0.15,0,ROUND(J308+J307-J309,1)),"")</f>
        <v/>
      </c>
      <c r="K310" s="263">
        <f>IF(AND(ISNUMBER(K308),ISNUMBER(K293)),IF(ABS(K308+K307-K309)&lt;=0.15,0,ROUND(K308+K307-K309,1)),"")</f>
        <v/>
      </c>
      <c r="L310" s="263">
        <f>IF(AND(ISNUMBER(L308),ISNUMBER(L293)),IF(ABS(L308+L307-L309)&lt;=0.15,0,ROUND(L308+L307-L309,1)),"")</f>
        <v/>
      </c>
      <c r="M310" s="263">
        <f>IF(AND(ISNUMBER(M308),ISNUMBER(M293)),IF(ABS(M308+M307-M309)&lt;=0.15,0,ROUND(M308+M307-M309,1)),"")</f>
        <v/>
      </c>
      <c r="N310" s="263">
        <f>IF(AND(ISNUMBER(N308),ISNUMBER(N293)),IF(ABS(N308+N307-N309)&lt;=0.15,0,ROUND(N308+N307-N309,1)),"")</f>
        <v/>
      </c>
      <c r="O310" s="263">
        <f>IF(AND(ISNUMBER(O308),ISNUMBER(O293)),IF(ABS(O308+O307-O309)&lt;=0.15,0,ROUND(O308+O307-O309,1)),"")</f>
        <v/>
      </c>
      <c r="P310" s="263">
        <f>IF(AND(ISNUMBER(P308),ISNUMBER(P293)),IF(ABS(P308+P307-P309)&lt;=0.15,0,ROUND(P308+P307-P309,1)),"")</f>
        <v/>
      </c>
      <c r="Q310" s="263">
        <f>IF(AND(ISNUMBER(Q308),ISNUMBER(Q293)),IF(ABS(Q308+Q307-Q309)&lt;=0.15,0,ROUND(Q308+Q307-Q309,1)),"")</f>
        <v/>
      </c>
      <c r="R310" s="263">
        <f>IF(AND(ISNUMBER(R308),ISNUMBER(R293)),IF(ABS(R308+R307-R309)&lt;=0.15,0,ROUND(R308+R307-R309,1)),"")</f>
        <v/>
      </c>
      <c r="S310" s="263">
        <f>IF(AND(ISNUMBER(S308),ISNUMBER(S293)),IF(ABS(S308+S307-S309)&lt;=0.15,0,ROUND(S308+S307-S309,1)),"")</f>
        <v/>
      </c>
      <c r="T310" s="263">
        <f>IF(AND(ISNUMBER(T308),ISNUMBER(T293)),IF(ABS(T308+T307-T309)&lt;=0.15,0,ROUND(T308+T307-T309,1)),"")</f>
        <v/>
      </c>
      <c r="U310" s="263">
        <f>IF(AND(ISNUMBER(U308),ISNUMBER(U293)),IF(ABS(U308+U307-U309)&lt;=0.15,0,ROUND(U308+U307-U309,1)),"")</f>
        <v/>
      </c>
      <c r="V310" s="263">
        <f>IF(AND(ISNUMBER(V308),ISNUMBER(V293)),IF(ABS(V308+V307-V309)&lt;=0.15,0,ROUND(V308+V307-V309,1)),"")</f>
        <v/>
      </c>
      <c r="W310" s="263">
        <f>IF(AND(ISNUMBER(W308),ISNUMBER(W293)),IF(ABS(W308+W307-W309)&lt;=0.15,0,ROUND(W308+W307-W309,1)),"")</f>
        <v/>
      </c>
      <c r="X310" s="263">
        <f>IF(AND(ISNUMBER(X308),ISNUMBER(X293)),IF(ABS(X308+X307-X309)&lt;=0.15,0,ROUND(X308+X307-X309,1)),"")</f>
        <v/>
      </c>
      <c r="Y310" s="263">
        <f>IF(AND(ISNUMBER(Y308),ISNUMBER(Y293)),IF(ABS(Y308+Y307-Y309)&lt;=0.15,0,ROUND(Y308+Y307-Y309,1)),"")</f>
        <v/>
      </c>
      <c r="Z310" s="263">
        <f>IF(AND(ISNUMBER(Z308),ISNUMBER(Z293)),IF(ABS(Z308+Z307-Z309)&lt;=0.15,0,ROUND(Z308+Z307-Z309,1)),"")</f>
        <v/>
      </c>
      <c r="AA310" s="263">
        <f>IF(AND(ISNUMBER(AA308),ISNUMBER(AA293)),IF(ABS(AA308+AA307-AA309)&lt;=0.15,0,ROUND(AA308+AA307-AA309,1)),"")</f>
        <v/>
      </c>
      <c r="AB310" s="263">
        <f>IF(AND(ISNUMBER(AB308),ISNUMBER(AB293)),IF(ABS(AB308+AB307-AB309)&lt;=0.15,0,ROUND(AB308+AB307-AB309,1)),"")</f>
        <v/>
      </c>
      <c r="AC310" s="263">
        <f>IF(AND(ISNUMBER(AC308),ISNUMBER(AC293)),IF(ABS(AC308+AC307-AC309)&lt;=0.15,0,ROUND(AC308+AC307-AC309,1)),"")</f>
        <v/>
      </c>
      <c r="AD310" s="263">
        <f>IF(AND(ISNUMBER(AD308),ISNUMBER(AD293)),IF(ABS(AD308+AD307-AD309)&lt;=0.15,0,ROUND(AD308+AD307-AD309,1)),"")</f>
        <v/>
      </c>
      <c r="AE310" s="263">
        <f>IF(AND(ISNUMBER(AE308),ISNUMBER(AE293)),IF(ABS(AE308+AE307-AE309)&lt;=0.15,0,ROUND(AE308+AE307-AE309,1)),"")</f>
        <v/>
      </c>
      <c r="AF310" s="263">
        <f>IF(AND(ISNUMBER(AF308),ISNUMBER(AF293)),IF(ABS(AF308+AF307-AF309)&lt;=0.15,0,ROUND(AF308+AF307-AF309,1)),"")</f>
        <v/>
      </c>
      <c r="AG310" s="263">
        <f>IF(AND(ISNUMBER(AG308),ISNUMBER(AG293)),IF(ABS(AG308+AG307-AG309)&lt;=0.15,0,ROUND(AG308+AG307-AG309,1)),"")</f>
        <v/>
      </c>
      <c r="AH310" s="263">
        <f>IF(AND(ISNUMBER(AH308),ISNUMBER(AH293)),IF(ABS(AH308+AH307-AH309)&lt;=0.15,0,ROUND(AH308+AH307-AH309,1)),"")</f>
        <v/>
      </c>
      <c r="AI310" s="263">
        <f>IF(AND(ISNUMBER(AI308),ISNUMBER(AI293)),IF(ABS(AI308+AI307-AI309)&lt;=0.15,0,ROUND(AI308+AI307-AI309,1)),"")</f>
        <v/>
      </c>
      <c r="AJ310" s="263">
        <f>IF(AND(ISNUMBER(AJ308),ISNUMBER(AJ293)),IF(ABS(AJ308+AJ307-AJ309)&lt;=0.15,0,ROUND(AJ308+AJ307-AJ309,1)),"")</f>
        <v/>
      </c>
      <c r="AK310" s="263">
        <f>IF(AND(ISNUMBER(AK308),ISNUMBER(AK293)),IF(ABS(AK308+AK307-AK309)&lt;=0.15,0,ROUND(AK308+AK307-AK309,1)),"")</f>
        <v/>
      </c>
      <c r="AL310" s="263">
        <f>IF(AND(ISNUMBER(AL308),ISNUMBER(AL293)),IF(ABS(AL308+AL307-AL309)&lt;=0.15,0,ROUND(AL308+AL307-AL309,1)),"")</f>
        <v/>
      </c>
      <c r="AM310" s="153" t="n"/>
      <c r="AN310" s="153" t="n"/>
      <c r="AO310" s="153" t="n"/>
      <c r="AP310" s="275">
        <f>IF(AND(ISNUMBER(AP308),ISNUMBER(AP293)),IF(ABS(AP308+AP307-AP309)&lt;=0.15,0,ROUND(AP308+AP307-AP309,1)),"")</f>
        <v/>
      </c>
      <c r="AQ310" s="275">
        <f>IF(AND(ISNUMBER(AQ308),ISNUMBER(AQ293)),IF(ABS(AQ308+AQ307-AQ309)&lt;=0.15,0,ROUND(AQ308+AQ307-AQ309,1)),"")</f>
        <v/>
      </c>
      <c r="AR310" s="275">
        <f>IF(AND(ISNUMBER(AR308),ISNUMBER(AR293)),IF(ABS(AR308+AR307-AR309)&lt;=0.15,0,ROUND(AR308+AR307-AR309,1)),"")</f>
        <v/>
      </c>
      <c r="AS310" s="275">
        <f>IF(AND(ISNUMBER(AS308),ISNUMBER(AS293)),IF(ABS(AS308+AS307-AS309)&lt;=0.15,0,ROUND(AS308+AS307-AS309,1)),"")</f>
        <v/>
      </c>
      <c r="AT310" s="275">
        <f>IF(AND(ISNUMBER(AT308),ISNUMBER(AT293)),IF(ABS(AT308+AT307-AT309)&lt;=0.15,0,ROUND(AT308+AT307-AT309,1)),"")</f>
        <v/>
      </c>
      <c r="AU310" s="153" t="n"/>
    </row>
    <row r="311" ht="15" customHeight="1" s="251">
      <c r="B311" s="57" t="inlineStr">
        <is>
          <t xml:space="preserve">  Check: CFO = sum of operating lines (should be 0)</t>
        </is>
      </c>
      <c r="C311" s="263">
        <f>IF(ISNUMBER(C286),IF(ABS(SUM(C286:C292)-C293)&lt;=0.15,0,ROUND(SUM(C286:C292)-C293,1)),"")</f>
        <v/>
      </c>
      <c r="D311" s="263">
        <f>IF(ISNUMBER(D286),IF(ABS(SUM(D286:D292)-D293)&lt;=0.15,0,ROUND(SUM(D286:D292)-D293,1)),"")</f>
        <v/>
      </c>
      <c r="E311" s="263">
        <f>IF(ISNUMBER(E286),IF(ABS(SUM(E286:E292)-E293)&lt;=0.15,0,ROUND(SUM(E286:E292)-E293,1)),"")</f>
        <v/>
      </c>
      <c r="F311" s="263">
        <f>IF(ISNUMBER(F286),IF(ABS(SUM(F286:F292)-F293)&lt;=0.15,0,ROUND(SUM(F286:F292)-F293,1)),"")</f>
        <v/>
      </c>
      <c r="G311" s="263">
        <f>IF(ISNUMBER(G286),IF(ABS(SUM(G286:G292)-G293)&lt;=0.15,0,ROUND(SUM(G286:G292)-G293,1)),"")</f>
        <v/>
      </c>
      <c r="H311" s="263">
        <f>IF(ISNUMBER(H286),IF(ABS(SUM(H286:H292)-H293)&lt;=0.15,0,ROUND(SUM(H286:H292)-H293,1)),"")</f>
        <v/>
      </c>
      <c r="I311" s="263">
        <f>IF(ISNUMBER(I286),IF(ABS(SUM(I286:I292)-I293)&lt;=0.15,0,ROUND(SUM(I286:I292)-I293,1)),"")</f>
        <v/>
      </c>
      <c r="J311" s="263">
        <f>IF(ISNUMBER(J286),IF(ABS(SUM(J286:J292)-J293)&lt;=0.15,0,ROUND(SUM(J286:J292)-J293,1)),"")</f>
        <v/>
      </c>
      <c r="K311" s="263">
        <f>IF(ISNUMBER(K286),IF(ABS(SUM(K286:K292)-K293)&lt;=0.15,0,ROUND(SUM(K286:K292)-K293,1)),"")</f>
        <v/>
      </c>
      <c r="L311" s="263">
        <f>IF(ISNUMBER(L286),IF(ABS(SUM(L286:L292)-L293)&lt;=0.15,0,ROUND(SUM(L286:L292)-L293,1)),"")</f>
        <v/>
      </c>
      <c r="M311" s="263">
        <f>IF(ISNUMBER(M286),IF(ABS(SUM(M286:M292)-M293)&lt;=0.15,0,ROUND(SUM(M286:M292)-M293,1)),"")</f>
        <v/>
      </c>
      <c r="N311" s="263">
        <f>IF(ISNUMBER(N286),IF(ABS(SUM(N286:N292)-N293)&lt;=0.15,0,ROUND(SUM(N286:N292)-N293,1)),"")</f>
        <v/>
      </c>
      <c r="O311" s="263">
        <f>IF(ISNUMBER(O286),IF(ABS(SUM(O286:O292)-O293)&lt;=0.15,0,ROUND(SUM(O286:O292)-O293,1)),"")</f>
        <v/>
      </c>
      <c r="P311" s="263">
        <f>IF(ISNUMBER(P286),IF(ABS(SUM(P286:P292)-P293)&lt;=0.15,0,ROUND(SUM(P286:P292)-P293,1)),"")</f>
        <v/>
      </c>
      <c r="Q311" s="263">
        <f>IF(ISNUMBER(Q286),IF(ABS(SUM(Q286:Q292)-Q293)&lt;=0.15,0,ROUND(SUM(Q286:Q292)-Q293,1)),"")</f>
        <v/>
      </c>
      <c r="R311" s="263">
        <f>IF(ISNUMBER(R286),IF(ABS(SUM(R286:R292)-R293)&lt;=0.15,0,ROUND(SUM(R286:R292)-R293,1)),"")</f>
        <v/>
      </c>
      <c r="S311" s="263">
        <f>IF(ISNUMBER(S286),IF(ABS(SUM(S286:S292)-S293)&lt;=0.15,0,ROUND(SUM(S286:S292)-S293,1)),"")</f>
        <v/>
      </c>
      <c r="T311" s="263">
        <f>IF(ISNUMBER(T286),IF(ABS(SUM(T286:T292)-T293)&lt;=0.15,0,ROUND(SUM(T286:T292)-T293,1)),"")</f>
        <v/>
      </c>
      <c r="U311" s="263">
        <f>IF(ISNUMBER(U286),IF(ABS(SUM(U286:U292)-U293)&lt;=0.15,0,ROUND(SUM(U286:U292)-U293,1)),"")</f>
        <v/>
      </c>
      <c r="V311" s="263">
        <f>IF(ISNUMBER(V286),IF(ABS(SUM(V286:V292)-V293)&lt;=0.15,0,ROUND(SUM(V286:V292)-V293,1)),"")</f>
        <v/>
      </c>
      <c r="W311" s="263">
        <f>IF(ISNUMBER(W286),IF(ABS(SUM(W286:W292)-W293)&lt;=0.15,0,ROUND(SUM(W286:W292)-W293,1)),"")</f>
        <v/>
      </c>
      <c r="X311" s="263">
        <f>IF(ISNUMBER(X286),IF(ABS(SUM(X286:X292)-X293)&lt;=0.15,0,ROUND(SUM(X286:X292)-X293,1)),"")</f>
        <v/>
      </c>
      <c r="Y311" s="263">
        <f>IF(ISNUMBER(Y286),IF(ABS(SUM(Y286:Y292)-Y293)&lt;=0.15,0,ROUND(SUM(Y286:Y292)-Y293,1)),"")</f>
        <v/>
      </c>
      <c r="Z311" s="263">
        <f>IF(ISNUMBER(Z286),IF(ABS(SUM(Z286:Z292)-Z293)&lt;=0.15,0,ROUND(SUM(Z286:Z292)-Z293,1)),"")</f>
        <v/>
      </c>
      <c r="AA311" s="263">
        <f>IF(ISNUMBER(AA286),IF(ABS(SUM(AA286:AA292)-AA293)&lt;=0.15,0,ROUND(SUM(AA286:AA292)-AA293,1)),"")</f>
        <v/>
      </c>
      <c r="AB311" s="263">
        <f>IF(ISNUMBER(AB286),IF(ABS(SUM(AB286:AB292)-AB293)&lt;=0.15,0,ROUND(SUM(AB286:AB292)-AB293,1)),"")</f>
        <v/>
      </c>
      <c r="AC311" s="263">
        <f>IF(ISNUMBER(AC286),IF(ABS(SUM(AC286:AC292)-AC293)&lt;=0.15,0,ROUND(SUM(AC286:AC292)-AC293,1)),"")</f>
        <v/>
      </c>
      <c r="AD311" s="263">
        <f>IF(ISNUMBER(AD286),IF(ABS(SUM(AD286:AD292)-AD293)&lt;=0.15,0,ROUND(SUM(AD286:AD292)-AD293,1)),"")</f>
        <v/>
      </c>
      <c r="AE311" s="263">
        <f>IF(ISNUMBER(AE286),IF(ABS(SUM(AE286:AE292)-AE293)&lt;=0.15,0,ROUND(SUM(AE286:AE292)-AE293,1)),"")</f>
        <v/>
      </c>
      <c r="AF311" s="263">
        <f>IF(ISNUMBER(AF286),IF(ABS(SUM(AF286:AF292)-AF293)&lt;=0.15,0,ROUND(SUM(AF286:AF292)-AF293,1)),"")</f>
        <v/>
      </c>
      <c r="AG311" s="263">
        <f>IF(ISNUMBER(AG286),IF(ABS(SUM(AG286:AG292)-AG293)&lt;=0.15,0,ROUND(SUM(AG286:AG292)-AG293,1)),"")</f>
        <v/>
      </c>
      <c r="AH311" s="263">
        <f>IF(ISNUMBER(AH286),IF(ABS(SUM(AH286:AH292)-AH293)&lt;=0.15,0,ROUND(SUM(AH286:AH292)-AH293,1)),"")</f>
        <v/>
      </c>
      <c r="AI311" s="263">
        <f>IF(ISNUMBER(AI286),IF(ABS(SUM(AI286:AI292)-AI293)&lt;=0.15,0,ROUND(SUM(AI286:AI292)-AI293,1)),"")</f>
        <v/>
      </c>
      <c r="AJ311" s="263">
        <f>IF(ISNUMBER(AJ286),IF(ABS(SUM(AJ286:AJ292)-AJ293)&lt;=0.15,0,ROUND(SUM(AJ286:AJ292)-AJ293,1)),"")</f>
        <v/>
      </c>
      <c r="AK311" s="263">
        <f>IF(ISNUMBER(AK286),IF(ABS(SUM(AK286:AK292)-AK293)&lt;=0.15,0,ROUND(SUM(AK286:AK292)-AK293,1)),"")</f>
        <v/>
      </c>
      <c r="AL311" s="263">
        <f>IF(ISNUMBER(AL286),IF(ABS(SUM(AL286:AL292)-AL293)&lt;=0.15,0,ROUND(SUM(AL286:AL292)-AL293,1)),"")</f>
        <v/>
      </c>
      <c r="AM311" s="153" t="n"/>
      <c r="AN311" s="153" t="n"/>
      <c r="AO311" s="153" t="n"/>
      <c r="AP311" s="275">
        <f>IF(ISNUMBER(AP286),IF(ABS(SUM(AP286:AP292)-AP293)&lt;=0.15,0,ROUND(SUM(AP286:AP292)-AP293,1)),"")</f>
        <v/>
      </c>
      <c r="AQ311" s="275">
        <f>IF(ISNUMBER(AQ286),IF(ABS(SUM(AQ286:AQ292)-AQ293)&lt;=0.15,0,ROUND(SUM(AQ286:AQ292)-AQ293,1)),"")</f>
        <v/>
      </c>
      <c r="AR311" s="275">
        <f>IF(ISNUMBER(AR286),IF(ABS(SUM(AR286:AR292)-AR293)&lt;=0.15,0,ROUND(SUM(AR286:AR292)-AR293,1)),"")</f>
        <v/>
      </c>
      <c r="AS311" s="275">
        <f>IF(ISNUMBER(AS286),IF(ABS(SUM(AS286:AS292)-AS293)&lt;=0.15,0,ROUND(SUM(AS286:AS292)-AS293,1)),"")</f>
        <v/>
      </c>
      <c r="AT311" s="275">
        <f>IF(ISNUMBER(AT286),IF(ABS(SUM(AT286:AT292)-AT293)&lt;=0.15,0,ROUND(SUM(AT286:AT292)-AT293,1)),"")</f>
        <v/>
      </c>
      <c r="AU311" s="153" t="n"/>
    </row>
    <row r="312" ht="15" customHeight="1" s="251">
      <c r="B312" s="25" t="inlineStr">
        <is>
          <t>(Memo)</t>
        </is>
      </c>
      <c r="AU312" s="153" t="n"/>
    </row>
    <row r="313" ht="15" customHeight="1" s="251">
      <c r="B313" s="55" t="inlineStr">
        <is>
          <t>Free cash flow (company definition: CFO − capex + proceeds from asset sales)</t>
        </is>
      </c>
      <c r="C313" s="274">
        <f>IF(AND(ISNUMBER(C293),ISNUMBER(C294)),C293+C294+N(C295),"")</f>
        <v/>
      </c>
      <c r="D313" s="274">
        <f>IF(AND(ISNUMBER(D293),ISNUMBER(D294)),D293+D294+N(D295),"")</f>
        <v/>
      </c>
      <c r="E313" s="274">
        <f>IF(AND(ISNUMBER(E293),ISNUMBER(E294)),E293+E294+N(E295),"")</f>
        <v/>
      </c>
      <c r="F313" s="274">
        <f>IF(AND(ISNUMBER(F293),ISNUMBER(F294)),F293+F294+N(F295),"")</f>
        <v/>
      </c>
      <c r="G313" s="274">
        <f>IF(AND(ISNUMBER(G293),ISNUMBER(G294)),G293+G294+N(G295),"")</f>
        <v/>
      </c>
      <c r="H313" s="274">
        <f>IF(AND(ISNUMBER(H293),ISNUMBER(H294)),H293+H294+N(H295),"")</f>
        <v/>
      </c>
      <c r="I313" s="274">
        <f>IF(AND(ISNUMBER(I293),ISNUMBER(I294)),I293+I294+N(I295),"")</f>
        <v/>
      </c>
      <c r="J313" s="274">
        <f>IF(AND(ISNUMBER(J293),ISNUMBER(J294)),J293+J294+N(J295),"")</f>
        <v/>
      </c>
      <c r="K313" s="274">
        <f>IF(AND(ISNUMBER(K293),ISNUMBER(K294)),K293+K294+N(K295),"")</f>
        <v/>
      </c>
      <c r="L313" s="274">
        <f>IF(AND(ISNUMBER(L293),ISNUMBER(L294)),L293+L294+N(L295),"")</f>
        <v/>
      </c>
      <c r="M313" s="274">
        <f>IF(AND(ISNUMBER(M293),ISNUMBER(M294)),M293+M294+N(M295),"")</f>
        <v/>
      </c>
      <c r="N313" s="274">
        <f>IF(AND(ISNUMBER(N293),ISNUMBER(N294)),N293+N294+N(N295),"")</f>
        <v/>
      </c>
      <c r="O313" s="274">
        <f>IF(AND(ISNUMBER(O293),ISNUMBER(O294)),O293+O294+N(O295),"")</f>
        <v/>
      </c>
      <c r="P313" s="274">
        <f>IF(AND(ISNUMBER(P293),ISNUMBER(P294)),P293+P294+N(P295),"")</f>
        <v/>
      </c>
      <c r="Q313" s="274">
        <f>IF(AND(ISNUMBER(Q293),ISNUMBER(Q294)),Q293+Q294+N(Q295),"")</f>
        <v/>
      </c>
      <c r="R313" s="274">
        <f>IF(AND(ISNUMBER(R293),ISNUMBER(R294)),R293+R294+N(R295),"")</f>
        <v/>
      </c>
      <c r="S313" s="274">
        <f>IF(AND(ISNUMBER(S293),ISNUMBER(S294)),S293+S294+N(S295),"")</f>
        <v/>
      </c>
      <c r="T313" s="274">
        <f>IF(AND(ISNUMBER(T293),ISNUMBER(T294)),T293+T294+N(T295),"")</f>
        <v/>
      </c>
      <c r="U313" s="274">
        <f>IF(AND(ISNUMBER(U293),ISNUMBER(U294)),U293+U294+N(U295),"")</f>
        <v/>
      </c>
      <c r="V313" s="274">
        <f>IF(AND(ISNUMBER(V293),ISNUMBER(V294)),V293+V294+N(V295),"")</f>
        <v/>
      </c>
      <c r="W313" s="274">
        <f>IF(AND(ISNUMBER(W293),ISNUMBER(W294)),W293+W294+N(W295),"")</f>
        <v/>
      </c>
      <c r="X313" s="274">
        <f>IF(AND(ISNUMBER(X293),ISNUMBER(X294)),X293+X294+N(X295),"")</f>
        <v/>
      </c>
      <c r="Y313" s="274">
        <f>IF(AND(ISNUMBER(Y293),ISNUMBER(Y294)),Y293+Y294+N(Y295),"")</f>
        <v/>
      </c>
      <c r="Z313" s="274">
        <f>IF(AND(ISNUMBER(Z293),ISNUMBER(Z294)),Z293+Z294+N(Z295),"")</f>
        <v/>
      </c>
      <c r="AA313" s="274">
        <f>IF(AND(ISNUMBER(AA293),ISNUMBER(AA294)),AA293+AA294+N(AA295),"")</f>
        <v/>
      </c>
      <c r="AB313" s="274">
        <f>IF(AND(ISNUMBER(AB293),ISNUMBER(AB294)),AB293+AB294+N(AB295),"")</f>
        <v/>
      </c>
      <c r="AC313" s="274">
        <f>IF(AND(ISNUMBER(AC293),ISNUMBER(AC294)),AC293+AC294+N(AC295),"")</f>
        <v/>
      </c>
      <c r="AD313" s="274">
        <f>IF(AND(ISNUMBER(AD293),ISNUMBER(AD294)),AD293+AD294+N(AD295),"")</f>
        <v/>
      </c>
      <c r="AE313" s="274">
        <f>IF(AND(ISNUMBER(AE293),ISNUMBER(AE294)),AE293+AE294+N(AE295),"")</f>
        <v/>
      </c>
      <c r="AF313" s="274">
        <f>IF(AND(ISNUMBER(AF293),ISNUMBER(AF294)),AF293+AF294+N(AF295),"")</f>
        <v/>
      </c>
      <c r="AG313" s="274">
        <f>IF(AND(ISNUMBER(AG293),ISNUMBER(AG294)),AG293+AG294+N(AG295),"")</f>
        <v/>
      </c>
      <c r="AH313" s="274">
        <f>IF(AND(ISNUMBER(AH293),ISNUMBER(AH294)),AH293+AH294+N(AH295),"")</f>
        <v/>
      </c>
      <c r="AI313" s="274">
        <f>IF(AND(ISNUMBER(AI293),ISNUMBER(AI294)),AI293+AI294+N(AI295),"")</f>
        <v/>
      </c>
      <c r="AJ313" s="274">
        <f>IF(AND(ISNUMBER(AJ293),ISNUMBER(AJ294)),AJ293+AJ294+N(AJ295),"")</f>
        <v/>
      </c>
      <c r="AK313" s="274">
        <f>IF(AND(ISNUMBER(AK293),ISNUMBER(AK294)),AK293+AK294+N(AK295),"")</f>
        <v/>
      </c>
      <c r="AL313" s="274">
        <f>IF(AND(ISNUMBER(AL293),ISNUMBER(AL294)),AL293+AL294+N(AL295),"")</f>
        <v/>
      </c>
      <c r="AM313" s="56" t="n"/>
      <c r="AN313" s="56" t="n"/>
      <c r="AO313" s="56" t="n"/>
      <c r="AP313" s="274">
        <f>IF(AND(ISNUMBER(AP293),ISNUMBER(AP294)),AP293+AP294+N(AP295),"")</f>
        <v/>
      </c>
      <c r="AQ313" s="274">
        <f>IF(AND(ISNUMBER(AQ293),ISNUMBER(AQ294)),AQ293+AQ294+N(AQ295),"")</f>
        <v/>
      </c>
      <c r="AR313" s="274">
        <f>IF(AND(ISNUMBER(AR293),ISNUMBER(AR294)),AR293+AR294+N(AR295),"")</f>
        <v/>
      </c>
      <c r="AS313" s="274">
        <f>IF(AND(ISNUMBER(AS293),ISNUMBER(AS294)),AS293+AS294+N(AS295),"")</f>
        <v/>
      </c>
      <c r="AT313" s="274">
        <f>IF(AND(ISNUMBER(AT293),ISNUMBER(AT294)),AT293+AT294+N(AT295),"")</f>
        <v/>
      </c>
      <c r="AU313" s="153" t="n"/>
      <c r="AW313" s="20">
        <f>IFERROR((AT313/AK313)^(1/5)-1,"n/m")</f>
        <v/>
      </c>
      <c r="AX313" s="20">
        <f>IFERROR((AK313/L313)^(1/5)-1,"n/m")</f>
        <v/>
      </c>
      <c r="AY313" s="20">
        <f>IFERROR((AK313/G313)^(1/10)-1,"n/m")</f>
        <v/>
      </c>
      <c r="AZ313" s="20">
        <f>IFERROR((AK313/C313)^(1/14)-1,"n/m")</f>
        <v/>
      </c>
    </row>
    <row r="314" ht="15" customHeight="1" s="251">
      <c r="B314" s="156" t="inlineStr">
        <is>
          <t xml:space="preserve">  Company-published free cash flow</t>
        </is>
      </c>
      <c r="C314" s="253" t="n">
        <v>82.732</v>
      </c>
      <c r="D314" s="253" t="n">
        <v>140.437</v>
      </c>
      <c r="E314" s="253" t="n">
        <v>128.038</v>
      </c>
      <c r="F314" s="253" t="n">
        <v>161.614</v>
      </c>
      <c r="G314" s="253" t="n">
        <v>129.112</v>
      </c>
      <c r="H314" s="253" t="n">
        <v>256.031</v>
      </c>
      <c r="I314" s="253" t="n">
        <v>294.269</v>
      </c>
      <c r="J314" s="253" t="n">
        <v>355.357</v>
      </c>
      <c r="K314" s="253" t="n">
        <v>380.199</v>
      </c>
      <c r="L314" s="253" t="n">
        <v>450.947</v>
      </c>
      <c r="M314" s="253" t="n">
        <v>41.247</v>
      </c>
      <c r="N314" s="253" t="n">
        <v>94.53700000000001</v>
      </c>
      <c r="O314" s="253" t="n">
        <v>164.514</v>
      </c>
      <c r="P314" s="253" t="n">
        <v>98.691</v>
      </c>
      <c r="Q314" s="253" t="n">
        <v>398.989</v>
      </c>
      <c r="R314" s="253" t="n">
        <v>117.101</v>
      </c>
      <c r="S314" s="253" t="n">
        <v>21.091</v>
      </c>
      <c r="T314" s="253" t="n">
        <v>124.6</v>
      </c>
      <c r="U314" s="253" t="n">
        <v>146.773</v>
      </c>
      <c r="V314" s="253" t="n">
        <v>409.565</v>
      </c>
      <c r="W314" s="253" t="n">
        <v>214.533</v>
      </c>
      <c r="X314" s="253" t="n">
        <v>70.158</v>
      </c>
      <c r="Y314" s="253" t="n">
        <v>172.322</v>
      </c>
      <c r="Z314" s="253" t="n">
        <v>163.316</v>
      </c>
      <c r="AA314" s="253" t="n">
        <v>620.329</v>
      </c>
      <c r="AB314" s="253" t="n">
        <v>195.66</v>
      </c>
      <c r="AC314" s="253" t="n">
        <v>148.833</v>
      </c>
      <c r="AD314" s="253" t="n">
        <v>243.611</v>
      </c>
      <c r="AE314" s="253" t="n">
        <v>199.087</v>
      </c>
      <c r="AF314" s="253" t="n">
        <v>787.191</v>
      </c>
      <c r="AG314" s="253" t="n">
        <v>326.5</v>
      </c>
      <c r="AH314" s="253" t="n">
        <v>201.2</v>
      </c>
      <c r="AI314" s="253" t="n">
        <v>209.9</v>
      </c>
      <c r="AJ314" s="253" t="n">
        <v>245.3</v>
      </c>
      <c r="AK314" s="253" t="n">
        <v>982.9</v>
      </c>
      <c r="AL314" s="253" t="n">
        <v>279.6</v>
      </c>
      <c r="AM314" s="153" t="n"/>
      <c r="AN314" s="153" t="n"/>
      <c r="AO314" s="153" t="n"/>
      <c r="AP314" s="153" t="n"/>
      <c r="AQ314" s="153" t="n"/>
      <c r="AR314" s="153" t="n"/>
      <c r="AS314" s="153" t="n"/>
      <c r="AT314" s="153" t="n"/>
      <c r="AU314" s="153" t="n"/>
    </row>
    <row r="315" ht="15" customHeight="1" s="251">
      <c r="B315" s="57" t="inlineStr">
        <is>
          <t xml:space="preserve">  Check: model vs company-published free cash flow (should be 0)</t>
        </is>
      </c>
      <c r="C315" s="263">
        <f>IF(ISNUMBER(C314),IF(ABS(C313-C314)&lt;=0.15,0,ROUND(C313-C314,1)),"n/p")</f>
        <v/>
      </c>
      <c r="D315" s="263">
        <f>IF(ISNUMBER(D314),IF(ABS(D313-D314)&lt;=0.15,0,ROUND(D313-D314,1)),"n/p")</f>
        <v/>
      </c>
      <c r="E315" s="263">
        <f>IF(ISNUMBER(E314),IF(ABS(E313-E314)&lt;=0.15,0,ROUND(E313-E314,1)),"n/p")</f>
        <v/>
      </c>
      <c r="F315" s="263">
        <f>IF(ISNUMBER(F314),IF(ABS(F313-F314)&lt;=0.15,0,ROUND(F313-F314,1)),"n/p")</f>
        <v/>
      </c>
      <c r="G315" s="263">
        <f>IF(ISNUMBER(G314),IF(ABS(G313-G314)&lt;=0.15,0,ROUND(G313-G314,1)),"n/p")</f>
        <v/>
      </c>
      <c r="H315" s="263">
        <f>IF(ISNUMBER(H314),IF(ABS(H313-H314)&lt;=0.15,0,ROUND(H313-H314,1)),"n/p")</f>
        <v/>
      </c>
      <c r="I315" s="263">
        <f>IF(ISNUMBER(I314),IF(ABS(I313-I314)&lt;=0.15,0,ROUND(I313-I314,1)),"n/p")</f>
        <v/>
      </c>
      <c r="J315" s="263">
        <f>IF(ISNUMBER(J314),IF(ABS(J313-J314)&lt;=0.15,0,ROUND(J313-J314,1)),"n/p")</f>
        <v/>
      </c>
      <c r="K315" s="263">
        <f>IF(ISNUMBER(K314),IF(ABS(K313-K314)&lt;=0.15,0,ROUND(K313-K314,1)),"n/p")</f>
        <v/>
      </c>
      <c r="L315" s="263">
        <f>IF(ISNUMBER(L314),IF(ABS(L313-L314)&lt;=0.15,0,ROUND(L313-L314,1)),"n/p")</f>
        <v/>
      </c>
      <c r="M315" s="263">
        <f>IF(ISNUMBER(M314),IF(ABS(M313-M314)&lt;=0.15,0,ROUND(M313-M314,1)),"n/p")</f>
        <v/>
      </c>
      <c r="N315" s="263">
        <f>IF(ISNUMBER(N314),IF(ABS(N313-N314)&lt;=0.15,0,ROUND(N313-N314,1)),"n/p")</f>
        <v/>
      </c>
      <c r="O315" s="263">
        <f>IF(ISNUMBER(O314),IF(ABS(O313-O314)&lt;=0.15,0,ROUND(O313-O314,1)),"n/p")</f>
        <v/>
      </c>
      <c r="P315" s="263">
        <f>IF(ISNUMBER(P314),IF(ABS(P313-P314)&lt;=0.15,0,ROUND(P313-P314,1)),"n/p")</f>
        <v/>
      </c>
      <c r="Q315" s="263">
        <f>IF(ISNUMBER(Q314),IF(ABS(Q313-Q314)&lt;=0.15,0,ROUND(Q313-Q314,1)),"n/p")</f>
        <v/>
      </c>
      <c r="R315" s="263">
        <f>IF(ISNUMBER(R314),IF(ABS(R313-R314)&lt;=0.15,0,ROUND(R313-R314,1)),"n/p")</f>
        <v/>
      </c>
      <c r="S315" s="263">
        <f>IF(ISNUMBER(S314),IF(ABS(S313-S314)&lt;=0.15,0,ROUND(S313-S314,1)),"n/p")</f>
        <v/>
      </c>
      <c r="T315" s="263">
        <f>IF(ISNUMBER(T314),IF(ABS(T313-T314)&lt;=0.15,0,ROUND(T313-T314,1)),"n/p")</f>
        <v/>
      </c>
      <c r="U315" s="263">
        <f>IF(ISNUMBER(U314),IF(ABS(U313-U314)&lt;=0.15,0,ROUND(U313-U314,1)),"n/p")</f>
        <v/>
      </c>
      <c r="V315" s="263">
        <f>IF(ISNUMBER(V314),IF(ABS(V313-V314)&lt;=0.15,0,ROUND(V313-V314,1)),"n/p")</f>
        <v/>
      </c>
      <c r="W315" s="263">
        <f>IF(ISNUMBER(W314),IF(ABS(W313-W314)&lt;=0.15,0,ROUND(W313-W314,1)),"n/p")</f>
        <v/>
      </c>
      <c r="X315" s="263">
        <f>IF(ISNUMBER(X314),IF(ABS(X313-X314)&lt;=0.15,0,ROUND(X313-X314,1)),"n/p")</f>
        <v/>
      </c>
      <c r="Y315" s="263">
        <f>IF(ISNUMBER(Y314),IF(ABS(Y313-Y314)&lt;=0.15,0,ROUND(Y313-Y314,1)),"n/p")</f>
        <v/>
      </c>
      <c r="Z315" s="263">
        <f>IF(ISNUMBER(Z314),IF(ABS(Z313-Z314)&lt;=0.15,0,ROUND(Z313-Z314,1)),"n/p")</f>
        <v/>
      </c>
      <c r="AA315" s="263">
        <f>IF(ISNUMBER(AA314),IF(ABS(AA313-AA314)&lt;=0.15,0,ROUND(AA313-AA314,1)),"n/p")</f>
        <v/>
      </c>
      <c r="AB315" s="263">
        <f>IF(ISNUMBER(AB314),IF(ABS(AB313-AB314)&lt;=0.15,0,ROUND(AB313-AB314,1)),"n/p")</f>
        <v/>
      </c>
      <c r="AC315" s="263">
        <f>IF(ISNUMBER(AC314),IF(ABS(AC313-AC314)&lt;=0.15,0,ROUND(AC313-AC314,1)),"n/p")</f>
        <v/>
      </c>
      <c r="AD315" s="263">
        <f>IF(ISNUMBER(AD314),IF(ABS(AD313-AD314)&lt;=0.15,0,ROUND(AD313-AD314,1)),"n/p")</f>
        <v/>
      </c>
      <c r="AE315" s="263">
        <f>IF(ISNUMBER(AE314),IF(ABS(AE313-AE314)&lt;=0.15,0,ROUND(AE313-AE314,1)),"n/p")</f>
        <v/>
      </c>
      <c r="AF315" s="263">
        <f>IF(ISNUMBER(AF314),IF(ABS(AF313-AF314)&lt;=0.15,0,ROUND(AF313-AF314,1)),"n/p")</f>
        <v/>
      </c>
      <c r="AG315" s="263">
        <f>IF(ISNUMBER(AG314),IF(ABS(AG313-AG314)&lt;=0.15,0,ROUND(AG313-AG314,1)),"n/p")</f>
        <v/>
      </c>
      <c r="AH315" s="263">
        <f>IF(ISNUMBER(AH314),IF(ABS(AH313-AH314)&lt;=0.15,0,ROUND(AH313-AH314,1)),"n/p")</f>
        <v/>
      </c>
      <c r="AI315" s="263">
        <f>IF(ISNUMBER(AI314),IF(ABS(AI313-AI314)&lt;=0.15,0,ROUND(AI313-AI314,1)),"n/p")</f>
        <v/>
      </c>
      <c r="AJ315" s="263">
        <f>IF(ISNUMBER(AJ314),IF(ABS(AJ313-AJ314)&lt;=0.15,0,ROUND(AJ313-AJ314,1)),"n/p")</f>
        <v/>
      </c>
      <c r="AK315" s="263">
        <f>IF(ISNUMBER(AK314),IF(ABS(AK313-AK314)&lt;=0.15,0,ROUND(AK313-AK314,1)),"n/p")</f>
        <v/>
      </c>
      <c r="AL315" s="263">
        <f>IF(ISNUMBER(AL314),IF(ABS(AL313-AL314)&lt;=0.15,0,ROUND(AL313-AL314,1)),"n/p")</f>
        <v/>
      </c>
      <c r="AM315" s="153" t="n"/>
      <c r="AN315" s="153" t="n"/>
      <c r="AO315" s="153" t="n"/>
      <c r="AP315" s="153" t="n"/>
      <c r="AQ315" s="153" t="n"/>
      <c r="AR315" s="153" t="n"/>
      <c r="AS315" s="153" t="n"/>
      <c r="AT315" s="153" t="n"/>
      <c r="AU315" s="153" t="n"/>
    </row>
    <row r="316" ht="15" customHeight="1" s="251">
      <c r="B316" s="22" t="inlineStr">
        <is>
          <t xml:space="preserve">  FCF y/y %</t>
        </is>
      </c>
      <c r="C316" s="23" t="n"/>
      <c r="D316" s="255">
        <f>IF(AND(ISNUMBER(D313),ISNUMBER(C313)),IFERROR(D313/C313-1,""),"")</f>
        <v/>
      </c>
      <c r="E316" s="255">
        <f>IF(AND(ISNUMBER(E313),ISNUMBER(D313)),IFERROR(E313/D313-1,""),"")</f>
        <v/>
      </c>
      <c r="F316" s="255">
        <f>IF(AND(ISNUMBER(F313),ISNUMBER(E313)),IFERROR(F313/E313-1,""),"")</f>
        <v/>
      </c>
      <c r="G316" s="255">
        <f>IF(AND(ISNUMBER(G313),ISNUMBER(F313)),IFERROR(G313/F313-1,""),"")</f>
        <v/>
      </c>
      <c r="H316" s="255">
        <f>IF(AND(ISNUMBER(H313),ISNUMBER(G313)),IFERROR(H313/G313-1,""),"")</f>
        <v/>
      </c>
      <c r="I316" s="255">
        <f>IF(AND(ISNUMBER(I313),ISNUMBER(H313)),IFERROR(I313/H313-1,""),"")</f>
        <v/>
      </c>
      <c r="J316" s="255">
        <f>IF(AND(ISNUMBER(J313),ISNUMBER(I313)),IFERROR(J313/I313-1,""),"")</f>
        <v/>
      </c>
      <c r="K316" s="255">
        <f>IF(AND(ISNUMBER(K313),ISNUMBER(J313)),IFERROR(K313/J313-1,""),"")</f>
        <v/>
      </c>
      <c r="L316" s="255">
        <f>IF(AND(ISNUMBER(L313),ISNUMBER(K313)),IFERROR(L313/K313-1,""),"")</f>
        <v/>
      </c>
      <c r="M316" s="23" t="n"/>
      <c r="N316" s="23" t="n"/>
      <c r="O316" s="23" t="n"/>
      <c r="P316" s="23" t="n"/>
      <c r="Q316" s="255">
        <f>IF(AND(ISNUMBER(Q313),ISNUMBER(L313)),IFERROR(Q313/L313-1,""),"")</f>
        <v/>
      </c>
      <c r="R316" s="255">
        <f>IF(AND(ISNUMBER(R313),ISNUMBER(M313)),IFERROR(R313/M313-1,""),"")</f>
        <v/>
      </c>
      <c r="S316" s="255">
        <f>IF(AND(ISNUMBER(S313),ISNUMBER(N313)),IFERROR(S313/N313-1,""),"")</f>
        <v/>
      </c>
      <c r="T316" s="255">
        <f>IF(AND(ISNUMBER(T313),ISNUMBER(O313)),IFERROR(T313/O313-1,""),"")</f>
        <v/>
      </c>
      <c r="U316" s="255">
        <f>IF(AND(ISNUMBER(U313),ISNUMBER(P313)),IFERROR(U313/P313-1,""),"")</f>
        <v/>
      </c>
      <c r="V316" s="255">
        <f>IF(AND(ISNUMBER(V313),ISNUMBER(Q313)),IFERROR(V313/Q313-1,""),"")</f>
        <v/>
      </c>
      <c r="W316" s="255">
        <f>IF(AND(ISNUMBER(W313),ISNUMBER(R313)),IFERROR(W313/R313-1,""),"")</f>
        <v/>
      </c>
      <c r="X316" s="255">
        <f>IF(AND(ISNUMBER(X313),ISNUMBER(S313)),IFERROR(X313/S313-1,""),"")</f>
        <v/>
      </c>
      <c r="Y316" s="255">
        <f>IF(AND(ISNUMBER(Y313),ISNUMBER(T313)),IFERROR(Y313/T313-1,""),"")</f>
        <v/>
      </c>
      <c r="Z316" s="255">
        <f>IF(AND(ISNUMBER(Z313),ISNUMBER(U313)),IFERROR(Z313/U313-1,""),"")</f>
        <v/>
      </c>
      <c r="AA316" s="255">
        <f>IF(AND(ISNUMBER(AA313),ISNUMBER(V313)),IFERROR(AA313/V313-1,""),"")</f>
        <v/>
      </c>
      <c r="AB316" s="255">
        <f>IF(AND(ISNUMBER(AB313),ISNUMBER(W313)),IFERROR(AB313/W313-1,""),"")</f>
        <v/>
      </c>
      <c r="AC316" s="255">
        <f>IF(AND(ISNUMBER(AC313),ISNUMBER(X313)),IFERROR(AC313/X313-1,""),"")</f>
        <v/>
      </c>
      <c r="AD316" s="255">
        <f>IF(AND(ISNUMBER(AD313),ISNUMBER(Y313)),IFERROR(AD313/Y313-1,""),"")</f>
        <v/>
      </c>
      <c r="AE316" s="255">
        <f>IF(AND(ISNUMBER(AE313),ISNUMBER(Z313)),IFERROR(AE313/Z313-1,""),"")</f>
        <v/>
      </c>
      <c r="AF316" s="255">
        <f>IF(AND(ISNUMBER(AF313),ISNUMBER(AA313)),IFERROR(AF313/AA313-1,""),"")</f>
        <v/>
      </c>
      <c r="AG316" s="255">
        <f>IF(AND(ISNUMBER(AG313),ISNUMBER(AB313)),IFERROR(AG313/AB313-1,""),"")</f>
        <v/>
      </c>
      <c r="AH316" s="255">
        <f>IF(AND(ISNUMBER(AH313),ISNUMBER(AC313)),IFERROR(AH313/AC313-1,""),"")</f>
        <v/>
      </c>
      <c r="AI316" s="255">
        <f>IF(AND(ISNUMBER(AI313),ISNUMBER(AD313)),IFERROR(AI313/AD313-1,""),"")</f>
        <v/>
      </c>
      <c r="AJ316" s="255">
        <f>IF(AND(ISNUMBER(AJ313),ISNUMBER(AE313)),IFERROR(AJ313/AE313-1,""),"")</f>
        <v/>
      </c>
      <c r="AK316" s="255">
        <f>IF(AND(ISNUMBER(AK313),ISNUMBER(AF313)),IFERROR(AK313/AF313-1,""),"")</f>
        <v/>
      </c>
      <c r="AL316" s="255">
        <f>IF(AND(ISNUMBER(AL313),ISNUMBER(AG313)),IFERROR(AL313/AG313-1,""),"")</f>
        <v/>
      </c>
      <c r="AM316" s="24" t="n"/>
      <c r="AN316" s="24" t="n"/>
      <c r="AO316" s="24" t="n"/>
      <c r="AP316" s="256">
        <f>IF(AND(ISNUMBER(AP313),ISNUMBER(AK313)),IFERROR(AP313/AK313-1,""),"")</f>
        <v/>
      </c>
      <c r="AQ316" s="256">
        <f>IF(AND(ISNUMBER(AQ313),ISNUMBER(AP313)),IFERROR(AQ313/AP313-1,""),"")</f>
        <v/>
      </c>
      <c r="AR316" s="256">
        <f>IF(AND(ISNUMBER(AR313),ISNUMBER(AQ313)),IFERROR(AR313/AQ313-1,""),"")</f>
        <v/>
      </c>
      <c r="AS316" s="256">
        <f>IF(AND(ISNUMBER(AS313),ISNUMBER(AR313)),IFERROR(AS313/AR313-1,""),"")</f>
        <v/>
      </c>
      <c r="AT316" s="256">
        <f>IF(AND(ISNUMBER(AT313),ISNUMBER(AS313)),IFERROR(AT313/AS313-1,""),"")</f>
        <v/>
      </c>
      <c r="AU316" s="153" t="n"/>
    </row>
    <row r="317" ht="15" customHeight="1" s="251">
      <c r="B317" s="25" t="inlineStr">
        <is>
          <t xml:space="preserve">  FCF % of revenue</t>
        </is>
      </c>
      <c r="C317" s="215">
        <f>IF(AND(ISNUMBER(C313),ISNUMBER(C159)),IFERROR(C313/C159,""),"")</f>
        <v/>
      </c>
      <c r="D317" s="215">
        <f>IF(AND(ISNUMBER(D313),ISNUMBER(D159)),IFERROR(D313/D159,""),"")</f>
        <v/>
      </c>
      <c r="E317" s="215">
        <f>IF(AND(ISNUMBER(E313),ISNUMBER(E159)),IFERROR(E313/E159,""),"")</f>
        <v/>
      </c>
      <c r="F317" s="215">
        <f>IF(AND(ISNUMBER(F313),ISNUMBER(F159)),IFERROR(F313/F159,""),"")</f>
        <v/>
      </c>
      <c r="G317" s="215">
        <f>IF(AND(ISNUMBER(G313),ISNUMBER(G159)),IFERROR(G313/G159,""),"")</f>
        <v/>
      </c>
      <c r="H317" s="215">
        <f>IF(AND(ISNUMBER(H313),ISNUMBER(H159)),IFERROR(H313/H159,""),"")</f>
        <v/>
      </c>
      <c r="I317" s="215">
        <f>IF(AND(ISNUMBER(I313),ISNUMBER(I159)),IFERROR(I313/I159,""),"")</f>
        <v/>
      </c>
      <c r="J317" s="215">
        <f>IF(AND(ISNUMBER(J313),ISNUMBER(J159)),IFERROR(J313/J159,""),"")</f>
        <v/>
      </c>
      <c r="K317" s="215">
        <f>IF(AND(ISNUMBER(K313),ISNUMBER(K159)),IFERROR(K313/K159,""),"")</f>
        <v/>
      </c>
      <c r="L317" s="215">
        <f>IF(AND(ISNUMBER(L313),ISNUMBER(L159)),IFERROR(L313/L159,""),"")</f>
        <v/>
      </c>
      <c r="M317" s="215">
        <f>IF(AND(ISNUMBER(M313),ISNUMBER(M159)),IFERROR(M313/M159,""),"")</f>
        <v/>
      </c>
      <c r="N317" s="215">
        <f>IF(AND(ISNUMBER(N313),ISNUMBER(N159)),IFERROR(N313/N159,""),"")</f>
        <v/>
      </c>
      <c r="O317" s="215">
        <f>IF(AND(ISNUMBER(O313),ISNUMBER(O159)),IFERROR(O313/O159,""),"")</f>
        <v/>
      </c>
      <c r="P317" s="215">
        <f>IF(AND(ISNUMBER(P313),ISNUMBER(P159)),IFERROR(P313/P159,""),"")</f>
        <v/>
      </c>
      <c r="Q317" s="215">
        <f>IF(AND(ISNUMBER(Q313),ISNUMBER(Q159)),IFERROR(Q313/Q159,""),"")</f>
        <v/>
      </c>
      <c r="R317" s="215">
        <f>IF(AND(ISNUMBER(R313),ISNUMBER(R159)),IFERROR(R313/R159,""),"")</f>
        <v/>
      </c>
      <c r="S317" s="215">
        <f>IF(AND(ISNUMBER(S313),ISNUMBER(S159)),IFERROR(S313/S159,""),"")</f>
        <v/>
      </c>
      <c r="T317" s="215">
        <f>IF(AND(ISNUMBER(T313),ISNUMBER(T159)),IFERROR(T313/T159,""),"")</f>
        <v/>
      </c>
      <c r="U317" s="215">
        <f>IF(AND(ISNUMBER(U313),ISNUMBER(U159)),IFERROR(U313/U159,""),"")</f>
        <v/>
      </c>
      <c r="V317" s="215">
        <f>IF(AND(ISNUMBER(V313),ISNUMBER(V159)),IFERROR(V313/V159,""),"")</f>
        <v/>
      </c>
      <c r="W317" s="215">
        <f>IF(AND(ISNUMBER(W313),ISNUMBER(W159)),IFERROR(W313/W159,""),"")</f>
        <v/>
      </c>
      <c r="X317" s="215">
        <f>IF(AND(ISNUMBER(X313),ISNUMBER(X159)),IFERROR(X313/X159,""),"")</f>
        <v/>
      </c>
      <c r="Y317" s="215">
        <f>IF(AND(ISNUMBER(Y313),ISNUMBER(Y159)),IFERROR(Y313/Y159,""),"")</f>
        <v/>
      </c>
      <c r="Z317" s="215">
        <f>IF(AND(ISNUMBER(Z313),ISNUMBER(Z159)),IFERROR(Z313/Z159,""),"")</f>
        <v/>
      </c>
      <c r="AA317" s="215">
        <f>IF(AND(ISNUMBER(AA313),ISNUMBER(AA159)),IFERROR(AA313/AA159,""),"")</f>
        <v/>
      </c>
      <c r="AB317" s="215">
        <f>IF(AND(ISNUMBER(AB313),ISNUMBER(AB159)),IFERROR(AB313/AB159,""),"")</f>
        <v/>
      </c>
      <c r="AC317" s="215">
        <f>IF(AND(ISNUMBER(AC313),ISNUMBER(AC159)),IFERROR(AC313/AC159,""),"")</f>
        <v/>
      </c>
      <c r="AD317" s="215">
        <f>IF(AND(ISNUMBER(AD313),ISNUMBER(AD159)),IFERROR(AD313/AD159,""),"")</f>
        <v/>
      </c>
      <c r="AE317" s="215">
        <f>IF(AND(ISNUMBER(AE313),ISNUMBER(AE159)),IFERROR(AE313/AE159,""),"")</f>
        <v/>
      </c>
      <c r="AF317" s="215">
        <f>IF(AND(ISNUMBER(AF313),ISNUMBER(AF159)),IFERROR(AF313/AF159,""),"")</f>
        <v/>
      </c>
      <c r="AG317" s="215">
        <f>IF(AND(ISNUMBER(AG313),ISNUMBER(AG159)),IFERROR(AG313/AG159,""),"")</f>
        <v/>
      </c>
      <c r="AH317" s="215">
        <f>IF(AND(ISNUMBER(AH313),ISNUMBER(AH159)),IFERROR(AH313/AH159,""),"")</f>
        <v/>
      </c>
      <c r="AI317" s="215">
        <f>IF(AND(ISNUMBER(AI313),ISNUMBER(AI159)),IFERROR(AI313/AI159,""),"")</f>
        <v/>
      </c>
      <c r="AJ317" s="215">
        <f>IF(AND(ISNUMBER(AJ313),ISNUMBER(AJ159)),IFERROR(AJ313/AJ159,""),"")</f>
        <v/>
      </c>
      <c r="AK317" s="215">
        <f>IF(AND(ISNUMBER(AK313),ISNUMBER(AK159)),IFERROR(AK313/AK159,""),"")</f>
        <v/>
      </c>
      <c r="AL317" s="215">
        <f>IF(AND(ISNUMBER(AL313),ISNUMBER(AL159)),IFERROR(AL313/AL159,""),"")</f>
        <v/>
      </c>
      <c r="AM317" s="24" t="n"/>
      <c r="AN317" s="24" t="n"/>
      <c r="AO317" s="24" t="n"/>
      <c r="AP317" s="256">
        <f>IF(AND(ISNUMBER(AP313),ISNUMBER(AP159)),IFERROR(AP313/AP159,""),"")</f>
        <v/>
      </c>
      <c r="AQ317" s="256">
        <f>IF(AND(ISNUMBER(AQ313),ISNUMBER(AQ159)),IFERROR(AQ313/AQ159,""),"")</f>
        <v/>
      </c>
      <c r="AR317" s="256">
        <f>IF(AND(ISNUMBER(AR313),ISNUMBER(AR159)),IFERROR(AR313/AR159,""),"")</f>
        <v/>
      </c>
      <c r="AS317" s="256">
        <f>IF(AND(ISNUMBER(AS313),ISNUMBER(AS159)),IFERROR(AS313/AS159,""),"")</f>
        <v/>
      </c>
      <c r="AT317" s="256">
        <f>IF(AND(ISNUMBER(AT313),ISNUMBER(AT159)),IFERROR(AT313/AT159,""),"")</f>
        <v/>
      </c>
      <c r="AU317" s="153" t="n"/>
      <c r="AW317" s="37">
        <f>IFERROR(AVERAGE(AP317,AQ317,AR317,AS317,AT317),"n/m")</f>
        <v/>
      </c>
      <c r="AX317" s="37">
        <f>IFERROR(AVERAGE(Q317,V317,AA317,AF317,AK317),"n/m")</f>
        <v/>
      </c>
      <c r="AY317" s="37">
        <f>IFERROR(AVERAGE(H317,I317,J317,K317,L317,Q317,V317,AA317,AF317,AK317),"n/m")</f>
        <v/>
      </c>
      <c r="AZ317" s="37">
        <f>IFERROR(AVERAGE(C317,D317,E317,F317,G317,H317,I317,J317,K317,L317,Q317,V317,AA317,AF317,AK317),"n/m")</f>
        <v/>
      </c>
    </row>
    <row r="318" ht="15" customHeight="1" s="251">
      <c r="B318" s="25" t="inlineStr">
        <is>
          <t xml:space="preserve">  FCF / adjusted net income conversion %</t>
        </is>
      </c>
      <c r="C318" s="215">
        <f>IF(AND(ISNUMBER(C313),ISNUMBER(C247)),IFERROR(C313/C247,""),"")</f>
        <v/>
      </c>
      <c r="D318" s="215">
        <f>IF(AND(ISNUMBER(D313),ISNUMBER(D247)),IFERROR(D313/D247,""),"")</f>
        <v/>
      </c>
      <c r="E318" s="215">
        <f>IF(AND(ISNUMBER(E313),ISNUMBER(E247)),IFERROR(E313/E247,""),"")</f>
        <v/>
      </c>
      <c r="F318" s="215">
        <f>IF(AND(ISNUMBER(F313),ISNUMBER(F247)),IFERROR(F313/F247,""),"")</f>
        <v/>
      </c>
      <c r="G318" s="215">
        <f>IF(AND(ISNUMBER(G313),ISNUMBER(G247)),IFERROR(G313/G247,""),"")</f>
        <v/>
      </c>
      <c r="H318" s="215">
        <f>IF(AND(ISNUMBER(H313),ISNUMBER(H247)),IFERROR(H313/H247,""),"")</f>
        <v/>
      </c>
      <c r="I318" s="215">
        <f>IF(AND(ISNUMBER(I313),ISNUMBER(I247)),IFERROR(I313/I247,""),"")</f>
        <v/>
      </c>
      <c r="J318" s="215">
        <f>IF(AND(ISNUMBER(J313),ISNUMBER(J247)),IFERROR(J313/J247,""),"")</f>
        <v/>
      </c>
      <c r="K318" s="215">
        <f>IF(AND(ISNUMBER(K313),ISNUMBER(K247)),IFERROR(K313/K247,""),"")</f>
        <v/>
      </c>
      <c r="L318" s="215">
        <f>IF(AND(ISNUMBER(L313),ISNUMBER(L247)),IFERROR(L313/L247,""),"")</f>
        <v/>
      </c>
      <c r="M318" s="215">
        <f>IF(AND(ISNUMBER(M313),ISNUMBER(M247)),IFERROR(M313/M247,""),"")</f>
        <v/>
      </c>
      <c r="N318" s="215">
        <f>IF(AND(ISNUMBER(N313),ISNUMBER(N247)),IFERROR(N313/N247,""),"")</f>
        <v/>
      </c>
      <c r="O318" s="215">
        <f>IF(AND(ISNUMBER(O313),ISNUMBER(O247)),IFERROR(O313/O247,""),"")</f>
        <v/>
      </c>
      <c r="P318" s="215">
        <f>IF(AND(ISNUMBER(P313),ISNUMBER(P247)),IFERROR(P313/P247,""),"")</f>
        <v/>
      </c>
      <c r="Q318" s="215">
        <f>IF(AND(ISNUMBER(Q313),ISNUMBER(Q247)),IFERROR(Q313/Q247,""),"")</f>
        <v/>
      </c>
      <c r="R318" s="215">
        <f>IF(AND(ISNUMBER(R313),ISNUMBER(R247)),IFERROR(R313/R247,""),"")</f>
        <v/>
      </c>
      <c r="S318" s="215">
        <f>IF(AND(ISNUMBER(S313),ISNUMBER(S247)),IFERROR(S313/S247,""),"")</f>
        <v/>
      </c>
      <c r="T318" s="215">
        <f>IF(AND(ISNUMBER(T313),ISNUMBER(T247)),IFERROR(T313/T247,""),"")</f>
        <v/>
      </c>
      <c r="U318" s="215">
        <f>IF(AND(ISNUMBER(U313),ISNUMBER(U247)),IFERROR(U313/U247,""),"")</f>
        <v/>
      </c>
      <c r="V318" s="215">
        <f>IF(AND(ISNUMBER(V313),ISNUMBER(V247)),IFERROR(V313/V247,""),"")</f>
        <v/>
      </c>
      <c r="W318" s="215">
        <f>IF(AND(ISNUMBER(W313),ISNUMBER(W247)),IFERROR(W313/W247,""),"")</f>
        <v/>
      </c>
      <c r="X318" s="215">
        <f>IF(AND(ISNUMBER(X313),ISNUMBER(X247)),IFERROR(X313/X247,""),"")</f>
        <v/>
      </c>
      <c r="Y318" s="215">
        <f>IF(AND(ISNUMBER(Y313),ISNUMBER(Y247)),IFERROR(Y313/Y247,""),"")</f>
        <v/>
      </c>
      <c r="Z318" s="215">
        <f>IF(AND(ISNUMBER(Z313),ISNUMBER(Z247)),IFERROR(Z313/Z247,""),"")</f>
        <v/>
      </c>
      <c r="AA318" s="215">
        <f>IF(AND(ISNUMBER(AA313),ISNUMBER(AA247)),IFERROR(AA313/AA247,""),"")</f>
        <v/>
      </c>
      <c r="AB318" s="215">
        <f>IF(AND(ISNUMBER(AB313),ISNUMBER(AB247)),IFERROR(AB313/AB247,""),"")</f>
        <v/>
      </c>
      <c r="AC318" s="215">
        <f>IF(AND(ISNUMBER(AC313),ISNUMBER(AC247)),IFERROR(AC313/AC247,""),"")</f>
        <v/>
      </c>
      <c r="AD318" s="215">
        <f>IF(AND(ISNUMBER(AD313),ISNUMBER(AD247)),IFERROR(AD313/AD247,""),"")</f>
        <v/>
      </c>
      <c r="AE318" s="215">
        <f>IF(AND(ISNUMBER(AE313),ISNUMBER(AE247)),IFERROR(AE313/AE247,""),"")</f>
        <v/>
      </c>
      <c r="AF318" s="215">
        <f>IF(AND(ISNUMBER(AF313),ISNUMBER(AF247)),IFERROR(AF313/AF247,""),"")</f>
        <v/>
      </c>
      <c r="AG318" s="215">
        <f>IF(AND(ISNUMBER(AG313),ISNUMBER(AG247)),IFERROR(AG313/AG247,""),"")</f>
        <v/>
      </c>
      <c r="AH318" s="215">
        <f>IF(AND(ISNUMBER(AH313),ISNUMBER(AH247)),IFERROR(AH313/AH247,""),"")</f>
        <v/>
      </c>
      <c r="AI318" s="215">
        <f>IF(AND(ISNUMBER(AI313),ISNUMBER(AI247)),IFERROR(AI313/AI247,""),"")</f>
        <v/>
      </c>
      <c r="AJ318" s="215">
        <f>IF(AND(ISNUMBER(AJ313),ISNUMBER(AJ247)),IFERROR(AJ313/AJ247,""),"")</f>
        <v/>
      </c>
      <c r="AK318" s="215">
        <f>IF(AND(ISNUMBER(AK313),ISNUMBER(AK247)),IFERROR(AK313/AK247,""),"")</f>
        <v/>
      </c>
      <c r="AL318" s="215">
        <f>IF(AND(ISNUMBER(AL313),ISNUMBER(AL247)),IFERROR(AL313/AL247,""),"")</f>
        <v/>
      </c>
      <c r="AM318" s="24" t="n"/>
      <c r="AN318" s="24" t="n"/>
      <c r="AO318" s="24" t="n"/>
      <c r="AP318" s="256">
        <f>IF(AND(ISNUMBER(AP313),ISNUMBER(AP247)),IFERROR(AP313/AP247,""),"")</f>
        <v/>
      </c>
      <c r="AQ318" s="256">
        <f>IF(AND(ISNUMBER(AQ313),ISNUMBER(AQ247)),IFERROR(AQ313/AQ247,""),"")</f>
        <v/>
      </c>
      <c r="AR318" s="256">
        <f>IF(AND(ISNUMBER(AR313),ISNUMBER(AR247)),IFERROR(AR313/AR247,""),"")</f>
        <v/>
      </c>
      <c r="AS318" s="256">
        <f>IF(AND(ISNUMBER(AS313),ISNUMBER(AS247)),IFERROR(AS313/AS247,""),"")</f>
        <v/>
      </c>
      <c r="AT318" s="256">
        <f>IF(AND(ISNUMBER(AT313),ISNUMBER(AT247)),IFERROR(AT313/AT247,""),"")</f>
        <v/>
      </c>
      <c r="AU318" s="153" t="n"/>
      <c r="AW318" s="37">
        <f>IFERROR(AVERAGE(AP318,AQ318,AR318,AS318,AT318),"n/m")</f>
        <v/>
      </c>
      <c r="AX318" s="37">
        <f>IFERROR(AVERAGE(Q318,V318,AA318,AF318,AK318),"n/m")</f>
        <v/>
      </c>
      <c r="AY318" s="37">
        <f>IFERROR(AVERAGE(H318,I318,J318,K318,L318,Q318,V318,AA318,AF318,AK318),"n/m")</f>
        <v/>
      </c>
      <c r="AZ318" s="37">
        <f>IFERROR(AVERAGE(C318,D318,E318,F318,G318,H318,I318,J318,K318,L318,Q318,V318,AA318,AF318,AK318),"n/m")</f>
        <v/>
      </c>
    </row>
    <row r="319" ht="15" customHeight="1" s="251">
      <c r="B319" s="25" t="inlineStr">
        <is>
          <t xml:space="preserve">  FCF per diluted share ($)</t>
        </is>
      </c>
      <c r="C319" s="280">
        <f>IF(AND(ISNUMBER(C313),ISNUMBER(C186)),IFERROR(C313/C186,""),"")</f>
        <v/>
      </c>
      <c r="D319" s="280">
        <f>IF(AND(ISNUMBER(D313),ISNUMBER(D186)),IFERROR(D313/D186,""),"")</f>
        <v/>
      </c>
      <c r="E319" s="280">
        <f>IF(AND(ISNUMBER(E313),ISNUMBER(E186)),IFERROR(E313/E186,""),"")</f>
        <v/>
      </c>
      <c r="F319" s="280">
        <f>IF(AND(ISNUMBER(F313),ISNUMBER(F186)),IFERROR(F313/F186,""),"")</f>
        <v/>
      </c>
      <c r="G319" s="280">
        <f>IF(AND(ISNUMBER(G313),ISNUMBER(G186)),IFERROR(G313/G186,""),"")</f>
        <v/>
      </c>
      <c r="H319" s="280">
        <f>IF(AND(ISNUMBER(H313),ISNUMBER(H186)),IFERROR(H313/H186,""),"")</f>
        <v/>
      </c>
      <c r="I319" s="280">
        <f>IF(AND(ISNUMBER(I313),ISNUMBER(I186)),IFERROR(I313/I186,""),"")</f>
        <v/>
      </c>
      <c r="J319" s="280">
        <f>IF(AND(ISNUMBER(J313),ISNUMBER(J186)),IFERROR(J313/J186,""),"")</f>
        <v/>
      </c>
      <c r="K319" s="280">
        <f>IF(AND(ISNUMBER(K313),ISNUMBER(K186)),IFERROR(K313/K186,""),"")</f>
        <v/>
      </c>
      <c r="L319" s="280">
        <f>IF(AND(ISNUMBER(L313),ISNUMBER(L186)),IFERROR(L313/L186,""),"")</f>
        <v/>
      </c>
      <c r="M319" s="280">
        <f>IF(AND(ISNUMBER(M313),ISNUMBER(M186)),IFERROR(M313/M186,""),"")</f>
        <v/>
      </c>
      <c r="N319" s="280">
        <f>IF(AND(ISNUMBER(N313),ISNUMBER(N186)),IFERROR(N313/N186,""),"")</f>
        <v/>
      </c>
      <c r="O319" s="280">
        <f>IF(AND(ISNUMBER(O313),ISNUMBER(O186)),IFERROR(O313/O186,""),"")</f>
        <v/>
      </c>
      <c r="P319" s="280">
        <f>IF(AND(ISNUMBER(P313),ISNUMBER(P186)),IFERROR(P313/P186,""),"")</f>
        <v/>
      </c>
      <c r="Q319" s="280">
        <f>IF(AND(ISNUMBER(Q313),ISNUMBER(Q186)),IFERROR(Q313/Q186,""),"")</f>
        <v/>
      </c>
      <c r="R319" s="280">
        <f>IF(AND(ISNUMBER(R313),ISNUMBER(R186)),IFERROR(R313/R186,""),"")</f>
        <v/>
      </c>
      <c r="S319" s="280">
        <f>IF(AND(ISNUMBER(S313),ISNUMBER(S186)),IFERROR(S313/S186,""),"")</f>
        <v/>
      </c>
      <c r="T319" s="280">
        <f>IF(AND(ISNUMBER(T313),ISNUMBER(T186)),IFERROR(T313/T186,""),"")</f>
        <v/>
      </c>
      <c r="U319" s="280">
        <f>IF(AND(ISNUMBER(U313),ISNUMBER(U186)),IFERROR(U313/U186,""),"")</f>
        <v/>
      </c>
      <c r="V319" s="280">
        <f>IF(AND(ISNUMBER(V313),ISNUMBER(V186)),IFERROR(V313/V186,""),"")</f>
        <v/>
      </c>
      <c r="W319" s="280">
        <f>IF(AND(ISNUMBER(W313),ISNUMBER(W186)),IFERROR(W313/W186,""),"")</f>
        <v/>
      </c>
      <c r="X319" s="280">
        <f>IF(AND(ISNUMBER(X313),ISNUMBER(X186)),IFERROR(X313/X186,""),"")</f>
        <v/>
      </c>
      <c r="Y319" s="280">
        <f>IF(AND(ISNUMBER(Y313),ISNUMBER(Y186)),IFERROR(Y313/Y186,""),"")</f>
        <v/>
      </c>
      <c r="Z319" s="280">
        <f>IF(AND(ISNUMBER(Z313),ISNUMBER(Z186)),IFERROR(Z313/Z186,""),"")</f>
        <v/>
      </c>
      <c r="AA319" s="280">
        <f>IF(AND(ISNUMBER(AA313),ISNUMBER(AA186)),IFERROR(AA313/AA186,""),"")</f>
        <v/>
      </c>
      <c r="AB319" s="280">
        <f>IF(AND(ISNUMBER(AB313),ISNUMBER(AB186)),IFERROR(AB313/AB186,""),"")</f>
        <v/>
      </c>
      <c r="AC319" s="280">
        <f>IF(AND(ISNUMBER(AC313),ISNUMBER(AC186)),IFERROR(AC313/AC186,""),"")</f>
        <v/>
      </c>
      <c r="AD319" s="280">
        <f>IF(AND(ISNUMBER(AD313),ISNUMBER(AD186)),IFERROR(AD313/AD186,""),"")</f>
        <v/>
      </c>
      <c r="AE319" s="280">
        <f>IF(AND(ISNUMBER(AE313),ISNUMBER(AE186)),IFERROR(AE313/AE186,""),"")</f>
        <v/>
      </c>
      <c r="AF319" s="280">
        <f>IF(AND(ISNUMBER(AF313),ISNUMBER(AF186)),IFERROR(AF313/AF186,""),"")</f>
        <v/>
      </c>
      <c r="AG319" s="280">
        <f>IF(AND(ISNUMBER(AG313),ISNUMBER(AG186)),IFERROR(AG313/AG186,""),"")</f>
        <v/>
      </c>
      <c r="AH319" s="280">
        <f>IF(AND(ISNUMBER(AH313),ISNUMBER(AH186)),IFERROR(AH313/AH186,""),"")</f>
        <v/>
      </c>
      <c r="AI319" s="280">
        <f>IF(AND(ISNUMBER(AI313),ISNUMBER(AI186)),IFERROR(AI313/AI186,""),"")</f>
        <v/>
      </c>
      <c r="AJ319" s="280">
        <f>IF(AND(ISNUMBER(AJ313),ISNUMBER(AJ186)),IFERROR(AJ313/AJ186,""),"")</f>
        <v/>
      </c>
      <c r="AK319" s="280">
        <f>IF(AND(ISNUMBER(AK313),ISNUMBER(AK186)),IFERROR(AK313/AK186,""),"")</f>
        <v/>
      </c>
      <c r="AL319" s="280">
        <f>IF(AND(ISNUMBER(AL313),ISNUMBER(AL186)),IFERROR(AL313/AL186,""),"")</f>
        <v/>
      </c>
      <c r="AM319" s="35" t="n"/>
      <c r="AN319" s="35" t="n"/>
      <c r="AO319" s="35" t="n"/>
      <c r="AP319" s="281">
        <f>IF(AND(ISNUMBER(AP313),ISNUMBER(AP186)),IFERROR(AP313/AP186,""),"")</f>
        <v/>
      </c>
      <c r="AQ319" s="281">
        <f>IF(AND(ISNUMBER(AQ313),ISNUMBER(AQ186)),IFERROR(AQ313/AQ186,""),"")</f>
        <v/>
      </c>
      <c r="AR319" s="281">
        <f>IF(AND(ISNUMBER(AR313),ISNUMBER(AR186)),IFERROR(AR313/AR186,""),"")</f>
        <v/>
      </c>
      <c r="AS319" s="281">
        <f>IF(AND(ISNUMBER(AS313),ISNUMBER(AS186)),IFERROR(AS313/AS186,""),"")</f>
        <v/>
      </c>
      <c r="AT319" s="281">
        <f>IF(AND(ISNUMBER(AT313),ISNUMBER(AT186)),IFERROR(AT313/AT186,""),"")</f>
        <v/>
      </c>
      <c r="AU319" s="19" t="n"/>
    </row>
    <row r="320" ht="15" customHeight="1" s="251">
      <c r="B320" s="25" t="inlineStr">
        <is>
          <t xml:space="preserve">  FCF / adjusted EBITDA %</t>
        </is>
      </c>
      <c r="C320" s="215">
        <f>IF(AND(ISNUMBER(C313),ISNUMBER(C233)),IFERROR(C313/C233,""),"")</f>
        <v/>
      </c>
      <c r="D320" s="215">
        <f>IF(AND(ISNUMBER(D313),ISNUMBER(D233)),IFERROR(D313/D233,""),"")</f>
        <v/>
      </c>
      <c r="E320" s="215">
        <f>IF(AND(ISNUMBER(E313),ISNUMBER(E233)),IFERROR(E313/E233,""),"")</f>
        <v/>
      </c>
      <c r="F320" s="215">
        <f>IF(AND(ISNUMBER(F313),ISNUMBER(F233)),IFERROR(F313/F233,""),"")</f>
        <v/>
      </c>
      <c r="G320" s="215">
        <f>IF(AND(ISNUMBER(G313),ISNUMBER(G233)),IFERROR(G313/G233,""),"")</f>
        <v/>
      </c>
      <c r="H320" s="215">
        <f>IF(AND(ISNUMBER(H313),ISNUMBER(H233)),IFERROR(H313/H233,""),"")</f>
        <v/>
      </c>
      <c r="I320" s="215">
        <f>IF(AND(ISNUMBER(I313),ISNUMBER(I233)),IFERROR(I313/I233,""),"")</f>
        <v/>
      </c>
      <c r="J320" s="215">
        <f>IF(AND(ISNUMBER(J313),ISNUMBER(J233)),IFERROR(J313/J233,""),"")</f>
        <v/>
      </c>
      <c r="K320" s="215">
        <f>IF(AND(ISNUMBER(K313),ISNUMBER(K233)),IFERROR(K313/K233,""),"")</f>
        <v/>
      </c>
      <c r="L320" s="215">
        <f>IF(AND(ISNUMBER(L313),ISNUMBER(L233)),IFERROR(L313/L233,""),"")</f>
        <v/>
      </c>
      <c r="M320" s="215">
        <f>IF(AND(ISNUMBER(M313),ISNUMBER(M233)),IFERROR(M313/M233,""),"")</f>
        <v/>
      </c>
      <c r="N320" s="215">
        <f>IF(AND(ISNUMBER(N313),ISNUMBER(N233)),IFERROR(N313/N233,""),"")</f>
        <v/>
      </c>
      <c r="O320" s="215">
        <f>IF(AND(ISNUMBER(O313),ISNUMBER(O233)),IFERROR(O313/O233,""),"")</f>
        <v/>
      </c>
      <c r="P320" s="215">
        <f>IF(AND(ISNUMBER(P313),ISNUMBER(P233)),IFERROR(P313/P233,""),"")</f>
        <v/>
      </c>
      <c r="Q320" s="215">
        <f>IF(AND(ISNUMBER(Q313),ISNUMBER(Q233)),IFERROR(Q313/Q233,""),"")</f>
        <v/>
      </c>
      <c r="R320" s="215">
        <f>IF(AND(ISNUMBER(R313),ISNUMBER(R233)),IFERROR(R313/R233,""),"")</f>
        <v/>
      </c>
      <c r="S320" s="215">
        <f>IF(AND(ISNUMBER(S313),ISNUMBER(S233)),IFERROR(S313/S233,""),"")</f>
        <v/>
      </c>
      <c r="T320" s="215">
        <f>IF(AND(ISNUMBER(T313),ISNUMBER(T233)),IFERROR(T313/T233,""),"")</f>
        <v/>
      </c>
      <c r="U320" s="215">
        <f>IF(AND(ISNUMBER(U313),ISNUMBER(U233)),IFERROR(U313/U233,""),"")</f>
        <v/>
      </c>
      <c r="V320" s="215">
        <f>IF(AND(ISNUMBER(V313),ISNUMBER(V233)),IFERROR(V313/V233,""),"")</f>
        <v/>
      </c>
      <c r="W320" s="215">
        <f>IF(AND(ISNUMBER(W313),ISNUMBER(W233)),IFERROR(W313/W233,""),"")</f>
        <v/>
      </c>
      <c r="X320" s="215">
        <f>IF(AND(ISNUMBER(X313),ISNUMBER(X233)),IFERROR(X313/X233,""),"")</f>
        <v/>
      </c>
      <c r="Y320" s="215">
        <f>IF(AND(ISNUMBER(Y313),ISNUMBER(Y233)),IFERROR(Y313/Y233,""),"")</f>
        <v/>
      </c>
      <c r="Z320" s="215">
        <f>IF(AND(ISNUMBER(Z313),ISNUMBER(Z233)),IFERROR(Z313/Z233,""),"")</f>
        <v/>
      </c>
      <c r="AA320" s="215">
        <f>IF(AND(ISNUMBER(AA313),ISNUMBER(AA233)),IFERROR(AA313/AA233,""),"")</f>
        <v/>
      </c>
      <c r="AB320" s="215">
        <f>IF(AND(ISNUMBER(AB313),ISNUMBER(AB233)),IFERROR(AB313/AB233,""),"")</f>
        <v/>
      </c>
      <c r="AC320" s="215">
        <f>IF(AND(ISNUMBER(AC313),ISNUMBER(AC233)),IFERROR(AC313/AC233,""),"")</f>
        <v/>
      </c>
      <c r="AD320" s="215">
        <f>IF(AND(ISNUMBER(AD313),ISNUMBER(AD233)),IFERROR(AD313/AD233,""),"")</f>
        <v/>
      </c>
      <c r="AE320" s="215">
        <f>IF(AND(ISNUMBER(AE313),ISNUMBER(AE233)),IFERROR(AE313/AE233,""),"")</f>
        <v/>
      </c>
      <c r="AF320" s="215">
        <f>IF(AND(ISNUMBER(AF313),ISNUMBER(AF233)),IFERROR(AF313/AF233,""),"")</f>
        <v/>
      </c>
      <c r="AG320" s="215">
        <f>IF(AND(ISNUMBER(AG313),ISNUMBER(AG233)),IFERROR(AG313/AG233,""),"")</f>
        <v/>
      </c>
      <c r="AH320" s="215">
        <f>IF(AND(ISNUMBER(AH313),ISNUMBER(AH233)),IFERROR(AH313/AH233,""),"")</f>
        <v/>
      </c>
      <c r="AI320" s="215">
        <f>IF(AND(ISNUMBER(AI313),ISNUMBER(AI233)),IFERROR(AI313/AI233,""),"")</f>
        <v/>
      </c>
      <c r="AJ320" s="215">
        <f>IF(AND(ISNUMBER(AJ313),ISNUMBER(AJ233)),IFERROR(AJ313/AJ233,""),"")</f>
        <v/>
      </c>
      <c r="AK320" s="215">
        <f>IF(AND(ISNUMBER(AK313),ISNUMBER(AK233)),IFERROR(AK313/AK233,""),"")</f>
        <v/>
      </c>
      <c r="AL320" s="215">
        <f>IF(AND(ISNUMBER(AL313),ISNUMBER(AL233)),IFERROR(AL313/AL233,""),"")</f>
        <v/>
      </c>
      <c r="AM320" s="24" t="n"/>
      <c r="AN320" s="24" t="n"/>
      <c r="AO320" s="24" t="n"/>
      <c r="AP320" s="256">
        <f>IF(AND(ISNUMBER(AP313),ISNUMBER(AP233)),IFERROR(AP313/AP233,""),"")</f>
        <v/>
      </c>
      <c r="AQ320" s="256">
        <f>IF(AND(ISNUMBER(AQ313),ISNUMBER(AQ233)),IFERROR(AQ313/AQ233,""),"")</f>
        <v/>
      </c>
      <c r="AR320" s="256">
        <f>IF(AND(ISNUMBER(AR313),ISNUMBER(AR233)),IFERROR(AR313/AR233,""),"")</f>
        <v/>
      </c>
      <c r="AS320" s="256">
        <f>IF(AND(ISNUMBER(AS313),ISNUMBER(AS233)),IFERROR(AS313/AS233,""),"")</f>
        <v/>
      </c>
      <c r="AT320" s="256">
        <f>IF(AND(ISNUMBER(AT313),ISNUMBER(AT233)),IFERROR(AT313/AT233,""),"")</f>
        <v/>
      </c>
      <c r="AU320" s="153" t="n"/>
      <c r="AW320" s="37">
        <f>IFERROR(AVERAGE(AP320,AQ320,AR320,AS320,AT320),"n/m")</f>
        <v/>
      </c>
      <c r="AX320" s="37">
        <f>IFERROR(AVERAGE(Q320,V320,AA320,AF320,AK320),"n/m")</f>
        <v/>
      </c>
      <c r="AY320" s="37">
        <f>IFERROR(AVERAGE(H320,I320,J320,K320,L320,Q320,V320,AA320,AF320,AK320),"n/m")</f>
        <v/>
      </c>
      <c r="AZ320" s="37">
        <f>IFERROR(AVERAGE(C320,D320,E320,F320,G320,H320,I320,J320,K320,L320,Q320,V320,AA320,AF320,AK320),"n/m")</f>
        <v/>
      </c>
    </row>
    <row r="321" ht="15" customHeight="1" s="251">
      <c r="B321" s="25" t="inlineStr">
        <is>
          <t>Capex ratios</t>
        </is>
      </c>
      <c r="AU321" s="153" t="n"/>
    </row>
    <row r="322" ht="15" customHeight="1" s="251">
      <c r="B322" s="25" t="inlineStr">
        <is>
          <t xml:space="preserve">  Capex % of revenue</t>
        </is>
      </c>
      <c r="C322" s="215">
        <f>IF(ISNUMBER(C294),IFERROR(-C294/C159,""),"")</f>
        <v/>
      </c>
      <c r="D322" s="215">
        <f>IF(ISNUMBER(D294),IFERROR(-D294/D159,""),"")</f>
        <v/>
      </c>
      <c r="E322" s="215">
        <f>IF(ISNUMBER(E294),IFERROR(-E294/E159,""),"")</f>
        <v/>
      </c>
      <c r="F322" s="215">
        <f>IF(ISNUMBER(F294),IFERROR(-F294/F159,""),"")</f>
        <v/>
      </c>
      <c r="G322" s="215">
        <f>IF(ISNUMBER(G294),IFERROR(-G294/G159,""),"")</f>
        <v/>
      </c>
      <c r="H322" s="215">
        <f>IF(ISNUMBER(H294),IFERROR(-H294/H159,""),"")</f>
        <v/>
      </c>
      <c r="I322" s="215">
        <f>IF(ISNUMBER(I294),IFERROR(-I294/I159,""),"")</f>
        <v/>
      </c>
      <c r="J322" s="215">
        <f>IF(ISNUMBER(J294),IFERROR(-J294/J159,""),"")</f>
        <v/>
      </c>
      <c r="K322" s="215">
        <f>IF(ISNUMBER(K294),IFERROR(-K294/K159,""),"")</f>
        <v/>
      </c>
      <c r="L322" s="215">
        <f>IF(ISNUMBER(L294),IFERROR(-L294/L159,""),"")</f>
        <v/>
      </c>
      <c r="M322" s="215">
        <f>IF(ISNUMBER(M294),IFERROR(-M294/M159,""),"")</f>
        <v/>
      </c>
      <c r="N322" s="215">
        <f>IF(ISNUMBER(N294),IFERROR(-N294/N159,""),"")</f>
        <v/>
      </c>
      <c r="O322" s="215">
        <f>IF(ISNUMBER(O294),IFERROR(-O294/O159,""),"")</f>
        <v/>
      </c>
      <c r="P322" s="215">
        <f>IF(ISNUMBER(P294),IFERROR(-P294/P159,""),"")</f>
        <v/>
      </c>
      <c r="Q322" s="215">
        <f>IF(ISNUMBER(Q294),IFERROR(-Q294/Q159,""),"")</f>
        <v/>
      </c>
      <c r="R322" s="215">
        <f>IF(ISNUMBER(R294),IFERROR(-R294/R159,""),"")</f>
        <v/>
      </c>
      <c r="S322" s="215">
        <f>IF(ISNUMBER(S294),IFERROR(-S294/S159,""),"")</f>
        <v/>
      </c>
      <c r="T322" s="215">
        <f>IF(ISNUMBER(T294),IFERROR(-T294/T159,""),"")</f>
        <v/>
      </c>
      <c r="U322" s="215">
        <f>IF(ISNUMBER(U294),IFERROR(-U294/U159,""),"")</f>
        <v/>
      </c>
      <c r="V322" s="215">
        <f>IF(ISNUMBER(V294),IFERROR(-V294/V159,""),"")</f>
        <v/>
      </c>
      <c r="W322" s="215">
        <f>IF(ISNUMBER(W294),IFERROR(-W294/W159,""),"")</f>
        <v/>
      </c>
      <c r="X322" s="215">
        <f>IF(ISNUMBER(X294),IFERROR(-X294/X159,""),"")</f>
        <v/>
      </c>
      <c r="Y322" s="215">
        <f>IF(ISNUMBER(Y294),IFERROR(-Y294/Y159,""),"")</f>
        <v/>
      </c>
      <c r="Z322" s="215">
        <f>IF(ISNUMBER(Z294),IFERROR(-Z294/Z159,""),"")</f>
        <v/>
      </c>
      <c r="AA322" s="215">
        <f>IF(ISNUMBER(AA294),IFERROR(-AA294/AA159,""),"")</f>
        <v/>
      </c>
      <c r="AB322" s="215">
        <f>IF(ISNUMBER(AB294),IFERROR(-AB294/AB159,""),"")</f>
        <v/>
      </c>
      <c r="AC322" s="215">
        <f>IF(ISNUMBER(AC294),IFERROR(-AC294/AC159,""),"")</f>
        <v/>
      </c>
      <c r="AD322" s="215">
        <f>IF(ISNUMBER(AD294),IFERROR(-AD294/AD159,""),"")</f>
        <v/>
      </c>
      <c r="AE322" s="215">
        <f>IF(ISNUMBER(AE294),IFERROR(-AE294/AE159,""),"")</f>
        <v/>
      </c>
      <c r="AF322" s="215">
        <f>IF(ISNUMBER(AF294),IFERROR(-AF294/AF159,""),"")</f>
        <v/>
      </c>
      <c r="AG322" s="215">
        <f>IF(ISNUMBER(AG294),IFERROR(-AG294/AG159,""),"")</f>
        <v/>
      </c>
      <c r="AH322" s="215">
        <f>IF(ISNUMBER(AH294),IFERROR(-AH294/AH159,""),"")</f>
        <v/>
      </c>
      <c r="AI322" s="215">
        <f>IF(ISNUMBER(AI294),IFERROR(-AI294/AI159,""),"")</f>
        <v/>
      </c>
      <c r="AJ322" s="215">
        <f>IF(ISNUMBER(AJ294),IFERROR(-AJ294/AJ159,""),"")</f>
        <v/>
      </c>
      <c r="AK322" s="215">
        <f>IF(ISNUMBER(AK294),IFERROR(-AK294/AK159,""),"")</f>
        <v/>
      </c>
      <c r="AL322" s="215">
        <f>IF(ISNUMBER(AL294),IFERROR(-AL294/AL159,""),"")</f>
        <v/>
      </c>
      <c r="AM322" s="24" t="n"/>
      <c r="AN322" s="24" t="n"/>
      <c r="AO322" s="24" t="n"/>
      <c r="AP322" s="256">
        <f>IF(ISNUMBER(AP294),IFERROR(-AP294/AP159,""),"")</f>
        <v/>
      </c>
      <c r="AQ322" s="265" t="n">
        <v>0.068</v>
      </c>
      <c r="AR322" s="265" t="n">
        <v>0.065</v>
      </c>
      <c r="AS322" s="265" t="n">
        <v>0.063</v>
      </c>
      <c r="AT322" s="265" t="n">
        <v>0.062</v>
      </c>
      <c r="AU322" s="153" t="inlineStr">
        <is>
          <t>2028E+ input (FY2022–26: 6.2–7.1% of revenue; FY27E ~7.0% with the Center-of-Excellence build-outs).</t>
        </is>
      </c>
      <c r="AW322" s="37">
        <f>IFERROR(AVERAGE(AP322,AQ322,AR322,AS322,AT322),"n/m")</f>
        <v/>
      </c>
      <c r="AX322" s="37">
        <f>IFERROR(AVERAGE(Q322,V322,AA322,AF322,AK322),"n/m")</f>
        <v/>
      </c>
      <c r="AY322" s="37">
        <f>IFERROR(AVERAGE(H322,I322,J322,K322,L322,Q322,V322,AA322,AF322,AK322),"n/m")</f>
        <v/>
      </c>
      <c r="AZ322" s="37">
        <f>IFERROR(AVERAGE(C322,D322,E322,F322,G322,H322,I322,J322,K322,L322,Q322,V322,AA322,AF322,AK322),"n/m")</f>
        <v/>
      </c>
    </row>
    <row r="323" ht="15" customHeight="1" s="251">
      <c r="B323" s="25" t="inlineStr">
        <is>
          <t xml:space="preserve">  Capex / depreciation &amp; other amortization (x)</t>
        </is>
      </c>
      <c r="C323" s="285">
        <f>IF(ISNUMBER(C294),IFERROR(-C294/C145,""),"")</f>
        <v/>
      </c>
      <c r="D323" s="285">
        <f>IF(ISNUMBER(D294),IFERROR(-D294/D145,""),"")</f>
        <v/>
      </c>
      <c r="E323" s="285">
        <f>IF(ISNUMBER(E294),IFERROR(-E294/E145,""),"")</f>
        <v/>
      </c>
      <c r="F323" s="285">
        <f>IF(ISNUMBER(F294),IFERROR(-F294/F145,""),"")</f>
        <v/>
      </c>
      <c r="G323" s="285">
        <f>IF(ISNUMBER(G294),IFERROR(-G294/G145,""),"")</f>
        <v/>
      </c>
      <c r="H323" s="285">
        <f>IF(ISNUMBER(H294),IFERROR(-H294/H145,""),"")</f>
        <v/>
      </c>
      <c r="I323" s="285">
        <f>IF(ISNUMBER(I294),IFERROR(-I294/I145,""),"")</f>
        <v/>
      </c>
      <c r="J323" s="285">
        <f>IF(ISNUMBER(J294),IFERROR(-J294/J145,""),"")</f>
        <v/>
      </c>
      <c r="K323" s="285">
        <f>IF(ISNUMBER(K294),IFERROR(-K294/K145,""),"")</f>
        <v/>
      </c>
      <c r="L323" s="285">
        <f>IF(ISNUMBER(L294),IFERROR(-L294/L145,""),"")</f>
        <v/>
      </c>
      <c r="M323" s="285">
        <f>IF(ISNUMBER(M294),IFERROR(-M294/M145,""),"")</f>
        <v/>
      </c>
      <c r="N323" s="285">
        <f>IF(ISNUMBER(N294),IFERROR(-N294/N145,""),"")</f>
        <v/>
      </c>
      <c r="O323" s="285">
        <f>IF(ISNUMBER(O294),IFERROR(-O294/O145,""),"")</f>
        <v/>
      </c>
      <c r="P323" s="285">
        <f>IF(ISNUMBER(P294),IFERROR(-P294/P145,""),"")</f>
        <v/>
      </c>
      <c r="Q323" s="285">
        <f>IF(ISNUMBER(Q294),IFERROR(-Q294/Q145,""),"")</f>
        <v/>
      </c>
      <c r="R323" s="285">
        <f>IF(ISNUMBER(R294),IFERROR(-R294/R145,""),"")</f>
        <v/>
      </c>
      <c r="S323" s="285">
        <f>IF(ISNUMBER(S294),IFERROR(-S294/S145,""),"")</f>
        <v/>
      </c>
      <c r="T323" s="285">
        <f>IF(ISNUMBER(T294),IFERROR(-T294/T145,""),"")</f>
        <v/>
      </c>
      <c r="U323" s="285">
        <f>IF(ISNUMBER(U294),IFERROR(-U294/U145,""),"")</f>
        <v/>
      </c>
      <c r="V323" s="285">
        <f>IF(ISNUMBER(V294),IFERROR(-V294/V145,""),"")</f>
        <v/>
      </c>
      <c r="W323" s="285">
        <f>IF(ISNUMBER(W294),IFERROR(-W294/W145,""),"")</f>
        <v/>
      </c>
      <c r="X323" s="285">
        <f>IF(ISNUMBER(X294),IFERROR(-X294/X145,""),"")</f>
        <v/>
      </c>
      <c r="Y323" s="285">
        <f>IF(ISNUMBER(Y294),IFERROR(-Y294/Y145,""),"")</f>
        <v/>
      </c>
      <c r="Z323" s="285">
        <f>IF(ISNUMBER(Z294),IFERROR(-Z294/Z145,""),"")</f>
        <v/>
      </c>
      <c r="AA323" s="285">
        <f>IF(ISNUMBER(AA294),IFERROR(-AA294/AA145,""),"")</f>
        <v/>
      </c>
      <c r="AB323" s="285">
        <f>IF(ISNUMBER(AB294),IFERROR(-AB294/AB145,""),"")</f>
        <v/>
      </c>
      <c r="AC323" s="285">
        <f>IF(ISNUMBER(AC294),IFERROR(-AC294/AC145,""),"")</f>
        <v/>
      </c>
      <c r="AD323" s="285">
        <f>IF(ISNUMBER(AD294),IFERROR(-AD294/AD145,""),"")</f>
        <v/>
      </c>
      <c r="AE323" s="285">
        <f>IF(ISNUMBER(AE294),IFERROR(-AE294/AE145,""),"")</f>
        <v/>
      </c>
      <c r="AF323" s="285">
        <f>IF(ISNUMBER(AF294),IFERROR(-AF294/AF145,""),"")</f>
        <v/>
      </c>
      <c r="AG323" s="285">
        <f>IF(ISNUMBER(AG294),IFERROR(-AG294/AG145,""),"")</f>
        <v/>
      </c>
      <c r="AH323" s="285">
        <f>IF(ISNUMBER(AH294),IFERROR(-AH294/AH145,""),"")</f>
        <v/>
      </c>
      <c r="AI323" s="285">
        <f>IF(ISNUMBER(AI294),IFERROR(-AI294/AI145,""),"")</f>
        <v/>
      </c>
      <c r="AJ323" s="285">
        <f>IF(ISNUMBER(AJ294),IFERROR(-AJ294/AJ145,""),"")</f>
        <v/>
      </c>
      <c r="AK323" s="285">
        <f>IF(ISNUMBER(AK294),IFERROR(-AK294/AK145,""),"")</f>
        <v/>
      </c>
      <c r="AL323" s="285">
        <f>IF(ISNUMBER(AL294),IFERROR(-AL294/AL145,""),"")</f>
        <v/>
      </c>
      <c r="AM323" s="35" t="n"/>
      <c r="AN323" s="35" t="n"/>
      <c r="AO323" s="35" t="n"/>
      <c r="AP323" s="286">
        <f>IF(ISNUMBER(AP294),IFERROR(-AP294/AP145,""),"")</f>
        <v/>
      </c>
      <c r="AQ323" s="286">
        <f>IF(ISNUMBER(AQ294),IFERROR(-AQ294/AQ145,""),"")</f>
        <v/>
      </c>
      <c r="AR323" s="286">
        <f>IF(ISNUMBER(AR294),IFERROR(-AR294/AR145,""),"")</f>
        <v/>
      </c>
      <c r="AS323" s="286">
        <f>IF(ISNUMBER(AS294),IFERROR(-AS294/AS145,""),"")</f>
        <v/>
      </c>
      <c r="AT323" s="286">
        <f>IF(ISNUMBER(AT294),IFERROR(-AT294/AT145,""),"")</f>
        <v/>
      </c>
      <c r="AU323" s="19" t="n"/>
    </row>
    <row r="324" ht="15" customHeight="1" s="251">
      <c r="BC324" s="11" t="n"/>
      <c r="BD324" s="12" t="n"/>
      <c r="BE324" s="12" t="n"/>
      <c r="BF324" s="12" t="n"/>
      <c r="BG324" s="13" t="n"/>
    </row>
    <row r="325" ht="15" customHeight="1" s="251">
      <c r="B325" s="10" t="inlineStr">
        <is>
          <t>SHARE BUYBACK SCHEDULE</t>
        </is>
      </c>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c r="AH325" s="10" t="n"/>
      <c r="AI325" s="10" t="n"/>
      <c r="AJ325" s="10" t="n"/>
      <c r="AK325" s="10" t="n"/>
      <c r="AL325" s="10" t="n"/>
      <c r="AM325" s="10" t="n"/>
      <c r="AN325" s="10" t="n"/>
      <c r="AO325" s="10" t="n"/>
      <c r="AP325" s="10" t="n"/>
      <c r="AQ325" s="10" t="n"/>
      <c r="AR325" s="10" t="n"/>
      <c r="AS325" s="10" t="n"/>
      <c r="AT325" s="10" t="n"/>
      <c r="AU325" s="10" t="inlineStr">
        <is>
          <t>SHARES — 2027E starts from shares outstanding at 30-Jun-2026 (Q2–Q4 buybacks); 2028E+ buybacks via the leverage plug</t>
        </is>
      </c>
    </row>
    <row r="326" ht="15" customHeight="1" s="251">
      <c r="B326" s="25" t="inlineStr">
        <is>
          <t xml:space="preserve">  Avg buyback price ($)</t>
        </is>
      </c>
      <c r="C326" s="34" t="n"/>
      <c r="D326" s="34" t="n"/>
      <c r="E326" s="34" t="n"/>
      <c r="F326" s="34" t="n"/>
      <c r="G326" s="34" t="n"/>
      <c r="H326" s="34" t="n"/>
      <c r="I326" s="34" t="n"/>
      <c r="J326" s="34" t="n"/>
      <c r="K326" s="34" t="n"/>
      <c r="L326" s="34" t="n"/>
      <c r="M326" s="34" t="n"/>
      <c r="N326" s="34" t="n"/>
      <c r="O326" s="34" t="n"/>
      <c r="P326" s="34" t="n"/>
      <c r="Q326" s="34" t="n"/>
      <c r="R326" s="34" t="n"/>
      <c r="S326" s="34" t="n"/>
      <c r="T326" s="34" t="n"/>
      <c r="U326" s="34" t="n"/>
      <c r="V326" s="34" t="n"/>
      <c r="W326" s="34" t="n"/>
      <c r="X326" s="34" t="n"/>
      <c r="Y326" s="34" t="n"/>
      <c r="Z326" s="34" t="n"/>
      <c r="AA326" s="34" t="n"/>
      <c r="AB326" s="34" t="n"/>
      <c r="AC326" s="34" t="n"/>
      <c r="AD326" s="34" t="n"/>
      <c r="AE326" s="34" t="n"/>
      <c r="AF326" s="34" t="n"/>
      <c r="AG326" s="34" t="n"/>
      <c r="AH326" s="34" t="n"/>
      <c r="AI326" s="34" t="n"/>
      <c r="AJ326" s="34" t="n"/>
      <c r="AK326" s="34" t="n"/>
      <c r="AL326" s="34" t="n"/>
      <c r="AM326" s="35" t="n"/>
      <c r="AN326" s="35" t="n"/>
      <c r="AO326" s="35" t="n"/>
      <c r="AP326" s="287">
        <f>AP446</f>
        <v/>
      </c>
      <c r="AQ326" s="287">
        <f>AP326*(1+AQ392)</f>
        <v/>
      </c>
      <c r="AR326" s="287">
        <f>AQ326*(1+AR392)</f>
        <v/>
      </c>
      <c r="AS326" s="287">
        <f>AR326*(1+AS392)</f>
        <v/>
      </c>
      <c r="AT326" s="287">
        <f>AS326*(1+AT392)</f>
        <v/>
      </c>
      <c r="AU326" s="19" t="n"/>
    </row>
    <row r="327" ht="15" customHeight="1" s="251">
      <c r="B327" s="25" t="inlineStr">
        <is>
          <t xml:space="preserve">  Buyback cash deployed (USDm; 2027E = Q2–Q4)</t>
        </is>
      </c>
      <c r="C327" s="34" t="n"/>
      <c r="D327" s="34" t="n"/>
      <c r="E327" s="34" t="n"/>
      <c r="F327" s="34" t="n"/>
      <c r="G327" s="34" t="n"/>
      <c r="H327" s="34" t="n"/>
      <c r="I327" s="34" t="n"/>
      <c r="J327" s="34" t="n"/>
      <c r="K327" s="34" t="n"/>
      <c r="L327" s="34" t="n"/>
      <c r="M327" s="34" t="n"/>
      <c r="N327" s="34" t="n"/>
      <c r="O327" s="34" t="n"/>
      <c r="P327" s="34" t="n"/>
      <c r="Q327" s="34" t="n"/>
      <c r="R327" s="34" t="n"/>
      <c r="S327" s="34" t="n"/>
      <c r="T327" s="34" t="n"/>
      <c r="U327" s="34" t="n"/>
      <c r="V327" s="34" t="n"/>
      <c r="W327" s="34" t="n"/>
      <c r="X327" s="34" t="n"/>
      <c r="Y327" s="34" t="n"/>
      <c r="Z327" s="34" t="n"/>
      <c r="AA327" s="34" t="n"/>
      <c r="AB327" s="34" t="n"/>
      <c r="AC327" s="34" t="n"/>
      <c r="AD327" s="34" t="n"/>
      <c r="AE327" s="34" t="n"/>
      <c r="AF327" s="34" t="n"/>
      <c r="AG327" s="34" t="n"/>
      <c r="AH327" s="34" t="n"/>
      <c r="AI327" s="34" t="n"/>
      <c r="AJ327" s="34" t="n"/>
      <c r="AK327" s="34" t="n"/>
      <c r="AL327" s="34" t="n"/>
      <c r="AM327" s="35" t="n"/>
      <c r="AN327" s="35" t="n"/>
      <c r="AO327" s="35" t="n"/>
      <c r="AP327" s="269">
        <f>CHOOSE(MATCH($AU$2,{"Bull","Base","Bear"},0),$BD$16,$BE$16,$BF$16)</f>
        <v/>
      </c>
      <c r="AQ327" s="269">
        <f>-AQ300</f>
        <v/>
      </c>
      <c r="AR327" s="269">
        <f>-AR300</f>
        <v/>
      </c>
      <c r="AS327" s="269">
        <f>-AS300</f>
        <v/>
      </c>
      <c r="AT327" s="269">
        <f>-AT300</f>
        <v/>
      </c>
      <c r="AU327" s="19" t="n"/>
    </row>
    <row r="328" ht="15" customHeight="1" s="251">
      <c r="B328" s="25" t="inlineStr">
        <is>
          <t xml:space="preserve">  Implied shares repurchased (m)</t>
        </is>
      </c>
      <c r="C328" s="34" t="n"/>
      <c r="D328" s="34" t="n"/>
      <c r="E328" s="34" t="n"/>
      <c r="F328" s="34" t="n"/>
      <c r="G328" s="34" t="n"/>
      <c r="H328" s="34" t="n"/>
      <c r="I328" s="34" t="n"/>
      <c r="J328" s="34" t="n"/>
      <c r="K328" s="34" t="n"/>
      <c r="L328" s="34" t="n"/>
      <c r="M328" s="34" t="n"/>
      <c r="N328" s="34" t="n"/>
      <c r="O328" s="34" t="n"/>
      <c r="P328" s="34" t="n"/>
      <c r="Q328" s="34" t="n"/>
      <c r="R328" s="34" t="n"/>
      <c r="S328" s="34" t="n"/>
      <c r="T328" s="34" t="n"/>
      <c r="U328" s="34" t="n"/>
      <c r="V328" s="34" t="n"/>
      <c r="W328" s="34" t="n"/>
      <c r="X328" s="34" t="n"/>
      <c r="Y328" s="34" t="n"/>
      <c r="Z328" s="34" t="n"/>
      <c r="AA328" s="34" t="n"/>
      <c r="AB328" s="34" t="n"/>
      <c r="AC328" s="34" t="n"/>
      <c r="AD328" s="34" t="n"/>
      <c r="AE328" s="34" t="n"/>
      <c r="AF328" s="34" t="n"/>
      <c r="AG328" s="34" t="n"/>
      <c r="AH328" s="34" t="n"/>
      <c r="AI328" s="34" t="n"/>
      <c r="AJ328" s="34" t="n"/>
      <c r="AK328" s="34" t="n"/>
      <c r="AL328" s="34" t="n"/>
      <c r="AM328" s="35" t="n"/>
      <c r="AN328" s="35" t="n"/>
      <c r="AO328" s="35" t="n"/>
      <c r="AP328" s="287">
        <f>IFERROR(AP327/AP326,0)</f>
        <v/>
      </c>
      <c r="AQ328" s="287">
        <f>IFERROR(AQ327/AQ326,0)</f>
        <v/>
      </c>
      <c r="AR328" s="287">
        <f>IFERROR(AR327/AR326,0)</f>
        <v/>
      </c>
      <c r="AS328" s="287">
        <f>IFERROR(AS327/AS326,0)</f>
        <v/>
      </c>
      <c r="AT328" s="287">
        <f>IFERROR(AT327/AT326,0)</f>
        <v/>
      </c>
      <c r="AU328" s="19" t="n"/>
    </row>
    <row r="329" ht="15" customHeight="1" s="251">
      <c r="B329" s="25" t="inlineStr">
        <is>
          <t xml:space="preserve">  Shares issued under equity plans (m)</t>
        </is>
      </c>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c r="AC329" s="36" t="n"/>
      <c r="AD329" s="36" t="n"/>
      <c r="AE329" s="36" t="n"/>
      <c r="AF329" s="36" t="n"/>
      <c r="AG329" s="36" t="n"/>
      <c r="AH329" s="36" t="n"/>
      <c r="AI329" s="36" t="n"/>
      <c r="AJ329" s="36" t="n"/>
      <c r="AK329" s="36" t="n"/>
      <c r="AL329" s="36" t="n"/>
      <c r="AM329" s="24" t="n"/>
      <c r="AN329" s="24" t="n"/>
      <c r="AO329" s="24" t="n"/>
      <c r="AP329" s="288" t="n">
        <v>0.15</v>
      </c>
      <c r="AQ329" s="288" t="n">
        <v>0.3</v>
      </c>
      <c r="AR329" s="288" t="n">
        <v>0.3</v>
      </c>
      <c r="AS329" s="288" t="n">
        <v>0.3</v>
      </c>
      <c r="AT329" s="288" t="n">
        <v>0.3</v>
      </c>
      <c r="AU329" s="19" t="n"/>
    </row>
    <row r="330" ht="15" customHeight="1" s="251">
      <c r="B330" s="25" t="inlineStr">
        <is>
          <t xml:space="preserve">  Beginning shares outstanding (m)</t>
        </is>
      </c>
      <c r="C330" s="34" t="n"/>
      <c r="D330" s="34" t="n"/>
      <c r="E330" s="34" t="n"/>
      <c r="F330" s="34" t="n"/>
      <c r="G330" s="34" t="n"/>
      <c r="H330" s="34" t="n"/>
      <c r="I330" s="34" t="n"/>
      <c r="J330" s="34" t="n"/>
      <c r="K330" s="34" t="n"/>
      <c r="L330" s="34" t="n"/>
      <c r="M330" s="34" t="n"/>
      <c r="N330" s="34" t="n"/>
      <c r="O330" s="34" t="n"/>
      <c r="P330" s="34" t="n"/>
      <c r="Q330" s="34" t="n"/>
      <c r="R330" s="34" t="n"/>
      <c r="S330" s="34" t="n"/>
      <c r="T330" s="34" t="n"/>
      <c r="U330" s="34" t="n"/>
      <c r="V330" s="34" t="n"/>
      <c r="W330" s="34" t="n"/>
      <c r="X330" s="34" t="n"/>
      <c r="Y330" s="34" t="n"/>
      <c r="Z330" s="34" t="n"/>
      <c r="AA330" s="34" t="n"/>
      <c r="AB330" s="34" t="n"/>
      <c r="AC330" s="34" t="n"/>
      <c r="AD330" s="34" t="n"/>
      <c r="AE330" s="34" t="n"/>
      <c r="AF330" s="34" t="n"/>
      <c r="AG330" s="34" t="n"/>
      <c r="AH330" s="34" t="n"/>
      <c r="AI330" s="34" t="n"/>
      <c r="AJ330" s="34" t="n"/>
      <c r="AK330" s="34" t="n"/>
      <c r="AL330" s="34" t="n"/>
      <c r="AM330" s="35" t="n"/>
      <c r="AN330" s="35" t="n"/>
      <c r="AO330" s="35" t="n"/>
      <c r="AP330" s="254">
        <f>AL364</f>
        <v/>
      </c>
      <c r="AQ330" s="254">
        <f>AP331</f>
        <v/>
      </c>
      <c r="AR330" s="254">
        <f>AQ331</f>
        <v/>
      </c>
      <c r="AS330" s="254">
        <f>AR331</f>
        <v/>
      </c>
      <c r="AT330" s="254">
        <f>AS331</f>
        <v/>
      </c>
      <c r="AU330" s="19" t="inlineStr">
        <is>
          <t>2027E begins from ordinary shares outstanding at 30-Jun-2026 (Q1/27 10-Q).</t>
        </is>
      </c>
    </row>
    <row r="331" ht="15" customHeight="1" s="251">
      <c r="B331" s="25" t="inlineStr">
        <is>
          <t xml:space="preserve">  Ending shares outstanding (m)</t>
        </is>
      </c>
      <c r="C331" s="34" t="n"/>
      <c r="D331" s="34" t="n"/>
      <c r="E331" s="34" t="n"/>
      <c r="F331" s="34" t="n"/>
      <c r="G331" s="34" t="n"/>
      <c r="H331" s="34" t="n"/>
      <c r="I331" s="34" t="n"/>
      <c r="J331" s="34" t="n"/>
      <c r="K331" s="34" t="n"/>
      <c r="L331" s="34" t="n"/>
      <c r="M331" s="34" t="n"/>
      <c r="N331" s="34" t="n"/>
      <c r="O331" s="34" t="n"/>
      <c r="P331" s="34" t="n"/>
      <c r="Q331" s="34" t="n"/>
      <c r="R331" s="34" t="n"/>
      <c r="S331" s="34" t="n"/>
      <c r="T331" s="34" t="n"/>
      <c r="U331" s="34" t="n"/>
      <c r="V331" s="34" t="n"/>
      <c r="W331" s="34" t="n"/>
      <c r="X331" s="34" t="n"/>
      <c r="Y331" s="34" t="n"/>
      <c r="Z331" s="34" t="n"/>
      <c r="AA331" s="34" t="n"/>
      <c r="AB331" s="34" t="n"/>
      <c r="AC331" s="34" t="n"/>
      <c r="AD331" s="34" t="n"/>
      <c r="AE331" s="34" t="n"/>
      <c r="AF331" s="34" t="n"/>
      <c r="AG331" s="34" t="n"/>
      <c r="AH331" s="34" t="n"/>
      <c r="AI331" s="34" t="n"/>
      <c r="AJ331" s="34" t="n"/>
      <c r="AK331" s="34" t="n"/>
      <c r="AL331" s="34" t="n"/>
      <c r="AM331" s="35" t="n"/>
      <c r="AN331" s="35" t="n"/>
      <c r="AO331" s="35" t="n"/>
      <c r="AP331" s="254">
        <f>AP330-AP328+AP329</f>
        <v/>
      </c>
      <c r="AQ331" s="254">
        <f>AQ330-AQ328+AQ329</f>
        <v/>
      </c>
      <c r="AR331" s="254">
        <f>AR330-AR328+AR329</f>
        <v/>
      </c>
      <c r="AS331" s="254">
        <f>AS330-AS328+AS329</f>
        <v/>
      </c>
      <c r="AT331" s="254">
        <f>AT330-AT328+AT329</f>
        <v/>
      </c>
      <c r="AU331" s="19" t="n"/>
    </row>
    <row r="332" ht="15" customHeight="1" s="251">
      <c r="B332" s="25" t="inlineStr">
        <is>
          <t xml:space="preserve">  % of shares repurchased</t>
        </is>
      </c>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c r="AC332" s="36" t="n"/>
      <c r="AD332" s="36" t="n"/>
      <c r="AE332" s="36" t="n"/>
      <c r="AF332" s="36" t="n"/>
      <c r="AG332" s="36" t="n"/>
      <c r="AH332" s="36" t="n"/>
      <c r="AI332" s="36" t="n"/>
      <c r="AJ332" s="36" t="n"/>
      <c r="AK332" s="36" t="n"/>
      <c r="AL332" s="36" t="n"/>
      <c r="AM332" s="24" t="n"/>
      <c r="AN332" s="24" t="n"/>
      <c r="AO332" s="24" t="n"/>
      <c r="AP332" s="256">
        <f>IF(AND(ISNUMBER(AP328),ISNUMBER(AP330)),IFERROR(AP328/AP330,""),"")</f>
        <v/>
      </c>
      <c r="AQ332" s="256">
        <f>IF(AND(ISNUMBER(AQ328),ISNUMBER(AQ330)),IFERROR(AQ328/AQ330,""),"")</f>
        <v/>
      </c>
      <c r="AR332" s="256">
        <f>IF(AND(ISNUMBER(AR328),ISNUMBER(AR330)),IFERROR(AR328/AR330,""),"")</f>
        <v/>
      </c>
      <c r="AS332" s="256">
        <f>IF(AND(ISNUMBER(AS328),ISNUMBER(AS330)),IFERROR(AS328/AS330,""),"")</f>
        <v/>
      </c>
      <c r="AT332" s="256">
        <f>IF(AND(ISNUMBER(AT328),ISNUMBER(AT330)),IFERROR(AT328/AT330,""),"")</f>
        <v/>
      </c>
      <c r="AU332" s="153" t="n"/>
    </row>
    <row r="333" ht="15" customHeight="1" s="251">
      <c r="B333" s="156" t="inlineStr">
        <is>
          <t xml:space="preserve">  Memo: cumulative shares repurchased since Q2/27 (m)</t>
        </is>
      </c>
      <c r="C333" s="34" t="n"/>
      <c r="D333" s="34" t="n"/>
      <c r="E333" s="34" t="n"/>
      <c r="F333" s="34" t="n"/>
      <c r="G333" s="34" t="n"/>
      <c r="H333" s="34" t="n"/>
      <c r="I333" s="34" t="n"/>
      <c r="J333" s="34" t="n"/>
      <c r="K333" s="34" t="n"/>
      <c r="L333" s="34" t="n"/>
      <c r="M333" s="34" t="n"/>
      <c r="N333" s="34" t="n"/>
      <c r="O333" s="34" t="n"/>
      <c r="P333" s="34" t="n"/>
      <c r="Q333" s="34" t="n"/>
      <c r="R333" s="34" t="n"/>
      <c r="S333" s="34" t="n"/>
      <c r="T333" s="34" t="n"/>
      <c r="U333" s="34" t="n"/>
      <c r="V333" s="34" t="n"/>
      <c r="W333" s="34" t="n"/>
      <c r="X333" s="34" t="n"/>
      <c r="Y333" s="34" t="n"/>
      <c r="Z333" s="34" t="n"/>
      <c r="AA333" s="34" t="n"/>
      <c r="AB333" s="34" t="n"/>
      <c r="AC333" s="34" t="n"/>
      <c r="AD333" s="34" t="n"/>
      <c r="AE333" s="34" t="n"/>
      <c r="AF333" s="34" t="n"/>
      <c r="AG333" s="34" t="n"/>
      <c r="AH333" s="34" t="n"/>
      <c r="AI333" s="34" t="n"/>
      <c r="AJ333" s="34" t="n"/>
      <c r="AK333" s="34" t="n"/>
      <c r="AL333" s="34" t="n"/>
      <c r="AM333" s="153" t="n"/>
      <c r="AN333" s="153" t="n"/>
      <c r="AO333" s="153" t="n"/>
      <c r="AP333" s="275">
        <f>AP328</f>
        <v/>
      </c>
      <c r="AQ333" s="275">
        <f>AP333+AQ328</f>
        <v/>
      </c>
      <c r="AR333" s="275">
        <f>AQ333+AR328</f>
        <v/>
      </c>
      <c r="AS333" s="275">
        <f>AR333+AS328</f>
        <v/>
      </c>
      <c r="AT333" s="275">
        <f>AS333+AT328</f>
        <v/>
      </c>
      <c r="AU333" s="153" t="n"/>
    </row>
    <row r="334" ht="15" customHeight="1" s="251">
      <c r="BC334" s="11" t="n"/>
      <c r="BD334" s="12" t="n"/>
      <c r="BE334" s="12" t="n"/>
      <c r="BF334" s="12" t="n"/>
      <c r="BG334" s="13" t="n"/>
    </row>
    <row r="335" ht="15" customHeight="1" s="251">
      <c r="B335" s="10" t="inlineStr">
        <is>
          <t>CONSOLIDATED BALANCE SHEET (condensed, as in the releases)</t>
        </is>
      </c>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c r="AG335" s="10" t="n"/>
      <c r="AH335" s="10" t="n"/>
      <c r="AI335" s="10" t="n"/>
      <c r="AJ335" s="10" t="n"/>
      <c r="AK335" s="10" t="n"/>
      <c r="AL335" s="10" t="n"/>
      <c r="AM335" s="10" t="n"/>
      <c r="AN335" s="10" t="n"/>
      <c r="AO335" s="10" t="n"/>
      <c r="AP335" s="10" t="n"/>
      <c r="AQ335" s="10" t="n"/>
      <c r="AR335" s="10" t="n"/>
      <c r="AS335" s="10" t="n"/>
      <c r="AT335" s="10" t="n"/>
      <c r="AU335" s="10" t="inlineStr">
        <is>
          <t>BS FORECAST — 2027E rolled forward from the 30-Jun-2026 balance sheet + Q2–Q4 flows; 2028E+ from prior year end</t>
        </is>
      </c>
    </row>
    <row r="336" ht="15" customHeight="1" s="251">
      <c r="B336" s="25" t="inlineStr">
        <is>
          <t>ASSETS</t>
        </is>
      </c>
      <c r="AU336" s="153" t="n"/>
    </row>
    <row r="337" ht="15" customHeight="1" s="251">
      <c r="B337" s="25" t="inlineStr">
        <is>
          <t xml:space="preserve">  Cash and cash equivalents</t>
        </is>
      </c>
      <c r="C337" s="253" t="n">
        <v>150.821</v>
      </c>
      <c r="D337" s="253" t="n">
        <v>142.008</v>
      </c>
      <c r="E337" s="253" t="n">
        <v>152.802</v>
      </c>
      <c r="F337" s="253" t="n">
        <v>167.689</v>
      </c>
      <c r="G337" s="253" t="n">
        <v>248.841</v>
      </c>
      <c r="H337" s="253" t="n">
        <v>282.918</v>
      </c>
      <c r="I337" s="253" t="n">
        <v>201.534</v>
      </c>
      <c r="J337" s="253" t="n">
        <v>220.633</v>
      </c>
      <c r="K337" s="253" t="n">
        <v>319.581</v>
      </c>
      <c r="L337" s="253" t="n">
        <v>220.531</v>
      </c>
      <c r="M337" s="253" t="n">
        <v>534.774</v>
      </c>
      <c r="N337" s="253" t="n">
        <v>383.494</v>
      </c>
      <c r="O337" s="253" t="n">
        <v>359.089</v>
      </c>
      <c r="P337" s="253" t="n">
        <v>348.32</v>
      </c>
      <c r="Q337" s="253" t="n">
        <v>348.32</v>
      </c>
      <c r="R337" s="253" t="n">
        <v>316.327</v>
      </c>
      <c r="S337" s="253" t="n">
        <v>258.259</v>
      </c>
      <c r="T337" s="253" t="n">
        <v>259.371</v>
      </c>
      <c r="U337" s="253" t="n">
        <v>208.357</v>
      </c>
      <c r="V337" s="253" t="n">
        <v>208.357</v>
      </c>
      <c r="W337" s="253" t="n">
        <v>208.614</v>
      </c>
      <c r="X337" s="253" t="n">
        <v>213.757</v>
      </c>
      <c r="Y337" s="253" t="n">
        <v>195.585</v>
      </c>
      <c r="Z337" s="253" t="n">
        <v>207.02</v>
      </c>
      <c r="AA337" s="253" t="n">
        <v>207.02</v>
      </c>
      <c r="AB337" s="253" t="n">
        <v>198.328</v>
      </c>
      <c r="AC337" s="253" t="n">
        <v>172.195</v>
      </c>
      <c r="AD337" s="253" t="n">
        <v>155.178</v>
      </c>
      <c r="AE337" s="253" t="n">
        <v>171.701</v>
      </c>
      <c r="AF337" s="253" t="n">
        <v>171.701</v>
      </c>
      <c r="AG337" s="253" t="n">
        <v>279.7</v>
      </c>
      <c r="AH337" s="253" t="n">
        <v>319.2</v>
      </c>
      <c r="AI337" s="253" t="n">
        <v>423.7</v>
      </c>
      <c r="AJ337" s="253" t="n">
        <v>439.6</v>
      </c>
      <c r="AK337" s="253" t="n">
        <v>439.6</v>
      </c>
      <c r="AL337" s="253" t="n">
        <v>482.3</v>
      </c>
      <c r="AM337" s="35" t="n"/>
      <c r="AN337" s="35" t="n"/>
      <c r="AO337" s="35" t="n"/>
      <c r="AP337" s="254">
        <f>AP309</f>
        <v/>
      </c>
      <c r="AQ337" s="254">
        <f>AQ309</f>
        <v/>
      </c>
      <c r="AR337" s="254">
        <f>AR309</f>
        <v/>
      </c>
      <c r="AS337" s="254">
        <f>AS309</f>
        <v/>
      </c>
      <c r="AT337" s="254">
        <f>AT309</f>
        <v/>
      </c>
      <c r="AU337" s="19" t="n"/>
    </row>
    <row r="338" ht="15" customHeight="1" s="251">
      <c r="B338" s="25" t="inlineStr">
        <is>
          <t xml:space="preserve">  Accounts receivable, net</t>
        </is>
      </c>
      <c r="C338" s="253" t="n">
        <v>280.324</v>
      </c>
      <c r="D338" s="253" t="n">
        <v>275.937</v>
      </c>
      <c r="E338" s="253" t="n">
        <v>313.686</v>
      </c>
      <c r="F338" s="253" t="n">
        <v>325.289</v>
      </c>
      <c r="G338" s="253" t="n">
        <v>471.523</v>
      </c>
      <c r="H338" s="253" t="n">
        <v>483.451</v>
      </c>
      <c r="I338" s="253" t="n">
        <v>528.066</v>
      </c>
      <c r="J338" s="253" t="n">
        <v>564.83</v>
      </c>
      <c r="K338" s="253" t="n">
        <v>586.481</v>
      </c>
      <c r="L338" s="253" t="n">
        <v>609.4059999999999</v>
      </c>
      <c r="M338" s="253" t="n">
        <v>743.42</v>
      </c>
      <c r="N338" s="253" t="n">
        <v>762.003</v>
      </c>
      <c r="O338" s="253" t="n">
        <v>752.1319999999999</v>
      </c>
      <c r="P338" s="253" t="n">
        <v>799.0410000000001</v>
      </c>
      <c r="Q338" s="253" t="n">
        <v>799.0410000000001</v>
      </c>
      <c r="R338" s="253" t="n">
        <v>763.788</v>
      </c>
      <c r="S338" s="253" t="n">
        <v>780.1130000000001</v>
      </c>
      <c r="T338" s="253" t="n">
        <v>822.758</v>
      </c>
      <c r="U338" s="253" t="n">
        <v>928.3150000000001</v>
      </c>
      <c r="V338" s="253" t="n">
        <v>928.3150000000001</v>
      </c>
      <c r="W338" s="253" t="n">
        <v>887.756</v>
      </c>
      <c r="X338" s="253" t="n">
        <v>940.331</v>
      </c>
      <c r="Y338" s="253" t="n">
        <v>964.022</v>
      </c>
      <c r="Z338" s="253" t="n">
        <v>1008.315</v>
      </c>
      <c r="AA338" s="253" t="n">
        <v>1008.315</v>
      </c>
      <c r="AB338" s="253" t="n">
        <v>892.606</v>
      </c>
      <c r="AC338" s="253" t="n">
        <v>923.34</v>
      </c>
      <c r="AD338" s="253" t="n">
        <v>915.199</v>
      </c>
      <c r="AE338" s="253" t="n">
        <v>1043.961</v>
      </c>
      <c r="AF338" s="253" t="n">
        <v>1043.961</v>
      </c>
      <c r="AG338" s="253" t="n">
        <v>947.1</v>
      </c>
      <c r="AH338" s="253" t="n">
        <v>947.3</v>
      </c>
      <c r="AI338" s="253" t="n">
        <v>990.6</v>
      </c>
      <c r="AJ338" s="253" t="n">
        <v>1092.8</v>
      </c>
      <c r="AK338" s="253" t="n">
        <v>1092.8</v>
      </c>
      <c r="AL338" s="253" t="n">
        <v>1013.2</v>
      </c>
      <c r="AM338" s="35" t="n"/>
      <c r="AN338" s="35" t="n"/>
      <c r="AO338" s="35" t="n"/>
      <c r="AP338" s="254">
        <f>AP367*AP369/365</f>
        <v/>
      </c>
      <c r="AQ338" s="254">
        <f>AQ367*AQ369/365</f>
        <v/>
      </c>
      <c r="AR338" s="254">
        <f>AR367*AR369/365</f>
        <v/>
      </c>
      <c r="AS338" s="254">
        <f>AS367*AS369/365</f>
        <v/>
      </c>
      <c r="AT338" s="254">
        <f>AT367*AT369/365</f>
        <v/>
      </c>
      <c r="AU338" s="19" t="n"/>
    </row>
    <row r="339" ht="15" customHeight="1" s="251">
      <c r="B339" s="25" t="inlineStr">
        <is>
          <t xml:space="preserve">  Inventories, net</t>
        </is>
      </c>
      <c r="C339" s="253" t="n">
        <v>157.712</v>
      </c>
      <c r="D339" s="253" t="n">
        <v>144.443</v>
      </c>
      <c r="E339" s="253" t="n">
        <v>155.146</v>
      </c>
      <c r="F339" s="253" t="n">
        <v>160.818</v>
      </c>
      <c r="G339" s="253" t="n">
        <v>192.792</v>
      </c>
      <c r="H339" s="253" t="n">
        <v>197.837</v>
      </c>
      <c r="I339" s="253" t="n">
        <v>205.731</v>
      </c>
      <c r="J339" s="253" t="n">
        <v>208.243</v>
      </c>
      <c r="K339" s="253" t="n">
        <v>248.259</v>
      </c>
      <c r="L339" s="253" t="n">
        <v>315.067</v>
      </c>
      <c r="M339" s="253" t="n">
        <v>593.067</v>
      </c>
      <c r="N339" s="253" t="n">
        <v>564.532</v>
      </c>
      <c r="O339" s="253" t="n">
        <v>594.599</v>
      </c>
      <c r="P339" s="253" t="n">
        <v>574.999</v>
      </c>
      <c r="Q339" s="253" t="n">
        <v>574.999</v>
      </c>
      <c r="R339" s="253" t="n">
        <v>620.404</v>
      </c>
      <c r="S339" s="253" t="n">
        <v>644.936</v>
      </c>
      <c r="T339" s="253" t="n">
        <v>694.357</v>
      </c>
      <c r="U339" s="253" t="n">
        <v>695.4930000000001</v>
      </c>
      <c r="V339" s="253" t="n">
        <v>695.4930000000001</v>
      </c>
      <c r="W339" s="253" t="n">
        <v>768.835</v>
      </c>
      <c r="X339" s="253" t="n">
        <v>821.129</v>
      </c>
      <c r="Y339" s="253" t="n">
        <v>855.617</v>
      </c>
      <c r="Z339" s="253" t="n">
        <v>674.535</v>
      </c>
      <c r="AA339" s="253" t="n">
        <v>674.535</v>
      </c>
      <c r="AB339" s="253" t="n">
        <v>698.587</v>
      </c>
      <c r="AC339" s="253" t="n">
        <v>688.933</v>
      </c>
      <c r="AD339" s="253" t="n">
        <v>649.558</v>
      </c>
      <c r="AE339" s="253" t="n">
        <v>581.329</v>
      </c>
      <c r="AF339" s="253" t="n">
        <v>581.329</v>
      </c>
      <c r="AG339" s="253" t="n">
        <v>641.2</v>
      </c>
      <c r="AH339" s="253" t="n">
        <v>658.5</v>
      </c>
      <c r="AI339" s="253" t="n">
        <v>673.5</v>
      </c>
      <c r="AJ339" s="253" t="n">
        <v>631.8</v>
      </c>
      <c r="AK339" s="253" t="n">
        <v>631.8</v>
      </c>
      <c r="AL339" s="253" t="n">
        <v>712.1</v>
      </c>
      <c r="AM339" s="35" t="n"/>
      <c r="AN339" s="35" t="n"/>
      <c r="AO339" s="35" t="n"/>
      <c r="AP339" s="254">
        <f>AP368*AP370/365</f>
        <v/>
      </c>
      <c r="AQ339" s="254">
        <f>AQ368*AQ370/365</f>
        <v/>
      </c>
      <c r="AR339" s="254">
        <f>AR368*AR370/365</f>
        <v/>
      </c>
      <c r="AS339" s="254">
        <f>AS368*AS370/365</f>
        <v/>
      </c>
      <c r="AT339" s="254">
        <f>AT368*AT370/365</f>
        <v/>
      </c>
      <c r="AU339" s="19" t="n"/>
    </row>
    <row r="340" ht="15" customHeight="1" s="251">
      <c r="B340" s="25" t="inlineStr">
        <is>
          <t xml:space="preserve">  Prepaid expenses &amp; other current assets (incl. Dental held for sale at 31-Mar-2024)</t>
        </is>
      </c>
      <c r="C340" s="253" t="n">
        <v>63.026</v>
      </c>
      <c r="D340" s="253" t="n">
        <v>51.552</v>
      </c>
      <c r="E340" s="253" t="n">
        <v>53.111</v>
      </c>
      <c r="F340" s="253" t="n">
        <v>66.636</v>
      </c>
      <c r="G340" s="253" t="n">
        <v>59.369</v>
      </c>
      <c r="H340" s="253" t="n">
        <v>53.596</v>
      </c>
      <c r="I340" s="253" t="n">
        <v>54.326</v>
      </c>
      <c r="J340" s="253" t="n">
        <v>60.029</v>
      </c>
      <c r="K340" s="253" t="n">
        <v>54.43</v>
      </c>
      <c r="L340" s="253" t="n">
        <v>66.75</v>
      </c>
      <c r="M340" s="253" t="n">
        <v>136.599</v>
      </c>
      <c r="N340" s="253" t="n">
        <v>194.598</v>
      </c>
      <c r="O340" s="253" t="n">
        <v>221.274</v>
      </c>
      <c r="P340" s="253" t="n">
        <v>156.637</v>
      </c>
      <c r="Q340" s="253" t="n">
        <v>156.637</v>
      </c>
      <c r="R340" s="253" t="n">
        <v>147.428</v>
      </c>
      <c r="S340" s="253" t="n">
        <v>204.991</v>
      </c>
      <c r="T340" s="253" t="n">
        <v>200.14</v>
      </c>
      <c r="U340" s="253" t="n">
        <v>179.277</v>
      </c>
      <c r="V340" s="253" t="n">
        <v>179.277</v>
      </c>
      <c r="W340" s="253" t="n">
        <v>166.05</v>
      </c>
      <c r="X340" s="253" t="n">
        <v>198.76</v>
      </c>
      <c r="Y340" s="253" t="n">
        <v>203.729</v>
      </c>
      <c r="Z340" s="253" t="n">
        <v>985.671</v>
      </c>
      <c r="AA340" s="253" t="n">
        <v>985.671</v>
      </c>
      <c r="AB340" s="253" t="n">
        <v>150.973</v>
      </c>
      <c r="AC340" s="253" t="n">
        <v>153.401</v>
      </c>
      <c r="AD340" s="253" t="n">
        <v>177.918</v>
      </c>
      <c r="AE340" s="253" t="n">
        <v>203.774</v>
      </c>
      <c r="AF340" s="253" t="n">
        <v>203.774</v>
      </c>
      <c r="AG340" s="253" t="n">
        <v>189.8</v>
      </c>
      <c r="AH340" s="253" t="n">
        <v>181.3</v>
      </c>
      <c r="AI340" s="253" t="n">
        <v>198.4</v>
      </c>
      <c r="AJ340" s="253" t="n">
        <v>230.4</v>
      </c>
      <c r="AK340" s="253" t="n">
        <v>230.4</v>
      </c>
      <c r="AL340" s="253" t="n">
        <v>238.2</v>
      </c>
      <c r="AM340" s="35" t="n"/>
      <c r="AN340" s="35" t="n"/>
      <c r="AO340" s="35" t="n"/>
      <c r="AP340" s="254">
        <f>AL340</f>
        <v/>
      </c>
      <c r="AQ340" s="254">
        <f>AP340</f>
        <v/>
      </c>
      <c r="AR340" s="254">
        <f>AQ340</f>
        <v/>
      </c>
      <c r="AS340" s="254">
        <f>AR340</f>
        <v/>
      </c>
      <c r="AT340" s="254">
        <f>AS340</f>
        <v/>
      </c>
      <c r="AU340" s="19" t="n"/>
    </row>
    <row r="341" ht="15" customHeight="1" s="251">
      <c r="B341" s="16" t="inlineStr">
        <is>
          <t>Total current assets</t>
        </is>
      </c>
      <c r="C341" s="261">
        <f>IF(ISNUMBER(C337),SUM(C337:C340),"")</f>
        <v/>
      </c>
      <c r="D341" s="261">
        <f>IF(ISNUMBER(D337),SUM(D337:D340),"")</f>
        <v/>
      </c>
      <c r="E341" s="261">
        <f>IF(ISNUMBER(E337),SUM(E337:E340),"")</f>
        <v/>
      </c>
      <c r="F341" s="261">
        <f>IF(ISNUMBER(F337),SUM(F337:F340),"")</f>
        <v/>
      </c>
      <c r="G341" s="261">
        <f>IF(ISNUMBER(G337),SUM(G337:G340),"")</f>
        <v/>
      </c>
      <c r="H341" s="261">
        <f>IF(ISNUMBER(H337),SUM(H337:H340),"")</f>
        <v/>
      </c>
      <c r="I341" s="261">
        <f>IF(ISNUMBER(I337),SUM(I337:I340),"")</f>
        <v/>
      </c>
      <c r="J341" s="261">
        <f>IF(ISNUMBER(J337),SUM(J337:J340),"")</f>
        <v/>
      </c>
      <c r="K341" s="261">
        <f>IF(ISNUMBER(K337),SUM(K337:K340),"")</f>
        <v/>
      </c>
      <c r="L341" s="261">
        <f>IF(ISNUMBER(L337),SUM(L337:L340),"")</f>
        <v/>
      </c>
      <c r="M341" s="261">
        <f>IF(ISNUMBER(M337),SUM(M337:M340),"")</f>
        <v/>
      </c>
      <c r="N341" s="261">
        <f>IF(ISNUMBER(N337),SUM(N337:N340),"")</f>
        <v/>
      </c>
      <c r="O341" s="261">
        <f>IF(ISNUMBER(O337),SUM(O337:O340),"")</f>
        <v/>
      </c>
      <c r="P341" s="261">
        <f>IF(ISNUMBER(P337),SUM(P337:P340),"")</f>
        <v/>
      </c>
      <c r="Q341" s="261">
        <f>IF(ISNUMBER(Q337),SUM(Q337:Q340),"")</f>
        <v/>
      </c>
      <c r="R341" s="261">
        <f>IF(ISNUMBER(R337),SUM(R337:R340),"")</f>
        <v/>
      </c>
      <c r="S341" s="261">
        <f>IF(ISNUMBER(S337),SUM(S337:S340),"")</f>
        <v/>
      </c>
      <c r="T341" s="261">
        <f>IF(ISNUMBER(T337),SUM(T337:T340),"")</f>
        <v/>
      </c>
      <c r="U341" s="261">
        <f>IF(ISNUMBER(U337),SUM(U337:U340),"")</f>
        <v/>
      </c>
      <c r="V341" s="261">
        <f>IF(ISNUMBER(V337),SUM(V337:V340),"")</f>
        <v/>
      </c>
      <c r="W341" s="261">
        <f>IF(ISNUMBER(W337),SUM(W337:W340),"")</f>
        <v/>
      </c>
      <c r="X341" s="261">
        <f>IF(ISNUMBER(X337),SUM(X337:X340),"")</f>
        <v/>
      </c>
      <c r="Y341" s="261">
        <f>IF(ISNUMBER(Y337),SUM(Y337:Y340),"")</f>
        <v/>
      </c>
      <c r="Z341" s="261">
        <f>IF(ISNUMBER(Z337),SUM(Z337:Z340),"")</f>
        <v/>
      </c>
      <c r="AA341" s="261">
        <f>IF(ISNUMBER(AA337),SUM(AA337:AA340),"")</f>
        <v/>
      </c>
      <c r="AB341" s="261">
        <f>IF(ISNUMBER(AB337),SUM(AB337:AB340),"")</f>
        <v/>
      </c>
      <c r="AC341" s="261">
        <f>IF(ISNUMBER(AC337),SUM(AC337:AC340),"")</f>
        <v/>
      </c>
      <c r="AD341" s="261">
        <f>IF(ISNUMBER(AD337),SUM(AD337:AD340),"")</f>
        <v/>
      </c>
      <c r="AE341" s="261">
        <f>IF(ISNUMBER(AE337),SUM(AE337:AE340),"")</f>
        <v/>
      </c>
      <c r="AF341" s="261">
        <f>IF(ISNUMBER(AF337),SUM(AF337:AF340),"")</f>
        <v/>
      </c>
      <c r="AG341" s="261">
        <f>IF(ISNUMBER(AG337),SUM(AG337:AG340),"")</f>
        <v/>
      </c>
      <c r="AH341" s="261">
        <f>IF(ISNUMBER(AH337),SUM(AH337:AH340),"")</f>
        <v/>
      </c>
      <c r="AI341" s="261">
        <f>IF(ISNUMBER(AI337),SUM(AI337:AI340),"")</f>
        <v/>
      </c>
      <c r="AJ341" s="261">
        <f>IF(ISNUMBER(AJ337),SUM(AJ337:AJ340),"")</f>
        <v/>
      </c>
      <c r="AK341" s="261">
        <f>IF(ISNUMBER(AK337),SUM(AK337:AK340),"")</f>
        <v/>
      </c>
      <c r="AL341" s="261">
        <f>IF(ISNUMBER(AL337),SUM(AL337:AL340),"")</f>
        <v/>
      </c>
      <c r="AM341" s="32" t="n"/>
      <c r="AN341" s="32" t="n"/>
      <c r="AO341" s="32" t="n"/>
      <c r="AP341" s="262">
        <f>IF(ISNUMBER(AP337),SUM(AP337:AP340),"")</f>
        <v/>
      </c>
      <c r="AQ341" s="262">
        <f>IF(ISNUMBER(AQ337),SUM(AQ337:AQ340),"")</f>
        <v/>
      </c>
      <c r="AR341" s="262">
        <f>IF(ISNUMBER(AR337),SUM(AR337:AR340),"")</f>
        <v/>
      </c>
      <c r="AS341" s="262">
        <f>IF(ISNUMBER(AS337),SUM(AS337:AS340),"")</f>
        <v/>
      </c>
      <c r="AT341" s="262">
        <f>IF(ISNUMBER(AT337),SUM(AT337:AT340),"")</f>
        <v/>
      </c>
      <c r="AU341" s="153" t="n"/>
    </row>
    <row r="342" ht="15" customHeight="1" s="251">
      <c r="B342" s="25" t="inlineStr">
        <is>
          <t xml:space="preserve">  Property, plant &amp; equipment, net</t>
        </is>
      </c>
      <c r="C342" s="253" t="n">
        <v>386.409</v>
      </c>
      <c r="D342" s="253" t="n">
        <v>431.952</v>
      </c>
      <c r="E342" s="253" t="n">
        <v>454.41</v>
      </c>
      <c r="F342" s="253" t="n">
        <v>493.053</v>
      </c>
      <c r="G342" s="253" t="n">
        <v>1064.319</v>
      </c>
      <c r="H342" s="253" t="n">
        <v>915.908</v>
      </c>
      <c r="I342" s="253" t="n">
        <v>1010.524</v>
      </c>
      <c r="J342" s="253" t="n">
        <v>1031.582</v>
      </c>
      <c r="K342" s="253" t="n">
        <v>1111.855</v>
      </c>
      <c r="L342" s="253" t="n">
        <v>1235.4</v>
      </c>
      <c r="M342" s="253" t="n">
        <v>1499.448</v>
      </c>
      <c r="N342" s="253" t="n">
        <v>1511.255</v>
      </c>
      <c r="O342" s="253" t="n">
        <v>1521.587</v>
      </c>
      <c r="P342" s="253" t="n">
        <v>1552.576</v>
      </c>
      <c r="Q342" s="253" t="n">
        <v>1552.576</v>
      </c>
      <c r="R342" s="253" t="n">
        <v>1573.337</v>
      </c>
      <c r="S342" s="253" t="n">
        <v>1572.398</v>
      </c>
      <c r="T342" s="253" t="n">
        <v>1671.157</v>
      </c>
      <c r="U342" s="253" t="n">
        <v>1705.512</v>
      </c>
      <c r="V342" s="253" t="n">
        <v>1705.512</v>
      </c>
      <c r="W342" s="253" t="n">
        <v>1726.091</v>
      </c>
      <c r="X342" s="253" t="n">
        <v>1743.858</v>
      </c>
      <c r="Y342" s="253" t="n">
        <v>1844.484</v>
      </c>
      <c r="Z342" s="253" t="n">
        <v>1765.18</v>
      </c>
      <c r="AA342" s="253" t="n">
        <v>1765.18</v>
      </c>
      <c r="AB342" s="253" t="n">
        <v>1834.216</v>
      </c>
      <c r="AC342" s="253" t="n">
        <v>1929.666</v>
      </c>
      <c r="AD342" s="253" t="n">
        <v>1921.733</v>
      </c>
      <c r="AE342" s="253" t="n">
        <v>1956.544</v>
      </c>
      <c r="AF342" s="253" t="n">
        <v>1956.544</v>
      </c>
      <c r="AG342" s="253" t="n">
        <v>2054.8</v>
      </c>
      <c r="AH342" s="253" t="n">
        <v>2091.5</v>
      </c>
      <c r="AI342" s="253" t="n">
        <v>2133.2</v>
      </c>
      <c r="AJ342" s="253" t="n">
        <v>2161.2</v>
      </c>
      <c r="AK342" s="253" t="n">
        <v>2161.2</v>
      </c>
      <c r="AL342" s="253" t="n">
        <v>2171.7</v>
      </c>
      <c r="AM342" s="35" t="n"/>
      <c r="AN342" s="35" t="n"/>
      <c r="AO342" s="35" t="n"/>
      <c r="AP342" s="254">
        <f>AL342-(AP294-AL294)-((AM145+AN145+AO145))</f>
        <v/>
      </c>
      <c r="AQ342" s="254">
        <f>AP342-AQ294-AQ145+AQ102*AQ110</f>
        <v/>
      </c>
      <c r="AR342" s="254">
        <f>AQ342-AR294-AR145+AR102*AR110</f>
        <v/>
      </c>
      <c r="AS342" s="254">
        <f>AR342-AS294-AS145+AS102*AS110</f>
        <v/>
      </c>
      <c r="AT342" s="254">
        <f>AS342-AT294-AT145+AT102*AT110</f>
        <v/>
      </c>
      <c r="AU342" s="19" t="inlineStr">
        <is>
          <t>Roll-forward: prior − capex (negative cash flow) − depreciation &amp; other amortization + acquired PP&amp;E.</t>
        </is>
      </c>
    </row>
    <row r="343" ht="15" customHeight="1" s="251">
      <c r="B343" s="25" t="inlineStr">
        <is>
          <t xml:space="preserve">  Lease right-of-use assets, net</t>
        </is>
      </c>
      <c r="C343" s="253" t="n">
        <v>0</v>
      </c>
      <c r="D343" s="253" t="n">
        <v>0</v>
      </c>
      <c r="E343" s="253" t="n">
        <v>0</v>
      </c>
      <c r="F343" s="253" t="n">
        <v>0</v>
      </c>
      <c r="G343" s="253" t="n">
        <v>0</v>
      </c>
      <c r="H343" s="253" t="n">
        <v>0</v>
      </c>
      <c r="I343" s="253" t="n">
        <v>0</v>
      </c>
      <c r="J343" s="253" t="n">
        <v>0</v>
      </c>
      <c r="K343" s="253" t="n">
        <v>131.837</v>
      </c>
      <c r="L343" s="253" t="n">
        <v>150.142</v>
      </c>
      <c r="M343" s="253" t="n">
        <v>207.341</v>
      </c>
      <c r="N343" s="253" t="n">
        <v>199.332</v>
      </c>
      <c r="O343" s="253" t="n">
        <v>194.026</v>
      </c>
      <c r="P343" s="253" t="n">
        <v>188.48</v>
      </c>
      <c r="Q343" s="253" t="n">
        <v>188.48</v>
      </c>
      <c r="R343" s="253" t="n">
        <v>182.357</v>
      </c>
      <c r="S343" s="253" t="n">
        <v>174.073</v>
      </c>
      <c r="T343" s="253" t="n">
        <v>187.32</v>
      </c>
      <c r="U343" s="253" t="n">
        <v>191.741</v>
      </c>
      <c r="V343" s="253" t="n">
        <v>191.741</v>
      </c>
      <c r="W343" s="253" t="n">
        <v>195.292</v>
      </c>
      <c r="X343" s="253" t="n">
        <v>192.219</v>
      </c>
      <c r="Y343" s="253" t="n">
        <v>195.413</v>
      </c>
      <c r="Z343" s="253" t="n">
        <v>173.201</v>
      </c>
      <c r="AA343" s="253" t="n">
        <v>173.201</v>
      </c>
      <c r="AB343" s="253" t="n">
        <v>165.02</v>
      </c>
      <c r="AC343" s="253" t="n">
        <v>159.237</v>
      </c>
      <c r="AD343" s="253" t="n">
        <v>153.879</v>
      </c>
      <c r="AE343" s="253" t="n">
        <v>156.388</v>
      </c>
      <c r="AF343" s="253" t="n">
        <v>156.388</v>
      </c>
      <c r="AG343" s="253" t="n">
        <v>163.5</v>
      </c>
      <c r="AH343" s="253" t="n">
        <v>160.6</v>
      </c>
      <c r="AI343" s="253" t="n">
        <v>154.9</v>
      </c>
      <c r="AJ343" s="253" t="n">
        <v>155.2</v>
      </c>
      <c r="AK343" s="253" t="n">
        <v>155.2</v>
      </c>
      <c r="AL343" s="253" t="n">
        <v>150.8</v>
      </c>
      <c r="AM343" s="35" t="n"/>
      <c r="AN343" s="35" t="n"/>
      <c r="AO343" s="35" t="n"/>
      <c r="AP343" s="254">
        <f>AL343</f>
        <v/>
      </c>
      <c r="AQ343" s="254">
        <f>AP343</f>
        <v/>
      </c>
      <c r="AR343" s="254">
        <f>AQ343</f>
        <v/>
      </c>
      <c r="AS343" s="254">
        <f>AR343</f>
        <v/>
      </c>
      <c r="AT343" s="254">
        <f>AS343</f>
        <v/>
      </c>
      <c r="AU343" s="19" t="n"/>
    </row>
    <row r="344" ht="15" customHeight="1" s="251">
      <c r="B344" s="25" t="inlineStr">
        <is>
          <t xml:space="preserve">  Goodwill</t>
        </is>
      </c>
      <c r="C344" s="253" t="n">
        <v>305.849</v>
      </c>
      <c r="D344" s="253" t="n">
        <v>489.466</v>
      </c>
      <c r="E344" s="253" t="n">
        <v>517.011</v>
      </c>
      <c r="F344" s="253" t="n">
        <v>592.641</v>
      </c>
      <c r="G344" s="253" t="n">
        <v>2156.603</v>
      </c>
      <c r="H344" s="253" t="n">
        <v>2231.303</v>
      </c>
      <c r="I344" s="253" t="n">
        <v>2433.784</v>
      </c>
      <c r="J344" s="253" t="n">
        <v>2322.928</v>
      </c>
      <c r="K344" s="253" t="n">
        <v>2356.085</v>
      </c>
      <c r="L344" s="253" t="n">
        <v>3026.049</v>
      </c>
      <c r="M344" s="253" t="n">
        <v>5286.594</v>
      </c>
      <c r="N344" s="253" t="n">
        <v>5132.697</v>
      </c>
      <c r="O344" s="253" t="n">
        <v>5115.323</v>
      </c>
      <c r="P344" s="253" t="n">
        <v>4404.343</v>
      </c>
      <c r="Q344" s="253" t="n">
        <v>4404.343</v>
      </c>
      <c r="R344" s="253" t="n">
        <v>4321.176</v>
      </c>
      <c r="S344" s="253" t="n">
        <v>3705.14</v>
      </c>
      <c r="T344" s="253" t="n">
        <v>3853.009</v>
      </c>
      <c r="U344" s="253" t="n">
        <v>3879.219</v>
      </c>
      <c r="V344" s="253" t="n">
        <v>3879.219</v>
      </c>
      <c r="W344" s="253" t="n">
        <v>3886.599</v>
      </c>
      <c r="X344" s="253" t="n">
        <v>4040.245</v>
      </c>
      <c r="Y344" s="253" t="n">
        <v>4111.683</v>
      </c>
      <c r="Z344" s="253" t="n">
        <v>4070.712</v>
      </c>
      <c r="AA344" s="253" t="n">
        <v>4070.712</v>
      </c>
      <c r="AB344" s="253" t="n">
        <v>4056.754</v>
      </c>
      <c r="AC344" s="253" t="n">
        <v>4151.437</v>
      </c>
      <c r="AD344" s="253" t="n">
        <v>4044.198</v>
      </c>
      <c r="AE344" s="253" t="n">
        <v>4095.678</v>
      </c>
      <c r="AF344" s="253" t="n">
        <v>4095.678</v>
      </c>
      <c r="AG344" s="253" t="n">
        <v>4223.1</v>
      </c>
      <c r="AH344" s="253" t="n">
        <v>4215.3</v>
      </c>
      <c r="AI344" s="253" t="n">
        <v>4232</v>
      </c>
      <c r="AJ344" s="253" t="n">
        <v>4194.8</v>
      </c>
      <c r="AK344" s="253" t="n">
        <v>4194.8</v>
      </c>
      <c r="AL344" s="253" t="n">
        <v>4189.2</v>
      </c>
      <c r="AM344" s="35" t="n"/>
      <c r="AN344" s="35" t="n"/>
      <c r="AO344" s="35" t="n"/>
      <c r="AP344" s="254">
        <f>AL344</f>
        <v/>
      </c>
      <c r="AQ344" s="254">
        <f>AP344+AQ102*(1-AQ110-AQ111)</f>
        <v/>
      </c>
      <c r="AR344" s="254">
        <f>AQ344+AR102*(1-AR110-AR111)</f>
        <v/>
      </c>
      <c r="AS344" s="254">
        <f>AR344+AS102*(1-AS110-AS111)</f>
        <v/>
      </c>
      <c r="AT344" s="254">
        <f>AS344+AT102*(1-AT110-AT111)</f>
        <v/>
      </c>
      <c r="AU344" s="19" t="n"/>
    </row>
    <row r="345" ht="15" customHeight="1" s="251">
      <c r="B345" s="25" t="inlineStr">
        <is>
          <t xml:space="preserve">  Intangibles, net</t>
        </is>
      </c>
      <c r="C345" s="253" t="n">
        <v>31.935</v>
      </c>
      <c r="D345" s="253" t="n">
        <v>214.958</v>
      </c>
      <c r="E345" s="253" t="n">
        <v>230.704</v>
      </c>
      <c r="F345" s="253" t="n">
        <v>268.004</v>
      </c>
      <c r="G345" s="253" t="n">
        <v>1123.339</v>
      </c>
      <c r="H345" s="253" t="n">
        <v>724.8869999999999</v>
      </c>
      <c r="I345" s="253" t="n">
        <v>726.98</v>
      </c>
      <c r="J345" s="253" t="n">
        <v>604.614</v>
      </c>
      <c r="K345" s="253" t="n">
        <v>565.473</v>
      </c>
      <c r="L345" s="253" t="n">
        <v>898.4059999999999</v>
      </c>
      <c r="M345" s="253" t="n">
        <v>3048.319</v>
      </c>
      <c r="N345" s="253" t="n">
        <v>2954.417</v>
      </c>
      <c r="O345" s="253" t="n">
        <v>2876.041</v>
      </c>
      <c r="P345" s="253" t="n">
        <v>3357.542</v>
      </c>
      <c r="Q345" s="253" t="n">
        <v>3357.542</v>
      </c>
      <c r="R345" s="253" t="n">
        <v>3193.032</v>
      </c>
      <c r="S345" s="253" t="n">
        <v>3077.492</v>
      </c>
      <c r="T345" s="253" t="n">
        <v>3031.456</v>
      </c>
      <c r="U345" s="253" t="n">
        <v>2955.78</v>
      </c>
      <c r="V345" s="253" t="n">
        <v>2955.78</v>
      </c>
      <c r="W345" s="253" t="n">
        <v>2865.107</v>
      </c>
      <c r="X345" s="253" t="n">
        <v>3057.711</v>
      </c>
      <c r="Y345" s="253" t="n">
        <v>2987.287</v>
      </c>
      <c r="Z345" s="253" t="n">
        <v>2119.282</v>
      </c>
      <c r="AA345" s="253" t="n">
        <v>2119.282</v>
      </c>
      <c r="AB345" s="253" t="n">
        <v>2048.99</v>
      </c>
      <c r="AC345" s="253" t="n">
        <v>2003.669</v>
      </c>
      <c r="AD345" s="253" t="n">
        <v>1923.02</v>
      </c>
      <c r="AE345" s="253" t="n">
        <v>1854.39</v>
      </c>
      <c r="AF345" s="253" t="n">
        <v>1854.39</v>
      </c>
      <c r="AG345" s="253" t="n">
        <v>1817.2</v>
      </c>
      <c r="AH345" s="253" t="n">
        <v>1749</v>
      </c>
      <c r="AI345" s="253" t="n">
        <v>1691.5</v>
      </c>
      <c r="AJ345" s="253" t="n">
        <v>1620</v>
      </c>
      <c r="AK345" s="253" t="n">
        <v>1620</v>
      </c>
      <c r="AL345" s="253" t="n">
        <v>1563.5</v>
      </c>
      <c r="AM345" s="35" t="n"/>
      <c r="AN345" s="35" t="n"/>
      <c r="AO345" s="35" t="n"/>
      <c r="AP345" s="254">
        <f>AL345-((AM143+AN143+AO143))</f>
        <v/>
      </c>
      <c r="AQ345" s="254">
        <f>AP345-AQ143+AQ102*AQ111</f>
        <v/>
      </c>
      <c r="AR345" s="254">
        <f>AQ345-AR143+AR102*AR111</f>
        <v/>
      </c>
      <c r="AS345" s="254">
        <f>AR345-AS143+AS102*AS111</f>
        <v/>
      </c>
      <c r="AT345" s="254">
        <f>AS345-AT143+AT102*AT111</f>
        <v/>
      </c>
      <c r="AU345" s="19" t="inlineStr">
        <is>
          <t>Roll-forward: prior − acquired-intangible amortization + acquired intangibles (M&amp;A lever). FY2012–15: goodwill &amp; intangibles combined in the release, split with the 10-K goodwill.</t>
        </is>
      </c>
    </row>
    <row r="346" ht="15" customHeight="1" s="251">
      <c r="B346" s="25" t="inlineStr">
        <is>
          <t xml:space="preserve">  Other assets</t>
        </is>
      </c>
      <c r="C346" s="253" t="n">
        <v>29.62</v>
      </c>
      <c r="D346" s="253" t="n">
        <v>10.793</v>
      </c>
      <c r="E346" s="253" t="n">
        <v>10.292</v>
      </c>
      <c r="F346" s="253" t="n">
        <v>25.336</v>
      </c>
      <c r="G346" s="253" t="n">
        <v>29.63</v>
      </c>
      <c r="H346" s="253" t="n">
        <v>34.555</v>
      </c>
      <c r="I346" s="253" t="n">
        <v>39.389</v>
      </c>
      <c r="J346" s="253" t="n">
        <v>60.212</v>
      </c>
      <c r="K346" s="253" t="n">
        <v>51.581</v>
      </c>
      <c r="L346" s="253" t="n">
        <v>52.72</v>
      </c>
      <c r="M346" s="253" t="n">
        <v>51.445</v>
      </c>
      <c r="N346" s="253" t="n">
        <v>50.12</v>
      </c>
      <c r="O346" s="253" t="n">
        <v>55.895</v>
      </c>
      <c r="P346" s="253" t="n">
        <v>70.661</v>
      </c>
      <c r="Q346" s="253" t="n">
        <v>70.661</v>
      </c>
      <c r="R346" s="253" t="n">
        <v>70.157</v>
      </c>
      <c r="S346" s="253" t="n">
        <v>72.23399999999999</v>
      </c>
      <c r="T346" s="253" t="n">
        <v>80.35599999999999</v>
      </c>
      <c r="U346" s="253" t="n">
        <v>78.145</v>
      </c>
      <c r="V346" s="253" t="n">
        <v>78.145</v>
      </c>
      <c r="W346" s="253" t="n">
        <v>80.036</v>
      </c>
      <c r="X346" s="253" t="n">
        <v>72.628</v>
      </c>
      <c r="Y346" s="253" t="n">
        <v>77.33499999999999</v>
      </c>
      <c r="Z346" s="253" t="n">
        <v>67.923</v>
      </c>
      <c r="AA346" s="253" t="n">
        <v>67.923</v>
      </c>
      <c r="AB346" s="253" t="n">
        <v>63.127</v>
      </c>
      <c r="AC346" s="253" t="n">
        <v>60.267</v>
      </c>
      <c r="AD346" s="253" t="n">
        <v>67.679</v>
      </c>
      <c r="AE346" s="253" t="n">
        <v>83.04600000000001</v>
      </c>
      <c r="AF346" s="253" t="n">
        <v>83.04600000000001</v>
      </c>
      <c r="AG346" s="253" t="n">
        <v>88.59999999999999</v>
      </c>
      <c r="AH346" s="253" t="n">
        <v>88</v>
      </c>
      <c r="AI346" s="253" t="n">
        <v>93.59999999999999</v>
      </c>
      <c r="AJ346" s="253" t="n">
        <v>211.4</v>
      </c>
      <c r="AK346" s="253" t="n">
        <v>211.4</v>
      </c>
      <c r="AL346" s="253" t="n">
        <v>215.1</v>
      </c>
      <c r="AM346" s="35" t="n"/>
      <c r="AN346" s="35" t="n"/>
      <c r="AO346" s="35" t="n"/>
      <c r="AP346" s="254">
        <f>AL346</f>
        <v/>
      </c>
      <c r="AQ346" s="254">
        <f>AP346</f>
        <v/>
      </c>
      <c r="AR346" s="254">
        <f>AQ346</f>
        <v/>
      </c>
      <c r="AS346" s="254">
        <f>AR346</f>
        <v/>
      </c>
      <c r="AT346" s="254">
        <f>AS346</f>
        <v/>
      </c>
      <c r="AU346" s="19" t="n"/>
    </row>
    <row r="347" ht="15" customHeight="1" s="251">
      <c r="B347" s="55" t="inlineStr">
        <is>
          <t>TOTAL ASSETS</t>
        </is>
      </c>
      <c r="C347" s="274">
        <f>IF(ISNUMBER(C337),C341+SUM(C342:C346),"")</f>
        <v/>
      </c>
      <c r="D347" s="274">
        <f>IF(ISNUMBER(D337),D341+SUM(D342:D346),"")</f>
        <v/>
      </c>
      <c r="E347" s="274">
        <f>IF(ISNUMBER(E337),E341+SUM(E342:E346),"")</f>
        <v/>
      </c>
      <c r="F347" s="274">
        <f>IF(ISNUMBER(F337),F341+SUM(F342:F346),"")</f>
        <v/>
      </c>
      <c r="G347" s="274">
        <f>IF(ISNUMBER(G337),G341+SUM(G342:G346),"")</f>
        <v/>
      </c>
      <c r="H347" s="274">
        <f>IF(ISNUMBER(H337),H341+SUM(H342:H346),"")</f>
        <v/>
      </c>
      <c r="I347" s="274">
        <f>IF(ISNUMBER(I337),I341+SUM(I342:I346),"")</f>
        <v/>
      </c>
      <c r="J347" s="274">
        <f>IF(ISNUMBER(J337),J341+SUM(J342:J346),"")</f>
        <v/>
      </c>
      <c r="K347" s="274">
        <f>IF(ISNUMBER(K337),K341+SUM(K342:K346),"")</f>
        <v/>
      </c>
      <c r="L347" s="274">
        <f>IF(ISNUMBER(L337),L341+SUM(L342:L346),"")</f>
        <v/>
      </c>
      <c r="M347" s="274">
        <f>IF(ISNUMBER(M337),M341+SUM(M342:M346),"")</f>
        <v/>
      </c>
      <c r="N347" s="274">
        <f>IF(ISNUMBER(N337),N341+SUM(N342:N346),"")</f>
        <v/>
      </c>
      <c r="O347" s="274">
        <f>IF(ISNUMBER(O337),O341+SUM(O342:O346),"")</f>
        <v/>
      </c>
      <c r="P347" s="274">
        <f>IF(ISNUMBER(P337),P341+SUM(P342:P346),"")</f>
        <v/>
      </c>
      <c r="Q347" s="274">
        <f>IF(ISNUMBER(Q337),Q341+SUM(Q342:Q346),"")</f>
        <v/>
      </c>
      <c r="R347" s="274">
        <f>IF(ISNUMBER(R337),R341+SUM(R342:R346),"")</f>
        <v/>
      </c>
      <c r="S347" s="274">
        <f>IF(ISNUMBER(S337),S341+SUM(S342:S346),"")</f>
        <v/>
      </c>
      <c r="T347" s="274">
        <f>IF(ISNUMBER(T337),T341+SUM(T342:T346),"")</f>
        <v/>
      </c>
      <c r="U347" s="274">
        <f>IF(ISNUMBER(U337),U341+SUM(U342:U346),"")</f>
        <v/>
      </c>
      <c r="V347" s="274">
        <f>IF(ISNUMBER(V337),V341+SUM(V342:V346),"")</f>
        <v/>
      </c>
      <c r="W347" s="274">
        <f>IF(ISNUMBER(W337),W341+SUM(W342:W346),"")</f>
        <v/>
      </c>
      <c r="X347" s="274">
        <f>IF(ISNUMBER(X337),X341+SUM(X342:X346),"")</f>
        <v/>
      </c>
      <c r="Y347" s="274">
        <f>IF(ISNUMBER(Y337),Y341+SUM(Y342:Y346),"")</f>
        <v/>
      </c>
      <c r="Z347" s="274">
        <f>IF(ISNUMBER(Z337),Z341+SUM(Z342:Z346),"")</f>
        <v/>
      </c>
      <c r="AA347" s="274">
        <f>IF(ISNUMBER(AA337),AA341+SUM(AA342:AA346),"")</f>
        <v/>
      </c>
      <c r="AB347" s="274">
        <f>IF(ISNUMBER(AB337),AB341+SUM(AB342:AB346),"")</f>
        <v/>
      </c>
      <c r="AC347" s="274">
        <f>IF(ISNUMBER(AC337),AC341+SUM(AC342:AC346),"")</f>
        <v/>
      </c>
      <c r="AD347" s="274">
        <f>IF(ISNUMBER(AD337),AD341+SUM(AD342:AD346),"")</f>
        <v/>
      </c>
      <c r="AE347" s="274">
        <f>IF(ISNUMBER(AE337),AE341+SUM(AE342:AE346),"")</f>
        <v/>
      </c>
      <c r="AF347" s="274">
        <f>IF(ISNUMBER(AF337),AF341+SUM(AF342:AF346),"")</f>
        <v/>
      </c>
      <c r="AG347" s="274">
        <f>IF(ISNUMBER(AG337),AG341+SUM(AG342:AG346),"")</f>
        <v/>
      </c>
      <c r="AH347" s="274">
        <f>IF(ISNUMBER(AH337),AH341+SUM(AH342:AH346),"")</f>
        <v/>
      </c>
      <c r="AI347" s="274">
        <f>IF(ISNUMBER(AI337),AI341+SUM(AI342:AI346),"")</f>
        <v/>
      </c>
      <c r="AJ347" s="274">
        <f>IF(ISNUMBER(AJ337),AJ341+SUM(AJ342:AJ346),"")</f>
        <v/>
      </c>
      <c r="AK347" s="274">
        <f>IF(ISNUMBER(AK337),AK341+SUM(AK342:AK346),"")</f>
        <v/>
      </c>
      <c r="AL347" s="274">
        <f>IF(ISNUMBER(AL337),AL341+SUM(AL342:AL346),"")</f>
        <v/>
      </c>
      <c r="AM347" s="56" t="n"/>
      <c r="AN347" s="56" t="n"/>
      <c r="AO347" s="56" t="n"/>
      <c r="AP347" s="274">
        <f>IF(ISNUMBER(AP337),AP341+SUM(AP342:AP346),"")</f>
        <v/>
      </c>
      <c r="AQ347" s="274">
        <f>IF(ISNUMBER(AQ337),AQ341+SUM(AQ342:AQ346),"")</f>
        <v/>
      </c>
      <c r="AR347" s="274">
        <f>IF(ISNUMBER(AR337),AR341+SUM(AR342:AR346),"")</f>
        <v/>
      </c>
      <c r="AS347" s="274">
        <f>IF(ISNUMBER(AS337),AS341+SUM(AS342:AS346),"")</f>
        <v/>
      </c>
      <c r="AT347" s="274">
        <f>IF(ISNUMBER(AT337),AT341+SUM(AT342:AT346),"")</f>
        <v/>
      </c>
      <c r="AU347" s="153" t="n"/>
      <c r="AW347" s="20">
        <f>IFERROR((AT347/AK347)^(1/5)-1,"n/m")</f>
        <v/>
      </c>
      <c r="AX347" s="20">
        <f>IFERROR((AK347/L347)^(1/5)-1,"n/m")</f>
        <v/>
      </c>
      <c r="AY347" s="20">
        <f>IFERROR((AK347/G347)^(1/10)-1,"n/m")</f>
        <v/>
      </c>
      <c r="AZ347" s="20">
        <f>IFERROR((AK347/C347)^(1/14)-1,"n/m")</f>
        <v/>
      </c>
    </row>
    <row r="348" ht="15" customHeight="1" s="251">
      <c r="B348" s="25" t="inlineStr">
        <is>
          <t>LIABILITIES AND EQUITY</t>
        </is>
      </c>
      <c r="AU348" s="153" t="n"/>
    </row>
    <row r="349" ht="15" customHeight="1" s="251">
      <c r="B349" s="25" t="inlineStr">
        <is>
          <t xml:space="preserve">  Accounts payable</t>
        </is>
      </c>
      <c r="C349" s="253" t="n">
        <v>83.188</v>
      </c>
      <c r="D349" s="253" t="n">
        <v>79.374</v>
      </c>
      <c r="E349" s="253" t="n">
        <v>102.43</v>
      </c>
      <c r="F349" s="253" t="n">
        <v>99.34</v>
      </c>
      <c r="G349" s="253" t="n">
        <v>139.572</v>
      </c>
      <c r="H349" s="253" t="n">
        <v>133.479</v>
      </c>
      <c r="I349" s="253" t="n">
        <v>135.866</v>
      </c>
      <c r="J349" s="253" t="n">
        <v>152.913</v>
      </c>
      <c r="K349" s="253" t="n">
        <v>149.341</v>
      </c>
      <c r="L349" s="253" t="n">
        <v>156.95</v>
      </c>
      <c r="M349" s="253" t="n">
        <v>232.186</v>
      </c>
      <c r="N349" s="253" t="n">
        <v>219.255</v>
      </c>
      <c r="O349" s="253" t="n">
        <v>207.152</v>
      </c>
      <c r="P349" s="253" t="n">
        <v>225.737</v>
      </c>
      <c r="Q349" s="253" t="n">
        <v>225.737</v>
      </c>
      <c r="R349" s="253" t="n">
        <v>228.987</v>
      </c>
      <c r="S349" s="253" t="n">
        <v>233.308</v>
      </c>
      <c r="T349" s="253" t="n">
        <v>242.491</v>
      </c>
      <c r="U349" s="253" t="n">
        <v>279.62</v>
      </c>
      <c r="V349" s="253" t="n">
        <v>279.62</v>
      </c>
      <c r="W349" s="253" t="n">
        <v>260.687</v>
      </c>
      <c r="X349" s="253" t="n">
        <v>293.628</v>
      </c>
      <c r="Y349" s="253" t="n">
        <v>276.73</v>
      </c>
      <c r="Z349" s="253" t="n">
        <v>251.723</v>
      </c>
      <c r="AA349" s="253" t="n">
        <v>251.723</v>
      </c>
      <c r="AB349" s="253" t="n">
        <v>231.72</v>
      </c>
      <c r="AC349" s="253" t="n">
        <v>235.07</v>
      </c>
      <c r="AD349" s="253" t="n">
        <v>238.298</v>
      </c>
      <c r="AE349" s="253" t="n">
        <v>280.77</v>
      </c>
      <c r="AF349" s="253" t="n">
        <v>280.77</v>
      </c>
      <c r="AG349" s="253" t="n">
        <v>300.9</v>
      </c>
      <c r="AH349" s="253" t="n">
        <v>308.9</v>
      </c>
      <c r="AI349" s="253" t="n">
        <v>285.1</v>
      </c>
      <c r="AJ349" s="253" t="n">
        <v>338.8</v>
      </c>
      <c r="AK349" s="253" t="n">
        <v>338.8</v>
      </c>
      <c r="AL349" s="253" t="n">
        <v>344.1</v>
      </c>
      <c r="AM349" s="35" t="n"/>
      <c r="AN349" s="35" t="n"/>
      <c r="AO349" s="35" t="n"/>
      <c r="AP349" s="254">
        <f>AP368*AP371/365</f>
        <v/>
      </c>
      <c r="AQ349" s="254">
        <f>AQ368*AQ371/365</f>
        <v/>
      </c>
      <c r="AR349" s="254">
        <f>AR368*AR371/365</f>
        <v/>
      </c>
      <c r="AS349" s="254">
        <f>AS368*AS371/365</f>
        <v/>
      </c>
      <c r="AT349" s="254">
        <f>AT368*AT371/365</f>
        <v/>
      </c>
      <c r="AU349" s="19" t="n"/>
    </row>
    <row r="350" ht="15" customHeight="1" s="251">
      <c r="B350" s="25" t="inlineStr">
        <is>
          <t xml:space="preserve">  Short-term indebtedness</t>
        </is>
      </c>
      <c r="C350" s="253" t="n">
        <v>0</v>
      </c>
      <c r="D350" s="253" t="n">
        <v>0</v>
      </c>
      <c r="E350" s="253" t="n">
        <v>0</v>
      </c>
      <c r="F350" s="253" t="n">
        <v>0</v>
      </c>
      <c r="G350" s="253" t="n">
        <v>0</v>
      </c>
      <c r="H350" s="253" t="n">
        <v>0</v>
      </c>
      <c r="I350" s="253" t="n">
        <v>0</v>
      </c>
      <c r="J350" s="253" t="n">
        <v>0</v>
      </c>
      <c r="K350" s="253" t="n">
        <v>0</v>
      </c>
      <c r="L350" s="253" t="n">
        <v>0</v>
      </c>
      <c r="M350" s="253" t="n">
        <v>0</v>
      </c>
      <c r="N350" s="253" t="n">
        <v>0</v>
      </c>
      <c r="O350" s="253" t="n">
        <v>0</v>
      </c>
      <c r="P350" s="253" t="n">
        <v>0</v>
      </c>
      <c r="Q350" s="253" t="n">
        <v>0</v>
      </c>
      <c r="R350" s="253" t="n">
        <v>0</v>
      </c>
      <c r="S350" s="253" t="n">
        <v>0</v>
      </c>
      <c r="T350" s="253" t="n">
        <v>0</v>
      </c>
      <c r="U350" s="253" t="n">
        <v>0</v>
      </c>
      <c r="V350" s="253" t="n">
        <v>0</v>
      </c>
      <c r="W350" s="253" t="n">
        <v>0</v>
      </c>
      <c r="X350" s="253" t="n">
        <v>0</v>
      </c>
      <c r="Y350" s="253" t="n">
        <v>0</v>
      </c>
      <c r="Z350" s="253" t="n">
        <v>0</v>
      </c>
      <c r="AA350" s="253" t="n">
        <v>0</v>
      </c>
      <c r="AB350" s="253" t="n">
        <v>0</v>
      </c>
      <c r="AC350" s="253" t="n">
        <v>0</v>
      </c>
      <c r="AD350" s="253" t="n">
        <v>125</v>
      </c>
      <c r="AE350" s="253" t="n">
        <v>125</v>
      </c>
      <c r="AF350" s="253" t="n">
        <v>125</v>
      </c>
      <c r="AG350" s="253" t="n">
        <v>0</v>
      </c>
      <c r="AH350" s="253" t="n">
        <v>0</v>
      </c>
      <c r="AI350" s="253" t="n">
        <v>0</v>
      </c>
      <c r="AJ350" s="253" t="n">
        <v>118.9</v>
      </c>
      <c r="AK350" s="253" t="n">
        <v>118.9</v>
      </c>
      <c r="AL350" s="253" t="n">
        <v>243.4</v>
      </c>
      <c r="AM350" s="35" t="n"/>
      <c r="AN350" s="35" t="n"/>
      <c r="AO350" s="35" t="n"/>
      <c r="AP350" s="254">
        <f>MIN(AP394,AP397)</f>
        <v/>
      </c>
      <c r="AQ350" s="254">
        <f>MIN(AQ394,AQ397)</f>
        <v/>
      </c>
      <c r="AR350" s="254">
        <f>MIN(AR394,AR397)</f>
        <v/>
      </c>
      <c r="AS350" s="254">
        <f>MIN(AS394,AS397)</f>
        <v/>
      </c>
      <c r="AT350" s="254">
        <f>MIN(AT394,AT397)</f>
        <v/>
      </c>
      <c r="AU350" s="19" t="inlineStr">
        <is>
          <t>Notes maturing in the next fiscal year (10-K maturity schedule).</t>
        </is>
      </c>
    </row>
    <row r="351" ht="15" customHeight="1" s="251">
      <c r="B351" s="25" t="inlineStr">
        <is>
          <t xml:space="preserve">  Other current liabilities (incl. Dental held for sale at 31-Mar-2024)</t>
        </is>
      </c>
      <c r="C351" s="253" t="n">
        <v>195.207</v>
      </c>
      <c r="D351" s="253" t="n">
        <v>139.463</v>
      </c>
      <c r="E351" s="253" t="n">
        <v>152.076</v>
      </c>
      <c r="F351" s="253" t="n">
        <v>183.991</v>
      </c>
      <c r="G351" s="253" t="n">
        <v>261.034</v>
      </c>
      <c r="H351" s="253" t="n">
        <v>248.104</v>
      </c>
      <c r="I351" s="253" t="n">
        <v>262.596</v>
      </c>
      <c r="J351" s="253" t="n">
        <v>312.283</v>
      </c>
      <c r="K351" s="253" t="n">
        <v>354.266</v>
      </c>
      <c r="L351" s="253" t="n">
        <v>420.97</v>
      </c>
      <c r="M351" s="253" t="n">
        <v>912.8390000000001</v>
      </c>
      <c r="N351" s="253" t="n">
        <v>566.446</v>
      </c>
      <c r="O351" s="253" t="n">
        <v>697.155</v>
      </c>
      <c r="P351" s="253" t="n">
        <v>696.485</v>
      </c>
      <c r="Q351" s="253" t="n">
        <v>696.485</v>
      </c>
      <c r="R351" s="253" t="n">
        <v>679.336</v>
      </c>
      <c r="S351" s="253" t="n">
        <v>639.5069999999999</v>
      </c>
      <c r="T351" s="253" t="n">
        <v>553.966</v>
      </c>
      <c r="U351" s="253" t="n">
        <v>582.224</v>
      </c>
      <c r="V351" s="253" t="n">
        <v>582.224</v>
      </c>
      <c r="W351" s="253" t="n">
        <v>626.224</v>
      </c>
      <c r="X351" s="253" t="n">
        <v>579.487</v>
      </c>
      <c r="Y351" s="253" t="n">
        <v>636.9640000000001</v>
      </c>
      <c r="Z351" s="253" t="n">
        <v>687.546</v>
      </c>
      <c r="AA351" s="253" t="n">
        <v>687.546</v>
      </c>
      <c r="AB351" s="253" t="n">
        <v>602.64</v>
      </c>
      <c r="AC351" s="253" t="n">
        <v>570.413</v>
      </c>
      <c r="AD351" s="253" t="n">
        <v>527.822</v>
      </c>
      <c r="AE351" s="253" t="n">
        <v>616.403</v>
      </c>
      <c r="AF351" s="253" t="n">
        <v>616.403</v>
      </c>
      <c r="AG351" s="253" t="n">
        <v>625.7</v>
      </c>
      <c r="AH351" s="253" t="n">
        <v>580</v>
      </c>
      <c r="AI351" s="253" t="n">
        <v>637.2</v>
      </c>
      <c r="AJ351" s="253" t="n">
        <v>687.3</v>
      </c>
      <c r="AK351" s="253" t="n">
        <v>687.3</v>
      </c>
      <c r="AL351" s="253" t="n">
        <v>695.8</v>
      </c>
      <c r="AM351" s="35" t="n"/>
      <c r="AN351" s="35" t="n"/>
      <c r="AO351" s="35" t="n"/>
      <c r="AP351" s="254">
        <f>AP367*AP372</f>
        <v/>
      </c>
      <c r="AQ351" s="254">
        <f>AQ367*AQ372</f>
        <v/>
      </c>
      <c r="AR351" s="254">
        <f>AR367*AR372</f>
        <v/>
      </c>
      <c r="AS351" s="254">
        <f>AS367*AS372</f>
        <v/>
      </c>
      <c r="AT351" s="254">
        <f>AT367*AT372</f>
        <v/>
      </c>
      <c r="AU351" s="19" t="n"/>
    </row>
    <row r="352" ht="15" customHeight="1" s="251">
      <c r="B352" s="16" t="inlineStr">
        <is>
          <t>Total current liabilities</t>
        </is>
      </c>
      <c r="C352" s="261">
        <f>IF(ISNUMBER(C349),SUM(C349:C351),"")</f>
        <v/>
      </c>
      <c r="D352" s="261">
        <f>IF(ISNUMBER(D349),SUM(D349:D351),"")</f>
        <v/>
      </c>
      <c r="E352" s="261">
        <f>IF(ISNUMBER(E349),SUM(E349:E351),"")</f>
        <v/>
      </c>
      <c r="F352" s="261">
        <f>IF(ISNUMBER(F349),SUM(F349:F351),"")</f>
        <v/>
      </c>
      <c r="G352" s="261">
        <f>IF(ISNUMBER(G349),SUM(G349:G351),"")</f>
        <v/>
      </c>
      <c r="H352" s="261">
        <f>IF(ISNUMBER(H349),SUM(H349:H351),"")</f>
        <v/>
      </c>
      <c r="I352" s="261">
        <f>IF(ISNUMBER(I349),SUM(I349:I351),"")</f>
        <v/>
      </c>
      <c r="J352" s="261">
        <f>IF(ISNUMBER(J349),SUM(J349:J351),"")</f>
        <v/>
      </c>
      <c r="K352" s="261">
        <f>IF(ISNUMBER(K349),SUM(K349:K351),"")</f>
        <v/>
      </c>
      <c r="L352" s="261">
        <f>IF(ISNUMBER(L349),SUM(L349:L351),"")</f>
        <v/>
      </c>
      <c r="M352" s="261">
        <f>IF(ISNUMBER(M349),SUM(M349:M351),"")</f>
        <v/>
      </c>
      <c r="N352" s="261">
        <f>IF(ISNUMBER(N349),SUM(N349:N351),"")</f>
        <v/>
      </c>
      <c r="O352" s="261">
        <f>IF(ISNUMBER(O349),SUM(O349:O351),"")</f>
        <v/>
      </c>
      <c r="P352" s="261">
        <f>IF(ISNUMBER(P349),SUM(P349:P351),"")</f>
        <v/>
      </c>
      <c r="Q352" s="261">
        <f>IF(ISNUMBER(Q349),SUM(Q349:Q351),"")</f>
        <v/>
      </c>
      <c r="R352" s="261">
        <f>IF(ISNUMBER(R349),SUM(R349:R351),"")</f>
        <v/>
      </c>
      <c r="S352" s="261">
        <f>IF(ISNUMBER(S349),SUM(S349:S351),"")</f>
        <v/>
      </c>
      <c r="T352" s="261">
        <f>IF(ISNUMBER(T349),SUM(T349:T351),"")</f>
        <v/>
      </c>
      <c r="U352" s="261">
        <f>IF(ISNUMBER(U349),SUM(U349:U351),"")</f>
        <v/>
      </c>
      <c r="V352" s="261">
        <f>IF(ISNUMBER(V349),SUM(V349:V351),"")</f>
        <v/>
      </c>
      <c r="W352" s="261">
        <f>IF(ISNUMBER(W349),SUM(W349:W351),"")</f>
        <v/>
      </c>
      <c r="X352" s="261">
        <f>IF(ISNUMBER(X349),SUM(X349:X351),"")</f>
        <v/>
      </c>
      <c r="Y352" s="261">
        <f>IF(ISNUMBER(Y349),SUM(Y349:Y351),"")</f>
        <v/>
      </c>
      <c r="Z352" s="261">
        <f>IF(ISNUMBER(Z349),SUM(Z349:Z351),"")</f>
        <v/>
      </c>
      <c r="AA352" s="261">
        <f>IF(ISNUMBER(AA349),SUM(AA349:AA351),"")</f>
        <v/>
      </c>
      <c r="AB352" s="261">
        <f>IF(ISNUMBER(AB349),SUM(AB349:AB351),"")</f>
        <v/>
      </c>
      <c r="AC352" s="261">
        <f>IF(ISNUMBER(AC349),SUM(AC349:AC351),"")</f>
        <v/>
      </c>
      <c r="AD352" s="261">
        <f>IF(ISNUMBER(AD349),SUM(AD349:AD351),"")</f>
        <v/>
      </c>
      <c r="AE352" s="261">
        <f>IF(ISNUMBER(AE349),SUM(AE349:AE351),"")</f>
        <v/>
      </c>
      <c r="AF352" s="261">
        <f>IF(ISNUMBER(AF349),SUM(AF349:AF351),"")</f>
        <v/>
      </c>
      <c r="AG352" s="261">
        <f>IF(ISNUMBER(AG349),SUM(AG349:AG351),"")</f>
        <v/>
      </c>
      <c r="AH352" s="261">
        <f>IF(ISNUMBER(AH349),SUM(AH349:AH351),"")</f>
        <v/>
      </c>
      <c r="AI352" s="261">
        <f>IF(ISNUMBER(AI349),SUM(AI349:AI351),"")</f>
        <v/>
      </c>
      <c r="AJ352" s="261">
        <f>IF(ISNUMBER(AJ349),SUM(AJ349:AJ351),"")</f>
        <v/>
      </c>
      <c r="AK352" s="261">
        <f>IF(ISNUMBER(AK349),SUM(AK349:AK351),"")</f>
        <v/>
      </c>
      <c r="AL352" s="261">
        <f>IF(ISNUMBER(AL349),SUM(AL349:AL351),"")</f>
        <v/>
      </c>
      <c r="AM352" s="32" t="n"/>
      <c r="AN352" s="32" t="n"/>
      <c r="AO352" s="32" t="n"/>
      <c r="AP352" s="262">
        <f>IF(ISNUMBER(AP349),SUM(AP349:AP351),"")</f>
        <v/>
      </c>
      <c r="AQ352" s="262">
        <f>IF(ISNUMBER(AQ349),SUM(AQ349:AQ351),"")</f>
        <v/>
      </c>
      <c r="AR352" s="262">
        <f>IF(ISNUMBER(AR349),SUM(AR349:AR351),"")</f>
        <v/>
      </c>
      <c r="AS352" s="262">
        <f>IF(ISNUMBER(AS349),SUM(AS349:AS351),"")</f>
        <v/>
      </c>
      <c r="AT352" s="262">
        <f>IF(ISNUMBER(AT349),SUM(AT349:AT351),"")</f>
        <v/>
      </c>
      <c r="AU352" s="153" t="n"/>
    </row>
    <row r="353" ht="15" customHeight="1" s="251">
      <c r="B353" s="25" t="inlineStr">
        <is>
          <t xml:space="preserve">  Long-term indebtedness</t>
        </is>
      </c>
      <c r="C353" s="253" t="n">
        <v>210</v>
      </c>
      <c r="D353" s="253" t="n">
        <v>492.29</v>
      </c>
      <c r="E353" s="253" t="n">
        <v>493.48</v>
      </c>
      <c r="F353" s="253" t="n">
        <v>623.25</v>
      </c>
      <c r="G353" s="253" t="n">
        <v>1567.796</v>
      </c>
      <c r="H353" s="253" t="n">
        <v>1478.361</v>
      </c>
      <c r="I353" s="253" t="n">
        <v>1316.001</v>
      </c>
      <c r="J353" s="253" t="n">
        <v>1183.227</v>
      </c>
      <c r="K353" s="253" t="n">
        <v>1150.521</v>
      </c>
      <c r="L353" s="253" t="n">
        <v>1650.54</v>
      </c>
      <c r="M353" s="253" t="n">
        <v>3256.714</v>
      </c>
      <c r="N353" s="253" t="n">
        <v>3421.506</v>
      </c>
      <c r="O353" s="253" t="n">
        <v>3175.316</v>
      </c>
      <c r="P353" s="253" t="n">
        <v>2945.481</v>
      </c>
      <c r="Q353" s="253" t="n">
        <v>2945.481</v>
      </c>
      <c r="R353" s="253" t="n">
        <v>2846.446</v>
      </c>
      <c r="S353" s="253" t="n">
        <v>2873.936</v>
      </c>
      <c r="T353" s="253" t="n">
        <v>3001.575</v>
      </c>
      <c r="U353" s="253" t="n">
        <v>3018.655</v>
      </c>
      <c r="V353" s="253" t="n">
        <v>3018.655</v>
      </c>
      <c r="W353" s="253" t="n">
        <v>2860.116</v>
      </c>
      <c r="X353" s="253" t="n">
        <v>3366.241</v>
      </c>
      <c r="Y353" s="253" t="n">
        <v>3231.075</v>
      </c>
      <c r="Z353" s="253" t="n">
        <v>3120.162</v>
      </c>
      <c r="AA353" s="253" t="n">
        <v>3120.162</v>
      </c>
      <c r="AB353" s="253" t="n">
        <v>2235.601</v>
      </c>
      <c r="AC353" s="253" t="n">
        <v>2156.158</v>
      </c>
      <c r="AD353" s="253" t="n">
        <v>2038.725</v>
      </c>
      <c r="AE353" s="253" t="n">
        <v>1918.701</v>
      </c>
      <c r="AF353" s="253" t="n">
        <v>1918.701</v>
      </c>
      <c r="AG353" s="253" t="n">
        <v>1903.1</v>
      </c>
      <c r="AH353" s="253" t="n">
        <v>1897.3</v>
      </c>
      <c r="AI353" s="253" t="n">
        <v>1898.4</v>
      </c>
      <c r="AJ353" s="253" t="n">
        <v>1812.8</v>
      </c>
      <c r="AK353" s="253" t="n">
        <v>1812.8</v>
      </c>
      <c r="AL353" s="253" t="n">
        <v>1650.2</v>
      </c>
      <c r="AM353" s="35" t="n"/>
      <c r="AN353" s="35" t="n"/>
      <c r="AO353" s="35" t="n"/>
      <c r="AP353" s="254">
        <f>AP394-AP350</f>
        <v/>
      </c>
      <c r="AQ353" s="254">
        <f>AQ394-AQ350</f>
        <v/>
      </c>
      <c r="AR353" s="254">
        <f>AR394-AR350</f>
        <v/>
      </c>
      <c r="AS353" s="254">
        <f>AS394-AS350</f>
        <v/>
      </c>
      <c r="AT353" s="254">
        <f>AT394-AT350</f>
        <v/>
      </c>
      <c r="AU353" s="19" t="n"/>
    </row>
    <row r="354" ht="15" customHeight="1" s="251">
      <c r="B354" s="25" t="inlineStr">
        <is>
          <t xml:space="preserve">  Other liabilities (deferred taxes, pensions, leases, other; derived)</t>
        </is>
      </c>
      <c r="C354" s="253" t="n">
        <v>94.637</v>
      </c>
      <c r="D354" s="253" t="n">
        <v>103.002</v>
      </c>
      <c r="E354" s="253" t="n">
        <v>97.93000000000001</v>
      </c>
      <c r="F354" s="253" t="n">
        <v>119.239</v>
      </c>
      <c r="G354" s="253" t="n">
        <v>339.122</v>
      </c>
      <c r="H354" s="253" t="n">
        <v>254.478</v>
      </c>
      <c r="I354" s="253" t="n">
        <v>268.571</v>
      </c>
      <c r="J354" s="253" t="n">
        <v>238.85</v>
      </c>
      <c r="K354" s="253" t="n">
        <v>364.73</v>
      </c>
      <c r="L354" s="253" t="n">
        <v>454.543</v>
      </c>
      <c r="M354" s="253" t="n">
        <v>1114.253</v>
      </c>
      <c r="N354" s="253" t="n">
        <v>1000.31</v>
      </c>
      <c r="O354" s="253" t="n">
        <v>986.674</v>
      </c>
      <c r="P354" s="253" t="n">
        <v>1040.259</v>
      </c>
      <c r="Q354" s="253" t="n">
        <v>1040.259</v>
      </c>
      <c r="R354" s="253" t="n">
        <v>1014.109</v>
      </c>
      <c r="S354" s="253" t="n">
        <v>929.438</v>
      </c>
      <c r="T354" s="253" t="n">
        <v>953.372</v>
      </c>
      <c r="U354" s="253" t="n">
        <v>854.168</v>
      </c>
      <c r="V354" s="253" t="n">
        <v>854.168</v>
      </c>
      <c r="W354" s="253" t="n">
        <v>858.981</v>
      </c>
      <c r="X354" s="253" t="n">
        <v>852.114</v>
      </c>
      <c r="Y354" s="253" t="n">
        <v>862.287</v>
      </c>
      <c r="Z354" s="253" t="n">
        <v>697.062</v>
      </c>
      <c r="AA354" s="253" t="n">
        <v>697.062</v>
      </c>
      <c r="AB354" s="253" t="n">
        <v>668.1950000000001</v>
      </c>
      <c r="AC354" s="253" t="n">
        <v>670.042</v>
      </c>
      <c r="AD354" s="253" t="n">
        <v>649.971</v>
      </c>
      <c r="AE354" s="253" t="n">
        <v>590.1799999999999</v>
      </c>
      <c r="AF354" s="253" t="n">
        <v>590.1799999999999</v>
      </c>
      <c r="AG354" s="253" t="n">
        <v>605.4</v>
      </c>
      <c r="AH354" s="253" t="n">
        <v>602</v>
      </c>
      <c r="AI354" s="253" t="n">
        <v>602.8</v>
      </c>
      <c r="AJ354" s="253" t="n">
        <v>582.2</v>
      </c>
      <c r="AK354" s="253" t="n">
        <v>582.2</v>
      </c>
      <c r="AL354" s="253" t="n">
        <v>581.3</v>
      </c>
      <c r="AM354" s="35" t="n"/>
      <c r="AN354" s="35" t="n"/>
      <c r="AO354" s="35" t="n"/>
      <c r="AP354" s="254">
        <f>AL354+(AP290-AL290)</f>
        <v/>
      </c>
      <c r="AQ354" s="254">
        <f>AP354+AQ290</f>
        <v/>
      </c>
      <c r="AR354" s="254">
        <f>AQ354+AR290</f>
        <v/>
      </c>
      <c r="AS354" s="254">
        <f>AR354+AS290</f>
        <v/>
      </c>
      <c r="AT354" s="254">
        <f>AS354+AT290</f>
        <v/>
      </c>
      <c r="AU354" s="19" t="n"/>
    </row>
    <row r="355" ht="15" customHeight="1" s="251">
      <c r="B355" s="16" t="inlineStr">
        <is>
          <t>Total liabilities</t>
        </is>
      </c>
      <c r="C355" s="261">
        <f>IF(ISNUMBER(C349),C352+SUM(C353:C354),"")</f>
        <v/>
      </c>
      <c r="D355" s="261">
        <f>IF(ISNUMBER(D349),D352+SUM(D353:D354),"")</f>
        <v/>
      </c>
      <c r="E355" s="261">
        <f>IF(ISNUMBER(E349),E352+SUM(E353:E354),"")</f>
        <v/>
      </c>
      <c r="F355" s="261">
        <f>IF(ISNUMBER(F349),F352+SUM(F353:F354),"")</f>
        <v/>
      </c>
      <c r="G355" s="261">
        <f>IF(ISNUMBER(G349),G352+SUM(G353:G354),"")</f>
        <v/>
      </c>
      <c r="H355" s="261">
        <f>IF(ISNUMBER(H349),H352+SUM(H353:H354),"")</f>
        <v/>
      </c>
      <c r="I355" s="261">
        <f>IF(ISNUMBER(I349),I352+SUM(I353:I354),"")</f>
        <v/>
      </c>
      <c r="J355" s="261">
        <f>IF(ISNUMBER(J349),J352+SUM(J353:J354),"")</f>
        <v/>
      </c>
      <c r="K355" s="261">
        <f>IF(ISNUMBER(K349),K352+SUM(K353:K354),"")</f>
        <v/>
      </c>
      <c r="L355" s="261">
        <f>IF(ISNUMBER(L349),L352+SUM(L353:L354),"")</f>
        <v/>
      </c>
      <c r="M355" s="261">
        <f>IF(ISNUMBER(M349),M352+SUM(M353:M354),"")</f>
        <v/>
      </c>
      <c r="N355" s="261">
        <f>IF(ISNUMBER(N349),N352+SUM(N353:N354),"")</f>
        <v/>
      </c>
      <c r="O355" s="261">
        <f>IF(ISNUMBER(O349),O352+SUM(O353:O354),"")</f>
        <v/>
      </c>
      <c r="P355" s="261">
        <f>IF(ISNUMBER(P349),P352+SUM(P353:P354),"")</f>
        <v/>
      </c>
      <c r="Q355" s="261">
        <f>IF(ISNUMBER(Q349),Q352+SUM(Q353:Q354),"")</f>
        <v/>
      </c>
      <c r="R355" s="261">
        <f>IF(ISNUMBER(R349),R352+SUM(R353:R354),"")</f>
        <v/>
      </c>
      <c r="S355" s="261">
        <f>IF(ISNUMBER(S349),S352+SUM(S353:S354),"")</f>
        <v/>
      </c>
      <c r="T355" s="261">
        <f>IF(ISNUMBER(T349),T352+SUM(T353:T354),"")</f>
        <v/>
      </c>
      <c r="U355" s="261">
        <f>IF(ISNUMBER(U349),U352+SUM(U353:U354),"")</f>
        <v/>
      </c>
      <c r="V355" s="261">
        <f>IF(ISNUMBER(V349),V352+SUM(V353:V354),"")</f>
        <v/>
      </c>
      <c r="W355" s="261">
        <f>IF(ISNUMBER(W349),W352+SUM(W353:W354),"")</f>
        <v/>
      </c>
      <c r="X355" s="261">
        <f>IF(ISNUMBER(X349),X352+SUM(X353:X354),"")</f>
        <v/>
      </c>
      <c r="Y355" s="261">
        <f>IF(ISNUMBER(Y349),Y352+SUM(Y353:Y354),"")</f>
        <v/>
      </c>
      <c r="Z355" s="261">
        <f>IF(ISNUMBER(Z349),Z352+SUM(Z353:Z354),"")</f>
        <v/>
      </c>
      <c r="AA355" s="261">
        <f>IF(ISNUMBER(AA349),AA352+SUM(AA353:AA354),"")</f>
        <v/>
      </c>
      <c r="AB355" s="261">
        <f>IF(ISNUMBER(AB349),AB352+SUM(AB353:AB354),"")</f>
        <v/>
      </c>
      <c r="AC355" s="261">
        <f>IF(ISNUMBER(AC349),AC352+SUM(AC353:AC354),"")</f>
        <v/>
      </c>
      <c r="AD355" s="261">
        <f>IF(ISNUMBER(AD349),AD352+SUM(AD353:AD354),"")</f>
        <v/>
      </c>
      <c r="AE355" s="261">
        <f>IF(ISNUMBER(AE349),AE352+SUM(AE353:AE354),"")</f>
        <v/>
      </c>
      <c r="AF355" s="261">
        <f>IF(ISNUMBER(AF349),AF352+SUM(AF353:AF354),"")</f>
        <v/>
      </c>
      <c r="AG355" s="261">
        <f>IF(ISNUMBER(AG349),AG352+SUM(AG353:AG354),"")</f>
        <v/>
      </c>
      <c r="AH355" s="261">
        <f>IF(ISNUMBER(AH349),AH352+SUM(AH353:AH354),"")</f>
        <v/>
      </c>
      <c r="AI355" s="261">
        <f>IF(ISNUMBER(AI349),AI352+SUM(AI353:AI354),"")</f>
        <v/>
      </c>
      <c r="AJ355" s="261">
        <f>IF(ISNUMBER(AJ349),AJ352+SUM(AJ353:AJ354),"")</f>
        <v/>
      </c>
      <c r="AK355" s="261">
        <f>IF(ISNUMBER(AK349),AK352+SUM(AK353:AK354),"")</f>
        <v/>
      </c>
      <c r="AL355" s="261">
        <f>IF(ISNUMBER(AL349),AL352+SUM(AL353:AL354),"")</f>
        <v/>
      </c>
      <c r="AM355" s="32" t="n"/>
      <c r="AN355" s="32" t="n"/>
      <c r="AO355" s="32" t="n"/>
      <c r="AP355" s="262">
        <f>IF(ISNUMBER(AP349),AP352+SUM(AP353:AP354),"")</f>
        <v/>
      </c>
      <c r="AQ355" s="262">
        <f>IF(ISNUMBER(AQ349),AQ352+SUM(AQ353:AQ354),"")</f>
        <v/>
      </c>
      <c r="AR355" s="262">
        <f>IF(ISNUMBER(AR349),AR352+SUM(AR353:AR354),"")</f>
        <v/>
      </c>
      <c r="AS355" s="262">
        <f>IF(ISNUMBER(AS349),AS352+SUM(AS353:AS354),"")</f>
        <v/>
      </c>
      <c r="AT355" s="262">
        <f>IF(ISNUMBER(AT349),AT352+SUM(AT353:AT354),"")</f>
        <v/>
      </c>
      <c r="AU355" s="153" t="n"/>
    </row>
    <row r="356" ht="15" customHeight="1" s="251">
      <c r="B356" s="25" t="inlineStr">
        <is>
          <t xml:space="preserve">  Shareholders' equity</t>
        </is>
      </c>
      <c r="C356" s="253" t="n">
        <v>821.401</v>
      </c>
      <c r="D356" s="253" t="n">
        <v>944.942</v>
      </c>
      <c r="E356" s="253" t="n">
        <v>1038.705</v>
      </c>
      <c r="F356" s="253" t="n">
        <v>1071.632</v>
      </c>
      <c r="G356" s="253" t="n">
        <v>3023.034</v>
      </c>
      <c r="H356" s="253" t="n">
        <v>2798.602</v>
      </c>
      <c r="I356" s="253" t="n">
        <v>3205.96</v>
      </c>
      <c r="J356" s="253" t="n">
        <v>3177.81</v>
      </c>
      <c r="K356" s="253" t="n">
        <v>3393.876</v>
      </c>
      <c r="L356" s="253" t="n">
        <v>3880.99</v>
      </c>
      <c r="M356" s="253" t="n">
        <v>6574.58</v>
      </c>
      <c r="N356" s="253" t="n">
        <v>6535.644</v>
      </c>
      <c r="O356" s="253" t="n">
        <v>6611.191</v>
      </c>
      <c r="P356" s="253" t="n">
        <v>6532.356</v>
      </c>
      <c r="Q356" s="253" t="n">
        <v>6532.356</v>
      </c>
      <c r="R356" s="253" t="n">
        <v>6407.548</v>
      </c>
      <c r="S356" s="253" t="n">
        <v>5802.057</v>
      </c>
      <c r="T356" s="253" t="n">
        <v>6038.312</v>
      </c>
      <c r="U356" s="253" t="n">
        <v>6077.198</v>
      </c>
      <c r="V356" s="253" t="n">
        <v>6077.198</v>
      </c>
      <c r="W356" s="253" t="n">
        <v>6168.286</v>
      </c>
      <c r="X356" s="253" t="n">
        <v>6178.073</v>
      </c>
      <c r="Y356" s="253" t="n">
        <v>6415.396</v>
      </c>
      <c r="Z356" s="253" t="n">
        <v>6302.164</v>
      </c>
      <c r="AA356" s="253" t="n">
        <v>6302.164</v>
      </c>
      <c r="AB356" s="253" t="n">
        <v>6354.597</v>
      </c>
      <c r="AC356" s="253" t="n">
        <v>6593.489</v>
      </c>
      <c r="AD356" s="253" t="n">
        <v>6416.101</v>
      </c>
      <c r="AE356" s="253" t="n">
        <v>6603.405</v>
      </c>
      <c r="AF356" s="253" t="n">
        <v>6603.405</v>
      </c>
      <c r="AG356" s="253" t="n">
        <v>6957</v>
      </c>
      <c r="AH356" s="253" t="n">
        <v>7009</v>
      </c>
      <c r="AI356" s="253" t="n">
        <v>7154.5</v>
      </c>
      <c r="AJ356" s="253" t="n">
        <v>7183.6</v>
      </c>
      <c r="AK356" s="253" t="n">
        <v>7183.6</v>
      </c>
      <c r="AL356" s="253" t="n">
        <v>7206.8</v>
      </c>
      <c r="AM356" s="35" t="n"/>
      <c r="AN356" s="35" t="n"/>
      <c r="AO356" s="35" t="n"/>
      <c r="AP356" s="254">
        <f>AL356+((AM178+AN178+AO178))+(AP301-AL301)+(AP300-AL300)+(AP289-AL289)+AP302</f>
        <v/>
      </c>
      <c r="AQ356" s="254">
        <f>AP356+AQ178+AQ301+AQ300+AQ289+AQ302</f>
        <v/>
      </c>
      <c r="AR356" s="254">
        <f>AQ356+AR178+AR301+AR300+AR289+AR302</f>
        <v/>
      </c>
      <c r="AS356" s="254">
        <f>AR356+AS178+AS301+AS300+AS289+AS302</f>
        <v/>
      </c>
      <c r="AT356" s="254">
        <f>AS356+AT178+AT301+AT300+AT289+AT302</f>
        <v/>
      </c>
      <c r="AU356" s="19" t="inlineStr">
        <is>
          <t>+ net income attributable − dividends − repurchases + share-based compensation + equity-plan proceeds (FX translation held flat).</t>
        </is>
      </c>
    </row>
    <row r="357" ht="15" customHeight="1" s="251">
      <c r="B357" s="25" t="inlineStr">
        <is>
          <t xml:space="preserve">  Noncontrolling interests</t>
        </is>
      </c>
      <c r="C357" s="253" t="n">
        <v>1.263</v>
      </c>
      <c r="D357" s="253" t="n">
        <v>2.038</v>
      </c>
      <c r="E357" s="253" t="n">
        <v>2.541</v>
      </c>
      <c r="F357" s="253" t="n">
        <v>2.014</v>
      </c>
      <c r="G357" s="253" t="n">
        <v>15.858</v>
      </c>
      <c r="H357" s="253" t="n">
        <v>11.431</v>
      </c>
      <c r="I357" s="253" t="n">
        <v>11.34</v>
      </c>
      <c r="J357" s="253" t="n">
        <v>7.988</v>
      </c>
      <c r="K357" s="253" t="n">
        <v>12.848</v>
      </c>
      <c r="L357" s="253" t="n">
        <v>10.478</v>
      </c>
      <c r="M357" s="253" t="n">
        <v>10.435</v>
      </c>
      <c r="N357" s="253" t="n">
        <v>9.287000000000001</v>
      </c>
      <c r="O357" s="253" t="n">
        <v>12.478</v>
      </c>
      <c r="P357" s="253" t="n">
        <v>12.281</v>
      </c>
      <c r="Q357" s="253" t="n">
        <v>12.281</v>
      </c>
      <c r="R357" s="253" t="n">
        <v>11.58</v>
      </c>
      <c r="S357" s="253" t="n">
        <v>11.39</v>
      </c>
      <c r="T357" s="253" t="n">
        <v>10.208</v>
      </c>
      <c r="U357" s="253" t="n">
        <v>9.974</v>
      </c>
      <c r="V357" s="253" t="n">
        <v>9.974</v>
      </c>
      <c r="W357" s="253" t="n">
        <v>10.086</v>
      </c>
      <c r="X357" s="253" t="n">
        <v>11.095</v>
      </c>
      <c r="Y357" s="253" t="n">
        <v>12.703</v>
      </c>
      <c r="Z357" s="253" t="n">
        <v>13.182</v>
      </c>
      <c r="AA357" s="253" t="n">
        <v>13.182</v>
      </c>
      <c r="AB357" s="253" t="n">
        <v>15.848</v>
      </c>
      <c r="AC357" s="253" t="n">
        <v>16.973</v>
      </c>
      <c r="AD357" s="253" t="n">
        <v>12.445</v>
      </c>
      <c r="AE357" s="253" t="n">
        <v>12.352</v>
      </c>
      <c r="AF357" s="253" t="n">
        <v>12.352</v>
      </c>
      <c r="AG357" s="253" t="n">
        <v>12.9</v>
      </c>
      <c r="AH357" s="253" t="n">
        <v>13.5</v>
      </c>
      <c r="AI357" s="253" t="n">
        <v>13.4</v>
      </c>
      <c r="AJ357" s="253" t="n">
        <v>13.6</v>
      </c>
      <c r="AK357" s="253" t="n">
        <v>13.6</v>
      </c>
      <c r="AL357" s="253" t="n">
        <v>14.5</v>
      </c>
      <c r="AM357" s="35" t="n"/>
      <c r="AN357" s="35" t="n"/>
      <c r="AO357" s="35" t="n"/>
      <c r="AP357" s="254">
        <f>AL357</f>
        <v/>
      </c>
      <c r="AQ357" s="254">
        <f>AP357</f>
        <v/>
      </c>
      <c r="AR357" s="254">
        <f>AQ357</f>
        <v/>
      </c>
      <c r="AS357" s="254">
        <f>AR357</f>
        <v/>
      </c>
      <c r="AT357" s="254">
        <f>AS357</f>
        <v/>
      </c>
      <c r="AU357" s="19" t="inlineStr">
        <is>
          <t>Held flat: NCI income distributed (other financing).</t>
        </is>
      </c>
    </row>
    <row r="358" ht="15" customHeight="1" s="251">
      <c r="B358" s="16" t="inlineStr">
        <is>
          <t>Total equity</t>
        </is>
      </c>
      <c r="C358" s="261">
        <f>IF(ISNUMBER(C356),C356+C357,"")</f>
        <v/>
      </c>
      <c r="D358" s="261">
        <f>IF(ISNUMBER(D356),D356+D357,"")</f>
        <v/>
      </c>
      <c r="E358" s="261">
        <f>IF(ISNUMBER(E356),E356+E357,"")</f>
        <v/>
      </c>
      <c r="F358" s="261">
        <f>IF(ISNUMBER(F356),F356+F357,"")</f>
        <v/>
      </c>
      <c r="G358" s="261">
        <f>IF(ISNUMBER(G356),G356+G357,"")</f>
        <v/>
      </c>
      <c r="H358" s="261">
        <f>IF(ISNUMBER(H356),H356+H357,"")</f>
        <v/>
      </c>
      <c r="I358" s="261">
        <f>IF(ISNUMBER(I356),I356+I357,"")</f>
        <v/>
      </c>
      <c r="J358" s="261">
        <f>IF(ISNUMBER(J356),J356+J357,"")</f>
        <v/>
      </c>
      <c r="K358" s="261">
        <f>IF(ISNUMBER(K356),K356+K357,"")</f>
        <v/>
      </c>
      <c r="L358" s="261">
        <f>IF(ISNUMBER(L356),L356+L357,"")</f>
        <v/>
      </c>
      <c r="M358" s="261">
        <f>IF(ISNUMBER(M356),M356+M357,"")</f>
        <v/>
      </c>
      <c r="N358" s="261">
        <f>IF(ISNUMBER(N356),N356+N357,"")</f>
        <v/>
      </c>
      <c r="O358" s="261">
        <f>IF(ISNUMBER(O356),O356+O357,"")</f>
        <v/>
      </c>
      <c r="P358" s="261">
        <f>IF(ISNUMBER(P356),P356+P357,"")</f>
        <v/>
      </c>
      <c r="Q358" s="261">
        <f>IF(ISNUMBER(Q356),Q356+Q357,"")</f>
        <v/>
      </c>
      <c r="R358" s="261">
        <f>IF(ISNUMBER(R356),R356+R357,"")</f>
        <v/>
      </c>
      <c r="S358" s="261">
        <f>IF(ISNUMBER(S356),S356+S357,"")</f>
        <v/>
      </c>
      <c r="T358" s="261">
        <f>IF(ISNUMBER(T356),T356+T357,"")</f>
        <v/>
      </c>
      <c r="U358" s="261">
        <f>IF(ISNUMBER(U356),U356+U357,"")</f>
        <v/>
      </c>
      <c r="V358" s="261">
        <f>IF(ISNUMBER(V356),V356+V357,"")</f>
        <v/>
      </c>
      <c r="W358" s="261">
        <f>IF(ISNUMBER(W356),W356+W357,"")</f>
        <v/>
      </c>
      <c r="X358" s="261">
        <f>IF(ISNUMBER(X356),X356+X357,"")</f>
        <v/>
      </c>
      <c r="Y358" s="261">
        <f>IF(ISNUMBER(Y356),Y356+Y357,"")</f>
        <v/>
      </c>
      <c r="Z358" s="261">
        <f>IF(ISNUMBER(Z356),Z356+Z357,"")</f>
        <v/>
      </c>
      <c r="AA358" s="261">
        <f>IF(ISNUMBER(AA356),AA356+AA357,"")</f>
        <v/>
      </c>
      <c r="AB358" s="261">
        <f>IF(ISNUMBER(AB356),AB356+AB357,"")</f>
        <v/>
      </c>
      <c r="AC358" s="261">
        <f>IF(ISNUMBER(AC356),AC356+AC357,"")</f>
        <v/>
      </c>
      <c r="AD358" s="261">
        <f>IF(ISNUMBER(AD356),AD356+AD357,"")</f>
        <v/>
      </c>
      <c r="AE358" s="261">
        <f>IF(ISNUMBER(AE356),AE356+AE357,"")</f>
        <v/>
      </c>
      <c r="AF358" s="261">
        <f>IF(ISNUMBER(AF356),AF356+AF357,"")</f>
        <v/>
      </c>
      <c r="AG358" s="261">
        <f>IF(ISNUMBER(AG356),AG356+AG357,"")</f>
        <v/>
      </c>
      <c r="AH358" s="261">
        <f>IF(ISNUMBER(AH356),AH356+AH357,"")</f>
        <v/>
      </c>
      <c r="AI358" s="261">
        <f>IF(ISNUMBER(AI356),AI356+AI357,"")</f>
        <v/>
      </c>
      <c r="AJ358" s="261">
        <f>IF(ISNUMBER(AJ356),AJ356+AJ357,"")</f>
        <v/>
      </c>
      <c r="AK358" s="261">
        <f>IF(ISNUMBER(AK356),AK356+AK357,"")</f>
        <v/>
      </c>
      <c r="AL358" s="261">
        <f>IF(ISNUMBER(AL356),AL356+AL357,"")</f>
        <v/>
      </c>
      <c r="AM358" s="32" t="n"/>
      <c r="AN358" s="32" t="n"/>
      <c r="AO358" s="32" t="n"/>
      <c r="AP358" s="262">
        <f>IF(ISNUMBER(AP356),AP356+AP357,"")</f>
        <v/>
      </c>
      <c r="AQ358" s="262">
        <f>IF(ISNUMBER(AQ356),AQ356+AQ357,"")</f>
        <v/>
      </c>
      <c r="AR358" s="262">
        <f>IF(ISNUMBER(AR356),AR356+AR357,"")</f>
        <v/>
      </c>
      <c r="AS358" s="262">
        <f>IF(ISNUMBER(AS356),AS356+AS357,"")</f>
        <v/>
      </c>
      <c r="AT358" s="262">
        <f>IF(ISNUMBER(AT356),AT356+AT357,"")</f>
        <v/>
      </c>
      <c r="AU358" s="153" t="n"/>
      <c r="AW358" s="20">
        <f>IFERROR((AT358/AK358)^(1/5)-1,"n/m")</f>
        <v/>
      </c>
      <c r="AX358" s="20">
        <f>IFERROR((AK358/L358)^(1/5)-1,"n/m")</f>
        <v/>
      </c>
      <c r="AY358" s="20">
        <f>IFERROR((AK358/G358)^(1/10)-1,"n/m")</f>
        <v/>
      </c>
      <c r="AZ358" s="20">
        <f>IFERROR((AK358/C358)^(1/14)-1,"n/m")</f>
        <v/>
      </c>
    </row>
    <row r="359" ht="15" customHeight="1" s="251">
      <c r="B359" s="55" t="inlineStr">
        <is>
          <t>TOTAL LIABILITIES AND EQUITY</t>
        </is>
      </c>
      <c r="C359" s="274">
        <f>IF(ISNUMBER(C355),C355+C358,"")</f>
        <v/>
      </c>
      <c r="D359" s="274">
        <f>IF(ISNUMBER(D355),D355+D358,"")</f>
        <v/>
      </c>
      <c r="E359" s="274">
        <f>IF(ISNUMBER(E355),E355+E358,"")</f>
        <v/>
      </c>
      <c r="F359" s="274">
        <f>IF(ISNUMBER(F355),F355+F358,"")</f>
        <v/>
      </c>
      <c r="G359" s="274">
        <f>IF(ISNUMBER(G355),G355+G358,"")</f>
        <v/>
      </c>
      <c r="H359" s="274">
        <f>IF(ISNUMBER(H355),H355+H358,"")</f>
        <v/>
      </c>
      <c r="I359" s="274">
        <f>IF(ISNUMBER(I355),I355+I358,"")</f>
        <v/>
      </c>
      <c r="J359" s="274">
        <f>IF(ISNUMBER(J355),J355+J358,"")</f>
        <v/>
      </c>
      <c r="K359" s="274">
        <f>IF(ISNUMBER(K355),K355+K358,"")</f>
        <v/>
      </c>
      <c r="L359" s="274">
        <f>IF(ISNUMBER(L355),L355+L358,"")</f>
        <v/>
      </c>
      <c r="M359" s="274">
        <f>IF(ISNUMBER(M355),M355+M358,"")</f>
        <v/>
      </c>
      <c r="N359" s="274">
        <f>IF(ISNUMBER(N355),N355+N358,"")</f>
        <v/>
      </c>
      <c r="O359" s="274">
        <f>IF(ISNUMBER(O355),O355+O358,"")</f>
        <v/>
      </c>
      <c r="P359" s="274">
        <f>IF(ISNUMBER(P355),P355+P358,"")</f>
        <v/>
      </c>
      <c r="Q359" s="274">
        <f>IF(ISNUMBER(Q355),Q355+Q358,"")</f>
        <v/>
      </c>
      <c r="R359" s="274">
        <f>IF(ISNUMBER(R355),R355+R358,"")</f>
        <v/>
      </c>
      <c r="S359" s="274">
        <f>IF(ISNUMBER(S355),S355+S358,"")</f>
        <v/>
      </c>
      <c r="T359" s="274">
        <f>IF(ISNUMBER(T355),T355+T358,"")</f>
        <v/>
      </c>
      <c r="U359" s="274">
        <f>IF(ISNUMBER(U355),U355+U358,"")</f>
        <v/>
      </c>
      <c r="V359" s="274">
        <f>IF(ISNUMBER(V355),V355+V358,"")</f>
        <v/>
      </c>
      <c r="W359" s="274">
        <f>IF(ISNUMBER(W355),W355+W358,"")</f>
        <v/>
      </c>
      <c r="X359" s="274">
        <f>IF(ISNUMBER(X355),X355+X358,"")</f>
        <v/>
      </c>
      <c r="Y359" s="274">
        <f>IF(ISNUMBER(Y355),Y355+Y358,"")</f>
        <v/>
      </c>
      <c r="Z359" s="274">
        <f>IF(ISNUMBER(Z355),Z355+Z358,"")</f>
        <v/>
      </c>
      <c r="AA359" s="274">
        <f>IF(ISNUMBER(AA355),AA355+AA358,"")</f>
        <v/>
      </c>
      <c r="AB359" s="274">
        <f>IF(ISNUMBER(AB355),AB355+AB358,"")</f>
        <v/>
      </c>
      <c r="AC359" s="274">
        <f>IF(ISNUMBER(AC355),AC355+AC358,"")</f>
        <v/>
      </c>
      <c r="AD359" s="274">
        <f>IF(ISNUMBER(AD355),AD355+AD358,"")</f>
        <v/>
      </c>
      <c r="AE359" s="274">
        <f>IF(ISNUMBER(AE355),AE355+AE358,"")</f>
        <v/>
      </c>
      <c r="AF359" s="274">
        <f>IF(ISNUMBER(AF355),AF355+AF358,"")</f>
        <v/>
      </c>
      <c r="AG359" s="274">
        <f>IF(ISNUMBER(AG355),AG355+AG358,"")</f>
        <v/>
      </c>
      <c r="AH359" s="274">
        <f>IF(ISNUMBER(AH355),AH355+AH358,"")</f>
        <v/>
      </c>
      <c r="AI359" s="274">
        <f>IF(ISNUMBER(AI355),AI355+AI358,"")</f>
        <v/>
      </c>
      <c r="AJ359" s="274">
        <f>IF(ISNUMBER(AJ355),AJ355+AJ358,"")</f>
        <v/>
      </c>
      <c r="AK359" s="274">
        <f>IF(ISNUMBER(AK355),AK355+AK358,"")</f>
        <v/>
      </c>
      <c r="AL359" s="274">
        <f>IF(ISNUMBER(AL355),AL355+AL358,"")</f>
        <v/>
      </c>
      <c r="AM359" s="56" t="n"/>
      <c r="AN359" s="56" t="n"/>
      <c r="AO359" s="56" t="n"/>
      <c r="AP359" s="274">
        <f>IF(ISNUMBER(AP355),AP355+AP358,"")</f>
        <v/>
      </c>
      <c r="AQ359" s="274">
        <f>IF(ISNUMBER(AQ355),AQ355+AQ358,"")</f>
        <v/>
      </c>
      <c r="AR359" s="274">
        <f>IF(ISNUMBER(AR355),AR355+AR358,"")</f>
        <v/>
      </c>
      <c r="AS359" s="274">
        <f>IF(ISNUMBER(AS355),AS355+AS358,"")</f>
        <v/>
      </c>
      <c r="AT359" s="274">
        <f>IF(ISNUMBER(AT355),AT355+AT358,"")</f>
        <v/>
      </c>
      <c r="AU359" s="153" t="n"/>
    </row>
    <row r="360" ht="15" customHeight="1" s="251">
      <c r="B360" s="57" t="inlineStr">
        <is>
          <t>BS tie-out check (TA − TL&amp;E)</t>
        </is>
      </c>
      <c r="C360" s="263">
        <f>IF(ISNUMBER(C347),IF(ABS(C347-C359)&lt;=0.15,0,ROUND(C347-C359,1)),"")</f>
        <v/>
      </c>
      <c r="D360" s="263">
        <f>IF(ISNUMBER(D347),IF(ABS(D347-D359)&lt;=0.15,0,ROUND(D347-D359,1)),"")</f>
        <v/>
      </c>
      <c r="E360" s="263">
        <f>IF(ISNUMBER(E347),IF(ABS(E347-E359)&lt;=0.15,0,ROUND(E347-E359,1)),"")</f>
        <v/>
      </c>
      <c r="F360" s="263">
        <f>IF(ISNUMBER(F347),IF(ABS(F347-F359)&lt;=0.15,0,ROUND(F347-F359,1)),"")</f>
        <v/>
      </c>
      <c r="G360" s="263">
        <f>IF(ISNUMBER(G347),IF(ABS(G347-G359)&lt;=0.15,0,ROUND(G347-G359,1)),"")</f>
        <v/>
      </c>
      <c r="H360" s="263">
        <f>IF(ISNUMBER(H347),IF(ABS(H347-H359)&lt;=0.15,0,ROUND(H347-H359,1)),"")</f>
        <v/>
      </c>
      <c r="I360" s="263">
        <f>IF(ISNUMBER(I347),IF(ABS(I347-I359)&lt;=0.15,0,ROUND(I347-I359,1)),"")</f>
        <v/>
      </c>
      <c r="J360" s="263">
        <f>IF(ISNUMBER(J347),IF(ABS(J347-J359)&lt;=0.15,0,ROUND(J347-J359,1)),"")</f>
        <v/>
      </c>
      <c r="K360" s="263">
        <f>IF(ISNUMBER(K347),IF(ABS(K347-K359)&lt;=0.15,0,ROUND(K347-K359,1)),"")</f>
        <v/>
      </c>
      <c r="L360" s="263">
        <f>IF(ISNUMBER(L347),IF(ABS(L347-L359)&lt;=0.15,0,ROUND(L347-L359,1)),"")</f>
        <v/>
      </c>
      <c r="M360" s="263">
        <f>IF(ISNUMBER(M347),IF(ABS(M347-M359)&lt;=0.15,0,ROUND(M347-M359,1)),"")</f>
        <v/>
      </c>
      <c r="N360" s="263">
        <f>IF(ISNUMBER(N347),IF(ABS(N347-N359)&lt;=0.15,0,ROUND(N347-N359,1)),"")</f>
        <v/>
      </c>
      <c r="O360" s="263">
        <f>IF(ISNUMBER(O347),IF(ABS(O347-O359)&lt;=0.15,0,ROUND(O347-O359,1)),"")</f>
        <v/>
      </c>
      <c r="P360" s="263">
        <f>IF(ISNUMBER(P347),IF(ABS(P347-P359)&lt;=0.15,0,ROUND(P347-P359,1)),"")</f>
        <v/>
      </c>
      <c r="Q360" s="263">
        <f>IF(ISNUMBER(Q347),IF(ABS(Q347-Q359)&lt;=0.15,0,ROUND(Q347-Q359,1)),"")</f>
        <v/>
      </c>
      <c r="R360" s="263">
        <f>IF(ISNUMBER(R347),IF(ABS(R347-R359)&lt;=0.15,0,ROUND(R347-R359,1)),"")</f>
        <v/>
      </c>
      <c r="S360" s="263">
        <f>IF(ISNUMBER(S347),IF(ABS(S347-S359)&lt;=0.15,0,ROUND(S347-S359,1)),"")</f>
        <v/>
      </c>
      <c r="T360" s="263">
        <f>IF(ISNUMBER(T347),IF(ABS(T347-T359)&lt;=0.15,0,ROUND(T347-T359,1)),"")</f>
        <v/>
      </c>
      <c r="U360" s="263">
        <f>IF(ISNUMBER(U347),IF(ABS(U347-U359)&lt;=0.15,0,ROUND(U347-U359,1)),"")</f>
        <v/>
      </c>
      <c r="V360" s="263">
        <f>IF(ISNUMBER(V347),IF(ABS(V347-V359)&lt;=0.15,0,ROUND(V347-V359,1)),"")</f>
        <v/>
      </c>
      <c r="W360" s="263">
        <f>IF(ISNUMBER(W347),IF(ABS(W347-W359)&lt;=0.15,0,ROUND(W347-W359,1)),"")</f>
        <v/>
      </c>
      <c r="X360" s="263">
        <f>IF(ISNUMBER(X347),IF(ABS(X347-X359)&lt;=0.15,0,ROUND(X347-X359,1)),"")</f>
        <v/>
      </c>
      <c r="Y360" s="263">
        <f>IF(ISNUMBER(Y347),IF(ABS(Y347-Y359)&lt;=0.15,0,ROUND(Y347-Y359,1)),"")</f>
        <v/>
      </c>
      <c r="Z360" s="263">
        <f>IF(ISNUMBER(Z347),IF(ABS(Z347-Z359)&lt;=0.15,0,ROUND(Z347-Z359,1)),"")</f>
        <v/>
      </c>
      <c r="AA360" s="263">
        <f>IF(ISNUMBER(AA347),IF(ABS(AA347-AA359)&lt;=0.15,0,ROUND(AA347-AA359,1)),"")</f>
        <v/>
      </c>
      <c r="AB360" s="263">
        <f>IF(ISNUMBER(AB347),IF(ABS(AB347-AB359)&lt;=0.15,0,ROUND(AB347-AB359,1)),"")</f>
        <v/>
      </c>
      <c r="AC360" s="263">
        <f>IF(ISNUMBER(AC347),IF(ABS(AC347-AC359)&lt;=0.15,0,ROUND(AC347-AC359,1)),"")</f>
        <v/>
      </c>
      <c r="AD360" s="263">
        <f>IF(ISNUMBER(AD347),IF(ABS(AD347-AD359)&lt;=0.15,0,ROUND(AD347-AD359,1)),"")</f>
        <v/>
      </c>
      <c r="AE360" s="263">
        <f>IF(ISNUMBER(AE347),IF(ABS(AE347-AE359)&lt;=0.15,0,ROUND(AE347-AE359,1)),"")</f>
        <v/>
      </c>
      <c r="AF360" s="263">
        <f>IF(ISNUMBER(AF347),IF(ABS(AF347-AF359)&lt;=0.15,0,ROUND(AF347-AF359,1)),"")</f>
        <v/>
      </c>
      <c r="AG360" s="263">
        <f>IF(ISNUMBER(AG347),IF(ABS(AG347-AG359)&lt;=0.15,0,ROUND(AG347-AG359,1)),"")</f>
        <v/>
      </c>
      <c r="AH360" s="263">
        <f>IF(ISNUMBER(AH347),IF(ABS(AH347-AH359)&lt;=0.15,0,ROUND(AH347-AH359,1)),"")</f>
        <v/>
      </c>
      <c r="AI360" s="263">
        <f>IF(ISNUMBER(AI347),IF(ABS(AI347-AI359)&lt;=0.15,0,ROUND(AI347-AI359,1)),"")</f>
        <v/>
      </c>
      <c r="AJ360" s="263">
        <f>IF(ISNUMBER(AJ347),IF(ABS(AJ347-AJ359)&lt;=0.15,0,ROUND(AJ347-AJ359,1)),"")</f>
        <v/>
      </c>
      <c r="AK360" s="263">
        <f>IF(ISNUMBER(AK347),IF(ABS(AK347-AK359)&lt;=0.15,0,ROUND(AK347-AK359,1)),"")</f>
        <v/>
      </c>
      <c r="AL360" s="263">
        <f>IF(ISNUMBER(AL347),IF(ABS(AL347-AL359)&lt;=0.15,0,ROUND(AL347-AL359,1)),"")</f>
        <v/>
      </c>
      <c r="AM360" s="153" t="n"/>
      <c r="AN360" s="153" t="n"/>
      <c r="AO360" s="153" t="n"/>
      <c r="AP360" s="275">
        <f>IF(ISNUMBER(AP347),IF(ABS(AP347-AP359)&lt;=0.15,0,ROUND(AP347-AP359,1)),"")</f>
        <v/>
      </c>
      <c r="AQ360" s="275">
        <f>IF(ISNUMBER(AQ347),IF(ABS(AQ347-AQ359)&lt;=0.15,0,ROUND(AQ347-AQ359,1)),"")</f>
        <v/>
      </c>
      <c r="AR360" s="275">
        <f>IF(ISNUMBER(AR347),IF(ABS(AR347-AR359)&lt;=0.15,0,ROUND(AR347-AR359,1)),"")</f>
        <v/>
      </c>
      <c r="AS360" s="275">
        <f>IF(ISNUMBER(AS347),IF(ABS(AS347-AS359)&lt;=0.15,0,ROUND(AS347-AS359,1)),"")</f>
        <v/>
      </c>
      <c r="AT360" s="275">
        <f>IF(ISNUMBER(AT347),IF(ABS(AT347-AT359)&lt;=0.15,0,ROUND(AT347-AT359,1)),"")</f>
        <v/>
      </c>
      <c r="AU360" s="153" t="n"/>
    </row>
    <row r="361" ht="15" customHeight="1" s="251">
      <c r="B361" s="57" t="inlineStr">
        <is>
          <t xml:space="preserve">  Check: model total assets vs reported (should be 0)</t>
        </is>
      </c>
      <c r="C361" s="263">
        <f>IF(ISNUMBER(C362),IF(ABS(C347-C362)&lt;=0.15,0,ROUND(C347-C362,1)),"")</f>
        <v/>
      </c>
      <c r="D361" s="263">
        <f>IF(ISNUMBER(D362),IF(ABS(D347-D362)&lt;=0.15,0,ROUND(D347-D362,1)),"")</f>
        <v/>
      </c>
      <c r="E361" s="263">
        <f>IF(ISNUMBER(E362),IF(ABS(E347-E362)&lt;=0.15,0,ROUND(E347-E362,1)),"")</f>
        <v/>
      </c>
      <c r="F361" s="263">
        <f>IF(ISNUMBER(F362),IF(ABS(F347-F362)&lt;=0.15,0,ROUND(F347-F362,1)),"")</f>
        <v/>
      </c>
      <c r="G361" s="263">
        <f>IF(ISNUMBER(G362),IF(ABS(G347-G362)&lt;=0.15,0,ROUND(G347-G362,1)),"")</f>
        <v/>
      </c>
      <c r="H361" s="263">
        <f>IF(ISNUMBER(H362),IF(ABS(H347-H362)&lt;=0.15,0,ROUND(H347-H362,1)),"")</f>
        <v/>
      </c>
      <c r="I361" s="263">
        <f>IF(ISNUMBER(I362),IF(ABS(I347-I362)&lt;=0.15,0,ROUND(I347-I362,1)),"")</f>
        <v/>
      </c>
      <c r="J361" s="263">
        <f>IF(ISNUMBER(J362),IF(ABS(J347-J362)&lt;=0.15,0,ROUND(J347-J362,1)),"")</f>
        <v/>
      </c>
      <c r="K361" s="263">
        <f>IF(ISNUMBER(K362),IF(ABS(K347-K362)&lt;=0.15,0,ROUND(K347-K362,1)),"")</f>
        <v/>
      </c>
      <c r="L361" s="263">
        <f>IF(ISNUMBER(L362),IF(ABS(L347-L362)&lt;=0.15,0,ROUND(L347-L362,1)),"")</f>
        <v/>
      </c>
      <c r="M361" s="263">
        <f>IF(ISNUMBER(M362),IF(ABS(M347-M362)&lt;=0.15,0,ROUND(M347-M362,1)),"")</f>
        <v/>
      </c>
      <c r="N361" s="263">
        <f>IF(ISNUMBER(N362),IF(ABS(N347-N362)&lt;=0.15,0,ROUND(N347-N362,1)),"")</f>
        <v/>
      </c>
      <c r="O361" s="263">
        <f>IF(ISNUMBER(O362),IF(ABS(O347-O362)&lt;=0.15,0,ROUND(O347-O362,1)),"")</f>
        <v/>
      </c>
      <c r="P361" s="263">
        <f>IF(ISNUMBER(P362),IF(ABS(P347-P362)&lt;=0.15,0,ROUND(P347-P362,1)),"")</f>
        <v/>
      </c>
      <c r="Q361" s="263">
        <f>IF(ISNUMBER(Q362),IF(ABS(Q347-Q362)&lt;=0.15,0,ROUND(Q347-Q362,1)),"")</f>
        <v/>
      </c>
      <c r="R361" s="263">
        <f>IF(ISNUMBER(R362),IF(ABS(R347-R362)&lt;=0.15,0,ROUND(R347-R362,1)),"")</f>
        <v/>
      </c>
      <c r="S361" s="263">
        <f>IF(ISNUMBER(S362),IF(ABS(S347-S362)&lt;=0.15,0,ROUND(S347-S362,1)),"")</f>
        <v/>
      </c>
      <c r="T361" s="263">
        <f>IF(ISNUMBER(T362),IF(ABS(T347-T362)&lt;=0.15,0,ROUND(T347-T362,1)),"")</f>
        <v/>
      </c>
      <c r="U361" s="263">
        <f>IF(ISNUMBER(U362),IF(ABS(U347-U362)&lt;=0.15,0,ROUND(U347-U362,1)),"")</f>
        <v/>
      </c>
      <c r="V361" s="263">
        <f>IF(ISNUMBER(V362),IF(ABS(V347-V362)&lt;=0.15,0,ROUND(V347-V362,1)),"")</f>
        <v/>
      </c>
      <c r="W361" s="263">
        <f>IF(ISNUMBER(W362),IF(ABS(W347-W362)&lt;=0.15,0,ROUND(W347-W362,1)),"")</f>
        <v/>
      </c>
      <c r="X361" s="263">
        <f>IF(ISNUMBER(X362),IF(ABS(X347-X362)&lt;=0.15,0,ROUND(X347-X362,1)),"")</f>
        <v/>
      </c>
      <c r="Y361" s="263">
        <f>IF(ISNUMBER(Y362),IF(ABS(Y347-Y362)&lt;=0.15,0,ROUND(Y347-Y362,1)),"")</f>
        <v/>
      </c>
      <c r="Z361" s="263">
        <f>IF(ISNUMBER(Z362),IF(ABS(Z347-Z362)&lt;=0.15,0,ROUND(Z347-Z362,1)),"")</f>
        <v/>
      </c>
      <c r="AA361" s="263">
        <f>IF(ISNUMBER(AA362),IF(ABS(AA347-AA362)&lt;=0.15,0,ROUND(AA347-AA362,1)),"")</f>
        <v/>
      </c>
      <c r="AB361" s="263">
        <f>IF(ISNUMBER(AB362),IF(ABS(AB347-AB362)&lt;=0.15,0,ROUND(AB347-AB362,1)),"")</f>
        <v/>
      </c>
      <c r="AC361" s="263">
        <f>IF(ISNUMBER(AC362),IF(ABS(AC347-AC362)&lt;=0.15,0,ROUND(AC347-AC362,1)),"")</f>
        <v/>
      </c>
      <c r="AD361" s="263">
        <f>IF(ISNUMBER(AD362),IF(ABS(AD347-AD362)&lt;=0.15,0,ROUND(AD347-AD362,1)),"")</f>
        <v/>
      </c>
      <c r="AE361" s="263">
        <f>IF(ISNUMBER(AE362),IF(ABS(AE347-AE362)&lt;=0.15,0,ROUND(AE347-AE362,1)),"")</f>
        <v/>
      </c>
      <c r="AF361" s="263">
        <f>IF(ISNUMBER(AF362),IF(ABS(AF347-AF362)&lt;=0.15,0,ROUND(AF347-AF362,1)),"")</f>
        <v/>
      </c>
      <c r="AG361" s="263">
        <f>IF(ISNUMBER(AG362),IF(ABS(AG347-AG362)&lt;=0.15,0,ROUND(AG347-AG362,1)),"")</f>
        <v/>
      </c>
      <c r="AH361" s="263">
        <f>IF(ISNUMBER(AH362),IF(ABS(AH347-AH362)&lt;=0.15,0,ROUND(AH347-AH362,1)),"")</f>
        <v/>
      </c>
      <c r="AI361" s="263">
        <f>IF(ISNUMBER(AI362),IF(ABS(AI347-AI362)&lt;=0.15,0,ROUND(AI347-AI362,1)),"")</f>
        <v/>
      </c>
      <c r="AJ361" s="263">
        <f>IF(ISNUMBER(AJ362),IF(ABS(AJ347-AJ362)&lt;=0.15,0,ROUND(AJ347-AJ362,1)),"")</f>
        <v/>
      </c>
      <c r="AK361" s="263">
        <f>IF(ISNUMBER(AK362),IF(ABS(AK347-AK362)&lt;=0.15,0,ROUND(AK347-AK362,1)),"")</f>
        <v/>
      </c>
      <c r="AL361" s="263">
        <f>IF(ISNUMBER(AL362),IF(ABS(AL347-AL362)&lt;=0.15,0,ROUND(AL347-AL362,1)),"")</f>
        <v/>
      </c>
      <c r="AM361" s="153" t="n"/>
      <c r="AN361" s="153" t="n"/>
      <c r="AO361" s="153" t="n"/>
      <c r="AP361" s="153" t="n"/>
      <c r="AQ361" s="153" t="n"/>
      <c r="AR361" s="153" t="n"/>
      <c r="AS361" s="153" t="n"/>
      <c r="AT361" s="153" t="n"/>
      <c r="AU361" s="153" t="n"/>
    </row>
    <row r="362" ht="15" customHeight="1" s="251">
      <c r="B362" s="156" t="inlineStr">
        <is>
          <t xml:space="preserve">  Memo: total assets as reported</t>
        </is>
      </c>
      <c r="C362" s="253" t="n">
        <v>1405.696</v>
      </c>
      <c r="D362" s="253" t="n">
        <v>1761.109</v>
      </c>
      <c r="E362" s="253" t="n">
        <v>1887.162</v>
      </c>
      <c r="F362" s="253" t="n">
        <v>2099.466</v>
      </c>
      <c r="G362" s="253" t="n">
        <v>5346.416</v>
      </c>
      <c r="H362" s="253" t="n">
        <v>4924.455</v>
      </c>
      <c r="I362" s="253" t="n">
        <v>5200.334</v>
      </c>
      <c r="J362" s="253" t="n">
        <v>5073.071</v>
      </c>
      <c r="K362" s="253" t="n">
        <v>5425.582</v>
      </c>
      <c r="L362" s="253" t="n">
        <v>6574.471</v>
      </c>
      <c r="M362" s="253" t="n">
        <v>12101.007</v>
      </c>
      <c r="N362" s="253" t="n">
        <v>11752.448</v>
      </c>
      <c r="O362" s="253" t="n">
        <v>11689.966</v>
      </c>
      <c r="P362" s="253" t="n">
        <v>11452.599</v>
      </c>
      <c r="Q362" s="253" t="n">
        <v>11452.599</v>
      </c>
      <c r="R362" s="253" t="n">
        <v>11188.006</v>
      </c>
      <c r="S362" s="253" t="n">
        <v>10489.636</v>
      </c>
      <c r="T362" s="253" t="n">
        <v>10799.924</v>
      </c>
      <c r="U362" s="253" t="n">
        <v>10821.839</v>
      </c>
      <c r="V362" s="253" t="n">
        <v>10821.839</v>
      </c>
      <c r="W362" s="253" t="n">
        <v>10784.38</v>
      </c>
      <c r="X362" s="253" t="n">
        <v>11280.638</v>
      </c>
      <c r="Y362" s="253" t="n">
        <v>11435.155</v>
      </c>
      <c r="Z362" s="253" t="n">
        <v>11071.839</v>
      </c>
      <c r="AA362" s="253" t="n">
        <v>11071.839</v>
      </c>
      <c r="AB362" s="253" t="n">
        <v>10108.601</v>
      </c>
      <c r="AC362" s="253" t="n">
        <v>10242.145</v>
      </c>
      <c r="AD362" s="253" t="n">
        <v>10008.362</v>
      </c>
      <c r="AE362" s="253" t="n">
        <v>10146.811</v>
      </c>
      <c r="AF362" s="253" t="n">
        <v>10146.811</v>
      </c>
      <c r="AG362" s="253" t="n">
        <v>10405</v>
      </c>
      <c r="AH362" s="253" t="n">
        <v>10410.7</v>
      </c>
      <c r="AI362" s="253" t="n">
        <v>10591.4</v>
      </c>
      <c r="AJ362" s="253" t="n">
        <v>10737.2</v>
      </c>
      <c r="AK362" s="253" t="n">
        <v>10737.2</v>
      </c>
      <c r="AL362" s="253" t="n">
        <v>10736.1</v>
      </c>
      <c r="AM362" s="153" t="n"/>
      <c r="AN362" s="153" t="n"/>
      <c r="AO362" s="153" t="n"/>
      <c r="AP362" s="153" t="n"/>
      <c r="AQ362" s="153" t="n"/>
      <c r="AR362" s="153" t="n"/>
      <c r="AS362" s="153" t="n"/>
      <c r="AT362" s="153" t="n"/>
      <c r="AU362" s="153" t="n"/>
    </row>
    <row r="363" ht="15" customHeight="1" s="251">
      <c r="B363" s="57" t="inlineStr">
        <is>
          <t xml:space="preserve">  Check: BS cash vs cash-flow ending cash (should be 0)</t>
        </is>
      </c>
      <c r="C363" s="263">
        <f>IF(AND(ISNUMBER(C337),ISNUMBER(C309)),IF(ABS(C337-C309)&lt;=0.15,0,ROUND(C337-C309,1)),"")</f>
        <v/>
      </c>
      <c r="D363" s="263">
        <f>IF(AND(ISNUMBER(D337),ISNUMBER(D309)),IF(ABS(D337-D309)&lt;=0.15,0,ROUND(D337-D309,1)),"")</f>
        <v/>
      </c>
      <c r="E363" s="263">
        <f>IF(AND(ISNUMBER(E337),ISNUMBER(E309)),IF(ABS(E337-E309)&lt;=0.15,0,ROUND(E337-E309,1)),"")</f>
        <v/>
      </c>
      <c r="F363" s="263">
        <f>IF(AND(ISNUMBER(F337),ISNUMBER(F309)),IF(ABS(F337-F309)&lt;=0.15,0,ROUND(F337-F309,1)),"")</f>
        <v/>
      </c>
      <c r="G363" s="263">
        <f>IF(AND(ISNUMBER(G337),ISNUMBER(G309)),IF(ABS(G337-G309)&lt;=0.15,0,ROUND(G337-G309,1)),"")</f>
        <v/>
      </c>
      <c r="H363" s="263">
        <f>IF(AND(ISNUMBER(H337),ISNUMBER(H309)),IF(ABS(H337-H309)&lt;=0.15,0,ROUND(H337-H309,1)),"")</f>
        <v/>
      </c>
      <c r="I363" s="263">
        <f>IF(AND(ISNUMBER(I337),ISNUMBER(I309)),IF(ABS(I337-I309)&lt;=0.15,0,ROUND(I337-I309,1)),"")</f>
        <v/>
      </c>
      <c r="J363" s="263">
        <f>IF(AND(ISNUMBER(J337),ISNUMBER(J309)),IF(ABS(J337-J309)&lt;=0.15,0,ROUND(J337-J309,1)),"")</f>
        <v/>
      </c>
      <c r="K363" s="263">
        <f>IF(AND(ISNUMBER(K337),ISNUMBER(K309)),IF(ABS(K337-K309)&lt;=0.15,0,ROUND(K337-K309,1)),"")</f>
        <v/>
      </c>
      <c r="L363" s="263">
        <f>IF(AND(ISNUMBER(L337),ISNUMBER(L309)),IF(ABS(L337-L309)&lt;=0.15,0,ROUND(L337-L309,1)),"")</f>
        <v/>
      </c>
      <c r="M363" s="263">
        <f>IF(AND(ISNUMBER(M337),ISNUMBER(M309)),IF(ABS(M337-M309)&lt;=0.15,0,ROUND(M337-M309,1)),"")</f>
        <v/>
      </c>
      <c r="N363" s="263">
        <f>IF(AND(ISNUMBER(N337),ISNUMBER(N309)),IF(ABS(N337-N309)&lt;=0.15,0,ROUND(N337-N309,1)),"")</f>
        <v/>
      </c>
      <c r="O363" s="263">
        <f>IF(AND(ISNUMBER(O337),ISNUMBER(O309)),IF(ABS(O337-O309)&lt;=0.15,0,ROUND(O337-O309,1)),"")</f>
        <v/>
      </c>
      <c r="P363" s="263">
        <f>IF(AND(ISNUMBER(P337),ISNUMBER(P309)),IF(ABS(P337-P309)&lt;=0.15,0,ROUND(P337-P309,1)),"")</f>
        <v/>
      </c>
      <c r="Q363" s="263">
        <f>IF(AND(ISNUMBER(Q337),ISNUMBER(Q309)),IF(ABS(Q337-Q309)&lt;=0.15,0,ROUND(Q337-Q309,1)),"")</f>
        <v/>
      </c>
      <c r="R363" s="263">
        <f>IF(AND(ISNUMBER(R337),ISNUMBER(R309)),IF(ABS(R337-R309)&lt;=0.15,0,ROUND(R337-R309,1)),"")</f>
        <v/>
      </c>
      <c r="S363" s="263">
        <f>IF(AND(ISNUMBER(S337),ISNUMBER(S309)),IF(ABS(S337-S309)&lt;=0.15,0,ROUND(S337-S309,1)),"")</f>
        <v/>
      </c>
      <c r="T363" s="263">
        <f>IF(AND(ISNUMBER(T337),ISNUMBER(T309)),IF(ABS(T337-T309)&lt;=0.15,0,ROUND(T337-T309,1)),"")</f>
        <v/>
      </c>
      <c r="U363" s="263">
        <f>IF(AND(ISNUMBER(U337),ISNUMBER(U309)),IF(ABS(U337-U309)&lt;=0.15,0,ROUND(U337-U309,1)),"")</f>
        <v/>
      </c>
      <c r="V363" s="263">
        <f>IF(AND(ISNUMBER(V337),ISNUMBER(V309)),IF(ABS(V337-V309)&lt;=0.15,0,ROUND(V337-V309,1)),"")</f>
        <v/>
      </c>
      <c r="W363" s="263">
        <f>IF(AND(ISNUMBER(W337),ISNUMBER(W309)),IF(ABS(W337-W309)&lt;=0.15,0,ROUND(W337-W309,1)),"")</f>
        <v/>
      </c>
      <c r="X363" s="263">
        <f>IF(AND(ISNUMBER(X337),ISNUMBER(X309)),IF(ABS(X337-X309)&lt;=0.15,0,ROUND(X337-X309,1)),"")</f>
        <v/>
      </c>
      <c r="Y363" s="263">
        <f>IF(AND(ISNUMBER(Y337),ISNUMBER(Y309)),IF(ABS(Y337-Y309)&lt;=0.15,0,ROUND(Y337-Y309,1)),"")</f>
        <v/>
      </c>
      <c r="Z363" s="263">
        <f>IF(AND(ISNUMBER(Z337),ISNUMBER(Z309)),IF(ABS(Z337-Z309)&lt;=0.15,0,ROUND(Z337-Z309,1)),"")</f>
        <v/>
      </c>
      <c r="AA363" s="263">
        <f>IF(AND(ISNUMBER(AA337),ISNUMBER(AA309)),IF(ABS(AA337-AA309)&lt;=0.15,0,ROUND(AA337-AA309,1)),"")</f>
        <v/>
      </c>
      <c r="AB363" s="263">
        <f>IF(AND(ISNUMBER(AB337),ISNUMBER(AB309)),IF(ABS(AB337-AB309)&lt;=0.15,0,ROUND(AB337-AB309,1)),"")</f>
        <v/>
      </c>
      <c r="AC363" s="263">
        <f>IF(AND(ISNUMBER(AC337),ISNUMBER(AC309)),IF(ABS(AC337-AC309)&lt;=0.15,0,ROUND(AC337-AC309,1)),"")</f>
        <v/>
      </c>
      <c r="AD363" s="263">
        <f>IF(AND(ISNUMBER(AD337),ISNUMBER(AD309)),IF(ABS(AD337-AD309)&lt;=0.15,0,ROUND(AD337-AD309,1)),"")</f>
        <v/>
      </c>
      <c r="AE363" s="263">
        <f>IF(AND(ISNUMBER(AE337),ISNUMBER(AE309)),IF(ABS(AE337-AE309)&lt;=0.15,0,ROUND(AE337-AE309,1)),"")</f>
        <v/>
      </c>
      <c r="AF363" s="263">
        <f>IF(AND(ISNUMBER(AF337),ISNUMBER(AF309)),IF(ABS(AF337-AF309)&lt;=0.15,0,ROUND(AF337-AF309,1)),"")</f>
        <v/>
      </c>
      <c r="AG363" s="263">
        <f>IF(AND(ISNUMBER(AG337),ISNUMBER(AG309)),IF(ABS(AG337-AG309)&lt;=0.15,0,ROUND(AG337-AG309,1)),"")</f>
        <v/>
      </c>
      <c r="AH363" s="263">
        <f>IF(AND(ISNUMBER(AH337),ISNUMBER(AH309)),IF(ABS(AH337-AH309)&lt;=0.15,0,ROUND(AH337-AH309,1)),"")</f>
        <v/>
      </c>
      <c r="AI363" s="263">
        <f>IF(AND(ISNUMBER(AI337),ISNUMBER(AI309)),IF(ABS(AI337-AI309)&lt;=0.15,0,ROUND(AI337-AI309,1)),"")</f>
        <v/>
      </c>
      <c r="AJ363" s="263">
        <f>IF(AND(ISNUMBER(AJ337),ISNUMBER(AJ309)),IF(ABS(AJ337-AJ309)&lt;=0.15,0,ROUND(AJ337-AJ309,1)),"")</f>
        <v/>
      </c>
      <c r="AK363" s="263">
        <f>IF(AND(ISNUMBER(AK337),ISNUMBER(AK309)),IF(ABS(AK337-AK309)&lt;=0.15,0,ROUND(AK337-AK309,1)),"")</f>
        <v/>
      </c>
      <c r="AL363" s="263">
        <f>IF(AND(ISNUMBER(AL337),ISNUMBER(AL309)),IF(ABS(AL337-AL309)&lt;=0.15,0,ROUND(AL337-AL309,1)),"")</f>
        <v/>
      </c>
      <c r="AM363" s="153" t="n"/>
      <c r="AN363" s="153" t="n"/>
      <c r="AO363" s="153" t="n"/>
      <c r="AP363" s="275">
        <f>IF(AND(ISNUMBER(AP337),ISNUMBER(AP309)),IF(ABS(AP337-AP309)&lt;=0.15,0,ROUND(AP337-AP309,1)),"")</f>
        <v/>
      </c>
      <c r="AQ363" s="275">
        <f>IF(AND(ISNUMBER(AQ337),ISNUMBER(AQ309)),IF(ABS(AQ337-AQ309)&lt;=0.15,0,ROUND(AQ337-AQ309,1)),"")</f>
        <v/>
      </c>
      <c r="AR363" s="275">
        <f>IF(AND(ISNUMBER(AR337),ISNUMBER(AR309)),IF(ABS(AR337-AR309)&lt;=0.15,0,ROUND(AR337-AR309,1)),"")</f>
        <v/>
      </c>
      <c r="AS363" s="275">
        <f>IF(AND(ISNUMBER(AS337),ISNUMBER(AS309)),IF(ABS(AS337-AS309)&lt;=0.15,0,ROUND(AS337-AS309,1)),"")</f>
        <v/>
      </c>
      <c r="AT363" s="275">
        <f>IF(AND(ISNUMBER(AT337),ISNUMBER(AT309)),IF(ABS(AT337-AT309)&lt;=0.15,0,ROUND(AT337-AT309,1)),"")</f>
        <v/>
      </c>
      <c r="AU363" s="153" t="n"/>
    </row>
    <row r="364" ht="15" customHeight="1" s="251">
      <c r="B364" s="156" t="inlineStr">
        <is>
          <t xml:space="preserve">  Memo: ordinary shares outstanding at period end (m)</t>
        </is>
      </c>
      <c r="C364" s="253" t="n">
        <v>57.733</v>
      </c>
      <c r="D364" s="253" t="n">
        <v>58.759</v>
      </c>
      <c r="E364" s="253" t="n">
        <v>58.968</v>
      </c>
      <c r="F364" s="253" t="n">
        <v>59.675</v>
      </c>
      <c r="G364" s="253" t="n">
        <v>85.92</v>
      </c>
      <c r="H364" s="253" t="n">
        <v>84.94799999999999</v>
      </c>
      <c r="I364" s="253" t="n">
        <v>84.747</v>
      </c>
      <c r="J364" s="253" t="n">
        <v>84.517</v>
      </c>
      <c r="K364" s="253" t="n">
        <v>84.92400000000001</v>
      </c>
      <c r="L364" s="253" t="n">
        <v>85.35299999999999</v>
      </c>
      <c r="M364" s="253" t="n">
        <v>99.746</v>
      </c>
      <c r="N364" s="253" t="n">
        <v>99.911</v>
      </c>
      <c r="O364" s="253" t="n">
        <v>100.111</v>
      </c>
      <c r="P364" s="253" t="n">
        <v>100.067</v>
      </c>
      <c r="Q364" s="253" t="n">
        <v>100.067</v>
      </c>
      <c r="R364" s="253" t="n">
        <v>100.09</v>
      </c>
      <c r="S364" s="253" t="n">
        <v>99.86799999999999</v>
      </c>
      <c r="T364" s="253" t="n">
        <v>99.401</v>
      </c>
      <c r="U364" s="253" t="n">
        <v>98.629</v>
      </c>
      <c r="V364" s="253" t="n">
        <v>98.629</v>
      </c>
      <c r="W364" s="253" t="n">
        <v>98.78100000000001</v>
      </c>
      <c r="X364" s="253" t="n">
        <v>98.789</v>
      </c>
      <c r="Y364" s="253" t="n">
        <v>98.80800000000001</v>
      </c>
      <c r="Z364" s="253" t="n">
        <v>98.883</v>
      </c>
      <c r="AA364" s="253" t="n">
        <v>98.883</v>
      </c>
      <c r="AB364" s="253" t="n">
        <v>98.79900000000001</v>
      </c>
      <c r="AC364" s="253" t="n">
        <v>98.708</v>
      </c>
      <c r="AD364" s="253" t="n">
        <v>98.245</v>
      </c>
      <c r="AE364" s="253" t="n">
        <v>98.301</v>
      </c>
      <c r="AF364" s="253" t="n">
        <v>98.301</v>
      </c>
      <c r="AG364" s="253" t="n">
        <v>98.5</v>
      </c>
      <c r="AH364" s="253" t="n">
        <v>98.09999999999999</v>
      </c>
      <c r="AI364" s="253" t="n">
        <v>98.09999999999999</v>
      </c>
      <c r="AJ364" s="253" t="n">
        <v>97.8</v>
      </c>
      <c r="AK364" s="253" t="n">
        <v>97.8</v>
      </c>
      <c r="AL364" s="253" t="n">
        <v>97.5</v>
      </c>
      <c r="AM364" s="153" t="n"/>
      <c r="AN364" s="153" t="n"/>
      <c r="AO364" s="153" t="n"/>
      <c r="AP364" s="275">
        <f>AP331</f>
        <v/>
      </c>
      <c r="AQ364" s="275">
        <f>AQ331</f>
        <v/>
      </c>
      <c r="AR364" s="275">
        <f>AR331</f>
        <v/>
      </c>
      <c r="AS364" s="275">
        <f>AS331</f>
        <v/>
      </c>
      <c r="AT364" s="275">
        <f>AT331</f>
        <v/>
      </c>
      <c r="AU364" s="153" t="n"/>
    </row>
    <row r="365" ht="15" customHeight="1" s="251">
      <c r="BC365" s="11" t="n"/>
      <c r="BD365" s="12" t="n"/>
      <c r="BE365" s="12" t="n"/>
      <c r="BF365" s="12" t="n"/>
      <c r="BG365" s="13" t="n"/>
    </row>
    <row r="366" ht="15" customHeight="1" s="251">
      <c r="B366" s="10" t="inlineStr">
        <is>
          <t>WORKING CAPITAL &amp; CASH CONVERSION</t>
        </is>
      </c>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c r="AG366" s="10" t="n"/>
      <c r="AH366" s="10" t="n"/>
      <c r="AI366" s="10" t="n"/>
      <c r="AJ366" s="10" t="n"/>
      <c r="AK366" s="10" t="n"/>
      <c r="AL366" s="10" t="n"/>
      <c r="AM366" s="10" t="n"/>
      <c r="AN366" s="10" t="n"/>
      <c r="AO366" s="10" t="n"/>
      <c r="AP366" s="10" t="n"/>
      <c r="AQ366" s="10" t="n"/>
      <c r="AR366" s="10" t="n"/>
      <c r="AS366" s="10" t="n"/>
      <c r="AT366" s="10" t="n"/>
      <c r="AU366" s="10" t="inlineStr">
        <is>
          <t>WORKING CAPITAL — forecast drivers (blue = input)</t>
        </is>
      </c>
    </row>
    <row r="367" ht="15" customHeight="1" s="251">
      <c r="B367" s="25" t="inlineStr">
        <is>
          <t xml:space="preserve">  Revenue — annualised (quarters × 4)</t>
        </is>
      </c>
      <c r="C367" s="263">
        <f>IF(ISNUMBER(C159),C159*1,"")</f>
        <v/>
      </c>
      <c r="D367" s="263">
        <f>IF(ISNUMBER(D159),D159*1,"")</f>
        <v/>
      </c>
      <c r="E367" s="263">
        <f>IF(ISNUMBER(E159),E159*1,"")</f>
        <v/>
      </c>
      <c r="F367" s="263">
        <f>IF(ISNUMBER(F159),F159*1,"")</f>
        <v/>
      </c>
      <c r="G367" s="263">
        <f>IF(ISNUMBER(G159),G159*1,"")</f>
        <v/>
      </c>
      <c r="H367" s="263">
        <f>IF(ISNUMBER(H159),H159*1,"")</f>
        <v/>
      </c>
      <c r="I367" s="263">
        <f>IF(ISNUMBER(I159),I159*1,"")</f>
        <v/>
      </c>
      <c r="J367" s="263">
        <f>IF(ISNUMBER(J159),J159*1,"")</f>
        <v/>
      </c>
      <c r="K367" s="263">
        <f>IF(ISNUMBER(K159),K159*1,"")</f>
        <v/>
      </c>
      <c r="L367" s="263">
        <f>IF(ISNUMBER(L159),L159*1,"")</f>
        <v/>
      </c>
      <c r="M367" s="263">
        <f>IF(ISNUMBER(M159),M159*4,"")</f>
        <v/>
      </c>
      <c r="N367" s="263">
        <f>IF(ISNUMBER(N159),N159*4,"")</f>
        <v/>
      </c>
      <c r="O367" s="263">
        <f>IF(ISNUMBER(O159),O159*4,"")</f>
        <v/>
      </c>
      <c r="P367" s="263">
        <f>IF(ISNUMBER(P159),P159*4,"")</f>
        <v/>
      </c>
      <c r="Q367" s="263">
        <f>IF(ISNUMBER(Q159),Q159*1,"")</f>
        <v/>
      </c>
      <c r="R367" s="263">
        <f>IF(ISNUMBER(R159),R159*4,"")</f>
        <v/>
      </c>
      <c r="S367" s="263">
        <f>IF(ISNUMBER(S159),S159*4,"")</f>
        <v/>
      </c>
      <c r="T367" s="263">
        <f>IF(ISNUMBER(T159),T159*4,"")</f>
        <v/>
      </c>
      <c r="U367" s="263">
        <f>IF(ISNUMBER(U159),U159*4,"")</f>
        <v/>
      </c>
      <c r="V367" s="263">
        <f>IF(ISNUMBER(V159),V159*1,"")</f>
        <v/>
      </c>
      <c r="W367" s="263">
        <f>IF(ISNUMBER(W159),W159*4,"")</f>
        <v/>
      </c>
      <c r="X367" s="263">
        <f>IF(ISNUMBER(X159),X159*4,"")</f>
        <v/>
      </c>
      <c r="Y367" s="263">
        <f>IF(ISNUMBER(Y159),Y159*4,"")</f>
        <v/>
      </c>
      <c r="Z367" s="263">
        <f>IF(ISNUMBER(Z159),Z159*4,"")</f>
        <v/>
      </c>
      <c r="AA367" s="263">
        <f>IF(ISNUMBER(AA159),AA159*1,"")</f>
        <v/>
      </c>
      <c r="AB367" s="263">
        <f>IF(ISNUMBER(AB159),AB159*4,"")</f>
        <v/>
      </c>
      <c r="AC367" s="263">
        <f>IF(ISNUMBER(AC159),AC159*4,"")</f>
        <v/>
      </c>
      <c r="AD367" s="263">
        <f>IF(ISNUMBER(AD159),AD159*4,"")</f>
        <v/>
      </c>
      <c r="AE367" s="263">
        <f>IF(ISNUMBER(AE159),AE159*4,"")</f>
        <v/>
      </c>
      <c r="AF367" s="263">
        <f>IF(ISNUMBER(AF159),AF159*1,"")</f>
        <v/>
      </c>
      <c r="AG367" s="263">
        <f>IF(ISNUMBER(AG159),AG159*4,"")</f>
        <v/>
      </c>
      <c r="AH367" s="263">
        <f>IF(ISNUMBER(AH159),AH159*4,"")</f>
        <v/>
      </c>
      <c r="AI367" s="263">
        <f>IF(ISNUMBER(AI159),AI159*4,"")</f>
        <v/>
      </c>
      <c r="AJ367" s="263">
        <f>IF(ISNUMBER(AJ159),AJ159*4,"")</f>
        <v/>
      </c>
      <c r="AK367" s="263">
        <f>IF(ISNUMBER(AK159),AK159*1,"")</f>
        <v/>
      </c>
      <c r="AL367" s="263">
        <f>IF(ISNUMBER(AL159),AL159*4,"")</f>
        <v/>
      </c>
      <c r="AM367" s="35" t="n"/>
      <c r="AN367" s="35" t="n"/>
      <c r="AO367" s="35" t="n"/>
      <c r="AP367" s="254">
        <f>IF(ISNUMBER(AP159),AP159*1,"")</f>
        <v/>
      </c>
      <c r="AQ367" s="254">
        <f>IF(ISNUMBER(AQ159),AQ159*1,"")</f>
        <v/>
      </c>
      <c r="AR367" s="254">
        <f>IF(ISNUMBER(AR159),AR159*1,"")</f>
        <v/>
      </c>
      <c r="AS367" s="254">
        <f>IF(ISNUMBER(AS159),AS159*1,"")</f>
        <v/>
      </c>
      <c r="AT367" s="254">
        <f>IF(ISNUMBER(AT159),AT159*1,"")</f>
        <v/>
      </c>
      <c r="AU367" s="19" t="n"/>
    </row>
    <row r="368" ht="15" customHeight="1" s="251">
      <c r="B368" s="25" t="inlineStr">
        <is>
          <t xml:space="preserve">  Cost of revenues — annualised</t>
        </is>
      </c>
      <c r="C368" s="263">
        <f>IF(ISNUMBER(C160),C160*1,"")</f>
        <v/>
      </c>
      <c r="D368" s="263">
        <f>IF(ISNUMBER(D160),D160*1,"")</f>
        <v/>
      </c>
      <c r="E368" s="263">
        <f>IF(ISNUMBER(E160),E160*1,"")</f>
        <v/>
      </c>
      <c r="F368" s="263">
        <f>IF(ISNUMBER(F160),F160*1,"")</f>
        <v/>
      </c>
      <c r="G368" s="263">
        <f>IF(ISNUMBER(G160),G160*1,"")</f>
        <v/>
      </c>
      <c r="H368" s="263">
        <f>IF(ISNUMBER(H160),H160*1,"")</f>
        <v/>
      </c>
      <c r="I368" s="263">
        <f>IF(ISNUMBER(I160),I160*1,"")</f>
        <v/>
      </c>
      <c r="J368" s="263">
        <f>IF(ISNUMBER(J160),J160*1,"")</f>
        <v/>
      </c>
      <c r="K368" s="263">
        <f>IF(ISNUMBER(K160),K160*1,"")</f>
        <v/>
      </c>
      <c r="L368" s="263">
        <f>IF(ISNUMBER(L160),L160*1,"")</f>
        <v/>
      </c>
      <c r="M368" s="263">
        <f>IF(ISNUMBER(M160),M160*4,"")</f>
        <v/>
      </c>
      <c r="N368" s="263">
        <f>IF(ISNUMBER(N160),N160*4,"")</f>
        <v/>
      </c>
      <c r="O368" s="263">
        <f>IF(ISNUMBER(O160),O160*4,"")</f>
        <v/>
      </c>
      <c r="P368" s="263">
        <f>IF(ISNUMBER(P160),P160*4,"")</f>
        <v/>
      </c>
      <c r="Q368" s="263">
        <f>IF(ISNUMBER(Q160),Q160*1,"")</f>
        <v/>
      </c>
      <c r="R368" s="263">
        <f>IF(ISNUMBER(R160),R160*4,"")</f>
        <v/>
      </c>
      <c r="S368" s="263">
        <f>IF(ISNUMBER(S160),S160*4,"")</f>
        <v/>
      </c>
      <c r="T368" s="263">
        <f>IF(ISNUMBER(T160),T160*4,"")</f>
        <v/>
      </c>
      <c r="U368" s="263">
        <f>IF(ISNUMBER(U160),U160*4,"")</f>
        <v/>
      </c>
      <c r="V368" s="263">
        <f>IF(ISNUMBER(V160),V160*1,"")</f>
        <v/>
      </c>
      <c r="W368" s="263">
        <f>IF(ISNUMBER(W160),W160*4,"")</f>
        <v/>
      </c>
      <c r="X368" s="263">
        <f>IF(ISNUMBER(X160),X160*4,"")</f>
        <v/>
      </c>
      <c r="Y368" s="263">
        <f>IF(ISNUMBER(Y160),Y160*4,"")</f>
        <v/>
      </c>
      <c r="Z368" s="263">
        <f>IF(ISNUMBER(Z160),Z160*4,"")</f>
        <v/>
      </c>
      <c r="AA368" s="263">
        <f>IF(ISNUMBER(AA160),AA160*1,"")</f>
        <v/>
      </c>
      <c r="AB368" s="263">
        <f>IF(ISNUMBER(AB160),AB160*4,"")</f>
        <v/>
      </c>
      <c r="AC368" s="263">
        <f>IF(ISNUMBER(AC160),AC160*4,"")</f>
        <v/>
      </c>
      <c r="AD368" s="263">
        <f>IF(ISNUMBER(AD160),AD160*4,"")</f>
        <v/>
      </c>
      <c r="AE368" s="263">
        <f>IF(ISNUMBER(AE160),AE160*4,"")</f>
        <v/>
      </c>
      <c r="AF368" s="263">
        <f>IF(ISNUMBER(AF160),AF160*1,"")</f>
        <v/>
      </c>
      <c r="AG368" s="263">
        <f>IF(ISNUMBER(AG160),AG160*4,"")</f>
        <v/>
      </c>
      <c r="AH368" s="263">
        <f>IF(ISNUMBER(AH160),AH160*4,"")</f>
        <v/>
      </c>
      <c r="AI368" s="263">
        <f>IF(ISNUMBER(AI160),AI160*4,"")</f>
        <v/>
      </c>
      <c r="AJ368" s="263">
        <f>IF(ISNUMBER(AJ160),AJ160*4,"")</f>
        <v/>
      </c>
      <c r="AK368" s="263">
        <f>IF(ISNUMBER(AK160),AK160*1,"")</f>
        <v/>
      </c>
      <c r="AL368" s="263">
        <f>IF(ISNUMBER(AL160),AL160*4,"")</f>
        <v/>
      </c>
      <c r="AM368" s="35" t="n"/>
      <c r="AN368" s="35" t="n"/>
      <c r="AO368" s="35" t="n"/>
      <c r="AP368" s="254">
        <f>IF(ISNUMBER(AP160),AP160*1,"")</f>
        <v/>
      </c>
      <c r="AQ368" s="254">
        <f>IF(ISNUMBER(AQ160),AQ160*1,"")</f>
        <v/>
      </c>
      <c r="AR368" s="254">
        <f>IF(ISNUMBER(AR160),AR160*1,"")</f>
        <v/>
      </c>
      <c r="AS368" s="254">
        <f>IF(ISNUMBER(AS160),AS160*1,"")</f>
        <v/>
      </c>
      <c r="AT368" s="254">
        <f>IF(ISNUMBER(AT160),AT160*1,"")</f>
        <v/>
      </c>
      <c r="AU368" s="19" t="n"/>
    </row>
    <row r="369" ht="15" customHeight="1" s="251">
      <c r="B369" s="25" t="inlineStr">
        <is>
          <t xml:space="preserve">  DSO — receivables / revenue × 365</t>
        </is>
      </c>
      <c r="C369" s="289">
        <f>IFERROR(C338/C367*365,"")</f>
        <v/>
      </c>
      <c r="D369" s="289">
        <f>IFERROR(D338/D367*365,"")</f>
        <v/>
      </c>
      <c r="E369" s="289">
        <f>IFERROR(E338/E367*365,"")</f>
        <v/>
      </c>
      <c r="F369" s="289">
        <f>IFERROR(F338/F367*365,"")</f>
        <v/>
      </c>
      <c r="G369" s="289">
        <f>IFERROR(G338/G367*365,"")</f>
        <v/>
      </c>
      <c r="H369" s="289">
        <f>IFERROR(H338/H367*365,"")</f>
        <v/>
      </c>
      <c r="I369" s="289">
        <f>IFERROR(I338/I367*365,"")</f>
        <v/>
      </c>
      <c r="J369" s="289">
        <f>IFERROR(J338/J367*365,"")</f>
        <v/>
      </c>
      <c r="K369" s="289">
        <f>IFERROR(K338/K367*365,"")</f>
        <v/>
      </c>
      <c r="L369" s="289">
        <f>IFERROR(L338/L367*365,"")</f>
        <v/>
      </c>
      <c r="M369" s="289">
        <f>IFERROR(M338/M367*365,"")</f>
        <v/>
      </c>
      <c r="N369" s="289">
        <f>IFERROR(N338/N367*365,"")</f>
        <v/>
      </c>
      <c r="O369" s="289">
        <f>IFERROR(O338/O367*365,"")</f>
        <v/>
      </c>
      <c r="P369" s="289">
        <f>IFERROR(P338/P367*365,"")</f>
        <v/>
      </c>
      <c r="Q369" s="289">
        <f>IFERROR(Q338/Q367*365,"")</f>
        <v/>
      </c>
      <c r="R369" s="289">
        <f>IFERROR(R338/R367*365,"")</f>
        <v/>
      </c>
      <c r="S369" s="289">
        <f>IFERROR(S338/S367*365,"")</f>
        <v/>
      </c>
      <c r="T369" s="289">
        <f>IFERROR(T338/T367*365,"")</f>
        <v/>
      </c>
      <c r="U369" s="289">
        <f>IFERROR(U338/U367*365,"")</f>
        <v/>
      </c>
      <c r="V369" s="289">
        <f>IFERROR(V338/V367*365,"")</f>
        <v/>
      </c>
      <c r="W369" s="289">
        <f>IFERROR(W338/W367*365,"")</f>
        <v/>
      </c>
      <c r="X369" s="289">
        <f>IFERROR(X338/X367*365,"")</f>
        <v/>
      </c>
      <c r="Y369" s="289">
        <f>IFERROR(Y338/Y367*365,"")</f>
        <v/>
      </c>
      <c r="Z369" s="289">
        <f>IFERROR(Z338/Z367*365,"")</f>
        <v/>
      </c>
      <c r="AA369" s="289">
        <f>IFERROR(AA338/AA367*365,"")</f>
        <v/>
      </c>
      <c r="AB369" s="289">
        <f>IFERROR(AB338/AB367*365,"")</f>
        <v/>
      </c>
      <c r="AC369" s="289">
        <f>IFERROR(AC338/AC367*365,"")</f>
        <v/>
      </c>
      <c r="AD369" s="289">
        <f>IFERROR(AD338/AD367*365,"")</f>
        <v/>
      </c>
      <c r="AE369" s="289">
        <f>IFERROR(AE338/AE367*365,"")</f>
        <v/>
      </c>
      <c r="AF369" s="289">
        <f>IFERROR(AF338/AF367*365,"")</f>
        <v/>
      </c>
      <c r="AG369" s="289">
        <f>IFERROR(AG338/AG367*365,"")</f>
        <v/>
      </c>
      <c r="AH369" s="289">
        <f>IFERROR(AH338/AH367*365,"")</f>
        <v/>
      </c>
      <c r="AI369" s="289">
        <f>IFERROR(AI338/AI367*365,"")</f>
        <v/>
      </c>
      <c r="AJ369" s="289">
        <f>IFERROR(AJ338/AJ367*365,"")</f>
        <v/>
      </c>
      <c r="AK369" s="289">
        <f>IFERROR(AK338/AK367*365,"")</f>
        <v/>
      </c>
      <c r="AL369" s="289">
        <f>IFERROR(AL338/AL367*365,"")</f>
        <v/>
      </c>
      <c r="AM369" s="35" t="n"/>
      <c r="AN369" s="35" t="n"/>
      <c r="AO369" s="35" t="n"/>
      <c r="AP369" s="290" t="n">
        <v>67</v>
      </c>
      <c r="AQ369" s="290" t="n">
        <v>67</v>
      </c>
      <c r="AR369" s="290" t="n">
        <v>67</v>
      </c>
      <c r="AS369" s="290" t="n">
        <v>67</v>
      </c>
      <c r="AT369" s="290" t="n">
        <v>67</v>
      </c>
      <c r="AU369" s="19" t="n"/>
    </row>
    <row r="370" ht="15" customHeight="1" s="251">
      <c r="B370" s="25" t="inlineStr">
        <is>
          <t xml:space="preserve">  Inventory days — inventories / cost of revenues × 365</t>
        </is>
      </c>
      <c r="C370" s="289">
        <f>IFERROR(C339/C368*365,"")</f>
        <v/>
      </c>
      <c r="D370" s="289">
        <f>IFERROR(D339/D368*365,"")</f>
        <v/>
      </c>
      <c r="E370" s="289">
        <f>IFERROR(E339/E368*365,"")</f>
        <v/>
      </c>
      <c r="F370" s="289">
        <f>IFERROR(F339/F368*365,"")</f>
        <v/>
      </c>
      <c r="G370" s="289">
        <f>IFERROR(G339/G368*365,"")</f>
        <v/>
      </c>
      <c r="H370" s="289">
        <f>IFERROR(H339/H368*365,"")</f>
        <v/>
      </c>
      <c r="I370" s="289">
        <f>IFERROR(I339/I368*365,"")</f>
        <v/>
      </c>
      <c r="J370" s="289">
        <f>IFERROR(J339/J368*365,"")</f>
        <v/>
      </c>
      <c r="K370" s="289">
        <f>IFERROR(K339/K368*365,"")</f>
        <v/>
      </c>
      <c r="L370" s="289">
        <f>IFERROR(L339/L368*365,"")</f>
        <v/>
      </c>
      <c r="M370" s="289">
        <f>IFERROR(M339/M368*365,"")</f>
        <v/>
      </c>
      <c r="N370" s="289">
        <f>IFERROR(N339/N368*365,"")</f>
        <v/>
      </c>
      <c r="O370" s="289">
        <f>IFERROR(O339/O368*365,"")</f>
        <v/>
      </c>
      <c r="P370" s="289">
        <f>IFERROR(P339/P368*365,"")</f>
        <v/>
      </c>
      <c r="Q370" s="289">
        <f>IFERROR(Q339/Q368*365,"")</f>
        <v/>
      </c>
      <c r="R370" s="289">
        <f>IFERROR(R339/R368*365,"")</f>
        <v/>
      </c>
      <c r="S370" s="289">
        <f>IFERROR(S339/S368*365,"")</f>
        <v/>
      </c>
      <c r="T370" s="289">
        <f>IFERROR(T339/T368*365,"")</f>
        <v/>
      </c>
      <c r="U370" s="289">
        <f>IFERROR(U339/U368*365,"")</f>
        <v/>
      </c>
      <c r="V370" s="289">
        <f>IFERROR(V339/V368*365,"")</f>
        <v/>
      </c>
      <c r="W370" s="289">
        <f>IFERROR(W339/W368*365,"")</f>
        <v/>
      </c>
      <c r="X370" s="289">
        <f>IFERROR(X339/X368*365,"")</f>
        <v/>
      </c>
      <c r="Y370" s="289">
        <f>IFERROR(Y339/Y368*365,"")</f>
        <v/>
      </c>
      <c r="Z370" s="289">
        <f>IFERROR(Z339/Z368*365,"")</f>
        <v/>
      </c>
      <c r="AA370" s="289">
        <f>IFERROR(AA339/AA368*365,"")</f>
        <v/>
      </c>
      <c r="AB370" s="289">
        <f>IFERROR(AB339/AB368*365,"")</f>
        <v/>
      </c>
      <c r="AC370" s="289">
        <f>IFERROR(AC339/AC368*365,"")</f>
        <v/>
      </c>
      <c r="AD370" s="289">
        <f>IFERROR(AD339/AD368*365,"")</f>
        <v/>
      </c>
      <c r="AE370" s="289">
        <f>IFERROR(AE339/AE368*365,"")</f>
        <v/>
      </c>
      <c r="AF370" s="289">
        <f>IFERROR(AF339/AF368*365,"")</f>
        <v/>
      </c>
      <c r="AG370" s="289">
        <f>IFERROR(AG339/AG368*365,"")</f>
        <v/>
      </c>
      <c r="AH370" s="289">
        <f>IFERROR(AH339/AH368*365,"")</f>
        <v/>
      </c>
      <c r="AI370" s="289">
        <f>IFERROR(AI339/AI368*365,"")</f>
        <v/>
      </c>
      <c r="AJ370" s="289">
        <f>IFERROR(AJ339/AJ368*365,"")</f>
        <v/>
      </c>
      <c r="AK370" s="289">
        <f>IFERROR(AK339/AK368*365,"")</f>
        <v/>
      </c>
      <c r="AL370" s="289">
        <f>IFERROR(AL339/AL368*365,"")</f>
        <v/>
      </c>
      <c r="AM370" s="35" t="n"/>
      <c r="AN370" s="35" t="n"/>
      <c r="AO370" s="35" t="n"/>
      <c r="AP370" s="290" t="n">
        <v>70</v>
      </c>
      <c r="AQ370" s="290" t="n">
        <v>70</v>
      </c>
      <c r="AR370" s="290" t="n">
        <v>70</v>
      </c>
      <c r="AS370" s="290" t="n">
        <v>70</v>
      </c>
      <c r="AT370" s="290" t="n">
        <v>70</v>
      </c>
      <c r="AU370" s="19" t="n"/>
    </row>
    <row r="371" ht="15" customHeight="1" s="251">
      <c r="B371" s="25" t="inlineStr">
        <is>
          <t xml:space="preserve">  Payable days — payables / cost of revenues × 365</t>
        </is>
      </c>
      <c r="C371" s="289">
        <f>IFERROR(C349/C368*365,"")</f>
        <v/>
      </c>
      <c r="D371" s="289">
        <f>IFERROR(D349/D368*365,"")</f>
        <v/>
      </c>
      <c r="E371" s="289">
        <f>IFERROR(E349/E368*365,"")</f>
        <v/>
      </c>
      <c r="F371" s="289">
        <f>IFERROR(F349/F368*365,"")</f>
        <v/>
      </c>
      <c r="G371" s="289">
        <f>IFERROR(G349/G368*365,"")</f>
        <v/>
      </c>
      <c r="H371" s="289">
        <f>IFERROR(H349/H368*365,"")</f>
        <v/>
      </c>
      <c r="I371" s="289">
        <f>IFERROR(I349/I368*365,"")</f>
        <v/>
      </c>
      <c r="J371" s="289">
        <f>IFERROR(J349/J368*365,"")</f>
        <v/>
      </c>
      <c r="K371" s="289">
        <f>IFERROR(K349/K368*365,"")</f>
        <v/>
      </c>
      <c r="L371" s="289">
        <f>IFERROR(L349/L368*365,"")</f>
        <v/>
      </c>
      <c r="M371" s="289">
        <f>IFERROR(M349/M368*365,"")</f>
        <v/>
      </c>
      <c r="N371" s="289">
        <f>IFERROR(N349/N368*365,"")</f>
        <v/>
      </c>
      <c r="O371" s="289">
        <f>IFERROR(O349/O368*365,"")</f>
        <v/>
      </c>
      <c r="P371" s="289">
        <f>IFERROR(P349/P368*365,"")</f>
        <v/>
      </c>
      <c r="Q371" s="289">
        <f>IFERROR(Q349/Q368*365,"")</f>
        <v/>
      </c>
      <c r="R371" s="289">
        <f>IFERROR(R349/R368*365,"")</f>
        <v/>
      </c>
      <c r="S371" s="289">
        <f>IFERROR(S349/S368*365,"")</f>
        <v/>
      </c>
      <c r="T371" s="289">
        <f>IFERROR(T349/T368*365,"")</f>
        <v/>
      </c>
      <c r="U371" s="289">
        <f>IFERROR(U349/U368*365,"")</f>
        <v/>
      </c>
      <c r="V371" s="289">
        <f>IFERROR(V349/V368*365,"")</f>
        <v/>
      </c>
      <c r="W371" s="289">
        <f>IFERROR(W349/W368*365,"")</f>
        <v/>
      </c>
      <c r="X371" s="289">
        <f>IFERROR(X349/X368*365,"")</f>
        <v/>
      </c>
      <c r="Y371" s="289">
        <f>IFERROR(Y349/Y368*365,"")</f>
        <v/>
      </c>
      <c r="Z371" s="289">
        <f>IFERROR(Z349/Z368*365,"")</f>
        <v/>
      </c>
      <c r="AA371" s="289">
        <f>IFERROR(AA349/AA368*365,"")</f>
        <v/>
      </c>
      <c r="AB371" s="289">
        <f>IFERROR(AB349/AB368*365,"")</f>
        <v/>
      </c>
      <c r="AC371" s="289">
        <f>IFERROR(AC349/AC368*365,"")</f>
        <v/>
      </c>
      <c r="AD371" s="289">
        <f>IFERROR(AD349/AD368*365,"")</f>
        <v/>
      </c>
      <c r="AE371" s="289">
        <f>IFERROR(AE349/AE368*365,"")</f>
        <v/>
      </c>
      <c r="AF371" s="289">
        <f>IFERROR(AF349/AF368*365,"")</f>
        <v/>
      </c>
      <c r="AG371" s="289">
        <f>IFERROR(AG349/AG368*365,"")</f>
        <v/>
      </c>
      <c r="AH371" s="289">
        <f>IFERROR(AH349/AH368*365,"")</f>
        <v/>
      </c>
      <c r="AI371" s="289">
        <f>IFERROR(AI349/AI368*365,"")</f>
        <v/>
      </c>
      <c r="AJ371" s="289">
        <f>IFERROR(AJ349/AJ368*365,"")</f>
        <v/>
      </c>
      <c r="AK371" s="289">
        <f>IFERROR(AK349/AK368*365,"")</f>
        <v/>
      </c>
      <c r="AL371" s="289">
        <f>IFERROR(AL349/AL368*365,"")</f>
        <v/>
      </c>
      <c r="AM371" s="35" t="n"/>
      <c r="AN371" s="35" t="n"/>
      <c r="AO371" s="35" t="n"/>
      <c r="AP371" s="290" t="n">
        <v>37</v>
      </c>
      <c r="AQ371" s="290" t="n">
        <v>37</v>
      </c>
      <c r="AR371" s="290" t="n">
        <v>37</v>
      </c>
      <c r="AS371" s="290" t="n">
        <v>37</v>
      </c>
      <c r="AT371" s="290" t="n">
        <v>37</v>
      </c>
      <c r="AU371" s="19" t="n"/>
    </row>
    <row r="372" ht="15" customHeight="1" s="251">
      <c r="B372" s="25" t="inlineStr">
        <is>
          <t xml:space="preserve">  Other current liabilities % of revenue</t>
        </is>
      </c>
      <c r="C372" s="215">
        <f>IFERROR(C351/C367,"")</f>
        <v/>
      </c>
      <c r="D372" s="215">
        <f>IFERROR(D351/D367,"")</f>
        <v/>
      </c>
      <c r="E372" s="215">
        <f>IFERROR(E351/E367,"")</f>
        <v/>
      </c>
      <c r="F372" s="215">
        <f>IFERROR(F351/F367,"")</f>
        <v/>
      </c>
      <c r="G372" s="215">
        <f>IFERROR(G351/G367,"")</f>
        <v/>
      </c>
      <c r="H372" s="215">
        <f>IFERROR(H351/H367,"")</f>
        <v/>
      </c>
      <c r="I372" s="215">
        <f>IFERROR(I351/I367,"")</f>
        <v/>
      </c>
      <c r="J372" s="215">
        <f>IFERROR(J351/J367,"")</f>
        <v/>
      </c>
      <c r="K372" s="215">
        <f>IFERROR(K351/K367,"")</f>
        <v/>
      </c>
      <c r="L372" s="215">
        <f>IFERROR(L351/L367,"")</f>
        <v/>
      </c>
      <c r="M372" s="215">
        <f>IFERROR(M351/M367,"")</f>
        <v/>
      </c>
      <c r="N372" s="215">
        <f>IFERROR(N351/N367,"")</f>
        <v/>
      </c>
      <c r="O372" s="215">
        <f>IFERROR(O351/O367,"")</f>
        <v/>
      </c>
      <c r="P372" s="215">
        <f>IFERROR(P351/P367,"")</f>
        <v/>
      </c>
      <c r="Q372" s="215">
        <f>IFERROR(Q351/Q367,"")</f>
        <v/>
      </c>
      <c r="R372" s="215">
        <f>IFERROR(R351/R367,"")</f>
        <v/>
      </c>
      <c r="S372" s="215">
        <f>IFERROR(S351/S367,"")</f>
        <v/>
      </c>
      <c r="T372" s="215">
        <f>IFERROR(T351/T367,"")</f>
        <v/>
      </c>
      <c r="U372" s="215">
        <f>IFERROR(U351/U367,"")</f>
        <v/>
      </c>
      <c r="V372" s="215">
        <f>IFERROR(V351/V367,"")</f>
        <v/>
      </c>
      <c r="W372" s="215">
        <f>IFERROR(W351/W367,"")</f>
        <v/>
      </c>
      <c r="X372" s="215">
        <f>IFERROR(X351/X367,"")</f>
        <v/>
      </c>
      <c r="Y372" s="215">
        <f>IFERROR(Y351/Y367,"")</f>
        <v/>
      </c>
      <c r="Z372" s="215">
        <f>IFERROR(Z351/Z367,"")</f>
        <v/>
      </c>
      <c r="AA372" s="215">
        <f>IFERROR(AA351/AA367,"")</f>
        <v/>
      </c>
      <c r="AB372" s="215">
        <f>IFERROR(AB351/AB367,"")</f>
        <v/>
      </c>
      <c r="AC372" s="215">
        <f>IFERROR(AC351/AC367,"")</f>
        <v/>
      </c>
      <c r="AD372" s="215">
        <f>IFERROR(AD351/AD367,"")</f>
        <v/>
      </c>
      <c r="AE372" s="215">
        <f>IFERROR(AE351/AE367,"")</f>
        <v/>
      </c>
      <c r="AF372" s="215">
        <f>IFERROR(AF351/AF367,"")</f>
        <v/>
      </c>
      <c r="AG372" s="215">
        <f>IFERROR(AG351/AG367,"")</f>
        <v/>
      </c>
      <c r="AH372" s="215">
        <f>IFERROR(AH351/AH367,"")</f>
        <v/>
      </c>
      <c r="AI372" s="215">
        <f>IFERROR(AI351/AI367,"")</f>
        <v/>
      </c>
      <c r="AJ372" s="215">
        <f>IFERROR(AJ351/AJ367,"")</f>
        <v/>
      </c>
      <c r="AK372" s="215">
        <f>IFERROR(AK351/AK367,"")</f>
        <v/>
      </c>
      <c r="AL372" s="215">
        <f>IFERROR(AL351/AL367,"")</f>
        <v/>
      </c>
      <c r="AM372" s="24" t="n"/>
      <c r="AN372" s="24" t="n"/>
      <c r="AO372" s="24" t="n"/>
      <c r="AP372" s="265" t="n">
        <v>0.116</v>
      </c>
      <c r="AQ372" s="265" t="n">
        <v>0.116</v>
      </c>
      <c r="AR372" s="265" t="n">
        <v>0.116</v>
      </c>
      <c r="AS372" s="265" t="n">
        <v>0.116</v>
      </c>
      <c r="AT372" s="265" t="n">
        <v>0.116</v>
      </c>
      <c r="AU372" s="153" t="inlineStr">
        <is>
          <t>Forecast inputs at fiscal-year-end (31-Mar-2026) levels on FY2026 revenue / cost of revenues (DSO 67d, inventory 70d, payables 37d, other current liabilities 11.6% of revenue); year ends are compared with year ends (Q1 is seasonally low in receivables).</t>
        </is>
      </c>
    </row>
    <row r="373" ht="15" customHeight="1" s="251">
      <c r="B373" s="25" t="inlineStr">
        <is>
          <t xml:space="preserve">  Operating NWC (receivables + inventories + prepaid &amp; other − payables − other current liabilities)</t>
        </is>
      </c>
      <c r="C373" s="263">
        <f>IF(ISNUMBER(C338),C338+C339+C340-C349-C351,"")</f>
        <v/>
      </c>
      <c r="D373" s="263">
        <f>IF(ISNUMBER(D338),D338+D339+D340-D349-D351,"")</f>
        <v/>
      </c>
      <c r="E373" s="263">
        <f>IF(ISNUMBER(E338),E338+E339+E340-E349-E351,"")</f>
        <v/>
      </c>
      <c r="F373" s="263">
        <f>IF(ISNUMBER(F338),F338+F339+F340-F349-F351,"")</f>
        <v/>
      </c>
      <c r="G373" s="263">
        <f>IF(ISNUMBER(G338),G338+G339+G340-G349-G351,"")</f>
        <v/>
      </c>
      <c r="H373" s="263">
        <f>IF(ISNUMBER(H338),H338+H339+H340-H349-H351,"")</f>
        <v/>
      </c>
      <c r="I373" s="263">
        <f>IF(ISNUMBER(I338),I338+I339+I340-I349-I351,"")</f>
        <v/>
      </c>
      <c r="J373" s="263">
        <f>IF(ISNUMBER(J338),J338+J339+J340-J349-J351,"")</f>
        <v/>
      </c>
      <c r="K373" s="263">
        <f>IF(ISNUMBER(K338),K338+K339+K340-K349-K351,"")</f>
        <v/>
      </c>
      <c r="L373" s="263">
        <f>IF(ISNUMBER(L338),L338+L339+L340-L349-L351,"")</f>
        <v/>
      </c>
      <c r="M373" s="263">
        <f>IF(ISNUMBER(M338),M338+M339+M340-M349-M351,"")</f>
        <v/>
      </c>
      <c r="N373" s="263">
        <f>IF(ISNUMBER(N338),N338+N339+N340-N349-N351,"")</f>
        <v/>
      </c>
      <c r="O373" s="263">
        <f>IF(ISNUMBER(O338),O338+O339+O340-O349-O351,"")</f>
        <v/>
      </c>
      <c r="P373" s="263">
        <f>IF(ISNUMBER(P338),P338+P339+P340-P349-P351,"")</f>
        <v/>
      </c>
      <c r="Q373" s="263">
        <f>IF(ISNUMBER(Q338),Q338+Q339+Q340-Q349-Q351,"")</f>
        <v/>
      </c>
      <c r="R373" s="263">
        <f>IF(ISNUMBER(R338),R338+R339+R340-R349-R351,"")</f>
        <v/>
      </c>
      <c r="S373" s="263">
        <f>IF(ISNUMBER(S338),S338+S339+S340-S349-S351,"")</f>
        <v/>
      </c>
      <c r="T373" s="263">
        <f>IF(ISNUMBER(T338),T338+T339+T340-T349-T351,"")</f>
        <v/>
      </c>
      <c r="U373" s="263">
        <f>IF(ISNUMBER(U338),U338+U339+U340-U349-U351,"")</f>
        <v/>
      </c>
      <c r="V373" s="263">
        <f>IF(ISNUMBER(V338),V338+V339+V340-V349-V351,"")</f>
        <v/>
      </c>
      <c r="W373" s="263">
        <f>IF(ISNUMBER(W338),W338+W339+W340-W349-W351,"")</f>
        <v/>
      </c>
      <c r="X373" s="263">
        <f>IF(ISNUMBER(X338),X338+X339+X340-X349-X351,"")</f>
        <v/>
      </c>
      <c r="Y373" s="263">
        <f>IF(ISNUMBER(Y338),Y338+Y339+Y340-Y349-Y351,"")</f>
        <v/>
      </c>
      <c r="Z373" s="263">
        <f>IF(ISNUMBER(Z338),Z338+Z339+Z340-Z349-Z351,"")</f>
        <v/>
      </c>
      <c r="AA373" s="263">
        <f>IF(ISNUMBER(AA338),AA338+AA339+AA340-AA349-AA351,"")</f>
        <v/>
      </c>
      <c r="AB373" s="263">
        <f>IF(ISNUMBER(AB338),AB338+AB339+AB340-AB349-AB351,"")</f>
        <v/>
      </c>
      <c r="AC373" s="263">
        <f>IF(ISNUMBER(AC338),AC338+AC339+AC340-AC349-AC351,"")</f>
        <v/>
      </c>
      <c r="AD373" s="263">
        <f>IF(ISNUMBER(AD338),AD338+AD339+AD340-AD349-AD351,"")</f>
        <v/>
      </c>
      <c r="AE373" s="263">
        <f>IF(ISNUMBER(AE338),AE338+AE339+AE340-AE349-AE351,"")</f>
        <v/>
      </c>
      <c r="AF373" s="263">
        <f>IF(ISNUMBER(AF338),AF338+AF339+AF340-AF349-AF351,"")</f>
        <v/>
      </c>
      <c r="AG373" s="263">
        <f>IF(ISNUMBER(AG338),AG338+AG339+AG340-AG349-AG351,"")</f>
        <v/>
      </c>
      <c r="AH373" s="263">
        <f>IF(ISNUMBER(AH338),AH338+AH339+AH340-AH349-AH351,"")</f>
        <v/>
      </c>
      <c r="AI373" s="263">
        <f>IF(ISNUMBER(AI338),AI338+AI339+AI340-AI349-AI351,"")</f>
        <v/>
      </c>
      <c r="AJ373" s="263">
        <f>IF(ISNUMBER(AJ338),AJ338+AJ339+AJ340-AJ349-AJ351,"")</f>
        <v/>
      </c>
      <c r="AK373" s="263">
        <f>IF(ISNUMBER(AK338),AK338+AK339+AK340-AK349-AK351,"")</f>
        <v/>
      </c>
      <c r="AL373" s="263">
        <f>IF(ISNUMBER(AL338),AL338+AL339+AL340-AL349-AL351,"")</f>
        <v/>
      </c>
      <c r="AM373" s="35" t="n"/>
      <c r="AN373" s="35" t="n"/>
      <c r="AO373" s="35" t="n"/>
      <c r="AP373" s="254">
        <f>IF(ISNUMBER(AP338),AP338+AP339+AP340-AP349-AP351,"")</f>
        <v/>
      </c>
      <c r="AQ373" s="254">
        <f>IF(ISNUMBER(AQ338),AQ338+AQ339+AQ340-AQ349-AQ351,"")</f>
        <v/>
      </c>
      <c r="AR373" s="254">
        <f>IF(ISNUMBER(AR338),AR338+AR339+AR340-AR349-AR351,"")</f>
        <v/>
      </c>
      <c r="AS373" s="254">
        <f>IF(ISNUMBER(AS338),AS338+AS339+AS340-AS349-AS351,"")</f>
        <v/>
      </c>
      <c r="AT373" s="254">
        <f>IF(ISNUMBER(AT338),AT338+AT339+AT340-AT349-AT351,"")</f>
        <v/>
      </c>
      <c r="AU373" s="19" t="n"/>
    </row>
    <row r="374" ht="15" customHeight="1" s="251">
      <c r="B374" s="25" t="inlineStr">
        <is>
          <t xml:space="preserve">  NWC % of revenue</t>
        </is>
      </c>
      <c r="C374" s="215">
        <f>IF(ISNUMBER(C373),IFERROR(C373/C367,""),"")</f>
        <v/>
      </c>
      <c r="D374" s="215">
        <f>IF(ISNUMBER(D373),IFERROR(D373/D367,""),"")</f>
        <v/>
      </c>
      <c r="E374" s="215">
        <f>IF(ISNUMBER(E373),IFERROR(E373/E367,""),"")</f>
        <v/>
      </c>
      <c r="F374" s="215">
        <f>IF(ISNUMBER(F373),IFERROR(F373/F367,""),"")</f>
        <v/>
      </c>
      <c r="G374" s="215">
        <f>IF(ISNUMBER(G373),IFERROR(G373/G367,""),"")</f>
        <v/>
      </c>
      <c r="H374" s="215">
        <f>IF(ISNUMBER(H373),IFERROR(H373/H367,""),"")</f>
        <v/>
      </c>
      <c r="I374" s="215">
        <f>IF(ISNUMBER(I373),IFERROR(I373/I367,""),"")</f>
        <v/>
      </c>
      <c r="J374" s="215">
        <f>IF(ISNUMBER(J373),IFERROR(J373/J367,""),"")</f>
        <v/>
      </c>
      <c r="K374" s="215">
        <f>IF(ISNUMBER(K373),IFERROR(K373/K367,""),"")</f>
        <v/>
      </c>
      <c r="L374" s="215">
        <f>IF(ISNUMBER(L373),IFERROR(L373/L367,""),"")</f>
        <v/>
      </c>
      <c r="M374" s="215">
        <f>IF(ISNUMBER(M373),IFERROR(M373/M367,""),"")</f>
        <v/>
      </c>
      <c r="N374" s="215">
        <f>IF(ISNUMBER(N373),IFERROR(N373/N367,""),"")</f>
        <v/>
      </c>
      <c r="O374" s="215">
        <f>IF(ISNUMBER(O373),IFERROR(O373/O367,""),"")</f>
        <v/>
      </c>
      <c r="P374" s="215">
        <f>IF(ISNUMBER(P373),IFERROR(P373/P367,""),"")</f>
        <v/>
      </c>
      <c r="Q374" s="215">
        <f>IF(ISNUMBER(Q373),IFERROR(Q373/Q367,""),"")</f>
        <v/>
      </c>
      <c r="R374" s="215">
        <f>IF(ISNUMBER(R373),IFERROR(R373/R367,""),"")</f>
        <v/>
      </c>
      <c r="S374" s="215">
        <f>IF(ISNUMBER(S373),IFERROR(S373/S367,""),"")</f>
        <v/>
      </c>
      <c r="T374" s="215">
        <f>IF(ISNUMBER(T373),IFERROR(T373/T367,""),"")</f>
        <v/>
      </c>
      <c r="U374" s="215">
        <f>IF(ISNUMBER(U373),IFERROR(U373/U367,""),"")</f>
        <v/>
      </c>
      <c r="V374" s="215">
        <f>IF(ISNUMBER(V373),IFERROR(V373/V367,""),"")</f>
        <v/>
      </c>
      <c r="W374" s="215">
        <f>IF(ISNUMBER(W373),IFERROR(W373/W367,""),"")</f>
        <v/>
      </c>
      <c r="X374" s="215">
        <f>IF(ISNUMBER(X373),IFERROR(X373/X367,""),"")</f>
        <v/>
      </c>
      <c r="Y374" s="215">
        <f>IF(ISNUMBER(Y373),IFERROR(Y373/Y367,""),"")</f>
        <v/>
      </c>
      <c r="Z374" s="215">
        <f>IF(ISNUMBER(Z373),IFERROR(Z373/Z367,""),"")</f>
        <v/>
      </c>
      <c r="AA374" s="215">
        <f>IF(ISNUMBER(AA373),IFERROR(AA373/AA367,""),"")</f>
        <v/>
      </c>
      <c r="AB374" s="215">
        <f>IF(ISNUMBER(AB373),IFERROR(AB373/AB367,""),"")</f>
        <v/>
      </c>
      <c r="AC374" s="215">
        <f>IF(ISNUMBER(AC373),IFERROR(AC373/AC367,""),"")</f>
        <v/>
      </c>
      <c r="AD374" s="215">
        <f>IF(ISNUMBER(AD373),IFERROR(AD373/AD367,""),"")</f>
        <v/>
      </c>
      <c r="AE374" s="215">
        <f>IF(ISNUMBER(AE373),IFERROR(AE373/AE367,""),"")</f>
        <v/>
      </c>
      <c r="AF374" s="215">
        <f>IF(ISNUMBER(AF373),IFERROR(AF373/AF367,""),"")</f>
        <v/>
      </c>
      <c r="AG374" s="215">
        <f>IF(ISNUMBER(AG373),IFERROR(AG373/AG367,""),"")</f>
        <v/>
      </c>
      <c r="AH374" s="215">
        <f>IF(ISNUMBER(AH373),IFERROR(AH373/AH367,""),"")</f>
        <v/>
      </c>
      <c r="AI374" s="215">
        <f>IF(ISNUMBER(AI373),IFERROR(AI373/AI367,""),"")</f>
        <v/>
      </c>
      <c r="AJ374" s="215">
        <f>IF(ISNUMBER(AJ373),IFERROR(AJ373/AJ367,""),"")</f>
        <v/>
      </c>
      <c r="AK374" s="215">
        <f>IF(ISNUMBER(AK373),IFERROR(AK373/AK367,""),"")</f>
        <v/>
      </c>
      <c r="AL374" s="215">
        <f>IF(ISNUMBER(AL373),IFERROR(AL373/AL367,""),"")</f>
        <v/>
      </c>
      <c r="AM374" s="24" t="n"/>
      <c r="AN374" s="24" t="n"/>
      <c r="AO374" s="24" t="n"/>
      <c r="AP374" s="256">
        <f>IF(ISNUMBER(AP373),IFERROR(AP373/AP367,""),"")</f>
        <v/>
      </c>
      <c r="AQ374" s="256">
        <f>IF(ISNUMBER(AQ373),IFERROR(AQ373/AQ367,""),"")</f>
        <v/>
      </c>
      <c r="AR374" s="256">
        <f>IF(ISNUMBER(AR373),IFERROR(AR373/AR367,""),"")</f>
        <v/>
      </c>
      <c r="AS374" s="256">
        <f>IF(ISNUMBER(AS373),IFERROR(AS373/AS367,""),"")</f>
        <v/>
      </c>
      <c r="AT374" s="256">
        <f>IF(ISNUMBER(AT373),IFERROR(AT373/AT367,""),"")</f>
        <v/>
      </c>
      <c r="AU374" s="153" t="n"/>
      <c r="AW374" s="37">
        <f>IFERROR(AVERAGE(AP374,AQ374,AR374,AS374,AT374),"n/m")</f>
        <v/>
      </c>
      <c r="AX374" s="37">
        <f>IFERROR(AVERAGE(Q374,V374,AA374,AF374,AK374),"n/m")</f>
        <v/>
      </c>
      <c r="AY374" s="37">
        <f>IFERROR(AVERAGE(H374,I374,J374,K374,L374,Q374,V374,AA374,AF374,AK374),"n/m")</f>
        <v/>
      </c>
      <c r="AZ374" s="37">
        <f>IFERROR(AVERAGE(C374,D374,E374,F374,G374,H374,I374,J374,K374,L374,Q374,V374,AA374,AF374,AK374),"n/m")</f>
        <v/>
      </c>
    </row>
    <row r="375" ht="15" customHeight="1" s="251">
      <c r="B375" s="25" t="inlineStr">
        <is>
          <t xml:space="preserve">  ΔNWC (y/y)</t>
        </is>
      </c>
      <c r="C375" s="34" t="n"/>
      <c r="D375" s="263">
        <f>IF(AND(ISNUMBER(D373),ISNUMBER(C373)),D373-C373,"")</f>
        <v/>
      </c>
      <c r="E375" s="263">
        <f>IF(AND(ISNUMBER(E373),ISNUMBER(D373)),E373-D373,"")</f>
        <v/>
      </c>
      <c r="F375" s="263">
        <f>IF(AND(ISNUMBER(F373),ISNUMBER(E373)),F373-E373,"")</f>
        <v/>
      </c>
      <c r="G375" s="263">
        <f>IF(AND(ISNUMBER(G373),ISNUMBER(F373)),G373-F373,"")</f>
        <v/>
      </c>
      <c r="H375" s="263">
        <f>IF(AND(ISNUMBER(H373),ISNUMBER(G373)),H373-G373,"")</f>
        <v/>
      </c>
      <c r="I375" s="263">
        <f>IF(AND(ISNUMBER(I373),ISNUMBER(H373)),I373-H373,"")</f>
        <v/>
      </c>
      <c r="J375" s="263">
        <f>IF(AND(ISNUMBER(J373),ISNUMBER(I373)),J373-I373,"")</f>
        <v/>
      </c>
      <c r="K375" s="263">
        <f>IF(AND(ISNUMBER(K373),ISNUMBER(J373)),K373-J373,"")</f>
        <v/>
      </c>
      <c r="L375" s="263">
        <f>IF(AND(ISNUMBER(L373),ISNUMBER(K373)),L373-K373,"")</f>
        <v/>
      </c>
      <c r="M375" s="34" t="n"/>
      <c r="N375" s="34" t="n"/>
      <c r="O375" s="34" t="n"/>
      <c r="P375" s="34" t="n"/>
      <c r="Q375" s="263">
        <f>IF(AND(ISNUMBER(Q373),ISNUMBER(L373)),Q373-L373,"")</f>
        <v/>
      </c>
      <c r="R375" s="263">
        <f>IF(AND(ISNUMBER(R373),ISNUMBER(M373)),R373-M373,"")</f>
        <v/>
      </c>
      <c r="S375" s="263">
        <f>IF(AND(ISNUMBER(S373),ISNUMBER(N373)),S373-N373,"")</f>
        <v/>
      </c>
      <c r="T375" s="263">
        <f>IF(AND(ISNUMBER(T373),ISNUMBER(O373)),T373-O373,"")</f>
        <v/>
      </c>
      <c r="U375" s="263">
        <f>IF(AND(ISNUMBER(U373),ISNUMBER(P373)),U373-P373,"")</f>
        <v/>
      </c>
      <c r="V375" s="263">
        <f>IF(AND(ISNUMBER(V373),ISNUMBER(Q373)),V373-Q373,"")</f>
        <v/>
      </c>
      <c r="W375" s="263">
        <f>IF(AND(ISNUMBER(W373),ISNUMBER(R373)),W373-R373,"")</f>
        <v/>
      </c>
      <c r="X375" s="263">
        <f>IF(AND(ISNUMBER(X373),ISNUMBER(S373)),X373-S373,"")</f>
        <v/>
      </c>
      <c r="Y375" s="263">
        <f>IF(AND(ISNUMBER(Y373),ISNUMBER(T373)),Y373-T373,"")</f>
        <v/>
      </c>
      <c r="Z375" s="263">
        <f>IF(AND(ISNUMBER(Z373),ISNUMBER(U373)),Z373-U373,"")</f>
        <v/>
      </c>
      <c r="AA375" s="263">
        <f>IF(AND(ISNUMBER(AA373),ISNUMBER(V373)),AA373-V373,"")</f>
        <v/>
      </c>
      <c r="AB375" s="263">
        <f>IF(AND(ISNUMBER(AB373),ISNUMBER(W373)),AB373-W373,"")</f>
        <v/>
      </c>
      <c r="AC375" s="263">
        <f>IF(AND(ISNUMBER(AC373),ISNUMBER(X373)),AC373-X373,"")</f>
        <v/>
      </c>
      <c r="AD375" s="263">
        <f>IF(AND(ISNUMBER(AD373),ISNUMBER(Y373)),AD373-Y373,"")</f>
        <v/>
      </c>
      <c r="AE375" s="263">
        <f>IF(AND(ISNUMBER(AE373),ISNUMBER(Z373)),AE373-Z373,"")</f>
        <v/>
      </c>
      <c r="AF375" s="263">
        <f>IF(AND(ISNUMBER(AF373),ISNUMBER(AA373)),AF373-AA373,"")</f>
        <v/>
      </c>
      <c r="AG375" s="263">
        <f>IF(AND(ISNUMBER(AG373),ISNUMBER(AB373)),AG373-AB373,"")</f>
        <v/>
      </c>
      <c r="AH375" s="263">
        <f>IF(AND(ISNUMBER(AH373),ISNUMBER(AC373)),AH373-AC373,"")</f>
        <v/>
      </c>
      <c r="AI375" s="263">
        <f>IF(AND(ISNUMBER(AI373),ISNUMBER(AD373)),AI373-AD373,"")</f>
        <v/>
      </c>
      <c r="AJ375" s="263">
        <f>IF(AND(ISNUMBER(AJ373),ISNUMBER(AE373)),AJ373-AE373,"")</f>
        <v/>
      </c>
      <c r="AK375" s="263">
        <f>IF(AND(ISNUMBER(AK373),ISNUMBER(AF373)),AK373-AF373,"")</f>
        <v/>
      </c>
      <c r="AL375" s="263">
        <f>IF(AND(ISNUMBER(AL373),ISNUMBER(AG373)),AL373-AG373,"")</f>
        <v/>
      </c>
      <c r="AM375" s="35" t="n"/>
      <c r="AN375" s="35" t="n"/>
      <c r="AO375" s="35" t="n"/>
      <c r="AP375" s="254">
        <f>IF(AND(ISNUMBER(AP373),ISNUMBER(AK373)),AP373-AK373,"")</f>
        <v/>
      </c>
      <c r="AQ375" s="254">
        <f>IF(AND(ISNUMBER(AQ373),ISNUMBER(AP373)),AQ373-AP373,"")</f>
        <v/>
      </c>
      <c r="AR375" s="254">
        <f>IF(AND(ISNUMBER(AR373),ISNUMBER(AQ373)),AR373-AQ373,"")</f>
        <v/>
      </c>
      <c r="AS375" s="254">
        <f>IF(AND(ISNUMBER(AS373),ISNUMBER(AR373)),AS373-AR373,"")</f>
        <v/>
      </c>
      <c r="AT375" s="254">
        <f>IF(AND(ISNUMBER(AT373),ISNUMBER(AS373)),AT373-AS373,"")</f>
        <v/>
      </c>
      <c r="AU375" s="19" t="n"/>
    </row>
    <row r="376" ht="15" customHeight="1" s="251">
      <c r="BC376" s="11" t="n"/>
      <c r="BD376" s="12" t="n"/>
      <c r="BE376" s="12" t="n"/>
      <c r="BF376" s="12" t="n"/>
      <c r="BG376" s="13" t="n"/>
    </row>
    <row r="377" ht="15" customHeight="1" s="251">
      <c r="B377" s="10" t="inlineStr">
        <is>
          <t>BALANCE SHEET FORECAST SCHEDULES</t>
        </is>
      </c>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c r="AG377" s="10" t="n"/>
      <c r="AH377" s="10" t="n"/>
      <c r="AI377" s="10" t="n"/>
      <c r="AJ377" s="10" t="n"/>
      <c r="AK377" s="10" t="n"/>
      <c r="AL377" s="10" t="n"/>
      <c r="AM377" s="10" t="n"/>
      <c r="AN377" s="10" t="n"/>
      <c r="AO377" s="10" t="n"/>
      <c r="AP377" s="10" t="n"/>
      <c r="AQ377" s="10" t="n"/>
      <c r="AR377" s="10" t="n"/>
      <c r="AS377" s="10" t="n"/>
      <c r="AT377" s="10" t="n"/>
      <c r="AU377" s="10" t="inlineStr">
        <is>
          <t>BS FORECAST SCHEDULES — explicit driver assumptions</t>
        </is>
      </c>
    </row>
    <row r="378" ht="15" customHeight="1" s="251">
      <c r="B378" s="25" t="inlineStr">
        <is>
          <t>Major acquisitions — consideration &amp; purchase-price allocation (closing-period column)</t>
        </is>
      </c>
      <c r="AU378" s="153" t="n"/>
    </row>
    <row r="379" ht="15" customHeight="1" s="251">
      <c r="B379" s="69" t="inlineStr">
        <is>
          <t xml:space="preserve">  Consideration — net assets acquired (Synergy incl. noncontrolling interests)</t>
        </is>
      </c>
      <c r="C379" s="44" t="n"/>
      <c r="D379" s="44" t="n"/>
      <c r="E379" s="44" t="n"/>
      <c r="F379" s="44" t="n"/>
      <c r="G379" s="253" t="n">
        <v>2303.548</v>
      </c>
      <c r="H379" s="44" t="n"/>
      <c r="I379" s="44" t="n"/>
      <c r="J379" s="44" t="n"/>
      <c r="K379" s="44" t="n"/>
      <c r="L379" s="44" t="n"/>
      <c r="M379" s="253" t="n">
        <v>3599.471</v>
      </c>
      <c r="N379" s="44" t="n"/>
      <c r="O379" s="44" t="n"/>
      <c r="P379" s="44" t="n"/>
      <c r="Q379" s="44" t="n"/>
      <c r="R379" s="44" t="n"/>
      <c r="S379" s="44" t="n"/>
      <c r="T379" s="44" t="n"/>
      <c r="U379" s="44" t="n"/>
      <c r="V379" s="44" t="n"/>
      <c r="W379" s="44" t="n"/>
      <c r="X379" s="253" t="n">
        <v>539.758</v>
      </c>
      <c r="Y379" s="44" t="n"/>
      <c r="Z379" s="44" t="n"/>
      <c r="AA379" s="44" t="n"/>
      <c r="AB379" s="44" t="n"/>
      <c r="AC379" s="44" t="n"/>
      <c r="AD379" s="44" t="n"/>
      <c r="AE379" s="44" t="n"/>
      <c r="AF379" s="44" t="n"/>
      <c r="AG379" s="44" t="n"/>
      <c r="AH379" s="44" t="n"/>
      <c r="AI379" s="44" t="n"/>
      <c r="AJ379" s="44" t="n"/>
      <c r="AK379" s="44" t="n"/>
      <c r="AL379" s="44" t="n"/>
      <c r="AM379" s="153" t="n"/>
      <c r="AN379" s="153" t="n"/>
      <c r="AO379" s="153" t="n"/>
      <c r="AP379" s="35" t="n"/>
      <c r="AQ379" s="35" t="n"/>
      <c r="AR379" s="35" t="n"/>
      <c r="AS379" s="35" t="n"/>
      <c r="AT379" s="35" t="n"/>
      <c r="AU379" s="19" t="n"/>
    </row>
    <row r="380" ht="15" customHeight="1" s="251">
      <c r="B380" s="69" t="inlineStr">
        <is>
          <t xml:space="preserve">  Current assets acquired (cash, receivables, inventory)</t>
        </is>
      </c>
      <c r="C380" s="44" t="n"/>
      <c r="D380" s="44" t="n"/>
      <c r="E380" s="44" t="n"/>
      <c r="F380" s="44" t="n"/>
      <c r="G380" s="253" t="n">
        <v>190.472</v>
      </c>
      <c r="H380" s="44" t="n"/>
      <c r="I380" s="44" t="n"/>
      <c r="J380" s="44" t="n"/>
      <c r="K380" s="44" t="n"/>
      <c r="L380" s="44" t="n"/>
      <c r="M380" s="253" t="n">
        <v>590.52</v>
      </c>
      <c r="N380" s="44" t="n"/>
      <c r="O380" s="44" t="n"/>
      <c r="P380" s="44" t="n"/>
      <c r="Q380" s="44" t="n"/>
      <c r="R380" s="44" t="n"/>
      <c r="S380" s="44" t="n"/>
      <c r="T380" s="44" t="n"/>
      <c r="U380" s="44" t="n"/>
      <c r="V380" s="44" t="n"/>
      <c r="W380" s="44" t="n"/>
      <c r="X380" s="253" t="n">
        <v>31.827</v>
      </c>
      <c r="Y380" s="44" t="n"/>
      <c r="Z380" s="44" t="n"/>
      <c r="AA380" s="44" t="n"/>
      <c r="AB380" s="44" t="n"/>
      <c r="AC380" s="44" t="n"/>
      <c r="AD380" s="44" t="n"/>
      <c r="AE380" s="44" t="n"/>
      <c r="AF380" s="44" t="n"/>
      <c r="AG380" s="44" t="n"/>
      <c r="AH380" s="44" t="n"/>
      <c r="AI380" s="44" t="n"/>
      <c r="AJ380" s="44" t="n"/>
      <c r="AK380" s="44" t="n"/>
      <c r="AL380" s="44" t="n"/>
      <c r="AM380" s="153" t="n"/>
      <c r="AN380" s="153" t="n"/>
      <c r="AO380" s="153" t="n"/>
      <c r="AP380" s="35" t="n"/>
      <c r="AQ380" s="35" t="n"/>
      <c r="AR380" s="35" t="n"/>
      <c r="AS380" s="35" t="n"/>
      <c r="AT380" s="35" t="n"/>
      <c r="AU380" s="19" t="n"/>
    </row>
    <row r="381" ht="15" customHeight="1" s="251">
      <c r="B381" s="69" t="inlineStr">
        <is>
          <t xml:space="preserve">  Property, plant &amp; equipment</t>
        </is>
      </c>
      <c r="C381" s="44" t="n"/>
      <c r="D381" s="44" t="n"/>
      <c r="E381" s="44" t="n"/>
      <c r="F381" s="44" t="n"/>
      <c r="G381" s="253" t="n">
        <v>534.879</v>
      </c>
      <c r="H381" s="44" t="n"/>
      <c r="I381" s="44" t="n"/>
      <c r="J381" s="44" t="n"/>
      <c r="K381" s="44" t="n"/>
      <c r="L381" s="44" t="n"/>
      <c r="M381" s="253" t="n">
        <v>266.078</v>
      </c>
      <c r="N381" s="44" t="n"/>
      <c r="O381" s="44" t="n"/>
      <c r="P381" s="44" t="n"/>
      <c r="Q381" s="44" t="n"/>
      <c r="R381" s="44" t="n"/>
      <c r="S381" s="44" t="n"/>
      <c r="T381" s="44" t="n"/>
      <c r="U381" s="44" t="n"/>
      <c r="V381" s="44" t="n"/>
      <c r="W381" s="44" t="n"/>
      <c r="X381" s="253" t="n">
        <v>7.864</v>
      </c>
      <c r="Y381" s="44" t="n"/>
      <c r="Z381" s="44" t="n"/>
      <c r="AA381" s="44" t="n"/>
      <c r="AB381" s="44" t="n"/>
      <c r="AC381" s="44" t="n"/>
      <c r="AD381" s="44" t="n"/>
      <c r="AE381" s="44" t="n"/>
      <c r="AF381" s="44" t="n"/>
      <c r="AG381" s="44" t="n"/>
      <c r="AH381" s="44" t="n"/>
      <c r="AI381" s="44" t="n"/>
      <c r="AJ381" s="44" t="n"/>
      <c r="AK381" s="44" t="n"/>
      <c r="AL381" s="44" t="n"/>
      <c r="AM381" s="153" t="n"/>
      <c r="AN381" s="153" t="n"/>
      <c r="AO381" s="153" t="n"/>
      <c r="AP381" s="35" t="n"/>
      <c r="AQ381" s="35" t="n"/>
      <c r="AR381" s="35" t="n"/>
      <c r="AS381" s="35" t="n"/>
      <c r="AT381" s="35" t="n"/>
      <c r="AU381" s="19" t="n"/>
    </row>
    <row r="382" ht="15" customHeight="1" s="251">
      <c r="B382" s="69" t="inlineStr">
        <is>
          <t xml:space="preserve">  Intangible assets (customer relationships, trade names, technology)</t>
        </is>
      </c>
      <c r="C382" s="44" t="n"/>
      <c r="D382" s="44" t="n"/>
      <c r="E382" s="44" t="n"/>
      <c r="F382" s="44" t="n"/>
      <c r="G382" s="253" t="n">
        <v>806.526</v>
      </c>
      <c r="H382" s="44" t="n"/>
      <c r="I382" s="44" t="n"/>
      <c r="J382" s="44" t="n"/>
      <c r="K382" s="44" t="n"/>
      <c r="L382" s="44" t="n"/>
      <c r="M382" s="253" t="n">
        <v>2942</v>
      </c>
      <c r="N382" s="44" t="n"/>
      <c r="O382" s="44" t="n"/>
      <c r="P382" s="44" t="n"/>
      <c r="Q382" s="44" t="n"/>
      <c r="R382" s="44" t="n"/>
      <c r="S382" s="44" t="n"/>
      <c r="T382" s="44" t="n"/>
      <c r="U382" s="44" t="n"/>
      <c r="V382" s="44" t="n"/>
      <c r="W382" s="44" t="n"/>
      <c r="X382" s="253" t="n">
        <v>303</v>
      </c>
      <c r="Y382" s="44" t="n"/>
      <c r="Z382" s="44" t="n"/>
      <c r="AA382" s="44" t="n"/>
      <c r="AB382" s="44" t="n"/>
      <c r="AC382" s="44" t="n"/>
      <c r="AD382" s="44" t="n"/>
      <c r="AE382" s="44" t="n"/>
      <c r="AF382" s="44" t="n"/>
      <c r="AG382" s="44" t="n"/>
      <c r="AH382" s="44" t="n"/>
      <c r="AI382" s="44" t="n"/>
      <c r="AJ382" s="44" t="n"/>
      <c r="AK382" s="44" t="n"/>
      <c r="AL382" s="44" t="n"/>
      <c r="AM382" s="153" t="n"/>
      <c r="AN382" s="153" t="n"/>
      <c r="AO382" s="153" t="n"/>
      <c r="AP382" s="35" t="n"/>
      <c r="AQ382" s="35" t="n"/>
      <c r="AR382" s="35" t="n"/>
      <c r="AS382" s="35" t="n"/>
      <c r="AT382" s="35" t="n"/>
      <c r="AU382" s="19" t="n"/>
    </row>
    <row r="383" ht="15" customHeight="1" s="251">
      <c r="B383" s="69" t="inlineStr">
        <is>
          <t xml:space="preserve">  Goodwill</t>
        </is>
      </c>
      <c r="C383" s="44" t="n"/>
      <c r="D383" s="44" t="n"/>
      <c r="E383" s="44" t="n"/>
      <c r="F383" s="44" t="n"/>
      <c r="G383" s="253" t="n">
        <v>1411.781</v>
      </c>
      <c r="H383" s="44" t="n"/>
      <c r="I383" s="44" t="n"/>
      <c r="J383" s="44" t="n"/>
      <c r="K383" s="44" t="n"/>
      <c r="L383" s="44" t="n"/>
      <c r="M383" s="253" t="n">
        <v>1544.469</v>
      </c>
      <c r="N383" s="44" t="n"/>
      <c r="O383" s="44" t="n"/>
      <c r="P383" s="44" t="n"/>
      <c r="Q383" s="44" t="n"/>
      <c r="R383" s="44" t="n"/>
      <c r="S383" s="44" t="n"/>
      <c r="T383" s="44" t="n"/>
      <c r="U383" s="44" t="n"/>
      <c r="V383" s="44" t="n"/>
      <c r="W383" s="44" t="n"/>
      <c r="X383" s="253" t="n">
        <v>197.067</v>
      </c>
      <c r="Y383" s="44" t="n"/>
      <c r="Z383" s="44" t="n"/>
      <c r="AA383" s="44" t="n"/>
      <c r="AB383" s="44" t="n"/>
      <c r="AC383" s="44" t="n"/>
      <c r="AD383" s="44" t="n"/>
      <c r="AE383" s="44" t="n"/>
      <c r="AF383" s="44" t="n"/>
      <c r="AG383" s="44" t="n"/>
      <c r="AH383" s="44" t="n"/>
      <c r="AI383" s="44" t="n"/>
      <c r="AJ383" s="44" t="n"/>
      <c r="AK383" s="44" t="n"/>
      <c r="AL383" s="44" t="n"/>
      <c r="AM383" s="153" t="n"/>
      <c r="AN383" s="153" t="n"/>
      <c r="AO383" s="153" t="n"/>
      <c r="AP383" s="35" t="n"/>
      <c r="AQ383" s="35" t="n"/>
      <c r="AR383" s="35" t="n"/>
      <c r="AS383" s="35" t="n"/>
      <c r="AT383" s="35" t="n"/>
      <c r="AU383" s="19" t="n"/>
    </row>
    <row r="384" ht="15" customHeight="1" s="251">
      <c r="B384" s="69" t="inlineStr">
        <is>
          <t xml:space="preserve">  Other noncurrent assets (incl. lease right-of-use)</t>
        </is>
      </c>
      <c r="C384" s="44" t="n"/>
      <c r="D384" s="44" t="n"/>
      <c r="E384" s="44" t="n"/>
      <c r="F384" s="44" t="n"/>
      <c r="G384" s="253" t="n">
        <v>19.708</v>
      </c>
      <c r="H384" s="44" t="n"/>
      <c r="I384" s="44" t="n"/>
      <c r="J384" s="44" t="n"/>
      <c r="K384" s="44" t="n"/>
      <c r="L384" s="44" t="n"/>
      <c r="M384" s="253" t="n">
        <v>132.584</v>
      </c>
      <c r="N384" s="44" t="n"/>
      <c r="O384" s="44" t="n"/>
      <c r="P384" s="44" t="n"/>
      <c r="Q384" s="44" t="n"/>
      <c r="R384" s="44" t="n"/>
      <c r="S384" s="44" t="n"/>
      <c r="T384" s="44" t="n"/>
      <c r="U384" s="44" t="n"/>
      <c r="V384" s="44" t="n"/>
      <c r="W384" s="44" t="n"/>
      <c r="X384" s="253" t="n">
        <v>1.737</v>
      </c>
      <c r="Y384" s="44" t="n"/>
      <c r="Z384" s="44" t="n"/>
      <c r="AA384" s="44" t="n"/>
      <c r="AB384" s="44" t="n"/>
      <c r="AC384" s="44" t="n"/>
      <c r="AD384" s="44" t="n"/>
      <c r="AE384" s="44" t="n"/>
      <c r="AF384" s="44" t="n"/>
      <c r="AG384" s="44" t="n"/>
      <c r="AH384" s="44" t="n"/>
      <c r="AI384" s="44" t="n"/>
      <c r="AJ384" s="44" t="n"/>
      <c r="AK384" s="44" t="n"/>
      <c r="AL384" s="44" t="n"/>
      <c r="AM384" s="153" t="n"/>
      <c r="AN384" s="153" t="n"/>
      <c r="AO384" s="153" t="n"/>
      <c r="AP384" s="35" t="n"/>
      <c r="AQ384" s="35" t="n"/>
      <c r="AR384" s="35" t="n"/>
      <c r="AS384" s="35" t="n"/>
      <c r="AT384" s="35" t="n"/>
      <c r="AU384" s="19" t="n"/>
    </row>
    <row r="385" ht="15" customHeight="1" s="251">
      <c r="B385" s="69" t="inlineStr">
        <is>
          <t xml:space="preserve">  Current liabilities assumed</t>
        </is>
      </c>
      <c r="C385" s="44" t="n"/>
      <c r="D385" s="44" t="n"/>
      <c r="E385" s="44" t="n"/>
      <c r="F385" s="44" t="n"/>
      <c r="G385" s="253" t="n">
        <v>108.192</v>
      </c>
      <c r="H385" s="44" t="n"/>
      <c r="I385" s="44" t="n"/>
      <c r="J385" s="44" t="n"/>
      <c r="K385" s="44" t="n"/>
      <c r="L385" s="44" t="n"/>
      <c r="M385" s="253" t="n">
        <v>253.144</v>
      </c>
      <c r="N385" s="44" t="n"/>
      <c r="O385" s="44" t="n"/>
      <c r="P385" s="44" t="n"/>
      <c r="Q385" s="44" t="n"/>
      <c r="R385" s="44" t="n"/>
      <c r="S385" s="44" t="n"/>
      <c r="T385" s="44" t="n"/>
      <c r="U385" s="44" t="n"/>
      <c r="V385" s="44" t="n"/>
      <c r="W385" s="44" t="n"/>
      <c r="X385" s="253" t="n">
        <v>0</v>
      </c>
      <c r="Y385" s="44" t="n"/>
      <c r="Z385" s="44" t="n"/>
      <c r="AA385" s="44" t="n"/>
      <c r="AB385" s="44" t="n"/>
      <c r="AC385" s="44" t="n"/>
      <c r="AD385" s="44" t="n"/>
      <c r="AE385" s="44" t="n"/>
      <c r="AF385" s="44" t="n"/>
      <c r="AG385" s="44" t="n"/>
      <c r="AH385" s="44" t="n"/>
      <c r="AI385" s="44" t="n"/>
      <c r="AJ385" s="44" t="n"/>
      <c r="AK385" s="44" t="n"/>
      <c r="AL385" s="44" t="n"/>
      <c r="AM385" s="153" t="n"/>
      <c r="AN385" s="153" t="n"/>
      <c r="AO385" s="153" t="n"/>
      <c r="AP385" s="35" t="n"/>
      <c r="AQ385" s="35" t="n"/>
      <c r="AR385" s="35" t="n"/>
      <c r="AS385" s="35" t="n"/>
      <c r="AT385" s="35" t="n"/>
      <c r="AU385" s="19" t="n"/>
    </row>
    <row r="386" ht="15" customHeight="1" s="251">
      <c r="B386" s="69" t="inlineStr">
        <is>
          <t xml:space="preserve">  Debt assumed (Cantel: repaid at closing $721.3m + convertible notes $168.0m)</t>
        </is>
      </c>
      <c r="C386" s="44" t="n"/>
      <c r="D386" s="44" t="n"/>
      <c r="E386" s="44" t="n"/>
      <c r="F386" s="44" t="n"/>
      <c r="G386" s="253" t="n">
        <v>321.082</v>
      </c>
      <c r="H386" s="44" t="n"/>
      <c r="I386" s="44" t="n"/>
      <c r="J386" s="44" t="n"/>
      <c r="K386" s="44" t="n"/>
      <c r="L386" s="44" t="n"/>
      <c r="M386" s="253" t="n">
        <v>889.284</v>
      </c>
      <c r="N386" s="44" t="n"/>
      <c r="O386" s="44" t="n"/>
      <c r="P386" s="44" t="n"/>
      <c r="Q386" s="44" t="n"/>
      <c r="R386" s="44" t="n"/>
      <c r="S386" s="44" t="n"/>
      <c r="T386" s="44" t="n"/>
      <c r="U386" s="44" t="n"/>
      <c r="V386" s="44" t="n"/>
      <c r="W386" s="44" t="n"/>
      <c r="X386" s="253" t="n">
        <v>0</v>
      </c>
      <c r="Y386" s="44" t="n"/>
      <c r="Z386" s="44" t="n"/>
      <c r="AA386" s="44" t="n"/>
      <c r="AB386" s="44" t="n"/>
      <c r="AC386" s="44" t="n"/>
      <c r="AD386" s="44" t="n"/>
      <c r="AE386" s="44" t="n"/>
      <c r="AF386" s="44" t="n"/>
      <c r="AG386" s="44" t="n"/>
      <c r="AH386" s="44" t="n"/>
      <c r="AI386" s="44" t="n"/>
      <c r="AJ386" s="44" t="n"/>
      <c r="AK386" s="44" t="n"/>
      <c r="AL386" s="44" t="n"/>
      <c r="AM386" s="153" t="n"/>
      <c r="AN386" s="153" t="n"/>
      <c r="AO386" s="153" t="n"/>
      <c r="AP386" s="35" t="n"/>
      <c r="AQ386" s="35" t="n"/>
      <c r="AR386" s="35" t="n"/>
      <c r="AS386" s="35" t="n"/>
      <c r="AT386" s="35" t="n"/>
      <c r="AU386" s="19" t="n"/>
    </row>
    <row r="387" ht="15" customHeight="1" s="251">
      <c r="B387" s="69" t="inlineStr">
        <is>
          <t xml:space="preserve">  Noncurrent liabilities assumed (deferred taxes, leases, other)</t>
        </is>
      </c>
      <c r="C387" s="44" t="n"/>
      <c r="D387" s="44" t="n"/>
      <c r="E387" s="44" t="n"/>
      <c r="F387" s="44" t="n"/>
      <c r="G387" s="253" t="n">
        <v>230.544</v>
      </c>
      <c r="H387" s="44" t="n"/>
      <c r="I387" s="44" t="n"/>
      <c r="J387" s="44" t="n"/>
      <c r="K387" s="44" t="n"/>
      <c r="L387" s="44" t="n"/>
      <c r="M387" s="253" t="n">
        <v>733.752</v>
      </c>
      <c r="N387" s="44" t="n"/>
      <c r="O387" s="44" t="n"/>
      <c r="P387" s="44" t="n"/>
      <c r="Q387" s="44" t="n"/>
      <c r="R387" s="44" t="n"/>
      <c r="S387" s="44" t="n"/>
      <c r="T387" s="44" t="n"/>
      <c r="U387" s="44" t="n"/>
      <c r="V387" s="44" t="n"/>
      <c r="W387" s="44" t="n"/>
      <c r="X387" s="253" t="n">
        <v>1.737</v>
      </c>
      <c r="Y387" s="44" t="n"/>
      <c r="Z387" s="44" t="n"/>
      <c r="AA387" s="44" t="n"/>
      <c r="AB387" s="44" t="n"/>
      <c r="AC387" s="44" t="n"/>
      <c r="AD387" s="44" t="n"/>
      <c r="AE387" s="44" t="n"/>
      <c r="AF387" s="44" t="n"/>
      <c r="AG387" s="44" t="n"/>
      <c r="AH387" s="44" t="n"/>
      <c r="AI387" s="44" t="n"/>
      <c r="AJ387" s="44" t="n"/>
      <c r="AK387" s="44" t="n"/>
      <c r="AL387" s="44" t="n"/>
      <c r="AM387" s="153" t="n"/>
      <c r="AN387" s="153" t="n"/>
      <c r="AO387" s="153" t="n"/>
      <c r="AP387" s="35" t="n"/>
      <c r="AQ387" s="35" t="n"/>
      <c r="AR387" s="35" t="n"/>
      <c r="AS387" s="35" t="n"/>
      <c r="AT387" s="35" t="n"/>
      <c r="AU387" s="19" t="n"/>
    </row>
    <row r="388" ht="15" customHeight="1" s="251">
      <c r="B388" s="57" t="inlineStr">
        <is>
          <t xml:space="preserve">  Check: assets acquired − liabilities assumed − consideration (should be 0)</t>
        </is>
      </c>
      <c r="C388" s="263">
        <f>IF(ISNUMBER(C379),ROUND(N(C380)+N(C381)+N(C382)+N(C383)+N(C384)-N(C385)-N(C386)-N(C387)-C379,1),"")</f>
        <v/>
      </c>
      <c r="D388" s="263">
        <f>IF(ISNUMBER(D379),ROUND(N(D380)+N(D381)+N(D382)+N(D383)+N(D384)-N(D385)-N(D386)-N(D387)-D379,1),"")</f>
        <v/>
      </c>
      <c r="E388" s="263">
        <f>IF(ISNUMBER(E379),ROUND(N(E380)+N(E381)+N(E382)+N(E383)+N(E384)-N(E385)-N(E386)-N(E387)-E379,1),"")</f>
        <v/>
      </c>
      <c r="F388" s="263">
        <f>IF(ISNUMBER(F379),ROUND(N(F380)+N(F381)+N(F382)+N(F383)+N(F384)-N(F385)-N(F386)-N(F387)-F379,1),"")</f>
        <v/>
      </c>
      <c r="G388" s="263">
        <f>IF(ISNUMBER(G379),ROUND(N(G380)+N(G381)+N(G382)+N(G383)+N(G384)-N(G385)-N(G386)-N(G387)-G379,1),"")</f>
        <v/>
      </c>
      <c r="H388" s="263">
        <f>IF(ISNUMBER(H379),ROUND(N(H380)+N(H381)+N(H382)+N(H383)+N(H384)-N(H385)-N(H386)-N(H387)-H379,1),"")</f>
        <v/>
      </c>
      <c r="I388" s="263">
        <f>IF(ISNUMBER(I379),ROUND(N(I380)+N(I381)+N(I382)+N(I383)+N(I384)-N(I385)-N(I386)-N(I387)-I379,1),"")</f>
        <v/>
      </c>
      <c r="J388" s="263">
        <f>IF(ISNUMBER(J379),ROUND(N(J380)+N(J381)+N(J382)+N(J383)+N(J384)-N(J385)-N(J386)-N(J387)-J379,1),"")</f>
        <v/>
      </c>
      <c r="K388" s="263">
        <f>IF(ISNUMBER(K379),ROUND(N(K380)+N(K381)+N(K382)+N(K383)+N(K384)-N(K385)-N(K386)-N(K387)-K379,1),"")</f>
        <v/>
      </c>
      <c r="L388" s="263">
        <f>IF(ISNUMBER(L379),ROUND(N(L380)+N(L381)+N(L382)+N(L383)+N(L384)-N(L385)-N(L386)-N(L387)-L379,1),"")</f>
        <v/>
      </c>
      <c r="M388" s="263">
        <f>IF(ISNUMBER(M379),ROUND(N(M380)+N(M381)+N(M382)+N(M383)+N(M384)-N(M385)-N(M386)-N(M387)-M379,1),"")</f>
        <v/>
      </c>
      <c r="N388" s="263">
        <f>IF(ISNUMBER(N379),ROUND(N(N380)+N(N381)+N(N382)+N(N383)+N(N384)-N(N385)-N(N386)-N(N387)-N379,1),"")</f>
        <v/>
      </c>
      <c r="O388" s="263">
        <f>IF(ISNUMBER(O379),ROUND(N(O380)+N(O381)+N(O382)+N(O383)+N(O384)-N(O385)-N(O386)-N(O387)-O379,1),"")</f>
        <v/>
      </c>
      <c r="P388" s="263">
        <f>IF(ISNUMBER(P379),ROUND(N(P380)+N(P381)+N(P382)+N(P383)+N(P384)-N(P385)-N(P386)-N(P387)-P379,1),"")</f>
        <v/>
      </c>
      <c r="Q388" s="263">
        <f>IF(ISNUMBER(Q379),ROUND(N(Q380)+N(Q381)+N(Q382)+N(Q383)+N(Q384)-N(Q385)-N(Q386)-N(Q387)-Q379,1),"")</f>
        <v/>
      </c>
      <c r="R388" s="263">
        <f>IF(ISNUMBER(R379),ROUND(N(R380)+N(R381)+N(R382)+N(R383)+N(R384)-N(R385)-N(R386)-N(R387)-R379,1),"")</f>
        <v/>
      </c>
      <c r="S388" s="263">
        <f>IF(ISNUMBER(S379),ROUND(N(S380)+N(S381)+N(S382)+N(S383)+N(S384)-N(S385)-N(S386)-N(S387)-S379,1),"")</f>
        <v/>
      </c>
      <c r="T388" s="263">
        <f>IF(ISNUMBER(T379),ROUND(N(T380)+N(T381)+N(T382)+N(T383)+N(T384)-N(T385)-N(T386)-N(T387)-T379,1),"")</f>
        <v/>
      </c>
      <c r="U388" s="263">
        <f>IF(ISNUMBER(U379),ROUND(N(U380)+N(U381)+N(U382)+N(U383)+N(U384)-N(U385)-N(U386)-N(U387)-U379,1),"")</f>
        <v/>
      </c>
      <c r="V388" s="263">
        <f>IF(ISNUMBER(V379),ROUND(N(V380)+N(V381)+N(V382)+N(V383)+N(V384)-N(V385)-N(V386)-N(V387)-V379,1),"")</f>
        <v/>
      </c>
      <c r="W388" s="263">
        <f>IF(ISNUMBER(W379),ROUND(N(W380)+N(W381)+N(W382)+N(W383)+N(W384)-N(W385)-N(W386)-N(W387)-W379,1),"")</f>
        <v/>
      </c>
      <c r="X388" s="263">
        <f>IF(ISNUMBER(X379),ROUND(N(X380)+N(X381)+N(X382)+N(X383)+N(X384)-N(X385)-N(X386)-N(X387)-X379,1),"")</f>
        <v/>
      </c>
      <c r="Y388" s="263">
        <f>IF(ISNUMBER(Y379),ROUND(N(Y380)+N(Y381)+N(Y382)+N(Y383)+N(Y384)-N(Y385)-N(Y386)-N(Y387)-Y379,1),"")</f>
        <v/>
      </c>
      <c r="Z388" s="263">
        <f>IF(ISNUMBER(Z379),ROUND(N(Z380)+N(Z381)+N(Z382)+N(Z383)+N(Z384)-N(Z385)-N(Z386)-N(Z387)-Z379,1),"")</f>
        <v/>
      </c>
      <c r="AA388" s="263">
        <f>IF(ISNUMBER(AA379),ROUND(N(AA380)+N(AA381)+N(AA382)+N(AA383)+N(AA384)-N(AA385)-N(AA386)-N(AA387)-AA379,1),"")</f>
        <v/>
      </c>
      <c r="AB388" s="263">
        <f>IF(ISNUMBER(AB379),ROUND(N(AB380)+N(AB381)+N(AB382)+N(AB383)+N(AB384)-N(AB385)-N(AB386)-N(AB387)-AB379,1),"")</f>
        <v/>
      </c>
      <c r="AC388" s="263">
        <f>IF(ISNUMBER(AC379),ROUND(N(AC380)+N(AC381)+N(AC382)+N(AC383)+N(AC384)-N(AC385)-N(AC386)-N(AC387)-AC379,1),"")</f>
        <v/>
      </c>
      <c r="AD388" s="263">
        <f>IF(ISNUMBER(AD379),ROUND(N(AD380)+N(AD381)+N(AD382)+N(AD383)+N(AD384)-N(AD385)-N(AD386)-N(AD387)-AD379,1),"")</f>
        <v/>
      </c>
      <c r="AE388" s="263">
        <f>IF(ISNUMBER(AE379),ROUND(N(AE380)+N(AE381)+N(AE382)+N(AE383)+N(AE384)-N(AE385)-N(AE386)-N(AE387)-AE379,1),"")</f>
        <v/>
      </c>
      <c r="AF388" s="263">
        <f>IF(ISNUMBER(AF379),ROUND(N(AF380)+N(AF381)+N(AF382)+N(AF383)+N(AF384)-N(AF385)-N(AF386)-N(AF387)-AF379,1),"")</f>
        <v/>
      </c>
      <c r="AG388" s="263">
        <f>IF(ISNUMBER(AG379),ROUND(N(AG380)+N(AG381)+N(AG382)+N(AG383)+N(AG384)-N(AG385)-N(AG386)-N(AG387)-AG379,1),"")</f>
        <v/>
      </c>
      <c r="AH388" s="263">
        <f>IF(ISNUMBER(AH379),ROUND(N(AH380)+N(AH381)+N(AH382)+N(AH383)+N(AH384)-N(AH385)-N(AH386)-N(AH387)-AH379,1),"")</f>
        <v/>
      </c>
      <c r="AI388" s="263">
        <f>IF(ISNUMBER(AI379),ROUND(N(AI380)+N(AI381)+N(AI382)+N(AI383)+N(AI384)-N(AI385)-N(AI386)-N(AI387)-AI379,1),"")</f>
        <v/>
      </c>
      <c r="AJ388" s="263">
        <f>IF(ISNUMBER(AJ379),ROUND(N(AJ380)+N(AJ381)+N(AJ382)+N(AJ383)+N(AJ384)-N(AJ385)-N(AJ386)-N(AJ387)-AJ379,1),"")</f>
        <v/>
      </c>
      <c r="AK388" s="263">
        <f>IF(ISNUMBER(AK379),ROUND(N(AK380)+N(AK381)+N(AK382)+N(AK383)+N(AK384)-N(AK385)-N(AK386)-N(AK387)-AK379,1),"")</f>
        <v/>
      </c>
      <c r="AL388" s="263">
        <f>IF(ISNUMBER(AL379),ROUND(N(AL380)+N(AL381)+N(AL382)+N(AL383)+N(AL384)-N(AL385)-N(AL386)-N(AL387)-AL379,1),"")</f>
        <v/>
      </c>
      <c r="AM388" s="153" t="n"/>
      <c r="AN388" s="153" t="n"/>
      <c r="AO388" s="153" t="n"/>
      <c r="AP388" s="153" t="n"/>
      <c r="AQ388" s="153" t="n"/>
      <c r="AR388" s="153" t="n"/>
      <c r="AS388" s="153" t="n"/>
      <c r="AT388" s="153" t="n"/>
      <c r="AU388" s="153" t="n"/>
    </row>
    <row r="389" ht="15" customHeight="1" s="251">
      <c r="B389" s="158" t="inlineStr">
        <is>
          <t xml:space="preserve">  Deal closed in the period</t>
        </is>
      </c>
      <c r="G389" s="291" t="inlineStr">
        <is>
          <t>Synergy Health plc — combination closed 2-Nov-2015 (cash $402.5m + 25.8m STERIS plc shares; total consideration $2,294.8m); preliminary allocation per the FY2016 10-K</t>
        </is>
      </c>
      <c r="M389" s="291" t="inlineStr">
        <is>
          <t>Cantel Medical — closed 2-Jun-2021 (cash $716.4m + 14.3m STERIS shares + equity awards / convertible equity; total consideration $3,599.5m; $721.3m Cantel debt assumed and repaid)</t>
        </is>
      </c>
      <c r="X389" s="291" t="inlineStr">
        <is>
          <t>BD surgical instrumentation assets — closed 28-Aug-2023 ($539.8m cash, funded by the credit facility)</t>
        </is>
      </c>
      <c r="AM389" s="153" t="n"/>
      <c r="AN389" s="153" t="n"/>
      <c r="AO389" s="153" t="n"/>
      <c r="AP389" s="153" t="n"/>
      <c r="AQ389" s="153" t="n"/>
      <c r="AR389" s="153" t="n"/>
      <c r="AS389" s="153" t="n"/>
      <c r="AT389" s="153" t="n"/>
      <c r="AU389" s="19" t="n"/>
    </row>
    <row r="390" ht="15" customHeight="1" s="251">
      <c r="B390" s="25" t="inlineStr">
        <is>
          <t>Share count &amp; pricing</t>
        </is>
      </c>
      <c r="AU390" s="153" t="n"/>
    </row>
    <row r="391" ht="15" customHeight="1" s="251">
      <c r="B391" s="69" t="inlineStr">
        <is>
          <t xml:space="preserve">  Dilutive securities (m shares; options &amp; restricted shares)</t>
        </is>
      </c>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c r="AA391" s="44" t="n"/>
      <c r="AB391" s="44" t="n"/>
      <c r="AC391" s="44" t="n"/>
      <c r="AD391" s="44" t="n"/>
      <c r="AE391" s="44" t="n"/>
      <c r="AF391" s="44" t="n"/>
      <c r="AG391" s="44" t="n"/>
      <c r="AH391" s="44" t="n"/>
      <c r="AI391" s="44" t="n"/>
      <c r="AJ391" s="44" t="n"/>
      <c r="AK391" s="44" t="n"/>
      <c r="AL391" s="44" t="n"/>
      <c r="AM391" s="153" t="n"/>
      <c r="AN391" s="153" t="n"/>
      <c r="AO391" s="153" t="n"/>
      <c r="AP391" s="35" t="n"/>
      <c r="AQ391" s="266" t="n">
        <v>0.35</v>
      </c>
      <c r="AR391" s="266" t="n">
        <v>0.35</v>
      </c>
      <c r="AS391" s="266" t="n">
        <v>0.35</v>
      </c>
      <c r="AT391" s="266" t="n">
        <v>0.35</v>
      </c>
      <c r="AU391" s="19" t="n"/>
    </row>
    <row r="392" ht="15" customHeight="1" s="251">
      <c r="B392" s="69" t="inlineStr">
        <is>
          <t xml:space="preserve">  Share-price appreciation % (buyback pricing)</t>
        </is>
      </c>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c r="AA392" s="44" t="n"/>
      <c r="AB392" s="44" t="n"/>
      <c r="AC392" s="44" t="n"/>
      <c r="AD392" s="44" t="n"/>
      <c r="AE392" s="44" t="n"/>
      <c r="AF392" s="44" t="n"/>
      <c r="AG392" s="44" t="n"/>
      <c r="AH392" s="44" t="n"/>
      <c r="AI392" s="44" t="n"/>
      <c r="AJ392" s="44" t="n"/>
      <c r="AK392" s="44" t="n"/>
      <c r="AL392" s="44" t="n"/>
      <c r="AM392" s="153" t="n"/>
      <c r="AN392" s="153" t="n"/>
      <c r="AO392" s="153" t="n"/>
      <c r="AP392" s="35" t="n"/>
      <c r="AQ392" s="265" t="n">
        <v>0.08</v>
      </c>
      <c r="AR392" s="265" t="n">
        <v>0.08</v>
      </c>
      <c r="AS392" s="265" t="n">
        <v>0.08</v>
      </c>
      <c r="AT392" s="265" t="n">
        <v>0.08</v>
      </c>
      <c r="AU392" s="19" t="n"/>
    </row>
    <row r="393" ht="15" customHeight="1" s="251">
      <c r="B393" s="25" t="inlineStr">
        <is>
          <t>Debt schedule (fixed-rate notes repaid at maturity; revolving credit facility / commercial paper drawn or repaid to a minimum cash balance)</t>
        </is>
      </c>
      <c r="AU393" s="153" t="n"/>
    </row>
    <row r="394" ht="15" customHeight="1" s="251">
      <c r="B394" s="69" t="inlineStr">
        <is>
          <t xml:space="preserve">  Total debt (short-term + long-term indebtedness, net of financing costs)</t>
        </is>
      </c>
      <c r="C394" s="263">
        <f>IF(ISNUMBER(C353),N(C350)+C353,"")</f>
        <v/>
      </c>
      <c r="D394" s="263">
        <f>IF(ISNUMBER(D353),N(D350)+D353,"")</f>
        <v/>
      </c>
      <c r="E394" s="263">
        <f>IF(ISNUMBER(E353),N(E350)+E353,"")</f>
        <v/>
      </c>
      <c r="F394" s="263">
        <f>IF(ISNUMBER(F353),N(F350)+F353,"")</f>
        <v/>
      </c>
      <c r="G394" s="263">
        <f>IF(ISNUMBER(G353),N(G350)+G353,"")</f>
        <v/>
      </c>
      <c r="H394" s="263">
        <f>IF(ISNUMBER(H353),N(H350)+H353,"")</f>
        <v/>
      </c>
      <c r="I394" s="263">
        <f>IF(ISNUMBER(I353),N(I350)+I353,"")</f>
        <v/>
      </c>
      <c r="J394" s="263">
        <f>IF(ISNUMBER(J353),N(J350)+J353,"")</f>
        <v/>
      </c>
      <c r="K394" s="263">
        <f>IF(ISNUMBER(K353),N(K350)+K353,"")</f>
        <v/>
      </c>
      <c r="L394" s="263">
        <f>IF(ISNUMBER(L353),N(L350)+L353,"")</f>
        <v/>
      </c>
      <c r="M394" s="263">
        <f>IF(ISNUMBER(M353),N(M350)+M353,"")</f>
        <v/>
      </c>
      <c r="N394" s="263">
        <f>IF(ISNUMBER(N353),N(N350)+N353,"")</f>
        <v/>
      </c>
      <c r="O394" s="263">
        <f>IF(ISNUMBER(O353),N(O350)+O353,"")</f>
        <v/>
      </c>
      <c r="P394" s="263">
        <f>IF(ISNUMBER(P353),N(P350)+P353,"")</f>
        <v/>
      </c>
      <c r="Q394" s="263">
        <f>IF(ISNUMBER(Q353),N(Q350)+Q353,"")</f>
        <v/>
      </c>
      <c r="R394" s="263">
        <f>IF(ISNUMBER(R353),N(R350)+R353,"")</f>
        <v/>
      </c>
      <c r="S394" s="263">
        <f>IF(ISNUMBER(S353),N(S350)+S353,"")</f>
        <v/>
      </c>
      <c r="T394" s="263">
        <f>IF(ISNUMBER(T353),N(T350)+T353,"")</f>
        <v/>
      </c>
      <c r="U394" s="263">
        <f>IF(ISNUMBER(U353),N(U350)+U353,"")</f>
        <v/>
      </c>
      <c r="V394" s="263">
        <f>IF(ISNUMBER(V353),N(V350)+V353,"")</f>
        <v/>
      </c>
      <c r="W394" s="263">
        <f>IF(ISNUMBER(W353),N(W350)+W353,"")</f>
        <v/>
      </c>
      <c r="X394" s="263">
        <f>IF(ISNUMBER(X353),N(X350)+X353,"")</f>
        <v/>
      </c>
      <c r="Y394" s="263">
        <f>IF(ISNUMBER(Y353),N(Y350)+Y353,"")</f>
        <v/>
      </c>
      <c r="Z394" s="263">
        <f>IF(ISNUMBER(Z353),N(Z350)+Z353,"")</f>
        <v/>
      </c>
      <c r="AA394" s="263">
        <f>IF(ISNUMBER(AA353),N(AA350)+AA353,"")</f>
        <v/>
      </c>
      <c r="AB394" s="263">
        <f>IF(ISNUMBER(AB353),N(AB350)+AB353,"")</f>
        <v/>
      </c>
      <c r="AC394" s="263">
        <f>IF(ISNUMBER(AC353),N(AC350)+AC353,"")</f>
        <v/>
      </c>
      <c r="AD394" s="263">
        <f>IF(ISNUMBER(AD353),N(AD350)+AD353,"")</f>
        <v/>
      </c>
      <c r="AE394" s="263">
        <f>IF(ISNUMBER(AE353),N(AE350)+AE353,"")</f>
        <v/>
      </c>
      <c r="AF394" s="263">
        <f>IF(ISNUMBER(AF353),N(AF350)+AF353,"")</f>
        <v/>
      </c>
      <c r="AG394" s="263">
        <f>IF(ISNUMBER(AG353),N(AG350)+AG353,"")</f>
        <v/>
      </c>
      <c r="AH394" s="263">
        <f>IF(ISNUMBER(AH353),N(AH350)+AH353,"")</f>
        <v/>
      </c>
      <c r="AI394" s="263">
        <f>IF(ISNUMBER(AI353),N(AI350)+AI353,"")</f>
        <v/>
      </c>
      <c r="AJ394" s="263">
        <f>IF(ISNUMBER(AJ353),N(AJ350)+AJ353,"")</f>
        <v/>
      </c>
      <c r="AK394" s="263">
        <f>IF(ISNUMBER(AK353),N(AK350)+AK353,"")</f>
        <v/>
      </c>
      <c r="AL394" s="263">
        <f>IF(ISNUMBER(AL353),N(AL350)+AL353,"")</f>
        <v/>
      </c>
      <c r="AM394" s="153" t="n"/>
      <c r="AN394" s="153" t="n"/>
      <c r="AO394" s="153" t="n"/>
      <c r="AP394" s="254">
        <f>AP395+AP400</f>
        <v/>
      </c>
      <c r="AQ394" s="254">
        <f>AQ395+AQ400</f>
        <v/>
      </c>
      <c r="AR394" s="254">
        <f>AR395+AR400</f>
        <v/>
      </c>
      <c r="AS394" s="254">
        <f>AS395+AS400</f>
        <v/>
      </c>
      <c r="AT394" s="254">
        <f>AT395+AT400</f>
        <v/>
      </c>
      <c r="AU394" s="19" t="inlineStr">
        <is>
          <t>31-Mar-2026: Senior Public Notes $1,350.0m (2.700% due 15-Mar-2031 $675m; 3.750% due 15-Mar-2051 $675m); Private Placement Senior Notes $557.8m (3.55%-4.03% USD, 1.86%-3.17% EUR/GBP; maturities Feb-2027 $118.9m, May-2027 $125m, Dec-2027 $25m, Feb-2029 $127.5m, May-2030 $100m, Feb-2032 $61.5m); $1,100m Revolving Credit Facility (Oct-2024; $37.8m drawn); deferred financing costs $(13.8)m. Total debt $1,931.7m.</t>
        </is>
      </c>
    </row>
    <row r="395" ht="15" customHeight="1" s="251">
      <c r="B395" s="69" t="inlineStr">
        <is>
          <t xml:space="preserve">  Senior public &amp; private-placement notes (net of deferred financing costs)</t>
        </is>
      </c>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c r="AA395" s="44" t="n"/>
      <c r="AB395" s="44" t="n"/>
      <c r="AC395" s="44" t="n"/>
      <c r="AD395" s="44" t="n"/>
      <c r="AE395" s="44" t="n"/>
      <c r="AF395" s="44" t="n"/>
      <c r="AG395" s="44" t="n"/>
      <c r="AH395" s="44" t="n"/>
      <c r="AI395" s="44" t="n"/>
      <c r="AJ395" s="253" t="n">
        <v>1894</v>
      </c>
      <c r="AK395" s="253" t="n">
        <v>1894</v>
      </c>
      <c r="AL395" s="253" t="n">
        <v>1893.6</v>
      </c>
      <c r="AM395" s="153" t="n"/>
      <c r="AN395" s="153" t="n"/>
      <c r="AO395" s="153" t="n"/>
      <c r="AP395" s="254">
        <f>AL395-AP396</f>
        <v/>
      </c>
      <c r="AQ395" s="254">
        <f>AP395-AQ396</f>
        <v/>
      </c>
      <c r="AR395" s="254">
        <f>AQ395-AR396</f>
        <v/>
      </c>
      <c r="AS395" s="254">
        <f>AR395-AS396</f>
        <v/>
      </c>
      <c r="AT395" s="254">
        <f>AS395-AT396</f>
        <v/>
      </c>
      <c r="AU395" s="19" t="inlineStr">
        <is>
          <t>FY2026: $1,350.0m public + $557.8m private placement − $13.8m financing costs; Q1/27: revolver repaid ($37.8m) — total debt = notes.</t>
        </is>
      </c>
    </row>
    <row r="396" ht="15" customHeight="1" s="251">
      <c r="B396" s="69" t="inlineStr">
        <is>
          <t xml:space="preserve">  Notes repaid at maturity (net of refinancing; input)</t>
        </is>
      </c>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c r="AA396" s="44" t="n"/>
      <c r="AB396" s="44" t="n"/>
      <c r="AC396" s="44" t="n"/>
      <c r="AD396" s="44" t="n"/>
      <c r="AE396" s="44" t="n"/>
      <c r="AF396" s="44" t="n"/>
      <c r="AG396" s="44" t="n"/>
      <c r="AH396" s="44" t="n"/>
      <c r="AI396" s="44" t="n"/>
      <c r="AJ396" s="44" t="n"/>
      <c r="AK396" s="44" t="n"/>
      <c r="AL396" s="44" t="n"/>
      <c r="AM396" s="153" t="n"/>
      <c r="AN396" s="153" t="n"/>
      <c r="AO396" s="153" t="n"/>
      <c r="AP396" s="266" t="n">
        <v>118.9</v>
      </c>
      <c r="AQ396" s="266" t="n">
        <v>150</v>
      </c>
      <c r="AR396" s="266" t="n">
        <v>127.5</v>
      </c>
      <c r="AS396" s="266" t="n">
        <v>0</v>
      </c>
      <c r="AT396" s="266" t="n">
        <v>100</v>
      </c>
      <c r="AU396" s="19" t="inlineStr">
        <is>
          <t>Feb-2027 $118.9m; May / Dec-2027 $150m; Feb-2029 $127.5m; May-2030 $100m; Mar-2031 2.70% notes ($675m) assumed refinanced.</t>
        </is>
      </c>
    </row>
    <row r="397" ht="15" customHeight="1" s="251">
      <c r="B397" s="69" t="inlineStr">
        <is>
          <t xml:space="preserve">  Notes maturing in the following fiscal year (current portion)</t>
        </is>
      </c>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c r="AA397" s="44" t="n"/>
      <c r="AB397" s="44" t="n"/>
      <c r="AC397" s="44" t="n"/>
      <c r="AD397" s="44" t="n"/>
      <c r="AE397" s="44" t="n"/>
      <c r="AF397" s="44" t="n"/>
      <c r="AG397" s="44" t="n"/>
      <c r="AH397" s="44" t="n"/>
      <c r="AI397" s="44" t="n"/>
      <c r="AJ397" s="44" t="n"/>
      <c r="AK397" s="44" t="n"/>
      <c r="AL397" s="44" t="n"/>
      <c r="AM397" s="153" t="n"/>
      <c r="AN397" s="153" t="n"/>
      <c r="AO397" s="153" t="n"/>
      <c r="AP397" s="266" t="n">
        <v>150</v>
      </c>
      <c r="AQ397" s="266" t="n">
        <v>127.5</v>
      </c>
      <c r="AR397" s="266" t="n">
        <v>0</v>
      </c>
      <c r="AS397" s="266" t="n">
        <v>100</v>
      </c>
      <c r="AT397" s="266" t="n">
        <v>61.5</v>
      </c>
      <c r="AU397" s="19" t="n"/>
    </row>
    <row r="398" ht="15" customHeight="1" s="251">
      <c r="B398" s="69" t="inlineStr">
        <is>
          <t xml:space="preserve">  Cash before revolver draws / repayments (opening cash + CFO + CFI + buybacks, dividends, equity, other financing + FX − notes repaid)</t>
        </is>
      </c>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c r="AA398" s="44" t="n"/>
      <c r="AB398" s="44" t="n"/>
      <c r="AC398" s="44" t="n"/>
      <c r="AD398" s="44" t="n"/>
      <c r="AE398" s="44" t="n"/>
      <c r="AF398" s="44" t="n"/>
      <c r="AG398" s="44" t="n"/>
      <c r="AH398" s="44" t="n"/>
      <c r="AI398" s="44" t="n"/>
      <c r="AJ398" s="44" t="n"/>
      <c r="AK398" s="44" t="n"/>
      <c r="AL398" s="44" t="n"/>
      <c r="AM398" s="153" t="n"/>
      <c r="AN398" s="153" t="n"/>
      <c r="AO398" s="153" t="n"/>
      <c r="AP398" s="254">
        <f>AL337+(AP293-AL293)+(AP299-AL299)+(AP300-AL300)+(AP301-AL301)+AP302+(AP304-AL304)+(AP306-AL306)-AP396</f>
        <v/>
      </c>
      <c r="AQ398" s="254">
        <f>AQ308+AQ293+AQ299+AQ300+AQ301+AQ302+AQ304+AQ306-AQ396</f>
        <v/>
      </c>
      <c r="AR398" s="254">
        <f>AR308+AR293+AR299+AR300+AR301+AR302+AR304+AR306-AR396</f>
        <v/>
      </c>
      <c r="AS398" s="254">
        <f>AS308+AS293+AS299+AS300+AS301+AS302+AS304+AS306-AS396</f>
        <v/>
      </c>
      <c r="AT398" s="254">
        <f>AT308+AT293+AT299+AT300+AT301+AT302+AT304+AT306-AT396</f>
        <v/>
      </c>
      <c r="AU398" s="19" t="n"/>
    </row>
    <row r="399" ht="15" customHeight="1" s="251">
      <c r="B399" s="69" t="inlineStr">
        <is>
          <t xml:space="preserve">  Minimum cash balance</t>
        </is>
      </c>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c r="AA399" s="44" t="n"/>
      <c r="AB399" s="44" t="n"/>
      <c r="AC399" s="44" t="n"/>
      <c r="AD399" s="44" t="n"/>
      <c r="AE399" s="44" t="n"/>
      <c r="AF399" s="44" t="n"/>
      <c r="AG399" s="44" t="n"/>
      <c r="AH399" s="44" t="n"/>
      <c r="AI399" s="44" t="n"/>
      <c r="AJ399" s="44" t="n"/>
      <c r="AK399" s="44" t="n"/>
      <c r="AL399" s="44" t="n"/>
      <c r="AM399" s="153" t="n"/>
      <c r="AN399" s="153" t="n"/>
      <c r="AO399" s="153" t="n"/>
      <c r="AP399" s="266" t="n">
        <v>400</v>
      </c>
      <c r="AQ399" s="266" t="n">
        <v>400</v>
      </c>
      <c r="AR399" s="266" t="n">
        <v>400</v>
      </c>
      <c r="AS399" s="266" t="n">
        <v>400</v>
      </c>
      <c r="AT399" s="266" t="n">
        <v>400</v>
      </c>
      <c r="AU399" s="19" t="n"/>
    </row>
    <row r="400" ht="15" customHeight="1" s="251">
      <c r="B400" s="69" t="inlineStr">
        <is>
          <t xml:space="preserve">  Revolving credit facility / commercial paper (year end)</t>
        </is>
      </c>
      <c r="C400" s="263">
        <f>IF(AND(ISNUMBER(C394),ISNUMBER(C395)),C394-C395,"")</f>
        <v/>
      </c>
      <c r="D400" s="263">
        <f>IF(AND(ISNUMBER(D394),ISNUMBER(D395)),D394-D395,"")</f>
        <v/>
      </c>
      <c r="E400" s="263">
        <f>IF(AND(ISNUMBER(E394),ISNUMBER(E395)),E394-E395,"")</f>
        <v/>
      </c>
      <c r="F400" s="263">
        <f>IF(AND(ISNUMBER(F394),ISNUMBER(F395)),F394-F395,"")</f>
        <v/>
      </c>
      <c r="G400" s="263">
        <f>IF(AND(ISNUMBER(G394),ISNUMBER(G395)),G394-G395,"")</f>
        <v/>
      </c>
      <c r="H400" s="263">
        <f>IF(AND(ISNUMBER(H394),ISNUMBER(H395)),H394-H395,"")</f>
        <v/>
      </c>
      <c r="I400" s="263">
        <f>IF(AND(ISNUMBER(I394),ISNUMBER(I395)),I394-I395,"")</f>
        <v/>
      </c>
      <c r="J400" s="263">
        <f>IF(AND(ISNUMBER(J394),ISNUMBER(J395)),J394-J395,"")</f>
        <v/>
      </c>
      <c r="K400" s="263">
        <f>IF(AND(ISNUMBER(K394),ISNUMBER(K395)),K394-K395,"")</f>
        <v/>
      </c>
      <c r="L400" s="263">
        <f>IF(AND(ISNUMBER(L394),ISNUMBER(L395)),L394-L395,"")</f>
        <v/>
      </c>
      <c r="M400" s="263">
        <f>IF(AND(ISNUMBER(M394),ISNUMBER(M395)),M394-M395,"")</f>
        <v/>
      </c>
      <c r="N400" s="263">
        <f>IF(AND(ISNUMBER(N394),ISNUMBER(N395)),N394-N395,"")</f>
        <v/>
      </c>
      <c r="O400" s="263">
        <f>IF(AND(ISNUMBER(O394),ISNUMBER(O395)),O394-O395,"")</f>
        <v/>
      </c>
      <c r="P400" s="263">
        <f>IF(AND(ISNUMBER(P394),ISNUMBER(P395)),P394-P395,"")</f>
        <v/>
      </c>
      <c r="Q400" s="263">
        <f>IF(AND(ISNUMBER(Q394),ISNUMBER(Q395)),Q394-Q395,"")</f>
        <v/>
      </c>
      <c r="R400" s="263">
        <f>IF(AND(ISNUMBER(R394),ISNUMBER(R395)),R394-R395,"")</f>
        <v/>
      </c>
      <c r="S400" s="263">
        <f>IF(AND(ISNUMBER(S394),ISNUMBER(S395)),S394-S395,"")</f>
        <v/>
      </c>
      <c r="T400" s="263">
        <f>IF(AND(ISNUMBER(T394),ISNUMBER(T395)),T394-T395,"")</f>
        <v/>
      </c>
      <c r="U400" s="263">
        <f>IF(AND(ISNUMBER(U394),ISNUMBER(U395)),U394-U395,"")</f>
        <v/>
      </c>
      <c r="V400" s="263">
        <f>IF(AND(ISNUMBER(V394),ISNUMBER(V395)),V394-V395,"")</f>
        <v/>
      </c>
      <c r="W400" s="263">
        <f>IF(AND(ISNUMBER(W394),ISNUMBER(W395)),W394-W395,"")</f>
        <v/>
      </c>
      <c r="X400" s="263">
        <f>IF(AND(ISNUMBER(X394),ISNUMBER(X395)),X394-X395,"")</f>
        <v/>
      </c>
      <c r="Y400" s="263">
        <f>IF(AND(ISNUMBER(Y394),ISNUMBER(Y395)),Y394-Y395,"")</f>
        <v/>
      </c>
      <c r="Z400" s="263">
        <f>IF(AND(ISNUMBER(Z394),ISNUMBER(Z395)),Z394-Z395,"")</f>
        <v/>
      </c>
      <c r="AA400" s="263">
        <f>IF(AND(ISNUMBER(AA394),ISNUMBER(AA395)),AA394-AA395,"")</f>
        <v/>
      </c>
      <c r="AB400" s="263">
        <f>IF(AND(ISNUMBER(AB394),ISNUMBER(AB395)),AB394-AB395,"")</f>
        <v/>
      </c>
      <c r="AC400" s="263">
        <f>IF(AND(ISNUMBER(AC394),ISNUMBER(AC395)),AC394-AC395,"")</f>
        <v/>
      </c>
      <c r="AD400" s="263">
        <f>IF(AND(ISNUMBER(AD394),ISNUMBER(AD395)),AD394-AD395,"")</f>
        <v/>
      </c>
      <c r="AE400" s="263">
        <f>IF(AND(ISNUMBER(AE394),ISNUMBER(AE395)),AE394-AE395,"")</f>
        <v/>
      </c>
      <c r="AF400" s="263">
        <f>IF(AND(ISNUMBER(AF394),ISNUMBER(AF395)),AF394-AF395,"")</f>
        <v/>
      </c>
      <c r="AG400" s="263">
        <f>IF(AND(ISNUMBER(AG394),ISNUMBER(AG395)),AG394-AG395,"")</f>
        <v/>
      </c>
      <c r="AH400" s="263">
        <f>IF(AND(ISNUMBER(AH394),ISNUMBER(AH395)),AH394-AH395,"")</f>
        <v/>
      </c>
      <c r="AI400" s="263">
        <f>IF(AND(ISNUMBER(AI394),ISNUMBER(AI395)),AI394-AI395,"")</f>
        <v/>
      </c>
      <c r="AJ400" s="263">
        <f>IF(AND(ISNUMBER(AJ394),ISNUMBER(AJ395)),AJ394-AJ395,"")</f>
        <v/>
      </c>
      <c r="AK400" s="263">
        <f>IF(AND(ISNUMBER(AK394),ISNUMBER(AK395)),AK394-AK395,"")</f>
        <v/>
      </c>
      <c r="AL400" s="263">
        <f>IF(AND(ISNUMBER(AL394),ISNUMBER(AL395)),AL394-AL395,"")</f>
        <v/>
      </c>
      <c r="AM400" s="153" t="n"/>
      <c r="AN400" s="153" t="n"/>
      <c r="AO400" s="153" t="n"/>
      <c r="AP400" s="254">
        <f>MAX(0,AL400+AP399-AP398)</f>
        <v/>
      </c>
      <c r="AQ400" s="254">
        <f>MAX(0,AP400+AQ399-AQ398)</f>
        <v/>
      </c>
      <c r="AR400" s="254">
        <f>MAX(0,AQ400+AR399-AR398)</f>
        <v/>
      </c>
      <c r="AS400" s="254">
        <f>MAX(0,AR400+AS399-AS398)</f>
        <v/>
      </c>
      <c r="AT400" s="254">
        <f>MAX(0,AS400+AT399-AT398)</f>
        <v/>
      </c>
      <c r="AU400" s="19" t="inlineStr">
        <is>
          <t>$1.1bn revolver (Oct-2024; SOFR-based). Shortfalls below the minimum cash balance are drawn; surplus repays the revolver.</t>
        </is>
      </c>
    </row>
    <row r="401" ht="15" customHeight="1" s="251">
      <c r="B401" s="69" t="inlineStr">
        <is>
          <t xml:space="preserve">  Net issuance / (repayment)</t>
        </is>
      </c>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c r="AA401" s="44" t="n"/>
      <c r="AB401" s="44" t="n"/>
      <c r="AC401" s="44" t="n"/>
      <c r="AD401" s="44" t="n"/>
      <c r="AE401" s="44" t="n"/>
      <c r="AF401" s="44" t="n"/>
      <c r="AG401" s="44" t="n"/>
      <c r="AH401" s="44" t="n"/>
      <c r="AI401" s="44" t="n"/>
      <c r="AJ401" s="44" t="n"/>
      <c r="AK401" s="44" t="n"/>
      <c r="AL401" s="44" t="n"/>
      <c r="AM401" s="153" t="n"/>
      <c r="AN401" s="153" t="n"/>
      <c r="AO401" s="153" t="n"/>
      <c r="AP401" s="254">
        <f>IFERROR(AP394-AK394,"")</f>
        <v/>
      </c>
      <c r="AQ401" s="254">
        <f>IFERROR(AQ394-AP394,"")</f>
        <v/>
      </c>
      <c r="AR401" s="254">
        <f>IFERROR(AR394-AQ394,"")</f>
        <v/>
      </c>
      <c r="AS401" s="254">
        <f>IFERROR(AS394-AR394,"")</f>
        <v/>
      </c>
      <c r="AT401" s="254">
        <f>IFERROR(AT394-AS394,"")</f>
        <v/>
      </c>
      <c r="AU401" s="19" t="n"/>
    </row>
    <row r="402" ht="15" customHeight="1" s="251">
      <c r="B402" s="69" t="inlineStr">
        <is>
          <t xml:space="preserve">  Interest rate on opening notes %</t>
        </is>
      </c>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c r="AA402" s="44" t="n"/>
      <c r="AB402" s="44" t="n"/>
      <c r="AC402" s="44" t="n"/>
      <c r="AD402" s="44" t="n"/>
      <c r="AE402" s="44" t="n"/>
      <c r="AF402" s="44" t="n"/>
      <c r="AG402" s="44" t="n"/>
      <c r="AH402" s="44" t="n"/>
      <c r="AI402" s="44" t="n"/>
      <c r="AJ402" s="44" t="n"/>
      <c r="AK402" s="44" t="n"/>
      <c r="AL402" s="44" t="n"/>
      <c r="AM402" s="153" t="n"/>
      <c r="AN402" s="153" t="n"/>
      <c r="AO402" s="153" t="n"/>
      <c r="AP402" s="35" t="n"/>
      <c r="AQ402" s="265" t="n">
        <v>0.033</v>
      </c>
      <c r="AR402" s="265" t="n">
        <v>0.033</v>
      </c>
      <c r="AS402" s="265" t="n">
        <v>0.033</v>
      </c>
      <c r="AT402" s="265" t="n">
        <v>0.034</v>
      </c>
      <c r="AU402" s="19" t="inlineStr">
        <is>
          <t>Weighted coupon ~3.2% (2.70% / 3.75% public notes; 1.86–4.03% private placements); FY31: 2031 notes refinanced at ~5% from Mar-2031.</t>
        </is>
      </c>
    </row>
    <row r="403" ht="15" customHeight="1" s="251">
      <c r="B403" s="69" t="inlineStr">
        <is>
          <t xml:space="preserve">  Interest rate on opening revolver / CP %</t>
        </is>
      </c>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c r="AA403" s="44" t="n"/>
      <c r="AB403" s="44" t="n"/>
      <c r="AC403" s="44" t="n"/>
      <c r="AD403" s="44" t="n"/>
      <c r="AE403" s="44" t="n"/>
      <c r="AF403" s="44" t="n"/>
      <c r="AG403" s="44" t="n"/>
      <c r="AH403" s="44" t="n"/>
      <c r="AI403" s="44" t="n"/>
      <c r="AJ403" s="44" t="n"/>
      <c r="AK403" s="44" t="n"/>
      <c r="AL403" s="44" t="n"/>
      <c r="AM403" s="153" t="n"/>
      <c r="AN403" s="153" t="n"/>
      <c r="AO403" s="153" t="n"/>
      <c r="AP403" s="35" t="n"/>
      <c r="AQ403" s="265" t="n">
        <v>0.05</v>
      </c>
      <c r="AR403" s="265" t="n">
        <v>0.05</v>
      </c>
      <c r="AS403" s="265" t="n">
        <v>0.05</v>
      </c>
      <c r="AT403" s="265" t="n">
        <v>0.05</v>
      </c>
      <c r="AU403" s="19" t="n"/>
    </row>
    <row r="404" ht="15" customHeight="1" s="251">
      <c r="B404" s="69" t="inlineStr">
        <is>
          <t xml:space="preserve">  Commitment fees &amp; financing-cost amortization ($m)</t>
        </is>
      </c>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c r="AA404" s="44" t="n"/>
      <c r="AB404" s="44" t="n"/>
      <c r="AC404" s="44" t="n"/>
      <c r="AD404" s="44" t="n"/>
      <c r="AE404" s="44" t="n"/>
      <c r="AF404" s="44" t="n"/>
      <c r="AG404" s="44" t="n"/>
      <c r="AH404" s="44" t="n"/>
      <c r="AI404" s="44" t="n"/>
      <c r="AJ404" s="44" t="n"/>
      <c r="AK404" s="44" t="n"/>
      <c r="AL404" s="44" t="n"/>
      <c r="AM404" s="153" t="n"/>
      <c r="AN404" s="153" t="n"/>
      <c r="AO404" s="153" t="n"/>
      <c r="AP404" s="35" t="n"/>
      <c r="AQ404" s="266" t="n">
        <v>4</v>
      </c>
      <c r="AR404" s="266" t="n">
        <v>4</v>
      </c>
      <c r="AS404" s="266" t="n">
        <v>4</v>
      </c>
      <c r="AT404" s="266" t="n">
        <v>4</v>
      </c>
      <c r="AU404" s="19" t="n"/>
    </row>
    <row r="405" ht="15" customHeight="1" s="251">
      <c r="B405" s="69" t="inlineStr">
        <is>
          <t xml:space="preserve">  Interest income yield on opening cash %</t>
        </is>
      </c>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c r="AA405" s="44" t="n"/>
      <c r="AB405" s="44" t="n"/>
      <c r="AC405" s="44" t="n"/>
      <c r="AD405" s="44" t="n"/>
      <c r="AE405" s="44" t="n"/>
      <c r="AF405" s="44" t="n"/>
      <c r="AG405" s="44" t="n"/>
      <c r="AH405" s="44" t="n"/>
      <c r="AI405" s="44" t="n"/>
      <c r="AJ405" s="44" t="n"/>
      <c r="AK405" s="44" t="n"/>
      <c r="AL405" s="44" t="n"/>
      <c r="AM405" s="153" t="n"/>
      <c r="AN405" s="153" t="n"/>
      <c r="AO405" s="153" t="n"/>
      <c r="AP405" s="35" t="n"/>
      <c r="AQ405" s="265" t="n">
        <v>0.025</v>
      </c>
      <c r="AR405" s="265" t="n">
        <v>0.025</v>
      </c>
      <c r="AS405" s="265" t="n">
        <v>0.025</v>
      </c>
      <c r="AT405" s="265" t="n">
        <v>0.025</v>
      </c>
      <c r="AU405" s="19" t="n"/>
    </row>
    <row r="406" ht="15" customHeight="1" s="251">
      <c r="B406" s="25" t="inlineStr">
        <is>
          <t>Leverage-targeted buybacks (repurchases plug to a target net debt / adjusted EBITDA, 2028E+)</t>
        </is>
      </c>
      <c r="AU406" s="153" t="n"/>
    </row>
    <row r="407" ht="15" customHeight="1" s="251">
      <c r="B407" s="69" t="inlineStr">
        <is>
          <t xml:space="preserve">  Target net debt / adjusted EBITDA (x) (scenario)</t>
        </is>
      </c>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c r="AA407" s="44" t="n"/>
      <c r="AB407" s="44" t="n"/>
      <c r="AC407" s="44" t="n"/>
      <c r="AD407" s="44" t="n"/>
      <c r="AE407" s="44" t="n"/>
      <c r="AF407" s="44" t="n"/>
      <c r="AG407" s="44" t="n"/>
      <c r="AH407" s="44" t="n"/>
      <c r="AI407" s="44" t="n"/>
      <c r="AJ407" s="44" t="n"/>
      <c r="AK407" s="44" t="n"/>
      <c r="AL407" s="44" t="n"/>
      <c r="AM407" s="153" t="n"/>
      <c r="AN407" s="153" t="n"/>
      <c r="AO407" s="153" t="n"/>
      <c r="AP407" s="35" t="n"/>
      <c r="AQ407" s="292">
        <f>CHOOSE(MATCH($AU$2,{"Bull","Base","Bear"},0),$BD$27,$BE$27,$BF$27)</f>
        <v/>
      </c>
      <c r="AR407" s="292">
        <f>CHOOSE(MATCH($AU$2,{"Bull","Base","Bear"},0),$BD$27,$BE$27,$BF$27)</f>
        <v/>
      </c>
      <c r="AS407" s="292">
        <f>CHOOSE(MATCH($AU$2,{"Bull","Base","Bear"},0),$BD$27,$BE$27,$BF$27)</f>
        <v/>
      </c>
      <c r="AT407" s="292">
        <f>CHOOSE(MATCH($AU$2,{"Bull","Base","Bear"},0),$BD$27,$BE$27,$BF$27)</f>
        <v/>
      </c>
      <c r="AU407" s="19" t="inlineStr">
        <is>
          <t>Net debt $1.41bn at 30-Jun-26 ≈ 0.9x adjusted EBITDA (model definition). Target = leverage up to which surplus cash is returned via buybacks; below it free cash flow is held / repays the revolver. Bull = more buybacks (higher target).</t>
        </is>
      </c>
    </row>
    <row r="408" ht="15" customHeight="1" s="251">
      <c r="B408" s="69" t="inlineStr">
        <is>
          <t xml:space="preserve">  Net debt before buybacks (year end)</t>
        </is>
      </c>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c r="AA408" s="44" t="n"/>
      <c r="AB408" s="44" t="n"/>
      <c r="AC408" s="44" t="n"/>
      <c r="AD408" s="44" t="n"/>
      <c r="AE408" s="44" t="n"/>
      <c r="AF408" s="44" t="n"/>
      <c r="AG408" s="44" t="n"/>
      <c r="AH408" s="44" t="n"/>
      <c r="AI408" s="44" t="n"/>
      <c r="AJ408" s="44" t="n"/>
      <c r="AK408" s="44" t="n"/>
      <c r="AL408" s="44" t="n"/>
      <c r="AM408" s="153" t="n"/>
      <c r="AN408" s="153" t="n"/>
      <c r="AO408" s="153" t="n"/>
      <c r="AP408" s="35" t="n"/>
      <c r="AQ408" s="254">
        <f>AP394-AP309-AQ293-AQ299-AQ301-AQ302-AQ304-AQ306</f>
        <v/>
      </c>
      <c r="AR408" s="254">
        <f>AQ394-AQ309-AR293-AR299-AR301-AR302-AR304-AR306</f>
        <v/>
      </c>
      <c r="AS408" s="254">
        <f>AR394-AR309-AS293-AS299-AS301-AS302-AS304-AS306</f>
        <v/>
      </c>
      <c r="AT408" s="254">
        <f>AS394-AS309-AT293-AT299-AT301-AT302-AT304-AT306</f>
        <v/>
      </c>
      <c r="AU408" s="19" t="n"/>
    </row>
    <row r="409" ht="15" customHeight="1" s="251">
      <c r="B409" s="69" t="inlineStr">
        <is>
          <t xml:space="preserve">  Target net debt = target leverage × adjusted EBITDA</t>
        </is>
      </c>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c r="AA409" s="44" t="n"/>
      <c r="AB409" s="44" t="n"/>
      <c r="AC409" s="44" t="n"/>
      <c r="AD409" s="44" t="n"/>
      <c r="AE409" s="44" t="n"/>
      <c r="AF409" s="44" t="n"/>
      <c r="AG409" s="44" t="n"/>
      <c r="AH409" s="44" t="n"/>
      <c r="AI409" s="44" t="n"/>
      <c r="AJ409" s="44" t="n"/>
      <c r="AK409" s="44" t="n"/>
      <c r="AL409" s="44" t="n"/>
      <c r="AM409" s="153" t="n"/>
      <c r="AN409" s="153" t="n"/>
      <c r="AO409" s="153" t="n"/>
      <c r="AP409" s="35" t="n"/>
      <c r="AQ409" s="254">
        <f>AQ407*AQ233</f>
        <v/>
      </c>
      <c r="AR409" s="254">
        <f>AR407*AR233</f>
        <v/>
      </c>
      <c r="AS409" s="254">
        <f>AS407*AS233</f>
        <v/>
      </c>
      <c r="AT409" s="254">
        <f>AT407*AT233</f>
        <v/>
      </c>
      <c r="AU409" s="19" t="n"/>
    </row>
    <row r="410" ht="15" customHeight="1" s="251">
      <c r="B410" s="69" t="inlineStr">
        <is>
          <t xml:space="preserve">  Share repurchases: plug to target leverage</t>
        </is>
      </c>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c r="AA410" s="44" t="n"/>
      <c r="AB410" s="44" t="n"/>
      <c r="AC410" s="44" t="n"/>
      <c r="AD410" s="44" t="n"/>
      <c r="AE410" s="44" t="n"/>
      <c r="AF410" s="44" t="n"/>
      <c r="AG410" s="44" t="n"/>
      <c r="AH410" s="44" t="n"/>
      <c r="AI410" s="44" t="n"/>
      <c r="AJ410" s="44" t="n"/>
      <c r="AK410" s="44" t="n"/>
      <c r="AL410" s="44" t="n"/>
      <c r="AM410" s="153" t="n"/>
      <c r="AN410" s="153" t="n"/>
      <c r="AO410" s="153" t="n"/>
      <c r="AP410" s="35" t="n"/>
      <c r="AQ410" s="254">
        <f>MAX(0,AQ409-AQ408)</f>
        <v/>
      </c>
      <c r="AR410" s="254">
        <f>MAX(0,AR409-AR408)</f>
        <v/>
      </c>
      <c r="AS410" s="254">
        <f>MAX(0,AS409-AS408)</f>
        <v/>
      </c>
      <c r="AT410" s="254">
        <f>MAX(0,AT409-AT408)</f>
        <v/>
      </c>
      <c r="AU410" s="19" t="inlineStr">
        <is>
          <t>Surplus cash beyond the leverage target is returned via buybacks; feeds the cash-flow repurchase line.</t>
        </is>
      </c>
    </row>
    <row r="411" ht="15" customHeight="1" s="251">
      <c r="B411" s="25" t="inlineStr">
        <is>
          <t>Historical reference (driver context)</t>
        </is>
      </c>
      <c r="AU411" s="153" t="n"/>
    </row>
    <row r="412" ht="15" customHeight="1" s="251">
      <c r="B412" s="25" t="inlineStr">
        <is>
          <t xml:space="preserve">  Total D&amp;A % of revenue</t>
        </is>
      </c>
      <c r="C412" s="215">
        <f>IF(AND(ISNUMBER(C182),ISNUMBER(C159)),IFERROR(C182/C159,""),"")</f>
        <v/>
      </c>
      <c r="D412" s="215">
        <f>IF(AND(ISNUMBER(D182),ISNUMBER(D159)),IFERROR(D182/D159,""),"")</f>
        <v/>
      </c>
      <c r="E412" s="215">
        <f>IF(AND(ISNUMBER(E182),ISNUMBER(E159)),IFERROR(E182/E159,""),"")</f>
        <v/>
      </c>
      <c r="F412" s="215">
        <f>IF(AND(ISNUMBER(F182),ISNUMBER(F159)),IFERROR(F182/F159,""),"")</f>
        <v/>
      </c>
      <c r="G412" s="215">
        <f>IF(AND(ISNUMBER(G182),ISNUMBER(G159)),IFERROR(G182/G159,""),"")</f>
        <v/>
      </c>
      <c r="H412" s="215">
        <f>IF(AND(ISNUMBER(H182),ISNUMBER(H159)),IFERROR(H182/H159,""),"")</f>
        <v/>
      </c>
      <c r="I412" s="215">
        <f>IF(AND(ISNUMBER(I182),ISNUMBER(I159)),IFERROR(I182/I159,""),"")</f>
        <v/>
      </c>
      <c r="J412" s="215">
        <f>IF(AND(ISNUMBER(J182),ISNUMBER(J159)),IFERROR(J182/J159,""),"")</f>
        <v/>
      </c>
      <c r="K412" s="215">
        <f>IF(AND(ISNUMBER(K182),ISNUMBER(K159)),IFERROR(K182/K159,""),"")</f>
        <v/>
      </c>
      <c r="L412" s="215">
        <f>IF(AND(ISNUMBER(L182),ISNUMBER(L159)),IFERROR(L182/L159,""),"")</f>
        <v/>
      </c>
      <c r="M412" s="215">
        <f>IF(AND(ISNUMBER(M182),ISNUMBER(M159)),IFERROR(M182/M159,""),"")</f>
        <v/>
      </c>
      <c r="N412" s="215">
        <f>IF(AND(ISNUMBER(N182),ISNUMBER(N159)),IFERROR(N182/N159,""),"")</f>
        <v/>
      </c>
      <c r="O412" s="215">
        <f>IF(AND(ISNUMBER(O182),ISNUMBER(O159)),IFERROR(O182/O159,""),"")</f>
        <v/>
      </c>
      <c r="P412" s="215">
        <f>IF(AND(ISNUMBER(P182),ISNUMBER(P159)),IFERROR(P182/P159,""),"")</f>
        <v/>
      </c>
      <c r="Q412" s="215">
        <f>IF(AND(ISNUMBER(Q182),ISNUMBER(Q159)),IFERROR(Q182/Q159,""),"")</f>
        <v/>
      </c>
      <c r="R412" s="215">
        <f>IF(AND(ISNUMBER(R182),ISNUMBER(R159)),IFERROR(R182/R159,""),"")</f>
        <v/>
      </c>
      <c r="S412" s="215">
        <f>IF(AND(ISNUMBER(S182),ISNUMBER(S159)),IFERROR(S182/S159,""),"")</f>
        <v/>
      </c>
      <c r="T412" s="215">
        <f>IF(AND(ISNUMBER(T182),ISNUMBER(T159)),IFERROR(T182/T159,""),"")</f>
        <v/>
      </c>
      <c r="U412" s="215">
        <f>IF(AND(ISNUMBER(U182),ISNUMBER(U159)),IFERROR(U182/U159,""),"")</f>
        <v/>
      </c>
      <c r="V412" s="215">
        <f>IF(AND(ISNUMBER(V182),ISNUMBER(V159)),IFERROR(V182/V159,""),"")</f>
        <v/>
      </c>
      <c r="W412" s="215">
        <f>IF(AND(ISNUMBER(W182),ISNUMBER(W159)),IFERROR(W182/W159,""),"")</f>
        <v/>
      </c>
      <c r="X412" s="215">
        <f>IF(AND(ISNUMBER(X182),ISNUMBER(X159)),IFERROR(X182/X159,""),"")</f>
        <v/>
      </c>
      <c r="Y412" s="215">
        <f>IF(AND(ISNUMBER(Y182),ISNUMBER(Y159)),IFERROR(Y182/Y159,""),"")</f>
        <v/>
      </c>
      <c r="Z412" s="215">
        <f>IF(AND(ISNUMBER(Z182),ISNUMBER(Z159)),IFERROR(Z182/Z159,""),"")</f>
        <v/>
      </c>
      <c r="AA412" s="215">
        <f>IF(AND(ISNUMBER(AA182),ISNUMBER(AA159)),IFERROR(AA182/AA159,""),"")</f>
        <v/>
      </c>
      <c r="AB412" s="215">
        <f>IF(AND(ISNUMBER(AB182),ISNUMBER(AB159)),IFERROR(AB182/AB159,""),"")</f>
        <v/>
      </c>
      <c r="AC412" s="215">
        <f>IF(AND(ISNUMBER(AC182),ISNUMBER(AC159)),IFERROR(AC182/AC159,""),"")</f>
        <v/>
      </c>
      <c r="AD412" s="215">
        <f>IF(AND(ISNUMBER(AD182),ISNUMBER(AD159)),IFERROR(AD182/AD159,""),"")</f>
        <v/>
      </c>
      <c r="AE412" s="215">
        <f>IF(AND(ISNUMBER(AE182),ISNUMBER(AE159)),IFERROR(AE182/AE159,""),"")</f>
        <v/>
      </c>
      <c r="AF412" s="215">
        <f>IF(AND(ISNUMBER(AF182),ISNUMBER(AF159)),IFERROR(AF182/AF159,""),"")</f>
        <v/>
      </c>
      <c r="AG412" s="215">
        <f>IF(AND(ISNUMBER(AG182),ISNUMBER(AG159)),IFERROR(AG182/AG159,""),"")</f>
        <v/>
      </c>
      <c r="AH412" s="215">
        <f>IF(AND(ISNUMBER(AH182),ISNUMBER(AH159)),IFERROR(AH182/AH159,""),"")</f>
        <v/>
      </c>
      <c r="AI412" s="215">
        <f>IF(AND(ISNUMBER(AI182),ISNUMBER(AI159)),IFERROR(AI182/AI159,""),"")</f>
        <v/>
      </c>
      <c r="AJ412" s="215">
        <f>IF(AND(ISNUMBER(AJ182),ISNUMBER(AJ159)),IFERROR(AJ182/AJ159,""),"")</f>
        <v/>
      </c>
      <c r="AK412" s="215">
        <f>IF(AND(ISNUMBER(AK182),ISNUMBER(AK159)),IFERROR(AK182/AK159,""),"")</f>
        <v/>
      </c>
      <c r="AL412" s="215">
        <f>IF(AND(ISNUMBER(AL182),ISNUMBER(AL159)),IFERROR(AL182/AL159,""),"")</f>
        <v/>
      </c>
      <c r="AM412" s="24" t="n"/>
      <c r="AN412" s="24" t="n"/>
      <c r="AO412" s="24" t="n"/>
      <c r="AP412" s="256">
        <f>IF(AND(ISNUMBER(AP182),ISNUMBER(AP159)),IFERROR(AP182/AP159,""),"")</f>
        <v/>
      </c>
      <c r="AQ412" s="256">
        <f>IF(AND(ISNUMBER(AQ182),ISNUMBER(AQ159)),IFERROR(AQ182/AQ159,""),"")</f>
        <v/>
      </c>
      <c r="AR412" s="256">
        <f>IF(AND(ISNUMBER(AR182),ISNUMBER(AR159)),IFERROR(AR182/AR159,""),"")</f>
        <v/>
      </c>
      <c r="AS412" s="256">
        <f>IF(AND(ISNUMBER(AS182),ISNUMBER(AS159)),IFERROR(AS182/AS159,""),"")</f>
        <v/>
      </c>
      <c r="AT412" s="256">
        <f>IF(AND(ISNUMBER(AT182),ISNUMBER(AT159)),IFERROR(AT182/AT159,""),"")</f>
        <v/>
      </c>
      <c r="AU412" s="153" t="n"/>
    </row>
    <row r="413" ht="15" customHeight="1" s="251">
      <c r="B413" s="25" t="inlineStr">
        <is>
          <t xml:space="preserve">  Acquired-intangible amortization % of revenue</t>
        </is>
      </c>
      <c r="C413" s="215">
        <f>IF(AND(ISNUMBER(C143),ISNUMBER(C159)),IFERROR(C143/C159,""),"")</f>
        <v/>
      </c>
      <c r="D413" s="215">
        <f>IF(AND(ISNUMBER(D143),ISNUMBER(D159)),IFERROR(D143/D159,""),"")</f>
        <v/>
      </c>
      <c r="E413" s="215">
        <f>IF(AND(ISNUMBER(E143),ISNUMBER(E159)),IFERROR(E143/E159,""),"")</f>
        <v/>
      </c>
      <c r="F413" s="215">
        <f>IF(AND(ISNUMBER(F143),ISNUMBER(F159)),IFERROR(F143/F159,""),"")</f>
        <v/>
      </c>
      <c r="G413" s="215">
        <f>IF(AND(ISNUMBER(G143),ISNUMBER(G159)),IFERROR(G143/G159,""),"")</f>
        <v/>
      </c>
      <c r="H413" s="215">
        <f>IF(AND(ISNUMBER(H143),ISNUMBER(H159)),IFERROR(H143/H159,""),"")</f>
        <v/>
      </c>
      <c r="I413" s="215">
        <f>IF(AND(ISNUMBER(I143),ISNUMBER(I159)),IFERROR(I143/I159,""),"")</f>
        <v/>
      </c>
      <c r="J413" s="215">
        <f>IF(AND(ISNUMBER(J143),ISNUMBER(J159)),IFERROR(J143/J159,""),"")</f>
        <v/>
      </c>
      <c r="K413" s="215">
        <f>IF(AND(ISNUMBER(K143),ISNUMBER(K159)),IFERROR(K143/K159,""),"")</f>
        <v/>
      </c>
      <c r="L413" s="215">
        <f>IF(AND(ISNUMBER(L143),ISNUMBER(L159)),IFERROR(L143/L159,""),"")</f>
        <v/>
      </c>
      <c r="M413" s="215">
        <f>IF(AND(ISNUMBER(M143),ISNUMBER(M159)),IFERROR(M143/M159,""),"")</f>
        <v/>
      </c>
      <c r="N413" s="215">
        <f>IF(AND(ISNUMBER(N143),ISNUMBER(N159)),IFERROR(N143/N159,""),"")</f>
        <v/>
      </c>
      <c r="O413" s="215">
        <f>IF(AND(ISNUMBER(O143),ISNUMBER(O159)),IFERROR(O143/O159,""),"")</f>
        <v/>
      </c>
      <c r="P413" s="215">
        <f>IF(AND(ISNUMBER(P143),ISNUMBER(P159)),IFERROR(P143/P159,""),"")</f>
        <v/>
      </c>
      <c r="Q413" s="215">
        <f>IF(AND(ISNUMBER(Q143),ISNUMBER(Q159)),IFERROR(Q143/Q159,""),"")</f>
        <v/>
      </c>
      <c r="R413" s="215">
        <f>IF(AND(ISNUMBER(R143),ISNUMBER(R159)),IFERROR(R143/R159,""),"")</f>
        <v/>
      </c>
      <c r="S413" s="215">
        <f>IF(AND(ISNUMBER(S143),ISNUMBER(S159)),IFERROR(S143/S159,""),"")</f>
        <v/>
      </c>
      <c r="T413" s="215">
        <f>IF(AND(ISNUMBER(T143),ISNUMBER(T159)),IFERROR(T143/T159,""),"")</f>
        <v/>
      </c>
      <c r="U413" s="215">
        <f>IF(AND(ISNUMBER(U143),ISNUMBER(U159)),IFERROR(U143/U159,""),"")</f>
        <v/>
      </c>
      <c r="V413" s="215">
        <f>IF(AND(ISNUMBER(V143),ISNUMBER(V159)),IFERROR(V143/V159,""),"")</f>
        <v/>
      </c>
      <c r="W413" s="215">
        <f>IF(AND(ISNUMBER(W143),ISNUMBER(W159)),IFERROR(W143/W159,""),"")</f>
        <v/>
      </c>
      <c r="X413" s="215">
        <f>IF(AND(ISNUMBER(X143),ISNUMBER(X159)),IFERROR(X143/X159,""),"")</f>
        <v/>
      </c>
      <c r="Y413" s="215">
        <f>IF(AND(ISNUMBER(Y143),ISNUMBER(Y159)),IFERROR(Y143/Y159,""),"")</f>
        <v/>
      </c>
      <c r="Z413" s="215">
        <f>IF(AND(ISNUMBER(Z143),ISNUMBER(Z159)),IFERROR(Z143/Z159,""),"")</f>
        <v/>
      </c>
      <c r="AA413" s="215">
        <f>IF(AND(ISNUMBER(AA143),ISNUMBER(AA159)),IFERROR(AA143/AA159,""),"")</f>
        <v/>
      </c>
      <c r="AB413" s="215">
        <f>IF(AND(ISNUMBER(AB143),ISNUMBER(AB159)),IFERROR(AB143/AB159,""),"")</f>
        <v/>
      </c>
      <c r="AC413" s="215">
        <f>IF(AND(ISNUMBER(AC143),ISNUMBER(AC159)),IFERROR(AC143/AC159,""),"")</f>
        <v/>
      </c>
      <c r="AD413" s="215">
        <f>IF(AND(ISNUMBER(AD143),ISNUMBER(AD159)),IFERROR(AD143/AD159,""),"")</f>
        <v/>
      </c>
      <c r="AE413" s="215">
        <f>IF(AND(ISNUMBER(AE143),ISNUMBER(AE159)),IFERROR(AE143/AE159,""),"")</f>
        <v/>
      </c>
      <c r="AF413" s="215">
        <f>IF(AND(ISNUMBER(AF143),ISNUMBER(AF159)),IFERROR(AF143/AF159,""),"")</f>
        <v/>
      </c>
      <c r="AG413" s="215">
        <f>IF(AND(ISNUMBER(AG143),ISNUMBER(AG159)),IFERROR(AG143/AG159,""),"")</f>
        <v/>
      </c>
      <c r="AH413" s="215">
        <f>IF(AND(ISNUMBER(AH143),ISNUMBER(AH159)),IFERROR(AH143/AH159,""),"")</f>
        <v/>
      </c>
      <c r="AI413" s="215">
        <f>IF(AND(ISNUMBER(AI143),ISNUMBER(AI159)),IFERROR(AI143/AI159,""),"")</f>
        <v/>
      </c>
      <c r="AJ413" s="215">
        <f>IF(AND(ISNUMBER(AJ143),ISNUMBER(AJ159)),IFERROR(AJ143/AJ159,""),"")</f>
        <v/>
      </c>
      <c r="AK413" s="215">
        <f>IF(AND(ISNUMBER(AK143),ISNUMBER(AK159)),IFERROR(AK143/AK159,""),"")</f>
        <v/>
      </c>
      <c r="AL413" s="215">
        <f>IF(AND(ISNUMBER(AL143),ISNUMBER(AL159)),IFERROR(AL143/AL159,""),"")</f>
        <v/>
      </c>
      <c r="AM413" s="24" t="n"/>
      <c r="AN413" s="24" t="n"/>
      <c r="AO413" s="24" t="n"/>
      <c r="AP413" s="256">
        <f>IF(AND(ISNUMBER(AP143),ISNUMBER(AP159)),IFERROR(AP143/AP159,""),"")</f>
        <v/>
      </c>
      <c r="AQ413" s="256">
        <f>IF(AND(ISNUMBER(AQ143),ISNUMBER(AQ159)),IFERROR(AQ143/AQ159,""),"")</f>
        <v/>
      </c>
      <c r="AR413" s="256">
        <f>IF(AND(ISNUMBER(AR143),ISNUMBER(AR159)),IFERROR(AR143/AR159,""),"")</f>
        <v/>
      </c>
      <c r="AS413" s="256">
        <f>IF(AND(ISNUMBER(AS143),ISNUMBER(AS159)),IFERROR(AS143/AS159,""),"")</f>
        <v/>
      </c>
      <c r="AT413" s="256">
        <f>IF(AND(ISNUMBER(AT143),ISNUMBER(AT159)),IFERROR(AT143/AT159,""),"")</f>
        <v/>
      </c>
      <c r="AU413" s="153" t="n"/>
    </row>
    <row r="414" ht="15" customHeight="1" s="251">
      <c r="B414" s="25" t="inlineStr">
        <is>
          <t xml:space="preserve">  Interest expense ÷ average total debt %</t>
        </is>
      </c>
      <c r="C414" s="36" t="n"/>
      <c r="D414" s="215">
        <f>IFERROR(D169*1/AVERAGE(D394,C394),"")</f>
        <v/>
      </c>
      <c r="E414" s="215">
        <f>IFERROR(E169*1/AVERAGE(E394,D394),"")</f>
        <v/>
      </c>
      <c r="F414" s="215">
        <f>IFERROR(F169*1/AVERAGE(F394,E394),"")</f>
        <v/>
      </c>
      <c r="G414" s="215">
        <f>IFERROR(G169*1/AVERAGE(G394,F394),"")</f>
        <v/>
      </c>
      <c r="H414" s="215">
        <f>IFERROR(H169*1/AVERAGE(H394,G394),"")</f>
        <v/>
      </c>
      <c r="I414" s="215">
        <f>IFERROR(I169*1/AVERAGE(I394,H394),"")</f>
        <v/>
      </c>
      <c r="J414" s="215">
        <f>IFERROR(J169*1/AVERAGE(J394,I394),"")</f>
        <v/>
      </c>
      <c r="K414" s="215">
        <f>IFERROR(K169*1/AVERAGE(K394,J394),"")</f>
        <v/>
      </c>
      <c r="L414" s="215">
        <f>IFERROR(L169*1/AVERAGE(L394,K394),"")</f>
        <v/>
      </c>
      <c r="M414" s="36" t="n"/>
      <c r="N414" s="215">
        <f>IFERROR(N169*4/AVERAGE(N394,M394),"")</f>
        <v/>
      </c>
      <c r="O414" s="215">
        <f>IFERROR(O169*4/AVERAGE(O394,N394),"")</f>
        <v/>
      </c>
      <c r="P414" s="215">
        <f>IFERROR(P169*4/AVERAGE(P394,O394),"")</f>
        <v/>
      </c>
      <c r="Q414" s="215">
        <f>IFERROR(Q169*1/AVERAGE(Q394,L394),"")</f>
        <v/>
      </c>
      <c r="R414" s="215">
        <f>IFERROR(R169*4/AVERAGE(R394,P394),"")</f>
        <v/>
      </c>
      <c r="S414" s="215">
        <f>IFERROR(S169*4/AVERAGE(S394,R394),"")</f>
        <v/>
      </c>
      <c r="T414" s="215">
        <f>IFERROR(T169*4/AVERAGE(T394,S394),"")</f>
        <v/>
      </c>
      <c r="U414" s="215">
        <f>IFERROR(U169*4/AVERAGE(U394,T394),"")</f>
        <v/>
      </c>
      <c r="V414" s="215">
        <f>IFERROR(V169*1/AVERAGE(V394,Q394),"")</f>
        <v/>
      </c>
      <c r="W414" s="215">
        <f>IFERROR(W169*4/AVERAGE(W394,U394),"")</f>
        <v/>
      </c>
      <c r="X414" s="215">
        <f>IFERROR(X169*4/AVERAGE(X394,W394),"")</f>
        <v/>
      </c>
      <c r="Y414" s="215">
        <f>IFERROR(Y169*4/AVERAGE(Y394,X394),"")</f>
        <v/>
      </c>
      <c r="Z414" s="215">
        <f>IFERROR(Z169*4/AVERAGE(Z394,Y394),"")</f>
        <v/>
      </c>
      <c r="AA414" s="215">
        <f>IFERROR(AA169*1/AVERAGE(AA394,V394),"")</f>
        <v/>
      </c>
      <c r="AB414" s="215">
        <f>IFERROR(AB169*4/AVERAGE(AB394,Z394),"")</f>
        <v/>
      </c>
      <c r="AC414" s="215">
        <f>IFERROR(AC169*4/AVERAGE(AC394,AB394),"")</f>
        <v/>
      </c>
      <c r="AD414" s="215">
        <f>IFERROR(AD169*4/AVERAGE(AD394,AC394),"")</f>
        <v/>
      </c>
      <c r="AE414" s="215">
        <f>IFERROR(AE169*4/AVERAGE(AE394,AD394),"")</f>
        <v/>
      </c>
      <c r="AF414" s="215">
        <f>IFERROR(AF169*1/AVERAGE(AF394,AA394),"")</f>
        <v/>
      </c>
      <c r="AG414" s="215">
        <f>IFERROR(AG169*4/AVERAGE(AG394,AE394),"")</f>
        <v/>
      </c>
      <c r="AH414" s="215">
        <f>IFERROR(AH169*4/AVERAGE(AH394,AG394),"")</f>
        <v/>
      </c>
      <c r="AI414" s="215">
        <f>IFERROR(AI169*4/AVERAGE(AI394,AH394),"")</f>
        <v/>
      </c>
      <c r="AJ414" s="215">
        <f>IFERROR(AJ169*4/AVERAGE(AJ394,AI394),"")</f>
        <v/>
      </c>
      <c r="AK414" s="215">
        <f>IFERROR(AK169*1/AVERAGE(AK394,AF394),"")</f>
        <v/>
      </c>
      <c r="AL414" s="215">
        <f>IFERROR(AL169*4/AVERAGE(AL394,AJ394),"")</f>
        <v/>
      </c>
      <c r="AM414" s="24" t="n"/>
      <c r="AN414" s="24" t="n"/>
      <c r="AO414" s="24" t="n"/>
      <c r="AP414" s="256">
        <f>IFERROR(AP169*1/AVERAGE(AP394,AK394),"")</f>
        <v/>
      </c>
      <c r="AQ414" s="256">
        <f>IFERROR(AQ169*1/AVERAGE(AQ394,AP394),"")</f>
        <v/>
      </c>
      <c r="AR414" s="256">
        <f>IFERROR(AR169*1/AVERAGE(AR394,AQ394),"")</f>
        <v/>
      </c>
      <c r="AS414" s="256">
        <f>IFERROR(AS169*1/AVERAGE(AS394,AR394),"")</f>
        <v/>
      </c>
      <c r="AT414" s="256">
        <f>IFERROR(AT169*1/AVERAGE(AT394,AS394),"")</f>
        <v/>
      </c>
      <c r="AU414" s="153" t="n"/>
    </row>
    <row r="415" ht="15" customHeight="1" s="251">
      <c r="BC415" s="11" t="n"/>
      <c r="BD415" s="12" t="n"/>
      <c r="BE415" s="12" t="n"/>
      <c r="BF415" s="12" t="n"/>
      <c r="BG415" s="13" t="n"/>
    </row>
    <row r="416" ht="15" customHeight="1" s="251">
      <c r="B416" s="10" t="inlineStr">
        <is>
          <t>RATIO ANALYSIS</t>
        </is>
      </c>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c r="AG416" s="10" t="n"/>
      <c r="AH416" s="10" t="n"/>
      <c r="AI416" s="10" t="n"/>
      <c r="AJ416" s="10" t="n"/>
      <c r="AK416" s="10" t="n"/>
      <c r="AL416" s="10" t="n"/>
      <c r="AM416" s="10" t="n"/>
      <c r="AN416" s="10" t="n"/>
      <c r="AO416" s="10" t="n"/>
      <c r="AP416" s="10" t="n"/>
      <c r="AQ416" s="10" t="n"/>
      <c r="AR416" s="10" t="n"/>
      <c r="AS416" s="10" t="n"/>
      <c r="AT416" s="10" t="n"/>
      <c r="AU416" s="10" t="inlineStr">
        <is>
          <t>RETURNS — annual columns (NOPAT on adjusted EBIT, full-cost)</t>
        </is>
      </c>
    </row>
    <row r="417" ht="15" customHeight="1" s="251">
      <c r="B417" s="25" t="inlineStr">
        <is>
          <t>DuPont decomposition of ROIC</t>
        </is>
      </c>
      <c r="AU417" s="153" t="n"/>
    </row>
    <row r="418" ht="15" customHeight="1" s="251">
      <c r="B418" s="25" t="inlineStr">
        <is>
          <t>Adjusted EBIT (adjusted EBITDA − total D&amp;A)</t>
        </is>
      </c>
      <c r="C418" s="263">
        <f>C238</f>
        <v/>
      </c>
      <c r="D418" s="263">
        <f>D238</f>
        <v/>
      </c>
      <c r="E418" s="263">
        <f>E238</f>
        <v/>
      </c>
      <c r="F418" s="263">
        <f>F238</f>
        <v/>
      </c>
      <c r="G418" s="263">
        <f>G238</f>
        <v/>
      </c>
      <c r="H418" s="263">
        <f>H238</f>
        <v/>
      </c>
      <c r="I418" s="263">
        <f>I238</f>
        <v/>
      </c>
      <c r="J418" s="263">
        <f>J238</f>
        <v/>
      </c>
      <c r="K418" s="263">
        <f>K238</f>
        <v/>
      </c>
      <c r="L418" s="263">
        <f>L238</f>
        <v/>
      </c>
      <c r="M418" s="34" t="n"/>
      <c r="N418" s="34" t="n"/>
      <c r="O418" s="34" t="n"/>
      <c r="P418" s="34" t="n"/>
      <c r="Q418" s="263">
        <f>Q238</f>
        <v/>
      </c>
      <c r="R418" s="34" t="n"/>
      <c r="S418" s="34" t="n"/>
      <c r="T418" s="34" t="n"/>
      <c r="U418" s="34" t="n"/>
      <c r="V418" s="263">
        <f>V238</f>
        <v/>
      </c>
      <c r="W418" s="34" t="n"/>
      <c r="X418" s="34" t="n"/>
      <c r="Y418" s="34" t="n"/>
      <c r="Z418" s="34" t="n"/>
      <c r="AA418" s="263">
        <f>AA238</f>
        <v/>
      </c>
      <c r="AB418" s="34" t="n"/>
      <c r="AC418" s="34" t="n"/>
      <c r="AD418" s="34" t="n"/>
      <c r="AE418" s="34" t="n"/>
      <c r="AF418" s="263">
        <f>AF238</f>
        <v/>
      </c>
      <c r="AG418" s="34" t="n"/>
      <c r="AH418" s="34" t="n"/>
      <c r="AI418" s="34" t="n"/>
      <c r="AJ418" s="34" t="n"/>
      <c r="AK418" s="263">
        <f>AK238</f>
        <v/>
      </c>
      <c r="AL418" s="34" t="n"/>
      <c r="AM418" s="35" t="n"/>
      <c r="AN418" s="35" t="n"/>
      <c r="AO418" s="35" t="n"/>
      <c r="AP418" s="254">
        <f>AP238</f>
        <v/>
      </c>
      <c r="AQ418" s="254">
        <f>AQ238</f>
        <v/>
      </c>
      <c r="AR418" s="254">
        <f>AR238</f>
        <v/>
      </c>
      <c r="AS418" s="254">
        <f>AS238</f>
        <v/>
      </c>
      <c r="AT418" s="254">
        <f>AT238</f>
        <v/>
      </c>
      <c r="AU418" s="19" t="n"/>
    </row>
    <row r="419" ht="15" customHeight="1" s="251">
      <c r="B419" s="25" t="inlineStr">
        <is>
          <t>Effective tax rate (adjusted)</t>
        </is>
      </c>
      <c r="C419" s="215">
        <f>IFERROR(C257+0,0.25)</f>
        <v/>
      </c>
      <c r="D419" s="215">
        <f>IFERROR(D257+0,0.25)</f>
        <v/>
      </c>
      <c r="E419" s="215">
        <f>IFERROR(E257+0,0.25)</f>
        <v/>
      </c>
      <c r="F419" s="215">
        <f>IFERROR(F257+0,0.25)</f>
        <v/>
      </c>
      <c r="G419" s="215">
        <f>IFERROR(G257+0,0.25)</f>
        <v/>
      </c>
      <c r="H419" s="215">
        <f>IFERROR(H257+0,0.25)</f>
        <v/>
      </c>
      <c r="I419" s="215">
        <f>IFERROR(I257+0,0.25)</f>
        <v/>
      </c>
      <c r="J419" s="215">
        <f>IFERROR(J257+0,0.25)</f>
        <v/>
      </c>
      <c r="K419" s="215">
        <f>IFERROR(K257+0,0.25)</f>
        <v/>
      </c>
      <c r="L419" s="215">
        <f>IFERROR(L257+0,0.25)</f>
        <v/>
      </c>
      <c r="M419" s="34" t="n"/>
      <c r="N419" s="34" t="n"/>
      <c r="O419" s="34" t="n"/>
      <c r="P419" s="34" t="n"/>
      <c r="Q419" s="215">
        <f>IFERROR(Q257+0,0.25)</f>
        <v/>
      </c>
      <c r="R419" s="34" t="n"/>
      <c r="S419" s="34" t="n"/>
      <c r="T419" s="34" t="n"/>
      <c r="U419" s="34" t="n"/>
      <c r="V419" s="215">
        <f>IFERROR(V257+0,0.25)</f>
        <v/>
      </c>
      <c r="W419" s="34" t="n"/>
      <c r="X419" s="34" t="n"/>
      <c r="Y419" s="34" t="n"/>
      <c r="Z419" s="34" t="n"/>
      <c r="AA419" s="215">
        <f>IFERROR(AA257+0,0.25)</f>
        <v/>
      </c>
      <c r="AB419" s="34" t="n"/>
      <c r="AC419" s="34" t="n"/>
      <c r="AD419" s="34" t="n"/>
      <c r="AE419" s="34" t="n"/>
      <c r="AF419" s="215">
        <f>IFERROR(AF257+0,0.25)</f>
        <v/>
      </c>
      <c r="AG419" s="34" t="n"/>
      <c r="AH419" s="34" t="n"/>
      <c r="AI419" s="34" t="n"/>
      <c r="AJ419" s="34" t="n"/>
      <c r="AK419" s="215">
        <f>IFERROR(AK257+0,0.25)</f>
        <v/>
      </c>
      <c r="AL419" s="34" t="n"/>
      <c r="AM419" s="35" t="n"/>
      <c r="AN419" s="35" t="n"/>
      <c r="AO419" s="35" t="n"/>
      <c r="AP419" s="256">
        <f>IFERROR(AP257+0,0.25)</f>
        <v/>
      </c>
      <c r="AQ419" s="256">
        <f>IFERROR(AQ257+0,0.25)</f>
        <v/>
      </c>
      <c r="AR419" s="256">
        <f>IFERROR(AR257+0,0.25)</f>
        <v/>
      </c>
      <c r="AS419" s="256">
        <f>IFERROR(AS257+0,0.25)</f>
        <v/>
      </c>
      <c r="AT419" s="256">
        <f>IFERROR(AT257+0,0.25)</f>
        <v/>
      </c>
      <c r="AU419" s="19" t="n"/>
    </row>
    <row r="420" ht="15" customHeight="1" s="251">
      <c r="B420" s="25" t="inlineStr">
        <is>
          <t>NOPAT = Adjusted EBIT × (1 − tax rate)</t>
        </is>
      </c>
      <c r="C420" s="263">
        <f>IFERROR(C418*(1-C419),"n/a")</f>
        <v/>
      </c>
      <c r="D420" s="263">
        <f>IFERROR(D418*(1-D419),"n/a")</f>
        <v/>
      </c>
      <c r="E420" s="263">
        <f>IFERROR(E418*(1-E419),"n/a")</f>
        <v/>
      </c>
      <c r="F420" s="263">
        <f>IFERROR(F418*(1-F419),"n/a")</f>
        <v/>
      </c>
      <c r="G420" s="263">
        <f>IFERROR(G418*(1-G419),"n/a")</f>
        <v/>
      </c>
      <c r="H420" s="263">
        <f>IFERROR(H418*(1-H419),"n/a")</f>
        <v/>
      </c>
      <c r="I420" s="263">
        <f>IFERROR(I418*(1-I419),"n/a")</f>
        <v/>
      </c>
      <c r="J420" s="263">
        <f>IFERROR(J418*(1-J419),"n/a")</f>
        <v/>
      </c>
      <c r="K420" s="263">
        <f>IFERROR(K418*(1-K419),"n/a")</f>
        <v/>
      </c>
      <c r="L420" s="263">
        <f>IFERROR(L418*(1-L419),"n/a")</f>
        <v/>
      </c>
      <c r="M420" s="34" t="n"/>
      <c r="N420" s="34" t="n"/>
      <c r="O420" s="34" t="n"/>
      <c r="P420" s="34" t="n"/>
      <c r="Q420" s="263">
        <f>IFERROR(Q418*(1-Q419),"n/a")</f>
        <v/>
      </c>
      <c r="R420" s="34" t="n"/>
      <c r="S420" s="34" t="n"/>
      <c r="T420" s="34" t="n"/>
      <c r="U420" s="34" t="n"/>
      <c r="V420" s="263">
        <f>IFERROR(V418*(1-V419),"n/a")</f>
        <v/>
      </c>
      <c r="W420" s="34" t="n"/>
      <c r="X420" s="34" t="n"/>
      <c r="Y420" s="34" t="n"/>
      <c r="Z420" s="34" t="n"/>
      <c r="AA420" s="263">
        <f>IFERROR(AA418*(1-AA419),"n/a")</f>
        <v/>
      </c>
      <c r="AB420" s="34" t="n"/>
      <c r="AC420" s="34" t="n"/>
      <c r="AD420" s="34" t="n"/>
      <c r="AE420" s="34" t="n"/>
      <c r="AF420" s="263">
        <f>IFERROR(AF418*(1-AF419),"n/a")</f>
        <v/>
      </c>
      <c r="AG420" s="34" t="n"/>
      <c r="AH420" s="34" t="n"/>
      <c r="AI420" s="34" t="n"/>
      <c r="AJ420" s="34" t="n"/>
      <c r="AK420" s="263">
        <f>IFERROR(AK418*(1-AK419),"n/a")</f>
        <v/>
      </c>
      <c r="AL420" s="34" t="n"/>
      <c r="AM420" s="35" t="n"/>
      <c r="AN420" s="35" t="n"/>
      <c r="AO420" s="35" t="n"/>
      <c r="AP420" s="254">
        <f>IFERROR(AP418*(1-AP419),"n/a")</f>
        <v/>
      </c>
      <c r="AQ420" s="254">
        <f>IFERROR(AQ418*(1-AQ419),"n/a")</f>
        <v/>
      </c>
      <c r="AR420" s="254">
        <f>IFERROR(AR418*(1-AR419),"n/a")</f>
        <v/>
      </c>
      <c r="AS420" s="254">
        <f>IFERROR(AS418*(1-AS419),"n/a")</f>
        <v/>
      </c>
      <c r="AT420" s="254">
        <f>IFERROR(AT418*(1-AT419),"n/a")</f>
        <v/>
      </c>
      <c r="AU420" s="19" t="n"/>
    </row>
    <row r="421" ht="15" customHeight="1" s="251">
      <c r="B421" s="25" t="inlineStr">
        <is>
          <t>Invested capital (IC) = Equity (incl. NCI) + Net debt</t>
        </is>
      </c>
      <c r="C421" s="263">
        <f>IFERROR(C422+C423,"n/a")</f>
        <v/>
      </c>
      <c r="D421" s="263">
        <f>IFERROR(D422+D423,"n/a")</f>
        <v/>
      </c>
      <c r="E421" s="263">
        <f>IFERROR(E422+E423,"n/a")</f>
        <v/>
      </c>
      <c r="F421" s="263">
        <f>IFERROR(F422+F423,"n/a")</f>
        <v/>
      </c>
      <c r="G421" s="263">
        <f>IFERROR(G422+G423,"n/a")</f>
        <v/>
      </c>
      <c r="H421" s="263">
        <f>IFERROR(H422+H423,"n/a")</f>
        <v/>
      </c>
      <c r="I421" s="263">
        <f>IFERROR(I422+I423,"n/a")</f>
        <v/>
      </c>
      <c r="J421" s="263">
        <f>IFERROR(J422+J423,"n/a")</f>
        <v/>
      </c>
      <c r="K421" s="263">
        <f>IFERROR(K422+K423,"n/a")</f>
        <v/>
      </c>
      <c r="L421" s="263">
        <f>IFERROR(L422+L423,"n/a")</f>
        <v/>
      </c>
      <c r="M421" s="34" t="n"/>
      <c r="N421" s="34" t="n"/>
      <c r="O421" s="34" t="n"/>
      <c r="P421" s="34" t="n"/>
      <c r="Q421" s="263">
        <f>IFERROR(Q422+Q423,"n/a")</f>
        <v/>
      </c>
      <c r="R421" s="34" t="n"/>
      <c r="S421" s="34" t="n"/>
      <c r="T421" s="34" t="n"/>
      <c r="U421" s="34" t="n"/>
      <c r="V421" s="263">
        <f>IFERROR(V422+V423,"n/a")</f>
        <v/>
      </c>
      <c r="W421" s="34" t="n"/>
      <c r="X421" s="34" t="n"/>
      <c r="Y421" s="34" t="n"/>
      <c r="Z421" s="34" t="n"/>
      <c r="AA421" s="263">
        <f>IFERROR(AA422+AA423,"n/a")</f>
        <v/>
      </c>
      <c r="AB421" s="34" t="n"/>
      <c r="AC421" s="34" t="n"/>
      <c r="AD421" s="34" t="n"/>
      <c r="AE421" s="34" t="n"/>
      <c r="AF421" s="263">
        <f>IFERROR(AF422+AF423,"n/a")</f>
        <v/>
      </c>
      <c r="AG421" s="34" t="n"/>
      <c r="AH421" s="34" t="n"/>
      <c r="AI421" s="34" t="n"/>
      <c r="AJ421" s="34" t="n"/>
      <c r="AK421" s="263">
        <f>IFERROR(AK422+AK423,"n/a")</f>
        <v/>
      </c>
      <c r="AL421" s="34" t="n"/>
      <c r="AM421" s="35" t="n"/>
      <c r="AN421" s="35" t="n"/>
      <c r="AO421" s="35" t="n"/>
      <c r="AP421" s="254">
        <f>IFERROR(AP422+AP423,"n/a")</f>
        <v/>
      </c>
      <c r="AQ421" s="254">
        <f>IFERROR(AQ422+AQ423,"n/a")</f>
        <v/>
      </c>
      <c r="AR421" s="254">
        <f>IFERROR(AR422+AR423,"n/a")</f>
        <v/>
      </c>
      <c r="AS421" s="254">
        <f>IFERROR(AS422+AS423,"n/a")</f>
        <v/>
      </c>
      <c r="AT421" s="254">
        <f>IFERROR(AT422+AT423,"n/a")</f>
        <v/>
      </c>
      <c r="AU421" s="19" t="n"/>
    </row>
    <row r="422" ht="15" customHeight="1" s="251">
      <c r="B422" s="25" t="inlineStr">
        <is>
          <t xml:space="preserve">  Total equity (incl. noncontrolling interests)</t>
        </is>
      </c>
      <c r="C422" s="263">
        <f>IF(ISNUMBER(C358),C358,"n/a")</f>
        <v/>
      </c>
      <c r="D422" s="263">
        <f>IF(ISNUMBER(D358),D358,"n/a")</f>
        <v/>
      </c>
      <c r="E422" s="263">
        <f>IF(ISNUMBER(E358),E358,"n/a")</f>
        <v/>
      </c>
      <c r="F422" s="263">
        <f>IF(ISNUMBER(F358),F358,"n/a")</f>
        <v/>
      </c>
      <c r="G422" s="263">
        <f>IF(ISNUMBER(G358),G358,"n/a")</f>
        <v/>
      </c>
      <c r="H422" s="263">
        <f>IF(ISNUMBER(H358),H358,"n/a")</f>
        <v/>
      </c>
      <c r="I422" s="263">
        <f>IF(ISNUMBER(I358),I358,"n/a")</f>
        <v/>
      </c>
      <c r="J422" s="263">
        <f>IF(ISNUMBER(J358),J358,"n/a")</f>
        <v/>
      </c>
      <c r="K422" s="263">
        <f>IF(ISNUMBER(K358),K358,"n/a")</f>
        <v/>
      </c>
      <c r="L422" s="263">
        <f>IF(ISNUMBER(L358),L358,"n/a")</f>
        <v/>
      </c>
      <c r="M422" s="34" t="n"/>
      <c r="N422" s="34" t="n"/>
      <c r="O422" s="34" t="n"/>
      <c r="P422" s="34" t="n"/>
      <c r="Q422" s="263">
        <f>IF(ISNUMBER(Q358),Q358,"n/a")</f>
        <v/>
      </c>
      <c r="R422" s="34" t="n"/>
      <c r="S422" s="34" t="n"/>
      <c r="T422" s="34" t="n"/>
      <c r="U422" s="34" t="n"/>
      <c r="V422" s="263">
        <f>IF(ISNUMBER(V358),V358,"n/a")</f>
        <v/>
      </c>
      <c r="W422" s="34" t="n"/>
      <c r="X422" s="34" t="n"/>
      <c r="Y422" s="34" t="n"/>
      <c r="Z422" s="34" t="n"/>
      <c r="AA422" s="263">
        <f>IF(ISNUMBER(AA358),AA358,"n/a")</f>
        <v/>
      </c>
      <c r="AB422" s="34" t="n"/>
      <c r="AC422" s="34" t="n"/>
      <c r="AD422" s="34" t="n"/>
      <c r="AE422" s="34" t="n"/>
      <c r="AF422" s="263">
        <f>IF(ISNUMBER(AF358),AF358,"n/a")</f>
        <v/>
      </c>
      <c r="AG422" s="34" t="n"/>
      <c r="AH422" s="34" t="n"/>
      <c r="AI422" s="34" t="n"/>
      <c r="AJ422" s="34" t="n"/>
      <c r="AK422" s="263">
        <f>IF(ISNUMBER(AK358),AK358,"n/a")</f>
        <v/>
      </c>
      <c r="AL422" s="34" t="n"/>
      <c r="AM422" s="35" t="n"/>
      <c r="AN422" s="35" t="n"/>
      <c r="AO422" s="35" t="n"/>
      <c r="AP422" s="254">
        <f>IF(ISNUMBER(AP358),AP358,"n/a")</f>
        <v/>
      </c>
      <c r="AQ422" s="254">
        <f>IF(ISNUMBER(AQ358),AQ358,"n/a")</f>
        <v/>
      </c>
      <c r="AR422" s="254">
        <f>IF(ISNUMBER(AR358),AR358,"n/a")</f>
        <v/>
      </c>
      <c r="AS422" s="254">
        <f>IF(ISNUMBER(AS358),AS358,"n/a")</f>
        <v/>
      </c>
      <c r="AT422" s="254">
        <f>IF(ISNUMBER(AT358),AT358,"n/a")</f>
        <v/>
      </c>
      <c r="AU422" s="19" t="n"/>
    </row>
    <row r="423" ht="15" customHeight="1" s="251">
      <c r="B423" s="25" t="inlineStr">
        <is>
          <t xml:space="preserve">  Net debt = Total debt − Cash</t>
        </is>
      </c>
      <c r="C423" s="263">
        <f>IFERROR(C394-C337,"n/a")</f>
        <v/>
      </c>
      <c r="D423" s="263">
        <f>IFERROR(D394-D337,"n/a")</f>
        <v/>
      </c>
      <c r="E423" s="263">
        <f>IFERROR(E394-E337,"n/a")</f>
        <v/>
      </c>
      <c r="F423" s="263">
        <f>IFERROR(F394-F337,"n/a")</f>
        <v/>
      </c>
      <c r="G423" s="263">
        <f>IFERROR(G394-G337,"n/a")</f>
        <v/>
      </c>
      <c r="H423" s="263">
        <f>IFERROR(H394-H337,"n/a")</f>
        <v/>
      </c>
      <c r="I423" s="263">
        <f>IFERROR(I394-I337,"n/a")</f>
        <v/>
      </c>
      <c r="J423" s="263">
        <f>IFERROR(J394-J337,"n/a")</f>
        <v/>
      </c>
      <c r="K423" s="263">
        <f>IFERROR(K394-K337,"n/a")</f>
        <v/>
      </c>
      <c r="L423" s="263">
        <f>IFERROR(L394-L337,"n/a")</f>
        <v/>
      </c>
      <c r="M423" s="34" t="n"/>
      <c r="N423" s="34" t="n"/>
      <c r="O423" s="34" t="n"/>
      <c r="P423" s="34" t="n"/>
      <c r="Q423" s="263">
        <f>IFERROR(Q394-Q337,"n/a")</f>
        <v/>
      </c>
      <c r="R423" s="34" t="n"/>
      <c r="S423" s="34" t="n"/>
      <c r="T423" s="34" t="n"/>
      <c r="U423" s="34" t="n"/>
      <c r="V423" s="263">
        <f>IFERROR(V394-V337,"n/a")</f>
        <v/>
      </c>
      <c r="W423" s="34" t="n"/>
      <c r="X423" s="34" t="n"/>
      <c r="Y423" s="34" t="n"/>
      <c r="Z423" s="34" t="n"/>
      <c r="AA423" s="263">
        <f>IFERROR(AA394-AA337,"n/a")</f>
        <v/>
      </c>
      <c r="AB423" s="34" t="n"/>
      <c r="AC423" s="34" t="n"/>
      <c r="AD423" s="34" t="n"/>
      <c r="AE423" s="34" t="n"/>
      <c r="AF423" s="263">
        <f>IFERROR(AF394-AF337,"n/a")</f>
        <v/>
      </c>
      <c r="AG423" s="34" t="n"/>
      <c r="AH423" s="34" t="n"/>
      <c r="AI423" s="34" t="n"/>
      <c r="AJ423" s="34" t="n"/>
      <c r="AK423" s="263">
        <f>IFERROR(AK394-AK337,"n/a")</f>
        <v/>
      </c>
      <c r="AL423" s="34" t="n"/>
      <c r="AM423" s="35" t="n"/>
      <c r="AN423" s="35" t="n"/>
      <c r="AO423" s="35" t="n"/>
      <c r="AP423" s="254">
        <f>IFERROR(AP394-AP337,"n/a")</f>
        <v/>
      </c>
      <c r="AQ423" s="254">
        <f>IFERROR(AQ394-AQ337,"n/a")</f>
        <v/>
      </c>
      <c r="AR423" s="254">
        <f>IFERROR(AR394-AR337,"n/a")</f>
        <v/>
      </c>
      <c r="AS423" s="254">
        <f>IFERROR(AS394-AS337,"n/a")</f>
        <v/>
      </c>
      <c r="AT423" s="254">
        <f>IFERROR(AT394-AT337,"n/a")</f>
        <v/>
      </c>
      <c r="AU423" s="19" t="n"/>
    </row>
    <row r="424" ht="15" customHeight="1" s="251">
      <c r="B424" s="55" t="inlineStr">
        <is>
          <t>ROIC = NOPAT / IC</t>
        </is>
      </c>
      <c r="C424" s="293">
        <f>IFERROR(C420/C421,"n/a")</f>
        <v/>
      </c>
      <c r="D424" s="293">
        <f>IFERROR(D420/D421,"n/a")</f>
        <v/>
      </c>
      <c r="E424" s="293">
        <f>IFERROR(E420/E421,"n/a")</f>
        <v/>
      </c>
      <c r="F424" s="293">
        <f>IFERROR(F420/F421,"n/a")</f>
        <v/>
      </c>
      <c r="G424" s="293">
        <f>IFERROR(G420/G421,"n/a")</f>
        <v/>
      </c>
      <c r="H424" s="293">
        <f>IFERROR(H420/H421,"n/a")</f>
        <v/>
      </c>
      <c r="I424" s="293">
        <f>IFERROR(I420/I421,"n/a")</f>
        <v/>
      </c>
      <c r="J424" s="293">
        <f>IFERROR(J420/J421,"n/a")</f>
        <v/>
      </c>
      <c r="K424" s="293">
        <f>IFERROR(K420/K421,"n/a")</f>
        <v/>
      </c>
      <c r="L424" s="293">
        <f>IFERROR(L420/L421,"n/a")</f>
        <v/>
      </c>
      <c r="M424" s="56" t="n"/>
      <c r="N424" s="56" t="n"/>
      <c r="O424" s="56" t="n"/>
      <c r="P424" s="56" t="n"/>
      <c r="Q424" s="293">
        <f>IFERROR(Q420/Q421,"n/a")</f>
        <v/>
      </c>
      <c r="R424" s="56" t="n"/>
      <c r="S424" s="56" t="n"/>
      <c r="T424" s="56" t="n"/>
      <c r="U424" s="56" t="n"/>
      <c r="V424" s="293">
        <f>IFERROR(V420/V421,"n/a")</f>
        <v/>
      </c>
      <c r="W424" s="56" t="n"/>
      <c r="X424" s="56" t="n"/>
      <c r="Y424" s="56" t="n"/>
      <c r="Z424" s="56" t="n"/>
      <c r="AA424" s="293">
        <f>IFERROR(AA420/AA421,"n/a")</f>
        <v/>
      </c>
      <c r="AB424" s="56" t="n"/>
      <c r="AC424" s="56" t="n"/>
      <c r="AD424" s="56" t="n"/>
      <c r="AE424" s="56" t="n"/>
      <c r="AF424" s="293">
        <f>IFERROR(AF420/AF421,"n/a")</f>
        <v/>
      </c>
      <c r="AG424" s="56" t="n"/>
      <c r="AH424" s="56" t="n"/>
      <c r="AI424" s="56" t="n"/>
      <c r="AJ424" s="56" t="n"/>
      <c r="AK424" s="293">
        <f>IFERROR(AK420/AK421,"n/a")</f>
        <v/>
      </c>
      <c r="AL424" s="56" t="n"/>
      <c r="AM424" s="56" t="n"/>
      <c r="AN424" s="56" t="n"/>
      <c r="AO424" s="56" t="n"/>
      <c r="AP424" s="293">
        <f>IFERROR(AP420/AP421,"n/a")</f>
        <v/>
      </c>
      <c r="AQ424" s="293">
        <f>IFERROR(AQ420/AQ421,"n/a")</f>
        <v/>
      </c>
      <c r="AR424" s="293">
        <f>IFERROR(AR420/AR421,"n/a")</f>
        <v/>
      </c>
      <c r="AS424" s="293">
        <f>IFERROR(AS420/AS421,"n/a")</f>
        <v/>
      </c>
      <c r="AT424" s="293">
        <f>IFERROR(AT420/AT421,"n/a")</f>
        <v/>
      </c>
      <c r="AU424" s="153" t="n"/>
      <c r="AW424" s="37">
        <f>IFERROR(AVERAGE(AP424,AQ424,AR424,AS424,AT424),"n/m")</f>
        <v/>
      </c>
      <c r="AX424" s="37">
        <f>IFERROR(AVERAGE(Q424,V424,AA424,AF424,AK424),"n/m")</f>
        <v/>
      </c>
      <c r="AY424" s="37">
        <f>IFERROR(AVERAGE(H424,I424,J424,K424,L424,Q424,V424,AA424,AF424,AK424),"n/m")</f>
        <v/>
      </c>
      <c r="AZ424" s="37">
        <f>IFERROR(AVERAGE(C424,D424,E424,F424,G424,H424,I424,J424,K424,L424,Q424,V424,AA424,AF424,AK424),"n/m")</f>
        <v/>
      </c>
    </row>
    <row r="425" ht="15" customHeight="1" s="251">
      <c r="B425" s="25" t="inlineStr">
        <is>
          <t xml:space="preserve">  Margin = Adjusted EBIT / Revenue</t>
        </is>
      </c>
      <c r="C425" s="215">
        <f>IFERROR(C418/C159,"n/a")</f>
        <v/>
      </c>
      <c r="D425" s="215">
        <f>IFERROR(D418/D159,"n/a")</f>
        <v/>
      </c>
      <c r="E425" s="215">
        <f>IFERROR(E418/E159,"n/a")</f>
        <v/>
      </c>
      <c r="F425" s="215">
        <f>IFERROR(F418/F159,"n/a")</f>
        <v/>
      </c>
      <c r="G425" s="215">
        <f>IFERROR(G418/G159,"n/a")</f>
        <v/>
      </c>
      <c r="H425" s="215">
        <f>IFERROR(H418/H159,"n/a")</f>
        <v/>
      </c>
      <c r="I425" s="215">
        <f>IFERROR(I418/I159,"n/a")</f>
        <v/>
      </c>
      <c r="J425" s="215">
        <f>IFERROR(J418/J159,"n/a")</f>
        <v/>
      </c>
      <c r="K425" s="215">
        <f>IFERROR(K418/K159,"n/a")</f>
        <v/>
      </c>
      <c r="L425" s="215">
        <f>IFERROR(L418/L159,"n/a")</f>
        <v/>
      </c>
      <c r="M425" s="34" t="n"/>
      <c r="N425" s="34" t="n"/>
      <c r="O425" s="34" t="n"/>
      <c r="P425" s="34" t="n"/>
      <c r="Q425" s="215">
        <f>IFERROR(Q418/Q159,"n/a")</f>
        <v/>
      </c>
      <c r="R425" s="34" t="n"/>
      <c r="S425" s="34" t="n"/>
      <c r="T425" s="34" t="n"/>
      <c r="U425" s="34" t="n"/>
      <c r="V425" s="215">
        <f>IFERROR(V418/V159,"n/a")</f>
        <v/>
      </c>
      <c r="W425" s="34" t="n"/>
      <c r="X425" s="34" t="n"/>
      <c r="Y425" s="34" t="n"/>
      <c r="Z425" s="34" t="n"/>
      <c r="AA425" s="215">
        <f>IFERROR(AA418/AA159,"n/a")</f>
        <v/>
      </c>
      <c r="AB425" s="34" t="n"/>
      <c r="AC425" s="34" t="n"/>
      <c r="AD425" s="34" t="n"/>
      <c r="AE425" s="34" t="n"/>
      <c r="AF425" s="215">
        <f>IFERROR(AF418/AF159,"n/a")</f>
        <v/>
      </c>
      <c r="AG425" s="34" t="n"/>
      <c r="AH425" s="34" t="n"/>
      <c r="AI425" s="34" t="n"/>
      <c r="AJ425" s="34" t="n"/>
      <c r="AK425" s="215">
        <f>IFERROR(AK418/AK159,"n/a")</f>
        <v/>
      </c>
      <c r="AL425" s="34" t="n"/>
      <c r="AM425" s="35" t="n"/>
      <c r="AN425" s="35" t="n"/>
      <c r="AO425" s="35" t="n"/>
      <c r="AP425" s="256">
        <f>IFERROR(AP418/AP159,"n/a")</f>
        <v/>
      </c>
      <c r="AQ425" s="256">
        <f>IFERROR(AQ418/AQ159,"n/a")</f>
        <v/>
      </c>
      <c r="AR425" s="256">
        <f>IFERROR(AR418/AR159,"n/a")</f>
        <v/>
      </c>
      <c r="AS425" s="256">
        <f>IFERROR(AS418/AS159,"n/a")</f>
        <v/>
      </c>
      <c r="AT425" s="256">
        <f>IFERROR(AT418/AT159,"n/a")</f>
        <v/>
      </c>
      <c r="AU425" s="19" t="n"/>
    </row>
    <row r="426" ht="15" customHeight="1" s="251">
      <c r="B426" s="25" t="inlineStr">
        <is>
          <t xml:space="preserve">  Capital turnover = Revenue / IC</t>
        </is>
      </c>
      <c r="C426" s="285">
        <f>IFERROR(C159/C421,"n/a")</f>
        <v/>
      </c>
      <c r="D426" s="285">
        <f>IFERROR(D159/D421,"n/a")</f>
        <v/>
      </c>
      <c r="E426" s="285">
        <f>IFERROR(E159/E421,"n/a")</f>
        <v/>
      </c>
      <c r="F426" s="285">
        <f>IFERROR(F159/F421,"n/a")</f>
        <v/>
      </c>
      <c r="G426" s="285">
        <f>IFERROR(G159/G421,"n/a")</f>
        <v/>
      </c>
      <c r="H426" s="285">
        <f>IFERROR(H159/H421,"n/a")</f>
        <v/>
      </c>
      <c r="I426" s="285">
        <f>IFERROR(I159/I421,"n/a")</f>
        <v/>
      </c>
      <c r="J426" s="285">
        <f>IFERROR(J159/J421,"n/a")</f>
        <v/>
      </c>
      <c r="K426" s="285">
        <f>IFERROR(K159/K421,"n/a")</f>
        <v/>
      </c>
      <c r="L426" s="285">
        <f>IFERROR(L159/L421,"n/a")</f>
        <v/>
      </c>
      <c r="M426" s="34" t="n"/>
      <c r="N426" s="34" t="n"/>
      <c r="O426" s="34" t="n"/>
      <c r="P426" s="34" t="n"/>
      <c r="Q426" s="285">
        <f>IFERROR(Q159/Q421,"n/a")</f>
        <v/>
      </c>
      <c r="R426" s="34" t="n"/>
      <c r="S426" s="34" t="n"/>
      <c r="T426" s="34" t="n"/>
      <c r="U426" s="34" t="n"/>
      <c r="V426" s="285">
        <f>IFERROR(V159/V421,"n/a")</f>
        <v/>
      </c>
      <c r="W426" s="34" t="n"/>
      <c r="X426" s="34" t="n"/>
      <c r="Y426" s="34" t="n"/>
      <c r="Z426" s="34" t="n"/>
      <c r="AA426" s="285">
        <f>IFERROR(AA159/AA421,"n/a")</f>
        <v/>
      </c>
      <c r="AB426" s="34" t="n"/>
      <c r="AC426" s="34" t="n"/>
      <c r="AD426" s="34" t="n"/>
      <c r="AE426" s="34" t="n"/>
      <c r="AF426" s="285">
        <f>IFERROR(AF159/AF421,"n/a")</f>
        <v/>
      </c>
      <c r="AG426" s="34" t="n"/>
      <c r="AH426" s="34" t="n"/>
      <c r="AI426" s="34" t="n"/>
      <c r="AJ426" s="34" t="n"/>
      <c r="AK426" s="285">
        <f>IFERROR(AK159/AK421,"n/a")</f>
        <v/>
      </c>
      <c r="AL426" s="34" t="n"/>
      <c r="AM426" s="35" t="n"/>
      <c r="AN426" s="35" t="n"/>
      <c r="AO426" s="35" t="n"/>
      <c r="AP426" s="286">
        <f>IFERROR(AP159/AP421,"n/a")</f>
        <v/>
      </c>
      <c r="AQ426" s="286">
        <f>IFERROR(AQ159/AQ421,"n/a")</f>
        <v/>
      </c>
      <c r="AR426" s="286">
        <f>IFERROR(AR159/AR421,"n/a")</f>
        <v/>
      </c>
      <c r="AS426" s="286">
        <f>IFERROR(AS159/AS421,"n/a")</f>
        <v/>
      </c>
      <c r="AT426" s="286">
        <f>IFERROR(AT159/AT421,"n/a")</f>
        <v/>
      </c>
      <c r="AU426" s="19" t="n"/>
    </row>
    <row r="427" ht="15" customHeight="1" s="251">
      <c r="B427" s="25" t="inlineStr">
        <is>
          <t xml:space="preserve">  Tax burden = (1 − tax rate)</t>
        </is>
      </c>
      <c r="C427" s="215">
        <f>IFERROR(1-C419,"n/a")</f>
        <v/>
      </c>
      <c r="D427" s="215">
        <f>IFERROR(1-D419,"n/a")</f>
        <v/>
      </c>
      <c r="E427" s="215">
        <f>IFERROR(1-E419,"n/a")</f>
        <v/>
      </c>
      <c r="F427" s="215">
        <f>IFERROR(1-F419,"n/a")</f>
        <v/>
      </c>
      <c r="G427" s="215">
        <f>IFERROR(1-G419,"n/a")</f>
        <v/>
      </c>
      <c r="H427" s="215">
        <f>IFERROR(1-H419,"n/a")</f>
        <v/>
      </c>
      <c r="I427" s="215">
        <f>IFERROR(1-I419,"n/a")</f>
        <v/>
      </c>
      <c r="J427" s="215">
        <f>IFERROR(1-J419,"n/a")</f>
        <v/>
      </c>
      <c r="K427" s="215">
        <f>IFERROR(1-K419,"n/a")</f>
        <v/>
      </c>
      <c r="L427" s="215">
        <f>IFERROR(1-L419,"n/a")</f>
        <v/>
      </c>
      <c r="M427" s="34" t="n"/>
      <c r="N427" s="34" t="n"/>
      <c r="O427" s="34" t="n"/>
      <c r="P427" s="34" t="n"/>
      <c r="Q427" s="215">
        <f>IFERROR(1-Q419,"n/a")</f>
        <v/>
      </c>
      <c r="R427" s="34" t="n"/>
      <c r="S427" s="34" t="n"/>
      <c r="T427" s="34" t="n"/>
      <c r="U427" s="34" t="n"/>
      <c r="V427" s="215">
        <f>IFERROR(1-V419,"n/a")</f>
        <v/>
      </c>
      <c r="W427" s="34" t="n"/>
      <c r="X427" s="34" t="n"/>
      <c r="Y427" s="34" t="n"/>
      <c r="Z427" s="34" t="n"/>
      <c r="AA427" s="215">
        <f>IFERROR(1-AA419,"n/a")</f>
        <v/>
      </c>
      <c r="AB427" s="34" t="n"/>
      <c r="AC427" s="34" t="n"/>
      <c r="AD427" s="34" t="n"/>
      <c r="AE427" s="34" t="n"/>
      <c r="AF427" s="215">
        <f>IFERROR(1-AF419,"n/a")</f>
        <v/>
      </c>
      <c r="AG427" s="34" t="n"/>
      <c r="AH427" s="34" t="n"/>
      <c r="AI427" s="34" t="n"/>
      <c r="AJ427" s="34" t="n"/>
      <c r="AK427" s="215">
        <f>IFERROR(1-AK419,"n/a")</f>
        <v/>
      </c>
      <c r="AL427" s="34" t="n"/>
      <c r="AM427" s="35" t="n"/>
      <c r="AN427" s="35" t="n"/>
      <c r="AO427" s="35" t="n"/>
      <c r="AP427" s="256">
        <f>IFERROR(1-AP419,"n/a")</f>
        <v/>
      </c>
      <c r="AQ427" s="256">
        <f>IFERROR(1-AQ419,"n/a")</f>
        <v/>
      </c>
      <c r="AR427" s="256">
        <f>IFERROR(1-AR419,"n/a")</f>
        <v/>
      </c>
      <c r="AS427" s="256">
        <f>IFERROR(1-AS419,"n/a")</f>
        <v/>
      </c>
      <c r="AT427" s="256">
        <f>IFERROR(1-AT419,"n/a")</f>
        <v/>
      </c>
      <c r="AU427" s="19" t="n"/>
    </row>
    <row r="428" ht="15" customHeight="1" s="251">
      <c r="B428" s="25" t="inlineStr">
        <is>
          <t xml:space="preserve">  Check: Margin × Turnover × Tax burden = ROIC</t>
        </is>
      </c>
      <c r="C428" s="215">
        <f>IFERROR(C425*C426*C427,"n/a")</f>
        <v/>
      </c>
      <c r="D428" s="215">
        <f>IFERROR(D425*D426*D427,"n/a")</f>
        <v/>
      </c>
      <c r="E428" s="215">
        <f>IFERROR(E425*E426*E427,"n/a")</f>
        <v/>
      </c>
      <c r="F428" s="215">
        <f>IFERROR(F425*F426*F427,"n/a")</f>
        <v/>
      </c>
      <c r="G428" s="215">
        <f>IFERROR(G425*G426*G427,"n/a")</f>
        <v/>
      </c>
      <c r="H428" s="215">
        <f>IFERROR(H425*H426*H427,"n/a")</f>
        <v/>
      </c>
      <c r="I428" s="215">
        <f>IFERROR(I425*I426*I427,"n/a")</f>
        <v/>
      </c>
      <c r="J428" s="215">
        <f>IFERROR(J425*J426*J427,"n/a")</f>
        <v/>
      </c>
      <c r="K428" s="215">
        <f>IFERROR(K425*K426*K427,"n/a")</f>
        <v/>
      </c>
      <c r="L428" s="215">
        <f>IFERROR(L425*L426*L427,"n/a")</f>
        <v/>
      </c>
      <c r="M428" s="34" t="n"/>
      <c r="N428" s="34" t="n"/>
      <c r="O428" s="34" t="n"/>
      <c r="P428" s="34" t="n"/>
      <c r="Q428" s="215">
        <f>IFERROR(Q425*Q426*Q427,"n/a")</f>
        <v/>
      </c>
      <c r="R428" s="34" t="n"/>
      <c r="S428" s="34" t="n"/>
      <c r="T428" s="34" t="n"/>
      <c r="U428" s="34" t="n"/>
      <c r="V428" s="215">
        <f>IFERROR(V425*V426*V427,"n/a")</f>
        <v/>
      </c>
      <c r="W428" s="34" t="n"/>
      <c r="X428" s="34" t="n"/>
      <c r="Y428" s="34" t="n"/>
      <c r="Z428" s="34" t="n"/>
      <c r="AA428" s="215">
        <f>IFERROR(AA425*AA426*AA427,"n/a")</f>
        <v/>
      </c>
      <c r="AB428" s="34" t="n"/>
      <c r="AC428" s="34" t="n"/>
      <c r="AD428" s="34" t="n"/>
      <c r="AE428" s="34" t="n"/>
      <c r="AF428" s="215">
        <f>IFERROR(AF425*AF426*AF427,"n/a")</f>
        <v/>
      </c>
      <c r="AG428" s="34" t="n"/>
      <c r="AH428" s="34" t="n"/>
      <c r="AI428" s="34" t="n"/>
      <c r="AJ428" s="34" t="n"/>
      <c r="AK428" s="215">
        <f>IFERROR(AK425*AK426*AK427,"n/a")</f>
        <v/>
      </c>
      <c r="AL428" s="34" t="n"/>
      <c r="AM428" s="35" t="n"/>
      <c r="AN428" s="35" t="n"/>
      <c r="AO428" s="35" t="n"/>
      <c r="AP428" s="256">
        <f>IFERROR(AP425*AP426*AP427,"n/a")</f>
        <v/>
      </c>
      <c r="AQ428" s="256">
        <f>IFERROR(AQ425*AQ426*AQ427,"n/a")</f>
        <v/>
      </c>
      <c r="AR428" s="256">
        <f>IFERROR(AR425*AR426*AR427,"n/a")</f>
        <v/>
      </c>
      <c r="AS428" s="256">
        <f>IFERROR(AS425*AS426*AS427,"n/a")</f>
        <v/>
      </c>
      <c r="AT428" s="256">
        <f>IFERROR(AT425*AT426*AT427,"n/a")</f>
        <v/>
      </c>
      <c r="AU428" s="19" t="n"/>
    </row>
    <row r="429" ht="15" customHeight="1" s="251">
      <c r="B429" s="25" t="inlineStr">
        <is>
          <t>RONTA decomposition</t>
        </is>
      </c>
      <c r="AU429" s="153" t="n"/>
    </row>
    <row r="430" ht="15" customHeight="1" s="251">
      <c r="B430" s="25" t="inlineStr">
        <is>
          <t>NOPAT = Adjusted EBIT × (1 − tax rate)</t>
        </is>
      </c>
      <c r="C430" s="263">
        <f>C420</f>
        <v/>
      </c>
      <c r="D430" s="263">
        <f>D420</f>
        <v/>
      </c>
      <c r="E430" s="263">
        <f>E420</f>
        <v/>
      </c>
      <c r="F430" s="263">
        <f>F420</f>
        <v/>
      </c>
      <c r="G430" s="263">
        <f>G420</f>
        <v/>
      </c>
      <c r="H430" s="263">
        <f>H420</f>
        <v/>
      </c>
      <c r="I430" s="263">
        <f>I420</f>
        <v/>
      </c>
      <c r="J430" s="263">
        <f>J420</f>
        <v/>
      </c>
      <c r="K430" s="263">
        <f>K420</f>
        <v/>
      </c>
      <c r="L430" s="263">
        <f>L420</f>
        <v/>
      </c>
      <c r="M430" s="34" t="n"/>
      <c r="N430" s="34" t="n"/>
      <c r="O430" s="34" t="n"/>
      <c r="P430" s="34" t="n"/>
      <c r="Q430" s="263">
        <f>Q420</f>
        <v/>
      </c>
      <c r="R430" s="34" t="n"/>
      <c r="S430" s="34" t="n"/>
      <c r="T430" s="34" t="n"/>
      <c r="U430" s="34" t="n"/>
      <c r="V430" s="263">
        <f>V420</f>
        <v/>
      </c>
      <c r="W430" s="34" t="n"/>
      <c r="X430" s="34" t="n"/>
      <c r="Y430" s="34" t="n"/>
      <c r="Z430" s="34" t="n"/>
      <c r="AA430" s="263">
        <f>AA420</f>
        <v/>
      </c>
      <c r="AB430" s="34" t="n"/>
      <c r="AC430" s="34" t="n"/>
      <c r="AD430" s="34" t="n"/>
      <c r="AE430" s="34" t="n"/>
      <c r="AF430" s="263">
        <f>AF420</f>
        <v/>
      </c>
      <c r="AG430" s="34" t="n"/>
      <c r="AH430" s="34" t="n"/>
      <c r="AI430" s="34" t="n"/>
      <c r="AJ430" s="34" t="n"/>
      <c r="AK430" s="263">
        <f>AK420</f>
        <v/>
      </c>
      <c r="AL430" s="34" t="n"/>
      <c r="AM430" s="35" t="n"/>
      <c r="AN430" s="35" t="n"/>
      <c r="AO430" s="35" t="n"/>
      <c r="AP430" s="254">
        <f>AP420</f>
        <v/>
      </c>
      <c r="AQ430" s="254">
        <f>AQ420</f>
        <v/>
      </c>
      <c r="AR430" s="254">
        <f>AR420</f>
        <v/>
      </c>
      <c r="AS430" s="254">
        <f>AS420</f>
        <v/>
      </c>
      <c r="AT430" s="254">
        <f>AT420</f>
        <v/>
      </c>
      <c r="AU430" s="19" t="n"/>
    </row>
    <row r="431" ht="15" customHeight="1" s="251">
      <c r="B431" s="25" t="inlineStr">
        <is>
          <t xml:space="preserve">  Total assets</t>
        </is>
      </c>
      <c r="C431" s="263">
        <f>C347</f>
        <v/>
      </c>
      <c r="D431" s="263">
        <f>D347</f>
        <v/>
      </c>
      <c r="E431" s="263">
        <f>E347</f>
        <v/>
      </c>
      <c r="F431" s="263">
        <f>F347</f>
        <v/>
      </c>
      <c r="G431" s="263">
        <f>G347</f>
        <v/>
      </c>
      <c r="H431" s="263">
        <f>H347</f>
        <v/>
      </c>
      <c r="I431" s="263">
        <f>I347</f>
        <v/>
      </c>
      <c r="J431" s="263">
        <f>J347</f>
        <v/>
      </c>
      <c r="K431" s="263">
        <f>K347</f>
        <v/>
      </c>
      <c r="L431" s="263">
        <f>L347</f>
        <v/>
      </c>
      <c r="M431" s="34" t="n"/>
      <c r="N431" s="34" t="n"/>
      <c r="O431" s="34" t="n"/>
      <c r="P431" s="34" t="n"/>
      <c r="Q431" s="263">
        <f>Q347</f>
        <v/>
      </c>
      <c r="R431" s="34" t="n"/>
      <c r="S431" s="34" t="n"/>
      <c r="T431" s="34" t="n"/>
      <c r="U431" s="34" t="n"/>
      <c r="V431" s="263">
        <f>V347</f>
        <v/>
      </c>
      <c r="W431" s="34" t="n"/>
      <c r="X431" s="34" t="n"/>
      <c r="Y431" s="34" t="n"/>
      <c r="Z431" s="34" t="n"/>
      <c r="AA431" s="263">
        <f>AA347</f>
        <v/>
      </c>
      <c r="AB431" s="34" t="n"/>
      <c r="AC431" s="34" t="n"/>
      <c r="AD431" s="34" t="n"/>
      <c r="AE431" s="34" t="n"/>
      <c r="AF431" s="263">
        <f>AF347</f>
        <v/>
      </c>
      <c r="AG431" s="34" t="n"/>
      <c r="AH431" s="34" t="n"/>
      <c r="AI431" s="34" t="n"/>
      <c r="AJ431" s="34" t="n"/>
      <c r="AK431" s="263">
        <f>AK347</f>
        <v/>
      </c>
      <c r="AL431" s="34" t="n"/>
      <c r="AM431" s="35" t="n"/>
      <c r="AN431" s="35" t="n"/>
      <c r="AO431" s="35" t="n"/>
      <c r="AP431" s="254">
        <f>AP347</f>
        <v/>
      </c>
      <c r="AQ431" s="254">
        <f>AQ347</f>
        <v/>
      </c>
      <c r="AR431" s="254">
        <f>AR347</f>
        <v/>
      </c>
      <c r="AS431" s="254">
        <f>AS347</f>
        <v/>
      </c>
      <c r="AT431" s="254">
        <f>AT347</f>
        <v/>
      </c>
      <c r="AU431" s="19" t="n"/>
    </row>
    <row r="432" ht="15" customHeight="1" s="251">
      <c r="B432" s="25" t="inlineStr">
        <is>
          <t xml:space="preserve">  − Goodwill &amp; intangible assets</t>
        </is>
      </c>
      <c r="C432" s="263">
        <f>IFERROR(-(C344+C345),"n/a")</f>
        <v/>
      </c>
      <c r="D432" s="263">
        <f>IFERROR(-(D344+D345),"n/a")</f>
        <v/>
      </c>
      <c r="E432" s="263">
        <f>IFERROR(-(E344+E345),"n/a")</f>
        <v/>
      </c>
      <c r="F432" s="263">
        <f>IFERROR(-(F344+F345),"n/a")</f>
        <v/>
      </c>
      <c r="G432" s="263">
        <f>IFERROR(-(G344+G345),"n/a")</f>
        <v/>
      </c>
      <c r="H432" s="263">
        <f>IFERROR(-(H344+H345),"n/a")</f>
        <v/>
      </c>
      <c r="I432" s="263">
        <f>IFERROR(-(I344+I345),"n/a")</f>
        <v/>
      </c>
      <c r="J432" s="263">
        <f>IFERROR(-(J344+J345),"n/a")</f>
        <v/>
      </c>
      <c r="K432" s="263">
        <f>IFERROR(-(K344+K345),"n/a")</f>
        <v/>
      </c>
      <c r="L432" s="263">
        <f>IFERROR(-(L344+L345),"n/a")</f>
        <v/>
      </c>
      <c r="M432" s="34" t="n"/>
      <c r="N432" s="34" t="n"/>
      <c r="O432" s="34" t="n"/>
      <c r="P432" s="34" t="n"/>
      <c r="Q432" s="263">
        <f>IFERROR(-(Q344+Q345),"n/a")</f>
        <v/>
      </c>
      <c r="R432" s="34" t="n"/>
      <c r="S432" s="34" t="n"/>
      <c r="T432" s="34" t="n"/>
      <c r="U432" s="34" t="n"/>
      <c r="V432" s="263">
        <f>IFERROR(-(V344+V345),"n/a")</f>
        <v/>
      </c>
      <c r="W432" s="34" t="n"/>
      <c r="X432" s="34" t="n"/>
      <c r="Y432" s="34" t="n"/>
      <c r="Z432" s="34" t="n"/>
      <c r="AA432" s="263">
        <f>IFERROR(-(AA344+AA345),"n/a")</f>
        <v/>
      </c>
      <c r="AB432" s="34" t="n"/>
      <c r="AC432" s="34" t="n"/>
      <c r="AD432" s="34" t="n"/>
      <c r="AE432" s="34" t="n"/>
      <c r="AF432" s="263">
        <f>IFERROR(-(AF344+AF345),"n/a")</f>
        <v/>
      </c>
      <c r="AG432" s="34" t="n"/>
      <c r="AH432" s="34" t="n"/>
      <c r="AI432" s="34" t="n"/>
      <c r="AJ432" s="34" t="n"/>
      <c r="AK432" s="263">
        <f>IFERROR(-(AK344+AK345),"n/a")</f>
        <v/>
      </c>
      <c r="AL432" s="34" t="n"/>
      <c r="AM432" s="35" t="n"/>
      <c r="AN432" s="35" t="n"/>
      <c r="AO432" s="35" t="n"/>
      <c r="AP432" s="254">
        <f>IFERROR(-(AP344+AP345),"n/a")</f>
        <v/>
      </c>
      <c r="AQ432" s="254">
        <f>IFERROR(-(AQ344+AQ345),"n/a")</f>
        <v/>
      </c>
      <c r="AR432" s="254">
        <f>IFERROR(-(AR344+AR345),"n/a")</f>
        <v/>
      </c>
      <c r="AS432" s="254">
        <f>IFERROR(-(AS344+AS345),"n/a")</f>
        <v/>
      </c>
      <c r="AT432" s="254">
        <f>IFERROR(-(AT344+AT345),"n/a")</f>
        <v/>
      </c>
      <c r="AU432" s="19" t="n"/>
    </row>
    <row r="433" ht="15" customHeight="1" s="251">
      <c r="B433" s="25" t="inlineStr">
        <is>
          <t xml:space="preserve">  − Non-interest-bearing current liabilities (total CL excl. short-term debt)</t>
        </is>
      </c>
      <c r="C433" s="263">
        <f>IFERROR(-(C352-N(C350)),"n/a")</f>
        <v/>
      </c>
      <c r="D433" s="263">
        <f>IFERROR(-(D352-N(D350)),"n/a")</f>
        <v/>
      </c>
      <c r="E433" s="263">
        <f>IFERROR(-(E352-N(E350)),"n/a")</f>
        <v/>
      </c>
      <c r="F433" s="263">
        <f>IFERROR(-(F352-N(F350)),"n/a")</f>
        <v/>
      </c>
      <c r="G433" s="263">
        <f>IFERROR(-(G352-N(G350)),"n/a")</f>
        <v/>
      </c>
      <c r="H433" s="263">
        <f>IFERROR(-(H352-N(H350)),"n/a")</f>
        <v/>
      </c>
      <c r="I433" s="263">
        <f>IFERROR(-(I352-N(I350)),"n/a")</f>
        <v/>
      </c>
      <c r="J433" s="263">
        <f>IFERROR(-(J352-N(J350)),"n/a")</f>
        <v/>
      </c>
      <c r="K433" s="263">
        <f>IFERROR(-(K352-N(K350)),"n/a")</f>
        <v/>
      </c>
      <c r="L433" s="263">
        <f>IFERROR(-(L352-N(L350)),"n/a")</f>
        <v/>
      </c>
      <c r="M433" s="34" t="n"/>
      <c r="N433" s="34" t="n"/>
      <c r="O433" s="34" t="n"/>
      <c r="P433" s="34" t="n"/>
      <c r="Q433" s="263">
        <f>IFERROR(-(Q352-N(Q350)),"n/a")</f>
        <v/>
      </c>
      <c r="R433" s="34" t="n"/>
      <c r="S433" s="34" t="n"/>
      <c r="T433" s="34" t="n"/>
      <c r="U433" s="34" t="n"/>
      <c r="V433" s="263">
        <f>IFERROR(-(V352-N(V350)),"n/a")</f>
        <v/>
      </c>
      <c r="W433" s="34" t="n"/>
      <c r="X433" s="34" t="n"/>
      <c r="Y433" s="34" t="n"/>
      <c r="Z433" s="34" t="n"/>
      <c r="AA433" s="263">
        <f>IFERROR(-(AA352-N(AA350)),"n/a")</f>
        <v/>
      </c>
      <c r="AB433" s="34" t="n"/>
      <c r="AC433" s="34" t="n"/>
      <c r="AD433" s="34" t="n"/>
      <c r="AE433" s="34" t="n"/>
      <c r="AF433" s="263">
        <f>IFERROR(-(AF352-N(AF350)),"n/a")</f>
        <v/>
      </c>
      <c r="AG433" s="34" t="n"/>
      <c r="AH433" s="34" t="n"/>
      <c r="AI433" s="34" t="n"/>
      <c r="AJ433" s="34" t="n"/>
      <c r="AK433" s="263">
        <f>IFERROR(-(AK352-N(AK350)),"n/a")</f>
        <v/>
      </c>
      <c r="AL433" s="34" t="n"/>
      <c r="AM433" s="35" t="n"/>
      <c r="AN433" s="35" t="n"/>
      <c r="AO433" s="35" t="n"/>
      <c r="AP433" s="254">
        <f>IFERROR(-(AP352-N(AP350)),"n/a")</f>
        <v/>
      </c>
      <c r="AQ433" s="254">
        <f>IFERROR(-(AQ352-N(AQ350)),"n/a")</f>
        <v/>
      </c>
      <c r="AR433" s="254">
        <f>IFERROR(-(AR352-N(AR350)),"n/a")</f>
        <v/>
      </c>
      <c r="AS433" s="254">
        <f>IFERROR(-(AS352-N(AS350)),"n/a")</f>
        <v/>
      </c>
      <c r="AT433" s="254">
        <f>IFERROR(-(AT352-N(AT350)),"n/a")</f>
        <v/>
      </c>
      <c r="AU433" s="19" t="n"/>
    </row>
    <row r="434" ht="15" customHeight="1" s="251">
      <c r="B434" s="25" t="inlineStr">
        <is>
          <t xml:space="preserve">  = Net tangible assets</t>
        </is>
      </c>
      <c r="C434" s="263">
        <f>IFERROR(SUM(C431:C433),"n/a")</f>
        <v/>
      </c>
      <c r="D434" s="263">
        <f>IFERROR(SUM(D431:D433),"n/a")</f>
        <v/>
      </c>
      <c r="E434" s="263">
        <f>IFERROR(SUM(E431:E433),"n/a")</f>
        <v/>
      </c>
      <c r="F434" s="263">
        <f>IFERROR(SUM(F431:F433),"n/a")</f>
        <v/>
      </c>
      <c r="G434" s="263">
        <f>IFERROR(SUM(G431:G433),"n/a")</f>
        <v/>
      </c>
      <c r="H434" s="263">
        <f>IFERROR(SUM(H431:H433),"n/a")</f>
        <v/>
      </c>
      <c r="I434" s="263">
        <f>IFERROR(SUM(I431:I433),"n/a")</f>
        <v/>
      </c>
      <c r="J434" s="263">
        <f>IFERROR(SUM(J431:J433),"n/a")</f>
        <v/>
      </c>
      <c r="K434" s="263">
        <f>IFERROR(SUM(K431:K433),"n/a")</f>
        <v/>
      </c>
      <c r="L434" s="263">
        <f>IFERROR(SUM(L431:L433),"n/a")</f>
        <v/>
      </c>
      <c r="M434" s="34" t="n"/>
      <c r="N434" s="34" t="n"/>
      <c r="O434" s="34" t="n"/>
      <c r="P434" s="34" t="n"/>
      <c r="Q434" s="263">
        <f>IFERROR(SUM(Q431:Q433),"n/a")</f>
        <v/>
      </c>
      <c r="R434" s="34" t="n"/>
      <c r="S434" s="34" t="n"/>
      <c r="T434" s="34" t="n"/>
      <c r="U434" s="34" t="n"/>
      <c r="V434" s="263">
        <f>IFERROR(SUM(V431:V433),"n/a")</f>
        <v/>
      </c>
      <c r="W434" s="34" t="n"/>
      <c r="X434" s="34" t="n"/>
      <c r="Y434" s="34" t="n"/>
      <c r="Z434" s="34" t="n"/>
      <c r="AA434" s="263">
        <f>IFERROR(SUM(AA431:AA433),"n/a")</f>
        <v/>
      </c>
      <c r="AB434" s="34" t="n"/>
      <c r="AC434" s="34" t="n"/>
      <c r="AD434" s="34" t="n"/>
      <c r="AE434" s="34" t="n"/>
      <c r="AF434" s="263">
        <f>IFERROR(SUM(AF431:AF433),"n/a")</f>
        <v/>
      </c>
      <c r="AG434" s="34" t="n"/>
      <c r="AH434" s="34" t="n"/>
      <c r="AI434" s="34" t="n"/>
      <c r="AJ434" s="34" t="n"/>
      <c r="AK434" s="263">
        <f>IFERROR(SUM(AK431:AK433),"n/a")</f>
        <v/>
      </c>
      <c r="AL434" s="34" t="n"/>
      <c r="AM434" s="35" t="n"/>
      <c r="AN434" s="35" t="n"/>
      <c r="AO434" s="35" t="n"/>
      <c r="AP434" s="254">
        <f>IFERROR(SUM(AP431:AP433),"n/a")</f>
        <v/>
      </c>
      <c r="AQ434" s="254">
        <f>IFERROR(SUM(AQ431:AQ433),"n/a")</f>
        <v/>
      </c>
      <c r="AR434" s="254">
        <f>IFERROR(SUM(AR431:AR433),"n/a")</f>
        <v/>
      </c>
      <c r="AS434" s="254">
        <f>IFERROR(SUM(AS431:AS433),"n/a")</f>
        <v/>
      </c>
      <c r="AT434" s="254">
        <f>IFERROR(SUM(AT431:AT433),"n/a")</f>
        <v/>
      </c>
      <c r="AU434" s="19" t="n"/>
    </row>
    <row r="435" ht="15" customHeight="1" s="251">
      <c r="B435" s="55" t="inlineStr">
        <is>
          <t>RONTA = NOPAT / NTA</t>
        </is>
      </c>
      <c r="C435" s="293">
        <f>IFERROR(C430/C434,"n/a")</f>
        <v/>
      </c>
      <c r="D435" s="293">
        <f>IFERROR(D430/D434,"n/a")</f>
        <v/>
      </c>
      <c r="E435" s="293">
        <f>IFERROR(E430/E434,"n/a")</f>
        <v/>
      </c>
      <c r="F435" s="293">
        <f>IFERROR(F430/F434,"n/a")</f>
        <v/>
      </c>
      <c r="G435" s="293">
        <f>IFERROR(G430/G434,"n/a")</f>
        <v/>
      </c>
      <c r="H435" s="293">
        <f>IFERROR(H430/H434,"n/a")</f>
        <v/>
      </c>
      <c r="I435" s="293">
        <f>IFERROR(I430/I434,"n/a")</f>
        <v/>
      </c>
      <c r="J435" s="293">
        <f>IFERROR(J430/J434,"n/a")</f>
        <v/>
      </c>
      <c r="K435" s="293">
        <f>IFERROR(K430/K434,"n/a")</f>
        <v/>
      </c>
      <c r="L435" s="293">
        <f>IFERROR(L430/L434,"n/a")</f>
        <v/>
      </c>
      <c r="M435" s="56" t="n"/>
      <c r="N435" s="56" t="n"/>
      <c r="O435" s="56" t="n"/>
      <c r="P435" s="56" t="n"/>
      <c r="Q435" s="293">
        <f>IFERROR(Q430/Q434,"n/a")</f>
        <v/>
      </c>
      <c r="R435" s="56" t="n"/>
      <c r="S435" s="56" t="n"/>
      <c r="T435" s="56" t="n"/>
      <c r="U435" s="56" t="n"/>
      <c r="V435" s="293">
        <f>IFERROR(V430/V434,"n/a")</f>
        <v/>
      </c>
      <c r="W435" s="56" t="n"/>
      <c r="X435" s="56" t="n"/>
      <c r="Y435" s="56" t="n"/>
      <c r="Z435" s="56" t="n"/>
      <c r="AA435" s="293">
        <f>IFERROR(AA430/AA434,"n/a")</f>
        <v/>
      </c>
      <c r="AB435" s="56" t="n"/>
      <c r="AC435" s="56" t="n"/>
      <c r="AD435" s="56" t="n"/>
      <c r="AE435" s="56" t="n"/>
      <c r="AF435" s="293">
        <f>IFERROR(AF430/AF434,"n/a")</f>
        <v/>
      </c>
      <c r="AG435" s="56" t="n"/>
      <c r="AH435" s="56" t="n"/>
      <c r="AI435" s="56" t="n"/>
      <c r="AJ435" s="56" t="n"/>
      <c r="AK435" s="293">
        <f>IFERROR(AK430/AK434,"n/a")</f>
        <v/>
      </c>
      <c r="AL435" s="56" t="n"/>
      <c r="AM435" s="56" t="n"/>
      <c r="AN435" s="56" t="n"/>
      <c r="AO435" s="56" t="n"/>
      <c r="AP435" s="293">
        <f>IFERROR(AP430/AP434,"n/a")</f>
        <v/>
      </c>
      <c r="AQ435" s="293">
        <f>IFERROR(AQ430/AQ434,"n/a")</f>
        <v/>
      </c>
      <c r="AR435" s="293">
        <f>IFERROR(AR430/AR434,"n/a")</f>
        <v/>
      </c>
      <c r="AS435" s="293">
        <f>IFERROR(AS430/AS434,"n/a")</f>
        <v/>
      </c>
      <c r="AT435" s="293">
        <f>IFERROR(AT430/AT434,"n/a")</f>
        <v/>
      </c>
      <c r="AU435" s="153" t="n"/>
      <c r="AW435" s="37">
        <f>IFERROR(AVERAGE(AP435,AQ435,AR435,AS435,AT435),"n/m")</f>
        <v/>
      </c>
      <c r="AX435" s="37">
        <f>IFERROR(AVERAGE(Q435,V435,AA435,AF435,AK435),"n/m")</f>
        <v/>
      </c>
      <c r="AY435" s="37">
        <f>IFERROR(AVERAGE(H435,I435,J435,K435,L435,Q435,V435,AA435,AF435,AK435),"n/m")</f>
        <v/>
      </c>
      <c r="AZ435" s="37">
        <f>IFERROR(AVERAGE(C435,D435,E435,F435,G435,H435,I435,J435,K435,L435,Q435,V435,AA435,AF435,AK435),"n/m")</f>
        <v/>
      </c>
    </row>
    <row r="436" ht="15" customHeight="1" s="251">
      <c r="B436" s="25" t="inlineStr">
        <is>
          <t>Return on Equity (ROE)</t>
        </is>
      </c>
      <c r="AU436" s="153" t="n"/>
    </row>
    <row r="437" ht="15" customHeight="1" s="251">
      <c r="B437" s="25" t="inlineStr">
        <is>
          <t>Net income attributable to shareholders</t>
        </is>
      </c>
      <c r="C437" s="263">
        <f>C178</f>
        <v/>
      </c>
      <c r="D437" s="263">
        <f>D178</f>
        <v/>
      </c>
      <c r="E437" s="263">
        <f>E178</f>
        <v/>
      </c>
      <c r="F437" s="263">
        <f>F178</f>
        <v/>
      </c>
      <c r="G437" s="263">
        <f>G178</f>
        <v/>
      </c>
      <c r="H437" s="263">
        <f>H178</f>
        <v/>
      </c>
      <c r="I437" s="263">
        <f>I178</f>
        <v/>
      </c>
      <c r="J437" s="263">
        <f>J178</f>
        <v/>
      </c>
      <c r="K437" s="263">
        <f>K178</f>
        <v/>
      </c>
      <c r="L437" s="263">
        <f>L178</f>
        <v/>
      </c>
      <c r="M437" s="34" t="n"/>
      <c r="N437" s="34" t="n"/>
      <c r="O437" s="34" t="n"/>
      <c r="P437" s="34" t="n"/>
      <c r="Q437" s="263">
        <f>Q178</f>
        <v/>
      </c>
      <c r="R437" s="34" t="n"/>
      <c r="S437" s="34" t="n"/>
      <c r="T437" s="34" t="n"/>
      <c r="U437" s="34" t="n"/>
      <c r="V437" s="263">
        <f>V178</f>
        <v/>
      </c>
      <c r="W437" s="34" t="n"/>
      <c r="X437" s="34" t="n"/>
      <c r="Y437" s="34" t="n"/>
      <c r="Z437" s="34" t="n"/>
      <c r="AA437" s="263">
        <f>AA178</f>
        <v/>
      </c>
      <c r="AB437" s="34" t="n"/>
      <c r="AC437" s="34" t="n"/>
      <c r="AD437" s="34" t="n"/>
      <c r="AE437" s="34" t="n"/>
      <c r="AF437" s="263">
        <f>AF178</f>
        <v/>
      </c>
      <c r="AG437" s="34" t="n"/>
      <c r="AH437" s="34" t="n"/>
      <c r="AI437" s="34" t="n"/>
      <c r="AJ437" s="34" t="n"/>
      <c r="AK437" s="263">
        <f>AK178</f>
        <v/>
      </c>
      <c r="AL437" s="34" t="n"/>
      <c r="AM437" s="35" t="n"/>
      <c r="AN437" s="35" t="n"/>
      <c r="AO437" s="35" t="n"/>
      <c r="AP437" s="254">
        <f>AP178</f>
        <v/>
      </c>
      <c r="AQ437" s="254">
        <f>AQ178</f>
        <v/>
      </c>
      <c r="AR437" s="254">
        <f>AR178</f>
        <v/>
      </c>
      <c r="AS437" s="254">
        <f>AS178</f>
        <v/>
      </c>
      <c r="AT437" s="254">
        <f>AT178</f>
        <v/>
      </c>
      <c r="AU437" s="19" t="n"/>
    </row>
    <row r="438" ht="15" customHeight="1" s="251">
      <c r="B438" s="25" t="inlineStr">
        <is>
          <t>Shareholders' equity</t>
        </is>
      </c>
      <c r="C438" s="263">
        <f>C356</f>
        <v/>
      </c>
      <c r="D438" s="263">
        <f>D356</f>
        <v/>
      </c>
      <c r="E438" s="263">
        <f>E356</f>
        <v/>
      </c>
      <c r="F438" s="263">
        <f>F356</f>
        <v/>
      </c>
      <c r="G438" s="263">
        <f>G356</f>
        <v/>
      </c>
      <c r="H438" s="263">
        <f>H356</f>
        <v/>
      </c>
      <c r="I438" s="263">
        <f>I356</f>
        <v/>
      </c>
      <c r="J438" s="263">
        <f>J356</f>
        <v/>
      </c>
      <c r="K438" s="263">
        <f>K356</f>
        <v/>
      </c>
      <c r="L438" s="263">
        <f>L356</f>
        <v/>
      </c>
      <c r="M438" s="34" t="n"/>
      <c r="N438" s="34" t="n"/>
      <c r="O438" s="34" t="n"/>
      <c r="P438" s="34" t="n"/>
      <c r="Q438" s="263">
        <f>Q356</f>
        <v/>
      </c>
      <c r="R438" s="34" t="n"/>
      <c r="S438" s="34" t="n"/>
      <c r="T438" s="34" t="n"/>
      <c r="U438" s="34" t="n"/>
      <c r="V438" s="263">
        <f>V356</f>
        <v/>
      </c>
      <c r="W438" s="34" t="n"/>
      <c r="X438" s="34" t="n"/>
      <c r="Y438" s="34" t="n"/>
      <c r="Z438" s="34" t="n"/>
      <c r="AA438" s="263">
        <f>AA356</f>
        <v/>
      </c>
      <c r="AB438" s="34" t="n"/>
      <c r="AC438" s="34" t="n"/>
      <c r="AD438" s="34" t="n"/>
      <c r="AE438" s="34" t="n"/>
      <c r="AF438" s="263">
        <f>AF356</f>
        <v/>
      </c>
      <c r="AG438" s="34" t="n"/>
      <c r="AH438" s="34" t="n"/>
      <c r="AI438" s="34" t="n"/>
      <c r="AJ438" s="34" t="n"/>
      <c r="AK438" s="263">
        <f>AK356</f>
        <v/>
      </c>
      <c r="AL438" s="34" t="n"/>
      <c r="AM438" s="35" t="n"/>
      <c r="AN438" s="35" t="n"/>
      <c r="AO438" s="35" t="n"/>
      <c r="AP438" s="254">
        <f>AP356</f>
        <v/>
      </c>
      <c r="AQ438" s="254">
        <f>AQ356</f>
        <v/>
      </c>
      <c r="AR438" s="254">
        <f>AR356</f>
        <v/>
      </c>
      <c r="AS438" s="254">
        <f>AS356</f>
        <v/>
      </c>
      <c r="AT438" s="254">
        <f>AT356</f>
        <v/>
      </c>
      <c r="AU438" s="19" t="n"/>
    </row>
    <row r="439" ht="15" customHeight="1" s="251">
      <c r="B439" s="25" t="inlineStr">
        <is>
          <t>ROE = Net income / Equity</t>
        </is>
      </c>
      <c r="C439" s="215">
        <f>IFERROR(C437/C438,"n/a")</f>
        <v/>
      </c>
      <c r="D439" s="215">
        <f>IFERROR(D437/D438,"n/a")</f>
        <v/>
      </c>
      <c r="E439" s="215">
        <f>IFERROR(E437/E438,"n/a")</f>
        <v/>
      </c>
      <c r="F439" s="215">
        <f>IFERROR(F437/F438,"n/a")</f>
        <v/>
      </c>
      <c r="G439" s="215">
        <f>IFERROR(G437/G438,"n/a")</f>
        <v/>
      </c>
      <c r="H439" s="215">
        <f>IFERROR(H437/H438,"n/a")</f>
        <v/>
      </c>
      <c r="I439" s="215">
        <f>IFERROR(I437/I438,"n/a")</f>
        <v/>
      </c>
      <c r="J439" s="215">
        <f>IFERROR(J437/J438,"n/a")</f>
        <v/>
      </c>
      <c r="K439" s="215">
        <f>IFERROR(K437/K438,"n/a")</f>
        <v/>
      </c>
      <c r="L439" s="215">
        <f>IFERROR(L437/L438,"n/a")</f>
        <v/>
      </c>
      <c r="M439" s="34" t="n"/>
      <c r="N439" s="34" t="n"/>
      <c r="O439" s="34" t="n"/>
      <c r="P439" s="34" t="n"/>
      <c r="Q439" s="215">
        <f>IFERROR(Q437/Q438,"n/a")</f>
        <v/>
      </c>
      <c r="R439" s="34" t="n"/>
      <c r="S439" s="34" t="n"/>
      <c r="T439" s="34" t="n"/>
      <c r="U439" s="34" t="n"/>
      <c r="V439" s="215">
        <f>IFERROR(V437/V438,"n/a")</f>
        <v/>
      </c>
      <c r="W439" s="34" t="n"/>
      <c r="X439" s="34" t="n"/>
      <c r="Y439" s="34" t="n"/>
      <c r="Z439" s="34" t="n"/>
      <c r="AA439" s="215">
        <f>IFERROR(AA437/AA438,"n/a")</f>
        <v/>
      </c>
      <c r="AB439" s="34" t="n"/>
      <c r="AC439" s="34" t="n"/>
      <c r="AD439" s="34" t="n"/>
      <c r="AE439" s="34" t="n"/>
      <c r="AF439" s="215">
        <f>IFERROR(AF437/AF438,"n/a")</f>
        <v/>
      </c>
      <c r="AG439" s="34" t="n"/>
      <c r="AH439" s="34" t="n"/>
      <c r="AI439" s="34" t="n"/>
      <c r="AJ439" s="34" t="n"/>
      <c r="AK439" s="215">
        <f>IFERROR(AK437/AK438,"n/a")</f>
        <v/>
      </c>
      <c r="AL439" s="34" t="n"/>
      <c r="AM439" s="35" t="n"/>
      <c r="AN439" s="35" t="n"/>
      <c r="AO439" s="35" t="n"/>
      <c r="AP439" s="256">
        <f>IFERROR(AP437/AP438,"n/a")</f>
        <v/>
      </c>
      <c r="AQ439" s="256">
        <f>IFERROR(AQ437/AQ438,"n/a")</f>
        <v/>
      </c>
      <c r="AR439" s="256">
        <f>IFERROR(AR437/AR438,"n/a")</f>
        <v/>
      </c>
      <c r="AS439" s="256">
        <f>IFERROR(AS437/AS438,"n/a")</f>
        <v/>
      </c>
      <c r="AT439" s="256">
        <f>IFERROR(AT437/AT438,"n/a")</f>
        <v/>
      </c>
      <c r="AU439" s="19" t="n"/>
      <c r="AW439" s="37">
        <f>IFERROR(AVERAGE(AP439,AQ439,AR439,AS439,AT439),"n/m")</f>
        <v/>
      </c>
      <c r="AX439" s="37">
        <f>IFERROR(AVERAGE(Q439,V439,AA439,AF439,AK439),"n/m")</f>
        <v/>
      </c>
      <c r="AY439" s="37">
        <f>IFERROR(AVERAGE(H439,I439,J439,K439,L439,Q439,V439,AA439,AF439,AK439),"n/m")</f>
        <v/>
      </c>
      <c r="AZ439" s="37">
        <f>IFERROR(AVERAGE(C439,D439,E439,F439,G439,H439,I439,J439,K439,L439,Q439,V439,AA439,AF439,AK439),"n/m")</f>
        <v/>
      </c>
    </row>
    <row r="440" ht="15" customHeight="1" s="251">
      <c r="B440" s="25" t="inlineStr">
        <is>
          <t>Leverage</t>
        </is>
      </c>
      <c r="AU440" s="153" t="n"/>
    </row>
    <row r="441" ht="15" customHeight="1" s="251">
      <c r="B441" s="25" t="inlineStr">
        <is>
          <t>Net debt = Total debt − cash</t>
        </is>
      </c>
      <c r="C441" s="263">
        <f>C423</f>
        <v/>
      </c>
      <c r="D441" s="263">
        <f>D423</f>
        <v/>
      </c>
      <c r="E441" s="263">
        <f>E423</f>
        <v/>
      </c>
      <c r="F441" s="263">
        <f>F423</f>
        <v/>
      </c>
      <c r="G441" s="263">
        <f>G423</f>
        <v/>
      </c>
      <c r="H441" s="263">
        <f>H423</f>
        <v/>
      </c>
      <c r="I441" s="263">
        <f>I423</f>
        <v/>
      </c>
      <c r="J441" s="263">
        <f>J423</f>
        <v/>
      </c>
      <c r="K441" s="263">
        <f>K423</f>
        <v/>
      </c>
      <c r="L441" s="263">
        <f>L423</f>
        <v/>
      </c>
      <c r="M441" s="34" t="n"/>
      <c r="N441" s="34" t="n"/>
      <c r="O441" s="34" t="n"/>
      <c r="P441" s="34" t="n"/>
      <c r="Q441" s="263">
        <f>Q423</f>
        <v/>
      </c>
      <c r="R441" s="34" t="n"/>
      <c r="S441" s="34" t="n"/>
      <c r="T441" s="34" t="n"/>
      <c r="U441" s="34" t="n"/>
      <c r="V441" s="263">
        <f>V423</f>
        <v/>
      </c>
      <c r="W441" s="34" t="n"/>
      <c r="X441" s="34" t="n"/>
      <c r="Y441" s="34" t="n"/>
      <c r="Z441" s="34" t="n"/>
      <c r="AA441" s="263">
        <f>AA423</f>
        <v/>
      </c>
      <c r="AB441" s="34" t="n"/>
      <c r="AC441" s="34" t="n"/>
      <c r="AD441" s="34" t="n"/>
      <c r="AE441" s="34" t="n"/>
      <c r="AF441" s="263">
        <f>AF423</f>
        <v/>
      </c>
      <c r="AG441" s="34" t="n"/>
      <c r="AH441" s="34" t="n"/>
      <c r="AI441" s="34" t="n"/>
      <c r="AJ441" s="34" t="n"/>
      <c r="AK441" s="263">
        <f>AK423</f>
        <v/>
      </c>
      <c r="AL441" s="34" t="n"/>
      <c r="AM441" s="35" t="n"/>
      <c r="AN441" s="35" t="n"/>
      <c r="AO441" s="35" t="n"/>
      <c r="AP441" s="254">
        <f>AP423</f>
        <v/>
      </c>
      <c r="AQ441" s="254">
        <f>AQ423</f>
        <v/>
      </c>
      <c r="AR441" s="254">
        <f>AR423</f>
        <v/>
      </c>
      <c r="AS441" s="254">
        <f>AS423</f>
        <v/>
      </c>
      <c r="AT441" s="254">
        <f>AT423</f>
        <v/>
      </c>
      <c r="AU441" s="19" t="n"/>
    </row>
    <row r="442" ht="15" customHeight="1" s="251">
      <c r="B442" s="25" t="inlineStr">
        <is>
          <t>Adjusted EBITDA (model)</t>
        </is>
      </c>
      <c r="C442" s="263">
        <f>C233</f>
        <v/>
      </c>
      <c r="D442" s="263">
        <f>D233</f>
        <v/>
      </c>
      <c r="E442" s="263">
        <f>E233</f>
        <v/>
      </c>
      <c r="F442" s="263">
        <f>F233</f>
        <v/>
      </c>
      <c r="G442" s="263">
        <f>G233</f>
        <v/>
      </c>
      <c r="H442" s="263">
        <f>H233</f>
        <v/>
      </c>
      <c r="I442" s="263">
        <f>I233</f>
        <v/>
      </c>
      <c r="J442" s="263">
        <f>J233</f>
        <v/>
      </c>
      <c r="K442" s="263">
        <f>K233</f>
        <v/>
      </c>
      <c r="L442" s="263">
        <f>L233</f>
        <v/>
      </c>
      <c r="M442" s="34" t="n"/>
      <c r="N442" s="34" t="n"/>
      <c r="O442" s="34" t="n"/>
      <c r="P442" s="34" t="n"/>
      <c r="Q442" s="263">
        <f>Q233</f>
        <v/>
      </c>
      <c r="R442" s="34" t="n"/>
      <c r="S442" s="34" t="n"/>
      <c r="T442" s="34" t="n"/>
      <c r="U442" s="34" t="n"/>
      <c r="V442" s="263">
        <f>V233</f>
        <v/>
      </c>
      <c r="W442" s="34" t="n"/>
      <c r="X442" s="34" t="n"/>
      <c r="Y442" s="34" t="n"/>
      <c r="Z442" s="34" t="n"/>
      <c r="AA442" s="263">
        <f>AA233</f>
        <v/>
      </c>
      <c r="AB442" s="34" t="n"/>
      <c r="AC442" s="34" t="n"/>
      <c r="AD442" s="34" t="n"/>
      <c r="AE442" s="34" t="n"/>
      <c r="AF442" s="263">
        <f>AF233</f>
        <v/>
      </c>
      <c r="AG442" s="34" t="n"/>
      <c r="AH442" s="34" t="n"/>
      <c r="AI442" s="34" t="n"/>
      <c r="AJ442" s="34" t="n"/>
      <c r="AK442" s="263">
        <f>AK233</f>
        <v/>
      </c>
      <c r="AL442" s="34" t="n"/>
      <c r="AM442" s="35" t="n"/>
      <c r="AN442" s="35" t="n"/>
      <c r="AO442" s="35" t="n"/>
      <c r="AP442" s="254">
        <f>AP233</f>
        <v/>
      </c>
      <c r="AQ442" s="254">
        <f>AQ233</f>
        <v/>
      </c>
      <c r="AR442" s="254">
        <f>AR233</f>
        <v/>
      </c>
      <c r="AS442" s="254">
        <f>AS233</f>
        <v/>
      </c>
      <c r="AT442" s="254">
        <f>AT233</f>
        <v/>
      </c>
      <c r="AU442" s="19" t="n"/>
    </row>
    <row r="443" ht="15" customHeight="1" s="251">
      <c r="B443" s="55" t="inlineStr">
        <is>
          <t>Net debt / adjusted EBITDA (x)</t>
        </is>
      </c>
      <c r="C443" s="294">
        <f>IFERROR(C441/C442,"n/a")</f>
        <v/>
      </c>
      <c r="D443" s="294">
        <f>IFERROR(D441/D442,"n/a")</f>
        <v/>
      </c>
      <c r="E443" s="294">
        <f>IFERROR(E441/E442,"n/a")</f>
        <v/>
      </c>
      <c r="F443" s="294">
        <f>IFERROR(F441/F442,"n/a")</f>
        <v/>
      </c>
      <c r="G443" s="294">
        <f>IFERROR(G441/G442,"n/a")</f>
        <v/>
      </c>
      <c r="H443" s="294">
        <f>IFERROR(H441/H442,"n/a")</f>
        <v/>
      </c>
      <c r="I443" s="294">
        <f>IFERROR(I441/I442,"n/a")</f>
        <v/>
      </c>
      <c r="J443" s="294">
        <f>IFERROR(J441/J442,"n/a")</f>
        <v/>
      </c>
      <c r="K443" s="294">
        <f>IFERROR(K441/K442,"n/a")</f>
        <v/>
      </c>
      <c r="L443" s="294">
        <f>IFERROR(L441/L442,"n/a")</f>
        <v/>
      </c>
      <c r="M443" s="56" t="n"/>
      <c r="N443" s="56" t="n"/>
      <c r="O443" s="56" t="n"/>
      <c r="P443" s="56" t="n"/>
      <c r="Q443" s="294">
        <f>IFERROR(Q441/Q442,"n/a")</f>
        <v/>
      </c>
      <c r="R443" s="56" t="n"/>
      <c r="S443" s="56" t="n"/>
      <c r="T443" s="56" t="n"/>
      <c r="U443" s="56" t="n"/>
      <c r="V443" s="294">
        <f>IFERROR(V441/V442,"n/a")</f>
        <v/>
      </c>
      <c r="W443" s="56" t="n"/>
      <c r="X443" s="56" t="n"/>
      <c r="Y443" s="56" t="n"/>
      <c r="Z443" s="56" t="n"/>
      <c r="AA443" s="294">
        <f>IFERROR(AA441/AA442,"n/a")</f>
        <v/>
      </c>
      <c r="AB443" s="56" t="n"/>
      <c r="AC443" s="56" t="n"/>
      <c r="AD443" s="56" t="n"/>
      <c r="AE443" s="56" t="n"/>
      <c r="AF443" s="294">
        <f>IFERROR(AF441/AF442,"n/a")</f>
        <v/>
      </c>
      <c r="AG443" s="56" t="n"/>
      <c r="AH443" s="56" t="n"/>
      <c r="AI443" s="56" t="n"/>
      <c r="AJ443" s="56" t="n"/>
      <c r="AK443" s="294">
        <f>IFERROR(AK441/AK442,"n/a")</f>
        <v/>
      </c>
      <c r="AL443" s="56" t="n"/>
      <c r="AM443" s="56" t="n"/>
      <c r="AN443" s="56" t="n"/>
      <c r="AO443" s="56" t="n"/>
      <c r="AP443" s="294">
        <f>IFERROR(AP441/AP442,"n/a")</f>
        <v/>
      </c>
      <c r="AQ443" s="294">
        <f>IFERROR(AQ441/AQ442,"n/a")</f>
        <v/>
      </c>
      <c r="AR443" s="294">
        <f>IFERROR(AR441/AR442,"n/a")</f>
        <v/>
      </c>
      <c r="AS443" s="294">
        <f>IFERROR(AS441/AS442,"n/a")</f>
        <v/>
      </c>
      <c r="AT443" s="294">
        <f>IFERROR(AT441/AT442,"n/a")</f>
        <v/>
      </c>
      <c r="AU443" s="153" t="n"/>
      <c r="AW443" s="37">
        <f>IFERROR(AVERAGE(AP443,AQ443,AR443,AS443,AT443),"n/m")</f>
        <v/>
      </c>
      <c r="AX443" s="37">
        <f>IFERROR(AVERAGE(Q443,V443,AA443,AF443,AK443),"n/m")</f>
        <v/>
      </c>
      <c r="AY443" s="37">
        <f>IFERROR(AVERAGE(H443,I443,J443,K443,L443,Q443,V443,AA443,AF443,AK443),"n/m")</f>
        <v/>
      </c>
      <c r="AZ443" s="37">
        <f>IFERROR(AVERAGE(C443,D443,E443,F443,G443,H443,I443,J443,K443,L443,Q443,V443,AA443,AF443,AK443),"n/m")</f>
        <v/>
      </c>
    </row>
    <row r="444" ht="15" customHeight="1" s="251">
      <c r="BC444" s="11" t="n"/>
      <c r="BD444" s="12" t="n"/>
      <c r="BE444" s="12" t="n"/>
      <c r="BF444" s="12" t="n"/>
      <c r="BG444" s="13" t="n"/>
    </row>
    <row r="445" ht="15" customHeight="1" s="251">
      <c r="B445" s="10" t="inlineStr">
        <is>
          <t>VALUATION</t>
        </is>
      </c>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c r="AG445" s="10" t="n"/>
      <c r="AH445" s="10" t="n"/>
      <c r="AI445" s="10" t="n"/>
      <c r="AJ445" s="10" t="n"/>
      <c r="AK445" s="10" t="n"/>
      <c r="AL445" s="10" t="n"/>
      <c r="AM445" s="10" t="n"/>
      <c r="AN445" s="10" t="n"/>
      <c r="AO445" s="10" t="n"/>
      <c r="AP445" s="10" t="n"/>
      <c r="AQ445" s="10" t="n"/>
      <c r="AR445" s="10" t="n"/>
      <c r="AS445" s="10" t="n"/>
      <c r="AT445" s="10" t="n"/>
      <c r="AU445" s="10" t="inlineStr">
        <is>
          <t>VALUATION — share price input $211.07 (NYSE: STE, close 5-Oct-2026; ~$20.6bn market cap); update to market</t>
        </is>
      </c>
    </row>
    <row r="446" ht="15" customHeight="1" s="251">
      <c r="B446" s="69" t="inlineStr">
        <is>
          <t>Share price ($) — current</t>
        </is>
      </c>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c r="AA446" s="44" t="n"/>
      <c r="AB446" s="44" t="n"/>
      <c r="AC446" s="44" t="n"/>
      <c r="AD446" s="44" t="n"/>
      <c r="AE446" s="44" t="n"/>
      <c r="AF446" s="44" t="n"/>
      <c r="AG446" s="44" t="n"/>
      <c r="AH446" s="44" t="n"/>
      <c r="AI446" s="44" t="n"/>
      <c r="AJ446" s="44" t="n"/>
      <c r="AK446" s="44" t="n"/>
      <c r="AL446" s="44" t="n"/>
      <c r="AM446" s="153" t="n"/>
      <c r="AN446" s="153" t="n"/>
      <c r="AO446" s="153" t="n"/>
      <c r="AP446" s="288" t="n">
        <v>211.07</v>
      </c>
      <c r="AQ446" s="287">
        <f>AP446</f>
        <v/>
      </c>
      <c r="AR446" s="287">
        <f>AQ446</f>
        <v/>
      </c>
      <c r="AS446" s="287">
        <f>AR446</f>
        <v/>
      </c>
      <c r="AT446" s="287">
        <f>AS446</f>
        <v/>
      </c>
      <c r="AU446" s="19" t="n"/>
    </row>
    <row r="447" ht="15" customHeight="1" s="251">
      <c r="B447" s="25" t="inlineStr">
        <is>
          <t>Diluted shares at period end (m)</t>
        </is>
      </c>
      <c r="C447" s="34" t="n"/>
      <c r="D447" s="34" t="n"/>
      <c r="E447" s="34" t="n"/>
      <c r="F447" s="34" t="n"/>
      <c r="G447" s="34" t="n"/>
      <c r="H447" s="34" t="n"/>
      <c r="I447" s="34" t="n"/>
      <c r="J447" s="34" t="n"/>
      <c r="K447" s="34" t="n"/>
      <c r="L447" s="34" t="n"/>
      <c r="M447" s="34" t="n"/>
      <c r="N447" s="34" t="n"/>
      <c r="O447" s="34" t="n"/>
      <c r="P447" s="34" t="n"/>
      <c r="Q447" s="34" t="n"/>
      <c r="R447" s="34" t="n"/>
      <c r="S447" s="34" t="n"/>
      <c r="T447" s="34" t="n"/>
      <c r="U447" s="34" t="n"/>
      <c r="V447" s="34" t="n"/>
      <c r="W447" s="34" t="n"/>
      <c r="X447" s="34" t="n"/>
      <c r="Y447" s="34" t="n"/>
      <c r="Z447" s="34" t="n"/>
      <c r="AA447" s="34" t="n"/>
      <c r="AB447" s="34" t="n"/>
      <c r="AC447" s="34" t="n"/>
      <c r="AD447" s="34" t="n"/>
      <c r="AE447" s="34" t="n"/>
      <c r="AF447" s="34" t="n"/>
      <c r="AG447" s="34" t="n"/>
      <c r="AH447" s="34" t="n"/>
      <c r="AI447" s="34" t="n"/>
      <c r="AJ447" s="34" t="n"/>
      <c r="AK447" s="34" t="n"/>
      <c r="AL447" s="34" t="n"/>
      <c r="AM447" s="35" t="n"/>
      <c r="AN447" s="35" t="n"/>
      <c r="AO447" s="35" t="n"/>
      <c r="AP447" s="254">
        <f>AP331+(AL186-AL185)</f>
        <v/>
      </c>
      <c r="AQ447" s="254">
        <f>AQ331+N(AQ391)</f>
        <v/>
      </c>
      <c r="AR447" s="254">
        <f>AR331+N(AR391)</f>
        <v/>
      </c>
      <c r="AS447" s="254">
        <f>AS331+N(AS391)</f>
        <v/>
      </c>
      <c r="AT447" s="254">
        <f>AT331+N(AT391)</f>
        <v/>
      </c>
      <c r="AU447" s="19" t="n"/>
    </row>
    <row r="448" ht="15" customHeight="1" s="251">
      <c r="B448" s="25" t="inlineStr">
        <is>
          <t>Market capitalisation (USDm)</t>
        </is>
      </c>
      <c r="C448" s="34" t="n"/>
      <c r="D448" s="34" t="n"/>
      <c r="E448" s="34" t="n"/>
      <c r="F448" s="34" t="n"/>
      <c r="G448" s="34" t="n"/>
      <c r="H448" s="34" t="n"/>
      <c r="I448" s="34" t="n"/>
      <c r="J448" s="34" t="n"/>
      <c r="K448" s="34" t="n"/>
      <c r="L448" s="34" t="n"/>
      <c r="M448" s="34" t="n"/>
      <c r="N448" s="34" t="n"/>
      <c r="O448" s="34" t="n"/>
      <c r="P448" s="34" t="n"/>
      <c r="Q448" s="34" t="n"/>
      <c r="R448" s="34" t="n"/>
      <c r="S448" s="34" t="n"/>
      <c r="T448" s="34" t="n"/>
      <c r="U448" s="34" t="n"/>
      <c r="V448" s="34" t="n"/>
      <c r="W448" s="34" t="n"/>
      <c r="X448" s="34" t="n"/>
      <c r="Y448" s="34" t="n"/>
      <c r="Z448" s="34" t="n"/>
      <c r="AA448" s="34" t="n"/>
      <c r="AB448" s="34" t="n"/>
      <c r="AC448" s="34" t="n"/>
      <c r="AD448" s="34" t="n"/>
      <c r="AE448" s="34" t="n"/>
      <c r="AF448" s="34" t="n"/>
      <c r="AG448" s="34" t="n"/>
      <c r="AH448" s="34" t="n"/>
      <c r="AI448" s="34" t="n"/>
      <c r="AJ448" s="34" t="n"/>
      <c r="AK448" s="34" t="n"/>
      <c r="AL448" s="34" t="n"/>
      <c r="AM448" s="35" t="n"/>
      <c r="AN448" s="35" t="n"/>
      <c r="AO448" s="35" t="n"/>
      <c r="AP448" s="269">
        <f>IFERROR(AP446*AP447,"n/a")</f>
        <v/>
      </c>
      <c r="AQ448" s="269">
        <f>IFERROR(AQ446*AQ447,"n/a")</f>
        <v/>
      </c>
      <c r="AR448" s="269">
        <f>IFERROR(AR446*AR447,"n/a")</f>
        <v/>
      </c>
      <c r="AS448" s="269">
        <f>IFERROR(AS446*AS447,"n/a")</f>
        <v/>
      </c>
      <c r="AT448" s="269">
        <f>IFERROR(AT446*AT447,"n/a")</f>
        <v/>
      </c>
      <c r="AU448" s="19" t="n"/>
    </row>
    <row r="449" ht="15" customHeight="1" s="251">
      <c r="B449" s="25" t="inlineStr">
        <is>
          <t>Net debt (USDm)</t>
        </is>
      </c>
      <c r="C449" s="34" t="n"/>
      <c r="D449" s="34" t="n"/>
      <c r="E449" s="34" t="n"/>
      <c r="F449" s="34" t="n"/>
      <c r="G449" s="34" t="n"/>
      <c r="H449" s="34" t="n"/>
      <c r="I449" s="34" t="n"/>
      <c r="J449" s="34" t="n"/>
      <c r="K449" s="34" t="n"/>
      <c r="L449" s="34" t="n"/>
      <c r="M449" s="34" t="n"/>
      <c r="N449" s="34" t="n"/>
      <c r="O449" s="34" t="n"/>
      <c r="P449" s="34" t="n"/>
      <c r="Q449" s="34" t="n"/>
      <c r="R449" s="34" t="n"/>
      <c r="S449" s="34" t="n"/>
      <c r="T449" s="34" t="n"/>
      <c r="U449" s="34" t="n"/>
      <c r="V449" s="34" t="n"/>
      <c r="W449" s="34" t="n"/>
      <c r="X449" s="34" t="n"/>
      <c r="Y449" s="34" t="n"/>
      <c r="Z449" s="34" t="n"/>
      <c r="AA449" s="34" t="n"/>
      <c r="AB449" s="34" t="n"/>
      <c r="AC449" s="34" t="n"/>
      <c r="AD449" s="34" t="n"/>
      <c r="AE449" s="34" t="n"/>
      <c r="AF449" s="34" t="n"/>
      <c r="AG449" s="34" t="n"/>
      <c r="AH449" s="34" t="n"/>
      <c r="AI449" s="34" t="n"/>
      <c r="AJ449" s="34" t="n"/>
      <c r="AK449" s="34" t="n"/>
      <c r="AL449" s="34" t="n"/>
      <c r="AM449" s="35" t="n"/>
      <c r="AN449" s="35" t="n"/>
      <c r="AO449" s="35" t="n"/>
      <c r="AP449" s="269">
        <f>AP441</f>
        <v/>
      </c>
      <c r="AQ449" s="269">
        <f>AQ441</f>
        <v/>
      </c>
      <c r="AR449" s="269">
        <f>AR441</f>
        <v/>
      </c>
      <c r="AS449" s="269">
        <f>AS441</f>
        <v/>
      </c>
      <c r="AT449" s="269">
        <f>AT441</f>
        <v/>
      </c>
      <c r="AU449" s="19" t="n"/>
    </row>
    <row r="450" ht="15" customHeight="1" s="251">
      <c r="B450" s="25" t="inlineStr">
        <is>
          <t>Noncontrolling interests (USDm)</t>
        </is>
      </c>
      <c r="C450" s="34" t="n"/>
      <c r="D450" s="34" t="n"/>
      <c r="E450" s="34" t="n"/>
      <c r="F450" s="34" t="n"/>
      <c r="G450" s="34" t="n"/>
      <c r="H450" s="34" t="n"/>
      <c r="I450" s="34" t="n"/>
      <c r="J450" s="34" t="n"/>
      <c r="K450" s="34" t="n"/>
      <c r="L450" s="34" t="n"/>
      <c r="M450" s="34" t="n"/>
      <c r="N450" s="34" t="n"/>
      <c r="O450" s="34" t="n"/>
      <c r="P450" s="34" t="n"/>
      <c r="Q450" s="34" t="n"/>
      <c r="R450" s="34" t="n"/>
      <c r="S450" s="34" t="n"/>
      <c r="T450" s="34" t="n"/>
      <c r="U450" s="34" t="n"/>
      <c r="V450" s="34" t="n"/>
      <c r="W450" s="34" t="n"/>
      <c r="X450" s="34" t="n"/>
      <c r="Y450" s="34" t="n"/>
      <c r="Z450" s="34" t="n"/>
      <c r="AA450" s="34" t="n"/>
      <c r="AB450" s="34" t="n"/>
      <c r="AC450" s="34" t="n"/>
      <c r="AD450" s="34" t="n"/>
      <c r="AE450" s="34" t="n"/>
      <c r="AF450" s="34" t="n"/>
      <c r="AG450" s="34" t="n"/>
      <c r="AH450" s="34" t="n"/>
      <c r="AI450" s="34" t="n"/>
      <c r="AJ450" s="34" t="n"/>
      <c r="AK450" s="34" t="n"/>
      <c r="AL450" s="34" t="n"/>
      <c r="AM450" s="35" t="n"/>
      <c r="AN450" s="35" t="n"/>
      <c r="AO450" s="35" t="n"/>
      <c r="AP450" s="269">
        <f>AP357</f>
        <v/>
      </c>
      <c r="AQ450" s="269">
        <f>AQ357</f>
        <v/>
      </c>
      <c r="AR450" s="269">
        <f>AR357</f>
        <v/>
      </c>
      <c r="AS450" s="269">
        <f>AS357</f>
        <v/>
      </c>
      <c r="AT450" s="269">
        <f>AT357</f>
        <v/>
      </c>
      <c r="AU450" s="19" t="n"/>
    </row>
    <row r="451" ht="15" customHeight="1" s="251">
      <c r="B451" s="16" t="inlineStr">
        <is>
          <t>Enterprise value (USDm)</t>
        </is>
      </c>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c r="AC451" s="43" t="n"/>
      <c r="AD451" s="43" t="n"/>
      <c r="AE451" s="43" t="n"/>
      <c r="AF451" s="43" t="n"/>
      <c r="AG451" s="43" t="n"/>
      <c r="AH451" s="43" t="n"/>
      <c r="AI451" s="43" t="n"/>
      <c r="AJ451" s="43" t="n"/>
      <c r="AK451" s="43" t="n"/>
      <c r="AL451" s="43" t="n"/>
      <c r="AM451" s="32" t="n"/>
      <c r="AN451" s="32" t="n"/>
      <c r="AO451" s="32" t="n"/>
      <c r="AP451" s="272">
        <f>IFERROR(AP448+AP449+AP450,"n/a")</f>
        <v/>
      </c>
      <c r="AQ451" s="272">
        <f>IFERROR(AQ448+AQ449+AQ450,"n/a")</f>
        <v/>
      </c>
      <c r="AR451" s="272">
        <f>IFERROR(AR448+AR449+AR450,"n/a")</f>
        <v/>
      </c>
      <c r="AS451" s="272">
        <f>IFERROR(AS448+AS449+AS450,"n/a")</f>
        <v/>
      </c>
      <c r="AT451" s="272">
        <f>IFERROR(AT448+AT449+AT450,"n/a")</f>
        <v/>
      </c>
      <c r="AU451" s="153" t="n"/>
    </row>
    <row r="452" ht="15" customHeight="1" s="251">
      <c r="B452" s="25" t="inlineStr">
        <is>
          <t>Multiples</t>
        </is>
      </c>
      <c r="AU452" s="153" t="n"/>
    </row>
    <row r="453" ht="15" customHeight="1" s="251">
      <c r="B453" s="25" t="inlineStr">
        <is>
          <t xml:space="preserve">  EV / Revenue</t>
        </is>
      </c>
      <c r="C453" s="34" t="n"/>
      <c r="D453" s="34" t="n"/>
      <c r="E453" s="34" t="n"/>
      <c r="F453" s="34" t="n"/>
      <c r="G453" s="34" t="n"/>
      <c r="H453" s="34" t="n"/>
      <c r="I453" s="34" t="n"/>
      <c r="J453" s="34" t="n"/>
      <c r="K453" s="34" t="n"/>
      <c r="L453" s="34" t="n"/>
      <c r="M453" s="34" t="n"/>
      <c r="N453" s="34" t="n"/>
      <c r="O453" s="34" t="n"/>
      <c r="P453" s="34" t="n"/>
      <c r="Q453" s="34" t="n"/>
      <c r="R453" s="34" t="n"/>
      <c r="S453" s="34" t="n"/>
      <c r="T453" s="34" t="n"/>
      <c r="U453" s="34" t="n"/>
      <c r="V453" s="34" t="n"/>
      <c r="W453" s="34" t="n"/>
      <c r="X453" s="34" t="n"/>
      <c r="Y453" s="34" t="n"/>
      <c r="Z453" s="34" t="n"/>
      <c r="AA453" s="34" t="n"/>
      <c r="AB453" s="34" t="n"/>
      <c r="AC453" s="34" t="n"/>
      <c r="AD453" s="34" t="n"/>
      <c r="AE453" s="34" t="n"/>
      <c r="AF453" s="34" t="n"/>
      <c r="AG453" s="34" t="n"/>
      <c r="AH453" s="34" t="n"/>
      <c r="AI453" s="34" t="n"/>
      <c r="AJ453" s="34" t="n"/>
      <c r="AK453" s="34" t="n"/>
      <c r="AL453" s="34" t="n"/>
      <c r="AM453" s="35" t="n"/>
      <c r="AN453" s="35" t="n"/>
      <c r="AO453" s="35" t="n"/>
      <c r="AP453" s="292">
        <f>IFERROR(AP451/AP159,"n/a")</f>
        <v/>
      </c>
      <c r="AQ453" s="292">
        <f>IFERROR(AQ451/AQ159,"n/a")</f>
        <v/>
      </c>
      <c r="AR453" s="292">
        <f>IFERROR(AR451/AR159,"n/a")</f>
        <v/>
      </c>
      <c r="AS453" s="292">
        <f>IFERROR(AS451/AS159,"n/a")</f>
        <v/>
      </c>
      <c r="AT453" s="292">
        <f>IFERROR(AT451/AT159,"n/a")</f>
        <v/>
      </c>
      <c r="AU453" s="19" t="n"/>
    </row>
    <row r="454" ht="15" customHeight="1" s="251">
      <c r="B454" s="25" t="inlineStr">
        <is>
          <t xml:space="preserve">  EV / Adjusted EBITDA</t>
        </is>
      </c>
      <c r="C454" s="34" t="n"/>
      <c r="D454" s="34" t="n"/>
      <c r="E454" s="34" t="n"/>
      <c r="F454" s="34" t="n"/>
      <c r="G454" s="34" t="n"/>
      <c r="H454" s="34" t="n"/>
      <c r="I454" s="34" t="n"/>
      <c r="J454" s="34" t="n"/>
      <c r="K454" s="34" t="n"/>
      <c r="L454" s="34" t="n"/>
      <c r="M454" s="34" t="n"/>
      <c r="N454" s="34" t="n"/>
      <c r="O454" s="34" t="n"/>
      <c r="P454" s="34" t="n"/>
      <c r="Q454" s="34" t="n"/>
      <c r="R454" s="34" t="n"/>
      <c r="S454" s="34" t="n"/>
      <c r="T454" s="34" t="n"/>
      <c r="U454" s="34" t="n"/>
      <c r="V454" s="34" t="n"/>
      <c r="W454" s="34" t="n"/>
      <c r="X454" s="34" t="n"/>
      <c r="Y454" s="34" t="n"/>
      <c r="Z454" s="34" t="n"/>
      <c r="AA454" s="34" t="n"/>
      <c r="AB454" s="34" t="n"/>
      <c r="AC454" s="34" t="n"/>
      <c r="AD454" s="34" t="n"/>
      <c r="AE454" s="34" t="n"/>
      <c r="AF454" s="34" t="n"/>
      <c r="AG454" s="34" t="n"/>
      <c r="AH454" s="34" t="n"/>
      <c r="AI454" s="34" t="n"/>
      <c r="AJ454" s="34" t="n"/>
      <c r="AK454" s="34" t="n"/>
      <c r="AL454" s="34" t="n"/>
      <c r="AM454" s="35" t="n"/>
      <c r="AN454" s="35" t="n"/>
      <c r="AO454" s="35" t="n"/>
      <c r="AP454" s="292">
        <f>IFERROR(AP451/AP233,"n/a")</f>
        <v/>
      </c>
      <c r="AQ454" s="292">
        <f>IFERROR(AQ451/AQ233,"n/a")</f>
        <v/>
      </c>
      <c r="AR454" s="292">
        <f>IFERROR(AR451/AR233,"n/a")</f>
        <v/>
      </c>
      <c r="AS454" s="292">
        <f>IFERROR(AS451/AS233,"n/a")</f>
        <v/>
      </c>
      <c r="AT454" s="292">
        <f>IFERROR(AT451/AT233,"n/a")</f>
        <v/>
      </c>
      <c r="AU454" s="19" t="n"/>
    </row>
    <row r="455" ht="15" customHeight="1" s="251">
      <c r="B455" s="25" t="inlineStr">
        <is>
          <t xml:space="preserve">  EV / Adjusted operating income</t>
        </is>
      </c>
      <c r="C455" s="34" t="n"/>
      <c r="D455" s="34" t="n"/>
      <c r="E455" s="34" t="n"/>
      <c r="F455" s="34" t="n"/>
      <c r="G455" s="34" t="n"/>
      <c r="H455" s="34" t="n"/>
      <c r="I455" s="34" t="n"/>
      <c r="J455" s="34" t="n"/>
      <c r="K455" s="34" t="n"/>
      <c r="L455" s="34" t="n"/>
      <c r="M455" s="34" t="n"/>
      <c r="N455" s="34" t="n"/>
      <c r="O455" s="34" t="n"/>
      <c r="P455" s="34" t="n"/>
      <c r="Q455" s="34" t="n"/>
      <c r="R455" s="34" t="n"/>
      <c r="S455" s="34" t="n"/>
      <c r="T455" s="34" t="n"/>
      <c r="U455" s="34" t="n"/>
      <c r="V455" s="34" t="n"/>
      <c r="W455" s="34" t="n"/>
      <c r="X455" s="34" t="n"/>
      <c r="Y455" s="34" t="n"/>
      <c r="Z455" s="34" t="n"/>
      <c r="AA455" s="34" t="n"/>
      <c r="AB455" s="34" t="n"/>
      <c r="AC455" s="34" t="n"/>
      <c r="AD455" s="34" t="n"/>
      <c r="AE455" s="34" t="n"/>
      <c r="AF455" s="34" t="n"/>
      <c r="AG455" s="34" t="n"/>
      <c r="AH455" s="34" t="n"/>
      <c r="AI455" s="34" t="n"/>
      <c r="AJ455" s="34" t="n"/>
      <c r="AK455" s="34" t="n"/>
      <c r="AL455" s="34" t="n"/>
      <c r="AM455" s="35" t="n"/>
      <c r="AN455" s="35" t="n"/>
      <c r="AO455" s="35" t="n"/>
      <c r="AP455" s="292">
        <f>IFERROR(AP451/AP208,"n/a")</f>
        <v/>
      </c>
      <c r="AQ455" s="292">
        <f>IFERROR(AQ451/AQ208,"n/a")</f>
        <v/>
      </c>
      <c r="AR455" s="292">
        <f>IFERROR(AR451/AR208,"n/a")</f>
        <v/>
      </c>
      <c r="AS455" s="292">
        <f>IFERROR(AS451/AS208,"n/a")</f>
        <v/>
      </c>
      <c r="AT455" s="292">
        <f>IFERROR(AT451/AT208,"n/a")</f>
        <v/>
      </c>
      <c r="AU455" s="19" t="n"/>
    </row>
    <row r="456" ht="15" customHeight="1" s="251">
      <c r="B456" s="25" t="inlineStr">
        <is>
          <t xml:space="preserve">  EV / IC</t>
        </is>
      </c>
      <c r="C456" s="34" t="n"/>
      <c r="D456" s="34" t="n"/>
      <c r="E456" s="34" t="n"/>
      <c r="F456" s="34" t="n"/>
      <c r="G456" s="34" t="n"/>
      <c r="H456" s="34" t="n"/>
      <c r="I456" s="34" t="n"/>
      <c r="J456" s="34" t="n"/>
      <c r="K456" s="34" t="n"/>
      <c r="L456" s="34" t="n"/>
      <c r="M456" s="34" t="n"/>
      <c r="N456" s="34" t="n"/>
      <c r="O456" s="34" t="n"/>
      <c r="P456" s="34" t="n"/>
      <c r="Q456" s="34" t="n"/>
      <c r="R456" s="34" t="n"/>
      <c r="S456" s="34" t="n"/>
      <c r="T456" s="34" t="n"/>
      <c r="U456" s="34" t="n"/>
      <c r="V456" s="34" t="n"/>
      <c r="W456" s="34" t="n"/>
      <c r="X456" s="34" t="n"/>
      <c r="Y456" s="34" t="n"/>
      <c r="Z456" s="34" t="n"/>
      <c r="AA456" s="34" t="n"/>
      <c r="AB456" s="34" t="n"/>
      <c r="AC456" s="34" t="n"/>
      <c r="AD456" s="34" t="n"/>
      <c r="AE456" s="34" t="n"/>
      <c r="AF456" s="34" t="n"/>
      <c r="AG456" s="34" t="n"/>
      <c r="AH456" s="34" t="n"/>
      <c r="AI456" s="34" t="n"/>
      <c r="AJ456" s="34" t="n"/>
      <c r="AK456" s="34" t="n"/>
      <c r="AL456" s="34" t="n"/>
      <c r="AM456" s="35" t="n"/>
      <c r="AN456" s="35" t="n"/>
      <c r="AO456" s="35" t="n"/>
      <c r="AP456" s="292">
        <f>IFERROR(AP451/AP421,"n/a")</f>
        <v/>
      </c>
      <c r="AQ456" s="292">
        <f>IFERROR(AQ451/AQ421,"n/a")</f>
        <v/>
      </c>
      <c r="AR456" s="292">
        <f>IFERROR(AR451/AR421,"n/a")</f>
        <v/>
      </c>
      <c r="AS456" s="292">
        <f>IFERROR(AS451/AS421,"n/a")</f>
        <v/>
      </c>
      <c r="AT456" s="292">
        <f>IFERROR(AT451/AT421,"n/a")</f>
        <v/>
      </c>
      <c r="AU456" s="19" t="n"/>
    </row>
    <row r="457" ht="15" customHeight="1" s="251">
      <c r="B457" s="25" t="inlineStr">
        <is>
          <t xml:space="preserve">  P / E (GAAP diluted, continuing)</t>
        </is>
      </c>
      <c r="C457" s="34" t="n"/>
      <c r="D457" s="34" t="n"/>
      <c r="E457" s="34" t="n"/>
      <c r="F457" s="34" t="n"/>
      <c r="G457" s="34" t="n"/>
      <c r="H457" s="34" t="n"/>
      <c r="I457" s="34" t="n"/>
      <c r="J457" s="34" t="n"/>
      <c r="K457" s="34" t="n"/>
      <c r="L457" s="34" t="n"/>
      <c r="M457" s="34" t="n"/>
      <c r="N457" s="34" t="n"/>
      <c r="O457" s="34" t="n"/>
      <c r="P457" s="34" t="n"/>
      <c r="Q457" s="34" t="n"/>
      <c r="R457" s="34" t="n"/>
      <c r="S457" s="34" t="n"/>
      <c r="T457" s="34" t="n"/>
      <c r="U457" s="34" t="n"/>
      <c r="V457" s="34" t="n"/>
      <c r="W457" s="34" t="n"/>
      <c r="X457" s="34" t="n"/>
      <c r="Y457" s="34" t="n"/>
      <c r="Z457" s="34" t="n"/>
      <c r="AA457" s="34" t="n"/>
      <c r="AB457" s="34" t="n"/>
      <c r="AC457" s="34" t="n"/>
      <c r="AD457" s="34" t="n"/>
      <c r="AE457" s="34" t="n"/>
      <c r="AF457" s="34" t="n"/>
      <c r="AG457" s="34" t="n"/>
      <c r="AH457" s="34" t="n"/>
      <c r="AI457" s="34" t="n"/>
      <c r="AJ457" s="34" t="n"/>
      <c r="AK457" s="34" t="n"/>
      <c r="AL457" s="34" t="n"/>
      <c r="AM457" s="35" t="n"/>
      <c r="AN457" s="35" t="n"/>
      <c r="AO457" s="35" t="n"/>
      <c r="AP457" s="292">
        <f>IFERROR(AP446/AP187,"n/a")</f>
        <v/>
      </c>
      <c r="AQ457" s="292">
        <f>IFERROR(AQ446/AQ187,"n/a")</f>
        <v/>
      </c>
      <c r="AR457" s="292">
        <f>IFERROR(AR446/AR187,"n/a")</f>
        <v/>
      </c>
      <c r="AS457" s="292">
        <f>IFERROR(AS446/AS187,"n/a")</f>
        <v/>
      </c>
      <c r="AT457" s="292">
        <f>IFERROR(AT446/AT187,"n/a")</f>
        <v/>
      </c>
      <c r="AU457" s="19" t="n"/>
    </row>
    <row r="458" ht="15" customHeight="1" s="251">
      <c r="B458" s="25" t="inlineStr">
        <is>
          <t xml:space="preserve">  P / E (adjusted EPS)</t>
        </is>
      </c>
      <c r="C458" s="34" t="n"/>
      <c r="D458" s="34" t="n"/>
      <c r="E458" s="34" t="n"/>
      <c r="F458" s="34" t="n"/>
      <c r="G458" s="34" t="n"/>
      <c r="H458" s="34" t="n"/>
      <c r="I458" s="34" t="n"/>
      <c r="J458" s="34" t="n"/>
      <c r="K458" s="34" t="n"/>
      <c r="L458" s="34" t="n"/>
      <c r="M458" s="34" t="n"/>
      <c r="N458" s="34" t="n"/>
      <c r="O458" s="34" t="n"/>
      <c r="P458" s="34" t="n"/>
      <c r="Q458" s="34" t="n"/>
      <c r="R458" s="34" t="n"/>
      <c r="S458" s="34" t="n"/>
      <c r="T458" s="34" t="n"/>
      <c r="U458" s="34" t="n"/>
      <c r="V458" s="34" t="n"/>
      <c r="W458" s="34" t="n"/>
      <c r="X458" s="34" t="n"/>
      <c r="Y458" s="34" t="n"/>
      <c r="Z458" s="34" t="n"/>
      <c r="AA458" s="34" t="n"/>
      <c r="AB458" s="34" t="n"/>
      <c r="AC458" s="34" t="n"/>
      <c r="AD458" s="34" t="n"/>
      <c r="AE458" s="34" t="n"/>
      <c r="AF458" s="34" t="n"/>
      <c r="AG458" s="34" t="n"/>
      <c r="AH458" s="34" t="n"/>
      <c r="AI458" s="34" t="n"/>
      <c r="AJ458" s="34" t="n"/>
      <c r="AK458" s="34" t="n"/>
      <c r="AL458" s="34" t="n"/>
      <c r="AM458" s="35" t="n"/>
      <c r="AN458" s="35" t="n"/>
      <c r="AO458" s="35" t="n"/>
      <c r="AP458" s="292">
        <f>IFERROR(AP446/AP251,"n/a")</f>
        <v/>
      </c>
      <c r="AQ458" s="292">
        <f>IFERROR(AQ446/AQ251,"n/a")</f>
        <v/>
      </c>
      <c r="AR458" s="292">
        <f>IFERROR(AR446/AR251,"n/a")</f>
        <v/>
      </c>
      <c r="AS458" s="292">
        <f>IFERROR(AS446/AS251,"n/a")</f>
        <v/>
      </c>
      <c r="AT458" s="292">
        <f>IFERROR(AT446/AT251,"n/a")</f>
        <v/>
      </c>
      <c r="AU458" s="19" t="n"/>
    </row>
    <row r="459" ht="15" customHeight="1" s="251">
      <c r="B459" s="25" t="inlineStr">
        <is>
          <t xml:space="preserve">  FCF yield</t>
        </is>
      </c>
      <c r="C459" s="34" t="n"/>
      <c r="D459" s="34" t="n"/>
      <c r="E459" s="34" t="n"/>
      <c r="F459" s="34" t="n"/>
      <c r="G459" s="34" t="n"/>
      <c r="H459" s="34" t="n"/>
      <c r="I459" s="34" t="n"/>
      <c r="J459" s="34" t="n"/>
      <c r="K459" s="34" t="n"/>
      <c r="L459" s="34" t="n"/>
      <c r="M459" s="34" t="n"/>
      <c r="N459" s="34" t="n"/>
      <c r="O459" s="34" t="n"/>
      <c r="P459" s="34" t="n"/>
      <c r="Q459" s="34" t="n"/>
      <c r="R459" s="34" t="n"/>
      <c r="S459" s="34" t="n"/>
      <c r="T459" s="34" t="n"/>
      <c r="U459" s="34" t="n"/>
      <c r="V459" s="34" t="n"/>
      <c r="W459" s="34" t="n"/>
      <c r="X459" s="34" t="n"/>
      <c r="Y459" s="34" t="n"/>
      <c r="Z459" s="34" t="n"/>
      <c r="AA459" s="34" t="n"/>
      <c r="AB459" s="34" t="n"/>
      <c r="AC459" s="34" t="n"/>
      <c r="AD459" s="34" t="n"/>
      <c r="AE459" s="34" t="n"/>
      <c r="AF459" s="34" t="n"/>
      <c r="AG459" s="34" t="n"/>
      <c r="AH459" s="34" t="n"/>
      <c r="AI459" s="34" t="n"/>
      <c r="AJ459" s="34" t="n"/>
      <c r="AK459" s="34" t="n"/>
      <c r="AL459" s="34" t="n"/>
      <c r="AM459" s="35" t="n"/>
      <c r="AN459" s="35" t="n"/>
      <c r="AO459" s="35" t="n"/>
      <c r="AP459" s="256">
        <f>IFERROR(AP313/AP448,"n/a")</f>
        <v/>
      </c>
      <c r="AQ459" s="256">
        <f>IFERROR(AQ313/AQ448,"n/a")</f>
        <v/>
      </c>
      <c r="AR459" s="256">
        <f>IFERROR(AR313/AR448,"n/a")</f>
        <v/>
      </c>
      <c r="AS459" s="256">
        <f>IFERROR(AS313/AS448,"n/a")</f>
        <v/>
      </c>
      <c r="AT459" s="256">
        <f>IFERROR(AT313/AT448,"n/a")</f>
        <v/>
      </c>
      <c r="AU459" s="19" t="n"/>
    </row>
    <row r="460" ht="15" customHeight="1" s="251">
      <c r="B460" s="25" t="inlineStr">
        <is>
          <t xml:space="preserve">  Dividend yield</t>
        </is>
      </c>
      <c r="C460" s="34" t="n"/>
      <c r="D460" s="34" t="n"/>
      <c r="E460" s="34" t="n"/>
      <c r="F460" s="34" t="n"/>
      <c r="G460" s="34" t="n"/>
      <c r="H460" s="34" t="n"/>
      <c r="I460" s="34" t="n"/>
      <c r="J460" s="34" t="n"/>
      <c r="K460" s="34" t="n"/>
      <c r="L460" s="34" t="n"/>
      <c r="M460" s="34" t="n"/>
      <c r="N460" s="34" t="n"/>
      <c r="O460" s="34" t="n"/>
      <c r="P460" s="34" t="n"/>
      <c r="Q460" s="34" t="n"/>
      <c r="R460" s="34" t="n"/>
      <c r="S460" s="34" t="n"/>
      <c r="T460" s="34" t="n"/>
      <c r="U460" s="34" t="n"/>
      <c r="V460" s="34" t="n"/>
      <c r="W460" s="34" t="n"/>
      <c r="X460" s="34" t="n"/>
      <c r="Y460" s="34" t="n"/>
      <c r="Z460" s="34" t="n"/>
      <c r="AA460" s="34" t="n"/>
      <c r="AB460" s="34" t="n"/>
      <c r="AC460" s="34" t="n"/>
      <c r="AD460" s="34" t="n"/>
      <c r="AE460" s="34" t="n"/>
      <c r="AF460" s="34" t="n"/>
      <c r="AG460" s="34" t="n"/>
      <c r="AH460" s="34" t="n"/>
      <c r="AI460" s="34" t="n"/>
      <c r="AJ460" s="34" t="n"/>
      <c r="AK460" s="34" t="n"/>
      <c r="AL460" s="34" t="n"/>
      <c r="AM460" s="35" t="n"/>
      <c r="AN460" s="35" t="n"/>
      <c r="AO460" s="35" t="n"/>
      <c r="AP460" s="256">
        <f>IFERROR(AP192/AP446,"n/a")</f>
        <v/>
      </c>
      <c r="AQ460" s="256">
        <f>IFERROR(AQ192/AQ446,"n/a")</f>
        <v/>
      </c>
      <c r="AR460" s="256">
        <f>IFERROR(AR192/AR446,"n/a")</f>
        <v/>
      </c>
      <c r="AS460" s="256">
        <f>IFERROR(AS192/AS446,"n/a")</f>
        <v/>
      </c>
      <c r="AT460" s="256">
        <f>IFERROR(AT192/AT446,"n/a")</f>
        <v/>
      </c>
      <c r="AU460" s="19" t="n"/>
    </row>
    <row r="461" ht="15" customHeight="1" s="251"/>
  </sheetData>
  <dataValidations count="1">
    <dataValidation sqref="AU2" showDropDown="0" showInputMessage="0" showErrorMessage="0" allowBlank="0" type="list">
      <formula1>"Bull,Base,Bear"</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50"/>
  <sheetViews>
    <sheetView showGridLines="0" zoomScale="60" zoomScaleNormal="60" workbookViewId="0">
      <selection activeCell="H26" sqref="H26"/>
    </sheetView>
  </sheetViews>
  <sheetFormatPr baseColWidth="8" defaultColWidth="8.5703125" defaultRowHeight="15"/>
  <cols>
    <col width="2.140625" customWidth="1" style="251" min="1" max="1"/>
    <col width="63.85546875" customWidth="1" style="251" min="2" max="2"/>
    <col width="11.85546875" customWidth="1" style="251" min="3" max="8"/>
    <col width="13.28515625" customWidth="1" style="251" min="9" max="9"/>
    <col width="12.5703125" customWidth="1" style="251" min="10" max="12"/>
    <col width="3.85546875" customWidth="1" style="251" min="13" max="13"/>
    <col width="63.85546875" customWidth="1" style="251" min="14" max="14"/>
    <col width="11.85546875" customWidth="1" style="251" min="15" max="20"/>
    <col width="13.28515625" customWidth="1" style="251" min="21" max="21"/>
    <col width="12.5703125" customWidth="1" style="251" min="22" max="24"/>
    <col width="3.85546875" customWidth="1" style="251" min="25" max="25"/>
    <col width="63.85546875" customWidth="1" style="251" min="26" max="26"/>
    <col width="11.85546875" customWidth="1" style="251" min="27" max="32"/>
    <col width="13.28515625" customWidth="1" style="251" min="33" max="33"/>
    <col width="12.5703125" customWidth="1" style="251" min="34" max="36"/>
  </cols>
  <sheetData>
    <row r="2" ht="19.5" customHeight="1" s="251">
      <c r="B2" s="73" t="inlineStr">
        <is>
          <t>STERIS plc (STE) — Bull / Base / Bear Case P&amp;L Summary</t>
        </is>
      </c>
      <c r="J2" s="152" t="inlineStr">
        <is>
          <t>Share price ($):</t>
        </is>
      </c>
      <c r="K2" s="74">
        <f>Model!$AP$446</f>
        <v/>
      </c>
    </row>
    <row r="3" ht="15" customHeight="1" s="251">
      <c r="B3" s="4" t="inlineStr">
        <is>
          <t>Adjusted figures (company definitions: adjusted income from operations, adjusted EPS from continuing operations; adjusted EBITDA = model definition) · USD millions · fiscal years ended 31 March · Live panel linked to Model — toggle scenario via Model!AU2. Bull and Bear panels are value snapshots generated from the Model with the switch set to each case. FY2027E calibrated to the FY27 outlook (revenue growth 7–8%, adjusted EPS $11.10–11.30).</t>
        </is>
      </c>
      <c r="J3" s="152" t="inlineStr">
        <is>
          <t>As of:</t>
        </is>
      </c>
      <c r="K3" s="295">
        <f>TODAY()</f>
        <v/>
      </c>
    </row>
    <row r="5" ht="15" customHeight="1" s="251">
      <c r="B5" s="10" t="inlineStr">
        <is>
          <t>Scenario:</t>
        </is>
      </c>
      <c r="C5" s="75">
        <f>Model!$AU$2</f>
        <v/>
      </c>
      <c r="N5" s="76" t="inlineStr">
        <is>
          <t>Scenario:</t>
        </is>
      </c>
      <c r="O5" s="77" t="inlineStr">
        <is>
          <t>Bull</t>
        </is>
      </c>
      <c r="P5" s="4" t="inlineStr">
        <is>
          <t>Snapshot (values) — Model run with switch = Bull</t>
        </is>
      </c>
      <c r="Z5" s="76" t="inlineStr">
        <is>
          <t>Scenario:</t>
        </is>
      </c>
      <c r="AA5" s="77" t="inlineStr">
        <is>
          <t>Bear</t>
        </is>
      </c>
      <c r="AB5" s="4" t="inlineStr">
        <is>
          <t>Snapshot (values) — Model run with switch = Bear</t>
        </is>
      </c>
    </row>
    <row r="7" ht="32.1" customHeight="1" s="251">
      <c r="B7" s="78" t="inlineStr">
        <is>
          <t>(USDm, except EPS and shares)</t>
        </is>
      </c>
      <c r="C7" s="150" t="inlineStr">
        <is>
          <t>2026A</t>
        </is>
      </c>
      <c r="D7" s="150" t="inlineStr">
        <is>
          <t>2027E</t>
        </is>
      </c>
      <c r="E7" s="150" t="inlineStr">
        <is>
          <t>2028E</t>
        </is>
      </c>
      <c r="F7" s="150" t="inlineStr">
        <is>
          <t>2029E</t>
        </is>
      </c>
      <c r="G7" s="150" t="inlineStr">
        <is>
          <t>2030E</t>
        </is>
      </c>
      <c r="H7" s="150" t="inlineStr">
        <is>
          <t>2031E</t>
        </is>
      </c>
      <c r="I7" s="150" t="inlineStr">
        <is>
          <t>26-'31 CAGR</t>
        </is>
      </c>
      <c r="J7" s="151" t="inlineStr">
        <is>
          <t>LT Hist Avg</t>
        </is>
      </c>
      <c r="K7" s="151" t="inlineStr">
        <is>
          <t>LT Hist Min</t>
        </is>
      </c>
      <c r="L7" s="151" t="inlineStr">
        <is>
          <t>LT Hist Max</t>
        </is>
      </c>
      <c r="N7" s="78" t="inlineStr">
        <is>
          <t>(USDm, except EPS and shares)</t>
        </is>
      </c>
      <c r="O7" s="150" t="inlineStr">
        <is>
          <t>2026A</t>
        </is>
      </c>
      <c r="P7" s="150" t="inlineStr">
        <is>
          <t>2027E</t>
        </is>
      </c>
      <c r="Q7" s="150" t="inlineStr">
        <is>
          <t>2028E</t>
        </is>
      </c>
      <c r="R7" s="150" t="inlineStr">
        <is>
          <t>2029E</t>
        </is>
      </c>
      <c r="S7" s="150" t="inlineStr">
        <is>
          <t>2030E</t>
        </is>
      </c>
      <c r="T7" s="150" t="inlineStr">
        <is>
          <t>2031E</t>
        </is>
      </c>
      <c r="U7" s="150" t="inlineStr">
        <is>
          <t>26-'31 CAGR</t>
        </is>
      </c>
      <c r="V7" s="151" t="inlineStr">
        <is>
          <t>LT Hist Avg</t>
        </is>
      </c>
      <c r="W7" s="151" t="inlineStr">
        <is>
          <t>LT Hist Min</t>
        </is>
      </c>
      <c r="X7" s="151" t="inlineStr">
        <is>
          <t>LT Hist Max</t>
        </is>
      </c>
      <c r="Z7" s="78" t="inlineStr">
        <is>
          <t>(USDm, except EPS and shares)</t>
        </is>
      </c>
      <c r="AA7" s="150" t="inlineStr">
        <is>
          <t>2026A</t>
        </is>
      </c>
      <c r="AB7" s="150" t="inlineStr">
        <is>
          <t>2027E</t>
        </is>
      </c>
      <c r="AC7" s="150" t="inlineStr">
        <is>
          <t>2028E</t>
        </is>
      </c>
      <c r="AD7" s="150" t="inlineStr">
        <is>
          <t>2029E</t>
        </is>
      </c>
      <c r="AE7" s="150" t="inlineStr">
        <is>
          <t>2030E</t>
        </is>
      </c>
      <c r="AF7" s="150" t="inlineStr">
        <is>
          <t>2031E</t>
        </is>
      </c>
      <c r="AG7" s="150" t="inlineStr">
        <is>
          <t>26-'31 CAGR</t>
        </is>
      </c>
      <c r="AH7" s="151" t="inlineStr">
        <is>
          <t>LT Hist Avg</t>
        </is>
      </c>
      <c r="AI7" s="151" t="inlineStr">
        <is>
          <t>LT Hist Min</t>
        </is>
      </c>
      <c r="AJ7" s="151" t="inlineStr">
        <is>
          <t>LT Hist Max</t>
        </is>
      </c>
    </row>
    <row r="9" ht="15" customHeight="1" s="251">
      <c r="B9" s="79" t="inlineStr">
        <is>
          <t>Revenues</t>
        </is>
      </c>
      <c r="C9" s="80">
        <f>Model!AK159</f>
        <v/>
      </c>
      <c r="D9" s="81">
        <f>Model!AP159</f>
        <v/>
      </c>
      <c r="E9" s="81">
        <f>Model!AQ159</f>
        <v/>
      </c>
      <c r="F9" s="81">
        <f>Model!AR159</f>
        <v/>
      </c>
      <c r="G9" s="81">
        <f>Model!AS159</f>
        <v/>
      </c>
      <c r="H9" s="81">
        <f>Model!AT159</f>
        <v/>
      </c>
      <c r="I9" s="296">
        <f>IFERROR((H9/C9)^(1/5)-1,"n/m")</f>
        <v/>
      </c>
      <c r="N9" s="79" t="inlineStr">
        <is>
          <t>Revenues</t>
        </is>
      </c>
      <c r="O9" s="80" t="n">
        <v>5935.9</v>
      </c>
      <c r="P9" s="81" t="n">
        <v>6410.672</v>
      </c>
      <c r="Q9" s="81" t="n">
        <v>6994.73442539467</v>
      </c>
      <c r="R9" s="81" t="n">
        <v>7652.28173045808</v>
      </c>
      <c r="S9" s="81" t="n">
        <v>8335.99302147088</v>
      </c>
      <c r="T9" s="81" t="n">
        <v>9061.437455809561</v>
      </c>
      <c r="U9" s="296" t="n">
        <v>0.08828364930556409</v>
      </c>
      <c r="Z9" s="79" t="inlineStr">
        <is>
          <t>Revenues</t>
        </is>
      </c>
      <c r="AA9" s="80" t="n">
        <v>5935.9</v>
      </c>
      <c r="AB9" s="81" t="n">
        <v>6351.313</v>
      </c>
      <c r="AC9" s="81" t="n">
        <v>6566.83890440015</v>
      </c>
      <c r="AD9" s="81" t="n">
        <v>6777.13489117412</v>
      </c>
      <c r="AE9" s="81" t="n">
        <v>6971.69316775284</v>
      </c>
      <c r="AF9" s="81" t="n">
        <v>7163.61209219892</v>
      </c>
      <c r="AG9" s="296" t="n">
        <v>0.0383149256524493</v>
      </c>
    </row>
    <row r="10" ht="15" customHeight="1" s="251">
      <c r="B10" s="83" t="inlineStr">
        <is>
          <t xml:space="preserve">   Revenues y/y %</t>
        </is>
      </c>
      <c r="C10" s="297" t="n"/>
      <c r="D10" s="298">
        <f>IFERROR(D9/C9-1,"")</f>
        <v/>
      </c>
      <c r="E10" s="298">
        <f>IFERROR(E9/D9-1,"")</f>
        <v/>
      </c>
      <c r="F10" s="298">
        <f>IFERROR(F9/E9-1,"")</f>
        <v/>
      </c>
      <c r="G10" s="298">
        <f>IFERROR(G9/F9-1,"")</f>
        <v/>
      </c>
      <c r="H10" s="298">
        <f>IFERROR(H9/G9-1,"")</f>
        <v/>
      </c>
      <c r="N10" s="83" t="inlineStr">
        <is>
          <t xml:space="preserve">   Revenues y/y %</t>
        </is>
      </c>
      <c r="O10" s="297" t="n"/>
      <c r="P10" s="298" t="n">
        <v>0.0799831533550093</v>
      </c>
      <c r="Q10" s="298" t="n">
        <v>0.0911078316586262</v>
      </c>
      <c r="R10" s="298" t="n">
        <v>0.0940060429851579</v>
      </c>
      <c r="S10" s="298" t="n">
        <v>0.0893473757364998</v>
      </c>
      <c r="T10" s="298" t="n">
        <v>0.0870255568197056</v>
      </c>
      <c r="Z10" s="83" t="inlineStr">
        <is>
          <t xml:space="preserve">   Revenues y/y %</t>
        </is>
      </c>
      <c r="AA10" s="297" t="n"/>
      <c r="AB10" s="298" t="n">
        <v>0.0699831533550095</v>
      </c>
      <c r="AC10" s="298" t="n">
        <v>0.0339340707031992</v>
      </c>
      <c r="AD10" s="298" t="n">
        <v>0.0320239296007492</v>
      </c>
      <c r="AE10" s="298" t="n">
        <v>0.0287080425139679</v>
      </c>
      <c r="AF10" s="298" t="n">
        <v>0.0275283090962439</v>
      </c>
    </row>
    <row r="11" ht="15" customHeight="1" s="251">
      <c r="B11" s="79" t="inlineStr">
        <is>
          <t xml:space="preserve">   Constant-currency organic growth %</t>
        </is>
      </c>
      <c r="C11" s="86">
        <f>Model!AK267</f>
        <v/>
      </c>
      <c r="D11" s="87">
        <f>Model!AP267</f>
        <v/>
      </c>
      <c r="E11" s="87">
        <f>Model!AQ267</f>
        <v/>
      </c>
      <c r="F11" s="87">
        <f>Model!AR267</f>
        <v/>
      </c>
      <c r="G11" s="87">
        <f>Model!AS267</f>
        <v/>
      </c>
      <c r="H11" s="87">
        <f>Model!AT267</f>
        <v/>
      </c>
      <c r="N11" s="79" t="inlineStr">
        <is>
          <t xml:space="preserve">   Constant-currency organic growth %</t>
        </is>
      </c>
      <c r="O11" s="86" t="n">
        <v>0.073</v>
      </c>
      <c r="P11" s="87" t="n">
        <v>0.07048045822102431</v>
      </c>
      <c r="Q11" s="87" t="n">
        <v>0.0852582109012392</v>
      </c>
      <c r="R11" s="87" t="n">
        <v>0.0773863984168168</v>
      </c>
      <c r="S11" s="87" t="n">
        <v>0.06335022782593901</v>
      </c>
      <c r="T11" s="87" t="n">
        <v>0.0527453727715694</v>
      </c>
      <c r="Z11" s="79" t="inlineStr">
        <is>
          <t xml:space="preserve">   Constant-currency organic growth %</t>
        </is>
      </c>
      <c r="AA11" s="86" t="n">
        <v>0.073</v>
      </c>
      <c r="AB11" s="87" t="n">
        <v>0.0604806266846363</v>
      </c>
      <c r="AC11" s="87" t="n">
        <v>0.0339340707031992</v>
      </c>
      <c r="AD11" s="87" t="n">
        <v>0.0320239296007492</v>
      </c>
      <c r="AE11" s="87" t="n">
        <v>0.0287080425139679</v>
      </c>
      <c r="AF11" s="87" t="n">
        <v>0.0275283090962439</v>
      </c>
    </row>
    <row r="12" ht="15" customHeight="1" s="251">
      <c r="B12" s="79" t="inlineStr">
        <is>
          <t>Adjusted EBITDA (model)</t>
        </is>
      </c>
      <c r="C12" s="80">
        <f>Model!AK233</f>
        <v/>
      </c>
      <c r="D12" s="81">
        <f>Model!AP233</f>
        <v/>
      </c>
      <c r="E12" s="81">
        <f>Model!AQ233</f>
        <v/>
      </c>
      <c r="F12" s="81">
        <f>Model!AR233</f>
        <v/>
      </c>
      <c r="G12" s="81">
        <f>Model!AS233</f>
        <v/>
      </c>
      <c r="H12" s="81">
        <f>Model!AT233</f>
        <v/>
      </c>
      <c r="I12" s="296">
        <f>IFERROR((H12/C12)^(1/5)-1,"n/m")</f>
        <v/>
      </c>
      <c r="N12" s="79" t="inlineStr">
        <is>
          <t>Adjusted EBITDA (model)</t>
        </is>
      </c>
      <c r="O12" s="80" t="n">
        <v>1603.4</v>
      </c>
      <c r="P12" s="81" t="n">
        <v>1760.77015172692</v>
      </c>
      <c r="Q12" s="81" t="n">
        <v>1974.03763421573</v>
      </c>
      <c r="R12" s="81" t="n">
        <v>2185.14193791099</v>
      </c>
      <c r="S12" s="81" t="n">
        <v>2408.74747553181</v>
      </c>
      <c r="T12" s="81" t="n">
        <v>2641.27602686323</v>
      </c>
      <c r="U12" s="296" t="n">
        <v>0.104979910049202</v>
      </c>
      <c r="Z12" s="79" t="inlineStr">
        <is>
          <t>Adjusted EBITDA (model)</t>
        </is>
      </c>
      <c r="AA12" s="80" t="n">
        <v>1603.4</v>
      </c>
      <c r="AB12" s="81" t="n">
        <v>1740.11691449124</v>
      </c>
      <c r="AC12" s="81" t="n">
        <v>1657.35359650522</v>
      </c>
      <c r="AD12" s="81" t="n">
        <v>1737.38209020178</v>
      </c>
      <c r="AE12" s="81" t="n">
        <v>1815.04267098726</v>
      </c>
      <c r="AF12" s="81" t="n">
        <v>1886.94367020001</v>
      </c>
      <c r="AG12" s="296" t="n">
        <v>0.0331024970961125</v>
      </c>
    </row>
    <row r="13" ht="15" customHeight="1" s="251">
      <c r="B13" s="83" t="inlineStr">
        <is>
          <t xml:space="preserve">   Adjusted EBITDA margin %</t>
        </is>
      </c>
      <c r="C13" s="88">
        <f>IFERROR(C12/C9,"")</f>
        <v/>
      </c>
      <c r="D13" s="89">
        <f>IFERROR(D12/D9,"")</f>
        <v/>
      </c>
      <c r="E13" s="89">
        <f>IFERROR(E12/E9,"")</f>
        <v/>
      </c>
      <c r="F13" s="89">
        <f>IFERROR(F12/F9,"")</f>
        <v/>
      </c>
      <c r="G13" s="89">
        <f>IFERROR(G12/G9,"")</f>
        <v/>
      </c>
      <c r="H13" s="89">
        <f>IFERROR(H12/H9,"")</f>
        <v/>
      </c>
      <c r="J13" s="90">
        <f>IFERROR(AVERAGE(Model!C234,Model!D234,Model!E234,Model!F234,Model!G234,Model!H234,Model!I234,Model!J234,Model!K234,Model!L234,Model!Q234,Model!V234,Model!AA234,Model!AF234,Model!AK234),"")</f>
        <v/>
      </c>
      <c r="K13" s="90">
        <f>IFERROR(MIN(Model!C234,Model!D234,Model!E234,Model!F234,Model!G234,Model!H234,Model!I234,Model!J234,Model!K234,Model!L234,Model!Q234,Model!V234,Model!AA234,Model!AF234,Model!AK234),"")</f>
        <v/>
      </c>
      <c r="L13" s="90">
        <f>IFERROR(MAX(Model!C234,Model!D234,Model!E234,Model!F234,Model!G234,Model!H234,Model!I234,Model!J234,Model!K234,Model!L234,Model!Q234,Model!V234,Model!AA234,Model!AF234,Model!AK234),"")</f>
        <v/>
      </c>
      <c r="N13" s="83" t="inlineStr">
        <is>
          <t xml:space="preserve">   Adjusted EBITDA margin %</t>
        </is>
      </c>
      <c r="O13" s="88" t="n">
        <v>0.270119105780084</v>
      </c>
      <c r="P13" s="89" t="n">
        <v>0.274662336760782</v>
      </c>
      <c r="Q13" s="89" t="n">
        <v>0.282217667485546</v>
      </c>
      <c r="R13" s="89" t="n">
        <v>0.285554298035519</v>
      </c>
      <c r="S13" s="89" t="n">
        <v>0.288957472652345</v>
      </c>
      <c r="T13" s="89" t="n">
        <v>0.2914853233545</v>
      </c>
      <c r="V13" s="90" t="n">
        <v>0.240826760223351</v>
      </c>
      <c r="W13" s="90" t="n">
        <v>0.183967396008528</v>
      </c>
      <c r="X13" s="90" t="n">
        <v>0.303516813167482</v>
      </c>
      <c r="Z13" s="83" t="inlineStr">
        <is>
          <t xml:space="preserve">   Adjusted EBITDA margin %</t>
        </is>
      </c>
      <c r="AA13" s="88" t="n">
        <v>0.270119105780084</v>
      </c>
      <c r="AB13" s="89" t="n">
        <v>0.273977508979835</v>
      </c>
      <c r="AC13" s="89" t="n">
        <v>0.252382252805791</v>
      </c>
      <c r="AD13" s="89" t="n">
        <v>0.256359378719816</v>
      </c>
      <c r="AE13" s="89" t="n">
        <v>0.260344600273379</v>
      </c>
      <c r="AF13" s="89" t="n">
        <v>0.263406734746968</v>
      </c>
      <c r="AH13" s="90" t="n">
        <v>0.240826760223351</v>
      </c>
      <c r="AI13" s="90" t="n">
        <v>0.183967396008528</v>
      </c>
      <c r="AJ13" s="90" t="n">
        <v>0.303516813167482</v>
      </c>
    </row>
    <row r="15" ht="15" customHeight="1" s="251">
      <c r="B15" s="79" t="inlineStr">
        <is>
          <t>Income from Operations (GAAP)</t>
        </is>
      </c>
      <c r="C15" s="80">
        <f>Model!AK167</f>
        <v/>
      </c>
      <c r="D15" s="81">
        <f>Model!AP167</f>
        <v/>
      </c>
      <c r="E15" s="81">
        <f>Model!AQ167</f>
        <v/>
      </c>
      <c r="F15" s="81">
        <f>Model!AR167</f>
        <v/>
      </c>
      <c r="G15" s="81">
        <f>Model!AS167</f>
        <v/>
      </c>
      <c r="H15" s="81">
        <f>Model!AT167</f>
        <v/>
      </c>
      <c r="I15" s="296">
        <f>IFERROR((H15/C15)^(1/5)-1,"n/m")</f>
        <v/>
      </c>
      <c r="N15" s="79" t="inlineStr">
        <is>
          <t>Income from Operations (GAAP)</t>
        </is>
      </c>
      <c r="O15" s="80" t="n">
        <v>1101.8</v>
      </c>
      <c r="P15" s="81" t="n">
        <v>1241.27015172692</v>
      </c>
      <c r="Q15" s="81" t="n">
        <v>1415.28772605073</v>
      </c>
      <c r="R15" s="81" t="n">
        <v>1579.15295042312</v>
      </c>
      <c r="S15" s="81" t="n">
        <v>1764.25775467298</v>
      </c>
      <c r="T15" s="81" t="n">
        <v>1995.46852863084</v>
      </c>
      <c r="U15" s="296" t="n">
        <v>0.126129727079239</v>
      </c>
      <c r="Z15" s="79" t="inlineStr">
        <is>
          <t>Income from Operations (GAAP)</t>
        </is>
      </c>
      <c r="AA15" s="80" t="n">
        <v>1101.8</v>
      </c>
      <c r="AB15" s="81" t="n">
        <v>1220.61691449124</v>
      </c>
      <c r="AC15" s="81" t="n">
        <v>1129.11371813802</v>
      </c>
      <c r="AD15" s="81" t="n">
        <v>1196.27382944599</v>
      </c>
      <c r="AE15" s="81" t="n">
        <v>1272.37494427715</v>
      </c>
      <c r="AF15" s="81" t="n">
        <v>1380.79918651205</v>
      </c>
      <c r="AG15" s="296" t="n">
        <v>0.0461779225622661</v>
      </c>
    </row>
    <row r="16" ht="15" customHeight="1" s="251">
      <c r="B16" s="83" t="inlineStr">
        <is>
          <t xml:space="preserve">   Income from operations y/y %</t>
        </is>
      </c>
      <c r="C16" s="297" t="n"/>
      <c r="D16" s="298">
        <f>IFERROR(D15/C15-1,"")</f>
        <v/>
      </c>
      <c r="E16" s="298">
        <f>IFERROR(E15/D15-1,"")</f>
        <v/>
      </c>
      <c r="F16" s="298">
        <f>IFERROR(F15/E15-1,"")</f>
        <v/>
      </c>
      <c r="G16" s="298">
        <f>IFERROR(G15/F15-1,"")</f>
        <v/>
      </c>
      <c r="H16" s="298">
        <f>IFERROR(H15/G15-1,"")</f>
        <v/>
      </c>
      <c r="N16" s="83" t="inlineStr">
        <is>
          <t xml:space="preserve">   Income from operations y/y %</t>
        </is>
      </c>
      <c r="O16" s="297" t="n"/>
      <c r="P16" s="298" t="n">
        <v>0.126583909717658</v>
      </c>
      <c r="Q16" s="298" t="n">
        <v>0.140193151411655</v>
      </c>
      <c r="R16" s="298" t="n">
        <v>0.115782269114733</v>
      </c>
      <c r="S16" s="298" t="n">
        <v>0.117217780709753</v>
      </c>
      <c r="T16" s="298" t="n">
        <v>0.131052717974718</v>
      </c>
      <c r="Z16" s="83" t="inlineStr">
        <is>
          <t xml:space="preserve">   Income from operations y/y %</t>
        </is>
      </c>
      <c r="AA16" s="297" t="n"/>
      <c r="AB16" s="298" t="n">
        <v>0.107838913134183</v>
      </c>
      <c r="AC16" s="298" t="n">
        <v>-0.0749647127341064</v>
      </c>
      <c r="AD16" s="298" t="n">
        <v>0.0594803784854632</v>
      </c>
      <c r="AE16" s="298" t="n">
        <v>0.063615129711899</v>
      </c>
      <c r="AF16" s="298" t="n">
        <v>0.08521406580864439</v>
      </c>
    </row>
    <row r="17" ht="15" customHeight="1" s="251">
      <c r="B17" s="83" t="inlineStr">
        <is>
          <t xml:space="preserve">   Operating margin (GAAP) %</t>
        </is>
      </c>
      <c r="C17" s="88">
        <f>IFERROR(C15/C9,"")</f>
        <v/>
      </c>
      <c r="D17" s="89">
        <f>IFERROR(D15/D9,"")</f>
        <v/>
      </c>
      <c r="E17" s="89">
        <f>IFERROR(E15/E9,"")</f>
        <v/>
      </c>
      <c r="F17" s="89">
        <f>IFERROR(F15/F9,"")</f>
        <v/>
      </c>
      <c r="G17" s="89">
        <f>IFERROR(G15/G9,"")</f>
        <v/>
      </c>
      <c r="H17" s="89">
        <f>IFERROR(H15/H9,"")</f>
        <v/>
      </c>
      <c r="J17" s="90">
        <f>IFERROR(AVERAGE(Model!C280,Model!D280,Model!E280,Model!F280,Model!G280,Model!H280,Model!I280,Model!J280,Model!K280,Model!L280,Model!Q280,Model!V280,Model!AA280,Model!AF280,Model!AK280),"")</f>
        <v/>
      </c>
      <c r="K17" s="90">
        <f>IFERROR(MIN(Model!C280,Model!D280,Model!E280,Model!F280,Model!G280,Model!H280,Model!I280,Model!J280,Model!K280,Model!L280,Model!Q280,Model!V280,Model!AA280,Model!AF280,Model!AK280),"")</f>
        <v/>
      </c>
      <c r="L17" s="90">
        <f>IFERROR(MAX(Model!C280,Model!D280,Model!E280,Model!F280,Model!G280,Model!H280,Model!I280,Model!J280,Model!K280,Model!L280,Model!Q280,Model!V280,Model!AA280,Model!AF280,Model!AK280),"")</f>
        <v/>
      </c>
      <c r="N17" s="83" t="inlineStr">
        <is>
          <t xml:space="preserve">   Operating margin (GAAP) %</t>
        </is>
      </c>
      <c r="O17" s="88" t="n">
        <v>0.185616334506983</v>
      </c>
      <c r="P17" s="89" t="n">
        <v>0.193625590535113</v>
      </c>
      <c r="Q17" s="89" t="n">
        <v>0.202336163173326</v>
      </c>
      <c r="R17" s="89" t="n">
        <v>0.206363671130622</v>
      </c>
      <c r="S17" s="89" t="n">
        <v>0.211643381913685</v>
      </c>
      <c r="T17" s="89" t="n">
        <v>0.220215450182409</v>
      </c>
      <c r="V17" s="90" t="n">
        <v>0.145467429163414</v>
      </c>
      <c r="W17" s="90" t="n">
        <v>0.0871091674844494</v>
      </c>
      <c r="X17" s="90" t="n">
        <v>0.185616334506983</v>
      </c>
      <c r="Z17" s="83" t="inlineStr">
        <is>
          <t xml:space="preserve">   Operating margin (GAAP) %</t>
        </is>
      </c>
      <c r="AA17" s="88" t="n">
        <v>0.185616334506983</v>
      </c>
      <c r="AB17" s="89" t="n">
        <v>0.192183398061353</v>
      </c>
      <c r="AC17" s="89" t="n">
        <v>0.171941741616571</v>
      </c>
      <c r="AD17" s="89" t="n">
        <v>0.176516160391599</v>
      </c>
      <c r="AE17" s="89" t="n">
        <v>0.182505872484814</v>
      </c>
      <c r="AF17" s="89" t="n">
        <v>0.192751808548613</v>
      </c>
      <c r="AH17" s="90" t="n">
        <v>0.145467429163414</v>
      </c>
      <c r="AI17" s="90" t="n">
        <v>0.0871091674844494</v>
      </c>
      <c r="AJ17" s="90" t="n">
        <v>0.185616334506983</v>
      </c>
    </row>
    <row r="19" ht="15" customHeight="1" s="251">
      <c r="B19" s="79" t="inlineStr">
        <is>
          <t>Adjusted Net Income (continuing operations)</t>
        </is>
      </c>
      <c r="C19" s="80">
        <f>Model!AK247</f>
        <v/>
      </c>
      <c r="D19" s="81">
        <f>Model!AP247</f>
        <v/>
      </c>
      <c r="E19" s="81">
        <f>Model!AQ247</f>
        <v/>
      </c>
      <c r="F19" s="81">
        <f>Model!AR247</f>
        <v/>
      </c>
      <c r="G19" s="81">
        <f>Model!AS247</f>
        <v/>
      </c>
      <c r="H19" s="81">
        <f>Model!AT247</f>
        <v/>
      </c>
      <c r="I19" s="296">
        <f>IFERROR((H19/C19)^(1/5)-1,"n/m")</f>
        <v/>
      </c>
      <c r="N19" s="79" t="inlineStr">
        <is>
          <t>Adjusted Net Income (continuing operations)</t>
        </is>
      </c>
      <c r="O19" s="80" t="n">
        <v>1003.4</v>
      </c>
      <c r="P19" s="81" t="n">
        <v>1098.02761379519</v>
      </c>
      <c r="Q19" s="81" t="n">
        <v>1239.07926053846</v>
      </c>
      <c r="R19" s="81" t="n">
        <v>1347.24672653425</v>
      </c>
      <c r="S19" s="81" t="n">
        <v>1478.95984333307</v>
      </c>
      <c r="T19" s="81" t="n">
        <v>1621.87644364069</v>
      </c>
      <c r="U19" s="296" t="n">
        <v>0.100800793330335</v>
      </c>
      <c r="Z19" s="79" t="inlineStr">
        <is>
          <t>Adjusted Net Income (continuing operations)</t>
        </is>
      </c>
      <c r="AA19" s="80" t="n">
        <v>1003.4</v>
      </c>
      <c r="AB19" s="81" t="n">
        <v>1082.53768586843</v>
      </c>
      <c r="AC19" s="81" t="n">
        <v>1017.32024871264</v>
      </c>
      <c r="AD19" s="81" t="n">
        <v>1072.55048211726</v>
      </c>
      <c r="AE19" s="81" t="n">
        <v>1119.69260111222</v>
      </c>
      <c r="AF19" s="81" t="n">
        <v>1165.80144234353</v>
      </c>
      <c r="AG19" s="296" t="n">
        <v>0.0304575327401013</v>
      </c>
    </row>
    <row r="21" ht="15" customHeight="1" s="251">
      <c r="B21" s="79" t="inlineStr">
        <is>
          <t>FDSO (m)</t>
        </is>
      </c>
      <c r="C21" s="91">
        <f>Model!AK186</f>
        <v/>
      </c>
      <c r="D21" s="92">
        <f>Model!AP186</f>
        <v/>
      </c>
      <c r="E21" s="92">
        <f>Model!AQ186</f>
        <v/>
      </c>
      <c r="F21" s="92">
        <f>Model!AR186</f>
        <v/>
      </c>
      <c r="G21" s="92">
        <f>Model!AS186</f>
        <v/>
      </c>
      <c r="H21" s="92">
        <f>Model!AT186</f>
        <v/>
      </c>
      <c r="I21" s="296">
        <f>IFERROR((H21/C21)^(1/5)-1,"n/m")</f>
        <v/>
      </c>
      <c r="N21" s="79" t="inlineStr">
        <is>
          <t>FDSO (m)</t>
        </is>
      </c>
      <c r="O21" s="91" t="n">
        <v>98.7</v>
      </c>
      <c r="P21" s="92" t="n">
        <v>97.1705852916094</v>
      </c>
      <c r="Q21" s="92" t="n">
        <v>93.6640593643216</v>
      </c>
      <c r="R21" s="92" t="n">
        <v>89.6623469121858</v>
      </c>
      <c r="S21" s="92" t="n">
        <v>86.3789907978838</v>
      </c>
      <c r="T21" s="92" t="n">
        <v>82.82309909838099</v>
      </c>
      <c r="U21" s="296" t="n">
        <v>-0.0344675709690874</v>
      </c>
      <c r="Z21" s="79" t="inlineStr">
        <is>
          <t>FDSO (m)</t>
        </is>
      </c>
      <c r="AA21" s="91" t="n">
        <v>98.7</v>
      </c>
      <c r="AB21" s="92" t="n">
        <v>97.5259176458047</v>
      </c>
      <c r="AC21" s="92" t="n">
        <v>96.46129357469999</v>
      </c>
      <c r="AD21" s="92" t="n">
        <v>94.5033583288547</v>
      </c>
      <c r="AE21" s="92" t="n">
        <v>91.77508763831121</v>
      </c>
      <c r="AF21" s="92" t="n">
        <v>89.0998529464907</v>
      </c>
      <c r="AG21" s="296" t="n">
        <v>-0.0202574564342962</v>
      </c>
    </row>
    <row r="23" ht="15" customHeight="1" s="251">
      <c r="B23" s="79" t="inlineStr">
        <is>
          <t>Adjusted EPS — Diluted ($)</t>
        </is>
      </c>
      <c r="C23" s="93">
        <f>Model!AK251</f>
        <v/>
      </c>
      <c r="D23" s="94">
        <f>Model!AP251</f>
        <v/>
      </c>
      <c r="E23" s="94">
        <f>Model!AQ251</f>
        <v/>
      </c>
      <c r="F23" s="94">
        <f>Model!AR251</f>
        <v/>
      </c>
      <c r="G23" s="94">
        <f>Model!AS251</f>
        <v/>
      </c>
      <c r="H23" s="94">
        <f>Model!AT251</f>
        <v/>
      </c>
      <c r="I23" s="296">
        <f>IFERROR((H23/C23)^(1/5)-1,"n/m")</f>
        <v/>
      </c>
      <c r="N23" s="79" t="inlineStr">
        <is>
          <t>Adjusted EPS — Diluted ($)</t>
        </is>
      </c>
      <c r="O23" s="93" t="n">
        <v>10.1661600810537</v>
      </c>
      <c r="P23" s="94" t="n">
        <v>11.3</v>
      </c>
      <c r="Q23" s="94" t="n">
        <v>13.2289724462919</v>
      </c>
      <c r="R23" s="94" t="n">
        <v>15.0257803072423</v>
      </c>
      <c r="S23" s="94" t="n">
        <v>17.1217541403517</v>
      </c>
      <c r="T23" s="94" t="n">
        <v>19.5824167568778</v>
      </c>
      <c r="U23" s="296" t="n">
        <v>0.140097173572087</v>
      </c>
      <c r="Z23" s="79" t="inlineStr">
        <is>
          <t>Adjusted EPS — Diluted ($)</t>
        </is>
      </c>
      <c r="AA23" s="93" t="n">
        <v>10.1661600810537</v>
      </c>
      <c r="AB23" s="94" t="n">
        <v>11.1</v>
      </c>
      <c r="AC23" s="94" t="n">
        <v>10.5464089378484</v>
      </c>
      <c r="AD23" s="94" t="n">
        <v>11.3493372202179</v>
      </c>
      <c r="AE23" s="94" t="n">
        <v>12.2003980592747</v>
      </c>
      <c r="AF23" s="94" t="n">
        <v>13.0842128666998</v>
      </c>
      <c r="AG23" s="296" t="n">
        <v>0.0517635877991212</v>
      </c>
    </row>
    <row r="24" ht="15" customHeight="1" s="251">
      <c r="B24" s="83" t="inlineStr">
        <is>
          <t xml:space="preserve">   EPS y/y %</t>
        </is>
      </c>
      <c r="C24" s="297" t="n"/>
      <c r="D24" s="298">
        <f>IFERROR(D23/C23-1,"")</f>
        <v/>
      </c>
      <c r="E24" s="298">
        <f>IFERROR(E23/D23-1,"")</f>
        <v/>
      </c>
      <c r="F24" s="298">
        <f>IFERROR(F23/E23-1,"")</f>
        <v/>
      </c>
      <c r="G24" s="298">
        <f>IFERROR(G23/F23-1,"")</f>
        <v/>
      </c>
      <c r="H24" s="298">
        <f>IFERROR(H23/G23-1,"")</f>
        <v/>
      </c>
      <c r="N24" s="83" t="inlineStr">
        <is>
          <t xml:space="preserve">   EPS y/y %</t>
        </is>
      </c>
      <c r="O24" s="297" t="n"/>
      <c r="P24" s="298" t="n">
        <v>0.111530795295994</v>
      </c>
      <c r="Q24" s="298" t="n">
        <v>0.170705526220524</v>
      </c>
      <c r="R24" s="298" t="n">
        <v>0.135823690633965</v>
      </c>
      <c r="S24" s="298" t="n">
        <v>0.139491846030729</v>
      </c>
      <c r="T24" s="298" t="n">
        <v>0.14371556771318</v>
      </c>
      <c r="Z24" s="83" t="inlineStr">
        <is>
          <t xml:space="preserve">   EPS y/y %</t>
        </is>
      </c>
      <c r="AA24" s="297" t="n"/>
      <c r="AB24" s="298" t="n">
        <v>0.09185768387482569</v>
      </c>
      <c r="AC24" s="298" t="n">
        <v>-0.0498730686623053</v>
      </c>
      <c r="AD24" s="298" t="n">
        <v>0.07613286068284041</v>
      </c>
      <c r="AE24" s="298" t="n">
        <v>0.0749877127221807</v>
      </c>
      <c r="AF24" s="298" t="n">
        <v>0.0724414730676106</v>
      </c>
    </row>
    <row r="26" ht="15" customHeight="1" s="251">
      <c r="B26" s="83" t="inlineStr">
        <is>
          <t>P / E (x) — assumed (adjusted EPS)</t>
        </is>
      </c>
      <c r="C26" s="299" t="n"/>
      <c r="D26" s="299" t="n"/>
      <c r="E26" s="299" t="n"/>
      <c r="F26" s="299" t="n"/>
      <c r="G26" s="299" t="n">
        <v>22</v>
      </c>
      <c r="H26" s="299" t="n">
        <v>22</v>
      </c>
      <c r="N26" s="83" t="inlineStr">
        <is>
          <t>P / E (x) — assumed (adjusted EPS)</t>
        </is>
      </c>
      <c r="O26" s="299" t="n"/>
      <c r="P26" s="299" t="n"/>
      <c r="Q26" s="299" t="n"/>
      <c r="R26" s="299" t="n"/>
      <c r="S26" s="299" t="n">
        <v>25</v>
      </c>
      <c r="T26" s="299" t="n">
        <v>25</v>
      </c>
      <c r="Z26" s="83" t="inlineStr">
        <is>
          <t>P / E (x) — assumed (adjusted EPS)</t>
        </is>
      </c>
      <c r="AA26" s="299" t="n"/>
      <c r="AB26" s="299" t="n"/>
      <c r="AC26" s="299" t="n"/>
      <c r="AD26" s="299" t="n">
        <v>17</v>
      </c>
      <c r="AE26" s="299" t="n">
        <v>17</v>
      </c>
      <c r="AF26" s="299" t="n">
        <v>17</v>
      </c>
    </row>
    <row r="27" ht="15" customHeight="1" s="251">
      <c r="B27" s="10" t="inlineStr">
        <is>
          <t>Price Target ($)</t>
        </is>
      </c>
      <c r="C27" s="96" t="n"/>
      <c r="D27" s="96" t="n"/>
      <c r="E27" s="96" t="n"/>
      <c r="F27" s="96" t="n"/>
      <c r="G27" s="96">
        <f>G26*G23</f>
        <v/>
      </c>
      <c r="H27" s="96">
        <f>H26*H23</f>
        <v/>
      </c>
      <c r="N27" s="10" t="inlineStr">
        <is>
          <t>Price Target ($)</t>
        </is>
      </c>
      <c r="O27" s="96" t="n"/>
      <c r="P27" s="96" t="n"/>
      <c r="Q27" s="96" t="n"/>
      <c r="R27" s="96" t="n"/>
      <c r="S27" s="96">
        <f>S26*S23</f>
        <v/>
      </c>
      <c r="T27" s="96">
        <f>T26*T23</f>
        <v/>
      </c>
      <c r="Z27" s="10" t="inlineStr">
        <is>
          <t>Price Target ($)</t>
        </is>
      </c>
      <c r="AA27" s="96" t="n"/>
      <c r="AB27" s="96" t="n"/>
      <c r="AC27" s="96" t="n"/>
      <c r="AD27" s="96">
        <f>AD26*AD23</f>
        <v/>
      </c>
      <c r="AE27" s="96">
        <f>AE26*AE23</f>
        <v/>
      </c>
      <c r="AF27" s="96">
        <f>AF26*AF23</f>
        <v/>
      </c>
    </row>
    <row r="28" ht="15" customHeight="1" s="251">
      <c r="B28" t="inlineStr">
        <is>
          <t xml:space="preserve">   Upside / (Downside) vs current</t>
        </is>
      </c>
      <c r="E28" s="300" t="n"/>
      <c r="F28" s="300" t="n"/>
      <c r="G28" s="300">
        <f>IFERROR(G27/$K$2-1,"")</f>
        <v/>
      </c>
      <c r="H28" s="300">
        <f>IFERROR(H27/$K$2-1,"")</f>
        <v/>
      </c>
      <c r="N28" t="inlineStr">
        <is>
          <t xml:space="preserve">   Upside / (Downside) vs current</t>
        </is>
      </c>
      <c r="O28" s="300" t="n"/>
      <c r="P28" s="300" t="n"/>
      <c r="Q28" s="300" t="n"/>
      <c r="R28" s="300" t="n"/>
      <c r="S28" s="300">
        <f>IFERROR(S27/$K$2-1,"")</f>
        <v/>
      </c>
      <c r="T28" s="300">
        <f>IFERROR(T27/$K$2-1,"")</f>
        <v/>
      </c>
      <c r="Z28" t="inlineStr">
        <is>
          <t xml:space="preserve">   Upside / (Downside) vs current</t>
        </is>
      </c>
      <c r="AA28" s="300" t="n"/>
      <c r="AB28" s="300" t="n"/>
      <c r="AC28" s="300" t="n"/>
      <c r="AD28" s="300">
        <f>IFERROR(AD27/$K$2-1,"")</f>
        <v/>
      </c>
      <c r="AE28" s="300">
        <f>IFERROR(AE27/$K$2-1,"")</f>
        <v/>
      </c>
      <c r="AF28" s="300">
        <f>IFERROR(AF27/$K$2-1,"")</f>
        <v/>
      </c>
    </row>
    <row r="29" ht="15" customHeight="1" s="251">
      <c r="B29" s="75" t="inlineStr">
        <is>
          <t>IRR (to 31-Mar of Y-1)</t>
        </is>
      </c>
      <c r="C29" s="301" t="n"/>
      <c r="D29" s="301" t="n"/>
      <c r="E29" s="301" t="n"/>
      <c r="F29" s="301" t="n"/>
      <c r="G29" s="301">
        <f>IFERROR((G27/$K$2)^(1/((DATE(2030-1,3,31)-$K$3)/365.25))-1,"")</f>
        <v/>
      </c>
      <c r="H29" s="301">
        <f>IFERROR((H27/$K$2)^(1/((DATE(2031-1,3,31)-$K$3)/365.25))-1,"")</f>
        <v/>
      </c>
      <c r="N29" s="75" t="inlineStr">
        <is>
          <t>IRR (to 31-Mar of Y-1)</t>
        </is>
      </c>
      <c r="O29" s="301" t="n"/>
      <c r="P29" s="301" t="n"/>
      <c r="Q29" s="301" t="n"/>
      <c r="R29" s="301" t="n"/>
      <c r="S29" s="301">
        <f>IFERROR((S27/$K$2)^(1/((DATE(2030-1,3,31)-$K$3)/365.25))-1,"")</f>
        <v/>
      </c>
      <c r="T29" s="301">
        <f>IFERROR((T27/$K$2)^(1/((DATE(2031-1,3,31)-$K$3)/365.25))-1,"")</f>
        <v/>
      </c>
      <c r="Z29" s="75" t="inlineStr">
        <is>
          <t>IRR (to 31-Mar of Y-1)</t>
        </is>
      </c>
      <c r="AA29" s="301" t="n"/>
      <c r="AB29" s="301" t="n"/>
      <c r="AC29" s="301" t="n"/>
      <c r="AD29" s="301">
        <f>IFERROR((AD27/$K$2)^(1/((DATE(2029-1,3,31)-$K$3)/365.25))-1,"")</f>
        <v/>
      </c>
      <c r="AE29" s="301">
        <f>IFERROR((AE27/$K$2)^(1/((DATE(2030-1,3,31)-$K$3)/365.25))-1,"")</f>
        <v/>
      </c>
      <c r="AF29" s="301">
        <f>IFERROR((AF27/$K$2)^(1/((DATE(2031-1,3,31)-$K$3)/365.25))-1,"")</f>
        <v/>
      </c>
    </row>
    <row r="31" ht="15" customHeight="1" s="251">
      <c r="B31" s="79" t="inlineStr">
        <is>
          <t>Free Cash Flow</t>
        </is>
      </c>
      <c r="C31" s="80">
        <f>Model!AK313</f>
        <v/>
      </c>
      <c r="D31" s="81">
        <f>Model!AP313</f>
        <v/>
      </c>
      <c r="E31" s="81">
        <f>Model!AQ313</f>
        <v/>
      </c>
      <c r="F31" s="81">
        <f>Model!AR313</f>
        <v/>
      </c>
      <c r="G31" s="81">
        <f>Model!AS313</f>
        <v/>
      </c>
      <c r="H31" s="81">
        <f>Model!AT313</f>
        <v/>
      </c>
      <c r="I31" s="296">
        <f>IFERROR((H31/C31)^(1/5)-1,"n/m")</f>
        <v/>
      </c>
      <c r="N31" s="79" t="inlineStr">
        <is>
          <t>Free Cash Flow</t>
        </is>
      </c>
      <c r="O31" s="80" t="n">
        <v>982.9</v>
      </c>
      <c r="P31" s="81" t="n">
        <v>951.348061623383</v>
      </c>
      <c r="Q31" s="81" t="n">
        <v>1072.31727724904</v>
      </c>
      <c r="R31" s="81" t="n">
        <v>1187.37988226244</v>
      </c>
      <c r="S31" s="81" t="n">
        <v>1339.86356658378</v>
      </c>
      <c r="T31" s="81" t="n">
        <v>1484.99402434163</v>
      </c>
      <c r="U31" s="296" t="n">
        <v>0.0860331309086249</v>
      </c>
      <c r="Z31" s="79" t="inlineStr">
        <is>
          <t>Free Cash Flow</t>
        </is>
      </c>
      <c r="AA31" s="80" t="n">
        <v>982.9</v>
      </c>
      <c r="AB31" s="81" t="n">
        <v>942.056518287341</v>
      </c>
      <c r="AC31" s="81" t="n">
        <v>887.153548639911</v>
      </c>
      <c r="AD31" s="81" t="n">
        <v>976.558993715015</v>
      </c>
      <c r="AE31" s="81" t="n">
        <v>1048.65751356685</v>
      </c>
      <c r="AF31" s="81" t="n">
        <v>1102.85606144946</v>
      </c>
      <c r="AG31" s="296" t="n">
        <v>0.0232974688269003</v>
      </c>
    </row>
    <row r="32" ht="15" customHeight="1" s="251">
      <c r="B32" s="83" t="inlineStr">
        <is>
          <t xml:space="preserve">   FCF %</t>
        </is>
      </c>
      <c r="C32" s="88">
        <f>IFERROR(C31/C9,"")</f>
        <v/>
      </c>
      <c r="D32" s="89">
        <f>IFERROR(D31/D9,"")</f>
        <v/>
      </c>
      <c r="E32" s="89">
        <f>IFERROR(E31/E9,"")</f>
        <v/>
      </c>
      <c r="F32" s="89">
        <f>IFERROR(F31/F9,"")</f>
        <v/>
      </c>
      <c r="G32" s="89">
        <f>IFERROR(G31/G9,"")</f>
        <v/>
      </c>
      <c r="H32" s="89">
        <f>IFERROR(H31/H9,"")</f>
        <v/>
      </c>
      <c r="J32" s="90">
        <f>IFERROR(AVERAGE(Model!C317,Model!D317,Model!E317,Model!F317,Model!G317,Model!H317,Model!I317,Model!J317,Model!K317,Model!L317,Model!Q317,Model!V317,Model!AA317,Model!AF317,Model!AK317),"")</f>
        <v/>
      </c>
      <c r="K32" s="90">
        <f>IFERROR(MIN(Model!C317,Model!D317,Model!E317,Model!F317,Model!G317,Model!H317,Model!I317,Model!J317,Model!K317,Model!L317,Model!Q317,Model!V317,Model!AA317,Model!AF317,Model!AK317),"")</f>
        <v/>
      </c>
      <c r="L32" s="90">
        <f>IFERROR(MAX(Model!C317,Model!D317,Model!E317,Model!F317,Model!G317,Model!H317,Model!I317,Model!J317,Model!K317,Model!L317,Model!Q317,Model!V317,Model!AA317,Model!AF317,Model!AK317),"")</f>
        <v/>
      </c>
      <c r="N32" s="83" t="inlineStr">
        <is>
          <t xml:space="preserve">   FCF %</t>
        </is>
      </c>
      <c r="O32" s="88" t="n">
        <v>0.1655856736131</v>
      </c>
      <c r="P32" s="89" t="n">
        <v>0.148400676500589</v>
      </c>
      <c r="Q32" s="89" t="n">
        <v>0.153303501181681</v>
      </c>
      <c r="R32" s="89" t="n">
        <v>0.155166775621493</v>
      </c>
      <c r="S32" s="89" t="n">
        <v>0.160732328246043</v>
      </c>
      <c r="T32" s="89" t="n">
        <v>0.163880623972034</v>
      </c>
      <c r="V32" s="90" t="n">
        <v>0.10617637766886</v>
      </c>
      <c r="W32" s="90" t="n">
        <v>0.057671107807701</v>
      </c>
      <c r="X32" s="90" t="n">
        <v>0.1655856736131</v>
      </c>
      <c r="Z32" s="83" t="inlineStr">
        <is>
          <t xml:space="preserve">   FCF %</t>
        </is>
      </c>
      <c r="AA32" s="88" t="n">
        <v>0.1655856736131</v>
      </c>
      <c r="AB32" s="89" t="n">
        <v>0.148324687869633</v>
      </c>
      <c r="AC32" s="89" t="n">
        <v>0.135095981728053</v>
      </c>
      <c r="AD32" s="89" t="n">
        <v>0.144096142307392</v>
      </c>
      <c r="AE32" s="89" t="n">
        <v>0.150416475357429</v>
      </c>
      <c r="AF32" s="89" t="n">
        <v>0.153952509886801</v>
      </c>
      <c r="AH32" s="90" t="n">
        <v>0.10617637766886</v>
      </c>
      <c r="AI32" s="90" t="n">
        <v>0.057671107807701</v>
      </c>
      <c r="AJ32" s="90" t="n">
        <v>0.1655856736131</v>
      </c>
    </row>
    <row r="33" ht="15" customHeight="1" s="251">
      <c r="B33" s="83" t="inlineStr">
        <is>
          <t xml:space="preserve">   FCF / share ($)</t>
        </is>
      </c>
      <c r="C33" s="99">
        <f>IFERROR(C31/C21,"")</f>
        <v/>
      </c>
      <c r="D33" s="100">
        <f>IFERROR(D31/D21,"")</f>
        <v/>
      </c>
      <c r="E33" s="100">
        <f>IFERROR(E31/E21,"")</f>
        <v/>
      </c>
      <c r="F33" s="100">
        <f>IFERROR(F31/F21,"")</f>
        <v/>
      </c>
      <c r="G33" s="100">
        <f>IFERROR(G31/G21,"")</f>
        <v/>
      </c>
      <c r="H33" s="100">
        <f>IFERROR(H31/H21,"")</f>
        <v/>
      </c>
      <c r="N33" s="83" t="inlineStr">
        <is>
          <t xml:space="preserve">   FCF / share ($)</t>
        </is>
      </c>
      <c r="O33" s="99" t="n">
        <v>9.958459979736579</v>
      </c>
      <c r="P33" s="100" t="n">
        <v>9.790494302039891</v>
      </c>
      <c r="Q33" s="100" t="n">
        <v>11.4485458405992</v>
      </c>
      <c r="R33" s="100" t="n">
        <v>13.2427928015909</v>
      </c>
      <c r="S33" s="100" t="n">
        <v>15.511451965431</v>
      </c>
      <c r="T33" s="100" t="n">
        <v>17.9297085053251</v>
      </c>
      <c r="Z33" s="83" t="inlineStr">
        <is>
          <t xml:space="preserve">   FCF / share ($)</t>
        </is>
      </c>
      <c r="AA33" s="99" t="n">
        <v>9.958459979736579</v>
      </c>
      <c r="AB33" s="100" t="n">
        <v>9.65955041519023</v>
      </c>
      <c r="AC33" s="100" t="n">
        <v>9.19698996108627</v>
      </c>
      <c r="AD33" s="100" t="n">
        <v>10.3335903716434</v>
      </c>
      <c r="AE33" s="100" t="n">
        <v>11.4263853138408</v>
      </c>
      <c r="AF33" s="100" t="n">
        <v>12.3777540027118</v>
      </c>
    </row>
    <row r="34" ht="15" customHeight="1" s="251">
      <c r="B34" s="83" t="inlineStr">
        <is>
          <t xml:space="preserve">   FCF Yield (on PT)</t>
        </is>
      </c>
      <c r="E34" s="101" t="n"/>
      <c r="F34" s="101">
        <f>IFERROR(F33/F$27,"")</f>
        <v/>
      </c>
      <c r="G34" s="101">
        <f>IFERROR(G33/G$27,"")</f>
        <v/>
      </c>
      <c r="H34" s="101">
        <f>IFERROR(H33/H$27,"")</f>
        <v/>
      </c>
      <c r="N34" s="83" t="inlineStr">
        <is>
          <t xml:space="preserve">   FCF Yield (on PT)</t>
        </is>
      </c>
      <c r="Q34" s="101" t="n"/>
      <c r="R34" s="101">
        <f>IFERROR(R33/R$27,"")</f>
        <v/>
      </c>
      <c r="S34" s="101">
        <f>IFERROR(S33/S$27,"")</f>
        <v/>
      </c>
      <c r="T34" s="101">
        <f>IFERROR(T33/T$27,"")</f>
        <v/>
      </c>
      <c r="Z34" s="83" t="inlineStr">
        <is>
          <t xml:space="preserve">   FCF Yield (on PT)</t>
        </is>
      </c>
      <c r="AC34" s="101" t="n"/>
      <c r="AD34" s="101">
        <f>IFERROR(AD33/AD$27,"")</f>
        <v/>
      </c>
      <c r="AE34" s="101">
        <f>IFERROR(AE33/AE$27,"")</f>
        <v/>
      </c>
      <c r="AF34" s="101">
        <f>IFERROR(AF33/AF$27,"")</f>
        <v/>
      </c>
    </row>
    <row r="35" ht="15" customHeight="1" s="251">
      <c r="B35" s="79" t="inlineStr">
        <is>
          <t>Adjusted EBITDA (leverage basis)</t>
        </is>
      </c>
      <c r="C35" s="80">
        <f>Model!AK233</f>
        <v/>
      </c>
      <c r="D35" s="81">
        <f>Model!AP233</f>
        <v/>
      </c>
      <c r="E35" s="81">
        <f>Model!AQ233</f>
        <v/>
      </c>
      <c r="F35" s="81">
        <f>Model!AR233</f>
        <v/>
      </c>
      <c r="G35" s="81">
        <f>Model!AS233</f>
        <v/>
      </c>
      <c r="H35" s="81">
        <f>Model!AT233</f>
        <v/>
      </c>
      <c r="I35" s="296">
        <f>IFERROR((H35/C35)^(1/5)-1,"n/m")</f>
        <v/>
      </c>
      <c r="N35" s="79" t="inlineStr">
        <is>
          <t>Adjusted EBITDA (leverage basis)</t>
        </is>
      </c>
      <c r="O35" s="80" t="n">
        <v>1603.4</v>
      </c>
      <c r="P35" s="81" t="n">
        <v>1760.77015172692</v>
      </c>
      <c r="Q35" s="81" t="n">
        <v>1974.03763421573</v>
      </c>
      <c r="R35" s="81" t="n">
        <v>2185.14193791099</v>
      </c>
      <c r="S35" s="81" t="n">
        <v>2408.74747553181</v>
      </c>
      <c r="T35" s="81" t="n">
        <v>2641.27602686323</v>
      </c>
      <c r="U35" s="296" t="n">
        <v>0.104979910049202</v>
      </c>
      <c r="Z35" s="79" t="inlineStr">
        <is>
          <t>Adjusted EBITDA (leverage basis)</t>
        </is>
      </c>
      <c r="AA35" s="80" t="n">
        <v>1603.4</v>
      </c>
      <c r="AB35" s="81" t="n">
        <v>1740.11691449124</v>
      </c>
      <c r="AC35" s="81" t="n">
        <v>1657.35359650522</v>
      </c>
      <c r="AD35" s="81" t="n">
        <v>1737.38209020178</v>
      </c>
      <c r="AE35" s="81" t="n">
        <v>1815.04267098726</v>
      </c>
      <c r="AF35" s="81" t="n">
        <v>1886.94367020001</v>
      </c>
      <c r="AG35" s="296" t="n">
        <v>0.0331024970961125</v>
      </c>
    </row>
    <row r="36" ht="15" customHeight="1" s="251">
      <c r="B36" s="83" t="inlineStr">
        <is>
          <t xml:space="preserve">   Adjusted EBITDA % of revenues</t>
        </is>
      </c>
      <c r="C36" s="88">
        <f>IFERROR(C35/C9,"")</f>
        <v/>
      </c>
      <c r="D36" s="89">
        <f>IFERROR(D35/D9,"")</f>
        <v/>
      </c>
      <c r="E36" s="89">
        <f>IFERROR(E35/E9,"")</f>
        <v/>
      </c>
      <c r="F36" s="89">
        <f>IFERROR(F35/F9,"")</f>
        <v/>
      </c>
      <c r="G36" s="89">
        <f>IFERROR(G35/G9,"")</f>
        <v/>
      </c>
      <c r="H36" s="89">
        <f>IFERROR(H35/H9,"")</f>
        <v/>
      </c>
      <c r="J36" s="90">
        <f>IFERROR(AVERAGE(Model!C279,Model!D279,Model!E279,Model!F279,Model!G279,Model!H279,Model!I279,Model!J279,Model!K279,Model!L279,Model!Q279,Model!V279,Model!AA279,Model!AF279,Model!AK279),"")</f>
        <v/>
      </c>
      <c r="K36" s="90">
        <f>IFERROR(MIN(Model!C279,Model!D279,Model!E279,Model!F279,Model!G279,Model!H279,Model!I279,Model!J279,Model!K279,Model!L279,Model!Q279,Model!V279,Model!AA279,Model!AF279,Model!AK279),"")</f>
        <v/>
      </c>
      <c r="L36" s="90">
        <f>IFERROR(MAX(Model!C279,Model!D279,Model!E279,Model!F279,Model!G279,Model!H279,Model!I279,Model!J279,Model!K279,Model!L279,Model!Q279,Model!V279,Model!AA279,Model!AF279,Model!AK279),"")</f>
        <v/>
      </c>
      <c r="N36" s="83" t="inlineStr">
        <is>
          <t xml:space="preserve">   Adjusted EBITDA % of revenues</t>
        </is>
      </c>
      <c r="O36" s="88" t="n">
        <v>0.270119105780084</v>
      </c>
      <c r="P36" s="89" t="n">
        <v>0.274662336760782</v>
      </c>
      <c r="Q36" s="89" t="n">
        <v>0.282217667485546</v>
      </c>
      <c r="R36" s="89" t="n">
        <v>0.285554298035519</v>
      </c>
      <c r="S36" s="89" t="n">
        <v>0.288957472652345</v>
      </c>
      <c r="T36" s="89" t="n">
        <v>0.2914853233545</v>
      </c>
      <c r="V36" s="90" t="n">
        <v>0.240826760223351</v>
      </c>
      <c r="W36" s="90" t="n">
        <v>0.183967396008528</v>
      </c>
      <c r="X36" s="90" t="n">
        <v>0.303516813167482</v>
      </c>
      <c r="Z36" s="83" t="inlineStr">
        <is>
          <t xml:space="preserve">   Adjusted EBITDA % of revenues</t>
        </is>
      </c>
      <c r="AA36" s="88" t="n">
        <v>0.270119105780084</v>
      </c>
      <c r="AB36" s="89" t="n">
        <v>0.273977508979835</v>
      </c>
      <c r="AC36" s="89" t="n">
        <v>0.252382252805791</v>
      </c>
      <c r="AD36" s="89" t="n">
        <v>0.256359378719816</v>
      </c>
      <c r="AE36" s="89" t="n">
        <v>0.260344600273379</v>
      </c>
      <c r="AF36" s="89" t="n">
        <v>0.263406734746968</v>
      </c>
      <c r="AH36" s="90" t="n">
        <v>0.240826760223351</v>
      </c>
      <c r="AI36" s="90" t="n">
        <v>0.183967396008528</v>
      </c>
      <c r="AJ36" s="90" t="n">
        <v>0.303516813167482</v>
      </c>
    </row>
    <row r="38" ht="15" customHeight="1" s="251">
      <c r="B38" s="79" t="inlineStr">
        <is>
          <t>Net Debt</t>
        </is>
      </c>
      <c r="C38" s="80">
        <f>Model!AK441</f>
        <v/>
      </c>
      <c r="D38" s="81">
        <f>Model!AP441</f>
        <v/>
      </c>
      <c r="E38" s="81">
        <f>Model!AQ441</f>
        <v/>
      </c>
      <c r="F38" s="81">
        <f>Model!AR441</f>
        <v/>
      </c>
      <c r="G38" s="81">
        <f>Model!AS441</f>
        <v/>
      </c>
      <c r="H38" s="81">
        <f>Model!AT441</f>
        <v/>
      </c>
      <c r="N38" s="79" t="inlineStr">
        <is>
          <t>Net Debt</t>
        </is>
      </c>
      <c r="O38" s="80" t="n">
        <v>1492.1</v>
      </c>
      <c r="P38" s="81" t="n">
        <v>1315.77781331147</v>
      </c>
      <c r="Q38" s="81" t="n">
        <v>1974.03763421573</v>
      </c>
      <c r="R38" s="81" t="n">
        <v>2185.14193791099</v>
      </c>
      <c r="S38" s="81" t="n">
        <v>2408.74747553181</v>
      </c>
      <c r="T38" s="81" t="n">
        <v>2641.27602686323</v>
      </c>
      <c r="Z38" s="79" t="inlineStr">
        <is>
          <t>Net Debt</t>
        </is>
      </c>
      <c r="AA38" s="80" t="n">
        <v>1492.1</v>
      </c>
      <c r="AB38" s="81" t="n">
        <v>1125.96479418009</v>
      </c>
      <c r="AC38" s="81" t="n">
        <v>828.676798252611</v>
      </c>
      <c r="AD38" s="81" t="n">
        <v>868.691045100892</v>
      </c>
      <c r="AE38" s="81" t="n">
        <v>907.521335493632</v>
      </c>
      <c r="AF38" s="81" t="n">
        <v>943.471835100005</v>
      </c>
    </row>
    <row r="39" ht="15" customHeight="1" s="251">
      <c r="B39" s="83" t="inlineStr">
        <is>
          <t xml:space="preserve">   Net Debt / Adjusted EBITDA (x)</t>
        </is>
      </c>
      <c r="C39" s="102">
        <f>IFERROR(C38/C35,"")</f>
        <v/>
      </c>
      <c r="D39" s="103">
        <f>IFERROR(D38/D35,"")</f>
        <v/>
      </c>
      <c r="E39" s="103">
        <f>IFERROR(E38/E35,"")</f>
        <v/>
      </c>
      <c r="F39" s="103">
        <f>IFERROR(F38/F35,"")</f>
        <v/>
      </c>
      <c r="G39" s="103">
        <f>IFERROR(G38/G35,"")</f>
        <v/>
      </c>
      <c r="H39" s="103">
        <f>IFERROR(H38/H35,"")</f>
        <v/>
      </c>
      <c r="N39" s="83" t="inlineStr">
        <is>
          <t xml:space="preserve">   Net Debt / Adjusted EBITDA (x)</t>
        </is>
      </c>
      <c r="O39" s="102" t="n">
        <v>0.930585006860422</v>
      </c>
      <c r="P39" s="103" t="n">
        <v>0.747274033479608</v>
      </c>
      <c r="Q39" s="103" t="n">
        <v>1</v>
      </c>
      <c r="R39" s="103" t="n">
        <v>1</v>
      </c>
      <c r="S39" s="103" t="n">
        <v>1</v>
      </c>
      <c r="T39" s="103" t="n">
        <v>1</v>
      </c>
      <c r="Z39" s="83" t="inlineStr">
        <is>
          <t xml:space="preserve">   Net Debt / Adjusted EBITDA (x)</t>
        </is>
      </c>
      <c r="AA39" s="102" t="n">
        <v>0.930585006860422</v>
      </c>
      <c r="AB39" s="103" t="n">
        <v>0.64706272596016</v>
      </c>
      <c r="AC39" s="103" t="n">
        <v>0.5</v>
      </c>
      <c r="AD39" s="103" t="n">
        <v>0.5</v>
      </c>
      <c r="AE39" s="103" t="n">
        <v>0.5</v>
      </c>
      <c r="AF39" s="103" t="n">
        <v>0.5</v>
      </c>
    </row>
    <row r="40" ht="15" customHeight="1" s="251">
      <c r="B40" s="252" t="inlineStr">
        <is>
          <t xml:space="preserve">   Share repurchases ($m; FY2027E = Q2–Q4)</t>
        </is>
      </c>
      <c r="C40" s="102" t="n"/>
      <c r="D40" s="248">
        <f>Model!AP327</f>
        <v/>
      </c>
      <c r="E40" s="248">
        <f>Model!AQ327</f>
        <v/>
      </c>
      <c r="F40" s="248">
        <f>Model!AR327</f>
        <v/>
      </c>
      <c r="G40" s="248">
        <f>Model!AS327</f>
        <v/>
      </c>
      <c r="H40" s="248">
        <f>Model!AT327</f>
        <v/>
      </c>
      <c r="N40" s="252" t="inlineStr">
        <is>
          <t xml:space="preserve">   Share repurchases ($m; FY2027E = Q2–Q4)</t>
        </is>
      </c>
      <c r="O40" s="102" t="n"/>
      <c r="P40" s="248" t="n">
        <v>400</v>
      </c>
      <c r="Q40" s="248" t="n">
        <v>1181.19057834091</v>
      </c>
      <c r="R40" s="248" t="n">
        <v>842.408972388646</v>
      </c>
      <c r="S40" s="248" t="n">
        <v>995.736875685827</v>
      </c>
      <c r="T40" s="248" t="n">
        <v>1139.10759318219</v>
      </c>
      <c r="Z40" s="83" t="n"/>
      <c r="AA40" s="102" t="n"/>
      <c r="AB40" s="103" t="n">
        <v>200</v>
      </c>
      <c r="AC40" s="103" t="n">
        <v>337.900172806242</v>
      </c>
      <c r="AD40" s="103" t="n">
        <v>746.839218221313</v>
      </c>
      <c r="AE40" s="103" t="n">
        <v>803.771756840055</v>
      </c>
      <c r="AF40" s="103" t="n">
        <v>840.653798554198</v>
      </c>
    </row>
    <row r="41" ht="15" customHeight="1" s="251">
      <c r="B41" s="252" t="inlineStr">
        <is>
          <t xml:space="preserve">   Implied avg buyback price ($)</t>
        </is>
      </c>
      <c r="C41" s="102" t="n"/>
      <c r="D41" s="249">
        <f>Model!AP326</f>
        <v/>
      </c>
      <c r="E41" s="249">
        <f>Model!AQ326</f>
        <v/>
      </c>
      <c r="F41" s="249">
        <f>Model!AR326</f>
        <v/>
      </c>
      <c r="G41" s="249">
        <f>Model!AS326</f>
        <v/>
      </c>
      <c r="H41" s="249">
        <f>Model!AT326</f>
        <v/>
      </c>
      <c r="N41" s="252" t="inlineStr">
        <is>
          <t xml:space="preserve">   Implied avg buyback price ($)</t>
        </is>
      </c>
      <c r="O41" s="102" t="n"/>
      <c r="P41" s="249" t="n">
        <v>211.07</v>
      </c>
      <c r="Q41" s="249" t="n">
        <v>227.9556</v>
      </c>
      <c r="R41" s="249" t="n">
        <v>246.192048</v>
      </c>
      <c r="S41" s="249" t="n">
        <v>265.88741184</v>
      </c>
      <c r="T41" s="249" t="n">
        <v>287.1584047872</v>
      </c>
      <c r="Z41" s="83" t="n"/>
      <c r="AA41" s="102" t="n"/>
      <c r="AB41" s="103" t="n">
        <v>211.07</v>
      </c>
      <c r="AC41" s="103" t="n">
        <v>227.9556</v>
      </c>
      <c r="AD41" s="103" t="n">
        <v>246.192048</v>
      </c>
      <c r="AE41" s="103" t="n">
        <v>265.88741184</v>
      </c>
      <c r="AF41" s="103" t="n">
        <v>287.1584047872</v>
      </c>
    </row>
    <row r="42" ht="15" customHeight="1" s="251">
      <c r="B42" s="252" t="inlineStr">
        <is>
          <t xml:space="preserve">   Shares repurchased (m)</t>
        </is>
      </c>
      <c r="C42" s="102" t="n"/>
      <c r="D42" s="250">
        <f>Model!AP328</f>
        <v/>
      </c>
      <c r="E42" s="250">
        <f>Model!AQ328</f>
        <v/>
      </c>
      <c r="F42" s="250">
        <f>Model!AR328</f>
        <v/>
      </c>
      <c r="G42" s="250">
        <f>Model!AS328</f>
        <v/>
      </c>
      <c r="H42" s="250">
        <f>Model!AT328</f>
        <v/>
      </c>
      <c r="N42" s="252" t="inlineStr">
        <is>
          <t xml:space="preserve">   Shares repurchased (m)</t>
        </is>
      </c>
      <c r="O42" s="102" t="n"/>
      <c r="P42" s="250" t="n">
        <v>1.89510588904155</v>
      </c>
      <c r="Q42" s="250" t="n">
        <v>5.18166949327374</v>
      </c>
      <c r="R42" s="250" t="n">
        <v>3.42175541099786</v>
      </c>
      <c r="S42" s="250" t="n">
        <v>3.74495681760602</v>
      </c>
      <c r="T42" s="250" t="n">
        <v>3.96682658139968</v>
      </c>
      <c r="Z42" s="83" t="n"/>
      <c r="AA42" s="102" t="n"/>
      <c r="AB42" s="103" t="n">
        <v>0.947552944520775</v>
      </c>
      <c r="AC42" s="103" t="n">
        <v>1.48230696155849</v>
      </c>
      <c r="AD42" s="103" t="n">
        <v>3.03356353013202</v>
      </c>
      <c r="AE42" s="103" t="n">
        <v>3.02297785095494</v>
      </c>
      <c r="AF42" s="103" t="n">
        <v>2.92749153268618</v>
      </c>
    </row>
    <row r="44" ht="15" customHeight="1" s="251">
      <c r="B44" s="79" t="inlineStr">
        <is>
          <t>ROIC</t>
        </is>
      </c>
      <c r="C44" s="86">
        <f>Model!AK424</f>
        <v/>
      </c>
      <c r="D44" s="87">
        <f>Model!AP424</f>
        <v/>
      </c>
      <c r="E44" s="87">
        <f>Model!AQ424</f>
        <v/>
      </c>
      <c r="F44" s="87">
        <f>Model!AR424</f>
        <v/>
      </c>
      <c r="G44" s="87">
        <f>Model!AS424</f>
        <v/>
      </c>
      <c r="H44" s="87">
        <f>Model!AT424</f>
        <v/>
      </c>
      <c r="J44" s="90">
        <f>IFERROR(AVERAGE(Model!C424,Model!D424,Model!E424,Model!F424,Model!G424,Model!H424,Model!I424,Model!J424,Model!K424,Model!L424,Model!Q424,Model!V424,Model!AA424,Model!AF424,Model!AK424),"")</f>
        <v/>
      </c>
      <c r="K44" s="90">
        <f>IFERROR(MIN(Model!C424,Model!D424,Model!E424,Model!F424,Model!G424,Model!H424,Model!I424,Model!J424,Model!K424,Model!L424,Model!Q424,Model!V424,Model!AA424,Model!AF424,Model!AK424),"")</f>
        <v/>
      </c>
      <c r="L44" s="90">
        <f>IFERROR(MAX(Model!C424,Model!D424,Model!E424,Model!F424,Model!G424,Model!H424,Model!I424,Model!J424,Model!K424,Model!L424,Model!Q424,Model!V424,Model!AA424,Model!AF424,Model!AK424),"")</f>
        <v/>
      </c>
      <c r="N44" s="79" t="inlineStr">
        <is>
          <t>ROIC</t>
        </is>
      </c>
      <c r="O44" s="86" t="n">
        <v>0.09717079521180751</v>
      </c>
      <c r="P44" s="87" t="n">
        <v>0.108377160612657</v>
      </c>
      <c r="Q44" s="87" t="n">
        <v>0.120018662544754</v>
      </c>
      <c r="R44" s="87" t="n">
        <v>0.129185579744452</v>
      </c>
      <c r="S44" s="87" t="n">
        <v>0.139021528810481</v>
      </c>
      <c r="T44" s="87" t="n">
        <v>0.151053095079775</v>
      </c>
      <c r="V44" s="90" t="n">
        <v>0.091989473730872</v>
      </c>
      <c r="W44" s="90" t="n">
        <v>0.054499158704721</v>
      </c>
      <c r="X44" s="90" t="n">
        <v>0.152414546415175</v>
      </c>
      <c r="Z44" s="79" t="inlineStr">
        <is>
          <t>ROIC</t>
        </is>
      </c>
      <c r="AA44" s="86" t="n">
        <v>0.09717079521180751</v>
      </c>
      <c r="AB44" s="87" t="n">
        <v>0.106673517056703</v>
      </c>
      <c r="AC44" s="87" t="n">
        <v>0.0994408241306988</v>
      </c>
      <c r="AD44" s="87" t="n">
        <v>0.105713243522058</v>
      </c>
      <c r="AE44" s="87" t="n">
        <v>0.112293447829883</v>
      </c>
      <c r="AF44" s="87" t="n">
        <v>0.121053404168615</v>
      </c>
      <c r="AH44" s="90" t="n">
        <v>0.091989473730872</v>
      </c>
      <c r="AI44" s="90" t="n">
        <v>0.054499158704721</v>
      </c>
      <c r="AJ44" s="90" t="n">
        <v>0.152414546415175</v>
      </c>
    </row>
    <row r="45" ht="15" customHeight="1" s="251">
      <c r="B45" s="79" t="inlineStr">
        <is>
          <t>RONTA</t>
        </is>
      </c>
      <c r="C45" s="86">
        <f>Model!AK435</f>
        <v/>
      </c>
      <c r="D45" s="87">
        <f>Model!AP435</f>
        <v/>
      </c>
      <c r="E45" s="87">
        <f>Model!AQ435</f>
        <v/>
      </c>
      <c r="F45" s="87">
        <f>Model!AR435</f>
        <v/>
      </c>
      <c r="G45" s="87">
        <f>Model!AS435</f>
        <v/>
      </c>
      <c r="H45" s="87">
        <f>Model!AT435</f>
        <v/>
      </c>
      <c r="J45" s="90">
        <f>IFERROR(AVERAGE(Model!C435,Model!D435,Model!E435,Model!F435,Model!G435,Model!H435,Model!I435,Model!J435,Model!K435,Model!L435,Model!Q435,Model!V435,Model!AA435,Model!AF435,Model!AK435),"")</f>
        <v/>
      </c>
      <c r="K45" s="90">
        <f>IFERROR(MIN(Model!C435,Model!D435,Model!E435,Model!F435,Model!G435,Model!H435,Model!I435,Model!J435,Model!K435,Model!L435,Model!Q435,Model!V435,Model!AA435,Model!AF435,Model!AK435),"")</f>
        <v/>
      </c>
      <c r="L45" s="90">
        <f>IFERROR(MAX(Model!C435,Model!D435,Model!E435,Model!F435,Model!G435,Model!H435,Model!I435,Model!J435,Model!K435,Model!L435,Model!Q435,Model!V435,Model!AA435,Model!AF435,Model!AK435),"")</f>
        <v/>
      </c>
      <c r="N45" s="79" t="inlineStr">
        <is>
          <t>RONTA</t>
        </is>
      </c>
      <c r="O45" s="86" t="n">
        <v>0.216704614848435</v>
      </c>
      <c r="P45" s="87" t="n">
        <v>0.225973617125478</v>
      </c>
      <c r="Q45" s="87" t="n">
        <v>0.246093461471251</v>
      </c>
      <c r="R45" s="87" t="n">
        <v>0.257071329621642</v>
      </c>
      <c r="S45" s="87" t="n">
        <v>0.269007774089964</v>
      </c>
      <c r="T45" s="87" t="n">
        <v>0.285071028088014</v>
      </c>
      <c r="V45" s="90" t="n">
        <v>0.19710919125166</v>
      </c>
      <c r="W45" s="90" t="n">
        <v>0.142567715607655</v>
      </c>
      <c r="X45" s="90" t="n">
        <v>0.235605222687197</v>
      </c>
      <c r="Z45" s="79" t="inlineStr">
        <is>
          <t>RONTA</t>
        </is>
      </c>
      <c r="AA45" s="86" t="n">
        <v>0.216704614848435</v>
      </c>
      <c r="AB45" s="87" t="n">
        <v>0.21289480904918</v>
      </c>
      <c r="AC45" s="87" t="n">
        <v>0.182359929594332</v>
      </c>
      <c r="AD45" s="87" t="n">
        <v>0.19166323306487</v>
      </c>
      <c r="AE45" s="87" t="n">
        <v>0.196456442116118</v>
      </c>
      <c r="AF45" s="87" t="n">
        <v>0.20940405332273</v>
      </c>
      <c r="AH45" s="90" t="n">
        <v>0.19710919125166</v>
      </c>
      <c r="AI45" s="90" t="n">
        <v>0.142567715607655</v>
      </c>
      <c r="AJ45" s="90" t="n">
        <v>0.235605222687197</v>
      </c>
    </row>
    <row r="47" ht="15" customHeight="1" s="251">
      <c r="B47" s="83" t="inlineStr">
        <is>
          <t>Implied Market Cap (USDm)</t>
        </is>
      </c>
      <c r="E47" s="104" t="n"/>
      <c r="F47" s="104">
        <f>F27*F21</f>
        <v/>
      </c>
      <c r="G47" s="104">
        <f>G27*G21</f>
        <v/>
      </c>
      <c r="H47" s="104">
        <f>H27*H21</f>
        <v/>
      </c>
      <c r="N47" s="83" t="inlineStr">
        <is>
          <t>Implied Market Cap (USDm)</t>
        </is>
      </c>
      <c r="Q47" s="104" t="n"/>
      <c r="R47" s="104">
        <f>R27*R21</f>
        <v/>
      </c>
      <c r="S47" s="104">
        <f>S27*S21</f>
        <v/>
      </c>
      <c r="T47" s="104">
        <f>T27*T21</f>
        <v/>
      </c>
      <c r="Z47" s="83" t="inlineStr">
        <is>
          <t>Implied Market Cap (USDm)</t>
        </is>
      </c>
      <c r="AC47" s="104" t="n"/>
      <c r="AD47" s="104">
        <f>AD27*AD21</f>
        <v/>
      </c>
      <c r="AE47" s="104">
        <f>AE27*AE21</f>
        <v/>
      </c>
      <c r="AF47" s="104">
        <f>AF27*AF21</f>
        <v/>
      </c>
    </row>
    <row r="48" ht="15" customHeight="1" s="251">
      <c r="B48" s="83" t="inlineStr">
        <is>
          <t>(+) Net Debt &amp; NCI</t>
        </is>
      </c>
      <c r="E48" s="104" t="n"/>
      <c r="F48" s="104">
        <f>F38+Model!AR357</f>
        <v/>
      </c>
      <c r="G48" s="104">
        <f>G38+Model!AS357</f>
        <v/>
      </c>
      <c r="H48" s="104">
        <f>H38+Model!AT357</f>
        <v/>
      </c>
      <c r="N48" s="83" t="inlineStr">
        <is>
          <t>(+) Net Debt &amp; NCI</t>
        </is>
      </c>
      <c r="Q48" s="104" t="n"/>
      <c r="R48" s="104">
        <f>R38+Model!AR357</f>
        <v/>
      </c>
      <c r="S48" s="104">
        <f>S38+Model!AS357</f>
        <v/>
      </c>
      <c r="T48" s="104">
        <f>T38+Model!AT357</f>
        <v/>
      </c>
      <c r="Z48" s="83" t="inlineStr">
        <is>
          <t>(+) Net Debt &amp; NCI</t>
        </is>
      </c>
      <c r="AC48" s="104" t="n"/>
      <c r="AD48" s="104">
        <f>AD38+Model!AR357</f>
        <v/>
      </c>
      <c r="AE48" s="104">
        <f>AE38+Model!AS357</f>
        <v/>
      </c>
      <c r="AF48" s="104">
        <f>AF38+Model!AT357</f>
        <v/>
      </c>
    </row>
    <row r="49" ht="15" customHeight="1" s="251">
      <c r="B49" s="83" t="inlineStr">
        <is>
          <t>Implied Enterprise Value (USDm)</t>
        </is>
      </c>
      <c r="E49" s="104" t="n"/>
      <c r="F49" s="104">
        <f>F47+F48</f>
        <v/>
      </c>
      <c r="G49" s="104">
        <f>G47+G48</f>
        <v/>
      </c>
      <c r="H49" s="104">
        <f>H47+H48</f>
        <v/>
      </c>
      <c r="N49" s="83" t="inlineStr">
        <is>
          <t>Implied Enterprise Value (USDm)</t>
        </is>
      </c>
      <c r="Q49" s="104" t="n"/>
      <c r="R49" s="104">
        <f>R47+R48</f>
        <v/>
      </c>
      <c r="S49" s="104">
        <f>S47+S48</f>
        <v/>
      </c>
      <c r="T49" s="104">
        <f>T47+T48</f>
        <v/>
      </c>
      <c r="Z49" s="83" t="inlineStr">
        <is>
          <t>Implied Enterprise Value (USDm)</t>
        </is>
      </c>
      <c r="AC49" s="104" t="n"/>
      <c r="AD49" s="104">
        <f>AD47+AD48</f>
        <v/>
      </c>
      <c r="AE49" s="104">
        <f>AE47+AE48</f>
        <v/>
      </c>
      <c r="AF49" s="104">
        <f>AF47+AF48</f>
        <v/>
      </c>
    </row>
    <row r="50" ht="15" customHeight="1" s="251">
      <c r="B50" s="83" t="inlineStr">
        <is>
          <t>Implied EV / Adjusted EBITDA (x)</t>
        </is>
      </c>
      <c r="E50" s="105" t="n"/>
      <c r="F50" s="105">
        <f>IFERROR(F49/F35,"")</f>
        <v/>
      </c>
      <c r="G50" s="105">
        <f>IFERROR(G49/G35,"")</f>
        <v/>
      </c>
      <c r="H50" s="105">
        <f>IFERROR(H49/H35,"")</f>
        <v/>
      </c>
      <c r="N50" s="83" t="inlineStr">
        <is>
          <t>Implied EV / Adjusted EBITDA (x)</t>
        </is>
      </c>
      <c r="Q50" s="105" t="n"/>
      <c r="R50" s="105">
        <f>IFERROR(R49/R35,"")</f>
        <v/>
      </c>
      <c r="S50" s="105">
        <f>IFERROR(S49/S35,"")</f>
        <v/>
      </c>
      <c r="T50" s="105">
        <f>IFERROR(T49/T35,"")</f>
        <v/>
      </c>
      <c r="Z50" s="83" t="inlineStr">
        <is>
          <t>Implied EV / Adjusted EBITDA (x)</t>
        </is>
      </c>
      <c r="AC50" s="105" t="n"/>
      <c r="AD50" s="105">
        <f>IFERROR(AD49/AD35,"")</f>
        <v/>
      </c>
      <c r="AE50" s="105">
        <f>IFERROR(AE49/AE35,"")</f>
        <v/>
      </c>
      <c r="AF50" s="105">
        <f>IFERROR(AF49/AF35,"")</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30"/>
  <sheetViews>
    <sheetView showGridLines="0" zoomScale="50" zoomScaleNormal="50" workbookViewId="0">
      <selection activeCell="D61" sqref="D61"/>
    </sheetView>
  </sheetViews>
  <sheetFormatPr baseColWidth="8" defaultColWidth="8.5703125" defaultRowHeight="15"/>
  <cols>
    <col width="3.42578125" customWidth="1" style="251" min="1" max="1"/>
    <col width="55.28515625" customWidth="1" style="251" min="2" max="2"/>
    <col width="12.5703125" customWidth="1" style="251" min="3" max="14"/>
    <col width="2.28515625" customWidth="1" style="251" min="15" max="15"/>
    <col width="14.85546875" customWidth="1" style="251" min="16" max="17"/>
  </cols>
  <sheetData>
    <row r="1">
      <c r="A1" s="192" t="n"/>
      <c r="B1" s="192" t="n"/>
      <c r="C1" s="192" t="n"/>
      <c r="D1" s="192" t="n"/>
      <c r="E1" s="192" t="n"/>
      <c r="F1" s="192" t="n"/>
      <c r="G1" s="192" t="n"/>
      <c r="H1" s="192" t="n"/>
      <c r="I1" s="192" t="n"/>
      <c r="J1" s="192" t="n"/>
      <c r="K1" s="192" t="n"/>
      <c r="L1" s="192" t="n"/>
      <c r="M1" s="192" t="n"/>
      <c r="N1" s="192" t="n"/>
      <c r="O1" s="192" t="n"/>
      <c r="P1" s="192" t="n"/>
      <c r="Q1" s="192" t="n"/>
    </row>
    <row r="2" ht="24" customHeight="1" s="251">
      <c r="A2" s="192" t="n"/>
      <c r="B2" s="193" t="inlineStr">
        <is>
          <t>DCF VALUATION — STERIS PLC (STE)</t>
        </is>
      </c>
      <c r="C2" s="194" t="n"/>
      <c r="D2" s="194" t="n"/>
      <c r="E2" s="194" t="n"/>
      <c r="F2" s="194" t="n"/>
      <c r="G2" s="194" t="n"/>
      <c r="H2" s="194" t="n"/>
      <c r="I2" s="194" t="n"/>
      <c r="J2" s="194" t="n"/>
      <c r="K2" s="194" t="n"/>
      <c r="L2" s="194" t="n"/>
      <c r="M2" s="194" t="n"/>
      <c r="N2" s="194" t="n"/>
      <c r="O2" s="192" t="n"/>
      <c r="P2" s="192" t="n"/>
      <c r="Q2" s="192" t="n"/>
    </row>
    <row r="3" ht="15" customHeight="1" s="251">
      <c r="A3" s="192" t="n"/>
      <c r="B3" s="192" t="n"/>
      <c r="C3" s="192" t="n"/>
      <c r="D3" s="192" t="n"/>
      <c r="E3" s="192" t="n"/>
      <c r="F3" s="192" t="n"/>
      <c r="G3" s="192" t="n"/>
      <c r="H3" s="192" t="n"/>
      <c r="I3" s="192" t="n"/>
      <c r="J3" s="192" t="n"/>
      <c r="K3" s="192" t="n"/>
      <c r="L3" s="192" t="n"/>
      <c r="M3" s="192" t="n"/>
      <c r="N3" s="192" t="n"/>
      <c r="O3" s="192" t="n"/>
      <c r="P3" s="192" t="n"/>
      <c r="Q3" s="192" t="n"/>
    </row>
    <row r="4" ht="15.75" customHeight="1" s="251">
      <c r="A4" s="192" t="n"/>
      <c r="B4" s="195" t="inlineStr">
        <is>
          <t>1. WACC BUILD</t>
        </is>
      </c>
      <c r="C4" s="196" t="n"/>
      <c r="D4" s="196" t="n"/>
      <c r="E4" s="196" t="n"/>
      <c r="F4" s="196" t="n"/>
      <c r="G4" s="196" t="n"/>
      <c r="H4" s="196" t="n"/>
      <c r="I4" s="196" t="n"/>
      <c r="J4" s="196" t="n"/>
      <c r="K4" s="196" t="n"/>
      <c r="L4" s="196" t="n"/>
      <c r="M4" s="196" t="n"/>
      <c r="N4" s="196" t="n"/>
      <c r="O4" s="192" t="n"/>
      <c r="P4" s="192" t="n"/>
      <c r="Q4" s="192" t="n"/>
    </row>
    <row r="5" ht="15.75" customHeight="1" s="251">
      <c r="A5" s="192" t="n"/>
      <c r="B5" s="197" t="inlineStr">
        <is>
          <t>Risk-free rate (US 10Y govt)</t>
        </is>
      </c>
      <c r="C5" s="169" t="n">
        <v>0.045</v>
      </c>
      <c r="D5" s="198" t="inlineStr">
        <is>
          <t>Assumption (~US 10Y Treasury yield, Oct-2026); update to market</t>
        </is>
      </c>
      <c r="E5" s="192" t="n"/>
      <c r="F5" s="192" t="n"/>
      <c r="G5" s="192" t="n"/>
      <c r="H5" s="192" t="n"/>
      <c r="I5" s="192" t="n"/>
      <c r="J5" s="192" t="n"/>
      <c r="K5" s="192" t="n"/>
      <c r="L5" s="192" t="n"/>
      <c r="M5" s="192" t="n"/>
      <c r="N5" s="192" t="n"/>
      <c r="O5" s="192" t="n"/>
      <c r="P5" s="192" t="n"/>
      <c r="Q5" s="192" t="n"/>
    </row>
    <row r="6" ht="15.75" customHeight="1" s="251">
      <c r="A6" s="192" t="n"/>
      <c r="B6" s="197" t="inlineStr">
        <is>
          <t>Equity risk premium</t>
        </is>
      </c>
      <c r="C6" s="169" t="n">
        <v>0.05</v>
      </c>
      <c r="D6" s="198" t="inlineStr">
        <is>
          <t>US implied ERP ~4.5–5.5% (Damodaran)</t>
        </is>
      </c>
      <c r="E6" s="192" t="n"/>
      <c r="F6" s="192" t="n"/>
      <c r="G6" s="192" t="n"/>
      <c r="H6" s="192" t="n"/>
      <c r="I6" s="192" t="n"/>
      <c r="J6" s="192" t="n"/>
      <c r="K6" s="192" t="n"/>
      <c r="L6" s="192" t="n"/>
      <c r="M6" s="192" t="n"/>
      <c r="N6" s="192" t="n"/>
      <c r="O6" s="192" t="n"/>
      <c r="P6" s="192" t="n"/>
      <c r="Q6" s="192" t="n"/>
    </row>
    <row r="7" ht="15.75" customHeight="1" s="251">
      <c r="A7" s="192" t="n"/>
      <c r="B7" s="197" t="inlineStr">
        <is>
          <t>Levered beta</t>
        </is>
      </c>
      <c r="C7" s="170" t="n">
        <v>0.85</v>
      </c>
      <c r="D7" s="198" t="inlineStr">
        <is>
          <t>Medtech / infection-prevention peers (Ecolab, Getinge, Cantel pre-deal, Sotera Health) ~0.7–1.0; ~75% recurring consumables &amp; service revenue dampens cyclicality</t>
        </is>
      </c>
      <c r="E7" s="192" t="n"/>
      <c r="F7" s="192" t="n"/>
      <c r="G7" s="192" t="n"/>
      <c r="H7" s="192" t="n"/>
      <c r="I7" s="192" t="n"/>
      <c r="J7" s="192" t="n"/>
      <c r="K7" s="192" t="n"/>
      <c r="L7" s="192" t="n"/>
      <c r="M7" s="192" t="n"/>
      <c r="N7" s="192" t="n"/>
      <c r="O7" s="192" t="n"/>
      <c r="P7" s="192" t="n"/>
      <c r="Q7" s="192" t="n"/>
    </row>
    <row r="8" ht="15.75" customHeight="1" s="251">
      <c r="A8" s="192" t="n"/>
      <c r="B8" s="197" t="inlineStr">
        <is>
          <t>Cost of equity</t>
        </is>
      </c>
      <c r="C8" s="171">
        <f>C5+C7*C6</f>
        <v/>
      </c>
      <c r="D8" s="198" t="n"/>
      <c r="E8" s="192" t="n"/>
      <c r="F8" s="192" t="n"/>
      <c r="G8" s="192" t="n"/>
      <c r="H8" s="192" t="n"/>
      <c r="I8" s="192" t="n"/>
      <c r="J8" s="192" t="n"/>
      <c r="K8" s="192" t="n"/>
      <c r="L8" s="192" t="n"/>
      <c r="M8" s="192" t="n"/>
      <c r="N8" s="192" t="n"/>
      <c r="O8" s="192" t="n"/>
      <c r="P8" s="192" t="n"/>
      <c r="Q8" s="192" t="n"/>
    </row>
    <row r="9" ht="15.75" customHeight="1" s="251">
      <c r="A9" s="192" t="n"/>
      <c r="B9" s="197" t="inlineStr">
        <is>
          <t>Pre-tax cost of debt</t>
        </is>
      </c>
      <c r="C9" s="169" t="n">
        <v>0.05</v>
      </c>
      <c r="D9" s="198" t="inlineStr">
        <is>
          <t>Investment grade (BBB+ / Baa1); 2.70% 2031 and 3.75% 2051 public notes; marginal cost ~5%</t>
        </is>
      </c>
      <c r="E9" s="192" t="n"/>
      <c r="F9" s="192" t="n"/>
      <c r="G9" s="192" t="n"/>
      <c r="H9" s="192" t="n"/>
      <c r="I9" s="192" t="n"/>
      <c r="J9" s="192" t="n"/>
      <c r="K9" s="192" t="n"/>
      <c r="L9" s="192" t="n"/>
      <c r="M9" s="192" t="n"/>
      <c r="N9" s="192" t="n"/>
      <c r="O9" s="192" t="n"/>
      <c r="P9" s="192" t="n"/>
      <c r="Q9" s="192" t="n"/>
    </row>
    <row r="10" ht="15.75" customHeight="1" s="251">
      <c r="A10" s="192" t="n"/>
      <c r="B10" s="197" t="inlineStr">
        <is>
          <t>Tax rate</t>
        </is>
      </c>
      <c r="C10" s="169" t="n">
        <v>0.25</v>
      </c>
      <c r="D10" s="198" t="inlineStr">
        <is>
          <t>Model FY2027E+ effective tax rate (FY27 outlook ~25%)</t>
        </is>
      </c>
      <c r="E10" s="192" t="n"/>
      <c r="F10" s="192" t="n"/>
      <c r="G10" s="192" t="n"/>
      <c r="H10" s="192" t="n"/>
      <c r="I10" s="192" t="n"/>
      <c r="J10" s="192" t="n"/>
      <c r="K10" s="192" t="n"/>
      <c r="L10" s="192" t="n"/>
      <c r="M10" s="192" t="n"/>
      <c r="N10" s="192" t="n"/>
      <c r="O10" s="192" t="n"/>
      <c r="P10" s="192" t="n"/>
      <c r="Q10" s="192" t="n"/>
    </row>
    <row r="11" ht="15.75" customHeight="1" s="251">
      <c r="A11" s="192" t="n"/>
      <c r="B11" s="197" t="inlineStr">
        <is>
          <t>After-tax cost of debt</t>
        </is>
      </c>
      <c r="C11" s="171">
        <f>C9*(1-C10)</f>
        <v/>
      </c>
      <c r="D11" s="198" t="n"/>
      <c r="E11" s="192" t="n"/>
      <c r="F11" s="192" t="n"/>
      <c r="G11" s="192" t="n"/>
      <c r="H11" s="192" t="n"/>
      <c r="I11" s="192" t="n"/>
      <c r="J11" s="192" t="n"/>
      <c r="K11" s="192" t="n"/>
      <c r="L11" s="192" t="n"/>
      <c r="M11" s="192" t="n"/>
      <c r="N11" s="192" t="n"/>
      <c r="O11" s="192" t="n"/>
      <c r="P11" s="192" t="n"/>
      <c r="Q11" s="192" t="n"/>
    </row>
    <row r="12" ht="15.75" customHeight="1" s="251">
      <c r="A12" s="192" t="n"/>
      <c r="B12" s="197" t="inlineStr">
        <is>
          <t>Target D/V</t>
        </is>
      </c>
      <c r="C12" s="169" t="n">
        <v>0.08</v>
      </c>
      <c r="D12" s="198" t="inlineStr">
        <is>
          <t>Net debt ~$1.4bn at 30-Jun-2026 vs ~$20.6bn market cap ($211.07 × ~98m diluted shares); ~0.9x adjusted EBITDA</t>
        </is>
      </c>
      <c r="E12" s="192" t="n"/>
      <c r="F12" s="192" t="n"/>
      <c r="G12" s="192" t="n"/>
      <c r="H12" s="192" t="n"/>
      <c r="I12" s="192" t="n"/>
      <c r="J12" s="192" t="n"/>
      <c r="K12" s="192" t="n"/>
      <c r="L12" s="192" t="n"/>
      <c r="M12" s="192" t="n"/>
      <c r="N12" s="192" t="n"/>
      <c r="O12" s="192" t="n"/>
      <c r="P12" s="192" t="n"/>
      <c r="Q12" s="192" t="n"/>
    </row>
    <row r="13" ht="15.75" customHeight="1" s="251">
      <c r="A13" s="192" t="n"/>
      <c r="B13" s="199" t="inlineStr">
        <is>
          <t>WACC</t>
        </is>
      </c>
      <c r="C13" s="216">
        <f>C8*(1-C12)+C11*C12</f>
        <v/>
      </c>
      <c r="D13" s="198" t="n"/>
      <c r="E13" s="192" t="n"/>
      <c r="F13" s="192" t="n"/>
      <c r="G13" s="192" t="n"/>
      <c r="H13" s="192" t="n"/>
      <c r="I13" s="192" t="n"/>
      <c r="J13" s="192" t="n"/>
      <c r="K13" s="192" t="n"/>
      <c r="L13" s="192" t="n"/>
      <c r="M13" s="192" t="n"/>
      <c r="N13" s="192" t="n"/>
      <c r="O13" s="192" t="n"/>
      <c r="P13" s="192" t="n"/>
      <c r="Q13" s="192" t="n"/>
    </row>
    <row r="14" ht="15" customHeight="1" s="251">
      <c r="A14" s="192" t="n"/>
      <c r="B14" s="192" t="n"/>
      <c r="C14" s="192" t="n"/>
      <c r="D14" s="198" t="n"/>
      <c r="E14" s="192" t="n"/>
      <c r="F14" s="192" t="n"/>
      <c r="G14" s="192" t="n"/>
      <c r="H14" s="192" t="n"/>
      <c r="I14" s="192" t="n"/>
      <c r="J14" s="192" t="n"/>
      <c r="K14" s="192" t="n"/>
      <c r="L14" s="192" t="n"/>
      <c r="M14" s="192" t="n"/>
      <c r="N14" s="192" t="n"/>
      <c r="O14" s="192" t="n"/>
      <c r="P14" s="192" t="n"/>
      <c r="Q14" s="192" t="n"/>
    </row>
    <row r="15" ht="15.75" customHeight="1" s="251">
      <c r="A15" s="192" t="n"/>
      <c r="B15" s="197" t="inlineStr">
        <is>
          <t>Valuation date (live)</t>
        </is>
      </c>
      <c r="C15" s="172">
        <f>TODAY()</f>
        <v/>
      </c>
      <c r="D15" s="198" t="inlineStr">
        <is>
          <t>Periods = (31-Mar of fiscal year − today) / 365.25; cash flows assumed at fiscal year-end (31 March)</t>
        </is>
      </c>
      <c r="E15" s="192" t="n"/>
      <c r="F15" s="192" t="n"/>
      <c r="G15" s="192" t="n"/>
      <c r="H15" s="192" t="n"/>
      <c r="I15" s="192" t="n"/>
      <c r="J15" s="192" t="n"/>
      <c r="K15" s="192" t="n"/>
      <c r="L15" s="192" t="n"/>
      <c r="M15" s="192" t="n"/>
      <c r="N15" s="192" t="n"/>
      <c r="O15" s="192" t="n"/>
      <c r="P15" s="192" t="n"/>
      <c r="Q15" s="192" t="n"/>
    </row>
    <row r="16" ht="15.75" customHeight="1" s="251">
      <c r="A16" s="192" t="n"/>
      <c r="B16" s="195" t="inlineStr">
        <is>
          <t>2. UNLEVERED FREE CASH FLOW BUILD (USDm)</t>
        </is>
      </c>
      <c r="C16" s="196" t="n"/>
      <c r="D16" s="196" t="n"/>
      <c r="E16" s="196" t="n"/>
      <c r="F16" s="196" t="n"/>
      <c r="G16" s="196" t="n"/>
      <c r="H16" s="196" t="n"/>
      <c r="I16" s="196" t="n"/>
      <c r="J16" s="196" t="n"/>
      <c r="K16" s="196" t="n"/>
      <c r="L16" s="196" t="n"/>
      <c r="M16" s="196" t="n"/>
      <c r="N16" s="196" t="n"/>
      <c r="O16" s="192" t="n"/>
      <c r="P16" s="201" t="n"/>
      <c r="Q16" s="201" t="n"/>
    </row>
    <row r="17" ht="15.75" customHeight="1" s="251">
      <c r="A17" s="192" t="n"/>
      <c r="B17" s="194" t="n"/>
      <c r="C17" s="194" t="n"/>
      <c r="D17" s="203" t="inlineStr">
        <is>
          <t>2027E</t>
        </is>
      </c>
      <c r="E17" s="203" t="inlineStr">
        <is>
          <t>2028E</t>
        </is>
      </c>
      <c r="F17" s="203" t="inlineStr">
        <is>
          <t>2029E</t>
        </is>
      </c>
      <c r="G17" s="203" t="inlineStr">
        <is>
          <t>2030E</t>
        </is>
      </c>
      <c r="H17" s="203" t="inlineStr">
        <is>
          <t>2031E</t>
        </is>
      </c>
      <c r="I17" s="203" t="inlineStr">
        <is>
          <t>2032E</t>
        </is>
      </c>
      <c r="J17" s="203" t="inlineStr">
        <is>
          <t>2033E</t>
        </is>
      </c>
      <c r="K17" s="203" t="inlineStr">
        <is>
          <t>2034E</t>
        </is>
      </c>
      <c r="L17" s="203" t="inlineStr">
        <is>
          <t>2035E</t>
        </is>
      </c>
      <c r="M17" s="203" t="inlineStr">
        <is>
          <t>2036E</t>
        </is>
      </c>
      <c r="N17" s="203" t="inlineStr">
        <is>
          <t>Terminal</t>
        </is>
      </c>
      <c r="O17" s="192" t="n"/>
      <c r="P17" s="204" t="inlineStr">
        <is>
          <t>CAGR 26–30E</t>
        </is>
      </c>
      <c r="Q17" s="204" t="inlineStr">
        <is>
          <t>CAGR 26–35E</t>
        </is>
      </c>
    </row>
    <row r="18" ht="15.75" customHeight="1" s="251">
      <c r="A18" s="192" t="n"/>
      <c r="B18" s="197" t="inlineStr">
        <is>
          <t>Adj. EBIT less acquisition, integration &amp; restructuring costs</t>
        </is>
      </c>
      <c r="C18" s="192" t="n"/>
      <c r="D18" s="173">
        <f>Model!AP238-Model!AP240</f>
        <v/>
      </c>
      <c r="E18" s="173">
        <f>Model!AQ238-Model!AQ240</f>
        <v/>
      </c>
      <c r="F18" s="173">
        <f>Model!AR238-Model!AR240</f>
        <v/>
      </c>
      <c r="G18" s="173">
        <f>Model!AS238-Model!AS240</f>
        <v/>
      </c>
      <c r="H18" s="173">
        <f>Model!AT238-Model!AT240</f>
        <v/>
      </c>
      <c r="I18" s="174">
        <f>H18*(1+I$26)</f>
        <v/>
      </c>
      <c r="J18" s="174">
        <f>I18*(1+J$26)</f>
        <v/>
      </c>
      <c r="K18" s="174">
        <f>J18*(1+K$26)</f>
        <v/>
      </c>
      <c r="L18" s="174">
        <f>K18*(1+L$26)</f>
        <v/>
      </c>
      <c r="M18" s="174">
        <f>L18*(1+M$26)</f>
        <v/>
      </c>
      <c r="N18" s="192" t="n"/>
      <c r="O18" s="192" t="n"/>
      <c r="P18" s="176">
        <f>(H18/D18)^(1/(COLUMNS(D18:H18)-1))-1</f>
        <v/>
      </c>
      <c r="Q18" s="176">
        <f>(M18/D18)^(1/(COLUMNS(D18:M18)-1))-1</f>
        <v/>
      </c>
    </row>
    <row r="19" ht="15.75" customHeight="1" s="251">
      <c r="A19" s="192" t="n"/>
      <c r="B19" s="197" t="inlineStr">
        <is>
          <t>× (1 − tax rate)</t>
        </is>
      </c>
      <c r="C19" s="192" t="n"/>
      <c r="D19" s="177">
        <f>1-$C$10</f>
        <v/>
      </c>
      <c r="E19" s="177">
        <f>1-$C$10</f>
        <v/>
      </c>
      <c r="F19" s="177">
        <f>1-$C$10</f>
        <v/>
      </c>
      <c r="G19" s="177">
        <f>1-$C$10</f>
        <v/>
      </c>
      <c r="H19" s="177">
        <f>1-$C$10</f>
        <v/>
      </c>
      <c r="I19" s="177">
        <f>1-$C$10</f>
        <v/>
      </c>
      <c r="J19" s="177">
        <f>1-$C$10</f>
        <v/>
      </c>
      <c r="K19" s="177">
        <f>1-$C$10</f>
        <v/>
      </c>
      <c r="L19" s="177">
        <f>1-$C$10</f>
        <v/>
      </c>
      <c r="M19" s="177">
        <f>1-$C$10</f>
        <v/>
      </c>
      <c r="N19" s="192" t="n"/>
      <c r="O19" s="192" t="n"/>
      <c r="P19" s="176" t="n"/>
      <c r="Q19" s="176" t="n"/>
    </row>
    <row r="20" ht="15.75" customHeight="1" s="251">
      <c r="A20" s="192" t="n"/>
      <c r="B20" s="199" t="inlineStr">
        <is>
          <t>NOPAT</t>
        </is>
      </c>
      <c r="C20" s="192" t="n"/>
      <c r="D20" s="174">
        <f>D18*D19</f>
        <v/>
      </c>
      <c r="E20" s="174">
        <f>E18*E19</f>
        <v/>
      </c>
      <c r="F20" s="174">
        <f>F18*F19</f>
        <v/>
      </c>
      <c r="G20" s="174">
        <f>G18*G19</f>
        <v/>
      </c>
      <c r="H20" s="174">
        <f>H18*H19</f>
        <v/>
      </c>
      <c r="I20" s="174">
        <f>I18*I19</f>
        <v/>
      </c>
      <c r="J20" s="174">
        <f>J18*J19</f>
        <v/>
      </c>
      <c r="K20" s="174">
        <f>K18*K19</f>
        <v/>
      </c>
      <c r="L20" s="174">
        <f>L18*L19</f>
        <v/>
      </c>
      <c r="M20" s="174">
        <f>M18*M19</f>
        <v/>
      </c>
      <c r="N20" s="192" t="n"/>
      <c r="O20" s="192" t="n"/>
      <c r="P20" s="176" t="n"/>
      <c r="Q20" s="176" t="n"/>
    </row>
    <row r="21" ht="15.75" customHeight="1" s="251">
      <c r="A21" s="192" t="n"/>
      <c r="B21" s="197" t="inlineStr">
        <is>
          <t>plus DD&amp;A (total, incl. acquired-intangible amortization)</t>
        </is>
      </c>
      <c r="C21" s="192" t="n"/>
      <c r="D21" s="173">
        <f>Model!AP182</f>
        <v/>
      </c>
      <c r="E21" s="173">
        <f>Model!AQ182</f>
        <v/>
      </c>
      <c r="F21" s="173">
        <f>Model!AR182</f>
        <v/>
      </c>
      <c r="G21" s="173">
        <f>Model!AS182</f>
        <v/>
      </c>
      <c r="H21" s="173">
        <f>Model!AT182</f>
        <v/>
      </c>
      <c r="I21" s="174">
        <f>H21*(1+I$26)</f>
        <v/>
      </c>
      <c r="J21" s="174">
        <f>I21*(1+J$26)</f>
        <v/>
      </c>
      <c r="K21" s="174">
        <f>J21*(1+K$26)</f>
        <v/>
      </c>
      <c r="L21" s="174">
        <f>K21*(1+L$26)</f>
        <v/>
      </c>
      <c r="M21" s="174">
        <f>L21*(1+M$26)</f>
        <v/>
      </c>
      <c r="N21" s="192" t="n"/>
      <c r="O21" s="192" t="n"/>
      <c r="P21" s="176" t="n"/>
      <c r="Q21" s="176" t="n"/>
    </row>
    <row r="22" ht="15.75" customHeight="1" s="251">
      <c r="A22" s="192" t="n"/>
      <c r="B22" s="197" t="inlineStr">
        <is>
          <t>− Capex (PP&amp;E &amp; intangibles) and acquisitions (tuck-ins; M&amp;A lever 2028E–31E)</t>
        </is>
      </c>
      <c r="C22" s="192" t="n"/>
      <c r="D22" s="173">
        <f>Model!AP294+Model!AP296</f>
        <v/>
      </c>
      <c r="E22" s="173">
        <f>Model!AQ294+Model!AQ296</f>
        <v/>
      </c>
      <c r="F22" s="173">
        <f>Model!AR294+Model!AR296</f>
        <v/>
      </c>
      <c r="G22" s="173">
        <f>Model!AS294+Model!AS296</f>
        <v/>
      </c>
      <c r="H22" s="173">
        <f>Model!AT294+Model!AT296</f>
        <v/>
      </c>
      <c r="I22" s="174">
        <f>Model!AT294*(1+I$26)</f>
        <v/>
      </c>
      <c r="J22" s="174">
        <f>I22*(1+J$26)</f>
        <v/>
      </c>
      <c r="K22" s="174">
        <f>J22*(1+K$26)</f>
        <v/>
      </c>
      <c r="L22" s="174">
        <f>K22*(1+L$26)</f>
        <v/>
      </c>
      <c r="M22" s="174">
        <f>L22*(1+M$26)</f>
        <v/>
      </c>
      <c r="N22" s="192" t="n"/>
      <c r="O22" s="192" t="n"/>
      <c r="P22" s="176" t="n"/>
      <c r="Q22" s="176" t="n"/>
    </row>
    <row r="23" ht="15.75" customHeight="1" s="251">
      <c r="A23" s="192" t="n"/>
      <c r="B23" s="197" t="inlineStr">
        <is>
          <t>− Δ Working capital (CF statement)</t>
        </is>
      </c>
      <c r="C23" s="192" t="n"/>
      <c r="D23" s="173">
        <f>Model!AP292</f>
        <v/>
      </c>
      <c r="E23" s="173">
        <f>Model!AQ292</f>
        <v/>
      </c>
      <c r="F23" s="173">
        <f>Model!AR292</f>
        <v/>
      </c>
      <c r="G23" s="173">
        <f>Model!AS292</f>
        <v/>
      </c>
      <c r="H23" s="173">
        <f>Model!AT292</f>
        <v/>
      </c>
      <c r="I23" s="174">
        <f>H23*(1+I$26)</f>
        <v/>
      </c>
      <c r="J23" s="174">
        <f>I23*(1+J$26)</f>
        <v/>
      </c>
      <c r="K23" s="174">
        <f>J23*(1+K$26)</f>
        <v/>
      </c>
      <c r="L23" s="174">
        <f>K23*(1+L$26)</f>
        <v/>
      </c>
      <c r="M23" s="174">
        <f>L23*(1+M$26)</f>
        <v/>
      </c>
      <c r="N23" s="192" t="n"/>
      <c r="O23" s="192" t="n"/>
      <c r="P23" s="176" t="n"/>
      <c r="Q23" s="176" t="n"/>
    </row>
    <row r="24" ht="15.75" customHeight="1" s="251">
      <c r="A24" s="192" t="n"/>
      <c r="B24" s="217" t="inlineStr">
        <is>
          <t>Unlevered FCF</t>
        </is>
      </c>
      <c r="C24" s="218" t="n"/>
      <c r="D24" s="219">
        <f>D20+D21+D22+D23</f>
        <v/>
      </c>
      <c r="E24" s="219">
        <f>E20+E21+E22+E23</f>
        <v/>
      </c>
      <c r="F24" s="219">
        <f>F20+F21+F22+F23</f>
        <v/>
      </c>
      <c r="G24" s="219">
        <f>G20+G21+G22+G23</f>
        <v/>
      </c>
      <c r="H24" s="219">
        <f>H20+H21+H22+H23</f>
        <v/>
      </c>
      <c r="I24" s="219">
        <f>I20+I21+I22+I23</f>
        <v/>
      </c>
      <c r="J24" s="219">
        <f>J20+J21+J22+J23</f>
        <v/>
      </c>
      <c r="K24" s="219">
        <f>K20+K21+K22+K23</f>
        <v/>
      </c>
      <c r="L24" s="219">
        <f>L20+L21+L22+L23</f>
        <v/>
      </c>
      <c r="M24" s="219">
        <f>M20+M21+M22+M23</f>
        <v/>
      </c>
      <c r="N24" s="219">
        <f>M24*(1+$C$27)</f>
        <v/>
      </c>
      <c r="O24" s="192" t="n"/>
      <c r="P24" s="181">
        <f>(H24/D24)^(1/(COLUMNS(D24:H24)-1))-1</f>
        <v/>
      </c>
      <c r="Q24" s="181">
        <f>(M24/D24)^(1/(COLUMNS(D24:M24)-1))-1</f>
        <v/>
      </c>
    </row>
    <row r="25" ht="15.75" customHeight="1" s="251">
      <c r="A25" s="192" t="n"/>
      <c r="B25" s="199" t="inlineStr">
        <is>
          <t>Terminal Value (Gordon Growth)</t>
        </is>
      </c>
      <c r="C25" s="192" t="n"/>
      <c r="D25" s="192" t="n"/>
      <c r="E25" s="192" t="n"/>
      <c r="F25" s="192" t="n"/>
      <c r="G25" s="192" t="n"/>
      <c r="H25" s="192" t="n"/>
      <c r="I25" s="192" t="n"/>
      <c r="J25" s="192" t="n"/>
      <c r="K25" s="192" t="n"/>
      <c r="L25" s="192" t="n"/>
      <c r="M25" s="192" t="n"/>
      <c r="N25" s="179">
        <f>N24/($C$13-$C$27)</f>
        <v/>
      </c>
      <c r="O25" s="192" t="n"/>
      <c r="P25" s="192" t="n"/>
      <c r="Q25" s="192" t="n"/>
    </row>
    <row r="26" ht="15.75" customHeight="1" s="251">
      <c r="A26" s="192" t="n"/>
      <c r="B26" s="197" t="inlineStr">
        <is>
          <t>Fade-period growth (2032E–36E; 6.0% → 4.5% linear)</t>
        </is>
      </c>
      <c r="C26" s="192" t="n"/>
      <c r="D26" s="192" t="n"/>
      <c r="E26" s="192" t="n"/>
      <c r="F26" s="192" t="n"/>
      <c r="G26" s="192" t="n"/>
      <c r="H26" s="192" t="n"/>
      <c r="I26" s="182" t="n">
        <v>0.06</v>
      </c>
      <c r="J26" s="183">
        <f>I26+($M$26-$I$26)/4</f>
        <v/>
      </c>
      <c r="K26" s="183">
        <f>J26+($M$26-$I$26)/4</f>
        <v/>
      </c>
      <c r="L26" s="183">
        <f>K26+($M$26-$I$26)/4</f>
        <v/>
      </c>
      <c r="M26" s="182" t="n">
        <v>0.045</v>
      </c>
      <c r="N26" s="192" t="n"/>
      <c r="O26" s="192" t="n"/>
      <c r="P26" s="192" t="n"/>
      <c r="Q26" s="192" t="n"/>
    </row>
    <row r="27" ht="15.75" customHeight="1" s="251">
      <c r="A27" s="192" t="n"/>
      <c r="B27" s="197" t="inlineStr">
        <is>
          <t>Terminal growth rate</t>
        </is>
      </c>
      <c r="C27" s="184" t="n">
        <v>0.035</v>
      </c>
      <c r="D27" s="192" t="n"/>
      <c r="E27" s="192" t="n"/>
      <c r="F27" s="192" t="n"/>
      <c r="G27" s="192" t="n"/>
      <c r="H27" s="192" t="n"/>
      <c r="I27" s="192" t="n"/>
      <c r="J27" s="192" t="n"/>
      <c r="K27" s="192" t="n"/>
      <c r="L27" s="192" t="n"/>
      <c r="M27" s="192" t="n"/>
      <c r="N27" s="192" t="n"/>
      <c r="O27" s="192" t="n"/>
      <c r="P27" s="192" t="n"/>
      <c r="Q27" s="192" t="n"/>
    </row>
    <row r="28" ht="15" customHeight="1" s="251">
      <c r="A28" s="192" t="n"/>
      <c r="B28" s="192" t="n"/>
      <c r="C28" s="192" t="n"/>
      <c r="D28" s="192" t="n"/>
      <c r="E28" s="192" t="n"/>
      <c r="F28" s="192" t="n"/>
      <c r="G28" s="192" t="n"/>
      <c r="H28" s="192" t="n"/>
      <c r="I28" s="192" t="n"/>
      <c r="J28" s="192" t="n"/>
      <c r="K28" s="192" t="n"/>
      <c r="L28" s="192" t="n"/>
      <c r="M28" s="192" t="n"/>
      <c r="N28" s="192" t="n"/>
      <c r="O28" s="192" t="n"/>
      <c r="P28" s="192" t="n"/>
      <c r="Q28" s="192" t="n"/>
    </row>
    <row r="29" ht="15.75" customHeight="1" s="251">
      <c r="A29" s="192" t="n"/>
      <c r="B29" s="197" t="inlineStr">
        <is>
          <t>Discount period (years)</t>
        </is>
      </c>
      <c r="C29" s="192" t="n"/>
      <c r="D29" s="177">
        <f>(DATE(2027,3,31)-$C$15)/365.25</f>
        <v/>
      </c>
      <c r="E29" s="177">
        <f>(DATE(2028,3,31)-$C$15)/365.25</f>
        <v/>
      </c>
      <c r="F29" s="177">
        <f>(DATE(2029,3,31)-$C$15)/365.25</f>
        <v/>
      </c>
      <c r="G29" s="177">
        <f>(DATE(2030,3,31)-$C$15)/365.25</f>
        <v/>
      </c>
      <c r="H29" s="177">
        <f>(DATE(2031,3,31)-$C$15)/365.25</f>
        <v/>
      </c>
      <c r="I29" s="177">
        <f>(DATE(2032,3,31)-$C$15)/365.25</f>
        <v/>
      </c>
      <c r="J29" s="177">
        <f>(DATE(2033,3,31)-$C$15)/365.25</f>
        <v/>
      </c>
      <c r="K29" s="177">
        <f>(DATE(2034,3,31)-$C$15)/365.25</f>
        <v/>
      </c>
      <c r="L29" s="177">
        <f>(DATE(2035,3,31)-$C$15)/365.25</f>
        <v/>
      </c>
      <c r="M29" s="177">
        <f>(DATE(2036,3,31)-$C$15)/365.25</f>
        <v/>
      </c>
      <c r="N29" s="177">
        <f>M29</f>
        <v/>
      </c>
      <c r="O29" s="192" t="n"/>
      <c r="P29" s="192" t="n"/>
      <c r="Q29" s="192" t="n"/>
    </row>
    <row r="30" ht="15.75" customHeight="1" s="251">
      <c r="A30" s="192" t="n"/>
      <c r="B30" s="197" t="inlineStr">
        <is>
          <t>Discount factor</t>
        </is>
      </c>
      <c r="C30" s="192" t="n"/>
      <c r="D30" s="185">
        <f>1/(1+$C$13)^D29</f>
        <v/>
      </c>
      <c r="E30" s="185">
        <f>1/(1+$C$13)^E29</f>
        <v/>
      </c>
      <c r="F30" s="185">
        <f>1/(1+$C$13)^F29</f>
        <v/>
      </c>
      <c r="G30" s="185">
        <f>1/(1+$C$13)^G29</f>
        <v/>
      </c>
      <c r="H30" s="185">
        <f>1/(1+$C$13)^H29</f>
        <v/>
      </c>
      <c r="I30" s="185">
        <f>1/(1+$C$13)^I29</f>
        <v/>
      </c>
      <c r="J30" s="185">
        <f>1/(1+$C$13)^J29</f>
        <v/>
      </c>
      <c r="K30" s="185">
        <f>1/(1+$C$13)^K29</f>
        <v/>
      </c>
      <c r="L30" s="185">
        <f>1/(1+$C$13)^L29</f>
        <v/>
      </c>
      <c r="M30" s="185">
        <f>1/(1+$C$13)^M29</f>
        <v/>
      </c>
      <c r="N30" s="185">
        <f>1/(1+$C$13)^N29</f>
        <v/>
      </c>
      <c r="O30" s="192" t="n"/>
      <c r="P30" s="192" t="n"/>
      <c r="Q30" s="192" t="n"/>
    </row>
    <row r="31" ht="15.75" customHeight="1" s="251">
      <c r="A31" s="192" t="n"/>
      <c r="B31" s="220" t="inlineStr">
        <is>
          <t>PV of UFCF</t>
        </is>
      </c>
      <c r="C31" s="221" t="n"/>
      <c r="D31" s="222">
        <f>D24*D30</f>
        <v/>
      </c>
      <c r="E31" s="222">
        <f>E24*E30</f>
        <v/>
      </c>
      <c r="F31" s="222">
        <f>F24*F30</f>
        <v/>
      </c>
      <c r="G31" s="222">
        <f>G24*G30</f>
        <v/>
      </c>
      <c r="H31" s="222">
        <f>H24*H30</f>
        <v/>
      </c>
      <c r="I31" s="222">
        <f>I24*I30</f>
        <v/>
      </c>
      <c r="J31" s="222">
        <f>J24*J30</f>
        <v/>
      </c>
      <c r="K31" s="222">
        <f>K24*K30</f>
        <v/>
      </c>
      <c r="L31" s="222">
        <f>L24*L30</f>
        <v/>
      </c>
      <c r="M31" s="222">
        <f>M24*M30</f>
        <v/>
      </c>
      <c r="N31" s="222">
        <f>N25*N30</f>
        <v/>
      </c>
      <c r="O31" s="192" t="n"/>
      <c r="P31" s="192" t="n"/>
      <c r="Q31" s="192" t="n"/>
    </row>
    <row r="32" ht="15" customHeight="1" s="251">
      <c r="A32" s="192" t="n"/>
      <c r="B32" s="192" t="n"/>
      <c r="C32" s="192" t="n"/>
      <c r="D32" s="198" t="inlineStr">
        <is>
          <t>STERIS's adjusted operating income excludes acquired-intangible amortization (~$262m in FY27E) but expenses share-based compensation; Adjusted EBIT here deducts all D&amp;A (non-cash, added back in row 21). Acquisition &amp; integration and restructuring charges (cash; adjusted out by the company, incl. the FY27–30 North Carolina Center-of-Excellence plan) are deducted inside row 18. Row 22 includes tuck-in acquisitions in FY2027E–31E; the fade period and terminal value assume no new acquisitions. Dental (sold Sep-2024) is excluded throughout (continuing operations).</t>
        </is>
      </c>
      <c r="E32" s="192" t="n"/>
      <c r="F32" s="192" t="n"/>
      <c r="G32" s="192" t="n"/>
      <c r="H32" s="192" t="n"/>
      <c r="I32" s="192" t="n"/>
      <c r="J32" s="192" t="n"/>
      <c r="K32" s="192" t="n"/>
      <c r="L32" s="192" t="n"/>
      <c r="M32" s="192" t="n"/>
      <c r="N32" s="192" t="n"/>
      <c r="O32" s="192" t="n"/>
      <c r="P32" s="192" t="n"/>
      <c r="Q32" s="192" t="n"/>
    </row>
    <row r="33" ht="15.75" customHeight="1" s="251">
      <c r="A33" s="192" t="n"/>
      <c r="B33" s="195" t="inlineStr">
        <is>
          <t>IMPLIED ROIC — invested capital roll-forward (USDm)</t>
        </is>
      </c>
      <c r="C33" s="195" t="n"/>
      <c r="D33" s="195" t="n"/>
      <c r="E33" s="195" t="n"/>
      <c r="F33" s="195" t="n"/>
      <c r="G33" s="195" t="n"/>
      <c r="H33" s="195" t="n"/>
      <c r="I33" s="195" t="n"/>
      <c r="J33" s="195" t="n"/>
      <c r="K33" s="195" t="n"/>
      <c r="L33" s="195" t="n"/>
      <c r="M33" s="195" t="n"/>
      <c r="N33" s="195" t="n"/>
      <c r="O33" s="192" t="n"/>
      <c r="P33" s="192" t="n"/>
      <c r="Q33" s="192" t="n"/>
    </row>
    <row r="34" ht="15.75" customHeight="1" s="251">
      <c r="A34" s="192" t="n"/>
      <c r="B34" s="197" t="inlineStr">
        <is>
          <t>Opening invested capital</t>
        </is>
      </c>
      <c r="C34" s="192" t="n"/>
      <c r="D34" s="173">
        <f>Model!AK421</f>
        <v/>
      </c>
      <c r="E34" s="174">
        <f>D38</f>
        <v/>
      </c>
      <c r="F34" s="174">
        <f>E38</f>
        <v/>
      </c>
      <c r="G34" s="174">
        <f>F38</f>
        <v/>
      </c>
      <c r="H34" s="174">
        <f>G38</f>
        <v/>
      </c>
      <c r="I34" s="174">
        <f>H38</f>
        <v/>
      </c>
      <c r="J34" s="174">
        <f>I38</f>
        <v/>
      </c>
      <c r="K34" s="174">
        <f>J38</f>
        <v/>
      </c>
      <c r="L34" s="174">
        <f>K38</f>
        <v/>
      </c>
      <c r="M34" s="174">
        <f>L38</f>
        <v/>
      </c>
      <c r="N34" s="174" t="n"/>
      <c r="O34" s="192" t="n"/>
      <c r="P34" s="192" t="n"/>
      <c r="Q34" s="192" t="n"/>
    </row>
    <row r="35" ht="15.75" customHeight="1" s="251">
      <c r="A35" s="192" t="n"/>
      <c r="B35" s="197" t="inlineStr">
        <is>
          <t>plus Capex and acquisitions</t>
        </is>
      </c>
      <c r="C35" s="192" t="n"/>
      <c r="D35" s="174">
        <f>-D22</f>
        <v/>
      </c>
      <c r="E35" s="174">
        <f>-E22</f>
        <v/>
      </c>
      <c r="F35" s="174">
        <f>-F22</f>
        <v/>
      </c>
      <c r="G35" s="174">
        <f>-G22</f>
        <v/>
      </c>
      <c r="H35" s="174">
        <f>-H22</f>
        <v/>
      </c>
      <c r="I35" s="174">
        <f>-I22</f>
        <v/>
      </c>
      <c r="J35" s="174">
        <f>-J22</f>
        <v/>
      </c>
      <c r="K35" s="174">
        <f>-K22</f>
        <v/>
      </c>
      <c r="L35" s="174">
        <f>-L22</f>
        <v/>
      </c>
      <c r="M35" s="174">
        <f>-M22</f>
        <v/>
      </c>
      <c r="N35" s="174" t="n"/>
      <c r="O35" s="192" t="n"/>
      <c r="P35" s="192" t="n"/>
      <c r="Q35" s="192" t="n"/>
    </row>
    <row r="36" ht="15.75" customHeight="1" s="251">
      <c r="A36" s="192" t="n"/>
      <c r="B36" s="197" t="inlineStr">
        <is>
          <t>less DD&amp;A</t>
        </is>
      </c>
      <c r="C36" s="192" t="n"/>
      <c r="D36" s="174">
        <f>-D21</f>
        <v/>
      </c>
      <c r="E36" s="174">
        <f>-E21</f>
        <v/>
      </c>
      <c r="F36" s="174">
        <f>-F21</f>
        <v/>
      </c>
      <c r="G36" s="174">
        <f>-G21</f>
        <v/>
      </c>
      <c r="H36" s="174">
        <f>-H21</f>
        <v/>
      </c>
      <c r="I36" s="174">
        <f>-I21</f>
        <v/>
      </c>
      <c r="J36" s="174">
        <f>-J21</f>
        <v/>
      </c>
      <c r="K36" s="174">
        <f>-K21</f>
        <v/>
      </c>
      <c r="L36" s="174">
        <f>-L21</f>
        <v/>
      </c>
      <c r="M36" s="174">
        <f>-M21</f>
        <v/>
      </c>
      <c r="N36" s="174" t="n"/>
      <c r="O36" s="192" t="n"/>
      <c r="P36" s="192" t="n"/>
      <c r="Q36" s="192" t="n"/>
    </row>
    <row r="37" ht="15.75" customHeight="1" s="251">
      <c r="A37" s="192" t="n"/>
      <c r="B37" s="197" t="inlineStr">
        <is>
          <t>plus Δ Working capital investment</t>
        </is>
      </c>
      <c r="C37" s="192" t="n"/>
      <c r="D37" s="174">
        <f>-D23</f>
        <v/>
      </c>
      <c r="E37" s="174">
        <f>-E23</f>
        <v/>
      </c>
      <c r="F37" s="174">
        <f>-F23</f>
        <v/>
      </c>
      <c r="G37" s="174">
        <f>-G23</f>
        <v/>
      </c>
      <c r="H37" s="174">
        <f>-H23</f>
        <v/>
      </c>
      <c r="I37" s="174">
        <f>-I23</f>
        <v/>
      </c>
      <c r="J37" s="174">
        <f>-J23</f>
        <v/>
      </c>
      <c r="K37" s="174">
        <f>-K23</f>
        <v/>
      </c>
      <c r="L37" s="174">
        <f>-L23</f>
        <v/>
      </c>
      <c r="M37" s="174">
        <f>-M23</f>
        <v/>
      </c>
      <c r="N37" s="174" t="n"/>
      <c r="O37" s="192" t="n"/>
      <c r="P37" s="192" t="n"/>
      <c r="Q37" s="192" t="n"/>
    </row>
    <row r="38" ht="15.75" customHeight="1" s="251">
      <c r="A38" s="192" t="n"/>
      <c r="B38" s="223" t="inlineStr">
        <is>
          <t>Closing invested capital</t>
        </is>
      </c>
      <c r="C38" s="223" t="n"/>
      <c r="D38" s="224">
        <f>SUM(D34:D37)</f>
        <v/>
      </c>
      <c r="E38" s="224">
        <f>SUM(E34:E37)</f>
        <v/>
      </c>
      <c r="F38" s="224">
        <f>SUM(F34:F37)</f>
        <v/>
      </c>
      <c r="G38" s="224">
        <f>SUM(G34:G37)</f>
        <v/>
      </c>
      <c r="H38" s="224">
        <f>SUM(H34:H37)</f>
        <v/>
      </c>
      <c r="I38" s="224">
        <f>SUM(I34:I37)</f>
        <v/>
      </c>
      <c r="J38" s="224">
        <f>SUM(J34:J37)</f>
        <v/>
      </c>
      <c r="K38" s="224">
        <f>SUM(K34:K37)</f>
        <v/>
      </c>
      <c r="L38" s="224">
        <f>SUM(L34:L37)</f>
        <v/>
      </c>
      <c r="M38" s="224">
        <f>SUM(M34:M37)</f>
        <v/>
      </c>
      <c r="N38" s="178" t="n"/>
      <c r="O38" s="192" t="n"/>
      <c r="P38" s="192" t="n"/>
      <c r="Q38" s="192" t="n"/>
    </row>
    <row r="39" ht="15.75" customHeight="1" s="251">
      <c r="A39" s="192" t="n"/>
      <c r="B39" s="197" t="inlineStr">
        <is>
          <t>NOPAT (row 20)</t>
        </is>
      </c>
      <c r="C39" s="192" t="n"/>
      <c r="D39" s="174">
        <f>D20</f>
        <v/>
      </c>
      <c r="E39" s="174">
        <f>E20</f>
        <v/>
      </c>
      <c r="F39" s="174">
        <f>F20</f>
        <v/>
      </c>
      <c r="G39" s="174">
        <f>G20</f>
        <v/>
      </c>
      <c r="H39" s="174">
        <f>H20</f>
        <v/>
      </c>
      <c r="I39" s="174">
        <f>I20</f>
        <v/>
      </c>
      <c r="J39" s="174">
        <f>J20</f>
        <v/>
      </c>
      <c r="K39" s="174">
        <f>K20</f>
        <v/>
      </c>
      <c r="L39" s="174">
        <f>L20</f>
        <v/>
      </c>
      <c r="M39" s="174">
        <f>M20</f>
        <v/>
      </c>
      <c r="N39" s="174" t="n"/>
      <c r="O39" s="192" t="n"/>
      <c r="P39" s="192" t="n"/>
      <c r="Q39" s="192" t="n"/>
    </row>
    <row r="40" ht="15.75" customHeight="1" s="251">
      <c r="A40" s="192" t="n"/>
      <c r="B40" s="200" t="inlineStr">
        <is>
          <t>Implied ROIC (NOPAT / avg. invested capital)</t>
        </is>
      </c>
      <c r="C40" s="200" t="n"/>
      <c r="D40" s="180">
        <f>IFERROR(D39/AVERAGE(D34,D38),"")</f>
        <v/>
      </c>
      <c r="E40" s="180">
        <f>IFERROR(E39/AVERAGE(E34,E38),"")</f>
        <v/>
      </c>
      <c r="F40" s="180">
        <f>IFERROR(F39/AVERAGE(F34,F38),"")</f>
        <v/>
      </c>
      <c r="G40" s="180">
        <f>IFERROR(G39/AVERAGE(G34,G38),"")</f>
        <v/>
      </c>
      <c r="H40" s="180">
        <f>IFERROR(H39/AVERAGE(H34,H38),"")</f>
        <v/>
      </c>
      <c r="I40" s="180">
        <f>IFERROR(I39/AVERAGE(I34,I38),"")</f>
        <v/>
      </c>
      <c r="J40" s="180">
        <f>IFERROR(J39/AVERAGE(J34,J38),"")</f>
        <v/>
      </c>
      <c r="K40" s="180">
        <f>IFERROR(K39/AVERAGE(K34,K38),"")</f>
        <v/>
      </c>
      <c r="L40" s="180">
        <f>IFERROR(L39/AVERAGE(L34,L38),"")</f>
        <v/>
      </c>
      <c r="M40" s="180">
        <f>IFERROR(M39/AVERAGE(M34,M38),"")</f>
        <v/>
      </c>
      <c r="N40" s="180" t="n"/>
      <c r="O40" s="192" t="n"/>
      <c r="P40" s="192" t="n"/>
      <c r="Q40" s="192" t="n"/>
    </row>
    <row r="41" ht="15.75" customHeight="1" s="251">
      <c r="A41" s="192" t="n"/>
      <c r="B41" s="197" t="inlineStr">
        <is>
          <t>Reinvestment rate (net investment / NOPAT)</t>
        </is>
      </c>
      <c r="C41" s="192" t="n"/>
      <c r="D41" s="175">
        <f>IFERROR(SUM(D35:D37)/D39,"")</f>
        <v/>
      </c>
      <c r="E41" s="175">
        <f>IFERROR(SUM(E35:E37)/E39,"")</f>
        <v/>
      </c>
      <c r="F41" s="175">
        <f>IFERROR(SUM(F35:F37)/F39,"")</f>
        <v/>
      </c>
      <c r="G41" s="175">
        <f>IFERROR(SUM(G35:G37)/G39,"")</f>
        <v/>
      </c>
      <c r="H41" s="175">
        <f>IFERROR(SUM(H35:H37)/H39,"")</f>
        <v/>
      </c>
      <c r="I41" s="175">
        <f>IFERROR(SUM(I35:I37)/I39,"")</f>
        <v/>
      </c>
      <c r="J41" s="175">
        <f>IFERROR(SUM(J35:J37)/J39,"")</f>
        <v/>
      </c>
      <c r="K41" s="175">
        <f>IFERROR(SUM(K35:K37)/K39,"")</f>
        <v/>
      </c>
      <c r="L41" s="175">
        <f>IFERROR(SUM(L35:L37)/L39,"")</f>
        <v/>
      </c>
      <c r="M41" s="175">
        <f>IFERROR(SUM(M35:M37)/M39,"")</f>
        <v/>
      </c>
      <c r="N41" s="175" t="n"/>
      <c r="O41" s="192" t="n"/>
      <c r="P41" s="192" t="n"/>
      <c r="Q41" s="192" t="n"/>
    </row>
    <row r="42" ht="15.75" customHeight="1" s="251">
      <c r="A42" s="192" t="n"/>
      <c r="B42" s="197" t="inlineStr">
        <is>
          <t>Implied terminal RONIC (g / reinvestment rate)</t>
        </is>
      </c>
      <c r="C42" s="192" t="n"/>
      <c r="D42" s="175" t="n"/>
      <c r="E42" s="175" t="n"/>
      <c r="F42" s="175" t="n"/>
      <c r="G42" s="175" t="n"/>
      <c r="H42" s="175" t="n"/>
      <c r="I42" s="175" t="n"/>
      <c r="J42" s="175" t="n"/>
      <c r="K42" s="175" t="n"/>
      <c r="L42" s="175" t="n"/>
      <c r="M42" s="175" t="n"/>
      <c r="N42" s="175">
        <f>IFERROR($C$27/M41,"")</f>
        <v/>
      </c>
      <c r="O42" s="192" t="n"/>
      <c r="P42" s="192" t="n"/>
      <c r="Q42" s="192" t="n"/>
    </row>
    <row r="43" ht="15" customHeight="1" s="251">
      <c r="A43" s="192" t="n"/>
      <c r="B43" s="192" t="n"/>
      <c r="C43" s="192" t="n"/>
      <c r="D43" s="198" t="inlineStr">
        <is>
          <t>Opening IC = Model FY2026A book IC (total equity incl. NCI + net debt), rolled forward with capex + M&amp;A − DD&amp;A + ΔWC.</t>
        </is>
      </c>
      <c r="E43" s="192" t="n"/>
      <c r="F43" s="192" t="n"/>
      <c r="G43" s="192" t="n"/>
      <c r="H43" s="192" t="n"/>
      <c r="I43" s="192" t="n"/>
      <c r="J43" s="192" t="n"/>
      <c r="K43" s="192" t="n"/>
      <c r="L43" s="192" t="n"/>
      <c r="M43" s="192" t="n"/>
      <c r="N43" s="192" t="n"/>
      <c r="O43" s="192" t="n"/>
      <c r="P43" s="192" t="n"/>
      <c r="Q43" s="192" t="n"/>
    </row>
    <row r="44" ht="15.75" customHeight="1" s="251">
      <c r="A44" s="192" t="n"/>
      <c r="B44" s="195" t="inlineStr">
        <is>
          <t>3. VALUATION SUMMARY</t>
        </is>
      </c>
      <c r="C44" s="196" t="n"/>
      <c r="D44" s="196" t="n"/>
      <c r="E44" s="196" t="n"/>
      <c r="F44" s="196" t="n"/>
      <c r="G44" s="196" t="n"/>
      <c r="H44" s="196" t="n"/>
      <c r="I44" s="196" t="n"/>
      <c r="J44" s="196" t="n"/>
      <c r="K44" s="196" t="n"/>
      <c r="L44" s="196" t="n"/>
      <c r="M44" s="196" t="n"/>
      <c r="N44" s="196" t="n"/>
      <c r="O44" s="192" t="n"/>
      <c r="P44" s="192" t="n"/>
      <c r="Q44" s="192" t="n"/>
    </row>
    <row r="45" ht="15.75" customHeight="1" s="251">
      <c r="A45" s="192" t="n"/>
      <c r="B45" s="197" t="inlineStr">
        <is>
          <t>Sum of PV (explicit + fade)</t>
        </is>
      </c>
      <c r="C45" s="174">
        <f>SUM(D31:M31)</f>
        <v/>
      </c>
      <c r="D45" s="192" t="n"/>
      <c r="E45" s="192" t="n"/>
      <c r="F45" s="192" t="n"/>
      <c r="G45" s="192" t="n"/>
      <c r="H45" s="192" t="n"/>
      <c r="I45" s="192" t="n"/>
      <c r="J45" s="192" t="n"/>
      <c r="K45" s="192" t="n"/>
      <c r="L45" s="192" t="n"/>
      <c r="M45" s="192" t="n"/>
      <c r="N45" s="192" t="n"/>
      <c r="O45" s="192" t="n"/>
      <c r="P45" s="192" t="n"/>
      <c r="Q45" s="192" t="n"/>
    </row>
    <row r="46" ht="15.75" customHeight="1" s="251">
      <c r="A46" s="192" t="n"/>
      <c r="B46" s="197" t="inlineStr">
        <is>
          <t>PV of Terminal Value</t>
        </is>
      </c>
      <c r="C46" s="174">
        <f>N31</f>
        <v/>
      </c>
      <c r="D46" s="192" t="n"/>
      <c r="E46" s="192" t="n"/>
      <c r="F46" s="192" t="n"/>
      <c r="G46" s="192" t="n"/>
      <c r="H46" s="192" t="n"/>
      <c r="I46" s="192" t="n"/>
      <c r="J46" s="192" t="n"/>
      <c r="K46" s="192" t="n"/>
      <c r="L46" s="192" t="n"/>
      <c r="M46" s="192" t="n"/>
      <c r="N46" s="192" t="n"/>
      <c r="O46" s="192" t="n"/>
      <c r="P46" s="192" t="n"/>
      <c r="Q46" s="192" t="n"/>
    </row>
    <row r="47" ht="15.75" customHeight="1" s="251">
      <c r="A47" s="192" t="n"/>
      <c r="B47" s="199" t="inlineStr">
        <is>
          <t>Enterprise Value</t>
        </is>
      </c>
      <c r="C47" s="219">
        <f>C45+C46</f>
        <v/>
      </c>
      <c r="D47" s="192" t="n"/>
      <c r="E47" s="192" t="n"/>
      <c r="F47" s="192" t="n"/>
      <c r="G47" s="192" t="n"/>
      <c r="H47" s="192" t="n"/>
      <c r="I47" s="192" t="n"/>
      <c r="J47" s="192" t="n"/>
      <c r="K47" s="192" t="n"/>
      <c r="L47" s="192" t="n"/>
      <c r="M47" s="192" t="n"/>
      <c r="N47" s="192" t="n"/>
      <c r="O47" s="192" t="n"/>
      <c r="P47" s="192" t="n"/>
      <c r="Q47" s="192" t="n"/>
    </row>
    <row r="48" ht="15.75" customHeight="1" s="251">
      <c r="A48" s="192" t="n"/>
      <c r="B48" s="197" t="inlineStr">
        <is>
          <t>Less: Net debt + NCI (Model FY2027E year end, 31-Mar-2027)</t>
        </is>
      </c>
      <c r="C48" s="173">
        <f>Model!AP441+Model!AP357</f>
        <v/>
      </c>
      <c r="D48" s="198" t="inlineStr">
        <is>
          <t>STE: noncontrolling interests (~$14m) deducted alongside net debt.</t>
        </is>
      </c>
      <c r="E48" s="192" t="n"/>
      <c r="F48" s="192" t="n"/>
      <c r="G48" s="192" t="n"/>
      <c r="H48" s="192" t="n"/>
      <c r="I48" s="192" t="n"/>
      <c r="J48" s="192" t="n"/>
      <c r="K48" s="192" t="n"/>
      <c r="L48" s="192" t="n"/>
      <c r="M48" s="192" t="n"/>
      <c r="N48" s="192" t="n"/>
      <c r="O48" s="192" t="n"/>
      <c r="P48" s="192" t="n"/>
      <c r="Q48" s="192" t="n"/>
    </row>
    <row r="49" ht="15.75" customHeight="1" s="251">
      <c r="A49" s="192" t="n"/>
      <c r="B49" s="199" t="inlineStr">
        <is>
          <t>Equity Value</t>
        </is>
      </c>
      <c r="C49" s="178">
        <f>C47-C48</f>
        <v/>
      </c>
      <c r="D49" s="192" t="n"/>
      <c r="E49" s="192" t="n"/>
      <c r="F49" s="192" t="n"/>
      <c r="G49" s="192" t="n"/>
      <c r="H49" s="192" t="n"/>
      <c r="I49" s="192" t="n"/>
      <c r="J49" s="192" t="n"/>
      <c r="K49" s="192" t="n"/>
      <c r="L49" s="192" t="n"/>
      <c r="M49" s="192" t="n"/>
      <c r="N49" s="192" t="n"/>
      <c r="O49" s="192" t="n"/>
      <c r="P49" s="192" t="n"/>
      <c r="Q49" s="192" t="n"/>
    </row>
    <row r="50" ht="15.75" customHeight="1" s="251">
      <c r="A50" s="192" t="n"/>
      <c r="B50" s="197" t="inlineStr">
        <is>
          <t>Diluted shares (m, Model FY2027E period end)</t>
        </is>
      </c>
      <c r="C50" s="186">
        <f>Model!AP447</f>
        <v/>
      </c>
      <c r="D50" s="192" t="n"/>
      <c r="E50" s="192" t="n"/>
      <c r="F50" s="192" t="n"/>
      <c r="G50" s="192" t="n"/>
      <c r="H50" s="192" t="n"/>
      <c r="I50" s="192" t="n"/>
      <c r="J50" s="192" t="n"/>
      <c r="K50" s="192" t="n"/>
      <c r="L50" s="192" t="n"/>
      <c r="M50" s="192" t="n"/>
      <c r="N50" s="192" t="n"/>
      <c r="O50" s="192" t="n"/>
      <c r="P50" s="192" t="n"/>
      <c r="Q50" s="192" t="n"/>
    </row>
    <row r="51" ht="15.75" customHeight="1" s="251">
      <c r="A51" s="192" t="n"/>
      <c r="B51" s="199" t="inlineStr">
        <is>
          <t>Implied share price ($)</t>
        </is>
      </c>
      <c r="C51" s="187">
        <f>C49/C50</f>
        <v/>
      </c>
      <c r="D51" s="192" t="n"/>
      <c r="E51" s="192" t="n"/>
      <c r="F51" s="192" t="n"/>
      <c r="G51" s="192" t="n"/>
      <c r="H51" s="192" t="n"/>
      <c r="I51" s="192" t="n"/>
      <c r="J51" s="192" t="n"/>
      <c r="K51" s="192" t="n"/>
      <c r="L51" s="192" t="n"/>
      <c r="M51" s="192" t="n"/>
      <c r="N51" s="192" t="n"/>
      <c r="O51" s="192" t="n"/>
      <c r="P51" s="192" t="n"/>
      <c r="Q51" s="192" t="n"/>
    </row>
    <row r="52" ht="15.75" customHeight="1" s="251">
      <c r="A52" s="192" t="n"/>
      <c r="B52" s="197" t="inlineStr">
        <is>
          <t>Current share price ($)</t>
        </is>
      </c>
      <c r="C52" s="188">
        <f>Model!AP446</f>
        <v/>
      </c>
      <c r="D52" s="192" t="n"/>
      <c r="E52" s="192" t="n"/>
      <c r="F52" s="192" t="n"/>
      <c r="G52" s="192" t="n"/>
      <c r="H52" s="192" t="n"/>
      <c r="I52" s="192" t="n"/>
      <c r="J52" s="192" t="n"/>
      <c r="K52" s="192" t="n"/>
      <c r="L52" s="192" t="n"/>
      <c r="M52" s="192" t="n"/>
      <c r="N52" s="192" t="n"/>
      <c r="O52" s="192" t="n"/>
      <c r="P52" s="192" t="n"/>
      <c r="Q52" s="192" t="n"/>
    </row>
    <row r="53" ht="15.75" customHeight="1" s="251">
      <c r="A53" s="192" t="n"/>
      <c r="B53" s="199" t="inlineStr">
        <is>
          <t>Implied upside / (downside)</t>
        </is>
      </c>
      <c r="C53" s="189">
        <f>C51/C52-1</f>
        <v/>
      </c>
      <c r="D53" s="192" t="n"/>
      <c r="E53" s="192" t="n"/>
      <c r="F53" s="192" t="n"/>
      <c r="G53" s="192" t="n"/>
      <c r="H53" s="192" t="n"/>
      <c r="I53" s="192" t="n"/>
      <c r="J53" s="192" t="n"/>
      <c r="K53" s="192" t="n"/>
      <c r="L53" s="192" t="n"/>
      <c r="M53" s="192" t="n"/>
      <c r="N53" s="192" t="n"/>
      <c r="O53" s="192" t="n"/>
      <c r="P53" s="192" t="n"/>
      <c r="Q53" s="192" t="n"/>
    </row>
    <row r="54" ht="15.75" customHeight="1" s="251">
      <c r="A54" s="192" t="n"/>
      <c r="B54" s="197" t="inlineStr">
        <is>
          <t>Required discount to DCF value for target IRR</t>
        </is>
      </c>
      <c r="C54" s="175">
        <f>1-((1+C13)/(1+H54))^H55</f>
        <v/>
      </c>
      <c r="D54" s="205" t="inlineStr">
        <is>
          <t>vs. current</t>
        </is>
      </c>
      <c r="E54" s="237" t="inlineStr">
        <is>
          <t>Target IRR</t>
        </is>
      </c>
      <c r="F54" s="192" t="n"/>
      <c r="G54" s="192" t="n"/>
      <c r="H54" s="182" t="n">
        <v>0.15</v>
      </c>
      <c r="I54" s="192" t="n"/>
      <c r="J54" s="192" t="n"/>
      <c r="K54" s="192" t="n"/>
      <c r="L54" s="192" t="n"/>
      <c r="M54" s="192" t="n"/>
      <c r="N54" s="192" t="n"/>
      <c r="O54" s="192" t="n"/>
      <c r="P54" s="192" t="n"/>
      <c r="Q54" s="192" t="n"/>
    </row>
    <row r="55" ht="15.75" customHeight="1" s="251">
      <c r="A55" s="192" t="n"/>
      <c r="B55" s="199" t="inlineStr">
        <is>
          <t>Max entry price for target IRR ($)</t>
        </is>
      </c>
      <c r="C55" s="190">
        <f>C51*(1-C54)</f>
        <v/>
      </c>
      <c r="D55" s="175">
        <f>C55/C52-1</f>
        <v/>
      </c>
      <c r="E55" s="237" t="inlineStr">
        <is>
          <t>Years for discount to close</t>
        </is>
      </c>
      <c r="F55" s="192" t="n"/>
      <c r="G55" s="192" t="n"/>
      <c r="H55" s="191" t="n">
        <v>3</v>
      </c>
      <c r="I55" s="192" t="n"/>
      <c r="J55" s="192" t="n"/>
      <c r="K55" s="192" t="n"/>
      <c r="L55" s="192" t="n"/>
      <c r="M55" s="192" t="n"/>
      <c r="N55" s="192" t="n"/>
      <c r="O55" s="192" t="n"/>
      <c r="P55" s="192" t="n"/>
      <c r="Q55" s="192" t="n"/>
    </row>
    <row r="56" ht="15" customHeight="1" s="251">
      <c r="A56" s="192" t="n"/>
      <c r="B56" s="192" t="n"/>
      <c r="C56" s="192" t="n"/>
      <c r="D56" s="192" t="n"/>
      <c r="E56" s="192" t="n"/>
      <c r="F56" s="192" t="n"/>
      <c r="G56" s="192" t="n"/>
      <c r="H56" s="192" t="n"/>
      <c r="I56" s="192" t="n"/>
      <c r="J56" s="192" t="n"/>
      <c r="K56" s="192" t="n"/>
      <c r="L56" s="192" t="n"/>
      <c r="M56" s="192" t="n"/>
      <c r="N56" s="192" t="n"/>
      <c r="O56" s="192" t="n"/>
      <c r="P56" s="192" t="n"/>
      <c r="Q56" s="192" t="n"/>
    </row>
    <row r="57" ht="15" customHeight="1" s="251">
      <c r="A57" s="192" t="n"/>
      <c r="B57" s="192" t="n"/>
      <c r="C57" s="192" t="n"/>
      <c r="D57" s="192" t="n"/>
      <c r="E57" s="192" t="n"/>
      <c r="F57" s="192" t="n"/>
      <c r="G57" s="192" t="n"/>
      <c r="H57" s="192" t="n"/>
      <c r="I57" s="192" t="n"/>
      <c r="J57" s="192" t="n"/>
      <c r="K57" s="192" t="n"/>
      <c r="L57" s="192" t="n"/>
      <c r="M57" s="192" t="n"/>
      <c r="N57" s="192" t="n"/>
      <c r="O57" s="192" t="n"/>
      <c r="P57" s="192" t="n"/>
      <c r="Q57" s="192" t="n"/>
    </row>
    <row r="58" ht="15.75" customHeight="1" s="251">
      <c r="A58" s="192" t="n"/>
      <c r="B58" s="195" t="inlineStr">
        <is>
          <t>4. SENSITIVITY: IMPLIED PRICE ($) — WACC × Terminal Growth</t>
        </is>
      </c>
      <c r="C58" s="196" t="n"/>
      <c r="D58" s="196" t="n"/>
      <c r="E58" s="196" t="n"/>
      <c r="F58" s="196" t="n"/>
      <c r="G58" s="196" t="n"/>
      <c r="H58" s="196" t="n"/>
      <c r="I58" s="196" t="n"/>
      <c r="J58" s="196" t="n"/>
      <c r="K58" s="196" t="n"/>
      <c r="L58" s="196" t="n"/>
      <c r="M58" s="196" t="n"/>
      <c r="N58" s="196" t="n"/>
      <c r="O58" s="192" t="n"/>
      <c r="P58" s="192" t="n"/>
      <c r="Q58" s="192" t="n"/>
    </row>
    <row r="59" ht="15" customHeight="1" s="251">
      <c r="A59" s="192" t="n"/>
      <c r="B59" s="192" t="n"/>
      <c r="C59" s="192" t="n"/>
      <c r="D59" s="192" t="n"/>
      <c r="E59" s="192" t="n"/>
      <c r="F59" s="192" t="n"/>
      <c r="G59" s="192" t="n"/>
      <c r="H59" s="192" t="n"/>
      <c r="I59" s="192" t="n"/>
      <c r="J59" s="192" t="n"/>
      <c r="K59" s="192" t="n"/>
      <c r="L59" s="192" t="n"/>
      <c r="M59" s="192" t="n"/>
      <c r="N59" s="192" t="n"/>
      <c r="O59" s="192" t="n"/>
      <c r="P59" s="192" t="n"/>
      <c r="Q59" s="192" t="n"/>
    </row>
    <row r="60" ht="15.75" customHeight="1" s="251">
      <c r="A60" s="192" t="n"/>
      <c r="B60" s="199" t="n"/>
      <c r="C60" s="192" t="n"/>
      <c r="D60" s="206" t="inlineStr">
        <is>
          <t>WACC →</t>
        </is>
      </c>
      <c r="E60" s="206" t="n"/>
      <c r="F60" s="206" t="n"/>
      <c r="G60" s="206" t="n"/>
      <c r="H60" s="206" t="n"/>
      <c r="I60" s="192" t="n"/>
      <c r="J60" s="192" t="n"/>
      <c r="K60" s="192" t="n"/>
      <c r="L60" s="192" t="n"/>
      <c r="M60" s="192" t="n"/>
      <c r="N60" s="192" t="n"/>
      <c r="O60" s="192" t="n"/>
      <c r="P60" s="192" t="n"/>
      <c r="Q60" s="192" t="n"/>
    </row>
    <row r="61" ht="15.75" customHeight="1" s="251">
      <c r="A61" s="192" t="n"/>
      <c r="B61" s="231" t="inlineStr">
        <is>
          <t>Terminal growth ↓</t>
        </is>
      </c>
      <c r="C61" s="227" t="n"/>
      <c r="D61" s="228">
        <f>F61-0.01</f>
        <v/>
      </c>
      <c r="E61" s="228">
        <f>F61-0.005</f>
        <v/>
      </c>
      <c r="F61" s="228">
        <f>$C$13</f>
        <v/>
      </c>
      <c r="G61" s="228">
        <f>F61+0.005</f>
        <v/>
      </c>
      <c r="H61" s="234">
        <f>F61+0.01</f>
        <v/>
      </c>
      <c r="I61" s="192" t="n"/>
      <c r="J61" s="192" t="n"/>
      <c r="K61" s="192" t="n"/>
      <c r="L61" s="192" t="n"/>
      <c r="M61" s="192" t="n"/>
      <c r="N61" s="192" t="n"/>
      <c r="O61" s="192" t="n"/>
      <c r="P61" s="192" t="n"/>
      <c r="Q61" s="192" t="n"/>
    </row>
    <row r="62" ht="15.75" customHeight="1" s="251">
      <c r="A62" s="192" t="n"/>
      <c r="B62" s="232">
        <f>B64-0.01</f>
        <v/>
      </c>
      <c r="C62" s="192" t="n"/>
      <c r="D62" s="225">
        <f t="array" ref="D62">IFERROR((SUMPRODUCT($D$24:$M$24/(1+D$61)^$D$29:$M$29)+($M$24*(1+$B62)/(D$61-$B62))/(1+D$61)^$M$29-$C$48)/$C$50,"")</f>
        <v/>
      </c>
      <c r="E62" s="225">
        <f t="array" ref="E62">IFERROR((SUMPRODUCT($D$24:$M$24/(1+E$61)^$D$29:$M$29)+($M$24*(1+$B62)/(E$61-$B62))/(1+E$61)^$M$29-$C$48)/$C$50,"")</f>
        <v/>
      </c>
      <c r="F62" s="225">
        <f t="array" ref="F62">IFERROR((SUMPRODUCT($D$24:$M$24/(1+F$61)^$D$29:$M$29)+($M$24*(1+$B62)/(F$61-$B62))/(1+F$61)^$M$29-$C$48)/$C$50,"")</f>
        <v/>
      </c>
      <c r="G62" s="225">
        <f t="array" ref="G62">IFERROR((SUMPRODUCT($D$24:$M$24/(1+G$61)^$D$29:$M$29)+($M$24*(1+$B62)/(G$61-$B62))/(1+G$61)^$M$29-$C$48)/$C$50,"")</f>
        <v/>
      </c>
      <c r="H62" s="235">
        <f t="array" ref="H62">IFERROR((SUMPRODUCT($D$24:$M$24/(1+H$61)^$D$29:$M$29)+($M$24*(1+$B62)/(H$61-$B62))/(1+H$61)^$M$29-$C$48)/$C$50,"")</f>
        <v/>
      </c>
      <c r="I62" s="192" t="n"/>
      <c r="J62" s="192" t="n"/>
      <c r="K62" s="192" t="n"/>
      <c r="L62" s="192" t="n"/>
      <c r="M62" s="192" t="n"/>
      <c r="N62" s="192" t="n"/>
      <c r="O62" s="192" t="n"/>
      <c r="P62" s="192" t="n"/>
      <c r="Q62" s="192" t="n"/>
    </row>
    <row r="63" ht="15.75" customHeight="1" s="251">
      <c r="A63" s="192" t="n"/>
      <c r="B63" s="232">
        <f>B64-0.005</f>
        <v/>
      </c>
      <c r="C63" s="192" t="n"/>
      <c r="D63" s="225">
        <f t="array" ref="D63">IFERROR((SUMPRODUCT($D$24:$M$24/(1+D$61)^$D$29:$M$29)+($M$24*(1+$B63)/(D$61-$B63))/(1+D$61)^$M$29-$C$48)/$C$50,"")</f>
        <v/>
      </c>
      <c r="E63" s="225">
        <f t="array" ref="E63">IFERROR((SUMPRODUCT($D$24:$M$24/(1+E$61)^$D$29:$M$29)+($M$24*(1+$B63)/(E$61-$B63))/(1+E$61)^$M$29-$C$48)/$C$50,"")</f>
        <v/>
      </c>
      <c r="F63" s="225">
        <f t="array" ref="F63">IFERROR((SUMPRODUCT($D$24:$M$24/(1+F$61)^$D$29:$M$29)+($M$24*(1+$B63)/(F$61-$B63))/(1+F$61)^$M$29-$C$48)/$C$50,"")</f>
        <v/>
      </c>
      <c r="G63" s="225">
        <f t="array" ref="G63">IFERROR((SUMPRODUCT($D$24:$M$24/(1+G$61)^$D$29:$M$29)+($M$24*(1+$B63)/(G$61-$B63))/(1+G$61)^$M$29-$C$48)/$C$50,"")</f>
        <v/>
      </c>
      <c r="H63" s="235">
        <f t="array" ref="H63">IFERROR((SUMPRODUCT($D$24:$M$24/(1+H$61)^$D$29:$M$29)+($M$24*(1+$B63)/(H$61-$B63))/(1+H$61)^$M$29-$C$48)/$C$50,"")</f>
        <v/>
      </c>
      <c r="I63" s="192" t="n"/>
      <c r="J63" s="192" t="n"/>
      <c r="K63" s="192" t="n"/>
      <c r="L63" s="192" t="n"/>
      <c r="M63" s="192" t="n"/>
      <c r="N63" s="192" t="n"/>
      <c r="O63" s="192" t="n"/>
      <c r="P63" s="192" t="n"/>
      <c r="Q63" s="192" t="n"/>
    </row>
    <row r="64" ht="15.75" customHeight="1" s="251">
      <c r="A64" s="192" t="n"/>
      <c r="B64" s="232">
        <f>$C$27</f>
        <v/>
      </c>
      <c r="C64" s="192" t="n"/>
      <c r="D64" s="225">
        <f t="array" ref="D64">IFERROR((SUMPRODUCT($D$24:$M$24/(1+D$61)^$D$29:$M$29)+($M$24*(1+$B64)/(D$61-$B64))/(1+D$61)^$M$29-$C$48)/$C$50,"")</f>
        <v/>
      </c>
      <c r="E64" s="225">
        <f t="array" ref="E64">IFERROR((SUMPRODUCT($D$24:$M$24/(1+E$61)^$D$29:$M$29)+($M$24*(1+$B64)/(E$61-$B64))/(1+E$61)^$M$29-$C$48)/$C$50,"")</f>
        <v/>
      </c>
      <c r="F64" s="226">
        <f t="array" ref="F64">IFERROR((SUMPRODUCT($D$24:$M$24/(1+F$61)^$D$29:$M$29)+($M$24*(1+$B64)/(F$61-$B64))/(1+F$61)^$M$29-$C$48)/$C$50,"")</f>
        <v/>
      </c>
      <c r="G64" s="225">
        <f t="array" ref="G64">IFERROR((SUMPRODUCT($D$24:$M$24/(1+G$61)^$D$29:$M$29)+($M$24*(1+$B64)/(G$61-$B64))/(1+G$61)^$M$29-$C$48)/$C$50,"")</f>
        <v/>
      </c>
      <c r="H64" s="235">
        <f t="array" ref="H64">IFERROR((SUMPRODUCT($D$24:$M$24/(1+H$61)^$D$29:$M$29)+($M$24*(1+$B64)/(H$61-$B64))/(1+H$61)^$M$29-$C$48)/$C$50,"")</f>
        <v/>
      </c>
      <c r="I64" s="192" t="n"/>
      <c r="J64" s="192" t="n"/>
      <c r="K64" s="192" t="n"/>
      <c r="L64" s="192" t="n"/>
      <c r="M64" s="192" t="n"/>
      <c r="N64" s="192" t="n"/>
      <c r="O64" s="192" t="n"/>
      <c r="P64" s="192" t="n"/>
      <c r="Q64" s="192" t="n"/>
    </row>
    <row r="65" ht="15.75" customHeight="1" s="251">
      <c r="A65" s="192" t="n"/>
      <c r="B65" s="232">
        <f>B64+0.005</f>
        <v/>
      </c>
      <c r="C65" s="192" t="n"/>
      <c r="D65" s="225">
        <f t="array" ref="D65">IFERROR((SUMPRODUCT($D$24:$M$24/(1+D$61)^$D$29:$M$29)+($M$24*(1+$B65)/(D$61-$B65))/(1+D$61)^$M$29-$C$48)/$C$50,"")</f>
        <v/>
      </c>
      <c r="E65" s="225">
        <f t="array" ref="E65">IFERROR((SUMPRODUCT($D$24:$M$24/(1+E$61)^$D$29:$M$29)+($M$24*(1+$B65)/(E$61-$B65))/(1+E$61)^$M$29-$C$48)/$C$50,"")</f>
        <v/>
      </c>
      <c r="F65" s="225">
        <f t="array" ref="F65">IFERROR((SUMPRODUCT($D$24:$M$24/(1+F$61)^$D$29:$M$29)+($M$24*(1+$B65)/(F$61-$B65))/(1+F$61)^$M$29-$C$48)/$C$50,"")</f>
        <v/>
      </c>
      <c r="G65" s="225">
        <f t="array" ref="G65">IFERROR((SUMPRODUCT($D$24:$M$24/(1+G$61)^$D$29:$M$29)+($M$24*(1+$B65)/(G$61-$B65))/(1+G$61)^$M$29-$C$48)/$C$50,"")</f>
        <v/>
      </c>
      <c r="H65" s="235">
        <f t="array" ref="H65">IFERROR((SUMPRODUCT($D$24:$M$24/(1+H$61)^$D$29:$M$29)+($M$24*(1+$B65)/(H$61-$B65))/(1+H$61)^$M$29-$C$48)/$C$50,"")</f>
        <v/>
      </c>
      <c r="I65" s="192" t="n"/>
      <c r="J65" s="192" t="n"/>
      <c r="K65" s="192" t="n"/>
      <c r="L65" s="192" t="n"/>
      <c r="M65" s="192" t="n"/>
      <c r="N65" s="192" t="n"/>
      <c r="O65" s="192" t="n"/>
      <c r="P65" s="192" t="n"/>
      <c r="Q65" s="192" t="n"/>
    </row>
    <row r="66" ht="15.75" customHeight="1" s="251">
      <c r="A66" s="192" t="n"/>
      <c r="B66" s="233">
        <f>B64+0.01</f>
        <v/>
      </c>
      <c r="C66" s="229" t="n"/>
      <c r="D66" s="230">
        <f t="array" ref="D66">IFERROR((SUMPRODUCT($D$24:$M$24/(1+D$61)^$D$29:$M$29)+($M$24*(1+$B66)/(D$61-$B66))/(1+D$61)^$M$29-$C$48)/$C$50,"")</f>
        <v/>
      </c>
      <c r="E66" s="230">
        <f t="array" ref="E66">IFERROR((SUMPRODUCT($D$24:$M$24/(1+E$61)^$D$29:$M$29)+($M$24*(1+$B66)/(E$61-$B66))/(1+E$61)^$M$29-$C$48)/$C$50,"")</f>
        <v/>
      </c>
      <c r="F66" s="230">
        <f t="array" ref="F66">IFERROR((SUMPRODUCT($D$24:$M$24/(1+F$61)^$D$29:$M$29)+($M$24*(1+$B66)/(F$61-$B66))/(1+F$61)^$M$29-$C$48)/$C$50,"")</f>
        <v/>
      </c>
      <c r="G66" s="230">
        <f t="array" ref="G66">IFERROR((SUMPRODUCT($D$24:$M$24/(1+G$61)^$D$29:$M$29)+($M$24*(1+$B66)/(G$61-$B66))/(1+G$61)^$M$29-$C$48)/$C$50,"")</f>
        <v/>
      </c>
      <c r="H66" s="236">
        <f t="array" ref="H66">IFERROR((SUMPRODUCT($D$24:$M$24/(1+H$61)^$D$29:$M$29)+($M$24*(1+$B66)/(H$61-$B66))/(1+H$61)^$M$29-$C$48)/$C$50,"")</f>
        <v/>
      </c>
      <c r="I66" s="192" t="n"/>
      <c r="J66" s="192" t="n"/>
      <c r="K66" s="192" t="n"/>
      <c r="L66" s="192" t="n"/>
      <c r="M66" s="192" t="n"/>
      <c r="N66" s="192" t="n"/>
      <c r="O66" s="192" t="n"/>
      <c r="P66" s="192" t="n"/>
      <c r="Q66" s="192" t="n"/>
    </row>
    <row r="67" ht="15" customHeight="1" s="251">
      <c r="A67" s="192" t="n"/>
      <c r="B67" s="192" t="n"/>
      <c r="C67" s="192" t="n"/>
      <c r="D67" s="192" t="n"/>
      <c r="E67" s="192" t="n"/>
      <c r="F67" s="192" t="n"/>
      <c r="G67" s="192" t="n"/>
      <c r="H67" s="192" t="n"/>
      <c r="I67" s="192" t="n"/>
      <c r="J67" s="192" t="n"/>
      <c r="K67" s="192" t="n"/>
      <c r="L67" s="192" t="n"/>
      <c r="M67" s="192" t="n"/>
      <c r="N67" s="192" t="n"/>
      <c r="O67" s="192" t="n"/>
      <c r="P67" s="192" t="n"/>
      <c r="Q67" s="192" t="n"/>
    </row>
    <row r="68" ht="15" customHeight="1" s="251">
      <c r="A68" s="192" t="n"/>
      <c r="B68" s="192" t="n"/>
      <c r="C68" s="192" t="n"/>
      <c r="D68" s="192" t="n"/>
      <c r="E68" s="192" t="n"/>
      <c r="F68" s="192" t="n"/>
      <c r="G68" s="192" t="n"/>
      <c r="H68" s="192" t="n"/>
      <c r="I68" s="192" t="n"/>
      <c r="J68" s="192" t="n"/>
      <c r="K68" s="192" t="n"/>
      <c r="L68" s="192" t="n"/>
      <c r="M68" s="192" t="n"/>
      <c r="N68" s="192" t="n"/>
      <c r="O68" s="192" t="n"/>
      <c r="P68" s="192" t="n"/>
      <c r="Q68" s="192" t="n"/>
    </row>
    <row r="69" ht="15.75" customHeight="1" s="251">
      <c r="A69" s="192" t="n"/>
      <c r="B69" s="195" t="inlineStr">
        <is>
          <t>5. REVERSE DCF</t>
        </is>
      </c>
      <c r="C69" s="196" t="n"/>
      <c r="D69" s="196" t="n"/>
      <c r="E69" s="196" t="n"/>
      <c r="F69" s="196" t="n"/>
      <c r="G69" s="196" t="n"/>
      <c r="H69" s="196" t="n"/>
      <c r="I69" s="196" t="n"/>
      <c r="J69" s="196" t="n"/>
      <c r="K69" s="196" t="n"/>
      <c r="L69" s="196" t="n"/>
      <c r="M69" s="196" t="n"/>
      <c r="N69" s="196" t="n"/>
      <c r="O69" s="192" t="n"/>
      <c r="P69" s="192" t="n"/>
      <c r="Q69" s="192" t="n"/>
    </row>
    <row r="70" ht="15" customHeight="1" s="251">
      <c r="A70" s="192" t="n"/>
      <c r="B70" s="198" t="inlineStr">
        <is>
          <t>To solve for the market-implied path: Data ▸ What-If Analysis ▸ Goal Seek — set C51 to the current price (C52) by changing C27 (terminal growth) or the fade-period growth inputs (I26:M26).</t>
        </is>
      </c>
      <c r="C70" s="192" t="n"/>
      <c r="D70" s="192" t="n"/>
      <c r="E70" s="192" t="n"/>
      <c r="F70" s="192" t="n"/>
      <c r="G70" s="192" t="n"/>
      <c r="H70" s="192" t="n"/>
      <c r="I70" s="192" t="n"/>
      <c r="J70" s="192" t="n"/>
      <c r="K70" s="192" t="n"/>
      <c r="L70" s="192" t="n"/>
      <c r="M70" s="192" t="n"/>
      <c r="N70" s="192" t="n"/>
      <c r="O70" s="192" t="n"/>
      <c r="P70" s="192" t="n"/>
      <c r="Q70" s="192" t="n"/>
    </row>
    <row r="71" ht="15" customHeight="1" s="251">
      <c r="A71" s="192" t="n"/>
      <c r="B71" s="192" t="n"/>
      <c r="C71" s="192" t="n"/>
      <c r="D71" s="192" t="n"/>
      <c r="E71" s="192" t="n"/>
      <c r="F71" s="192" t="n"/>
      <c r="G71" s="192" t="n"/>
      <c r="H71" s="192" t="n"/>
      <c r="I71" s="192" t="n"/>
      <c r="J71" s="192" t="n"/>
      <c r="K71" s="192" t="n"/>
      <c r="L71" s="192" t="n"/>
      <c r="M71" s="192" t="n"/>
      <c r="N71" s="192" t="n"/>
      <c r="O71" s="192" t="n"/>
      <c r="P71" s="192" t="n"/>
      <c r="Q71" s="192" t="n"/>
    </row>
    <row r="72" ht="15.75" customHeight="1" s="251">
      <c r="A72" s="192" t="n"/>
      <c r="B72" s="195" t="inlineStr">
        <is>
          <t>6. MAUBOUSSIN EV / NOPAT — TWO-STAGE FRAMEWORK</t>
        </is>
      </c>
      <c r="C72" s="196" t="n"/>
      <c r="D72" s="196" t="n"/>
      <c r="E72" s="196" t="n"/>
      <c r="F72" s="196" t="n"/>
      <c r="G72" s="196" t="n"/>
      <c r="H72" s="196" t="n"/>
      <c r="I72" s="196" t="n"/>
      <c r="J72" s="196" t="n"/>
      <c r="K72" s="196" t="n"/>
      <c r="L72" s="196" t="n"/>
      <c r="M72" s="196" t="n"/>
      <c r="N72" s="196" t="n"/>
      <c r="O72" s="192" t="n"/>
      <c r="P72" s="192" t="n"/>
      <c r="Q72" s="192" t="n"/>
    </row>
    <row r="73" ht="15" customHeight="1" s="251">
      <c r="A73" s="192" t="n"/>
      <c r="B73" s="198" t="inlineStr">
        <is>
          <t>EV/NOPAT  =  1/r  +  [g × (1 − r/ROIIC) / (r × (r − g))] × [1 − ((1+g)/(1+r))^N]</t>
        </is>
      </c>
      <c r="C73" s="192" t="n"/>
      <c r="D73" s="192" t="n"/>
      <c r="E73" s="192" t="n"/>
      <c r="F73" s="192" t="n"/>
      <c r="G73" s="192" t="n"/>
      <c r="H73" s="192" t="n"/>
      <c r="I73" s="192" t="n"/>
      <c r="J73" s="192" t="n"/>
      <c r="K73" s="192" t="n"/>
      <c r="L73" s="192" t="n"/>
      <c r="M73" s="192" t="n"/>
      <c r="N73" s="192" t="n"/>
      <c r="O73" s="192" t="n"/>
      <c r="P73" s="192" t="n"/>
      <c r="Q73" s="192" t="n"/>
    </row>
    <row r="74" ht="15" customHeight="1" s="251">
      <c r="A74" s="192" t="n"/>
      <c r="B74" s="198" t="inlineStr">
        <is>
          <t>Formula source: Mauboussin &amp; Rappaport, "Expectations Investing" (2021); Counterpoint Global, "What Does a Price-Earnings Multiple Mean?" (2020).</t>
        </is>
      </c>
      <c r="C74" s="192" t="n"/>
      <c r="D74" s="192" t="n"/>
      <c r="E74" s="192" t="n"/>
      <c r="F74" s="192" t="n"/>
      <c r="G74" s="192" t="n"/>
      <c r="H74" s="192" t="n"/>
      <c r="I74" s="192" t="n"/>
      <c r="J74" s="192" t="n"/>
      <c r="K74" s="192" t="n"/>
      <c r="L74" s="192" t="n"/>
      <c r="M74" s="192" t="n"/>
      <c r="N74" s="192" t="n"/>
      <c r="O74" s="192" t="n"/>
      <c r="P74" s="192" t="n"/>
      <c r="Q74" s="192" t="n"/>
    </row>
    <row r="75" ht="15" customHeight="1" s="251">
      <c r="A75" s="192" t="n"/>
      <c r="B75" s="192" t="n"/>
      <c r="C75" s="192" t="n"/>
      <c r="D75" s="192" t="n"/>
      <c r="E75" s="192" t="n"/>
      <c r="F75" s="192" t="n"/>
      <c r="G75" s="192" t="n"/>
      <c r="H75" s="192" t="n"/>
      <c r="I75" s="192" t="n"/>
      <c r="J75" s="192" t="n"/>
      <c r="K75" s="192" t="n"/>
      <c r="L75" s="192" t="n"/>
      <c r="M75" s="192" t="n"/>
      <c r="N75" s="192" t="n"/>
      <c r="O75" s="192" t="n"/>
      <c r="P75" s="192" t="n"/>
      <c r="Q75" s="192" t="n"/>
    </row>
    <row r="76" ht="15.75" customHeight="1" s="251">
      <c r="A76" s="192" t="n"/>
      <c r="B76" s="195" t="inlineStr">
        <is>
          <t>Input</t>
        </is>
      </c>
      <c r="C76" s="207" t="inlineStr">
        <is>
          <t>Value</t>
        </is>
      </c>
      <c r="D76" s="195" t="inlineStr">
        <is>
          <t>Rationale (STERIS characteristics)</t>
        </is>
      </c>
      <c r="E76" s="196" t="n"/>
      <c r="F76" s="196" t="n"/>
      <c r="G76" s="196" t="n"/>
      <c r="H76" s="196" t="n"/>
      <c r="I76" s="196" t="n"/>
      <c r="J76" s="196" t="n"/>
      <c r="K76" s="196" t="n"/>
      <c r="L76" s="196" t="n"/>
      <c r="M76" s="196" t="n"/>
      <c r="N76" s="196" t="n"/>
      <c r="O76" s="192" t="n"/>
      <c r="P76" s="192" t="n"/>
      <c r="Q76" s="192" t="n"/>
    </row>
    <row r="77" ht="15.75" customHeight="1" s="251">
      <c r="A77" s="192" t="n"/>
      <c r="B77" s="197" t="inlineStr">
        <is>
          <t>r  (Cost of capital / WACC)</t>
        </is>
      </c>
      <c r="C77" s="238">
        <f>$C$13</f>
        <v/>
      </c>
      <c r="D77" s="198" t="inlineStr">
        <is>
          <t>Linked from Section 1 WACC build</t>
        </is>
      </c>
      <c r="E77" s="192" t="n"/>
      <c r="F77" s="192" t="n"/>
      <c r="G77" s="192" t="n"/>
      <c r="H77" s="192" t="n"/>
      <c r="I77" s="192" t="n"/>
      <c r="J77" s="192" t="n"/>
      <c r="K77" s="192" t="n"/>
      <c r="L77" s="192" t="n"/>
      <c r="M77" s="192" t="n"/>
      <c r="N77" s="192" t="n"/>
      <c r="O77" s="192" t="n"/>
      <c r="P77" s="192" t="n"/>
      <c r="Q77" s="192" t="n"/>
    </row>
    <row r="78" ht="15.75" customHeight="1" s="251">
      <c r="A78" s="192" t="n"/>
      <c r="B78" s="197" t="inlineStr">
        <is>
          <t>g  (NOPAT growth, Stage 1)</t>
        </is>
      </c>
      <c r="C78" s="239" t="n">
        <v>0.08</v>
      </c>
      <c r="D78" s="198" t="inlineStr">
        <is>
          <t>Model adjusted EBIT CAGR FY2027–31E: mid-to-high single-digit revenue growth (procedures, service, AST capacity), ~50 bps p.a. margin expansion and buybacks → ~8% NOPAT growth</t>
        </is>
      </c>
      <c r="E78" s="192" t="n"/>
      <c r="F78" s="192" t="n"/>
      <c r="G78" s="192" t="n"/>
      <c r="H78" s="192" t="n"/>
      <c r="I78" s="192" t="n"/>
      <c r="J78" s="192" t="n"/>
      <c r="K78" s="192" t="n"/>
      <c r="L78" s="192" t="n"/>
      <c r="M78" s="192" t="n"/>
      <c r="N78" s="192" t="n"/>
      <c r="O78" s="192" t="n"/>
      <c r="P78" s="192" t="n"/>
      <c r="Q78" s="192" t="n"/>
    </row>
    <row r="79" ht="15.75" customHeight="1" s="251">
      <c r="A79" s="192" t="n"/>
      <c r="B79" s="197" t="inlineStr">
        <is>
          <t>ROIIC  (Return on incremental invested capital)</t>
        </is>
      </c>
      <c r="C79" s="239" t="n">
        <v>0.18</v>
      </c>
      <c r="D79" s="198" t="inlineStr">
        <is>
          <t>Razor / razor-blade installed base (sterilizers, washers, endoscope reprocessors) drives consumables &amp; service at high incremental returns; AST sterilization network earns ~45% segment margins on capacity adds; acquisitions (Synergy, Cantel) earn ~7–9% after tax</t>
        </is>
      </c>
      <c r="E79" s="192" t="n"/>
      <c r="F79" s="192" t="n"/>
      <c r="G79" s="192" t="n"/>
      <c r="H79" s="192" t="n"/>
      <c r="I79" s="192" t="n"/>
      <c r="J79" s="192" t="n"/>
      <c r="K79" s="192" t="n"/>
      <c r="L79" s="192" t="n"/>
      <c r="M79" s="192" t="n"/>
      <c r="N79" s="192" t="n"/>
      <c r="O79" s="192" t="n"/>
      <c r="P79" s="192" t="n"/>
      <c r="Q79" s="192" t="n"/>
    </row>
    <row r="80" ht="15.75" customHeight="1" s="251">
      <c r="A80" s="192" t="n"/>
      <c r="B80" s="197" t="inlineStr">
        <is>
          <t>N  (Years of value creation / CAP)</t>
        </is>
      </c>
      <c r="C80" s="208" t="n">
        <v>15</v>
      </c>
      <c r="D80" s="198" t="inlineStr">
        <is>
          <t>Regulated, validated sterilization processes and hospital standardization create high switching costs; ~75% recurring revenue; EO regulatory and litigation exposure is the main risk to the CAP</t>
        </is>
      </c>
      <c r="E80" s="192" t="n"/>
      <c r="F80" s="192" t="n"/>
      <c r="G80" s="192" t="n"/>
      <c r="H80" s="192" t="n"/>
      <c r="I80" s="192" t="n"/>
      <c r="J80" s="192" t="n"/>
      <c r="K80" s="192" t="n"/>
      <c r="L80" s="192" t="n"/>
      <c r="M80" s="192" t="n"/>
      <c r="N80" s="192" t="n"/>
      <c r="O80" s="192" t="n"/>
      <c r="P80" s="192" t="n"/>
      <c r="Q80" s="192" t="n"/>
    </row>
    <row r="81" ht="15" customHeight="1" s="251">
      <c r="A81" s="192" t="n"/>
      <c r="B81" s="192" t="n"/>
      <c r="C81" s="192" t="n"/>
      <c r="D81" s="192" t="n"/>
      <c r="E81" s="192" t="n"/>
      <c r="F81" s="192" t="n"/>
      <c r="G81" s="192" t="n"/>
      <c r="H81" s="192" t="n"/>
      <c r="I81" s="192" t="n"/>
      <c r="J81" s="192" t="n"/>
      <c r="K81" s="192" t="n"/>
      <c r="L81" s="192" t="n"/>
      <c r="M81" s="192" t="n"/>
      <c r="N81" s="192" t="n"/>
      <c r="O81" s="192" t="n"/>
      <c r="P81" s="192" t="n"/>
      <c r="Q81" s="192" t="n"/>
    </row>
    <row r="82" ht="15.75" customHeight="1" s="251">
      <c r="A82" s="192" t="n"/>
      <c r="B82" s="195" t="inlineStr">
        <is>
          <t>Calculation</t>
        </is>
      </c>
      <c r="C82" s="207" t="inlineStr">
        <is>
          <t>Value</t>
        </is>
      </c>
      <c r="D82" s="192" t="n"/>
      <c r="E82" s="192" t="n"/>
      <c r="F82" s="192" t="n"/>
      <c r="G82" s="192" t="n"/>
      <c r="H82" s="192" t="n"/>
      <c r="I82" s="192" t="n"/>
      <c r="J82" s="192" t="n"/>
      <c r="K82" s="192" t="n"/>
      <c r="L82" s="192" t="n"/>
      <c r="M82" s="192" t="n"/>
      <c r="N82" s="192" t="n"/>
      <c r="O82" s="192" t="n"/>
      <c r="P82" s="192" t="n"/>
      <c r="Q82" s="192" t="n"/>
    </row>
    <row r="83" ht="15.75" customHeight="1" s="251">
      <c r="A83" s="192" t="n"/>
      <c r="B83" s="197" t="inlineStr">
        <is>
          <t>Steady-state component:  1 / r</t>
        </is>
      </c>
      <c r="C83" s="240">
        <f>1/C77</f>
        <v/>
      </c>
      <c r="D83" s="192" t="n"/>
      <c r="E83" s="192" t="n"/>
      <c r="F83" s="192" t="n"/>
      <c r="G83" s="192" t="n"/>
      <c r="H83" s="192" t="n"/>
      <c r="I83" s="192" t="n"/>
      <c r="J83" s="192" t="n"/>
      <c r="K83" s="192" t="n"/>
      <c r="L83" s="192" t="n"/>
      <c r="M83" s="192" t="n"/>
      <c r="N83" s="192" t="n"/>
      <c r="O83" s="192" t="n"/>
      <c r="P83" s="192" t="n"/>
      <c r="Q83" s="192" t="n"/>
    </row>
    <row r="84" ht="15.75" customHeight="1" s="251">
      <c r="A84" s="192" t="n"/>
      <c r="B84" s="197" t="inlineStr">
        <is>
          <t>Value-creation factor: 1 − r / ROIIC</t>
        </is>
      </c>
      <c r="C84" s="241">
        <f>1-C77/C79</f>
        <v/>
      </c>
      <c r="D84" s="192" t="n"/>
      <c r="E84" s="192" t="n"/>
      <c r="F84" s="192" t="n"/>
      <c r="G84" s="192" t="n"/>
      <c r="H84" s="192" t="n"/>
      <c r="I84" s="192" t="n"/>
      <c r="J84" s="192" t="n"/>
      <c r="K84" s="192" t="n"/>
      <c r="L84" s="192" t="n"/>
      <c r="M84" s="192" t="n"/>
      <c r="N84" s="192" t="n"/>
      <c r="O84" s="192" t="n"/>
      <c r="P84" s="192" t="n"/>
      <c r="Q84" s="192" t="n"/>
    </row>
    <row r="85" ht="15.75" customHeight="1" s="251">
      <c r="A85" s="192" t="n"/>
      <c r="B85" s="197" t="inlineStr">
        <is>
          <t>Growth multiplier: g × (1 − r/ROIIC) / (r × (r − g))</t>
        </is>
      </c>
      <c r="C85" s="241">
        <f>C78*C84/(C77*(C77-C78))</f>
        <v/>
      </c>
      <c r="D85" s="192" t="n"/>
      <c r="E85" s="192" t="n"/>
      <c r="F85" s="192" t="n"/>
      <c r="G85" s="192" t="n"/>
      <c r="H85" s="192" t="n"/>
      <c r="I85" s="192" t="n"/>
      <c r="J85" s="192" t="n"/>
      <c r="K85" s="192" t="n"/>
      <c r="L85" s="192" t="n"/>
      <c r="M85" s="192" t="n"/>
      <c r="N85" s="192" t="n"/>
      <c r="O85" s="192" t="n"/>
      <c r="P85" s="192" t="n"/>
      <c r="Q85" s="192" t="n"/>
    </row>
    <row r="86" ht="15.75" customHeight="1" s="251">
      <c r="A86" s="192" t="n"/>
      <c r="B86" s="197" t="inlineStr">
        <is>
          <t>Time decay: 1 − ((1+g)/(1+r))^N</t>
        </is>
      </c>
      <c r="C86" s="242">
        <f>1-((1+C78)/(1+C77))^C80</f>
        <v/>
      </c>
      <c r="D86" s="192" t="n"/>
      <c r="E86" s="192" t="n"/>
      <c r="F86" s="192" t="n"/>
      <c r="G86" s="192" t="n"/>
      <c r="H86" s="192" t="n"/>
      <c r="I86" s="192" t="n"/>
      <c r="J86" s="192" t="n"/>
      <c r="K86" s="192" t="n"/>
      <c r="L86" s="192" t="n"/>
      <c r="M86" s="192" t="n"/>
      <c r="N86" s="192" t="n"/>
      <c r="O86" s="192" t="n"/>
      <c r="P86" s="192" t="n"/>
      <c r="Q86" s="192" t="n"/>
    </row>
    <row r="87" ht="15.75" customHeight="1" s="251">
      <c r="A87" s="192" t="n"/>
      <c r="B87" s="197" t="inlineStr">
        <is>
          <t>PVGO component (growth value)</t>
        </is>
      </c>
      <c r="C87" s="240">
        <f>C85*C86</f>
        <v/>
      </c>
      <c r="D87" s="192" t="n"/>
      <c r="E87" s="192" t="n"/>
      <c r="F87" s="192" t="n"/>
      <c r="G87" s="192" t="n"/>
      <c r="H87" s="192" t="n"/>
      <c r="I87" s="192" t="n"/>
      <c r="J87" s="192" t="n"/>
      <c r="K87" s="192" t="n"/>
      <c r="L87" s="192" t="n"/>
      <c r="M87" s="192" t="n"/>
      <c r="N87" s="192" t="n"/>
      <c r="O87" s="192" t="n"/>
      <c r="P87" s="192" t="n"/>
      <c r="Q87" s="192" t="n"/>
    </row>
    <row r="88" ht="15.75" customHeight="1" s="251">
      <c r="A88" s="192" t="n"/>
      <c r="B88" s="202" t="inlineStr">
        <is>
          <t>Mauboussin EV / NOPAT (steady-state + PVGO)</t>
        </is>
      </c>
      <c r="C88" s="302">
        <f>C83+C87</f>
        <v/>
      </c>
      <c r="D88" s="192" t="n"/>
      <c r="E88" s="192" t="n"/>
      <c r="F88" s="192" t="n"/>
      <c r="G88" s="192" t="n"/>
      <c r="H88" s="192" t="n"/>
      <c r="I88" s="192" t="n"/>
      <c r="J88" s="192" t="n"/>
      <c r="K88" s="192" t="n"/>
      <c r="L88" s="192" t="n"/>
      <c r="M88" s="192" t="n"/>
      <c r="N88" s="192" t="n"/>
      <c r="O88" s="192" t="n"/>
      <c r="P88" s="192" t="n"/>
      <c r="Q88" s="192" t="n"/>
    </row>
    <row r="89" ht="15" customHeight="1" s="251">
      <c r="A89" s="192" t="n"/>
      <c r="B89" s="192" t="n"/>
      <c r="C89" s="192" t="n"/>
      <c r="D89" s="192" t="n"/>
      <c r="E89" s="192" t="n"/>
      <c r="F89" s="192" t="n"/>
      <c r="G89" s="192" t="n"/>
      <c r="H89" s="192" t="n"/>
      <c r="I89" s="192" t="n"/>
      <c r="J89" s="192" t="n"/>
      <c r="K89" s="192" t="n"/>
      <c r="L89" s="192" t="n"/>
      <c r="M89" s="192" t="n"/>
      <c r="N89" s="192" t="n"/>
      <c r="O89" s="192" t="n"/>
      <c r="P89" s="192" t="n"/>
      <c r="Q89" s="192" t="n"/>
    </row>
    <row r="90" ht="15.75" customHeight="1" s="251">
      <c r="A90" s="192" t="n"/>
      <c r="B90" s="195" t="inlineStr">
        <is>
          <t>VALUATION  —  Applied to FY2029E NOPAT</t>
        </is>
      </c>
      <c r="C90" s="207" t="inlineStr">
        <is>
          <t>USDm</t>
        </is>
      </c>
      <c r="D90" s="192" t="n"/>
      <c r="E90" s="192" t="n"/>
      <c r="F90" s="192" t="n"/>
      <c r="G90" s="192" t="n"/>
      <c r="H90" s="192" t="n"/>
      <c r="I90" s="192" t="n"/>
      <c r="J90" s="192" t="n"/>
      <c r="K90" s="192" t="n"/>
      <c r="L90" s="192" t="n"/>
      <c r="M90" s="192" t="n"/>
      <c r="N90" s="192" t="n"/>
      <c r="O90" s="192" t="n"/>
      <c r="P90" s="192" t="n"/>
      <c r="Q90" s="192" t="n"/>
    </row>
    <row r="91" ht="15.75" customHeight="1" s="251">
      <c r="A91" s="192" t="n"/>
      <c r="B91" s="197" t="inlineStr">
        <is>
          <t>FY2029E Adj. EBIT less acquisition, integration &amp; restructuring costs</t>
        </is>
      </c>
      <c r="C91" s="209">
        <f>Model!AR238-Model!AR240</f>
        <v/>
      </c>
      <c r="D91" s="192" t="n"/>
      <c r="E91" s="192" t="n"/>
      <c r="F91" s="192" t="n"/>
      <c r="G91" s="192" t="n"/>
      <c r="H91" s="192" t="n"/>
      <c r="I91" s="192" t="n"/>
      <c r="J91" s="192" t="n"/>
      <c r="K91" s="192" t="n"/>
      <c r="L91" s="192" t="n"/>
      <c r="M91" s="192" t="n"/>
      <c r="N91" s="192" t="n"/>
      <c r="O91" s="192" t="n"/>
      <c r="P91" s="192" t="n"/>
      <c r="Q91" s="192" t="n"/>
    </row>
    <row r="92" ht="15.75" customHeight="1" s="251">
      <c r="A92" s="192" t="n"/>
      <c r="B92" s="197" t="inlineStr">
        <is>
          <t>Tax rate (from WACC build)</t>
        </is>
      </c>
      <c r="C92" s="210">
        <f>$C$10</f>
        <v/>
      </c>
      <c r="D92" s="192" t="n"/>
      <c r="E92" s="192" t="n"/>
      <c r="F92" s="192" t="n"/>
      <c r="G92" s="192" t="n"/>
      <c r="H92" s="192" t="n"/>
      <c r="I92" s="192" t="n"/>
      <c r="J92" s="192" t="n"/>
      <c r="K92" s="192" t="n"/>
      <c r="L92" s="192" t="n"/>
      <c r="M92" s="192" t="n"/>
      <c r="N92" s="192" t="n"/>
      <c r="O92" s="192" t="n"/>
      <c r="P92" s="192" t="n"/>
      <c r="Q92" s="192" t="n"/>
    </row>
    <row r="93" ht="15.75" customHeight="1" s="251">
      <c r="A93" s="192" t="n"/>
      <c r="B93" s="197" t="inlineStr">
        <is>
          <t>FY2029E NOPAT</t>
        </is>
      </c>
      <c r="C93" s="211">
        <f>C91*(1-C92)</f>
        <v/>
      </c>
      <c r="D93" s="192" t="n"/>
      <c r="E93" s="192" t="n"/>
      <c r="F93" s="192" t="n"/>
      <c r="G93" s="192" t="n"/>
      <c r="H93" s="192" t="n"/>
      <c r="I93" s="192" t="n"/>
      <c r="J93" s="192" t="n"/>
      <c r="K93" s="192" t="n"/>
      <c r="L93" s="192" t="n"/>
      <c r="M93" s="192" t="n"/>
      <c r="N93" s="192" t="n"/>
      <c r="O93" s="192" t="n"/>
      <c r="P93" s="192" t="n"/>
      <c r="Q93" s="192" t="n"/>
    </row>
    <row r="94" ht="15.75" customHeight="1" s="251">
      <c r="A94" s="192" t="n"/>
      <c r="B94" s="197" t="inlineStr">
        <is>
          <t>× Mauboussin EV/NOPAT multiple</t>
        </is>
      </c>
      <c r="C94" s="303">
        <f>C88</f>
        <v/>
      </c>
      <c r="D94" s="192" t="n"/>
      <c r="E94" s="192" t="n"/>
      <c r="F94" s="192" t="n"/>
      <c r="G94" s="192" t="n"/>
      <c r="H94" s="192" t="n"/>
      <c r="I94" s="192" t="n"/>
      <c r="J94" s="192" t="n"/>
      <c r="K94" s="192" t="n"/>
      <c r="L94" s="192" t="n"/>
      <c r="M94" s="192" t="n"/>
      <c r="N94" s="192" t="n"/>
      <c r="O94" s="192" t="n"/>
      <c r="P94" s="192" t="n"/>
      <c r="Q94" s="192" t="n"/>
    </row>
    <row r="95" ht="15.75" customHeight="1" s="251">
      <c r="A95" s="192" t="n"/>
      <c r="B95" s="197" t="inlineStr">
        <is>
          <t>Implied Enterprise Value (FY2029E basis)</t>
        </is>
      </c>
      <c r="C95" s="211">
        <f>C93*C94</f>
        <v/>
      </c>
      <c r="D95" s="192" t="n"/>
      <c r="E95" s="192" t="n"/>
      <c r="F95" s="192" t="n"/>
      <c r="G95" s="192" t="n"/>
      <c r="H95" s="192" t="n"/>
      <c r="I95" s="192" t="n"/>
      <c r="J95" s="192" t="n"/>
      <c r="K95" s="192" t="n"/>
      <c r="L95" s="192" t="n"/>
      <c r="M95" s="192" t="n"/>
      <c r="N95" s="192" t="n"/>
      <c r="O95" s="192" t="n"/>
      <c r="P95" s="192" t="n"/>
      <c r="Q95" s="192" t="n"/>
    </row>
    <row r="96" ht="15.75" customHeight="1" s="251">
      <c r="A96" s="192" t="n"/>
      <c r="B96" s="197" t="inlineStr">
        <is>
          <t>Less: FY2028E year-end net debt + NCI (Model)</t>
        </is>
      </c>
      <c r="C96" s="209">
        <f>Model!AQ441+Model!AQ357</f>
        <v/>
      </c>
      <c r="D96" s="192" t="n"/>
      <c r="E96" s="192" t="n"/>
      <c r="F96" s="192" t="n"/>
      <c r="G96" s="192" t="n"/>
      <c r="H96" s="192" t="n"/>
      <c r="I96" s="192" t="n"/>
      <c r="J96" s="192" t="n"/>
      <c r="K96" s="192" t="n"/>
      <c r="L96" s="192" t="n"/>
      <c r="M96" s="192" t="n"/>
      <c r="N96" s="192" t="n"/>
      <c r="O96" s="192" t="n"/>
      <c r="P96" s="192" t="n"/>
      <c r="Q96" s="192" t="n"/>
    </row>
    <row r="97" ht="15.75" customHeight="1" s="251">
      <c r="A97" s="192" t="n"/>
      <c r="B97" s="197" t="inlineStr">
        <is>
          <t>Implied Equity Value</t>
        </is>
      </c>
      <c r="C97" s="211">
        <f>C95-C96</f>
        <v/>
      </c>
      <c r="D97" s="192" t="n"/>
      <c r="E97" s="192" t="n"/>
      <c r="F97" s="192" t="n"/>
      <c r="G97" s="192" t="n"/>
      <c r="H97" s="192" t="n"/>
      <c r="I97" s="192" t="n"/>
      <c r="J97" s="192" t="n"/>
      <c r="K97" s="192" t="n"/>
      <c r="L97" s="192" t="n"/>
      <c r="M97" s="192" t="n"/>
      <c r="N97" s="192" t="n"/>
      <c r="O97" s="192" t="n"/>
      <c r="P97" s="192" t="n"/>
      <c r="Q97" s="192" t="n"/>
    </row>
    <row r="98" ht="15.75" customHeight="1" s="251">
      <c r="A98" s="192" t="n"/>
      <c r="B98" s="197" t="inlineStr">
        <is>
          <t>Diluted shares FY2029E (m, Model)</t>
        </is>
      </c>
      <c r="C98" s="212">
        <f>Model!AR447</f>
        <v/>
      </c>
      <c r="D98" s="192" t="n"/>
      <c r="E98" s="192" t="n"/>
      <c r="F98" s="192" t="n"/>
      <c r="G98" s="192" t="n"/>
      <c r="H98" s="192" t="n"/>
      <c r="I98" s="192" t="n"/>
      <c r="J98" s="192" t="n"/>
      <c r="K98" s="192" t="n"/>
      <c r="L98" s="192" t="n"/>
      <c r="M98" s="192" t="n"/>
      <c r="N98" s="192" t="n"/>
      <c r="O98" s="192" t="n"/>
      <c r="P98" s="192" t="n"/>
      <c r="Q98" s="192" t="n"/>
    </row>
    <row r="99" ht="15.75" customHeight="1" s="251">
      <c r="A99" s="192" t="n"/>
      <c r="B99" s="202" t="inlineStr">
        <is>
          <t>Implied share price FY2029 ($)</t>
        </is>
      </c>
      <c r="C99" s="213">
        <f>C97/C98</f>
        <v/>
      </c>
      <c r="D99" s="192" t="n"/>
      <c r="E99" s="192" t="n"/>
      <c r="F99" s="192" t="n"/>
      <c r="G99" s="192" t="n"/>
      <c r="H99" s="192" t="n"/>
      <c r="I99" s="192" t="n"/>
      <c r="J99" s="192" t="n"/>
      <c r="K99" s="192" t="n"/>
      <c r="L99" s="192" t="n"/>
      <c r="M99" s="192" t="n"/>
      <c r="N99" s="192" t="n"/>
      <c r="O99" s="192" t="n"/>
      <c r="P99" s="192" t="n"/>
      <c r="Q99" s="192" t="n"/>
    </row>
    <row r="100" ht="15" customHeight="1" s="251">
      <c r="A100" s="192" t="n"/>
      <c r="B100" s="192" t="n"/>
      <c r="C100" s="192" t="n"/>
      <c r="D100" s="192" t="n"/>
      <c r="E100" s="192" t="n"/>
      <c r="F100" s="192" t="n"/>
      <c r="G100" s="192" t="n"/>
      <c r="H100" s="192" t="n"/>
      <c r="I100" s="192" t="n"/>
      <c r="J100" s="192" t="n"/>
      <c r="K100" s="192" t="n"/>
      <c r="L100" s="192" t="n"/>
      <c r="M100" s="192" t="n"/>
      <c r="N100" s="192" t="n"/>
      <c r="O100" s="192" t="n"/>
      <c r="P100" s="192" t="n"/>
      <c r="Q100" s="192" t="n"/>
    </row>
    <row r="101" ht="15.75" customHeight="1" s="251">
      <c r="A101" s="192" t="n"/>
      <c r="B101" s="197" t="inlineStr">
        <is>
          <t>Current share price ($)</t>
        </is>
      </c>
      <c r="C101" s="214">
        <f>C52</f>
        <v/>
      </c>
      <c r="D101" s="192" t="n"/>
      <c r="E101" s="192" t="n"/>
      <c r="F101" s="192" t="n"/>
      <c r="G101" s="192" t="n"/>
      <c r="H101" s="192" t="n"/>
      <c r="I101" s="192" t="n"/>
      <c r="J101" s="192" t="n"/>
      <c r="K101" s="192" t="n"/>
      <c r="L101" s="192" t="n"/>
      <c r="M101" s="192" t="n"/>
      <c r="N101" s="192" t="n"/>
      <c r="O101" s="192" t="n"/>
      <c r="P101" s="192" t="n"/>
      <c r="Q101" s="192" t="n"/>
    </row>
    <row r="102" ht="15.75" customHeight="1" s="251">
      <c r="A102" s="192" t="n"/>
      <c r="B102" s="199" t="inlineStr">
        <is>
          <t>Implied upside / (downside)</t>
        </is>
      </c>
      <c r="C102" s="245">
        <f>C99/C101-1</f>
        <v/>
      </c>
      <c r="D102" s="192" t="n"/>
      <c r="E102" s="192" t="n"/>
      <c r="F102" s="192" t="n"/>
      <c r="G102" s="192" t="n"/>
      <c r="H102" s="192" t="n"/>
      <c r="I102" s="192" t="n"/>
      <c r="J102" s="192" t="n"/>
      <c r="K102" s="192" t="n"/>
      <c r="L102" s="192" t="n"/>
      <c r="M102" s="192" t="n"/>
      <c r="N102" s="192" t="n"/>
      <c r="O102" s="192" t="n"/>
      <c r="P102" s="192" t="n"/>
      <c r="Q102" s="192" t="n"/>
    </row>
    <row r="103" ht="15" customHeight="1" s="251">
      <c r="A103" s="192" t="n"/>
      <c r="B103" s="192" t="n"/>
      <c r="C103" s="192" t="n"/>
      <c r="D103" s="192" t="n"/>
      <c r="E103" s="192" t="n"/>
      <c r="F103" s="192" t="n"/>
      <c r="G103" s="192" t="n"/>
      <c r="H103" s="192" t="n"/>
      <c r="I103" s="192" t="n"/>
      <c r="J103" s="192" t="n"/>
      <c r="K103" s="192" t="n"/>
      <c r="L103" s="192" t="n"/>
      <c r="M103" s="192" t="n"/>
      <c r="N103" s="192" t="n"/>
      <c r="O103" s="192" t="n"/>
      <c r="P103" s="192" t="n"/>
      <c r="Q103" s="192" t="n"/>
    </row>
    <row r="104" ht="15.75" customHeight="1" s="251">
      <c r="A104" s="192" t="n"/>
      <c r="B104" s="195" t="inlineStr">
        <is>
          <t>MARKET-IMPLIED EV/NOPAT TODAY</t>
        </is>
      </c>
      <c r="C104" s="207" t="inlineStr">
        <is>
          <t>USDm</t>
        </is>
      </c>
      <c r="D104" s="192" t="n"/>
      <c r="E104" s="192" t="n"/>
      <c r="F104" s="192" t="n"/>
      <c r="G104" s="192" t="n"/>
      <c r="H104" s="192" t="n"/>
      <c r="I104" s="192" t="n"/>
      <c r="J104" s="192" t="n"/>
      <c r="K104" s="192" t="n"/>
      <c r="L104" s="192" t="n"/>
      <c r="M104" s="192" t="n"/>
      <c r="N104" s="192" t="n"/>
      <c r="O104" s="192" t="n"/>
      <c r="P104" s="192" t="n"/>
      <c r="Q104" s="192" t="n"/>
    </row>
    <row r="105" ht="15.75" customHeight="1" s="251">
      <c r="A105" s="192" t="n"/>
      <c r="B105" s="197" t="inlineStr">
        <is>
          <t>Current market cap (spot × diluted shares)</t>
        </is>
      </c>
      <c r="C105" s="211">
        <f>C52*C50</f>
        <v/>
      </c>
      <c r="D105" s="192" t="n"/>
      <c r="E105" s="192" t="n"/>
      <c r="F105" s="192" t="n"/>
      <c r="G105" s="192" t="n"/>
      <c r="H105" s="192" t="n"/>
      <c r="I105" s="192" t="n"/>
      <c r="J105" s="192" t="n"/>
      <c r="K105" s="192" t="n"/>
      <c r="L105" s="192" t="n"/>
      <c r="M105" s="192" t="n"/>
      <c r="N105" s="192" t="n"/>
      <c r="O105" s="192" t="n"/>
      <c r="P105" s="192" t="n"/>
      <c r="Q105" s="192" t="n"/>
    </row>
    <row r="106" ht="15.75" customHeight="1" s="251">
      <c r="A106" s="192" t="n"/>
      <c r="B106" s="197" t="inlineStr">
        <is>
          <t>Plus: FY2027E year-end net debt + NCI</t>
        </is>
      </c>
      <c r="C106" s="211">
        <f>C48</f>
        <v/>
      </c>
      <c r="D106" s="192" t="n"/>
      <c r="E106" s="192" t="n"/>
      <c r="F106" s="192" t="n"/>
      <c r="G106" s="192" t="n"/>
      <c r="H106" s="192" t="n"/>
      <c r="I106" s="192" t="n"/>
      <c r="J106" s="192" t="n"/>
      <c r="K106" s="192" t="n"/>
      <c r="L106" s="192" t="n"/>
      <c r="M106" s="192" t="n"/>
      <c r="N106" s="192" t="n"/>
      <c r="O106" s="192" t="n"/>
      <c r="P106" s="192" t="n"/>
      <c r="Q106" s="192" t="n"/>
    </row>
    <row r="107" ht="15.75" customHeight="1" s="251">
      <c r="A107" s="192" t="n"/>
      <c r="B107" s="197" t="inlineStr">
        <is>
          <t>Implied Enterprise Value (today)</t>
        </is>
      </c>
      <c r="C107" s="211">
        <f>C105+C106</f>
        <v/>
      </c>
      <c r="D107" s="192" t="n"/>
      <c r="E107" s="192" t="n"/>
      <c r="F107" s="192" t="n"/>
      <c r="G107" s="192" t="n"/>
      <c r="H107" s="192" t="n"/>
      <c r="I107" s="192" t="n"/>
      <c r="J107" s="192" t="n"/>
      <c r="K107" s="192" t="n"/>
      <c r="L107" s="192" t="n"/>
      <c r="M107" s="192" t="n"/>
      <c r="N107" s="192" t="n"/>
      <c r="O107" s="192" t="n"/>
      <c r="P107" s="192" t="n"/>
      <c r="Q107" s="192" t="n"/>
    </row>
    <row r="108" ht="15.75" customHeight="1" s="251">
      <c r="A108" s="192" t="n"/>
      <c r="B108" s="202" t="inlineStr">
        <is>
          <t>STE market-implied EV/NOPAT (on FY2029E NOPAT)</t>
        </is>
      </c>
      <c r="C108" s="304">
        <f>C107/C93</f>
        <v/>
      </c>
      <c r="D108" s="192" t="n"/>
      <c r="E108" s="192" t="n"/>
      <c r="F108" s="192" t="n"/>
      <c r="G108" s="192" t="n"/>
      <c r="H108" s="192" t="n"/>
      <c r="I108" s="192" t="n"/>
      <c r="J108" s="192" t="n"/>
      <c r="K108" s="192" t="n"/>
      <c r="L108" s="192" t="n"/>
      <c r="M108" s="192" t="n"/>
      <c r="N108" s="192" t="n"/>
      <c r="O108" s="192" t="n"/>
      <c r="P108" s="192" t="n"/>
      <c r="Q108" s="192" t="n"/>
    </row>
    <row r="109" ht="15" customHeight="1" s="251">
      <c r="A109" s="192" t="n"/>
      <c r="B109" s="192" t="n"/>
      <c r="C109" s="192" t="n"/>
      <c r="D109" s="192" t="n"/>
      <c r="E109" s="192" t="n"/>
      <c r="F109" s="192" t="n"/>
      <c r="G109" s="192" t="n"/>
      <c r="H109" s="192" t="n"/>
      <c r="I109" s="192" t="n"/>
      <c r="J109" s="192" t="n"/>
      <c r="K109" s="192" t="n"/>
      <c r="L109" s="192" t="n"/>
      <c r="M109" s="192" t="n"/>
      <c r="N109" s="192" t="n"/>
      <c r="O109" s="192" t="n"/>
      <c r="P109" s="192" t="n"/>
      <c r="Q109" s="192" t="n"/>
    </row>
    <row r="110" ht="15.75" customHeight="1" s="251">
      <c r="A110" s="192" t="n"/>
      <c r="B110" s="199" t="inlineStr">
        <is>
          <t>Multiple gap (Mauboussin − Market)</t>
        </is>
      </c>
      <c r="C110" s="247">
        <f>C88-C108</f>
        <v/>
      </c>
      <c r="D110" s="192" t="n"/>
      <c r="E110" s="192" t="n"/>
      <c r="F110" s="192" t="n"/>
      <c r="G110" s="192" t="n"/>
      <c r="H110" s="192" t="n"/>
      <c r="I110" s="192" t="n"/>
      <c r="J110" s="192" t="n"/>
      <c r="K110" s="192" t="n"/>
      <c r="L110" s="192" t="n"/>
      <c r="M110" s="192" t="n"/>
      <c r="N110" s="192" t="n"/>
      <c r="O110" s="192" t="n"/>
      <c r="P110" s="192" t="n"/>
      <c r="Q110" s="192" t="n"/>
    </row>
    <row r="111" ht="15.75" customHeight="1" s="251">
      <c r="A111" s="192" t="n"/>
      <c r="B111" s="197" t="inlineStr">
        <is>
          <t>Implied re-rating headroom</t>
        </is>
      </c>
      <c r="C111" s="215">
        <f>C88/C108-1</f>
        <v/>
      </c>
      <c r="D111" s="192" t="n"/>
      <c r="E111" s="192" t="n"/>
      <c r="F111" s="192" t="n"/>
      <c r="G111" s="192" t="n"/>
      <c r="H111" s="192" t="n"/>
      <c r="I111" s="192" t="n"/>
      <c r="J111" s="192" t="n"/>
      <c r="K111" s="192" t="n"/>
      <c r="L111" s="192" t="n"/>
      <c r="M111" s="192" t="n"/>
      <c r="N111" s="192" t="n"/>
      <c r="O111" s="192" t="n"/>
      <c r="P111" s="192" t="n"/>
      <c r="Q111" s="192" t="n"/>
    </row>
    <row r="112" ht="15" customHeight="1" s="251">
      <c r="A112" s="192" t="n"/>
      <c r="B112" s="192" t="n"/>
      <c r="C112" s="192" t="n"/>
      <c r="D112" s="192" t="n"/>
      <c r="E112" s="192" t="n"/>
      <c r="F112" s="192" t="n"/>
      <c r="G112" s="192" t="n"/>
      <c r="H112" s="192" t="n"/>
      <c r="I112" s="192" t="n"/>
      <c r="J112" s="192" t="n"/>
      <c r="K112" s="192" t="n"/>
      <c r="L112" s="192" t="n"/>
      <c r="M112" s="192" t="n"/>
      <c r="N112" s="192" t="n"/>
      <c r="O112" s="192" t="n"/>
      <c r="P112" s="192" t="n"/>
      <c r="Q112" s="192" t="n"/>
    </row>
    <row r="113" ht="15" customHeight="1" s="251">
      <c r="A113" s="192" t="n"/>
      <c r="B113" s="192" t="n"/>
      <c r="C113" s="192" t="n"/>
      <c r="D113" s="192" t="n"/>
      <c r="E113" s="192" t="n"/>
      <c r="F113" s="192" t="n"/>
      <c r="G113" s="192" t="n"/>
      <c r="H113" s="192" t="n"/>
      <c r="I113" s="192" t="n"/>
      <c r="J113" s="192" t="n"/>
      <c r="K113" s="192" t="n"/>
      <c r="L113" s="192" t="n"/>
      <c r="M113" s="192" t="n"/>
      <c r="N113" s="192" t="n"/>
      <c r="O113" s="192" t="n"/>
      <c r="P113" s="192" t="n"/>
      <c r="Q113" s="192" t="n"/>
    </row>
    <row r="114" ht="15" customHeight="1" s="251">
      <c r="A114" s="192" t="n"/>
      <c r="B114" s="192" t="n"/>
      <c r="C114" s="192" t="n"/>
      <c r="D114" s="192" t="n"/>
      <c r="E114" s="192" t="n"/>
      <c r="F114" s="192" t="n"/>
      <c r="G114" s="192" t="n"/>
      <c r="H114" s="192" t="n"/>
      <c r="I114" s="192" t="n"/>
      <c r="J114" s="192" t="n"/>
      <c r="K114" s="192" t="n"/>
      <c r="L114" s="192" t="n"/>
      <c r="M114" s="192" t="n"/>
      <c r="N114" s="192" t="n"/>
      <c r="O114" s="192" t="n"/>
      <c r="P114" s="192" t="n"/>
      <c r="Q114" s="192" t="n"/>
    </row>
    <row r="115" ht="15" customHeight="1" s="251">
      <c r="A115" s="192" t="n"/>
      <c r="B115" s="192" t="n"/>
      <c r="C115" s="192" t="n"/>
      <c r="D115" s="192" t="n"/>
      <c r="E115" s="192" t="n"/>
      <c r="F115" s="192" t="n"/>
      <c r="G115" s="192" t="n"/>
      <c r="H115" s="192" t="n"/>
      <c r="I115" s="192" t="n"/>
      <c r="J115" s="192" t="n"/>
      <c r="K115" s="192" t="n"/>
      <c r="L115" s="192" t="n"/>
      <c r="M115" s="192" t="n"/>
      <c r="N115" s="192" t="n"/>
      <c r="O115" s="192" t="n"/>
      <c r="P115" s="192" t="n"/>
      <c r="Q115" s="192" t="n"/>
    </row>
    <row r="116">
      <c r="A116" s="192" t="n"/>
      <c r="B116" s="192" t="n"/>
      <c r="C116" s="192" t="n"/>
      <c r="D116" s="192" t="n"/>
      <c r="E116" s="192" t="n"/>
      <c r="F116" s="192" t="n"/>
      <c r="G116" s="192" t="n"/>
      <c r="H116" s="192" t="n"/>
      <c r="I116" s="192" t="n"/>
      <c r="J116" s="192" t="n"/>
      <c r="K116" s="192" t="n"/>
      <c r="L116" s="192" t="n"/>
      <c r="M116" s="192" t="n"/>
      <c r="N116" s="192" t="n"/>
      <c r="O116" s="192" t="n"/>
      <c r="P116" s="192" t="n"/>
      <c r="Q116" s="192" t="n"/>
    </row>
    <row r="117" ht="15" customHeight="1" s="251">
      <c r="A117" s="192" t="n"/>
      <c r="B117" s="192" t="n"/>
      <c r="C117" s="192" t="n"/>
      <c r="D117" s="192" t="n"/>
      <c r="E117" s="192" t="n"/>
      <c r="F117" s="192" t="n"/>
      <c r="G117" s="192" t="n"/>
      <c r="H117" s="192" t="n"/>
      <c r="I117" s="192" t="n"/>
      <c r="J117" s="192" t="n"/>
      <c r="K117" s="192" t="n"/>
      <c r="L117" s="192" t="n"/>
      <c r="M117" s="192" t="n"/>
      <c r="N117" s="192" t="n"/>
      <c r="O117" s="192" t="n"/>
      <c r="P117" s="192" t="n"/>
      <c r="Q117" s="192" t="n"/>
    </row>
    <row r="118" ht="15" customHeight="1" s="251">
      <c r="A118" s="192" t="n"/>
      <c r="B118" s="192" t="n"/>
      <c r="C118" s="192" t="n"/>
      <c r="D118" s="192" t="n"/>
      <c r="E118" s="192" t="n"/>
      <c r="F118" s="192" t="n"/>
      <c r="G118" s="192" t="n"/>
      <c r="H118" s="192" t="n"/>
      <c r="I118" s="192" t="n"/>
      <c r="J118" s="192" t="n"/>
      <c r="K118" s="192" t="n"/>
      <c r="L118" s="192" t="n"/>
      <c r="M118" s="192" t="n"/>
      <c r="N118" s="192" t="n"/>
      <c r="O118" s="192" t="n"/>
      <c r="P118" s="192" t="n"/>
      <c r="Q118" s="192" t="n"/>
    </row>
    <row r="119">
      <c r="A119" s="192" t="n"/>
      <c r="B119" s="192" t="n"/>
      <c r="C119" s="192" t="n"/>
      <c r="D119" s="192" t="n"/>
      <c r="E119" s="192" t="n"/>
      <c r="F119" s="192" t="n"/>
      <c r="G119" s="192" t="n"/>
      <c r="H119" s="192" t="n"/>
      <c r="I119" s="192" t="n"/>
      <c r="J119" s="192" t="n"/>
      <c r="K119" s="192" t="n"/>
      <c r="L119" s="192" t="n"/>
      <c r="M119" s="192" t="n"/>
      <c r="N119" s="192" t="n"/>
      <c r="O119" s="192" t="n"/>
      <c r="P119" s="192" t="n"/>
      <c r="Q119" s="192" t="n"/>
    </row>
    <row r="120">
      <c r="A120" s="192" t="n"/>
      <c r="B120" s="192" t="n"/>
      <c r="C120" s="192" t="n"/>
      <c r="D120" s="192" t="n"/>
      <c r="E120" s="192" t="n"/>
      <c r="F120" s="192" t="n"/>
      <c r="G120" s="192" t="n"/>
      <c r="H120" s="192" t="n"/>
      <c r="I120" s="192" t="n"/>
      <c r="J120" s="192" t="n"/>
      <c r="K120" s="192" t="n"/>
      <c r="L120" s="192" t="n"/>
      <c r="M120" s="192" t="n"/>
      <c r="N120" s="192" t="n"/>
      <c r="O120" s="192" t="n"/>
      <c r="P120" s="192" t="n"/>
      <c r="Q120" s="192" t="n"/>
    </row>
    <row r="121">
      <c r="A121" s="192" t="n"/>
      <c r="B121" s="192" t="n"/>
      <c r="C121" s="192" t="n"/>
      <c r="D121" s="192" t="n"/>
      <c r="E121" s="192" t="n"/>
      <c r="F121" s="192" t="n"/>
      <c r="G121" s="192" t="n"/>
      <c r="H121" s="192" t="n"/>
      <c r="I121" s="192" t="n"/>
      <c r="J121" s="192" t="n"/>
      <c r="K121" s="192" t="n"/>
      <c r="L121" s="192" t="n"/>
      <c r="M121" s="192" t="n"/>
      <c r="N121" s="192" t="n"/>
      <c r="O121" s="192" t="n"/>
      <c r="P121" s="192" t="n"/>
      <c r="Q121" s="192" t="n"/>
    </row>
    <row r="122">
      <c r="A122" s="192" t="n"/>
      <c r="B122" s="192" t="n"/>
      <c r="C122" s="192" t="n"/>
      <c r="D122" s="192" t="n"/>
      <c r="E122" s="192" t="n"/>
      <c r="F122" s="192" t="n"/>
      <c r="G122" s="192" t="n"/>
      <c r="H122" s="192" t="n"/>
      <c r="I122" s="192" t="n"/>
      <c r="J122" s="192" t="n"/>
      <c r="K122" s="192" t="n"/>
      <c r="L122" s="192" t="n"/>
      <c r="M122" s="192" t="n"/>
      <c r="N122" s="192" t="n"/>
      <c r="O122" s="192" t="n"/>
      <c r="P122" s="192" t="n"/>
      <c r="Q122" s="192" t="n"/>
    </row>
    <row r="123">
      <c r="A123" s="192" t="n"/>
      <c r="B123" s="192" t="n"/>
      <c r="C123" s="192" t="n"/>
      <c r="D123" s="192" t="n"/>
      <c r="E123" s="192" t="n"/>
      <c r="F123" s="192" t="n"/>
      <c r="G123" s="192" t="n"/>
      <c r="H123" s="192" t="n"/>
      <c r="I123" s="192" t="n"/>
      <c r="J123" s="192" t="n"/>
      <c r="K123" s="192" t="n"/>
      <c r="L123" s="192" t="n"/>
      <c r="M123" s="192" t="n"/>
      <c r="N123" s="192" t="n"/>
      <c r="O123" s="192" t="n"/>
      <c r="P123" s="192" t="n"/>
      <c r="Q123" s="192" t="n"/>
    </row>
    <row r="124">
      <c r="A124" s="192" t="n"/>
      <c r="B124" s="192" t="n"/>
      <c r="C124" s="192" t="n"/>
      <c r="D124" s="192" t="n"/>
      <c r="E124" s="192" t="n"/>
      <c r="F124" s="192" t="n"/>
      <c r="G124" s="192" t="n"/>
      <c r="H124" s="192" t="n"/>
      <c r="I124" s="192" t="n"/>
      <c r="J124" s="192" t="n"/>
      <c r="K124" s="192" t="n"/>
      <c r="L124" s="192" t="n"/>
      <c r="M124" s="192" t="n"/>
      <c r="N124" s="192" t="n"/>
      <c r="O124" s="192" t="n"/>
      <c r="P124" s="192" t="n"/>
      <c r="Q124" s="192" t="n"/>
    </row>
    <row r="125">
      <c r="A125" s="192" t="n"/>
      <c r="B125" s="192" t="n"/>
      <c r="C125" s="192" t="n"/>
      <c r="D125" s="192" t="n"/>
      <c r="E125" s="192" t="n"/>
      <c r="F125" s="192" t="n"/>
      <c r="G125" s="192" t="n"/>
      <c r="H125" s="192" t="n"/>
      <c r="I125" s="192" t="n"/>
      <c r="J125" s="192" t="n"/>
      <c r="K125" s="192" t="n"/>
      <c r="L125" s="192" t="n"/>
      <c r="M125" s="192" t="n"/>
      <c r="N125" s="192" t="n"/>
      <c r="O125" s="192" t="n"/>
      <c r="P125" s="192" t="n"/>
      <c r="Q125" s="192" t="n"/>
    </row>
    <row r="126">
      <c r="A126" s="192" t="n"/>
      <c r="B126" s="192" t="n"/>
      <c r="C126" s="192" t="n"/>
      <c r="D126" s="192" t="n"/>
      <c r="E126" s="192" t="n"/>
      <c r="F126" s="192" t="n"/>
      <c r="G126" s="192" t="n"/>
      <c r="H126" s="192" t="n"/>
      <c r="I126" s="192" t="n"/>
      <c r="J126" s="192" t="n"/>
      <c r="K126" s="192" t="n"/>
      <c r="L126" s="192" t="n"/>
      <c r="M126" s="192" t="n"/>
      <c r="N126" s="192" t="n"/>
      <c r="O126" s="192" t="n"/>
      <c r="P126" s="192" t="n"/>
      <c r="Q126" s="192" t="n"/>
    </row>
    <row r="127">
      <c r="A127" s="192" t="n"/>
      <c r="B127" s="192" t="n"/>
      <c r="C127" s="192" t="n"/>
      <c r="D127" s="192" t="n"/>
      <c r="E127" s="192" t="n"/>
      <c r="F127" s="192" t="n"/>
      <c r="G127" s="192" t="n"/>
      <c r="H127" s="192" t="n"/>
      <c r="I127" s="192" t="n"/>
      <c r="J127" s="192" t="n"/>
      <c r="K127" s="192" t="n"/>
      <c r="L127" s="192" t="n"/>
      <c r="M127" s="192" t="n"/>
      <c r="N127" s="192" t="n"/>
      <c r="O127" s="192" t="n"/>
      <c r="P127" s="192" t="n"/>
      <c r="Q127" s="192" t="n"/>
    </row>
    <row r="128">
      <c r="A128" s="192" t="n"/>
      <c r="B128" s="192" t="n"/>
      <c r="C128" s="192" t="n"/>
      <c r="D128" s="192" t="n"/>
      <c r="E128" s="192" t="n"/>
      <c r="F128" s="192" t="n"/>
      <c r="G128" s="192" t="n"/>
      <c r="H128" s="192" t="n"/>
      <c r="I128" s="192" t="n"/>
      <c r="J128" s="192" t="n"/>
      <c r="K128" s="192" t="n"/>
      <c r="L128" s="192" t="n"/>
      <c r="M128" s="192" t="n"/>
      <c r="N128" s="192" t="n"/>
      <c r="O128" s="192" t="n"/>
      <c r="P128" s="192" t="n"/>
      <c r="Q128" s="192" t="n"/>
    </row>
    <row r="129">
      <c r="A129" s="192" t="n"/>
      <c r="B129" s="192" t="n"/>
      <c r="C129" s="192" t="n"/>
      <c r="D129" s="192" t="n"/>
      <c r="E129" s="192" t="n"/>
      <c r="F129" s="192" t="n"/>
      <c r="G129" s="192" t="n"/>
      <c r="H129" s="192" t="n"/>
      <c r="I129" s="192" t="n"/>
      <c r="J129" s="192" t="n"/>
      <c r="K129" s="192" t="n"/>
      <c r="L129" s="192" t="n"/>
      <c r="M129" s="192" t="n"/>
      <c r="N129" s="192" t="n"/>
      <c r="O129" s="192" t="n"/>
      <c r="P129" s="192" t="n"/>
      <c r="Q129" s="192" t="n"/>
    </row>
    <row r="130">
      <c r="A130" s="192" t="n"/>
      <c r="B130" s="192" t="n"/>
      <c r="C130" s="192" t="n"/>
      <c r="D130" s="192" t="n"/>
      <c r="E130" s="192" t="n"/>
      <c r="F130" s="192" t="n"/>
      <c r="G130" s="192" t="n"/>
      <c r="H130" s="192" t="n"/>
      <c r="I130" s="192" t="n"/>
      <c r="J130" s="192" t="n"/>
      <c r="K130" s="192" t="n"/>
      <c r="L130" s="192" t="n"/>
      <c r="M130" s="192" t="n"/>
      <c r="N130" s="192" t="n"/>
      <c r="O130" s="192" t="n"/>
      <c r="P130" s="192" t="n"/>
      <c r="Q130" s="19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style="251" min="2" max="2"/>
  </cols>
  <sheetData>
    <row r="2" ht="17.25" customHeight="1" s="251">
      <c r="B2" s="107" t="inlineStr">
        <is>
          <t>STERIS plc — Operating Performance (FY2012–FY2026) and Model Forecast (FY2027E–FY2031E)</t>
        </is>
      </c>
    </row>
    <row r="3" ht="15" customHeight="1" s="251">
      <c r="B3" s="4" t="inlineStr">
        <is>
          <t>USDm · fiscal years ended 31 March · Linked to Model. Bars = constant-currency organic growth vs acquisitions, divestitures &amp; FX (published bridge from FY2017; earlier years: total growth shown as organic). Adjusted EBITDA = model definition (adjusted operating income + depreciation &amp; other amortization). ROIC / RONTA on adjusted EBIT (full-cost).</t>
        </is>
      </c>
    </row>
    <row r="7" ht="15" customHeight="1" s="251">
      <c r="C7" s="10" t="n">
        <v>2012</v>
      </c>
      <c r="D7" s="10" t="n">
        <v>2013</v>
      </c>
      <c r="E7" s="10" t="n">
        <v>2014</v>
      </c>
      <c r="F7" s="10" t="n">
        <v>2015</v>
      </c>
      <c r="G7" s="10" t="n">
        <v>2016</v>
      </c>
      <c r="H7" s="10" t="n">
        <v>2017</v>
      </c>
      <c r="I7" s="10" t="n">
        <v>2018</v>
      </c>
      <c r="J7" s="10" t="n">
        <v>2019</v>
      </c>
      <c r="K7" s="10" t="n">
        <v>2020</v>
      </c>
      <c r="L7" s="10" t="n">
        <v>2021</v>
      </c>
      <c r="M7" s="10" t="n">
        <v>2022</v>
      </c>
      <c r="N7" s="10" t="n">
        <v>2023</v>
      </c>
      <c r="O7" s="10" t="n">
        <v>2024</v>
      </c>
      <c r="P7" s="10" t="n">
        <v>2025</v>
      </c>
      <c r="Q7" s="10" t="n">
        <v>2026</v>
      </c>
      <c r="R7" s="10" t="inlineStr">
        <is>
          <t>2027E</t>
        </is>
      </c>
      <c r="S7" s="10" t="inlineStr">
        <is>
          <t>2028E</t>
        </is>
      </c>
      <c r="T7" s="10" t="inlineStr">
        <is>
          <t>2029E</t>
        </is>
      </c>
      <c r="U7" s="10" t="inlineStr">
        <is>
          <t>2030E</t>
        </is>
      </c>
      <c r="V7" s="10" t="inlineStr">
        <is>
          <t>2031E</t>
        </is>
      </c>
    </row>
    <row r="8" ht="15" customHeight="1" s="251">
      <c r="B8" t="inlineStr">
        <is>
          <t>CC organic growth %</t>
        </is>
      </c>
      <c r="C8" s="108">
        <f>IFERROR(Model!C95+0,IFERROR(Model!C266+0,0))</f>
        <v/>
      </c>
      <c r="D8" s="108">
        <f>IFERROR(Model!D95+0,IFERROR(Model!D266+0,0))</f>
        <v/>
      </c>
      <c r="E8" s="108">
        <f>IFERROR(Model!E95+0,IFERROR(Model!E266+0,0))</f>
        <v/>
      </c>
      <c r="F8" s="108">
        <f>IFERROR(Model!F95+0,IFERROR(Model!F266+0,0))</f>
        <v/>
      </c>
      <c r="G8" s="108">
        <f>IFERROR(Model!G95+0,IFERROR(Model!G266+0,0))</f>
        <v/>
      </c>
      <c r="H8" s="108">
        <f>IFERROR(Model!H95+0,IFERROR(Model!H266+0,0))</f>
        <v/>
      </c>
      <c r="I8" s="108">
        <f>IFERROR(Model!I95+0,IFERROR(Model!I266+0,0))</f>
        <v/>
      </c>
      <c r="J8" s="108">
        <f>IFERROR(Model!J95+0,IFERROR(Model!J266+0,0))</f>
        <v/>
      </c>
      <c r="K8" s="108">
        <f>IFERROR(Model!K95+0,IFERROR(Model!K266+0,0))</f>
        <v/>
      </c>
      <c r="L8" s="108">
        <f>IFERROR(Model!L95+0,IFERROR(Model!L266+0,0))</f>
        <v/>
      </c>
      <c r="M8" s="108">
        <f>IFERROR(Model!Q95+0,IFERROR(Model!Q266+0,0))</f>
        <v/>
      </c>
      <c r="N8" s="108">
        <f>IFERROR(Model!V95+0,IFERROR(Model!V266+0,0))</f>
        <v/>
      </c>
      <c r="O8" s="108">
        <f>IFERROR(Model!AA95+0,IFERROR(Model!AA266+0,0))</f>
        <v/>
      </c>
      <c r="P8" s="108">
        <f>IFERROR(Model!AF95+0,IFERROR(Model!AF266+0,0))</f>
        <v/>
      </c>
      <c r="Q8" s="108">
        <f>IFERROR(Model!AK95+0,IFERROR(Model!AK266+0,0))</f>
        <v/>
      </c>
      <c r="R8" s="108">
        <f>IFERROR(Model!AP95+0,IFERROR(Model!AP266+0,0))</f>
        <v/>
      </c>
      <c r="S8" s="108">
        <f>IFERROR(Model!AQ95+0,IFERROR(Model!AQ266+0,0))</f>
        <v/>
      </c>
      <c r="T8" s="108">
        <f>IFERROR(Model!AR95+0,IFERROR(Model!AR266+0,0))</f>
        <v/>
      </c>
      <c r="U8" s="108">
        <f>IFERROR(Model!AS95+0,IFERROR(Model!AS266+0,0))</f>
        <v/>
      </c>
      <c r="V8" s="108">
        <f>IFERROR(Model!AT95+0,IFERROR(Model!AT266+0,0))</f>
        <v/>
      </c>
    </row>
    <row r="9" ht="15" customHeight="1" s="251">
      <c r="B9" t="inlineStr">
        <is>
          <t>Acquisitions, divestitures &amp; FX %</t>
        </is>
      </c>
      <c r="C9" s="108">
        <f>IFERROR(Model!C266-Model!C95,0)</f>
        <v/>
      </c>
      <c r="D9" s="108">
        <f>IFERROR(Model!D266-Model!D95,0)</f>
        <v/>
      </c>
      <c r="E9" s="108">
        <f>IFERROR(Model!E266-Model!E95,0)</f>
        <v/>
      </c>
      <c r="F9" s="108">
        <f>IFERROR(Model!F266-Model!F95,0)</f>
        <v/>
      </c>
      <c r="G9" s="108">
        <f>IFERROR(Model!G266-Model!G95,0)</f>
        <v/>
      </c>
      <c r="H9" s="108">
        <f>IFERROR(Model!H266-Model!H95,0)</f>
        <v/>
      </c>
      <c r="I9" s="108">
        <f>IFERROR(Model!I266-Model!I95,0)</f>
        <v/>
      </c>
      <c r="J9" s="108">
        <f>IFERROR(Model!J266-Model!J95,0)</f>
        <v/>
      </c>
      <c r="K9" s="108">
        <f>IFERROR(Model!K266-Model!K95,0)</f>
        <v/>
      </c>
      <c r="L9" s="108">
        <f>IFERROR(Model!L266-Model!L95,0)</f>
        <v/>
      </c>
      <c r="M9" s="108">
        <f>IFERROR(Model!Q266-Model!Q95,0)</f>
        <v/>
      </c>
      <c r="N9" s="108">
        <f>IFERROR(Model!V266-Model!V95,0)</f>
        <v/>
      </c>
      <c r="O9" s="108">
        <f>IFERROR(Model!AA266-Model!AA95,0)</f>
        <v/>
      </c>
      <c r="P9" s="108">
        <f>IFERROR(Model!AF266-Model!AF95,0)</f>
        <v/>
      </c>
      <c r="Q9" s="108">
        <f>IFERROR(Model!AK266-Model!AK95,0)</f>
        <v/>
      </c>
      <c r="R9" s="108">
        <f>IFERROR(Model!AP266-Model!AP95,0)</f>
        <v/>
      </c>
      <c r="S9" s="108">
        <f>IFERROR(Model!AQ266-Model!AQ95,0)</f>
        <v/>
      </c>
      <c r="T9" s="108">
        <f>IFERROR(Model!AR266-Model!AR95,0)</f>
        <v/>
      </c>
      <c r="U9" s="108">
        <f>IFERROR(Model!AS266-Model!AS95,0)</f>
        <v/>
      </c>
      <c r="V9" s="108">
        <f>IFERROR(Model!AT266-Model!AT95,0)</f>
        <v/>
      </c>
    </row>
    <row r="11" ht="15" customHeight="1" s="251">
      <c r="C11" s="10">
        <f>C7</f>
        <v/>
      </c>
      <c r="D11" s="10">
        <f>D7</f>
        <v/>
      </c>
      <c r="E11" s="10">
        <f>E7</f>
        <v/>
      </c>
      <c r="F11" s="10">
        <f>F7</f>
        <v/>
      </c>
      <c r="G11" s="10">
        <f>G7</f>
        <v/>
      </c>
      <c r="H11" s="10">
        <f>H7</f>
        <v/>
      </c>
      <c r="I11" s="10">
        <f>I7</f>
        <v/>
      </c>
      <c r="J11" s="10">
        <f>J7</f>
        <v/>
      </c>
      <c r="K11" s="10">
        <f>K7</f>
        <v/>
      </c>
      <c r="L11" s="10">
        <f>L7</f>
        <v/>
      </c>
      <c r="M11" s="10">
        <f>M7</f>
        <v/>
      </c>
      <c r="N11" s="10">
        <f>N7</f>
        <v/>
      </c>
      <c r="O11" s="10">
        <f>O7</f>
        <v/>
      </c>
      <c r="P11" s="10">
        <f>P7</f>
        <v/>
      </c>
      <c r="Q11" s="10">
        <f>Q7</f>
        <v/>
      </c>
      <c r="R11" s="10">
        <f>R7</f>
        <v/>
      </c>
      <c r="S11" s="10">
        <f>S7</f>
        <v/>
      </c>
      <c r="T11" s="10">
        <f>T7</f>
        <v/>
      </c>
      <c r="U11" s="10">
        <f>U7</f>
        <v/>
      </c>
      <c r="V11" s="10">
        <f>V7</f>
        <v/>
      </c>
    </row>
    <row r="12" ht="15" customHeight="1" s="251">
      <c r="B12" t="inlineStr">
        <is>
          <t>Adjusted EBITDA</t>
        </is>
      </c>
      <c r="C12" s="106">
        <f>Model!C233</f>
        <v/>
      </c>
      <c r="D12" s="106">
        <f>Model!D233</f>
        <v/>
      </c>
      <c r="E12" s="106">
        <f>Model!E233</f>
        <v/>
      </c>
      <c r="F12" s="106">
        <f>Model!F233</f>
        <v/>
      </c>
      <c r="G12" s="106">
        <f>Model!G233</f>
        <v/>
      </c>
      <c r="H12" s="106">
        <f>Model!H233</f>
        <v/>
      </c>
      <c r="I12" s="106">
        <f>Model!I233</f>
        <v/>
      </c>
      <c r="J12" s="106">
        <f>Model!J233</f>
        <v/>
      </c>
      <c r="K12" s="106">
        <f>Model!K233</f>
        <v/>
      </c>
      <c r="L12" s="106">
        <f>Model!L233</f>
        <v/>
      </c>
      <c r="M12" s="106">
        <f>Model!Q233</f>
        <v/>
      </c>
      <c r="N12" s="106">
        <f>Model!V233</f>
        <v/>
      </c>
      <c r="O12" s="106">
        <f>Model!AA233</f>
        <v/>
      </c>
      <c r="P12" s="106">
        <f>Model!AF233</f>
        <v/>
      </c>
      <c r="Q12" s="106">
        <f>Model!AK233</f>
        <v/>
      </c>
      <c r="R12" s="106">
        <f>Model!AP233</f>
        <v/>
      </c>
      <c r="S12" s="106">
        <f>Model!AQ233</f>
        <v/>
      </c>
      <c r="T12" s="106">
        <f>Model!AR233</f>
        <v/>
      </c>
      <c r="U12" s="106">
        <f>Model!AS233</f>
        <v/>
      </c>
      <c r="V12" s="106">
        <f>Model!AT233</f>
        <v/>
      </c>
    </row>
    <row r="13" ht="15" customHeight="1" s="251">
      <c r="B13" t="inlineStr">
        <is>
          <t>Income from Operations (GAAP)</t>
        </is>
      </c>
      <c r="C13" s="106">
        <f>Model!C167</f>
        <v/>
      </c>
      <c r="D13" s="106">
        <f>Model!D167</f>
        <v/>
      </c>
      <c r="E13" s="106">
        <f>Model!E167</f>
        <v/>
      </c>
      <c r="F13" s="106">
        <f>Model!F167</f>
        <v/>
      </c>
      <c r="G13" s="106">
        <f>Model!G167</f>
        <v/>
      </c>
      <c r="H13" s="106">
        <f>Model!H167</f>
        <v/>
      </c>
      <c r="I13" s="106">
        <f>Model!I167</f>
        <v/>
      </c>
      <c r="J13" s="106">
        <f>Model!J167</f>
        <v/>
      </c>
      <c r="K13" s="106">
        <f>Model!K167</f>
        <v/>
      </c>
      <c r="L13" s="106">
        <f>Model!L167</f>
        <v/>
      </c>
      <c r="M13" s="106">
        <f>Model!Q167</f>
        <v/>
      </c>
      <c r="N13" s="106">
        <f>Model!V167</f>
        <v/>
      </c>
      <c r="O13" s="106">
        <f>Model!AA167</f>
        <v/>
      </c>
      <c r="P13" s="106">
        <f>Model!AF167</f>
        <v/>
      </c>
      <c r="Q13" s="106">
        <f>Model!AK167</f>
        <v/>
      </c>
      <c r="R13" s="106">
        <f>Model!AP167</f>
        <v/>
      </c>
      <c r="S13" s="106">
        <f>Model!AQ167</f>
        <v/>
      </c>
      <c r="T13" s="106">
        <f>Model!AR167</f>
        <v/>
      </c>
      <c r="U13" s="106">
        <f>Model!AS167</f>
        <v/>
      </c>
      <c r="V13" s="106">
        <f>Model!AT167</f>
        <v/>
      </c>
    </row>
    <row r="14" ht="15" customHeight="1" s="251">
      <c r="B14" t="inlineStr">
        <is>
          <t>Adj. EBITDA Margin %</t>
        </is>
      </c>
      <c r="C14" s="108">
        <f>Model!C279</f>
        <v/>
      </c>
      <c r="D14" s="108">
        <f>Model!D279</f>
        <v/>
      </c>
      <c r="E14" s="108">
        <f>Model!E279</f>
        <v/>
      </c>
      <c r="F14" s="108">
        <f>Model!F279</f>
        <v/>
      </c>
      <c r="G14" s="108">
        <f>Model!G279</f>
        <v/>
      </c>
      <c r="H14" s="108">
        <f>Model!H279</f>
        <v/>
      </c>
      <c r="I14" s="108">
        <f>Model!I279</f>
        <v/>
      </c>
      <c r="J14" s="108">
        <f>Model!J279</f>
        <v/>
      </c>
      <c r="K14" s="108">
        <f>Model!K279</f>
        <v/>
      </c>
      <c r="L14" s="108">
        <f>Model!L279</f>
        <v/>
      </c>
      <c r="M14" s="108">
        <f>Model!Q279</f>
        <v/>
      </c>
      <c r="N14" s="108">
        <f>Model!V279</f>
        <v/>
      </c>
      <c r="O14" s="108">
        <f>Model!AA279</f>
        <v/>
      </c>
      <c r="P14" s="108">
        <f>Model!AF279</f>
        <v/>
      </c>
      <c r="Q14" s="108">
        <f>Model!AK279</f>
        <v/>
      </c>
      <c r="R14" s="108">
        <f>Model!AP279</f>
        <v/>
      </c>
      <c r="S14" s="108">
        <f>Model!AQ279</f>
        <v/>
      </c>
      <c r="T14" s="108">
        <f>Model!AR279</f>
        <v/>
      </c>
      <c r="U14" s="108">
        <f>Model!AS279</f>
        <v/>
      </c>
      <c r="V14" s="108">
        <f>Model!AT279</f>
        <v/>
      </c>
    </row>
    <row r="15" ht="15" customHeight="1" s="251">
      <c r="B15" t="inlineStr">
        <is>
          <t>GAAP Op. Margin %</t>
        </is>
      </c>
      <c r="C15" s="108">
        <f>Model!C280</f>
        <v/>
      </c>
      <c r="D15" s="108">
        <f>Model!D280</f>
        <v/>
      </c>
      <c r="E15" s="108">
        <f>Model!E280</f>
        <v/>
      </c>
      <c r="F15" s="108">
        <f>Model!F280</f>
        <v/>
      </c>
      <c r="G15" s="108">
        <f>Model!G280</f>
        <v/>
      </c>
      <c r="H15" s="108">
        <f>Model!H280</f>
        <v/>
      </c>
      <c r="I15" s="108">
        <f>Model!I280</f>
        <v/>
      </c>
      <c r="J15" s="108">
        <f>Model!J280</f>
        <v/>
      </c>
      <c r="K15" s="108">
        <f>Model!K280</f>
        <v/>
      </c>
      <c r="L15" s="108">
        <f>Model!L280</f>
        <v/>
      </c>
      <c r="M15" s="108">
        <f>Model!Q280</f>
        <v/>
      </c>
      <c r="N15" s="108">
        <f>Model!V280</f>
        <v/>
      </c>
      <c r="O15" s="108">
        <f>Model!AA280</f>
        <v/>
      </c>
      <c r="P15" s="108">
        <f>Model!AF280</f>
        <v/>
      </c>
      <c r="Q15" s="108">
        <f>Model!AK280</f>
        <v/>
      </c>
      <c r="R15" s="108">
        <f>Model!AP280</f>
        <v/>
      </c>
      <c r="S15" s="108">
        <f>Model!AQ280</f>
        <v/>
      </c>
      <c r="T15" s="108">
        <f>Model!AR280</f>
        <v/>
      </c>
      <c r="U15" s="108">
        <f>Model!AS280</f>
        <v/>
      </c>
      <c r="V15" s="108">
        <f>Model!AT280</f>
        <v/>
      </c>
    </row>
    <row r="17" ht="15" customHeight="1" s="251">
      <c r="C17" s="10">
        <f>C7</f>
        <v/>
      </c>
      <c r="D17" s="10">
        <f>D7</f>
        <v/>
      </c>
      <c r="E17" s="10">
        <f>E7</f>
        <v/>
      </c>
      <c r="F17" s="10">
        <f>F7</f>
        <v/>
      </c>
      <c r="G17" s="10">
        <f>G7</f>
        <v/>
      </c>
      <c r="H17" s="10">
        <f>H7</f>
        <v/>
      </c>
      <c r="I17" s="10">
        <f>I7</f>
        <v/>
      </c>
      <c r="J17" s="10">
        <f>J7</f>
        <v/>
      </c>
      <c r="K17" s="10">
        <f>K7</f>
        <v/>
      </c>
      <c r="L17" s="10">
        <f>L7</f>
        <v/>
      </c>
      <c r="M17" s="10">
        <f>M7</f>
        <v/>
      </c>
      <c r="N17" s="10">
        <f>N7</f>
        <v/>
      </c>
      <c r="O17" s="10">
        <f>O7</f>
        <v/>
      </c>
      <c r="P17" s="10">
        <f>P7</f>
        <v/>
      </c>
      <c r="Q17" s="10">
        <f>Q7</f>
        <v/>
      </c>
      <c r="R17" s="10">
        <f>R7</f>
        <v/>
      </c>
      <c r="S17" s="10">
        <f>S7</f>
        <v/>
      </c>
      <c r="T17" s="10">
        <f>T7</f>
        <v/>
      </c>
      <c r="U17" s="10">
        <f>U7</f>
        <v/>
      </c>
      <c r="V17" s="10">
        <f>V7</f>
        <v/>
      </c>
    </row>
    <row r="18" ht="15" customHeight="1" s="251">
      <c r="B18" t="inlineStr">
        <is>
          <t>ROIC</t>
        </is>
      </c>
      <c r="C18" s="108">
        <f>IFERROR(Model!C424+0,NA())</f>
        <v/>
      </c>
      <c r="D18" s="108">
        <f>IFERROR(Model!D424+0,NA())</f>
        <v/>
      </c>
      <c r="E18" s="108">
        <f>IFERROR(Model!E424+0,NA())</f>
        <v/>
      </c>
      <c r="F18" s="108">
        <f>IFERROR(Model!F424+0,NA())</f>
        <v/>
      </c>
      <c r="G18" s="108">
        <f>IFERROR(Model!G424+0,NA())</f>
        <v/>
      </c>
      <c r="H18" s="108">
        <f>IFERROR(Model!H424+0,NA())</f>
        <v/>
      </c>
      <c r="I18" s="108">
        <f>IFERROR(Model!I424+0,NA())</f>
        <v/>
      </c>
      <c r="J18" s="108">
        <f>IFERROR(Model!J424+0,NA())</f>
        <v/>
      </c>
      <c r="K18" s="108">
        <f>IFERROR(Model!K424+0,NA())</f>
        <v/>
      </c>
      <c r="L18" s="108">
        <f>IFERROR(Model!L424+0,NA())</f>
        <v/>
      </c>
      <c r="M18" s="108">
        <f>IFERROR(Model!Q424+0,NA())</f>
        <v/>
      </c>
      <c r="N18" s="108">
        <f>IFERROR(Model!V424+0,NA())</f>
        <v/>
      </c>
      <c r="O18" s="108">
        <f>IFERROR(Model!AA424+0,NA())</f>
        <v/>
      </c>
      <c r="P18" s="108">
        <f>IFERROR(Model!AF424+0,NA())</f>
        <v/>
      </c>
      <c r="Q18" s="108">
        <f>IFERROR(Model!AK424+0,NA())</f>
        <v/>
      </c>
      <c r="R18" s="108">
        <f>IFERROR(Model!AP424+0,NA())</f>
        <v/>
      </c>
      <c r="S18" s="108">
        <f>IFERROR(Model!AQ424+0,NA())</f>
        <v/>
      </c>
      <c r="T18" s="108">
        <f>IFERROR(Model!AR424+0,NA())</f>
        <v/>
      </c>
      <c r="U18" s="108">
        <f>IFERROR(Model!AS424+0,NA())</f>
        <v/>
      </c>
      <c r="V18" s="108">
        <f>IFERROR(Model!AT424+0,NA())</f>
        <v/>
      </c>
    </row>
    <row r="19" ht="15" customHeight="1" s="251">
      <c r="B19" t="inlineStr">
        <is>
          <t>RONTA</t>
        </is>
      </c>
      <c r="C19" s="108">
        <f>IFERROR(Model!C435+0,NA())</f>
        <v/>
      </c>
      <c r="D19" s="108">
        <f>IFERROR(Model!D435+0,NA())</f>
        <v/>
      </c>
      <c r="E19" s="108">
        <f>IFERROR(Model!E435+0,NA())</f>
        <v/>
      </c>
      <c r="F19" s="108">
        <f>IFERROR(Model!F435+0,NA())</f>
        <v/>
      </c>
      <c r="G19" s="108">
        <f>IFERROR(Model!G435+0,NA())</f>
        <v/>
      </c>
      <c r="H19" s="108">
        <f>IFERROR(Model!H435+0,NA())</f>
        <v/>
      </c>
      <c r="I19" s="108">
        <f>IFERROR(Model!I435+0,NA())</f>
        <v/>
      </c>
      <c r="J19" s="108">
        <f>IFERROR(Model!J435+0,NA())</f>
        <v/>
      </c>
      <c r="K19" s="108">
        <f>IFERROR(Model!K435+0,NA())</f>
        <v/>
      </c>
      <c r="L19" s="108">
        <f>IFERROR(Model!L435+0,NA())</f>
        <v/>
      </c>
      <c r="M19" s="108">
        <f>IFERROR(Model!Q435+0,NA())</f>
        <v/>
      </c>
      <c r="N19" s="108">
        <f>IFERROR(Model!V435+0,NA())</f>
        <v/>
      </c>
      <c r="O19" s="108">
        <f>IFERROR(Model!AA435+0,NA())</f>
        <v/>
      </c>
      <c r="P19" s="108">
        <f>IFERROR(Model!AF435+0,NA())</f>
        <v/>
      </c>
      <c r="Q19" s="108">
        <f>IFERROR(Model!AK435+0,NA())</f>
        <v/>
      </c>
      <c r="R19" s="108">
        <f>IFERROR(Model!AP435+0,NA())</f>
        <v/>
      </c>
      <c r="S19" s="108">
        <f>IFERROR(Model!AQ435+0,NA())</f>
        <v/>
      </c>
      <c r="T19" s="108">
        <f>IFERROR(Model!AR435+0,NA())</f>
        <v/>
      </c>
      <c r="U19" s="108">
        <f>IFERROR(Model!AS435+0,NA())</f>
        <v/>
      </c>
      <c r="V19" s="108">
        <f>IFERROR(Model!AT435+0,NA())</f>
        <v/>
      </c>
    </row>
    <row r="20" ht="15" customHeight="1" s="251">
      <c r="B20" t="inlineStr">
        <is>
          <t>Adj. EBITDA margin %</t>
        </is>
      </c>
      <c r="C20" s="108">
        <f>IFERROR(Model!C279+0,NA())</f>
        <v/>
      </c>
      <c r="D20" s="108">
        <f>IFERROR(Model!D279+0,NA())</f>
        <v/>
      </c>
      <c r="E20" s="108">
        <f>IFERROR(Model!E279+0,NA())</f>
        <v/>
      </c>
      <c r="F20" s="108">
        <f>IFERROR(Model!F279+0,NA())</f>
        <v/>
      </c>
      <c r="G20" s="108">
        <f>IFERROR(Model!G279+0,NA())</f>
        <v/>
      </c>
      <c r="H20" s="108">
        <f>IFERROR(Model!H279+0,NA())</f>
        <v/>
      </c>
      <c r="I20" s="108">
        <f>IFERROR(Model!I279+0,NA())</f>
        <v/>
      </c>
      <c r="J20" s="108">
        <f>IFERROR(Model!J279+0,NA())</f>
        <v/>
      </c>
      <c r="K20" s="108">
        <f>IFERROR(Model!K279+0,NA())</f>
        <v/>
      </c>
      <c r="L20" s="108">
        <f>IFERROR(Model!L279+0,NA())</f>
        <v/>
      </c>
      <c r="M20" s="108">
        <f>IFERROR(Model!Q279+0,NA())</f>
        <v/>
      </c>
      <c r="N20" s="108">
        <f>IFERROR(Model!V279+0,NA())</f>
        <v/>
      </c>
      <c r="O20" s="108">
        <f>IFERROR(Model!AA279+0,NA())</f>
        <v/>
      </c>
      <c r="P20" s="108">
        <f>IFERROR(Model!AF279+0,NA())</f>
        <v/>
      </c>
      <c r="Q20" s="108">
        <f>IFERROR(Model!AK279+0,NA())</f>
        <v/>
      </c>
      <c r="R20" s="108">
        <f>IFERROR(Model!AP279+0,NA())</f>
        <v/>
      </c>
      <c r="S20" s="108">
        <f>IFERROR(Model!AQ279+0,NA())</f>
        <v/>
      </c>
      <c r="T20" s="108">
        <f>IFERROR(Model!AR279+0,NA())</f>
        <v/>
      </c>
      <c r="U20" s="108">
        <f>IFERROR(Model!AS279+0,NA())</f>
        <v/>
      </c>
      <c r="V20" s="108">
        <f>IFERROR(Model!AT279+0,NA())</f>
        <v/>
      </c>
    </row>
    <row r="21" ht="15" customHeight="1" s="251">
      <c r="B21" t="inlineStr">
        <is>
          <t>FCF margin %</t>
        </is>
      </c>
      <c r="C21" s="108">
        <f>IFERROR(Model!C317+0,NA())</f>
        <v/>
      </c>
      <c r="D21" s="108">
        <f>IFERROR(Model!D317+0,NA())</f>
        <v/>
      </c>
      <c r="E21" s="108">
        <f>IFERROR(Model!E317+0,NA())</f>
        <v/>
      </c>
      <c r="F21" s="108">
        <f>IFERROR(Model!F317+0,NA())</f>
        <v/>
      </c>
      <c r="G21" s="108">
        <f>IFERROR(Model!G317+0,NA())</f>
        <v/>
      </c>
      <c r="H21" s="108">
        <f>IFERROR(Model!H317+0,NA())</f>
        <v/>
      </c>
      <c r="I21" s="108">
        <f>IFERROR(Model!I317+0,NA())</f>
        <v/>
      </c>
      <c r="J21" s="108">
        <f>IFERROR(Model!J317+0,NA())</f>
        <v/>
      </c>
      <c r="K21" s="108">
        <f>IFERROR(Model!K317+0,NA())</f>
        <v/>
      </c>
      <c r="L21" s="108">
        <f>IFERROR(Model!L317+0,NA())</f>
        <v/>
      </c>
      <c r="M21" s="108">
        <f>IFERROR(Model!Q317+0,NA())</f>
        <v/>
      </c>
      <c r="N21" s="108">
        <f>IFERROR(Model!V317+0,NA())</f>
        <v/>
      </c>
      <c r="O21" s="108">
        <f>IFERROR(Model!AA317+0,NA())</f>
        <v/>
      </c>
      <c r="P21" s="108">
        <f>IFERROR(Model!AF317+0,NA())</f>
        <v/>
      </c>
      <c r="Q21" s="108">
        <f>IFERROR(Model!AK317+0,NA())</f>
        <v/>
      </c>
      <c r="R21" s="108">
        <f>IFERROR(Model!AP317+0,NA())</f>
        <v/>
      </c>
      <c r="S21" s="108">
        <f>IFERROR(Model!AQ317+0,NA())</f>
        <v/>
      </c>
      <c r="T21" s="108">
        <f>IFERROR(Model!AR317+0,NA())</f>
        <v/>
      </c>
      <c r="U21" s="108">
        <f>IFERROR(Model!AS317+0,NA())</f>
        <v/>
      </c>
      <c r="V21" s="108">
        <f>IFERROR(Model!AT317+0,NA())</f>
        <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2026-10-04T02:35:31Z</dcterms:created>
  <dcterms:modified xmlns:dcterms="http://purl.org/dc/terms/" xmlns:xsi="http://www.w3.org/2001/XMLSchema-instance" xsi:type="dcterms:W3CDTF">2026-10-06T18:28:16Z</dcterms:modified>
  <cp:lastModifiedBy>Payton Liske</cp:lastModifiedBy>
  <cp:revision>3</cp:revision>
</cp:coreProperties>
</file>