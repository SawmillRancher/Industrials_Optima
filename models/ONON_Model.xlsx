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505" yWindow="5505" windowWidth="14400" windowHeight="7275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23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0%;\(0%\);\-"/>
    <numFmt numFmtId="176" formatCode="0.0\x"/>
    <numFmt numFmtId="177" formatCode="dd\-mmm\-yy"/>
    <numFmt numFmtId="178" formatCode="0.0%"/>
    <numFmt numFmtId="179" formatCode="0.000"/>
    <numFmt numFmtId="180" formatCode="d/mmm/yyyy"/>
    <numFmt numFmtId="181" formatCode="#,##0.0"/>
    <numFmt numFmtId="182" formatCode="0.0%;\(0.0%\)"/>
    <numFmt numFmtId="183" formatCode="0.00\x"/>
    <numFmt numFmtId="184" formatCode="0.0\x;\(0.0\x\)"/>
    <numFmt numFmtId="185" formatCode="&quot;$&quot;#,##0.00;\(&quot;$&quot;#,##0.00\);\-"/>
    <numFmt numFmtId="186" formatCode="#,##0.00;\(#,##0.00\);\-"/>
  </numFmts>
  <fonts count="57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color rgb="FF595959"/>
      <sz val="12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b val="1"/>
      <color rgb="FF666666"/>
      <sz val="12"/>
    </font>
    <font>
      <name val="Calibri"/>
      <family val="2"/>
      <b val="1"/>
      <color rgb="FFC00000"/>
      <sz val="11"/>
    </font>
    <font>
      <name val="Calibri"/>
      <color rgb="FF000000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000000"/>
      <sz val="12"/>
    </font>
    <font>
      <name val="Calibri"/>
      <color rgb="FF0000FF"/>
      <sz val="12"/>
    </font>
    <font>
      <name val="Calibri"/>
      <color rgb="FF595959"/>
      <sz val="9"/>
    </font>
    <font>
      <name val="Calibri"/>
      <b val="1"/>
      <color rgb="FF000000"/>
      <sz val="12"/>
    </font>
    <font>
      <name val="Calibri"/>
      <color rgb="FF008000"/>
      <sz val="12"/>
    </font>
    <font>
      <name val="Calibri"/>
      <b val="1"/>
      <color rgb="FF000000"/>
      <sz val="11"/>
    </font>
    <font>
      <name val="Calibri"/>
      <b val="1"/>
      <color rgb="FF0000FF"/>
      <sz val="12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2F3E46"/>
      <sz val="12"/>
    </font>
    <font>
      <name val="Calibri"/>
      <color rgb="FFA6A6A6"/>
      <sz val="12"/>
    </font>
    <font>
      <name val="Calibri"/>
      <b val="1"/>
      <i val="1"/>
      <color rgb="FFC00000"/>
      <sz val="10"/>
    </font>
  </fonts>
  <fills count="18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2F3E46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2F3E46"/>
      </bottom>
      <diagonal/>
    </border>
  </borders>
  <cellStyleXfs count="2">
    <xf numFmtId="0" fontId="27" fillId="0" borderId="0"/>
    <xf numFmtId="9" fontId="27" fillId="0" borderId="0"/>
  </cellStyleXfs>
  <cellXfs count="30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8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0" fillId="0" borderId="0" pivotButton="0" quotePrefix="0" xfId="0"/>
    <xf numFmtId="4" fontId="21" fillId="2" borderId="0" pivotButton="0" quotePrefix="0" xfId="0"/>
    <xf numFmtId="0" fontId="22" fillId="6" borderId="0" pivotButton="0" quotePrefix="0" xfId="0"/>
    <xf numFmtId="0" fontId="12" fillId="0" borderId="0" pivotButton="0" quotePrefix="0" xfId="0"/>
    <xf numFmtId="0" fontId="21" fillId="3" borderId="0" pivotButton="0" quotePrefix="0" xfId="0"/>
    <xf numFmtId="0" fontId="23" fillId="5" borderId="0" pivotButton="0" quotePrefix="0" xfId="0"/>
    <xf numFmtId="0" fontId="22" fillId="0" borderId="0" pivotButton="0" quotePrefix="0" xfId="0"/>
    <xf numFmtId="167" fontId="21" fillId="9" borderId="0" pivotButton="0" quotePrefix="0" xfId="0"/>
    <xf numFmtId="167" fontId="21" fillId="2" borderId="0" pivotButton="0" quotePrefix="0" xfId="0"/>
    <xf numFmtId="175" fontId="12" fillId="10" borderId="0" pivotButton="0" quotePrefix="0" xfId="0"/>
    <xf numFmtId="0" fontId="24" fillId="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66" fontId="21" fillId="9" borderId="0" pivotButton="0" quotePrefix="0" xfId="0"/>
    <xf numFmtId="166" fontId="21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4" fillId="11" borderId="0" pivotButton="0" quotePrefix="0" xfId="0"/>
    <xf numFmtId="164" fontId="21" fillId="9" borderId="0" pivotButton="0" quotePrefix="0" xfId="0"/>
    <xf numFmtId="164" fontId="21" fillId="2" borderId="0" pivotButton="0" quotePrefix="0" xfId="0"/>
    <xf numFmtId="168" fontId="21" fillId="9" borderId="0" pivotButton="0" quotePrefix="0" xfId="0"/>
    <xf numFmtId="168" fontId="21" fillId="2" borderId="0" pivotButton="0" quotePrefix="0" xfId="0"/>
    <xf numFmtId="176" fontId="3" fillId="12" borderId="0" pivotButton="0" quotePrefix="0" xfId="0"/>
    <xf numFmtId="167" fontId="6" fillId="5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66" fontId="24" fillId="0" borderId="0" pivotButton="0" quotePrefix="0" xfId="0"/>
    <xf numFmtId="173" fontId="24" fillId="9" borderId="0" pivotButton="0" quotePrefix="0" xfId="0"/>
    <xf numFmtId="173" fontId="24" fillId="2" borderId="0" pivotButton="0" quotePrefix="0" xfId="0"/>
    <xf numFmtId="167" fontId="24" fillId="0" borderId="0" pivotButton="0" quotePrefix="0" xfId="0"/>
    <xf numFmtId="173" fontId="24" fillId="0" borderId="0" pivotButton="0" quotePrefix="0" xfId="0"/>
    <xf numFmtId="167" fontId="25" fillId="0" borderId="0" pivotButton="0" quotePrefix="0" xfId="0"/>
    <xf numFmtId="0" fontId="26" fillId="0" borderId="0" pivotButton="0" quotePrefix="0" xfId="0"/>
    <xf numFmtId="166" fontId="25" fillId="0" borderId="0" pivotButton="0" quotePrefix="0" xfId="0"/>
    <xf numFmtId="0" fontId="28" fillId="5" borderId="0" pivotButton="0" quotePrefix="0" xfId="0"/>
    <xf numFmtId="0" fontId="29" fillId="0" borderId="0" pivotButton="0" quotePrefix="0" xfId="0"/>
    <xf numFmtId="177" fontId="29" fillId="0" borderId="0" pivotButton="0" quotePrefix="0" xfId="0"/>
    <xf numFmtId="167" fontId="29" fillId="0" borderId="0" pivotButton="0" quotePrefix="0" xfId="0"/>
    <xf numFmtId="166" fontId="30" fillId="0" borderId="0" pivotButton="0" quotePrefix="0" xfId="0"/>
    <xf numFmtId="178" fontId="29" fillId="0" borderId="0" pivotButton="0" quotePrefix="0" xfId="0"/>
    <xf numFmtId="2" fontId="29" fillId="0" borderId="0" pivotButton="0" quotePrefix="0" xfId="0"/>
    <xf numFmtId="179" fontId="29" fillId="0" borderId="0" pivotButton="0" quotePrefix="0" xfId="0"/>
    <xf numFmtId="167" fontId="30" fillId="0" borderId="0" pivotButton="0" quotePrefix="0" xfId="0"/>
    <xf numFmtId="0" fontId="31" fillId="0" borderId="0" pivotButton="0" quotePrefix="0" xfId="0"/>
    <xf numFmtId="166" fontId="31" fillId="0" borderId="0" pivotButton="0" quotePrefix="0" xfId="0"/>
    <xf numFmtId="166" fontId="29" fillId="0" borderId="0" pivotButton="0" quotePrefix="0" xfId="0"/>
    <xf numFmtId="164" fontId="29" fillId="0" borderId="0" pivotButton="0" quotePrefix="0" xfId="0"/>
    <xf numFmtId="4" fontId="29" fillId="0" borderId="0" pivotButton="0" quotePrefix="0" xfId="0"/>
    <xf numFmtId="178" fontId="32" fillId="0" borderId="0" pivotButton="0" quotePrefix="0" xfId="0"/>
    <xf numFmtId="3" fontId="29" fillId="0" borderId="0" pivotButton="0" quotePrefix="0" xfId="0"/>
    <xf numFmtId="3" fontId="29" fillId="3" borderId="0" pivotButton="0" quotePrefix="0" xfId="0"/>
    <xf numFmtId="176" fontId="29" fillId="0" borderId="0" pivotButton="0" quotePrefix="0" xfId="0"/>
    <xf numFmtId="0" fontId="33" fillId="0" borderId="0" pivotButton="0" quotePrefix="0" xfId="0"/>
    <xf numFmtId="10" fontId="32" fillId="2" borderId="0" pivotButton="0" quotePrefix="0" xfId="0"/>
    <xf numFmtId="0" fontId="34" fillId="0" borderId="0" pivotButton="0" quotePrefix="0" xfId="0"/>
    <xf numFmtId="2" fontId="32" fillId="2" borderId="0" pivotButton="0" quotePrefix="0" xfId="0"/>
    <xf numFmtId="10" fontId="33" fillId="0" borderId="0" pivotButton="0" quotePrefix="0" xfId="0"/>
    <xf numFmtId="0" fontId="35" fillId="0" borderId="0" pivotButton="0" quotePrefix="0" xfId="0"/>
    <xf numFmtId="10" fontId="35" fillId="6" borderId="0" pivotButton="0" quotePrefix="0" xfId="0"/>
    <xf numFmtId="167" fontId="36" fillId="0" borderId="0" pivotButton="0" quotePrefix="0" xfId="0"/>
    <xf numFmtId="0" fontId="35" fillId="6" borderId="0" pivotButton="0" quotePrefix="0" xfId="0"/>
    <xf numFmtId="167" fontId="35" fillId="6" borderId="0" pivotButton="0" quotePrefix="0" xfId="0"/>
    <xf numFmtId="178" fontId="32" fillId="2" borderId="0" pivotButton="0" quotePrefix="0" xfId="0"/>
    <xf numFmtId="178" fontId="30" fillId="2" borderId="0" pivotButton="0" quotePrefix="0" xfId="0"/>
    <xf numFmtId="178" fontId="37" fillId="3" borderId="0" pivotButton="0" quotePrefix="0" xfId="0"/>
    <xf numFmtId="10" fontId="30" fillId="0" borderId="0" pivotButton="0" quotePrefix="0" xfId="0"/>
    <xf numFmtId="1" fontId="32" fillId="2" borderId="0" pivotButton="0" quotePrefix="0" xfId="0"/>
    <xf numFmtId="0" fontId="30" fillId="0" borderId="0" applyAlignment="1" pivotButton="0" quotePrefix="0" xfId="0">
      <alignment horizontal="right"/>
    </xf>
    <xf numFmtId="178" fontId="32" fillId="13" borderId="0" pivotButton="0" quotePrefix="0" xfId="0"/>
    <xf numFmtId="1" fontId="32" fillId="13" borderId="0" pivotButton="0" quotePrefix="0" xfId="0"/>
    <xf numFmtId="0" fontId="38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9" fontId="30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0" fontId="0" fillId="2" borderId="0" pivotButton="0" quotePrefix="0" xfId="0"/>
    <xf numFmtId="0" fontId="0" fillId="0" borderId="2" pivotButton="0" quotePrefix="0" xfId="0"/>
    <xf numFmtId="166" fontId="17" fillId="2" borderId="0" applyAlignment="1" pivotButton="0" quotePrefix="0" xfId="0">
      <alignment horizontal="right"/>
    </xf>
    <xf numFmtId="0" fontId="39" fillId="0" borderId="0" pivotButton="0" quotePrefix="0" xfId="0"/>
    <xf numFmtId="0" fontId="0" fillId="2" borderId="2" pivotButton="0" quotePrefix="0" xfId="0"/>
    <xf numFmtId="0" fontId="40" fillId="0" borderId="0" pivotButton="0" quotePrefix="0" xfId="0"/>
    <xf numFmtId="0" fontId="1" fillId="0" borderId="0" pivotButton="0" quotePrefix="0" xfId="0"/>
    <xf numFmtId="0" fontId="0" fillId="6" borderId="2" pivotButton="0" quotePrefix="0" xfId="0"/>
    <xf numFmtId="177" fontId="0" fillId="0" borderId="0" pivotButton="0" quotePrefix="0" xfId="0"/>
    <xf numFmtId="0" fontId="11" fillId="5" borderId="0" pivotButton="0" quotePrefix="0" xfId="0"/>
    <xf numFmtId="0" fontId="11" fillId="5" borderId="0" applyAlignment="1" pivotButton="0" quotePrefix="0" xfId="0">
      <alignment horizontal="right"/>
    </xf>
    <xf numFmtId="166" fontId="8" fillId="0" borderId="0" pivotButton="0" quotePrefix="0" xfId="0"/>
    <xf numFmtId="4" fontId="11" fillId="5" borderId="0" pivotButton="0" quotePrefix="0" xfId="0"/>
    <xf numFmtId="4" fontId="8" fillId="0" borderId="0" pivotButton="0" quotePrefix="0" xfId="0"/>
    <xf numFmtId="178" fontId="8" fillId="0" borderId="0" pivotButton="0" quotePrefix="0" xfId="0"/>
    <xf numFmtId="176" fontId="11" fillId="5" borderId="0" pivotButton="0" quotePrefix="0" xfId="0"/>
    <xf numFmtId="10" fontId="46" fillId="13" borderId="0" pivotButton="0" quotePrefix="0" xfId="0"/>
    <xf numFmtId="2" fontId="46" fillId="13" borderId="0" pivotButton="0" quotePrefix="0" xfId="0"/>
    <xf numFmtId="10" fontId="45" fillId="0" borderId="0" pivotButton="0" quotePrefix="0" xfId="0"/>
    <xf numFmtId="180" fontId="46" fillId="0" borderId="0" applyAlignment="1" pivotButton="0" quotePrefix="0" xfId="0">
      <alignment horizontal="center"/>
    </xf>
    <xf numFmtId="167" fontId="49" fillId="0" borderId="0" pivotButton="0" quotePrefix="0" xfId="0"/>
    <xf numFmtId="167" fontId="45" fillId="0" borderId="0" pivotButton="0" quotePrefix="0" xfId="0"/>
    <xf numFmtId="166" fontId="45" fillId="0" borderId="0" pivotButton="0" quotePrefix="0" xfId="0"/>
    <xf numFmtId="166" fontId="45" fillId="0" borderId="0" applyAlignment="1" pivotButton="0" quotePrefix="0" xfId="0">
      <alignment horizontal="center"/>
    </xf>
    <xf numFmtId="2" fontId="45" fillId="0" borderId="0" pivotButton="0" quotePrefix="0" xfId="0"/>
    <xf numFmtId="167" fontId="48" fillId="0" borderId="0" pivotButton="0" quotePrefix="0" xfId="0"/>
    <xf numFmtId="167" fontId="48" fillId="16" borderId="0" pivotButton="0" quotePrefix="0" xfId="0"/>
    <xf numFmtId="166" fontId="48" fillId="16" borderId="0" pivotButton="0" quotePrefix="0" xfId="0"/>
    <xf numFmtId="166" fontId="48" fillId="16" borderId="0" applyAlignment="1" pivotButton="0" quotePrefix="0" xfId="0">
      <alignment horizontal="center"/>
    </xf>
    <xf numFmtId="178" fontId="46" fillId="13" borderId="0" pivotButton="0" quotePrefix="0" xfId="0"/>
    <xf numFmtId="178" fontId="45" fillId="13" borderId="0" pivotButton="0" quotePrefix="0" xfId="0"/>
    <xf numFmtId="178" fontId="51" fillId="17" borderId="0" pivotButton="0" quotePrefix="0" xfId="0"/>
    <xf numFmtId="179" fontId="45" fillId="0" borderId="0" pivotButton="0" quotePrefix="0" xfId="0"/>
    <xf numFmtId="181" fontId="49" fillId="0" borderId="0" pivotButton="0" quotePrefix="0" xfId="0"/>
    <xf numFmtId="4" fontId="44" fillId="14" borderId="0" pivotButton="0" quotePrefix="0" xfId="0"/>
    <xf numFmtId="4" fontId="49" fillId="0" borderId="0" pivotButton="0" quotePrefix="0" xfId="0"/>
    <xf numFmtId="182" fontId="48" fillId="16" borderId="0" pivotButton="0" quotePrefix="0" xfId="0"/>
    <xf numFmtId="4" fontId="48" fillId="16" borderId="0" pivotButton="0" quotePrefix="0" xfId="0"/>
    <xf numFmtId="1" fontId="46" fillId="13" borderId="0" pivotButton="0" quotePrefix="0" xfId="0"/>
    <xf numFmtId="0" fontId="41" fillId="0" borderId="0" pivotButton="0" quotePrefix="0" xfId="0"/>
    <xf numFmtId="0" fontId="42" fillId="14" borderId="0" pivotButton="0" quotePrefix="0" xfId="0"/>
    <xf numFmtId="0" fontId="43" fillId="14" borderId="0" pivotButton="0" quotePrefix="0" xfId="0"/>
    <xf numFmtId="0" fontId="44" fillId="15" borderId="0" pivotButton="0" quotePrefix="0" xfId="0"/>
    <xf numFmtId="0" fontId="43" fillId="15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8" fillId="16" borderId="0" pivotButton="0" quotePrefix="0" xfId="0"/>
    <xf numFmtId="0" fontId="41" fillId="15" borderId="0" pivotButton="0" quotePrefix="0" xfId="0"/>
    <xf numFmtId="0" fontId="44" fillId="14" borderId="0" pivotButton="0" quotePrefix="0" xfId="0"/>
    <xf numFmtId="0" fontId="44" fillId="14" borderId="0" applyAlignment="1" pivotButton="0" quotePrefix="0" xfId="0">
      <alignment horizontal="center"/>
    </xf>
    <xf numFmtId="0" fontId="43" fillId="14" borderId="0" applyAlignment="1" pivotButton="0" quotePrefix="0" xfId="0">
      <alignment horizontal="center"/>
    </xf>
    <xf numFmtId="0" fontId="47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centerContinuous"/>
    </xf>
    <xf numFmtId="0" fontId="44" fillId="15" borderId="0" applyAlignment="1" pivotButton="0" quotePrefix="0" xfId="0">
      <alignment horizontal="right"/>
    </xf>
    <xf numFmtId="1" fontId="46" fillId="13" borderId="0" applyAlignment="1" pivotButton="0" quotePrefix="0" xfId="0">
      <alignment horizontal="center"/>
    </xf>
    <xf numFmtId="16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67" fontId="45" fillId="0" borderId="0" applyAlignment="1" pivotButton="0" quotePrefix="0" xfId="0">
      <alignment horizontal="right"/>
    </xf>
    <xf numFmtId="181" fontId="49" fillId="0" borderId="0" applyAlignment="1" pivotButton="0" quotePrefix="0" xfId="0">
      <alignment horizontal="right"/>
    </xf>
    <xf numFmtId="4" fontId="44" fillId="14" borderId="0" applyAlignment="1" pivotButton="0" quotePrefix="0" xfId="0">
      <alignment horizontal="right"/>
    </xf>
    <xf numFmtId="4" fontId="45" fillId="0" borderId="0" applyAlignment="1" pivotButton="0" quotePrefix="0" xfId="0">
      <alignment horizontal="right"/>
    </xf>
    <xf numFmtId="166" fontId="45" fillId="0" borderId="0" applyAlignment="1" pivotButton="0" quotePrefix="0" xfId="0">
      <alignment horizontal="right"/>
    </xf>
    <xf numFmtId="10" fontId="48" fillId="16" borderId="4" pivotButton="0" quotePrefix="0" xfId="0"/>
    <xf numFmtId="0" fontId="48" fillId="16" borderId="4" pivotButton="0" quotePrefix="0" xfId="0"/>
    <xf numFmtId="0" fontId="50" fillId="16" borderId="4" pivotButton="0" quotePrefix="0" xfId="0"/>
    <xf numFmtId="167" fontId="48" fillId="16" borderId="4" pivotButton="0" quotePrefix="0" xfId="0"/>
    <xf numFmtId="0" fontId="45" fillId="0" borderId="4" pivotButton="0" quotePrefix="0" xfId="0"/>
    <xf numFmtId="0" fontId="41" fillId="0" borderId="4" pivotButton="0" quotePrefix="0" xfId="0"/>
    <xf numFmtId="167" fontId="45" fillId="0" borderId="4" pivotButton="0" quotePrefix="0" xfId="0"/>
    <xf numFmtId="0" fontId="48" fillId="0" borderId="4" pivotButton="0" quotePrefix="0" xfId="0"/>
    <xf numFmtId="167" fontId="48" fillId="0" borderId="4" pivotButton="0" quotePrefix="0" xfId="0"/>
    <xf numFmtId="3" fontId="45" fillId="0" borderId="0" applyAlignment="1" pivotButton="0" quotePrefix="0" xfId="0">
      <alignment horizontal="center"/>
    </xf>
    <xf numFmtId="3" fontId="48" fillId="17" borderId="0" applyAlignment="1" pivotButton="0" quotePrefix="0" xfId="0">
      <alignment horizontal="center"/>
    </xf>
    <xf numFmtId="0" fontId="43" fillId="14" borderId="4" pivotButton="0" quotePrefix="0" xfId="0"/>
    <xf numFmtId="10" fontId="44" fillId="14" borderId="4" applyAlignment="1" pivotButton="0" quotePrefix="0" xfId="0">
      <alignment horizontal="center"/>
    </xf>
    <xf numFmtId="0" fontId="41" fillId="0" borderId="5" pivotButton="0" quotePrefix="0" xfId="0"/>
    <xf numFmtId="3" fontId="45" fillId="0" borderId="5" applyAlignment="1" pivotButton="0" quotePrefix="0" xfId="0">
      <alignment horizontal="center"/>
    </xf>
    <xf numFmtId="0" fontId="44" fillId="14" borderId="6" pivotButton="0" quotePrefix="0" xfId="0"/>
    <xf numFmtId="10" fontId="48" fillId="0" borderId="7" applyAlignment="1" pivotButton="0" quotePrefix="0" xfId="0">
      <alignment horizontal="right"/>
    </xf>
    <xf numFmtId="10" fontId="48" fillId="0" borderId="8" applyAlignment="1" pivotButton="0" quotePrefix="0" xfId="0">
      <alignment horizontal="right"/>
    </xf>
    <xf numFmtId="10" fontId="44" fillId="14" borderId="9" applyAlignment="1" pivotButton="0" quotePrefix="0" xfId="0">
      <alignment horizontal="center"/>
    </xf>
    <xf numFmtId="3" fontId="45" fillId="0" borderId="10" applyAlignment="1" pivotButton="0" quotePrefix="0" xfId="0">
      <alignment horizontal="center"/>
    </xf>
    <xf numFmtId="3" fontId="45" fillId="0" borderId="11" applyAlignment="1" pivotButton="0" quotePrefix="0" xfId="0">
      <alignment horizontal="center"/>
    </xf>
    <xf numFmtId="0" fontId="45" fillId="0" borderId="0" applyAlignment="1" pivotButton="0" quotePrefix="0" xfId="0">
      <alignment horizontal="left" indent="2"/>
    </xf>
    <xf numFmtId="10" fontId="49" fillId="0" borderId="0" applyAlignment="1" pivotButton="0" quotePrefix="0" xfId="0">
      <alignment horizontal="center"/>
    </xf>
    <xf numFmtId="10" fontId="46" fillId="13" borderId="0" applyAlignment="1" pivotButton="0" quotePrefix="0" xfId="0">
      <alignment horizontal="center"/>
    </xf>
    <xf numFmtId="183" fontId="45" fillId="0" borderId="0" applyAlignment="1" pivotButton="0" quotePrefix="0" xfId="0">
      <alignment horizontal="center"/>
    </xf>
    <xf numFmtId="2" fontId="45" fillId="0" borderId="0" applyAlignment="1" pivotButton="0" quotePrefix="0" xfId="0">
      <alignment horizontal="center"/>
    </xf>
    <xf numFmtId="179" fontId="45" fillId="0" borderId="0" applyAlignment="1" pivotButton="0" quotePrefix="0" xfId="0">
      <alignment horizontal="center"/>
    </xf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82" fontId="48" fillId="16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84" fontId="48" fillId="0" borderId="0" applyAlignment="1" pivotButton="0" quotePrefix="0" xfId="0">
      <alignment horizontal="right"/>
    </xf>
    <xf numFmtId="167" fontId="25" fillId="2" borderId="0" pivotButton="0" quotePrefix="0" xfId="0"/>
    <xf numFmtId="185" fontId="25" fillId="2" borderId="0" pivotButton="0" quotePrefix="0" xfId="0"/>
    <xf numFmtId="168" fontId="25" fillId="2" borderId="0" pivotButton="0" quotePrefix="0" xfId="0"/>
    <xf numFmtId="0" fontId="0" fillId="0" borderId="0" pivotButton="0" quotePrefix="0" xfId="0"/>
    <xf numFmtId="0" fontId="54" fillId="0" borderId="0" pivotButton="0" quotePrefix="0" xfId="0"/>
    <xf numFmtId="164" fontId="46" fillId="0" borderId="0" applyAlignment="1" pivotButton="0" quotePrefix="0" xfId="0">
      <alignment horizontal="right"/>
    </xf>
    <xf numFmtId="164" fontId="45" fillId="2" borderId="0" applyAlignment="1" pivotButton="0" quotePrefix="0" xfId="0">
      <alignment horizontal="right"/>
    </xf>
    <xf numFmtId="166" fontId="55" fillId="0" borderId="0" applyAlignment="1" pivotButton="0" quotePrefix="0" xfId="0">
      <alignment horizontal="right"/>
    </xf>
    <xf numFmtId="166" fontId="45" fillId="2" borderId="0" applyAlignment="1" pivotButton="0" quotePrefix="0" xfId="0">
      <alignment horizontal="right"/>
    </xf>
    <xf numFmtId="166" fontId="46" fillId="0" borderId="0" pivotButton="0" quotePrefix="0" xfId="0"/>
    <xf numFmtId="166" fontId="46" fillId="0" borderId="0" applyAlignment="1" pivotButton="0" quotePrefix="0" xfId="0">
      <alignment horizontal="right"/>
    </xf>
    <xf numFmtId="164" fontId="46" fillId="0" borderId="0" pivotButton="0" quotePrefix="0" xfId="0"/>
    <xf numFmtId="166" fontId="51" fillId="2" borderId="0" applyAlignment="1" pivotButton="0" quotePrefix="0" xfId="0">
      <alignment horizontal="right"/>
    </xf>
    <xf numFmtId="164" fontId="45" fillId="0" borderId="0" applyAlignment="1" pivotButton="0" quotePrefix="0" xfId="0">
      <alignment horizontal="right"/>
    </xf>
    <xf numFmtId="167" fontId="46" fillId="0" borderId="0" pivotButton="0" quotePrefix="0" xfId="0"/>
    <xf numFmtId="164" fontId="48" fillId="6" borderId="2" applyAlignment="1" pivotButton="0" quotePrefix="0" xfId="0">
      <alignment horizontal="right"/>
    </xf>
    <xf numFmtId="164" fontId="41" fillId="2" borderId="0" pivotButton="0" quotePrefix="0" xfId="0"/>
    <xf numFmtId="166" fontId="41" fillId="2" borderId="0" pivotButton="0" quotePrefix="0" xfId="0"/>
    <xf numFmtId="164" fontId="51" fillId="2" borderId="0" applyAlignment="1" pivotButton="0" quotePrefix="0" xfId="0">
      <alignment horizontal="right"/>
    </xf>
    <xf numFmtId="164" fontId="51" fillId="6" borderId="2" applyAlignment="1" pivotButton="0" quotePrefix="0" xfId="0">
      <alignment horizontal="right"/>
    </xf>
    <xf numFmtId="164" fontId="48" fillId="0" borderId="2" applyAlignment="1" pivotButton="0" quotePrefix="0" xfId="0">
      <alignment horizontal="right"/>
    </xf>
    <xf numFmtId="164" fontId="48" fillId="2" borderId="2" applyAlignment="1" pivotButton="0" quotePrefix="0" xfId="0">
      <alignment horizontal="right"/>
    </xf>
    <xf numFmtId="168" fontId="45" fillId="0" borderId="0" applyAlignment="1" pivotButton="0" quotePrefix="0" xfId="0">
      <alignment horizontal="right"/>
    </xf>
    <xf numFmtId="168" fontId="45" fillId="2" borderId="0" applyAlignment="1" pivotButton="0" quotePrefix="0" xfId="0">
      <alignment horizontal="right"/>
    </xf>
    <xf numFmtId="168" fontId="48" fillId="6" borderId="2" applyAlignment="1" pivotButton="0" quotePrefix="0" xfId="0">
      <alignment horizontal="right"/>
    </xf>
    <xf numFmtId="168" fontId="46" fillId="0" borderId="0" applyAlignment="1" pivotButton="0" quotePrefix="0" xfId="0">
      <alignment horizontal="right"/>
    </xf>
    <xf numFmtId="168" fontId="51" fillId="2" borderId="0" applyAlignment="1" pivotButton="0" quotePrefix="0" xfId="0">
      <alignment horizontal="right"/>
    </xf>
    <xf numFmtId="0" fontId="56" fillId="0" borderId="0" pivotButton="0" quotePrefix="0" xfId="0"/>
    <xf numFmtId="0" fontId="56" fillId="2" borderId="0" pivotButton="0" quotePrefix="0" xfId="0"/>
    <xf numFmtId="168" fontId="41" fillId="2" borderId="0" pivotButton="0" quotePrefix="0" xfId="0"/>
    <xf numFmtId="164" fontId="51" fillId="0" borderId="2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3" fontId="45" fillId="2" borderId="0" applyAlignment="1" pivotButton="0" quotePrefix="0" xfId="0">
      <alignment horizontal="right"/>
    </xf>
    <xf numFmtId="167" fontId="45" fillId="2" borderId="0" applyAlignment="1" pivotButton="0" quotePrefix="0" xfId="0">
      <alignment horizontal="right"/>
    </xf>
    <xf numFmtId="186" fontId="45" fillId="2" borderId="0" applyAlignment="1" pivotButton="0" quotePrefix="0" xfId="0">
      <alignment horizontal="right"/>
    </xf>
    <xf numFmtId="186" fontId="51" fillId="2" borderId="0" applyAlignment="1" pivotButton="0" quotePrefix="0" xfId="0">
      <alignment horizontal="right"/>
    </xf>
    <xf numFmtId="174" fontId="45" fillId="0" borderId="0" applyAlignment="1" pivotButton="0" quotePrefix="0" xfId="0">
      <alignment horizontal="right"/>
    </xf>
    <xf numFmtId="174" fontId="51" fillId="2" borderId="0" applyAlignment="1" pivotButton="0" quotePrefix="0" xfId="0">
      <alignment horizontal="right"/>
    </xf>
    <xf numFmtId="166" fontId="48" fillId="6" borderId="2" applyAlignment="1" pivotButton="0" quotePrefix="0" xfId="0">
      <alignment horizontal="right"/>
    </xf>
    <xf numFmtId="173" fontId="48" fillId="6" borderId="2" applyAlignment="1" pivotButton="0" quotePrefix="0" xfId="0">
      <alignment horizontal="right"/>
    </xf>
    <xf numFmtId="167" fontId="51" fillId="2" borderId="0" applyAlignment="1" pivotButton="0" quotePrefix="0" xfId="0">
      <alignment horizontal="right"/>
    </xf>
    <xf numFmtId="167" fontId="48" fillId="2" borderId="2" applyAlignment="1" pivotButton="0" quotePrefix="0" xfId="0">
      <alignment horizontal="right"/>
    </xf>
    <xf numFmtId="176" fontId="45" fillId="2" borderId="0" applyAlignment="1" pivotButton="0" quotePrefix="0" xfId="0">
      <alignment horizontal="right"/>
    </xf>
    <xf numFmtId="177" fontId="0" fillId="0" borderId="0" pivotButton="0" quotePrefix="0" xfId="0"/>
    <xf numFmtId="175" fontId="12" fillId="1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76" fontId="3" fillId="12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Net Sales Growth: Constant Currency vs. FX Translation,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Charts!$C$7:$N$7</c:f>
            </c:numRef>
          </c:cat>
          <c:val>
            <c:numRef>
              <c:f>Charts!$C$8:$N$8</c:f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Charts!$C$7:$N$7</c:f>
            </c:numRef>
          </c:cat>
          <c:val>
            <c:numRef>
              <c:f>Charts!$C$9:$N$9</c:f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Operating Result (CHFm)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Charts!$C$7:$N$7</c:f>
            </c:numRef>
          </c:cat>
          <c:val>
            <c:numRef>
              <c:f>Charts!$C$12:$N$12</c:f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Charts!$C$7:$N$7</c:f>
            </c:numRef>
          </c:cat>
          <c:val>
            <c:numRef>
              <c:f>Charts!$C$13:$N$13</c:f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Charts!$C$7:$N$7</c:f>
            </c:numRef>
          </c:cat>
          <c:val>
            <c:numRef>
              <c:f>Charts!$C$14:$N$14</c:f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Charts!$C$7:$N$7</c:f>
            </c:numRef>
          </c:cat>
          <c:val>
            <c:numRef>
              <c:f>Charts!$C$15:$N$15</c:f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Charts!$C$7:$N$7</c:f>
            </c:numRef>
          </c:cat>
          <c:val>
            <c:numRef>
              <c:f>Charts!$C$18:$N$18</c:f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Charts!$C$7:$N$7</c:f>
            </c:numRef>
          </c:cat>
          <c:val>
            <c:numRef>
              <c:f>Charts!$C$19:$N$19</c:f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Charts!$C$7:$N$7</c:f>
            </c:numRef>
          </c:cat>
          <c:val>
            <c:numRef>
              <c:f>Charts!$C$20:$N$20</c:f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Charts!$C$7:$N$7</c:f>
            </c:numRef>
          </c:cat>
          <c:val>
            <c:numRef>
              <c:f>Charts!$C$21:$N$21</c:f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ONON model</author>
  </authors>
  <commentList>
    <comment ref="AM2" authorId="0" shapeId="0">
      <text>
        <t>Scenario toggle. Choose Bull / Base / Bear. Drives: FY26 outlook end-points (cc growth, CHF net sales, Q3 cc guide, gross margin, Adjusted EBITDA margin; high / mid / low), tariff refund, Q4-26 buybacks, and 2027E–2030E regional cc growth, gross margin, Adjusted EBITDA margin and buybacks (scenario table AU:AY).</t>
      </text>
    </comment>
    <comment ref="B11" authorId="0" shapeId="0">
      <text>
        <t>Source: release "Net sales by geography" tables (from Q1-24) and 6-K MD&amp;A exhibits (Ex. 99.2; Q1-23 – Q3-23 with restated 2022 comparatives); FY2021–23 from Forms 20-F. Constant-currency growth as published from Q1-24.</t>
      </text>
    </comment>
    <comment ref="B56" authorId="0" shapeId="0">
      <text>
        <t>Source: release / MD&amp;A "Net sales by sales channel"; FY2019–20 IPO prospectus (424B4); FY2021–23 Forms 20-F. DTC = net sales − wholesale.</t>
      </text>
    </comment>
    <comment ref="B65" authorId="0" shapeId="0">
      <text>
        <t>Source: release / MD&amp;A "Net sales by product"; FY2019–20 prospectus; FY2021–23 Forms 20-F.</t>
      </text>
    </comment>
    <comment ref="B77" authorId="0" shapeId="0">
      <text>
        <t>Source: IPO prospectus, 2021–22 6-K MD&amp;A exhibits and Forms 20-F FY2021–22 (former regional definition).</t>
      </text>
    </comment>
    <comment ref="B102" authorId="0" shapeId="0">
      <text>
        <t>Source: On Holding earnings releases (Form 6-K Ex. 99.1 / 99.3) — "Adjusted EBITDA and adjusted EBITDA margin" reconciliation table.</t>
      </text>
    </comment>
    <comment ref="B109" authorId="0" shapeId="0">
      <text>
        <t>Source: release consolidated statements of income (Q3-21+; 2021 quarters from the 2022 releases' comparatives); FY2019–20 audited statements in the IPO prospectus (424B4, 16-Sep-2021; CHF thousands → millions). Q4 as printed in the full-year releases.</t>
      </text>
    </comment>
    <comment ref="B128" authorId="0" shapeId="0">
      <text>
        <t>Source: On Holding earnings releases (Form 6-K Ex. 99.1 / 99.3) — weighted shares in the adjusted net income tables (Class A + Class B ÷ 10).</t>
      </text>
    </comment>
    <comment ref="B152" authorId="0" shapeId="0">
      <text>
        <t>Source: On Holding earnings releases (Form 6-K Ex. 99.1 / 99.3) — Adjusted EBITDA reconciliation (quarter and full year); FY2019–20 prospectus reconciliation.</t>
      </text>
    </comment>
    <comment ref="F154" authorId="0" shapeId="0">
      <text>
        <t>Prospectus: "IPO transaction cost"; 2021 releases: "Equity transaction costs".</t>
      </text>
    </comment>
    <comment ref="B175" authorId="0" shapeId="0">
      <text>
        <t>Source: On Holding earnings releases (Form 6-K Ex. 99.1 / 99.3) — "Adjusted net income, adjusted basic EPS and adjusted diluted EPS" tables (Class A + Class B columns summed).</t>
      </text>
    </comment>
    <comment ref="B183" authorId="0" shapeId="0">
      <text>
        <t>Source: On Holding earnings releases (Form 6-K Ex. 99.1 / 99.3) — adjusted diluted EPS, Class A column. FY2019–20 prospectus (÷1,250 for the 2021 share-capital reorganisation).</t>
      </text>
    </comment>
    <comment ref="B209" authorId="0" shapeId="0">
      <text>
        <t>Source: release cash-flow statements (year-to-date; discrete quarters derived: Q2 = H1 − Q1, Q3 = 9M − H1, Q4 = FY − 9M). FY2020 from the FY2021 release comparatives.</t>
      </text>
    </comment>
    <comment ref="B258" authorId="0" shapeId="0">
      <text>
        <t>Source: release balance sheets (quarter ends from Q3-21); FY2020 from the FY2021 release comparatives.</t>
      </text>
    </comment>
  </commentList>
</comments>
</file>

<file path=xl/comments/comment2.xml><?xml version="1.0" encoding="utf-8"?>
<comments xmlns="http://schemas.openxmlformats.org/spreadsheetml/2006/main">
  <authors>
    <author>Unknown Author</author>
    <author>User</author>
  </authors>
  <commentList>
    <comment ref="N26" authorId="0" shapeId="0">
      <text>
        <t>P/E on adjusted EPS (continuing operations). MLM has traded at ~25–35x NTM EPS over 2019–26 (≈28x 2027E adjusted EPS at $518.70). Base 26x, Bull 30x, Bear 21x applied to 2028E–2030E.</t>
      </text>
    </comment>
    <comment ref="P40" authorId="1" shapeId="0">
      <text>
        <t>User:
Snapshot (values) of Model rows 290–292 (Share Buyback Schedule) with Model!CF2 = Bull, captured 6-Oct-2026. Base panel (D40:H42) is live-linked.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Y365"/>
  <sheetViews>
    <sheetView showGridLines="0" tabSelected="1" zoomScale="70" zoomScaleNormal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CA164" sqref="CA164"/>
    </sheetView>
  </sheetViews>
  <sheetFormatPr baseColWidth="8" defaultColWidth="8.5703125" defaultRowHeight="15" outlineLevelRow="2"/>
  <cols>
    <col width="2.42578125" customWidth="1" style="251" min="1" max="1"/>
    <col width="62" customWidth="1" style="251" min="2" max="2"/>
    <col width="13" customWidth="1" style="251" min="3" max="3"/>
    <col width="13" customWidth="1" style="251" min="4" max="4"/>
    <col hidden="1" outlineLevel="1" width="9.5703125" customWidth="1" style="251" min="5" max="5"/>
    <col hidden="1" outlineLevel="1" width="9.5703125" customWidth="1" style="251" min="6" max="6"/>
    <col hidden="1" outlineLevel="1" width="9.5703125" customWidth="1" style="251" min="7" max="7"/>
    <col hidden="1" outlineLevel="1" width="9.5703125" customWidth="1" style="251" min="8" max="8"/>
    <col width="13" customWidth="1" style="251" min="9" max="9"/>
    <col hidden="1" outlineLevel="1" width="9.5703125" customWidth="1" style="251" min="10" max="10"/>
    <col hidden="1" outlineLevel="1" width="9.5703125" customWidth="1" style="251" min="11" max="11"/>
    <col hidden="1" outlineLevel="1" width="9.5703125" customWidth="1" style="251" min="12" max="12"/>
    <col hidden="1" outlineLevel="1" width="9.5703125" customWidth="1" style="251" min="13" max="13"/>
    <col width="13" customWidth="1" style="251" min="14" max="14"/>
    <col hidden="1" outlineLevel="1" width="9.5703125" customWidth="1" style="251" min="15" max="15"/>
    <col hidden="1" outlineLevel="1" width="9.5703125" customWidth="1" style="251" min="16" max="16"/>
    <col hidden="1" outlineLevel="1" width="9.5703125" customWidth="1" style="251" min="17" max="17"/>
    <col hidden="1" outlineLevel="1" width="9.5703125" customWidth="1" style="251" min="18" max="18"/>
    <col width="13" customWidth="1" style="251" min="19" max="19"/>
    <col hidden="1" outlineLevel="1" width="9.5703125" customWidth="1" style="251" min="20" max="20"/>
    <col hidden="1" outlineLevel="1" width="9.5703125" customWidth="1" style="251" min="21" max="21"/>
    <col hidden="1" outlineLevel="1" width="9.5703125" customWidth="1" style="251" min="22" max="22"/>
    <col hidden="1" outlineLevel="1" width="9.5703125" customWidth="1" style="251" min="23" max="23"/>
    <col width="13" customWidth="1" style="251" min="24" max="24"/>
    <col hidden="1" outlineLevel="1" width="9.5703125" customWidth="1" style="251" min="25" max="25"/>
    <col hidden="1" outlineLevel="1" width="9.5703125" customWidth="1" style="251" min="26" max="26"/>
    <col hidden="1" outlineLevel="1" width="9.5703125" customWidth="1" style="251" min="27" max="27"/>
    <col hidden="1" outlineLevel="1" width="9.5703125" customWidth="1" style="251" min="28" max="28"/>
    <col width="13" customWidth="1" style="251" min="29" max="29"/>
    <col hidden="1" outlineLevel="1" width="9.5703125" customWidth="1" style="251" min="30" max="30"/>
    <col hidden="1" outlineLevel="1" width="9.5703125" customWidth="1" style="251" min="31" max="31"/>
    <col hidden="1" outlineLevel="1" width="11.42578125" customWidth="1" style="251" min="32" max="32"/>
    <col hidden="1" outlineLevel="1" width="11.42578125" customWidth="1" style="251" min="33" max="33"/>
    <col width="14.140625" customWidth="1" style="251" min="34" max="34"/>
    <col width="13" customWidth="1" style="251" min="35" max="35"/>
    <col width="13" customWidth="1" style="251" min="36" max="36"/>
    <col width="13" customWidth="1" style="251" min="37" max="37"/>
    <col width="13" customWidth="1" style="251" min="38" max="38"/>
    <col width="86.85546875" customWidth="1" style="251" min="39" max="39"/>
    <col width="2" customWidth="1" style="251" min="40" max="40"/>
    <col width="14.140625" customWidth="1" style="251" min="41" max="41"/>
    <col width="12.42578125" customWidth="1" style="251" min="42" max="42"/>
    <col width="13.42578125" customWidth="1" style="251" min="43" max="43"/>
    <col width="13" customWidth="1" style="251" min="44" max="44"/>
    <col width="2" customWidth="1" style="251" min="45" max="45"/>
    <col width="6" customWidth="1" style="251" min="46" max="46"/>
    <col width="46" customWidth="1" style="251" min="47" max="47"/>
    <col width="11.5703125" customWidth="1" style="251" min="48" max="48"/>
    <col width="13" customWidth="1" style="251" min="49" max="49"/>
    <col width="13" customWidth="1" style="251" min="50" max="50"/>
    <col width="60" customWidth="1" style="251" min="51" max="51"/>
  </cols>
  <sheetData>
    <row r="1" ht="15" customHeight="1" s="251">
      <c r="AM1" s="1" t="inlineStr">
        <is>
          <t>SCENARIO SWITCH ▼ (Bull / Base / Bear) — drives all scenario-linked forecast drivers</t>
        </is>
      </c>
    </row>
    <row r="2" ht="21" customHeight="1" s="251">
      <c r="B2" s="2" t="inlineStr">
        <is>
          <t>On Holding AG (NYSE: ONON) — 3-Statement Financial Model</t>
        </is>
      </c>
      <c r="AM2" s="3" t="inlineStr">
        <is>
          <t>Base</t>
        </is>
      </c>
    </row>
    <row r="3" ht="15" customHeight="1" s="251">
      <c r="B3" s="4" t="inlineStr">
        <is>
          <t>IFRS as reported · CHF millions (per-share data in CHF; shares in millions, Class A-equivalent) · Source: On Holding Forms 20-F, Form 6-K earnings releases (Ex. 99.1 / 99.3) and MD&amp;A exhibits (Ex. 99.2), Investor Day releases (Oct-2023, 22-Sep-2026) and the IPO prospectus (424B4, 16-Sep-2021), SEC EDGAR CIK 0001858985 (investor-relations releases at investors.on-running.com are the same documents as filed on EDGAR)</t>
        </is>
      </c>
    </row>
    <row r="4" ht="15" customHeight="1" s="251">
      <c r="B4" s="5" t="inlineStr">
        <is>
          <t>Basis notes: calendar fiscal year; single segment (sales disclosed by region, channel and product). FY2019–20 from the IPO prospectus; quarters from Q1/21 (Q1–Q2/21 from the 2022 releases' comparatives). Regions: EMEA / Americas / APAC from 2023 (FY2021 and 2022 quarters restated); former Europe / North America / APAC / RoW as memo. Class A-equivalent shares = Class A + Class B ÷ 10. Q3/26E–Q4/26E calibrated to FY26 guidance (excl. tariff refund) and the Q3 cc guide; 2027E–2030E Base on the Investor Day 2029 targets. Valuation in CHF from the USD share price × USD/CHF.</t>
        </is>
      </c>
    </row>
    <row r="5" ht="15" customHeight="1" s="251">
      <c r="AF5" s="153" t="n"/>
      <c r="AG5" s="153" t="n"/>
      <c r="AH5" s="153" t="n"/>
      <c r="AI5" s="153" t="n"/>
      <c r="AJ5" s="153" t="n"/>
      <c r="AK5" s="153" t="n"/>
      <c r="AL5" s="153" t="n"/>
      <c r="AO5" s="6" t="inlineStr">
        <is>
          <t>Forecast</t>
        </is>
      </c>
      <c r="AP5" s="6" t="inlineStr">
        <is>
          <t>Historical</t>
        </is>
      </c>
      <c r="AQ5" s="6" t="inlineStr">
        <is>
          <t>Historical</t>
        </is>
      </c>
      <c r="AR5" s="6" t="inlineStr">
        <is>
          <t>Historical</t>
        </is>
      </c>
    </row>
    <row r="6" ht="15" customHeight="1" s="251">
      <c r="B6" s="7" t="inlineStr">
        <is>
          <t>(CHFm)</t>
        </is>
      </c>
      <c r="C6" s="8" t="n">
        <v>2019</v>
      </c>
      <c r="D6" s="8" t="n">
        <v>2020</v>
      </c>
      <c r="E6" s="8" t="inlineStr">
        <is>
          <t>Q1/21</t>
        </is>
      </c>
      <c r="F6" s="8" t="inlineStr">
        <is>
          <t>Q2/21</t>
        </is>
      </c>
      <c r="G6" s="8" t="inlineStr">
        <is>
          <t>Q3/21</t>
        </is>
      </c>
      <c r="H6" s="8" t="inlineStr">
        <is>
          <t>Q4/21</t>
        </is>
      </c>
      <c r="I6" s="8" t="n">
        <v>2021</v>
      </c>
      <c r="J6" s="8" t="inlineStr">
        <is>
          <t>Q1/22</t>
        </is>
      </c>
      <c r="K6" s="8" t="inlineStr">
        <is>
          <t>Q2/22</t>
        </is>
      </c>
      <c r="L6" s="8" t="inlineStr">
        <is>
          <t>Q3/22</t>
        </is>
      </c>
      <c r="M6" s="8" t="inlineStr">
        <is>
          <t>Q4/22</t>
        </is>
      </c>
      <c r="N6" s="8" t="n">
        <v>2022</v>
      </c>
      <c r="O6" s="8" t="inlineStr">
        <is>
          <t>Q1/23</t>
        </is>
      </c>
      <c r="P6" s="8" t="inlineStr">
        <is>
          <t>Q2/23</t>
        </is>
      </c>
      <c r="Q6" s="8" t="inlineStr">
        <is>
          <t>Q3/23</t>
        </is>
      </c>
      <c r="R6" s="8" t="inlineStr">
        <is>
          <t>Q4/23</t>
        </is>
      </c>
      <c r="S6" s="8" t="n">
        <v>2023</v>
      </c>
      <c r="T6" s="8" t="inlineStr">
        <is>
          <t>Q1/24</t>
        </is>
      </c>
      <c r="U6" s="8" t="inlineStr">
        <is>
          <t>Q2/24</t>
        </is>
      </c>
      <c r="V6" s="8" t="inlineStr">
        <is>
          <t>Q3/24</t>
        </is>
      </c>
      <c r="W6" s="8" t="inlineStr">
        <is>
          <t>Q4/24</t>
        </is>
      </c>
      <c r="X6" s="8" t="n">
        <v>2024</v>
      </c>
      <c r="Y6" s="8" t="inlineStr">
        <is>
          <t>Q1/25</t>
        </is>
      </c>
      <c r="Z6" s="8" t="inlineStr">
        <is>
          <t>Q2/25</t>
        </is>
      </c>
      <c r="AA6" s="8" t="inlineStr">
        <is>
          <t>Q3/25</t>
        </is>
      </c>
      <c r="AB6" s="8" t="inlineStr">
        <is>
          <t>Q4/25</t>
        </is>
      </c>
      <c r="AC6" s="8" t="n">
        <v>2025</v>
      </c>
      <c r="AD6" s="8" t="inlineStr">
        <is>
          <t>Q1/26</t>
        </is>
      </c>
      <c r="AE6" s="8" t="inlineStr">
        <is>
          <t>Q2/26</t>
        </is>
      </c>
      <c r="AF6" s="8" t="inlineStr">
        <is>
          <t>Q3/26E</t>
        </is>
      </c>
      <c r="AG6" s="8" t="inlineStr">
        <is>
          <t>Q4/26E</t>
        </is>
      </c>
      <c r="AH6" s="8" t="inlineStr">
        <is>
          <t>2026E</t>
        </is>
      </c>
      <c r="AI6" s="8" t="inlineStr">
        <is>
          <t>2027E</t>
        </is>
      </c>
      <c r="AJ6" s="8" t="inlineStr">
        <is>
          <t>2028E</t>
        </is>
      </c>
      <c r="AK6" s="8" t="inlineStr">
        <is>
          <t>2029E</t>
        </is>
      </c>
      <c r="AL6" s="8" t="inlineStr">
        <is>
          <t>2030E</t>
        </is>
      </c>
      <c r="AM6" s="8" t="inlineStr">
        <is>
          <t>Modelling Notes</t>
        </is>
      </c>
      <c r="AO6" s="6" t="inlineStr">
        <is>
          <t>5Y CAGR</t>
        </is>
      </c>
      <c r="AP6" s="6" t="inlineStr">
        <is>
          <t>5Y CAGR</t>
        </is>
      </c>
      <c r="AQ6" s="6" t="inlineStr">
        <is>
          <t>3Y CAGR</t>
        </is>
      </c>
      <c r="AR6" s="6" t="inlineStr">
        <is>
          <t>6Y CAGR</t>
        </is>
      </c>
    </row>
    <row r="7" ht="15" customHeight="1" s="251">
      <c r="AO7" s="9" t="inlineStr">
        <is>
          <t>25-'30</t>
        </is>
      </c>
      <c r="AP7" s="9" t="inlineStr">
        <is>
          <t>20-'25</t>
        </is>
      </c>
      <c r="AQ7" s="9" t="inlineStr">
        <is>
          <t>22-'25</t>
        </is>
      </c>
      <c r="AR7" s="9" t="inlineStr">
        <is>
          <t>19-'25</t>
        </is>
      </c>
    </row>
    <row r="8" ht="15" customHeight="1" s="251">
      <c r="B8" s="10" t="inlineStr">
        <is>
          <t>NET SALES BUILD — AMERICAS · EMEA · ASIA-PACIFIC (constant-currency growth + FX translation)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inlineStr">
        <is>
          <t>REGION BUILD — modelling logic (prior-year net sales × (1 + constant-currency growth + FX translation effect) → net sales → gross margin / Adjusted EBITDA margin → IFRS P&amp;L)</t>
        </is>
      </c>
    </row>
    <row r="9" ht="15" customHeight="1" s="251">
      <c r="AU9" s="11" t="inlineStr">
        <is>
          <t>SCENARIO INPUT TABLE — driver assumptions per Bull / Base / Bear</t>
        </is>
      </c>
      <c r="AV9" s="12" t="inlineStr">
        <is>
          <t>Bull</t>
        </is>
      </c>
      <c r="AW9" s="12" t="inlineStr">
        <is>
          <t>Base</t>
        </is>
      </c>
      <c r="AX9" s="12" t="inlineStr">
        <is>
          <t>Bear</t>
        </is>
      </c>
      <c r="AY9" s="13" t="inlineStr">
        <is>
          <t>Bull / Bear = Base + Δ (Δ inputs on each block header). Outlook block = high / mid / low end of the FY26 guidance ranges.</t>
        </is>
      </c>
    </row>
    <row r="10" ht="15" customHeight="1" s="251">
      <c r="B10" s="14" t="inlineStr">
        <is>
          <t>Americas (United States, Canada, Latin America; largest wholesale &amp; DTC market)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5" t="inlineStr">
        <is>
          <t>AMERICAS — modelling logic</t>
        </is>
      </c>
    </row>
    <row r="11" ht="15" customHeight="1" s="251">
      <c r="B11" s="25" t="inlineStr">
        <is>
          <t xml:space="preserve">  Net sales (CHF m)</t>
        </is>
      </c>
      <c r="C11" s="34" t="n"/>
      <c r="D11" s="34" t="n"/>
      <c r="E11" s="34" t="n"/>
      <c r="F11" s="34" t="n"/>
      <c r="G11" s="34" t="n"/>
      <c r="H11" s="34" t="n"/>
      <c r="I11" s="253" t="n">
        <v>417.6</v>
      </c>
      <c r="J11" s="253" t="n">
        <v>140.8</v>
      </c>
      <c r="K11" s="253" t="n">
        <v>185.6</v>
      </c>
      <c r="L11" s="253" t="n">
        <v>183.7</v>
      </c>
      <c r="M11" s="253" t="n">
        <v>253.6999999999999</v>
      </c>
      <c r="N11" s="253" t="n">
        <v>763.8</v>
      </c>
      <c r="O11" s="253" t="n">
        <v>270.2</v>
      </c>
      <c r="P11" s="253" t="n">
        <v>296.6</v>
      </c>
      <c r="Q11" s="253" t="n">
        <v>294.9</v>
      </c>
      <c r="R11" s="253" t="n">
        <v>300.5</v>
      </c>
      <c r="S11" s="253" t="n">
        <v>1162.2</v>
      </c>
      <c r="T11" s="253" t="n">
        <v>329.6</v>
      </c>
      <c r="U11" s="253" t="n">
        <v>370</v>
      </c>
      <c r="V11" s="253" t="n">
        <v>395.5</v>
      </c>
      <c r="W11" s="253" t="n">
        <v>385.1</v>
      </c>
      <c r="X11" s="253" t="n">
        <v>1480.3</v>
      </c>
      <c r="Y11" s="253" t="n">
        <v>437.4</v>
      </c>
      <c r="Z11" s="253" t="n">
        <v>432.3</v>
      </c>
      <c r="AA11" s="253" t="n">
        <v>436.2</v>
      </c>
      <c r="AB11" s="253" t="n">
        <v>434.3</v>
      </c>
      <c r="AC11" s="253" t="n">
        <v>1740.1</v>
      </c>
      <c r="AD11" s="253" t="n">
        <v>450.7</v>
      </c>
      <c r="AE11" s="253" t="n">
        <v>451.6</v>
      </c>
      <c r="AF11" s="254">
        <f>AA11*(1+AF13+AF14)</f>
        <v/>
      </c>
      <c r="AG11" s="254">
        <f>AB11*(1+AG13+AG14)</f>
        <v/>
      </c>
      <c r="AH11" s="254">
        <f>SUM(AD11,AE11,AF11,AG11)</f>
        <v/>
      </c>
      <c r="AI11" s="254">
        <f>AH11*(1+AI13+AI14)</f>
        <v/>
      </c>
      <c r="AJ11" s="254">
        <f>AI11*(1+AJ13+AJ14)</f>
        <v/>
      </c>
      <c r="AK11" s="254">
        <f>AJ11*(1+AK13+AK14)</f>
        <v/>
      </c>
      <c r="AL11" s="254">
        <f>AK11*(1+AL13+AL14)</f>
        <v/>
      </c>
      <c r="AM11" s="19" t="inlineStr">
        <is>
          <t>As published on the EMEA / Americas / APAC basis (from 2023; FY2021 and 2022 quarters restated in the 2023 filings). Q4 = FY − 9M where not printed. Forecast: prior-year period × (1 + constant-currency growth + FX translation effect).</t>
        </is>
      </c>
      <c r="AO11" s="20">
        <f>IFERROR((AL11/AC11)^(1/5)-1,"n/m")</f>
        <v/>
      </c>
      <c r="AP11" s="20">
        <f>IFERROR((AC11/D11)^(1/5)-1,"n/m")</f>
        <v/>
      </c>
      <c r="AQ11" s="20">
        <f>IFERROR((AC11/N11)^(1/3)-1,"n/m")</f>
        <v/>
      </c>
      <c r="AR11" s="20">
        <f>IFERROR((AC11/C11)^(1/6)-1,"n/m")</f>
        <v/>
      </c>
      <c r="AU11" s="15" t="inlineStr">
        <is>
          <t>FY26 outlook — Q2-26 release (11-Aug-26), reiterated at Investor Day (22-Sep-26)</t>
        </is>
      </c>
      <c r="AV11" s="21" t="inlineStr">
        <is>
          <t>High</t>
        </is>
      </c>
      <c r="AW11" s="21" t="inlineStr">
        <is>
          <t>Mid</t>
        </is>
      </c>
      <c r="AX11" s="21" t="inlineStr">
        <is>
          <t>Low</t>
        </is>
      </c>
      <c r="AY11" s="13" t="inlineStr">
        <is>
          <t>Q2-26: cc growth "low-20% range", CHF 3.47–3.56bn at spot, GM ≥65.0% (raised), Adj. EBITDA margin 19.5–20.0%; all excl. tariff refunds. Investor Day: Q3-26 cc growth ~17%; tariff refund up to CHF 53m in Q3-26.</t>
        </is>
      </c>
    </row>
    <row r="12" ht="15" customHeight="1" s="251">
      <c r="B12" s="22" t="inlineStr">
        <is>
          <t xml:space="preserve">    y/y % (reported, CHF)</t>
        </is>
      </c>
      <c r="C12" s="23" t="n"/>
      <c r="D12" s="255">
        <f>IF(AND(ISNUMBER(D11),ISNUMBER(C11)),IFERROR(D11/C11-1,""),"")</f>
        <v/>
      </c>
      <c r="E12" s="23" t="n"/>
      <c r="F12" s="23" t="n"/>
      <c r="G12" s="23" t="n"/>
      <c r="H12" s="23" t="n"/>
      <c r="I12" s="255">
        <f>IF(AND(ISNUMBER(I11),ISNUMBER(D11)),IFERROR(I11/D11-1,""),"")</f>
        <v/>
      </c>
      <c r="J12" s="255">
        <f>IF(AND(ISNUMBER(J11),ISNUMBER(E11)),IFERROR(J11/E11-1,""),"")</f>
        <v/>
      </c>
      <c r="K12" s="255">
        <f>IF(AND(ISNUMBER(K11),ISNUMBER(F11)),IFERROR(K11/F11-1,""),"")</f>
        <v/>
      </c>
      <c r="L12" s="255">
        <f>IF(AND(ISNUMBER(L11),ISNUMBER(G11)),IFERROR(L11/G11-1,""),"")</f>
        <v/>
      </c>
      <c r="M12" s="255">
        <f>IF(AND(ISNUMBER(M11),ISNUMBER(H11)),IFERROR(M11/H11-1,""),"")</f>
        <v/>
      </c>
      <c r="N12" s="255">
        <f>IF(AND(ISNUMBER(N11),ISNUMBER(I11)),IFERROR(N11/I11-1,""),"")</f>
        <v/>
      </c>
      <c r="O12" s="255">
        <f>IF(AND(ISNUMBER(O11),ISNUMBER(J11)),IFERROR(O11/J11-1,""),"")</f>
        <v/>
      </c>
      <c r="P12" s="255">
        <f>IF(AND(ISNUMBER(P11),ISNUMBER(K11)),IFERROR(P11/K11-1,""),"")</f>
        <v/>
      </c>
      <c r="Q12" s="255">
        <f>IF(AND(ISNUMBER(Q11),ISNUMBER(L11)),IFERROR(Q11/L11-1,""),"")</f>
        <v/>
      </c>
      <c r="R12" s="255">
        <f>IF(AND(ISNUMBER(R11),ISNUMBER(M11)),IFERROR(R11/M11-1,""),"")</f>
        <v/>
      </c>
      <c r="S12" s="255">
        <f>IF(AND(ISNUMBER(S11),ISNUMBER(N11)),IFERROR(S11/N11-1,""),"")</f>
        <v/>
      </c>
      <c r="T12" s="255">
        <f>IF(AND(ISNUMBER(T11),ISNUMBER(O11)),IFERROR(T11/O11-1,""),"")</f>
        <v/>
      </c>
      <c r="U12" s="255">
        <f>IF(AND(ISNUMBER(U11),ISNUMBER(P11)),IFERROR(U11/P11-1,""),"")</f>
        <v/>
      </c>
      <c r="V12" s="255">
        <f>IF(AND(ISNUMBER(V11),ISNUMBER(Q11)),IFERROR(V11/Q11-1,""),"")</f>
        <v/>
      </c>
      <c r="W12" s="255">
        <f>IF(AND(ISNUMBER(W11),ISNUMBER(R11)),IFERROR(W11/R11-1,""),"")</f>
        <v/>
      </c>
      <c r="X12" s="255">
        <f>IF(AND(ISNUMBER(X11),ISNUMBER(S11)),IFERROR(X11/S11-1,""),"")</f>
        <v/>
      </c>
      <c r="Y12" s="255">
        <f>IF(AND(ISNUMBER(Y11),ISNUMBER(T11)),IFERROR(Y11/T11-1,""),"")</f>
        <v/>
      </c>
      <c r="Z12" s="255">
        <f>IF(AND(ISNUMBER(Z11),ISNUMBER(U11)),IFERROR(Z11/U11-1,""),"")</f>
        <v/>
      </c>
      <c r="AA12" s="255">
        <f>IF(AND(ISNUMBER(AA11),ISNUMBER(V11)),IFERROR(AA11/V11-1,""),"")</f>
        <v/>
      </c>
      <c r="AB12" s="255">
        <f>IF(AND(ISNUMBER(AB11),ISNUMBER(W11)),IFERROR(AB11/W11-1,""),"")</f>
        <v/>
      </c>
      <c r="AC12" s="255">
        <f>IF(AND(ISNUMBER(AC11),ISNUMBER(X11)),IFERROR(AC11/X11-1,""),"")</f>
        <v/>
      </c>
      <c r="AD12" s="255">
        <f>IF(AND(ISNUMBER(AD11),ISNUMBER(Y11)),IFERROR(AD11/Y11-1,""),"")</f>
        <v/>
      </c>
      <c r="AE12" s="255">
        <f>IF(AND(ISNUMBER(AE11),ISNUMBER(Z11)),IFERROR(AE11/Z11-1,""),"")</f>
        <v/>
      </c>
      <c r="AF12" s="256">
        <f>IF(AND(ISNUMBER(AF11),ISNUMBER(AA11)),IFERROR(AF11/AA11-1,""),"")</f>
        <v/>
      </c>
      <c r="AG12" s="256">
        <f>IF(AND(ISNUMBER(AG11),ISNUMBER(AB11)),IFERROR(AG11/AB11-1,""),"")</f>
        <v/>
      </c>
      <c r="AH12" s="256">
        <f>IF(AND(ISNUMBER(AH11),ISNUMBER(AC11)),IFERROR(AH11/AC11-1,""),"")</f>
        <v/>
      </c>
      <c r="AI12" s="256">
        <f>IF(AND(ISNUMBER(AI11),ISNUMBER(AH11)),IFERROR(AI11/AH11-1,""),"")</f>
        <v/>
      </c>
      <c r="AJ12" s="256">
        <f>IF(AND(ISNUMBER(AJ11),ISNUMBER(AI11)),IFERROR(AJ11/AI11-1,""),"")</f>
        <v/>
      </c>
      <c r="AK12" s="256">
        <f>IF(AND(ISNUMBER(AK11),ISNUMBER(AJ11)),IFERROR(AK11/AJ11-1,""),"")</f>
        <v/>
      </c>
      <c r="AL12" s="256">
        <f>IF(AND(ISNUMBER(AL11),ISNUMBER(AK11)),IFERROR(AL11/AK11-1,""),"")</f>
        <v/>
      </c>
      <c r="AM12" s="153" t="n"/>
      <c r="AU12" s="25" t="inlineStr">
        <is>
          <t xml:space="preserve">  FY26 net sales growth, constant currency</t>
        </is>
      </c>
      <c r="AV12" s="257" t="n">
        <v>0.23</v>
      </c>
      <c r="AW12" s="257" t="n">
        <v>0.215</v>
      </c>
      <c r="AX12" s="257" t="n">
        <v>0.2</v>
      </c>
      <c r="AY12" s="13" t="inlineStr">
        <is>
          <t>"Low-20% range" → 20–23%. Drives the Q4-26E cc calibration.</t>
        </is>
      </c>
    </row>
    <row r="13" ht="15" customHeight="1" s="251">
      <c r="B13" s="22" t="inlineStr">
        <is>
          <t xml:space="preserve">    y/y % constant currency</t>
        </is>
      </c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58" t="n">
        <v>0.304</v>
      </c>
      <c r="U13" s="258" t="n">
        <v>0.258</v>
      </c>
      <c r="V13" s="258" t="n">
        <v>0.345</v>
      </c>
      <c r="W13" s="258" t="n">
        <v>0.339</v>
      </c>
      <c r="X13" s="258" t="n">
        <v>0.312</v>
      </c>
      <c r="Y13" s="258" t="n">
        <v>0.286</v>
      </c>
      <c r="Z13" s="258" t="n">
        <v>0.236</v>
      </c>
      <c r="AA13" s="258" t="n">
        <v>0.21</v>
      </c>
      <c r="AB13" s="258" t="n">
        <v>0.213</v>
      </c>
      <c r="AC13" s="258" t="n">
        <v>0.234</v>
      </c>
      <c r="AD13" s="258" t="n">
        <v>0.171</v>
      </c>
      <c r="AE13" s="258" t="n">
        <v>0.13</v>
      </c>
      <c r="AF13" s="256">
        <f>AF16+AF47</f>
        <v/>
      </c>
      <c r="AG13" s="256">
        <f>AG16+AG47</f>
        <v/>
      </c>
      <c r="AH13" s="256">
        <f>IFERROR(AH15/AC11-1,"")</f>
        <v/>
      </c>
      <c r="AI13" s="256">
        <f>CHOOSE(MATCH($AM$2,{"Bull","Base","Bear"},0),$AV$30,$AW$30,$AX$30)</f>
        <v/>
      </c>
      <c r="AJ13" s="256">
        <f>CHOOSE(MATCH($AM$2,{"Bull","Base","Bear"},0),$AV$31,$AW$31,$AX$31)</f>
        <v/>
      </c>
      <c r="AK13" s="256">
        <f>CHOOSE(MATCH($AM$2,{"Bull","Base","Bear"},0),$AV$32,$AW$32,$AX$32)</f>
        <v/>
      </c>
      <c r="AL13" s="256">
        <f>CHOOSE(MATCH($AM$2,{"Bull","Base","Bear"},0),$AV$33,$AW$33,$AX$33)</f>
        <v/>
      </c>
      <c r="AM13" s="153" t="inlineStr">
        <is>
          <t>Published from Q1-24 (company: current period retranslated at prior-year rates). Q3/Q4-26E: 1H/26 constant-currency growth (row below) + outlook calibration Δ (Group block). 2026E = Σ quarterly constant-currency sales ÷ FY25 − 1. 2027E–2030E: scenario lever.</t>
        </is>
      </c>
      <c r="AU13" s="25" t="inlineStr">
        <is>
          <t xml:space="preserve">  FY26 net sales at current spot rates (CHF m)</t>
        </is>
      </c>
      <c r="AV13" s="259" t="n">
        <v>3560</v>
      </c>
      <c r="AW13" s="259" t="n">
        <v>3515</v>
      </c>
      <c r="AX13" s="259" t="n">
        <v>3470</v>
      </c>
      <c r="AY13" s="13" t="inlineStr">
        <is>
          <t>Guided CHF 3.47–3.56bn. Drives the 2H FX calibration.</t>
        </is>
      </c>
    </row>
    <row r="14" ht="15" customHeight="1" s="251">
      <c r="B14" s="22" t="inlineStr">
        <is>
          <t xml:space="preserve">    FX translation effect (pts; reported − constant currency)</t>
        </is>
      </c>
      <c r="C14" s="255">
        <f>IF(AND(ISNUMBER(C12),ISNUMBER(C13)),C12-C13,"")</f>
        <v/>
      </c>
      <c r="D14" s="255">
        <f>IF(AND(ISNUMBER(D12),ISNUMBER(D13)),D12-D13,"")</f>
        <v/>
      </c>
      <c r="E14" s="255">
        <f>IF(AND(ISNUMBER(E12),ISNUMBER(E13)),E12-E13,"")</f>
        <v/>
      </c>
      <c r="F14" s="255">
        <f>IF(AND(ISNUMBER(F12),ISNUMBER(F13)),F12-F13,"")</f>
        <v/>
      </c>
      <c r="G14" s="255">
        <f>IF(AND(ISNUMBER(G12),ISNUMBER(G13)),G12-G13,"")</f>
        <v/>
      </c>
      <c r="H14" s="255">
        <f>IF(AND(ISNUMBER(H12),ISNUMBER(H13)),H12-H13,"")</f>
        <v/>
      </c>
      <c r="I14" s="255">
        <f>IF(AND(ISNUMBER(I12),ISNUMBER(I13)),I12-I13,"")</f>
        <v/>
      </c>
      <c r="J14" s="255">
        <f>IF(AND(ISNUMBER(J12),ISNUMBER(J13)),J12-J13,"")</f>
        <v/>
      </c>
      <c r="K14" s="255">
        <f>IF(AND(ISNUMBER(K12),ISNUMBER(K13)),K12-K13,"")</f>
        <v/>
      </c>
      <c r="L14" s="255">
        <f>IF(AND(ISNUMBER(L12),ISNUMBER(L13)),L12-L13,"")</f>
        <v/>
      </c>
      <c r="M14" s="255">
        <f>IF(AND(ISNUMBER(M12),ISNUMBER(M13)),M12-M13,"")</f>
        <v/>
      </c>
      <c r="N14" s="255">
        <f>IF(AND(ISNUMBER(N12),ISNUMBER(N13)),N12-N13,"")</f>
        <v/>
      </c>
      <c r="O14" s="255">
        <f>IF(AND(ISNUMBER(O12),ISNUMBER(O13)),O12-O13,"")</f>
        <v/>
      </c>
      <c r="P14" s="255">
        <f>IF(AND(ISNUMBER(P12),ISNUMBER(P13)),P12-P13,"")</f>
        <v/>
      </c>
      <c r="Q14" s="255">
        <f>IF(AND(ISNUMBER(Q12),ISNUMBER(Q13)),Q12-Q13,"")</f>
        <v/>
      </c>
      <c r="R14" s="255">
        <f>IF(AND(ISNUMBER(R12),ISNUMBER(R13)),R12-R13,"")</f>
        <v/>
      </c>
      <c r="S14" s="255">
        <f>IF(AND(ISNUMBER(S12),ISNUMBER(S13)),S12-S13,"")</f>
        <v/>
      </c>
      <c r="T14" s="255">
        <f>IF(AND(ISNUMBER(T12),ISNUMBER(T13)),T12-T13,"")</f>
        <v/>
      </c>
      <c r="U14" s="255">
        <f>IF(AND(ISNUMBER(U12),ISNUMBER(U13)),U12-U13,"")</f>
        <v/>
      </c>
      <c r="V14" s="255">
        <f>IF(AND(ISNUMBER(V12),ISNUMBER(V13)),V12-V13,"")</f>
        <v/>
      </c>
      <c r="W14" s="255">
        <f>IF(AND(ISNUMBER(W12),ISNUMBER(W13)),W12-W13,"")</f>
        <v/>
      </c>
      <c r="X14" s="255">
        <f>IF(AND(ISNUMBER(X12),ISNUMBER(X13)),X12-X13,"")</f>
        <v/>
      </c>
      <c r="Y14" s="255">
        <f>IF(AND(ISNUMBER(Y12),ISNUMBER(Y13)),Y12-Y13,"")</f>
        <v/>
      </c>
      <c r="Z14" s="255">
        <f>IF(AND(ISNUMBER(Z12),ISNUMBER(Z13)),Z12-Z13,"")</f>
        <v/>
      </c>
      <c r="AA14" s="255">
        <f>IF(AND(ISNUMBER(AA12),ISNUMBER(AA13)),AA12-AA13,"")</f>
        <v/>
      </c>
      <c r="AB14" s="255">
        <f>IF(AND(ISNUMBER(AB12),ISNUMBER(AB13)),AB12-AB13,"")</f>
        <v/>
      </c>
      <c r="AC14" s="255">
        <f>IF(AND(ISNUMBER(AC12),ISNUMBER(AC13)),AC12-AC13,"")</f>
        <v/>
      </c>
      <c r="AD14" s="255">
        <f>IF(AND(ISNUMBER(AD12),ISNUMBER(AD13)),AD12-AD13,"")</f>
        <v/>
      </c>
      <c r="AE14" s="255">
        <f>IF(AND(ISNUMBER(AE12),ISNUMBER(AE13)),AE12-AE13,"")</f>
        <v/>
      </c>
      <c r="AF14" s="256">
        <f>$AF$51</f>
        <v/>
      </c>
      <c r="AG14" s="256">
        <f>$AF$51</f>
        <v/>
      </c>
      <c r="AH14" s="256">
        <f>IF(AND(ISNUMBER(AH12),ISNUMBER(AH13)),AH12-AH13,"")</f>
        <v/>
      </c>
      <c r="AI14" s="260" t="n">
        <v>0</v>
      </c>
      <c r="AJ14" s="260" t="n">
        <v>0</v>
      </c>
      <c r="AK14" s="260" t="n">
        <v>0</v>
      </c>
      <c r="AL14" s="260" t="n">
        <v>0</v>
      </c>
      <c r="AM14" s="153" t="inlineStr">
        <is>
          <t>Q3/Q4-26E: uniform FX Δ solved so FY26 CHF net sales = the guidance end-point (company: "at current spot rates"). 2027E+: input (0 = forecasts at constant spot FX; CHF strength vs USD is the main translation risk).</t>
        </is>
      </c>
      <c r="AU14" s="25" t="inlineStr">
        <is>
          <t xml:space="preserve">  Q3-26 net sales growth, constant currency</t>
        </is>
      </c>
      <c r="AV14" s="257" t="n">
        <v>0.18</v>
      </c>
      <c r="AW14" s="257" t="n">
        <v>0.17</v>
      </c>
      <c r="AX14" s="257" t="n">
        <v>0.16</v>
      </c>
      <c r="AY14" s="13" t="inlineStr">
        <is>
          <t>Investor Day: "around 17%". Drives the Q3-26E cc calibration.</t>
        </is>
      </c>
    </row>
    <row r="15" ht="15" customHeight="1" s="251">
      <c r="B15" s="156" t="inlineStr">
        <is>
          <t xml:space="preserve">    Memo: constant-currency net sales (prior-year period × (1 + cc growth))</t>
        </is>
      </c>
      <c r="C15" s="44" t="n"/>
      <c r="D15" s="261">
        <f>IF(AND(ISNUMBER(D13),ISNUMBER(C11)),C11*(1+D13),"")</f>
        <v/>
      </c>
      <c r="E15" s="44" t="n"/>
      <c r="F15" s="44" t="n"/>
      <c r="G15" s="44" t="n"/>
      <c r="H15" s="44" t="n"/>
      <c r="I15" s="261">
        <f>IF(AND(ISNUMBER(I13),ISNUMBER(D11)),D11*(1+I13),"")</f>
        <v/>
      </c>
      <c r="J15" s="261">
        <f>IF(AND(ISNUMBER(J13),ISNUMBER(E11)),E11*(1+J13),"")</f>
        <v/>
      </c>
      <c r="K15" s="261">
        <f>IF(AND(ISNUMBER(K13),ISNUMBER(F11)),F11*(1+K13),"")</f>
        <v/>
      </c>
      <c r="L15" s="261">
        <f>IF(AND(ISNUMBER(L13),ISNUMBER(G11)),G11*(1+L13),"")</f>
        <v/>
      </c>
      <c r="M15" s="261">
        <f>IF(AND(ISNUMBER(M13),ISNUMBER(H11)),H11*(1+M13),"")</f>
        <v/>
      </c>
      <c r="N15" s="261">
        <f>IF(AND(ISNUMBER(N13),ISNUMBER(I11)),I11*(1+N13),"")</f>
        <v/>
      </c>
      <c r="O15" s="261">
        <f>IF(AND(ISNUMBER(O13),ISNUMBER(J11)),J11*(1+O13),"")</f>
        <v/>
      </c>
      <c r="P15" s="261">
        <f>IF(AND(ISNUMBER(P13),ISNUMBER(K11)),K11*(1+P13),"")</f>
        <v/>
      </c>
      <c r="Q15" s="261">
        <f>IF(AND(ISNUMBER(Q13),ISNUMBER(L11)),L11*(1+Q13),"")</f>
        <v/>
      </c>
      <c r="R15" s="261">
        <f>IF(AND(ISNUMBER(R13),ISNUMBER(M11)),M11*(1+R13),"")</f>
        <v/>
      </c>
      <c r="S15" s="261">
        <f>IF(AND(ISNUMBER(S13),ISNUMBER(N11)),N11*(1+S13),"")</f>
        <v/>
      </c>
      <c r="T15" s="261">
        <f>IF(AND(ISNUMBER(T13),ISNUMBER(O11)),O11*(1+T13),"")</f>
        <v/>
      </c>
      <c r="U15" s="261">
        <f>IF(AND(ISNUMBER(U13),ISNUMBER(P11)),P11*(1+U13),"")</f>
        <v/>
      </c>
      <c r="V15" s="261">
        <f>IF(AND(ISNUMBER(V13),ISNUMBER(Q11)),Q11*(1+V13),"")</f>
        <v/>
      </c>
      <c r="W15" s="261">
        <f>IF(AND(ISNUMBER(W13),ISNUMBER(R11)),R11*(1+W13),"")</f>
        <v/>
      </c>
      <c r="X15" s="261">
        <f>IF(AND(ISNUMBER(X13),ISNUMBER(S11)),S11*(1+X13),"")</f>
        <v/>
      </c>
      <c r="Y15" s="261">
        <f>IF(AND(ISNUMBER(Y13),ISNUMBER(T11)),T11*(1+Y13),"")</f>
        <v/>
      </c>
      <c r="Z15" s="261">
        <f>IF(AND(ISNUMBER(Z13),ISNUMBER(U11)),U11*(1+Z13),"")</f>
        <v/>
      </c>
      <c r="AA15" s="261">
        <f>IF(AND(ISNUMBER(AA13),ISNUMBER(V11)),V11*(1+AA13),"")</f>
        <v/>
      </c>
      <c r="AB15" s="261">
        <f>IF(AND(ISNUMBER(AB13),ISNUMBER(W11)),W11*(1+AB13),"")</f>
        <v/>
      </c>
      <c r="AC15" s="261">
        <f>IF(AND(ISNUMBER(AC13),ISNUMBER(X11)),X11*(1+AC13),"")</f>
        <v/>
      </c>
      <c r="AD15" s="261">
        <f>IF(AND(ISNUMBER(AD13),ISNUMBER(Y11)),Y11*(1+AD13),"")</f>
        <v/>
      </c>
      <c r="AE15" s="261">
        <f>IF(AND(ISNUMBER(AE13),ISNUMBER(Z11)),Z11*(1+AE13),"")</f>
        <v/>
      </c>
      <c r="AF15" s="254">
        <f>IF(AND(ISNUMBER(AF13),ISNUMBER(AA11)),AA11*(1+AF13),"")</f>
        <v/>
      </c>
      <c r="AG15" s="254">
        <f>IF(AND(ISNUMBER(AG13),ISNUMBER(AB11)),AB11*(1+AG13),"")</f>
        <v/>
      </c>
      <c r="AH15" s="254">
        <f>SUM(AD15:AG15)</f>
        <v/>
      </c>
      <c r="AI15" s="254">
        <f>IF(AND(ISNUMBER(AI13),ISNUMBER(AH11)),AH11*(1+AI13),"")</f>
        <v/>
      </c>
      <c r="AJ15" s="254">
        <f>IF(AND(ISNUMBER(AJ13),ISNUMBER(AI11)),AI11*(1+AJ13),"")</f>
        <v/>
      </c>
      <c r="AK15" s="254">
        <f>IF(AND(ISNUMBER(AK13),ISNUMBER(AJ11)),AJ11*(1+AK13),"")</f>
        <v/>
      </c>
      <c r="AL15" s="254">
        <f>IF(AND(ISNUMBER(AL13),ISNUMBER(AK11)),AK11*(1+AL13),"")</f>
        <v/>
      </c>
      <c r="AM15" s="153" t="n"/>
      <c r="AU15" s="25" t="inlineStr">
        <is>
          <t xml:space="preserve">  FY26 gross margin (excl. tariff refund)</t>
        </is>
      </c>
      <c r="AV15" s="257" t="n">
        <v>0.658</v>
      </c>
      <c r="AW15" s="257" t="n">
        <v>0.654</v>
      </c>
      <c r="AX15" s="257" t="n">
        <v>0.65</v>
      </c>
      <c r="AY15" s="13" t="inlineStr">
        <is>
          <t>Guided "at least 65.0%" (1H/26 64.8%, Q2-26 65.4%).</t>
        </is>
      </c>
    </row>
    <row r="16" ht="15" customHeight="1" s="251">
      <c r="B16" s="25" t="inlineStr">
        <is>
          <t xml:space="preserve">    Q3/Q4-26E cc growth before calibration (1H/26 constant-currency growth)</t>
        </is>
      </c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256">
        <f>IFERROR((AD15+AE15)/(Y11+Z11)-1,0)</f>
        <v/>
      </c>
      <c r="AG16" s="256">
        <f>IFERROR((AD15+AE15)/(Y11+Z11)-1,0)</f>
        <v/>
      </c>
      <c r="AH16" s="24" t="n"/>
      <c r="AI16" s="46" t="n"/>
      <c r="AJ16" s="46" t="n"/>
      <c r="AK16" s="46" t="n"/>
      <c r="AL16" s="46" t="n"/>
      <c r="AM16" s="19" t="n"/>
      <c r="AU16" s="25" t="inlineStr">
        <is>
          <t xml:space="preserve">  FY26 Adjusted EBITDA margin (excl. tariff refund)</t>
        </is>
      </c>
      <c r="AV16" s="257" t="n">
        <v>0.2</v>
      </c>
      <c r="AW16" s="257" t="n">
        <v>0.1975</v>
      </c>
      <c r="AX16" s="257" t="n">
        <v>0.195</v>
      </c>
      <c r="AY16" s="13" t="inlineStr">
        <is>
          <t>Guided 19.5–20.0% (1H/26 20.3%).</t>
        </is>
      </c>
    </row>
    <row r="17" ht="15" customHeight="1" s="251">
      <c r="B17" s="25" t="inlineStr">
        <is>
          <t xml:space="preserve">    % of net sales</t>
        </is>
      </c>
      <c r="C17" s="215">
        <f>IF(AND(ISNUMBER(C11),ISNUMBER(C38)),IFERROR(C11/C38,""),"")</f>
        <v/>
      </c>
      <c r="D17" s="215">
        <f>IF(AND(ISNUMBER(D11),ISNUMBER(D38)),IFERROR(D11/D38,""),"")</f>
        <v/>
      </c>
      <c r="E17" s="215">
        <f>IF(AND(ISNUMBER(E11),ISNUMBER(E38)),IFERROR(E11/E38,""),"")</f>
        <v/>
      </c>
      <c r="F17" s="215">
        <f>IF(AND(ISNUMBER(F11),ISNUMBER(F38)),IFERROR(F11/F38,""),"")</f>
        <v/>
      </c>
      <c r="G17" s="215">
        <f>IF(AND(ISNUMBER(G11),ISNUMBER(G38)),IFERROR(G11/G38,""),"")</f>
        <v/>
      </c>
      <c r="H17" s="215">
        <f>IF(AND(ISNUMBER(H11),ISNUMBER(H38)),IFERROR(H11/H38,""),"")</f>
        <v/>
      </c>
      <c r="I17" s="215">
        <f>IF(AND(ISNUMBER(I11),ISNUMBER(I38)),IFERROR(I11/I38,""),"")</f>
        <v/>
      </c>
      <c r="J17" s="215">
        <f>IF(AND(ISNUMBER(J11),ISNUMBER(J38)),IFERROR(J11/J38,""),"")</f>
        <v/>
      </c>
      <c r="K17" s="215">
        <f>IF(AND(ISNUMBER(K11),ISNUMBER(K38)),IFERROR(K11/K38,""),"")</f>
        <v/>
      </c>
      <c r="L17" s="215">
        <f>IF(AND(ISNUMBER(L11),ISNUMBER(L38)),IFERROR(L11/L38,""),"")</f>
        <v/>
      </c>
      <c r="M17" s="215">
        <f>IF(AND(ISNUMBER(M11),ISNUMBER(M38)),IFERROR(M11/M38,""),"")</f>
        <v/>
      </c>
      <c r="N17" s="215">
        <f>IF(AND(ISNUMBER(N11),ISNUMBER(N38)),IFERROR(N11/N38,""),"")</f>
        <v/>
      </c>
      <c r="O17" s="215">
        <f>IF(AND(ISNUMBER(O11),ISNUMBER(O38)),IFERROR(O11/O38,""),"")</f>
        <v/>
      </c>
      <c r="P17" s="215">
        <f>IF(AND(ISNUMBER(P11),ISNUMBER(P38)),IFERROR(P11/P38,""),"")</f>
        <v/>
      </c>
      <c r="Q17" s="215">
        <f>IF(AND(ISNUMBER(Q11),ISNUMBER(Q38)),IFERROR(Q11/Q38,""),"")</f>
        <v/>
      </c>
      <c r="R17" s="215">
        <f>IF(AND(ISNUMBER(R11),ISNUMBER(R38)),IFERROR(R11/R38,""),"")</f>
        <v/>
      </c>
      <c r="S17" s="215">
        <f>IF(AND(ISNUMBER(S11),ISNUMBER(S38)),IFERROR(S11/S38,""),"")</f>
        <v/>
      </c>
      <c r="T17" s="215">
        <f>IF(AND(ISNUMBER(T11),ISNUMBER(T38)),IFERROR(T11/T38,""),"")</f>
        <v/>
      </c>
      <c r="U17" s="215">
        <f>IF(AND(ISNUMBER(U11),ISNUMBER(U38)),IFERROR(U11/U38,""),"")</f>
        <v/>
      </c>
      <c r="V17" s="215">
        <f>IF(AND(ISNUMBER(V11),ISNUMBER(V38)),IFERROR(V11/V38,""),"")</f>
        <v/>
      </c>
      <c r="W17" s="215">
        <f>IF(AND(ISNUMBER(W11),ISNUMBER(W38)),IFERROR(W11/W38,""),"")</f>
        <v/>
      </c>
      <c r="X17" s="215">
        <f>IF(AND(ISNUMBER(X11),ISNUMBER(X38)),IFERROR(X11/X38,""),"")</f>
        <v/>
      </c>
      <c r="Y17" s="215">
        <f>IF(AND(ISNUMBER(Y11),ISNUMBER(Y38)),IFERROR(Y11/Y38,""),"")</f>
        <v/>
      </c>
      <c r="Z17" s="215">
        <f>IF(AND(ISNUMBER(Z11),ISNUMBER(Z38)),IFERROR(Z11/Z38,""),"")</f>
        <v/>
      </c>
      <c r="AA17" s="215">
        <f>IF(AND(ISNUMBER(AA11),ISNUMBER(AA38)),IFERROR(AA11/AA38,""),"")</f>
        <v/>
      </c>
      <c r="AB17" s="215">
        <f>IF(AND(ISNUMBER(AB11),ISNUMBER(AB38)),IFERROR(AB11/AB38,""),"")</f>
        <v/>
      </c>
      <c r="AC17" s="215">
        <f>IF(AND(ISNUMBER(AC11),ISNUMBER(AC38)),IFERROR(AC11/AC38,""),"")</f>
        <v/>
      </c>
      <c r="AD17" s="215">
        <f>IF(AND(ISNUMBER(AD11),ISNUMBER(AD38)),IFERROR(AD11/AD38,""),"")</f>
        <v/>
      </c>
      <c r="AE17" s="215">
        <f>IF(AND(ISNUMBER(AE11),ISNUMBER(AE38)),IFERROR(AE11/AE38,""),"")</f>
        <v/>
      </c>
      <c r="AF17" s="256">
        <f>IF(AND(ISNUMBER(AF11),ISNUMBER(AF38)),IFERROR(AF11/AF38,""),"")</f>
        <v/>
      </c>
      <c r="AG17" s="256">
        <f>IF(AND(ISNUMBER(AG11),ISNUMBER(AG38)),IFERROR(AG11/AG38,""),"")</f>
        <v/>
      </c>
      <c r="AH17" s="256">
        <f>IF(AND(ISNUMBER(AH11),ISNUMBER(AH38)),IFERROR(AH11/AH38,""),"")</f>
        <v/>
      </c>
      <c r="AI17" s="256">
        <f>IF(AND(ISNUMBER(AI11),ISNUMBER(AI38)),IFERROR(AI11/AI38,""),"")</f>
        <v/>
      </c>
      <c r="AJ17" s="256">
        <f>IF(AND(ISNUMBER(AJ11),ISNUMBER(AJ38)),IFERROR(AJ11/AJ38,""),"")</f>
        <v/>
      </c>
      <c r="AK17" s="256">
        <f>IF(AND(ISNUMBER(AK11),ISNUMBER(AK38)),IFERROR(AK11/AK38,""),"")</f>
        <v/>
      </c>
      <c r="AL17" s="256">
        <f>IF(AND(ISNUMBER(AL11),ISNUMBER(AL38)),IFERROR(AL11/AL38,""),"")</f>
        <v/>
      </c>
      <c r="AM17" s="153" t="n"/>
      <c r="AO17" s="37">
        <f>IFERROR(AVERAGE(AH17,AI17,AJ17,AK17,AL17),"n/m")</f>
        <v/>
      </c>
      <c r="AP17" s="37">
        <f>IFERROR(AVERAGE(I17,N17,S17,X17,AC17),"n/m")</f>
        <v/>
      </c>
      <c r="AQ17" s="37">
        <f>IFERROR(AVERAGE(S17,X17,AC17),"n/m")</f>
        <v/>
      </c>
      <c r="AR17" s="37">
        <f>IFERROR(AVERAGE(C17,D17,I17,N17,S17,X17,AC17),"n/m")</f>
        <v/>
      </c>
      <c r="AU17" s="25" t="inlineStr">
        <is>
          <t xml:space="preserve">  Q3-26 tariff refund in gross profit (CHF m)</t>
        </is>
      </c>
      <c r="AV17" s="259" t="n">
        <v>53</v>
      </c>
      <c r="AW17" s="259" t="n">
        <v>53</v>
      </c>
      <c r="AX17" s="259" t="n">
        <v>40</v>
      </c>
      <c r="AY17" s="13" t="inlineStr">
        <is>
          <t>Up to USD 65m / CHF 53m expected in Q3-26 (Investor Day); Bear assumes partial recovery.</t>
        </is>
      </c>
    </row>
    <row r="18" ht="15" customHeight="1" s="251">
      <c r="AU18" s="25" t="inlineStr">
        <is>
          <t xml:space="preserve">  Q4-26 share repurchases (USD m)</t>
        </is>
      </c>
      <c r="AV18" s="262" t="n">
        <v>120</v>
      </c>
      <c r="AW18" s="262" t="n">
        <v>77</v>
      </c>
      <c r="AX18" s="262" t="n">
        <v>40</v>
      </c>
      <c r="AY18" s="13" t="inlineStr">
        <is>
          <t>USD 1bn authorization (22-Sep-26 to Dec-29); Base = 1/13 of the programme per quarter.</t>
        </is>
      </c>
    </row>
    <row r="19" ht="15" customHeight="1" s="251">
      <c r="B19" s="14" t="inlineStr">
        <is>
          <t>Europe, Middle East &amp; Africa (incl. home market Switzerland, Germany, UK)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5" t="inlineStr">
        <is>
          <t>EUROPE, MIDDLE EAST &amp; AFRICA (EMEA) — modelling logic</t>
        </is>
      </c>
    </row>
    <row r="20" ht="15" customHeight="1" s="251">
      <c r="B20" s="25" t="inlineStr">
        <is>
          <t xml:space="preserve">  Net sales (CHF m)</t>
        </is>
      </c>
      <c r="C20" s="34" t="n"/>
      <c r="D20" s="34" t="n"/>
      <c r="E20" s="34" t="n"/>
      <c r="F20" s="34" t="n"/>
      <c r="G20" s="34" t="n"/>
      <c r="H20" s="34" t="n"/>
      <c r="I20" s="253" t="n">
        <v>264.3</v>
      </c>
      <c r="J20" s="253" t="n">
        <v>78.40000000000001</v>
      </c>
      <c r="K20" s="253" t="n">
        <v>88.09999999999999</v>
      </c>
      <c r="L20" s="253" t="n">
        <v>120.1</v>
      </c>
      <c r="M20" s="253" t="n">
        <v>91.5</v>
      </c>
      <c r="N20" s="253" t="n">
        <v>378.1</v>
      </c>
      <c r="O20" s="253" t="n">
        <v>118.9</v>
      </c>
      <c r="P20" s="253" t="n">
        <v>113.6</v>
      </c>
      <c r="Q20" s="253" t="n">
        <v>144</v>
      </c>
      <c r="R20" s="253" t="n">
        <v>112.4</v>
      </c>
      <c r="S20" s="253" t="n">
        <v>488.7</v>
      </c>
      <c r="T20" s="253" t="n">
        <v>126.2</v>
      </c>
      <c r="U20" s="253" t="n">
        <v>138.4</v>
      </c>
      <c r="V20" s="253" t="n">
        <v>165.8</v>
      </c>
      <c r="W20" s="253" t="n">
        <v>147.4</v>
      </c>
      <c r="X20" s="253" t="n">
        <v>577.8</v>
      </c>
      <c r="Y20" s="253" t="n">
        <v>168.6</v>
      </c>
      <c r="Z20" s="253" t="n">
        <v>197.8</v>
      </c>
      <c r="AA20" s="253" t="n">
        <v>213.3</v>
      </c>
      <c r="AB20" s="253" t="n">
        <v>183</v>
      </c>
      <c r="AC20" s="253" t="n">
        <v>762.7</v>
      </c>
      <c r="AD20" s="253" t="n">
        <v>207.1</v>
      </c>
      <c r="AE20" s="253" t="n">
        <v>228.2</v>
      </c>
      <c r="AF20" s="254">
        <f>AA20*(1+AF22+AF23)</f>
        <v/>
      </c>
      <c r="AG20" s="254">
        <f>AB20*(1+AG22+AG23)</f>
        <v/>
      </c>
      <c r="AH20" s="254">
        <f>SUM(AD20,AE20,AF20,AG20)</f>
        <v/>
      </c>
      <c r="AI20" s="254">
        <f>AH20*(1+AI22+AI23)</f>
        <v/>
      </c>
      <c r="AJ20" s="254">
        <f>AI20*(1+AJ22+AJ23)</f>
        <v/>
      </c>
      <c r="AK20" s="254">
        <f>AJ20*(1+AK22+AK23)</f>
        <v/>
      </c>
      <c r="AL20" s="254">
        <f>AK20*(1+AL22+AL23)</f>
        <v/>
      </c>
      <c r="AM20" s="19" t="n"/>
      <c r="AO20" s="20">
        <f>IFERROR((AL20/AC20)^(1/5)-1,"n/m")</f>
        <v/>
      </c>
      <c r="AP20" s="20">
        <f>IFERROR((AC20/D20)^(1/5)-1,"n/m")</f>
        <v/>
      </c>
      <c r="AQ20" s="20">
        <f>IFERROR((AC20/N20)^(1/3)-1,"n/m")</f>
        <v/>
      </c>
      <c r="AR20" s="20">
        <f>IFERROR((AC20/C20)^(1/6)-1,"n/m")</f>
        <v/>
      </c>
      <c r="AU20" s="15" t="inlineStr">
        <is>
          <t>FY26 point estimates (all cases)</t>
        </is>
      </c>
      <c r="AV20" s="21" t="n"/>
      <c r="AW20" s="21" t="n"/>
      <c r="AX20" s="21" t="n"/>
    </row>
    <row r="21" ht="15" customHeight="1" s="251">
      <c r="B21" s="22" t="inlineStr">
        <is>
          <t xml:space="preserve">    y/y % (reported, CHF)</t>
        </is>
      </c>
      <c r="C21" s="23" t="n"/>
      <c r="D21" s="255">
        <f>IF(AND(ISNUMBER(D20),ISNUMBER(C20)),IFERROR(D20/C20-1,""),"")</f>
        <v/>
      </c>
      <c r="E21" s="23" t="n"/>
      <c r="F21" s="23" t="n"/>
      <c r="G21" s="23" t="n"/>
      <c r="H21" s="23" t="n"/>
      <c r="I21" s="255">
        <f>IF(AND(ISNUMBER(I20),ISNUMBER(D20)),IFERROR(I20/D20-1,""),"")</f>
        <v/>
      </c>
      <c r="J21" s="255">
        <f>IF(AND(ISNUMBER(J20),ISNUMBER(E20)),IFERROR(J20/E20-1,""),"")</f>
        <v/>
      </c>
      <c r="K21" s="255">
        <f>IF(AND(ISNUMBER(K20),ISNUMBER(F20)),IFERROR(K20/F20-1,""),"")</f>
        <v/>
      </c>
      <c r="L21" s="255">
        <f>IF(AND(ISNUMBER(L20),ISNUMBER(G20)),IFERROR(L20/G20-1,""),"")</f>
        <v/>
      </c>
      <c r="M21" s="255">
        <f>IF(AND(ISNUMBER(M20),ISNUMBER(H20)),IFERROR(M20/H20-1,""),"")</f>
        <v/>
      </c>
      <c r="N21" s="255">
        <f>IF(AND(ISNUMBER(N20),ISNUMBER(I20)),IFERROR(N20/I20-1,""),"")</f>
        <v/>
      </c>
      <c r="O21" s="255">
        <f>IF(AND(ISNUMBER(O20),ISNUMBER(J20)),IFERROR(O20/J20-1,""),"")</f>
        <v/>
      </c>
      <c r="P21" s="255">
        <f>IF(AND(ISNUMBER(P20),ISNUMBER(K20)),IFERROR(P20/K20-1,""),"")</f>
        <v/>
      </c>
      <c r="Q21" s="255">
        <f>IF(AND(ISNUMBER(Q20),ISNUMBER(L20)),IFERROR(Q20/L20-1,""),"")</f>
        <v/>
      </c>
      <c r="R21" s="255">
        <f>IF(AND(ISNUMBER(R20),ISNUMBER(M20)),IFERROR(R20/M20-1,""),"")</f>
        <v/>
      </c>
      <c r="S21" s="255">
        <f>IF(AND(ISNUMBER(S20),ISNUMBER(N20)),IFERROR(S20/N20-1,""),"")</f>
        <v/>
      </c>
      <c r="T21" s="255">
        <f>IF(AND(ISNUMBER(T20),ISNUMBER(O20)),IFERROR(T20/O20-1,""),"")</f>
        <v/>
      </c>
      <c r="U21" s="255">
        <f>IF(AND(ISNUMBER(U20),ISNUMBER(P20)),IFERROR(U20/P20-1,""),"")</f>
        <v/>
      </c>
      <c r="V21" s="255">
        <f>IF(AND(ISNUMBER(V20),ISNUMBER(Q20)),IFERROR(V20/Q20-1,""),"")</f>
        <v/>
      </c>
      <c r="W21" s="255">
        <f>IF(AND(ISNUMBER(W20),ISNUMBER(R20)),IFERROR(W20/R20-1,""),"")</f>
        <v/>
      </c>
      <c r="X21" s="255">
        <f>IF(AND(ISNUMBER(X20),ISNUMBER(S20)),IFERROR(X20/S20-1,""),"")</f>
        <v/>
      </c>
      <c r="Y21" s="255">
        <f>IF(AND(ISNUMBER(Y20),ISNUMBER(T20)),IFERROR(Y20/T20-1,""),"")</f>
        <v/>
      </c>
      <c r="Z21" s="255">
        <f>IF(AND(ISNUMBER(Z20),ISNUMBER(U20)),IFERROR(Z20/U20-1,""),"")</f>
        <v/>
      </c>
      <c r="AA21" s="255">
        <f>IF(AND(ISNUMBER(AA20),ISNUMBER(V20)),IFERROR(AA20/V20-1,""),"")</f>
        <v/>
      </c>
      <c r="AB21" s="255">
        <f>IF(AND(ISNUMBER(AB20),ISNUMBER(W20)),IFERROR(AB20/W20-1,""),"")</f>
        <v/>
      </c>
      <c r="AC21" s="255">
        <f>IF(AND(ISNUMBER(AC20),ISNUMBER(X20)),IFERROR(AC20/X20-1,""),"")</f>
        <v/>
      </c>
      <c r="AD21" s="255">
        <f>IF(AND(ISNUMBER(AD20),ISNUMBER(Y20)),IFERROR(AD20/Y20-1,""),"")</f>
        <v/>
      </c>
      <c r="AE21" s="255">
        <f>IF(AND(ISNUMBER(AE20),ISNUMBER(Z20)),IFERROR(AE20/Z20-1,""),"")</f>
        <v/>
      </c>
      <c r="AF21" s="256">
        <f>IF(AND(ISNUMBER(AF20),ISNUMBER(AA20)),IFERROR(AF20/AA20-1,""),"")</f>
        <v/>
      </c>
      <c r="AG21" s="256">
        <f>IF(AND(ISNUMBER(AG20),ISNUMBER(AB20)),IFERROR(AG20/AB20-1,""),"")</f>
        <v/>
      </c>
      <c r="AH21" s="256">
        <f>IF(AND(ISNUMBER(AH20),ISNUMBER(AC20)),IFERROR(AH20/AC20-1,""),"")</f>
        <v/>
      </c>
      <c r="AI21" s="256">
        <f>IF(AND(ISNUMBER(AI20),ISNUMBER(AH20)),IFERROR(AI20/AH20-1,""),"")</f>
        <v/>
      </c>
      <c r="AJ21" s="256">
        <f>IF(AND(ISNUMBER(AJ20),ISNUMBER(AI20)),IFERROR(AJ20/AI20-1,""),"")</f>
        <v/>
      </c>
      <c r="AK21" s="256">
        <f>IF(AND(ISNUMBER(AK20),ISNUMBER(AJ20)),IFERROR(AK20/AJ20-1,""),"")</f>
        <v/>
      </c>
      <c r="AL21" s="256">
        <f>IF(AND(ISNUMBER(AL20),ISNUMBER(AK20)),IFERROR(AL20/AK20-1,""),"")</f>
        <v/>
      </c>
      <c r="AM21" s="153" t="n"/>
      <c r="AU21" s="25" t="inlineStr">
        <is>
          <t xml:space="preserve">  D&amp;A (CHF m)</t>
        </is>
      </c>
      <c r="AW21" s="259" t="n">
        <v>150</v>
      </c>
      <c r="AY21" s="13" t="inlineStr">
        <is>
          <t>Not guided; 1H/26 CHF 71.9m (FY25 127.4m; ~62% right-of-use depreciation).</t>
        </is>
      </c>
    </row>
    <row r="22" ht="15" customHeight="1" s="251">
      <c r="B22" s="22" t="inlineStr">
        <is>
          <t xml:space="preserve">    y/y % constant currency</t>
        </is>
      </c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58" t="n">
        <v>0.104</v>
      </c>
      <c r="U22" s="258" t="n">
        <v>0.222</v>
      </c>
      <c r="V22" s="258" t="n">
        <v>0.152</v>
      </c>
      <c r="W22" s="258" t="n">
        <v>0.331</v>
      </c>
      <c r="X22" s="258" t="n">
        <v>0.199</v>
      </c>
      <c r="Y22" s="258" t="n">
        <v>0.33</v>
      </c>
      <c r="Z22" s="258" t="n">
        <v>0.461</v>
      </c>
      <c r="AA22" s="258" t="n">
        <v>0.33</v>
      </c>
      <c r="AB22" s="258" t="n">
        <v>0.275</v>
      </c>
      <c r="AC22" s="258" t="n">
        <v>0.347</v>
      </c>
      <c r="AD22" s="258" t="n">
        <v>0.256</v>
      </c>
      <c r="AE22" s="258" t="n">
        <v>0.205</v>
      </c>
      <c r="AF22" s="256">
        <f>AF25+AF47</f>
        <v/>
      </c>
      <c r="AG22" s="256">
        <f>AG25+AG47</f>
        <v/>
      </c>
      <c r="AH22" s="256">
        <f>IFERROR(AH24/AC20-1,"")</f>
        <v/>
      </c>
      <c r="AI22" s="256">
        <f>CHOOSE(MATCH($AM$2,{"Bull","Base","Bear"},0),$AV$35,$AW$35,$AX$35)</f>
        <v/>
      </c>
      <c r="AJ22" s="256">
        <f>CHOOSE(MATCH($AM$2,{"Bull","Base","Bear"},0),$AV$36,$AW$36,$AX$36)</f>
        <v/>
      </c>
      <c r="AK22" s="256">
        <f>CHOOSE(MATCH($AM$2,{"Bull","Base","Bear"},0),$AV$37,$AW$37,$AX$37)</f>
        <v/>
      </c>
      <c r="AL22" s="256">
        <f>CHOOSE(MATCH($AM$2,{"Bull","Base","Bear"},0),$AV$38,$AW$38,$AX$38)</f>
        <v/>
      </c>
      <c r="AM22" s="153" t="n"/>
      <c r="AU22" s="25" t="inlineStr">
        <is>
          <t xml:space="preserve">  Share-based compensation (CHF m)</t>
        </is>
      </c>
      <c r="AW22" s="259" t="n">
        <v>66</v>
      </c>
      <c r="AY22" s="13" t="inlineStr">
        <is>
          <t>Not guided; 1H/26 CHF 33.5m (FY25 62.6m).</t>
        </is>
      </c>
    </row>
    <row r="23" ht="15" customHeight="1" s="251">
      <c r="B23" s="22" t="inlineStr">
        <is>
          <t xml:space="preserve">    FX translation effect (pts; reported − constant currency)</t>
        </is>
      </c>
      <c r="C23" s="255">
        <f>IF(AND(ISNUMBER(C21),ISNUMBER(C22)),C21-C22,"")</f>
        <v/>
      </c>
      <c r="D23" s="255">
        <f>IF(AND(ISNUMBER(D21),ISNUMBER(D22)),D21-D22,"")</f>
        <v/>
      </c>
      <c r="E23" s="255">
        <f>IF(AND(ISNUMBER(E21),ISNUMBER(E22)),E21-E22,"")</f>
        <v/>
      </c>
      <c r="F23" s="255">
        <f>IF(AND(ISNUMBER(F21),ISNUMBER(F22)),F21-F22,"")</f>
        <v/>
      </c>
      <c r="G23" s="255">
        <f>IF(AND(ISNUMBER(G21),ISNUMBER(G22)),G21-G22,"")</f>
        <v/>
      </c>
      <c r="H23" s="255">
        <f>IF(AND(ISNUMBER(H21),ISNUMBER(H22)),H21-H22,"")</f>
        <v/>
      </c>
      <c r="I23" s="255">
        <f>IF(AND(ISNUMBER(I21),ISNUMBER(I22)),I21-I22,"")</f>
        <v/>
      </c>
      <c r="J23" s="255">
        <f>IF(AND(ISNUMBER(J21),ISNUMBER(J22)),J21-J22,"")</f>
        <v/>
      </c>
      <c r="K23" s="255">
        <f>IF(AND(ISNUMBER(K21),ISNUMBER(K22)),K21-K22,"")</f>
        <v/>
      </c>
      <c r="L23" s="255">
        <f>IF(AND(ISNUMBER(L21),ISNUMBER(L22)),L21-L22,"")</f>
        <v/>
      </c>
      <c r="M23" s="255">
        <f>IF(AND(ISNUMBER(M21),ISNUMBER(M22)),M21-M22,"")</f>
        <v/>
      </c>
      <c r="N23" s="255">
        <f>IF(AND(ISNUMBER(N21),ISNUMBER(N22)),N21-N22,"")</f>
        <v/>
      </c>
      <c r="O23" s="255">
        <f>IF(AND(ISNUMBER(O21),ISNUMBER(O22)),O21-O22,"")</f>
        <v/>
      </c>
      <c r="P23" s="255">
        <f>IF(AND(ISNUMBER(P21),ISNUMBER(P22)),P21-P22,"")</f>
        <v/>
      </c>
      <c r="Q23" s="255">
        <f>IF(AND(ISNUMBER(Q21),ISNUMBER(Q22)),Q21-Q22,"")</f>
        <v/>
      </c>
      <c r="R23" s="255">
        <f>IF(AND(ISNUMBER(R21),ISNUMBER(R22)),R21-R22,"")</f>
        <v/>
      </c>
      <c r="S23" s="255">
        <f>IF(AND(ISNUMBER(S21),ISNUMBER(S22)),S21-S22,"")</f>
        <v/>
      </c>
      <c r="T23" s="255">
        <f>IF(AND(ISNUMBER(T21),ISNUMBER(T22)),T21-T22,"")</f>
        <v/>
      </c>
      <c r="U23" s="255">
        <f>IF(AND(ISNUMBER(U21),ISNUMBER(U22)),U21-U22,"")</f>
        <v/>
      </c>
      <c r="V23" s="255">
        <f>IF(AND(ISNUMBER(V21),ISNUMBER(V22)),V21-V22,"")</f>
        <v/>
      </c>
      <c r="W23" s="255">
        <f>IF(AND(ISNUMBER(W21),ISNUMBER(W22)),W21-W22,"")</f>
        <v/>
      </c>
      <c r="X23" s="255">
        <f>IF(AND(ISNUMBER(X21),ISNUMBER(X22)),X21-X22,"")</f>
        <v/>
      </c>
      <c r="Y23" s="255">
        <f>IF(AND(ISNUMBER(Y21),ISNUMBER(Y22)),Y21-Y22,"")</f>
        <v/>
      </c>
      <c r="Z23" s="255">
        <f>IF(AND(ISNUMBER(Z21),ISNUMBER(Z22)),Z21-Z22,"")</f>
        <v/>
      </c>
      <c r="AA23" s="255">
        <f>IF(AND(ISNUMBER(AA21),ISNUMBER(AA22)),AA21-AA22,"")</f>
        <v/>
      </c>
      <c r="AB23" s="255">
        <f>IF(AND(ISNUMBER(AB21),ISNUMBER(AB22)),AB21-AB22,"")</f>
        <v/>
      </c>
      <c r="AC23" s="255">
        <f>IF(AND(ISNUMBER(AC21),ISNUMBER(AC22)),AC21-AC22,"")</f>
        <v/>
      </c>
      <c r="AD23" s="255">
        <f>IF(AND(ISNUMBER(AD21),ISNUMBER(AD22)),AD21-AD22,"")</f>
        <v/>
      </c>
      <c r="AE23" s="255">
        <f>IF(AND(ISNUMBER(AE21),ISNUMBER(AE22)),AE21-AE22,"")</f>
        <v/>
      </c>
      <c r="AF23" s="256">
        <f>$AF$51</f>
        <v/>
      </c>
      <c r="AG23" s="256">
        <f>$AF$51</f>
        <v/>
      </c>
      <c r="AH23" s="256">
        <f>IF(AND(ISNUMBER(AH21),ISNUMBER(AH22)),AH21-AH22,"")</f>
        <v/>
      </c>
      <c r="AI23" s="260" t="n">
        <v>0</v>
      </c>
      <c r="AJ23" s="260" t="n">
        <v>0</v>
      </c>
      <c r="AK23" s="260" t="n">
        <v>0</v>
      </c>
      <c r="AL23" s="260" t="n">
        <v>0</v>
      </c>
      <c r="AM23" s="153" t="n"/>
      <c r="AU23" s="25" t="inlineStr">
        <is>
          <t xml:space="preserve">  Financial income (CHF m)</t>
        </is>
      </c>
      <c r="AW23" s="259" t="n">
        <v>36</v>
      </c>
      <c r="AY23" s="13" t="inlineStr">
        <is>
          <t>1H/26 CHF 18.3m on ~CHF 1.1bn average cash.</t>
        </is>
      </c>
    </row>
    <row r="24" ht="15" customHeight="1" s="251">
      <c r="B24" s="156" t="inlineStr">
        <is>
          <t xml:space="preserve">    Memo: constant-currency net sales (prior-year period × (1 + cc growth))</t>
        </is>
      </c>
      <c r="C24" s="44" t="n"/>
      <c r="D24" s="261">
        <f>IF(AND(ISNUMBER(D22),ISNUMBER(C20)),C20*(1+D22),"")</f>
        <v/>
      </c>
      <c r="E24" s="44" t="n"/>
      <c r="F24" s="44" t="n"/>
      <c r="G24" s="44" t="n"/>
      <c r="H24" s="44" t="n"/>
      <c r="I24" s="261">
        <f>IF(AND(ISNUMBER(I22),ISNUMBER(D20)),D20*(1+I22),"")</f>
        <v/>
      </c>
      <c r="J24" s="261">
        <f>IF(AND(ISNUMBER(J22),ISNUMBER(E20)),E20*(1+J22),"")</f>
        <v/>
      </c>
      <c r="K24" s="261">
        <f>IF(AND(ISNUMBER(K22),ISNUMBER(F20)),F20*(1+K22),"")</f>
        <v/>
      </c>
      <c r="L24" s="261">
        <f>IF(AND(ISNUMBER(L22),ISNUMBER(G20)),G20*(1+L22),"")</f>
        <v/>
      </c>
      <c r="M24" s="261">
        <f>IF(AND(ISNUMBER(M22),ISNUMBER(H20)),H20*(1+M22),"")</f>
        <v/>
      </c>
      <c r="N24" s="261">
        <f>IF(AND(ISNUMBER(N22),ISNUMBER(I20)),I20*(1+N22),"")</f>
        <v/>
      </c>
      <c r="O24" s="261">
        <f>IF(AND(ISNUMBER(O22),ISNUMBER(J20)),J20*(1+O22),"")</f>
        <v/>
      </c>
      <c r="P24" s="261">
        <f>IF(AND(ISNUMBER(P22),ISNUMBER(K20)),K20*(1+P22),"")</f>
        <v/>
      </c>
      <c r="Q24" s="261">
        <f>IF(AND(ISNUMBER(Q22),ISNUMBER(L20)),L20*(1+Q22),"")</f>
        <v/>
      </c>
      <c r="R24" s="261">
        <f>IF(AND(ISNUMBER(R22),ISNUMBER(M20)),M20*(1+R22),"")</f>
        <v/>
      </c>
      <c r="S24" s="261">
        <f>IF(AND(ISNUMBER(S22),ISNUMBER(N20)),N20*(1+S22),"")</f>
        <v/>
      </c>
      <c r="T24" s="261">
        <f>IF(AND(ISNUMBER(T22),ISNUMBER(O20)),O20*(1+T22),"")</f>
        <v/>
      </c>
      <c r="U24" s="261">
        <f>IF(AND(ISNUMBER(U22),ISNUMBER(P20)),P20*(1+U22),"")</f>
        <v/>
      </c>
      <c r="V24" s="261">
        <f>IF(AND(ISNUMBER(V22),ISNUMBER(Q20)),Q20*(1+V22),"")</f>
        <v/>
      </c>
      <c r="W24" s="261">
        <f>IF(AND(ISNUMBER(W22),ISNUMBER(R20)),R20*(1+W22),"")</f>
        <v/>
      </c>
      <c r="X24" s="261">
        <f>IF(AND(ISNUMBER(X22),ISNUMBER(S20)),S20*(1+X22),"")</f>
        <v/>
      </c>
      <c r="Y24" s="261">
        <f>IF(AND(ISNUMBER(Y22),ISNUMBER(T20)),T20*(1+Y22),"")</f>
        <v/>
      </c>
      <c r="Z24" s="261">
        <f>IF(AND(ISNUMBER(Z22),ISNUMBER(U20)),U20*(1+Z22),"")</f>
        <v/>
      </c>
      <c r="AA24" s="261">
        <f>IF(AND(ISNUMBER(AA22),ISNUMBER(V20)),V20*(1+AA22),"")</f>
        <v/>
      </c>
      <c r="AB24" s="261">
        <f>IF(AND(ISNUMBER(AB22),ISNUMBER(W20)),W20*(1+AB22),"")</f>
        <v/>
      </c>
      <c r="AC24" s="261">
        <f>IF(AND(ISNUMBER(AC22),ISNUMBER(X20)),X20*(1+AC22),"")</f>
        <v/>
      </c>
      <c r="AD24" s="261">
        <f>IF(AND(ISNUMBER(AD22),ISNUMBER(Y20)),Y20*(1+AD22),"")</f>
        <v/>
      </c>
      <c r="AE24" s="261">
        <f>IF(AND(ISNUMBER(AE22),ISNUMBER(Z20)),Z20*(1+AE22),"")</f>
        <v/>
      </c>
      <c r="AF24" s="254">
        <f>IF(AND(ISNUMBER(AF22),ISNUMBER(AA20)),AA20*(1+AF22),"")</f>
        <v/>
      </c>
      <c r="AG24" s="254">
        <f>IF(AND(ISNUMBER(AG22),ISNUMBER(AB20)),AB20*(1+AG22),"")</f>
        <v/>
      </c>
      <c r="AH24" s="254">
        <f>SUM(AD24:AG24)</f>
        <v/>
      </c>
      <c r="AI24" s="254">
        <f>IF(AND(ISNUMBER(AI22),ISNUMBER(AH20)),AH20*(1+AI22),"")</f>
        <v/>
      </c>
      <c r="AJ24" s="254">
        <f>IF(AND(ISNUMBER(AJ22),ISNUMBER(AI20)),AI20*(1+AJ22),"")</f>
        <v/>
      </c>
      <c r="AK24" s="254">
        <f>IF(AND(ISNUMBER(AK22),ISNUMBER(AJ20)),AJ20*(1+AK22),"")</f>
        <v/>
      </c>
      <c r="AL24" s="254">
        <f>IF(AND(ISNUMBER(AL22),ISNUMBER(AK20)),AK20*(1+AL22),"")</f>
        <v/>
      </c>
      <c r="AM24" s="153" t="n"/>
      <c r="AU24" s="25" t="inlineStr">
        <is>
          <t xml:space="preserve">  Financial expenses (CHF m)</t>
        </is>
      </c>
      <c r="AW24" s="259" t="n">
        <v>34</v>
      </c>
      <c r="AY24" s="13" t="inlineStr">
        <is>
          <t>1H/26 CHF 16.3m (mostly lease interest).</t>
        </is>
      </c>
    </row>
    <row r="25" ht="15" customHeight="1" s="251">
      <c r="B25" s="25" t="inlineStr">
        <is>
          <t xml:space="preserve">    Q3/Q4-26E cc growth before calibration (1H/26 constant-currency growth)</t>
        </is>
      </c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256">
        <f>IFERROR((AD24+AE24)/(Y20+Z20)-1,0)</f>
        <v/>
      </c>
      <c r="AG25" s="256">
        <f>IFERROR((AD24+AE24)/(Y20+Z20)-1,0)</f>
        <v/>
      </c>
      <c r="AH25" s="24" t="n"/>
      <c r="AI25" s="46" t="n"/>
      <c r="AJ25" s="46" t="n"/>
      <c r="AK25" s="46" t="n"/>
      <c r="AL25" s="46" t="n"/>
      <c r="AM25" s="19" t="n"/>
      <c r="AU25" s="25" t="inlineStr">
        <is>
          <t xml:space="preserve">  Tax rate (Q3/Q4-26E)</t>
        </is>
      </c>
      <c r="AW25" s="257" t="n">
        <v>0.16</v>
      </c>
      <c r="AY25" s="13" t="inlineStr">
        <is>
          <t>1H/26 13.9%, Q2-26 16.5%; FY24 13.4%.</t>
        </is>
      </c>
    </row>
    <row r="26" ht="15" customHeight="1" s="251">
      <c r="B26" s="25" t="inlineStr">
        <is>
          <t xml:space="preserve">    % of net sales</t>
        </is>
      </c>
      <c r="C26" s="215">
        <f>IF(AND(ISNUMBER(C20),ISNUMBER(C38)),IFERROR(C20/C38,""),"")</f>
        <v/>
      </c>
      <c r="D26" s="215">
        <f>IF(AND(ISNUMBER(D20),ISNUMBER(D38)),IFERROR(D20/D38,""),"")</f>
        <v/>
      </c>
      <c r="E26" s="215">
        <f>IF(AND(ISNUMBER(E20),ISNUMBER(E38)),IFERROR(E20/E38,""),"")</f>
        <v/>
      </c>
      <c r="F26" s="215">
        <f>IF(AND(ISNUMBER(F20),ISNUMBER(F38)),IFERROR(F20/F38,""),"")</f>
        <v/>
      </c>
      <c r="G26" s="215">
        <f>IF(AND(ISNUMBER(G20),ISNUMBER(G38)),IFERROR(G20/G38,""),"")</f>
        <v/>
      </c>
      <c r="H26" s="215">
        <f>IF(AND(ISNUMBER(H20),ISNUMBER(H38)),IFERROR(H20/H38,""),"")</f>
        <v/>
      </c>
      <c r="I26" s="215">
        <f>IF(AND(ISNUMBER(I20),ISNUMBER(I38)),IFERROR(I20/I38,""),"")</f>
        <v/>
      </c>
      <c r="J26" s="215">
        <f>IF(AND(ISNUMBER(J20),ISNUMBER(J38)),IFERROR(J20/J38,""),"")</f>
        <v/>
      </c>
      <c r="K26" s="215">
        <f>IF(AND(ISNUMBER(K20),ISNUMBER(K38)),IFERROR(K20/K38,""),"")</f>
        <v/>
      </c>
      <c r="L26" s="215">
        <f>IF(AND(ISNUMBER(L20),ISNUMBER(L38)),IFERROR(L20/L38,""),"")</f>
        <v/>
      </c>
      <c r="M26" s="215">
        <f>IF(AND(ISNUMBER(M20),ISNUMBER(M38)),IFERROR(M20/M38,""),"")</f>
        <v/>
      </c>
      <c r="N26" s="215">
        <f>IF(AND(ISNUMBER(N20),ISNUMBER(N38)),IFERROR(N20/N38,""),"")</f>
        <v/>
      </c>
      <c r="O26" s="215">
        <f>IF(AND(ISNUMBER(O20),ISNUMBER(O38)),IFERROR(O20/O38,""),"")</f>
        <v/>
      </c>
      <c r="P26" s="215">
        <f>IF(AND(ISNUMBER(P20),ISNUMBER(P38)),IFERROR(P20/P38,""),"")</f>
        <v/>
      </c>
      <c r="Q26" s="215">
        <f>IF(AND(ISNUMBER(Q20),ISNUMBER(Q38)),IFERROR(Q20/Q38,""),"")</f>
        <v/>
      </c>
      <c r="R26" s="215">
        <f>IF(AND(ISNUMBER(R20),ISNUMBER(R38)),IFERROR(R20/R38,""),"")</f>
        <v/>
      </c>
      <c r="S26" s="215">
        <f>IF(AND(ISNUMBER(S20),ISNUMBER(S38)),IFERROR(S20/S38,""),"")</f>
        <v/>
      </c>
      <c r="T26" s="215">
        <f>IF(AND(ISNUMBER(T20),ISNUMBER(T38)),IFERROR(T20/T38,""),"")</f>
        <v/>
      </c>
      <c r="U26" s="215">
        <f>IF(AND(ISNUMBER(U20),ISNUMBER(U38)),IFERROR(U20/U38,""),"")</f>
        <v/>
      </c>
      <c r="V26" s="215">
        <f>IF(AND(ISNUMBER(V20),ISNUMBER(V38)),IFERROR(V20/V38,""),"")</f>
        <v/>
      </c>
      <c r="W26" s="215">
        <f>IF(AND(ISNUMBER(W20),ISNUMBER(W38)),IFERROR(W20/W38,""),"")</f>
        <v/>
      </c>
      <c r="X26" s="215">
        <f>IF(AND(ISNUMBER(X20),ISNUMBER(X38)),IFERROR(X20/X38,""),"")</f>
        <v/>
      </c>
      <c r="Y26" s="215">
        <f>IF(AND(ISNUMBER(Y20),ISNUMBER(Y38)),IFERROR(Y20/Y38,""),"")</f>
        <v/>
      </c>
      <c r="Z26" s="215">
        <f>IF(AND(ISNUMBER(Z20),ISNUMBER(Z38)),IFERROR(Z20/Z38,""),"")</f>
        <v/>
      </c>
      <c r="AA26" s="215">
        <f>IF(AND(ISNUMBER(AA20),ISNUMBER(AA38)),IFERROR(AA20/AA38,""),"")</f>
        <v/>
      </c>
      <c r="AB26" s="215">
        <f>IF(AND(ISNUMBER(AB20),ISNUMBER(AB38)),IFERROR(AB20/AB38,""),"")</f>
        <v/>
      </c>
      <c r="AC26" s="215">
        <f>IF(AND(ISNUMBER(AC20),ISNUMBER(AC38)),IFERROR(AC20/AC38,""),"")</f>
        <v/>
      </c>
      <c r="AD26" s="215">
        <f>IF(AND(ISNUMBER(AD20),ISNUMBER(AD38)),IFERROR(AD20/AD38,""),"")</f>
        <v/>
      </c>
      <c r="AE26" s="215">
        <f>IF(AND(ISNUMBER(AE20),ISNUMBER(AE38)),IFERROR(AE20/AE38,""),"")</f>
        <v/>
      </c>
      <c r="AF26" s="256">
        <f>IF(AND(ISNUMBER(AF20),ISNUMBER(AF38)),IFERROR(AF20/AF38,""),"")</f>
        <v/>
      </c>
      <c r="AG26" s="256">
        <f>IF(AND(ISNUMBER(AG20),ISNUMBER(AG38)),IFERROR(AG20/AG38,""),"")</f>
        <v/>
      </c>
      <c r="AH26" s="256">
        <f>IF(AND(ISNUMBER(AH20),ISNUMBER(AH38)),IFERROR(AH20/AH38,""),"")</f>
        <v/>
      </c>
      <c r="AI26" s="256">
        <f>IF(AND(ISNUMBER(AI20),ISNUMBER(AI38)),IFERROR(AI20/AI38,""),"")</f>
        <v/>
      </c>
      <c r="AJ26" s="256">
        <f>IF(AND(ISNUMBER(AJ20),ISNUMBER(AJ38)),IFERROR(AJ20/AJ38,""),"")</f>
        <v/>
      </c>
      <c r="AK26" s="256">
        <f>IF(AND(ISNUMBER(AK20),ISNUMBER(AK38)),IFERROR(AK20/AK38,""),"")</f>
        <v/>
      </c>
      <c r="AL26" s="256">
        <f>IF(AND(ISNUMBER(AL20),ISNUMBER(AL38)),IFERROR(AL20/AL38,""),"")</f>
        <v/>
      </c>
      <c r="AM26" s="153" t="n"/>
      <c r="AO26" s="37">
        <f>IFERROR(AVERAGE(AH26,AI26,AJ26,AK26,AL26),"n/m")</f>
        <v/>
      </c>
      <c r="AP26" s="37">
        <f>IFERROR(AVERAGE(I26,N26,S26,X26,AC26),"n/m")</f>
        <v/>
      </c>
      <c r="AQ26" s="37">
        <f>IFERROR(AVERAGE(S26,X26,AC26),"n/m")</f>
        <v/>
      </c>
      <c r="AR26" s="37">
        <f>IFERROR(AVERAGE(C26,D26,I26,N26,S26,X26,AC26),"n/m")</f>
        <v/>
      </c>
      <c r="AU26" s="25" t="inlineStr">
        <is>
          <t xml:space="preserve">  Capital expenditures (CHF m)</t>
        </is>
      </c>
      <c r="AW26" s="259" t="n">
        <v>100</v>
      </c>
      <c r="AY26" s="13" t="inlineStr">
        <is>
          <t>Not guided; 1H/26 CHF 47.2m (FY25 78.6m; ~2.8% of sales).</t>
        </is>
      </c>
    </row>
    <row r="27" ht="15" customHeight="1" s="251">
      <c r="AU27" s="25" t="inlineStr">
        <is>
          <t xml:space="preserve">  Lease principal payments (CHF m)</t>
        </is>
      </c>
      <c r="AW27" s="259" t="n">
        <v>76</v>
      </c>
      <c r="AY27" s="13" t="inlineStr">
        <is>
          <t>1H/26 CHF 35.8m (FY25 69.9m).</t>
        </is>
      </c>
    </row>
    <row r="28" ht="15" customHeight="1" s="251">
      <c r="B28" s="14" t="inlineStr">
        <is>
          <t>Asia-Pacific (Greater China, Japan, South Korea, Australia)</t>
        </is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5" t="inlineStr">
        <is>
          <t>ASIA-PACIFIC (APAC) — modelling logic</t>
        </is>
      </c>
    </row>
    <row r="29" ht="15" customHeight="1" s="251">
      <c r="B29" s="25" t="inlineStr">
        <is>
          <t xml:space="preserve">  Net sales (CHF m)</t>
        </is>
      </c>
      <c r="C29" s="34" t="n"/>
      <c r="D29" s="34" t="n"/>
      <c r="E29" s="34" t="n"/>
      <c r="F29" s="34" t="n"/>
      <c r="G29" s="34" t="n"/>
      <c r="H29" s="34" t="n"/>
      <c r="I29" s="253" t="n">
        <v>42.7</v>
      </c>
      <c r="J29" s="253" t="n">
        <v>16.4</v>
      </c>
      <c r="K29" s="253" t="n">
        <v>17.9</v>
      </c>
      <c r="L29" s="253" t="n">
        <v>24.2</v>
      </c>
      <c r="M29" s="253" t="n">
        <v>21.6</v>
      </c>
      <c r="N29" s="253" t="n">
        <v>80.2</v>
      </c>
      <c r="O29" s="253" t="n">
        <v>31.1</v>
      </c>
      <c r="P29" s="253" t="n">
        <v>34.1</v>
      </c>
      <c r="Q29" s="253" t="n">
        <v>41.6</v>
      </c>
      <c r="R29" s="253" t="n">
        <v>34.09999999999999</v>
      </c>
      <c r="S29" s="253" t="n">
        <v>141.1</v>
      </c>
      <c r="T29" s="253" t="n">
        <v>52.4</v>
      </c>
      <c r="U29" s="253" t="n">
        <v>59.2</v>
      </c>
      <c r="V29" s="253" t="n">
        <v>74.59999999999999</v>
      </c>
      <c r="W29" s="253" t="n">
        <v>74.09999999999999</v>
      </c>
      <c r="X29" s="253" t="n">
        <v>260.2</v>
      </c>
      <c r="Y29" s="253" t="n">
        <v>120.6</v>
      </c>
      <c r="Z29" s="253" t="n">
        <v>119.2</v>
      </c>
      <c r="AA29" s="253" t="n">
        <v>144.9</v>
      </c>
      <c r="AB29" s="253" t="n">
        <v>126.5</v>
      </c>
      <c r="AC29" s="253" t="n">
        <v>511.1</v>
      </c>
      <c r="AD29" s="253" t="n">
        <v>174</v>
      </c>
      <c r="AE29" s="253" t="n">
        <v>170.5</v>
      </c>
      <c r="AF29" s="254">
        <f>AA29*(1+AF31+AF32)</f>
        <v/>
      </c>
      <c r="AG29" s="254">
        <f>AB29*(1+AG31+AG32)</f>
        <v/>
      </c>
      <c r="AH29" s="254">
        <f>SUM(AD29,AE29,AF29,AG29)</f>
        <v/>
      </c>
      <c r="AI29" s="254">
        <f>AH29*(1+AI31+AI32)</f>
        <v/>
      </c>
      <c r="AJ29" s="254">
        <f>AI29*(1+AJ31+AJ32)</f>
        <v/>
      </c>
      <c r="AK29" s="254">
        <f>AJ29*(1+AK31+AK32)</f>
        <v/>
      </c>
      <c r="AL29" s="254">
        <f>AK29*(1+AL31+AL32)</f>
        <v/>
      </c>
      <c r="AM29" s="19" t="n"/>
      <c r="AO29" s="20">
        <f>IFERROR((AL29/AC29)^(1/5)-1,"n/m")</f>
        <v/>
      </c>
      <c r="AP29" s="20">
        <f>IFERROR((AC29/D29)^(1/5)-1,"n/m")</f>
        <v/>
      </c>
      <c r="AQ29" s="20">
        <f>IFERROR((AC29/N29)^(1/3)-1,"n/m")</f>
        <v/>
      </c>
      <c r="AR29" s="20">
        <f>IFERROR((AC29/C29)^(1/6)-1,"n/m")</f>
        <v/>
      </c>
      <c r="AU29" s="15" t="inlineStr">
        <is>
          <t>AM_CC (Americas net sales growth, constant currency)</t>
        </is>
      </c>
      <c r="AV29" s="41" t="n">
        <v>0.03</v>
      </c>
      <c r="AW29" s="21" t="inlineStr">
        <is>
          <t>Δ →</t>
        </is>
      </c>
      <c r="AX29" s="41" t="n">
        <v>-0.06</v>
      </c>
      <c r="AY29" s="13" t="inlineStr">
        <is>
          <t>Q2-26 +13.0% cc (wholesale sell-in managed); US premium running share gains, DTC / own stores, new categories (football, golf).</t>
        </is>
      </c>
    </row>
    <row r="30" ht="15" customHeight="1" s="251">
      <c r="B30" s="22" t="inlineStr">
        <is>
          <t xml:space="preserve">    y/y % (reported, CHF)</t>
        </is>
      </c>
      <c r="C30" s="23" t="n"/>
      <c r="D30" s="255">
        <f>IF(AND(ISNUMBER(D29),ISNUMBER(C29)),IFERROR(D29/C29-1,""),"")</f>
        <v/>
      </c>
      <c r="E30" s="23" t="n"/>
      <c r="F30" s="23" t="n"/>
      <c r="G30" s="23" t="n"/>
      <c r="H30" s="23" t="n"/>
      <c r="I30" s="255">
        <f>IF(AND(ISNUMBER(I29),ISNUMBER(D29)),IFERROR(I29/D29-1,""),"")</f>
        <v/>
      </c>
      <c r="J30" s="255">
        <f>IF(AND(ISNUMBER(J29),ISNUMBER(E29)),IFERROR(J29/E29-1,""),"")</f>
        <v/>
      </c>
      <c r="K30" s="255">
        <f>IF(AND(ISNUMBER(K29),ISNUMBER(F29)),IFERROR(K29/F29-1,""),"")</f>
        <v/>
      </c>
      <c r="L30" s="255">
        <f>IF(AND(ISNUMBER(L29),ISNUMBER(G29)),IFERROR(L29/G29-1,""),"")</f>
        <v/>
      </c>
      <c r="M30" s="255">
        <f>IF(AND(ISNUMBER(M29),ISNUMBER(H29)),IFERROR(M29/H29-1,""),"")</f>
        <v/>
      </c>
      <c r="N30" s="255">
        <f>IF(AND(ISNUMBER(N29),ISNUMBER(I29)),IFERROR(N29/I29-1,""),"")</f>
        <v/>
      </c>
      <c r="O30" s="255">
        <f>IF(AND(ISNUMBER(O29),ISNUMBER(J29)),IFERROR(O29/J29-1,""),"")</f>
        <v/>
      </c>
      <c r="P30" s="255">
        <f>IF(AND(ISNUMBER(P29),ISNUMBER(K29)),IFERROR(P29/K29-1,""),"")</f>
        <v/>
      </c>
      <c r="Q30" s="255">
        <f>IF(AND(ISNUMBER(Q29),ISNUMBER(L29)),IFERROR(Q29/L29-1,""),"")</f>
        <v/>
      </c>
      <c r="R30" s="255">
        <f>IF(AND(ISNUMBER(R29),ISNUMBER(M29)),IFERROR(R29/M29-1,""),"")</f>
        <v/>
      </c>
      <c r="S30" s="255">
        <f>IF(AND(ISNUMBER(S29),ISNUMBER(N29)),IFERROR(S29/N29-1,""),"")</f>
        <v/>
      </c>
      <c r="T30" s="255">
        <f>IF(AND(ISNUMBER(T29),ISNUMBER(O29)),IFERROR(T29/O29-1,""),"")</f>
        <v/>
      </c>
      <c r="U30" s="255">
        <f>IF(AND(ISNUMBER(U29),ISNUMBER(P29)),IFERROR(U29/P29-1,""),"")</f>
        <v/>
      </c>
      <c r="V30" s="255">
        <f>IF(AND(ISNUMBER(V29),ISNUMBER(Q29)),IFERROR(V29/Q29-1,""),"")</f>
        <v/>
      </c>
      <c r="W30" s="255">
        <f>IF(AND(ISNUMBER(W29),ISNUMBER(R29)),IFERROR(W29/R29-1,""),"")</f>
        <v/>
      </c>
      <c r="X30" s="255">
        <f>IF(AND(ISNUMBER(X29),ISNUMBER(S29)),IFERROR(X29/S29-1,""),"")</f>
        <v/>
      </c>
      <c r="Y30" s="255">
        <f>IF(AND(ISNUMBER(Y29),ISNUMBER(T29)),IFERROR(Y29/T29-1,""),"")</f>
        <v/>
      </c>
      <c r="Z30" s="255">
        <f>IF(AND(ISNUMBER(Z29),ISNUMBER(U29)),IFERROR(Z29/U29-1,""),"")</f>
        <v/>
      </c>
      <c r="AA30" s="255">
        <f>IF(AND(ISNUMBER(AA29),ISNUMBER(V29)),IFERROR(AA29/V29-1,""),"")</f>
        <v/>
      </c>
      <c r="AB30" s="255">
        <f>IF(AND(ISNUMBER(AB29),ISNUMBER(W29)),IFERROR(AB29/W29-1,""),"")</f>
        <v/>
      </c>
      <c r="AC30" s="255">
        <f>IF(AND(ISNUMBER(AC29),ISNUMBER(X29)),IFERROR(AC29/X29-1,""),"")</f>
        <v/>
      </c>
      <c r="AD30" s="255">
        <f>IF(AND(ISNUMBER(AD29),ISNUMBER(Y29)),IFERROR(AD29/Y29-1,""),"")</f>
        <v/>
      </c>
      <c r="AE30" s="255">
        <f>IF(AND(ISNUMBER(AE29),ISNUMBER(Z29)),IFERROR(AE29/Z29-1,""),"")</f>
        <v/>
      </c>
      <c r="AF30" s="256">
        <f>IF(AND(ISNUMBER(AF29),ISNUMBER(AA29)),IFERROR(AF29/AA29-1,""),"")</f>
        <v/>
      </c>
      <c r="AG30" s="256">
        <f>IF(AND(ISNUMBER(AG29),ISNUMBER(AB29)),IFERROR(AG29/AB29-1,""),"")</f>
        <v/>
      </c>
      <c r="AH30" s="256">
        <f>IF(AND(ISNUMBER(AH29),ISNUMBER(AC29)),IFERROR(AH29/AC29-1,""),"")</f>
        <v/>
      </c>
      <c r="AI30" s="256">
        <f>IF(AND(ISNUMBER(AI29),ISNUMBER(AH29)),IFERROR(AI29/AH29-1,""),"")</f>
        <v/>
      </c>
      <c r="AJ30" s="256">
        <f>IF(AND(ISNUMBER(AJ29),ISNUMBER(AI29)),IFERROR(AJ29/AI29-1,""),"")</f>
        <v/>
      </c>
      <c r="AK30" s="256">
        <f>IF(AND(ISNUMBER(AK29),ISNUMBER(AJ29)),IFERROR(AK29/AJ29-1,""),"")</f>
        <v/>
      </c>
      <c r="AL30" s="256">
        <f>IF(AND(ISNUMBER(AL29),ISNUMBER(AK29)),IFERROR(AL29/AK29-1,""),"")</f>
        <v/>
      </c>
      <c r="AM30" s="153" t="n"/>
      <c r="AU30" s="25" t="inlineStr">
        <is>
          <t xml:space="preserve">  2027E</t>
        </is>
      </c>
      <c r="AV30" s="33">
        <f>AW30+$AV$29</f>
        <v/>
      </c>
      <c r="AW30" s="42" t="n">
        <v>0.14</v>
      </c>
      <c r="AX30" s="33">
        <f>AW30+$AX$29</f>
        <v/>
      </c>
    </row>
    <row r="31" ht="15" customHeight="1" s="251">
      <c r="B31" s="22" t="inlineStr">
        <is>
          <t xml:space="preserve">    y/y % constant currency</t>
        </is>
      </c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58" t="n">
        <v>0.907</v>
      </c>
      <c r="U31" s="258" t="n">
        <v>0.847</v>
      </c>
      <c r="V31" s="258" t="n">
        <v>0.857</v>
      </c>
      <c r="W31" s="258" t="n">
        <v>1.246</v>
      </c>
      <c r="X31" s="258" t="n">
        <v>0.956</v>
      </c>
      <c r="Y31" s="258" t="n">
        <v>1.289</v>
      </c>
      <c r="Z31" s="258" t="n">
        <v>1.109</v>
      </c>
      <c r="AA31" s="258" t="n">
        <v>1.092</v>
      </c>
      <c r="AB31" s="258" t="n">
        <v>0.851</v>
      </c>
      <c r="AC31" s="258" t="n">
        <v>1.067</v>
      </c>
      <c r="AD31" s="258" t="n">
        <v>0.614</v>
      </c>
      <c r="AE31" s="258" t="n">
        <v>0.547</v>
      </c>
      <c r="AF31" s="256">
        <f>AF34+AF47</f>
        <v/>
      </c>
      <c r="AG31" s="256">
        <f>AG34+AG47</f>
        <v/>
      </c>
      <c r="AH31" s="256">
        <f>IFERROR(AH33/AC29-1,"")</f>
        <v/>
      </c>
      <c r="AI31" s="256">
        <f>CHOOSE(MATCH($AM$2,{"Bull","Base","Bear"},0),$AV$40,$AW$40,$AX$40)</f>
        <v/>
      </c>
      <c r="AJ31" s="256">
        <f>CHOOSE(MATCH($AM$2,{"Bull","Base","Bear"},0),$AV$41,$AW$41,$AX$41)</f>
        <v/>
      </c>
      <c r="AK31" s="256">
        <f>CHOOSE(MATCH($AM$2,{"Bull","Base","Bear"},0),$AV$42,$AW$42,$AX$42)</f>
        <v/>
      </c>
      <c r="AL31" s="256">
        <f>CHOOSE(MATCH($AM$2,{"Bull","Base","Bear"},0),$AV$43,$AW$43,$AX$43)</f>
        <v/>
      </c>
      <c r="AM31" s="153" t="n"/>
      <c r="AU31" s="25" t="inlineStr">
        <is>
          <t xml:space="preserve">  2028E</t>
        </is>
      </c>
      <c r="AV31" s="33">
        <f>AW31+$AV$29</f>
        <v/>
      </c>
      <c r="AW31" s="42" t="n">
        <v>0.135</v>
      </c>
      <c r="AX31" s="33">
        <f>AW31+$AX$29</f>
        <v/>
      </c>
    </row>
    <row r="32" ht="15" customHeight="1" s="251">
      <c r="B32" s="22" t="inlineStr">
        <is>
          <t xml:space="preserve">    FX translation effect (pts; reported − constant currency)</t>
        </is>
      </c>
      <c r="C32" s="255">
        <f>IF(AND(ISNUMBER(C30),ISNUMBER(C31)),C30-C31,"")</f>
        <v/>
      </c>
      <c r="D32" s="255">
        <f>IF(AND(ISNUMBER(D30),ISNUMBER(D31)),D30-D31,"")</f>
        <v/>
      </c>
      <c r="E32" s="255">
        <f>IF(AND(ISNUMBER(E30),ISNUMBER(E31)),E30-E31,"")</f>
        <v/>
      </c>
      <c r="F32" s="255">
        <f>IF(AND(ISNUMBER(F30),ISNUMBER(F31)),F30-F31,"")</f>
        <v/>
      </c>
      <c r="G32" s="255">
        <f>IF(AND(ISNUMBER(G30),ISNUMBER(G31)),G30-G31,"")</f>
        <v/>
      </c>
      <c r="H32" s="255">
        <f>IF(AND(ISNUMBER(H30),ISNUMBER(H31)),H30-H31,"")</f>
        <v/>
      </c>
      <c r="I32" s="255">
        <f>IF(AND(ISNUMBER(I30),ISNUMBER(I31)),I30-I31,"")</f>
        <v/>
      </c>
      <c r="J32" s="255">
        <f>IF(AND(ISNUMBER(J30),ISNUMBER(J31)),J30-J31,"")</f>
        <v/>
      </c>
      <c r="K32" s="255">
        <f>IF(AND(ISNUMBER(K30),ISNUMBER(K31)),K30-K31,"")</f>
        <v/>
      </c>
      <c r="L32" s="255">
        <f>IF(AND(ISNUMBER(L30),ISNUMBER(L31)),L30-L31,"")</f>
        <v/>
      </c>
      <c r="M32" s="255">
        <f>IF(AND(ISNUMBER(M30),ISNUMBER(M31)),M30-M31,"")</f>
        <v/>
      </c>
      <c r="N32" s="255">
        <f>IF(AND(ISNUMBER(N30),ISNUMBER(N31)),N30-N31,"")</f>
        <v/>
      </c>
      <c r="O32" s="255">
        <f>IF(AND(ISNUMBER(O30),ISNUMBER(O31)),O30-O31,"")</f>
        <v/>
      </c>
      <c r="P32" s="255">
        <f>IF(AND(ISNUMBER(P30),ISNUMBER(P31)),P30-P31,"")</f>
        <v/>
      </c>
      <c r="Q32" s="255">
        <f>IF(AND(ISNUMBER(Q30),ISNUMBER(Q31)),Q30-Q31,"")</f>
        <v/>
      </c>
      <c r="R32" s="255">
        <f>IF(AND(ISNUMBER(R30),ISNUMBER(R31)),R30-R31,"")</f>
        <v/>
      </c>
      <c r="S32" s="255">
        <f>IF(AND(ISNUMBER(S30),ISNUMBER(S31)),S30-S31,"")</f>
        <v/>
      </c>
      <c r="T32" s="255">
        <f>IF(AND(ISNUMBER(T30),ISNUMBER(T31)),T30-T31,"")</f>
        <v/>
      </c>
      <c r="U32" s="255">
        <f>IF(AND(ISNUMBER(U30),ISNUMBER(U31)),U30-U31,"")</f>
        <v/>
      </c>
      <c r="V32" s="255">
        <f>IF(AND(ISNUMBER(V30),ISNUMBER(V31)),V30-V31,"")</f>
        <v/>
      </c>
      <c r="W32" s="255">
        <f>IF(AND(ISNUMBER(W30),ISNUMBER(W31)),W30-W31,"")</f>
        <v/>
      </c>
      <c r="X32" s="255">
        <f>IF(AND(ISNUMBER(X30),ISNUMBER(X31)),X30-X31,"")</f>
        <v/>
      </c>
      <c r="Y32" s="255">
        <f>IF(AND(ISNUMBER(Y30),ISNUMBER(Y31)),Y30-Y31,"")</f>
        <v/>
      </c>
      <c r="Z32" s="255">
        <f>IF(AND(ISNUMBER(Z30),ISNUMBER(Z31)),Z30-Z31,"")</f>
        <v/>
      </c>
      <c r="AA32" s="255">
        <f>IF(AND(ISNUMBER(AA30),ISNUMBER(AA31)),AA30-AA31,"")</f>
        <v/>
      </c>
      <c r="AB32" s="255">
        <f>IF(AND(ISNUMBER(AB30),ISNUMBER(AB31)),AB30-AB31,"")</f>
        <v/>
      </c>
      <c r="AC32" s="255">
        <f>IF(AND(ISNUMBER(AC30),ISNUMBER(AC31)),AC30-AC31,"")</f>
        <v/>
      </c>
      <c r="AD32" s="255">
        <f>IF(AND(ISNUMBER(AD30),ISNUMBER(AD31)),AD30-AD31,"")</f>
        <v/>
      </c>
      <c r="AE32" s="255">
        <f>IF(AND(ISNUMBER(AE30),ISNUMBER(AE31)),AE30-AE31,"")</f>
        <v/>
      </c>
      <c r="AF32" s="256">
        <f>$AF$51</f>
        <v/>
      </c>
      <c r="AG32" s="256">
        <f>$AF$51</f>
        <v/>
      </c>
      <c r="AH32" s="256">
        <f>IF(AND(ISNUMBER(AH30),ISNUMBER(AH31)),AH30-AH31,"")</f>
        <v/>
      </c>
      <c r="AI32" s="260" t="n">
        <v>0</v>
      </c>
      <c r="AJ32" s="260" t="n">
        <v>0</v>
      </c>
      <c r="AK32" s="260" t="n">
        <v>0</v>
      </c>
      <c r="AL32" s="260" t="n">
        <v>0</v>
      </c>
      <c r="AM32" s="153" t="n"/>
      <c r="AU32" s="25" t="inlineStr">
        <is>
          <t xml:space="preserve">  2029E</t>
        </is>
      </c>
      <c r="AV32" s="33">
        <f>AW32+$AV$29</f>
        <v/>
      </c>
      <c r="AW32" s="42" t="n">
        <v>0.13</v>
      </c>
      <c r="AX32" s="33">
        <f>AW32+$AX$29</f>
        <v/>
      </c>
    </row>
    <row r="33" ht="15" customHeight="1" s="251">
      <c r="B33" s="156" t="inlineStr">
        <is>
          <t xml:space="preserve">    Memo: constant-currency net sales (prior-year period × (1 + cc growth))</t>
        </is>
      </c>
      <c r="C33" s="44" t="n"/>
      <c r="D33" s="261">
        <f>IF(AND(ISNUMBER(D31),ISNUMBER(C29)),C29*(1+D31),"")</f>
        <v/>
      </c>
      <c r="E33" s="44" t="n"/>
      <c r="F33" s="44" t="n"/>
      <c r="G33" s="44" t="n"/>
      <c r="H33" s="44" t="n"/>
      <c r="I33" s="261">
        <f>IF(AND(ISNUMBER(I31),ISNUMBER(D29)),D29*(1+I31),"")</f>
        <v/>
      </c>
      <c r="J33" s="261">
        <f>IF(AND(ISNUMBER(J31),ISNUMBER(E29)),E29*(1+J31),"")</f>
        <v/>
      </c>
      <c r="K33" s="261">
        <f>IF(AND(ISNUMBER(K31),ISNUMBER(F29)),F29*(1+K31),"")</f>
        <v/>
      </c>
      <c r="L33" s="261">
        <f>IF(AND(ISNUMBER(L31),ISNUMBER(G29)),G29*(1+L31),"")</f>
        <v/>
      </c>
      <c r="M33" s="261">
        <f>IF(AND(ISNUMBER(M31),ISNUMBER(H29)),H29*(1+M31),"")</f>
        <v/>
      </c>
      <c r="N33" s="261">
        <f>IF(AND(ISNUMBER(N31),ISNUMBER(I29)),I29*(1+N31),"")</f>
        <v/>
      </c>
      <c r="O33" s="261">
        <f>IF(AND(ISNUMBER(O31),ISNUMBER(J29)),J29*(1+O31),"")</f>
        <v/>
      </c>
      <c r="P33" s="261">
        <f>IF(AND(ISNUMBER(P31),ISNUMBER(K29)),K29*(1+P31),"")</f>
        <v/>
      </c>
      <c r="Q33" s="261">
        <f>IF(AND(ISNUMBER(Q31),ISNUMBER(L29)),L29*(1+Q31),"")</f>
        <v/>
      </c>
      <c r="R33" s="261">
        <f>IF(AND(ISNUMBER(R31),ISNUMBER(M29)),M29*(1+R31),"")</f>
        <v/>
      </c>
      <c r="S33" s="261">
        <f>IF(AND(ISNUMBER(S31),ISNUMBER(N29)),N29*(1+S31),"")</f>
        <v/>
      </c>
      <c r="T33" s="261">
        <f>IF(AND(ISNUMBER(T31),ISNUMBER(O29)),O29*(1+T31),"")</f>
        <v/>
      </c>
      <c r="U33" s="261">
        <f>IF(AND(ISNUMBER(U31),ISNUMBER(P29)),P29*(1+U31),"")</f>
        <v/>
      </c>
      <c r="V33" s="261">
        <f>IF(AND(ISNUMBER(V31),ISNUMBER(Q29)),Q29*(1+V31),"")</f>
        <v/>
      </c>
      <c r="W33" s="261">
        <f>IF(AND(ISNUMBER(W31),ISNUMBER(R29)),R29*(1+W31),"")</f>
        <v/>
      </c>
      <c r="X33" s="261">
        <f>IF(AND(ISNUMBER(X31),ISNUMBER(S29)),S29*(1+X31),"")</f>
        <v/>
      </c>
      <c r="Y33" s="261">
        <f>IF(AND(ISNUMBER(Y31),ISNUMBER(T29)),T29*(1+Y31),"")</f>
        <v/>
      </c>
      <c r="Z33" s="261">
        <f>IF(AND(ISNUMBER(Z31),ISNUMBER(U29)),U29*(1+Z31),"")</f>
        <v/>
      </c>
      <c r="AA33" s="261">
        <f>IF(AND(ISNUMBER(AA31),ISNUMBER(V29)),V29*(1+AA31),"")</f>
        <v/>
      </c>
      <c r="AB33" s="261">
        <f>IF(AND(ISNUMBER(AB31),ISNUMBER(W29)),W29*(1+AB31),"")</f>
        <v/>
      </c>
      <c r="AC33" s="261">
        <f>IF(AND(ISNUMBER(AC31),ISNUMBER(X29)),X29*(1+AC31),"")</f>
        <v/>
      </c>
      <c r="AD33" s="261">
        <f>IF(AND(ISNUMBER(AD31),ISNUMBER(Y29)),Y29*(1+AD31),"")</f>
        <v/>
      </c>
      <c r="AE33" s="261">
        <f>IF(AND(ISNUMBER(AE31),ISNUMBER(Z29)),Z29*(1+AE31),"")</f>
        <v/>
      </c>
      <c r="AF33" s="254">
        <f>IF(AND(ISNUMBER(AF31),ISNUMBER(AA29)),AA29*(1+AF31),"")</f>
        <v/>
      </c>
      <c r="AG33" s="254">
        <f>IF(AND(ISNUMBER(AG31),ISNUMBER(AB29)),AB29*(1+AG31),"")</f>
        <v/>
      </c>
      <c r="AH33" s="254">
        <f>SUM(AD33:AG33)</f>
        <v/>
      </c>
      <c r="AI33" s="254">
        <f>IF(AND(ISNUMBER(AI31),ISNUMBER(AH29)),AH29*(1+AI31),"")</f>
        <v/>
      </c>
      <c r="AJ33" s="254">
        <f>IF(AND(ISNUMBER(AJ31),ISNUMBER(AI29)),AI29*(1+AJ31),"")</f>
        <v/>
      </c>
      <c r="AK33" s="254">
        <f>IF(AND(ISNUMBER(AK31),ISNUMBER(AJ29)),AJ29*(1+AK31),"")</f>
        <v/>
      </c>
      <c r="AL33" s="254">
        <f>IF(AND(ISNUMBER(AL31),ISNUMBER(AK29)),AK29*(1+AL31),"")</f>
        <v/>
      </c>
      <c r="AM33" s="153" t="n"/>
      <c r="AU33" s="25" t="inlineStr">
        <is>
          <t xml:space="preserve">  2030E</t>
        </is>
      </c>
      <c r="AV33" s="33">
        <f>AW33+$AV$29</f>
        <v/>
      </c>
      <c r="AW33" s="42" t="n">
        <v>0.11</v>
      </c>
      <c r="AX33" s="33">
        <f>AW33+$AX$29</f>
        <v/>
      </c>
    </row>
    <row r="34" ht="15" customHeight="1" s="251">
      <c r="B34" s="25" t="inlineStr">
        <is>
          <t xml:space="preserve">    Q3/Q4-26E cc growth before calibration (1H/26 constant-currency growth)</t>
        </is>
      </c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256">
        <f>IFERROR((AD33+AE33)/(Y29+Z29)-1,0)</f>
        <v/>
      </c>
      <c r="AG34" s="256">
        <f>IFERROR((AD33+AE33)/(Y29+Z29)-1,0)</f>
        <v/>
      </c>
      <c r="AH34" s="24" t="n"/>
      <c r="AI34" s="46" t="n"/>
      <c r="AJ34" s="46" t="n"/>
      <c r="AK34" s="46" t="n"/>
      <c r="AL34" s="46" t="n"/>
      <c r="AM34" s="19" t="n"/>
      <c r="AU34" s="15" t="inlineStr">
        <is>
          <t>EMEA_CC (EMEA net sales growth, constant currency)</t>
        </is>
      </c>
      <c r="AV34" s="41" t="n">
        <v>0.03</v>
      </c>
      <c r="AW34" s="21" t="inlineStr">
        <is>
          <t>Δ →</t>
        </is>
      </c>
      <c r="AX34" s="41" t="n">
        <v>-0.06</v>
      </c>
      <c r="AY34" s="13" t="inlineStr">
        <is>
          <t>1H/26 +22.8% cc; under-penetrated markets (UK, France, Italy, Nordics) and apparel.</t>
        </is>
      </c>
    </row>
    <row r="35" ht="15" customHeight="1" s="251">
      <c r="B35" s="25" t="inlineStr">
        <is>
          <t xml:space="preserve">    % of net sales</t>
        </is>
      </c>
      <c r="C35" s="215">
        <f>IF(AND(ISNUMBER(C29),ISNUMBER(C38)),IFERROR(C29/C38,""),"")</f>
        <v/>
      </c>
      <c r="D35" s="215">
        <f>IF(AND(ISNUMBER(D29),ISNUMBER(D38)),IFERROR(D29/D38,""),"")</f>
        <v/>
      </c>
      <c r="E35" s="215">
        <f>IF(AND(ISNUMBER(E29),ISNUMBER(E38)),IFERROR(E29/E38,""),"")</f>
        <v/>
      </c>
      <c r="F35" s="215">
        <f>IF(AND(ISNUMBER(F29),ISNUMBER(F38)),IFERROR(F29/F38,""),"")</f>
        <v/>
      </c>
      <c r="G35" s="215">
        <f>IF(AND(ISNUMBER(G29),ISNUMBER(G38)),IFERROR(G29/G38,""),"")</f>
        <v/>
      </c>
      <c r="H35" s="215">
        <f>IF(AND(ISNUMBER(H29),ISNUMBER(H38)),IFERROR(H29/H38,""),"")</f>
        <v/>
      </c>
      <c r="I35" s="215">
        <f>IF(AND(ISNUMBER(I29),ISNUMBER(I38)),IFERROR(I29/I38,""),"")</f>
        <v/>
      </c>
      <c r="J35" s="215">
        <f>IF(AND(ISNUMBER(J29),ISNUMBER(J38)),IFERROR(J29/J38,""),"")</f>
        <v/>
      </c>
      <c r="K35" s="215">
        <f>IF(AND(ISNUMBER(K29),ISNUMBER(K38)),IFERROR(K29/K38,""),"")</f>
        <v/>
      </c>
      <c r="L35" s="215">
        <f>IF(AND(ISNUMBER(L29),ISNUMBER(L38)),IFERROR(L29/L38,""),"")</f>
        <v/>
      </c>
      <c r="M35" s="215">
        <f>IF(AND(ISNUMBER(M29),ISNUMBER(M38)),IFERROR(M29/M38,""),"")</f>
        <v/>
      </c>
      <c r="N35" s="215">
        <f>IF(AND(ISNUMBER(N29),ISNUMBER(N38)),IFERROR(N29/N38,""),"")</f>
        <v/>
      </c>
      <c r="O35" s="215">
        <f>IF(AND(ISNUMBER(O29),ISNUMBER(O38)),IFERROR(O29/O38,""),"")</f>
        <v/>
      </c>
      <c r="P35" s="215">
        <f>IF(AND(ISNUMBER(P29),ISNUMBER(P38)),IFERROR(P29/P38,""),"")</f>
        <v/>
      </c>
      <c r="Q35" s="215">
        <f>IF(AND(ISNUMBER(Q29),ISNUMBER(Q38)),IFERROR(Q29/Q38,""),"")</f>
        <v/>
      </c>
      <c r="R35" s="215">
        <f>IF(AND(ISNUMBER(R29),ISNUMBER(R38)),IFERROR(R29/R38,""),"")</f>
        <v/>
      </c>
      <c r="S35" s="215">
        <f>IF(AND(ISNUMBER(S29),ISNUMBER(S38)),IFERROR(S29/S38,""),"")</f>
        <v/>
      </c>
      <c r="T35" s="215">
        <f>IF(AND(ISNUMBER(T29),ISNUMBER(T38)),IFERROR(T29/T38,""),"")</f>
        <v/>
      </c>
      <c r="U35" s="215">
        <f>IF(AND(ISNUMBER(U29),ISNUMBER(U38)),IFERROR(U29/U38,""),"")</f>
        <v/>
      </c>
      <c r="V35" s="215">
        <f>IF(AND(ISNUMBER(V29),ISNUMBER(V38)),IFERROR(V29/V38,""),"")</f>
        <v/>
      </c>
      <c r="W35" s="215">
        <f>IF(AND(ISNUMBER(W29),ISNUMBER(W38)),IFERROR(W29/W38,""),"")</f>
        <v/>
      </c>
      <c r="X35" s="215">
        <f>IF(AND(ISNUMBER(X29),ISNUMBER(X38)),IFERROR(X29/X38,""),"")</f>
        <v/>
      </c>
      <c r="Y35" s="215">
        <f>IF(AND(ISNUMBER(Y29),ISNUMBER(Y38)),IFERROR(Y29/Y38,""),"")</f>
        <v/>
      </c>
      <c r="Z35" s="215">
        <f>IF(AND(ISNUMBER(Z29),ISNUMBER(Z38)),IFERROR(Z29/Z38,""),"")</f>
        <v/>
      </c>
      <c r="AA35" s="215">
        <f>IF(AND(ISNUMBER(AA29),ISNUMBER(AA38)),IFERROR(AA29/AA38,""),"")</f>
        <v/>
      </c>
      <c r="AB35" s="215">
        <f>IF(AND(ISNUMBER(AB29),ISNUMBER(AB38)),IFERROR(AB29/AB38,""),"")</f>
        <v/>
      </c>
      <c r="AC35" s="215">
        <f>IF(AND(ISNUMBER(AC29),ISNUMBER(AC38)),IFERROR(AC29/AC38,""),"")</f>
        <v/>
      </c>
      <c r="AD35" s="215">
        <f>IF(AND(ISNUMBER(AD29),ISNUMBER(AD38)),IFERROR(AD29/AD38,""),"")</f>
        <v/>
      </c>
      <c r="AE35" s="215">
        <f>IF(AND(ISNUMBER(AE29),ISNUMBER(AE38)),IFERROR(AE29/AE38,""),"")</f>
        <v/>
      </c>
      <c r="AF35" s="256">
        <f>IF(AND(ISNUMBER(AF29),ISNUMBER(AF38)),IFERROR(AF29/AF38,""),"")</f>
        <v/>
      </c>
      <c r="AG35" s="256">
        <f>IF(AND(ISNUMBER(AG29),ISNUMBER(AG38)),IFERROR(AG29/AG38,""),"")</f>
        <v/>
      </c>
      <c r="AH35" s="256">
        <f>IF(AND(ISNUMBER(AH29),ISNUMBER(AH38)),IFERROR(AH29/AH38,""),"")</f>
        <v/>
      </c>
      <c r="AI35" s="256">
        <f>IF(AND(ISNUMBER(AI29),ISNUMBER(AI38)),IFERROR(AI29/AI38,""),"")</f>
        <v/>
      </c>
      <c r="AJ35" s="256">
        <f>IF(AND(ISNUMBER(AJ29),ISNUMBER(AJ38)),IFERROR(AJ29/AJ38,""),"")</f>
        <v/>
      </c>
      <c r="AK35" s="256">
        <f>IF(AND(ISNUMBER(AK29),ISNUMBER(AK38)),IFERROR(AK29/AK38,""),"")</f>
        <v/>
      </c>
      <c r="AL35" s="256">
        <f>IF(AND(ISNUMBER(AL29),ISNUMBER(AL38)),IFERROR(AL29/AL38,""),"")</f>
        <v/>
      </c>
      <c r="AM35" s="153" t="n"/>
      <c r="AO35" s="37">
        <f>IFERROR(AVERAGE(AH35,AI35,AJ35,AK35,AL35),"n/m")</f>
        <v/>
      </c>
      <c r="AP35" s="37">
        <f>IFERROR(AVERAGE(I35,N35,S35,X35,AC35),"n/m")</f>
        <v/>
      </c>
      <c r="AQ35" s="37">
        <f>IFERROR(AVERAGE(S35,X35,AC35),"n/m")</f>
        <v/>
      </c>
      <c r="AR35" s="37">
        <f>IFERROR(AVERAGE(C35,D35,I35,N35,S35,X35,AC35),"n/m")</f>
        <v/>
      </c>
      <c r="AU35" s="25" t="inlineStr">
        <is>
          <t xml:space="preserve">  2027E</t>
        </is>
      </c>
      <c r="AV35" s="33">
        <f>AW35+$AV$34</f>
        <v/>
      </c>
      <c r="AW35" s="42" t="n">
        <v>0.19</v>
      </c>
      <c r="AX35" s="33">
        <f>AW35+$AX$34</f>
        <v/>
      </c>
    </row>
    <row r="36" ht="15" customHeight="1" s="251">
      <c r="AU36" s="25" t="inlineStr">
        <is>
          <t xml:space="preserve">  2028E</t>
        </is>
      </c>
      <c r="AV36" s="33">
        <f>AW36+$AV$34</f>
        <v/>
      </c>
      <c r="AW36" s="42" t="n">
        <v>0.18</v>
      </c>
      <c r="AX36" s="33">
        <f>AW36+$AX$34</f>
        <v/>
      </c>
    </row>
    <row r="37" ht="15" customHeight="1" s="251">
      <c r="B37" s="14" t="inlineStr">
        <is>
          <t>Group Total — net sales (region build) → FY26 outlook calibration (constant-currency growth, CHF net sales, Q3 guide)</t>
        </is>
      </c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5" t="inlineStr">
        <is>
          <t>GROUP TOTAL (CONSOLIDATED) — modelling logic</t>
        </is>
      </c>
      <c r="AU37" s="25" t="inlineStr">
        <is>
          <t xml:space="preserve">  2029E</t>
        </is>
      </c>
      <c r="AV37" s="33">
        <f>AW37+$AV$34</f>
        <v/>
      </c>
      <c r="AW37" s="42" t="n">
        <v>0.17</v>
      </c>
      <c r="AX37" s="33">
        <f>AW37+$AX$34</f>
        <v/>
      </c>
    </row>
    <row r="38" ht="15" customHeight="1" s="251">
      <c r="B38" s="55" t="inlineStr">
        <is>
          <t>Net sales (region build)</t>
        </is>
      </c>
      <c r="C38" s="263">
        <f>IF(ISNUMBER(C11),N(C11)+N(C20)+N(C29),C109)</f>
        <v/>
      </c>
      <c r="D38" s="263">
        <f>IF(ISNUMBER(D11),N(D11)+N(D20)+N(D29),D109)</f>
        <v/>
      </c>
      <c r="E38" s="263">
        <f>IF(ISNUMBER(E11),N(E11)+N(E20)+N(E29),E109)</f>
        <v/>
      </c>
      <c r="F38" s="263">
        <f>IF(ISNUMBER(F11),N(F11)+N(F20)+N(F29),F109)</f>
        <v/>
      </c>
      <c r="G38" s="263">
        <f>IF(ISNUMBER(G11),N(G11)+N(G20)+N(G29),G109)</f>
        <v/>
      </c>
      <c r="H38" s="263">
        <f>IF(ISNUMBER(H11),N(H11)+N(H20)+N(H29),H109)</f>
        <v/>
      </c>
      <c r="I38" s="263">
        <f>IF(ISNUMBER(I11),N(I11)+N(I20)+N(I29),I109)</f>
        <v/>
      </c>
      <c r="J38" s="263">
        <f>IF(ISNUMBER(J11),N(J11)+N(J20)+N(J29),J109)</f>
        <v/>
      </c>
      <c r="K38" s="263">
        <f>IF(ISNUMBER(K11),N(K11)+N(K20)+N(K29),K109)</f>
        <v/>
      </c>
      <c r="L38" s="263">
        <f>IF(ISNUMBER(L11),N(L11)+N(L20)+N(L29),L109)</f>
        <v/>
      </c>
      <c r="M38" s="263">
        <f>IF(ISNUMBER(M11),N(M11)+N(M20)+N(M29),M109)</f>
        <v/>
      </c>
      <c r="N38" s="263">
        <f>IF(ISNUMBER(N11),N(N11)+N(N20)+N(N29),N109)</f>
        <v/>
      </c>
      <c r="O38" s="263">
        <f>IF(ISNUMBER(O11),N(O11)+N(O20)+N(O29),O109)</f>
        <v/>
      </c>
      <c r="P38" s="263">
        <f>IF(ISNUMBER(P11),N(P11)+N(P20)+N(P29),P109)</f>
        <v/>
      </c>
      <c r="Q38" s="263">
        <f>IF(ISNUMBER(Q11),N(Q11)+N(Q20)+N(Q29),Q109)</f>
        <v/>
      </c>
      <c r="R38" s="263">
        <f>IF(ISNUMBER(R11),N(R11)+N(R20)+N(R29),R109)</f>
        <v/>
      </c>
      <c r="S38" s="263">
        <f>IF(ISNUMBER(S11),N(S11)+N(S20)+N(S29),S109)</f>
        <v/>
      </c>
      <c r="T38" s="263">
        <f>IF(ISNUMBER(T11),N(T11)+N(T20)+N(T29),T109)</f>
        <v/>
      </c>
      <c r="U38" s="263">
        <f>IF(ISNUMBER(U11),N(U11)+N(U20)+N(U29),U109)</f>
        <v/>
      </c>
      <c r="V38" s="263">
        <f>IF(ISNUMBER(V11),N(V11)+N(V20)+N(V29),V109)</f>
        <v/>
      </c>
      <c r="W38" s="263">
        <f>IF(ISNUMBER(W11),N(W11)+N(W20)+N(W29),W109)</f>
        <v/>
      </c>
      <c r="X38" s="263">
        <f>IF(ISNUMBER(X11),N(X11)+N(X20)+N(X29),X109)</f>
        <v/>
      </c>
      <c r="Y38" s="263">
        <f>IF(ISNUMBER(Y11),N(Y11)+N(Y20)+N(Y29),Y109)</f>
        <v/>
      </c>
      <c r="Z38" s="263">
        <f>IF(ISNUMBER(Z11),N(Z11)+N(Z20)+N(Z29),Z109)</f>
        <v/>
      </c>
      <c r="AA38" s="263">
        <f>IF(ISNUMBER(AA11),N(AA11)+N(AA20)+N(AA29),AA109)</f>
        <v/>
      </c>
      <c r="AB38" s="263">
        <f>IF(ISNUMBER(AB11),N(AB11)+N(AB20)+N(AB29),AB109)</f>
        <v/>
      </c>
      <c r="AC38" s="263">
        <f>IF(ISNUMBER(AC11),N(AC11)+N(AC20)+N(AC29),AC109)</f>
        <v/>
      </c>
      <c r="AD38" s="263">
        <f>IF(ISNUMBER(AD11),N(AD11)+N(AD20)+N(AD29),AD109)</f>
        <v/>
      </c>
      <c r="AE38" s="263">
        <f>IF(ISNUMBER(AE11),N(AE11)+N(AE20)+N(AE29),AE109)</f>
        <v/>
      </c>
      <c r="AF38" s="263">
        <f>AF11+AF20+AF29</f>
        <v/>
      </c>
      <c r="AG38" s="263">
        <f>AG11+AG20+AG29</f>
        <v/>
      </c>
      <c r="AH38" s="263">
        <f>AH11+AH20+AH29</f>
        <v/>
      </c>
      <c r="AI38" s="263">
        <f>AI11+AI20+AI29</f>
        <v/>
      </c>
      <c r="AJ38" s="263">
        <f>AJ11+AJ20+AJ29</f>
        <v/>
      </c>
      <c r="AK38" s="263">
        <f>AK11+AK20+AK29</f>
        <v/>
      </c>
      <c r="AL38" s="263">
        <f>AL11+AL20+AL29</f>
        <v/>
      </c>
      <c r="AM38" s="153" t="inlineStr">
        <is>
          <t>Σ Americas + EMEA + APAC. FY2019–20 and 2021 quarters (former Europe / North America / APAC / RoW regions only) = reported net sales.</t>
        </is>
      </c>
      <c r="AO38" s="20">
        <f>IFERROR((AL38/AC38)^(1/5)-1,"n/m")</f>
        <v/>
      </c>
      <c r="AP38" s="20">
        <f>IFERROR((AC38/D38)^(1/5)-1,"n/m")</f>
        <v/>
      </c>
      <c r="AQ38" s="20">
        <f>IFERROR((AC38/N38)^(1/3)-1,"n/m")</f>
        <v/>
      </c>
      <c r="AR38" s="20">
        <f>IFERROR((AC38/C38)^(1/6)-1,"n/m")</f>
        <v/>
      </c>
      <c r="AU38" s="25" t="inlineStr">
        <is>
          <t xml:space="preserve">  2030E</t>
        </is>
      </c>
      <c r="AV38" s="33">
        <f>AW38+$AV$34</f>
        <v/>
      </c>
      <c r="AW38" s="42" t="n">
        <v>0.14</v>
      </c>
      <c r="AX38" s="33">
        <f>AW38+$AX$34</f>
        <v/>
      </c>
    </row>
    <row r="39" ht="15" customHeight="1" s="251">
      <c r="B39" s="22" t="inlineStr">
        <is>
          <t xml:space="preserve">  Net sales y/y % (reported, CHF)</t>
        </is>
      </c>
      <c r="C39" s="23" t="n"/>
      <c r="D39" s="255">
        <f>IF(AND(ISNUMBER(D38),ISNUMBER(C38)),IFERROR(D38/C38-1,""),"")</f>
        <v/>
      </c>
      <c r="E39" s="23" t="n"/>
      <c r="F39" s="23" t="n"/>
      <c r="G39" s="23" t="n"/>
      <c r="H39" s="23" t="n"/>
      <c r="I39" s="255">
        <f>IF(AND(ISNUMBER(I38),ISNUMBER(D38)),IFERROR(I38/D38-1,""),"")</f>
        <v/>
      </c>
      <c r="J39" s="255">
        <f>IF(AND(ISNUMBER(J38),ISNUMBER(E38)),IFERROR(J38/E38-1,""),"")</f>
        <v/>
      </c>
      <c r="K39" s="255">
        <f>IF(AND(ISNUMBER(K38),ISNUMBER(F38)),IFERROR(K38/F38-1,""),"")</f>
        <v/>
      </c>
      <c r="L39" s="255">
        <f>IF(AND(ISNUMBER(L38),ISNUMBER(G38)),IFERROR(L38/G38-1,""),"")</f>
        <v/>
      </c>
      <c r="M39" s="255">
        <f>IF(AND(ISNUMBER(M38),ISNUMBER(H38)),IFERROR(M38/H38-1,""),"")</f>
        <v/>
      </c>
      <c r="N39" s="255">
        <f>IF(AND(ISNUMBER(N38),ISNUMBER(I38)),IFERROR(N38/I38-1,""),"")</f>
        <v/>
      </c>
      <c r="O39" s="255">
        <f>IF(AND(ISNUMBER(O38),ISNUMBER(J38)),IFERROR(O38/J38-1,""),"")</f>
        <v/>
      </c>
      <c r="P39" s="255">
        <f>IF(AND(ISNUMBER(P38),ISNUMBER(K38)),IFERROR(P38/K38-1,""),"")</f>
        <v/>
      </c>
      <c r="Q39" s="255">
        <f>IF(AND(ISNUMBER(Q38),ISNUMBER(L38)),IFERROR(Q38/L38-1,""),"")</f>
        <v/>
      </c>
      <c r="R39" s="255">
        <f>IF(AND(ISNUMBER(R38),ISNUMBER(M38)),IFERROR(R38/M38-1,""),"")</f>
        <v/>
      </c>
      <c r="S39" s="255">
        <f>IF(AND(ISNUMBER(S38),ISNUMBER(N38)),IFERROR(S38/N38-1,""),"")</f>
        <v/>
      </c>
      <c r="T39" s="255">
        <f>IF(AND(ISNUMBER(T38),ISNUMBER(O38)),IFERROR(T38/O38-1,""),"")</f>
        <v/>
      </c>
      <c r="U39" s="255">
        <f>IF(AND(ISNUMBER(U38),ISNUMBER(P38)),IFERROR(U38/P38-1,""),"")</f>
        <v/>
      </c>
      <c r="V39" s="255">
        <f>IF(AND(ISNUMBER(V38),ISNUMBER(Q38)),IFERROR(V38/Q38-1,""),"")</f>
        <v/>
      </c>
      <c r="W39" s="255">
        <f>IF(AND(ISNUMBER(W38),ISNUMBER(R38)),IFERROR(W38/R38-1,""),"")</f>
        <v/>
      </c>
      <c r="X39" s="255">
        <f>IF(AND(ISNUMBER(X38),ISNUMBER(S38)),IFERROR(X38/S38-1,""),"")</f>
        <v/>
      </c>
      <c r="Y39" s="255">
        <f>IF(AND(ISNUMBER(Y38),ISNUMBER(T38)),IFERROR(Y38/T38-1,""),"")</f>
        <v/>
      </c>
      <c r="Z39" s="255">
        <f>IF(AND(ISNUMBER(Z38),ISNUMBER(U38)),IFERROR(Z38/U38-1,""),"")</f>
        <v/>
      </c>
      <c r="AA39" s="255">
        <f>IF(AND(ISNUMBER(AA38),ISNUMBER(V38)),IFERROR(AA38/V38-1,""),"")</f>
        <v/>
      </c>
      <c r="AB39" s="255">
        <f>IF(AND(ISNUMBER(AB38),ISNUMBER(W38)),IFERROR(AB38/W38-1,""),"")</f>
        <v/>
      </c>
      <c r="AC39" s="255">
        <f>IF(AND(ISNUMBER(AC38),ISNUMBER(X38)),IFERROR(AC38/X38-1,""),"")</f>
        <v/>
      </c>
      <c r="AD39" s="255">
        <f>IF(AND(ISNUMBER(AD38),ISNUMBER(Y38)),IFERROR(AD38/Y38-1,""),"")</f>
        <v/>
      </c>
      <c r="AE39" s="255">
        <f>IF(AND(ISNUMBER(AE38),ISNUMBER(Z38)),IFERROR(AE38/Z38-1,""),"")</f>
        <v/>
      </c>
      <c r="AF39" s="256">
        <f>IF(AND(ISNUMBER(AF38),ISNUMBER(AA38)),IFERROR(AF38/AA38-1,""),"")</f>
        <v/>
      </c>
      <c r="AG39" s="256">
        <f>IF(AND(ISNUMBER(AG38),ISNUMBER(AB38)),IFERROR(AG38/AB38-1,""),"")</f>
        <v/>
      </c>
      <c r="AH39" s="256">
        <f>IF(AND(ISNUMBER(AH38),ISNUMBER(AC38)),IFERROR(AH38/AC38-1,""),"")</f>
        <v/>
      </c>
      <c r="AI39" s="256">
        <f>IF(AND(ISNUMBER(AI38),ISNUMBER(AH38)),IFERROR(AI38/AH38-1,""),"")</f>
        <v/>
      </c>
      <c r="AJ39" s="256">
        <f>IF(AND(ISNUMBER(AJ38),ISNUMBER(AI38)),IFERROR(AJ38/AI38-1,""),"")</f>
        <v/>
      </c>
      <c r="AK39" s="256">
        <f>IF(AND(ISNUMBER(AK38),ISNUMBER(AJ38)),IFERROR(AK38/AJ38-1,""),"")</f>
        <v/>
      </c>
      <c r="AL39" s="256">
        <f>IF(AND(ISNUMBER(AL38),ISNUMBER(AK38)),IFERROR(AL38/AK38-1,""),"")</f>
        <v/>
      </c>
      <c r="AM39" s="153" t="n"/>
      <c r="AU39" s="15" t="inlineStr">
        <is>
          <t>APAC_CC (Asia-Pacific net sales growth, constant currency)</t>
        </is>
      </c>
      <c r="AV39" s="41" t="n">
        <v>0.04</v>
      </c>
      <c r="AW39" s="21" t="inlineStr">
        <is>
          <t>Δ →</t>
        </is>
      </c>
      <c r="AX39" s="41" t="n">
        <v>-0.1</v>
      </c>
      <c r="AY39" s="13" t="inlineStr">
        <is>
          <t>1H/26 +58.1% cc; Greater China, Japan, South Korea; &gt;20% of group sales. Fades from very high growth.</t>
        </is>
      </c>
    </row>
    <row r="40" ht="15" customHeight="1" s="251">
      <c r="B40" s="57" t="inlineStr">
        <is>
          <t xml:space="preserve">  Check: region build vs consolidated net sales (should be 0)</t>
        </is>
      </c>
      <c r="C40" s="261">
        <f>IF(ISNUMBER(C38),IF(ABS(C38-C109)&lt;=0.25,0,ROUND(C38-C109,1)),"")</f>
        <v/>
      </c>
      <c r="D40" s="261">
        <f>IF(ISNUMBER(D38),IF(ABS(D38-D109)&lt;=0.25,0,ROUND(D38-D109,1)),"")</f>
        <v/>
      </c>
      <c r="E40" s="261">
        <f>IF(ISNUMBER(E38),IF(ABS(E38-E109)&lt;=0.25,0,ROUND(E38-E109,1)),"")</f>
        <v/>
      </c>
      <c r="F40" s="261">
        <f>IF(ISNUMBER(F38),IF(ABS(F38-F109)&lt;=0.25,0,ROUND(F38-F109,1)),"")</f>
        <v/>
      </c>
      <c r="G40" s="261">
        <f>IF(ISNUMBER(G38),IF(ABS(G38-G109)&lt;=0.25,0,ROUND(G38-G109,1)),"")</f>
        <v/>
      </c>
      <c r="H40" s="261">
        <f>IF(ISNUMBER(H38),IF(ABS(H38-H109)&lt;=0.25,0,ROUND(H38-H109,1)),"")</f>
        <v/>
      </c>
      <c r="I40" s="261">
        <f>IF(ISNUMBER(I38),IF(ABS(I38-I109)&lt;=0.25,0,ROUND(I38-I109,1)),"")</f>
        <v/>
      </c>
      <c r="J40" s="261">
        <f>IF(ISNUMBER(J38),IF(ABS(J38-J109)&lt;=0.25,0,ROUND(J38-J109,1)),"")</f>
        <v/>
      </c>
      <c r="K40" s="261">
        <f>IF(ISNUMBER(K38),IF(ABS(K38-K109)&lt;=0.25,0,ROUND(K38-K109,1)),"")</f>
        <v/>
      </c>
      <c r="L40" s="261">
        <f>IF(ISNUMBER(L38),IF(ABS(L38-L109)&lt;=0.25,0,ROUND(L38-L109,1)),"")</f>
        <v/>
      </c>
      <c r="M40" s="261">
        <f>IF(ISNUMBER(M38),IF(ABS(M38-M109)&lt;=0.25,0,ROUND(M38-M109,1)),"")</f>
        <v/>
      </c>
      <c r="N40" s="261">
        <f>IF(ISNUMBER(N38),IF(ABS(N38-N109)&lt;=0.25,0,ROUND(N38-N109,1)),"")</f>
        <v/>
      </c>
      <c r="O40" s="261">
        <f>IF(ISNUMBER(O38),IF(ABS(O38-O109)&lt;=0.25,0,ROUND(O38-O109,1)),"")</f>
        <v/>
      </c>
      <c r="P40" s="261">
        <f>IF(ISNUMBER(P38),IF(ABS(P38-P109)&lt;=0.25,0,ROUND(P38-P109,1)),"")</f>
        <v/>
      </c>
      <c r="Q40" s="261">
        <f>IF(ISNUMBER(Q38),IF(ABS(Q38-Q109)&lt;=0.25,0,ROUND(Q38-Q109,1)),"")</f>
        <v/>
      </c>
      <c r="R40" s="261">
        <f>IF(ISNUMBER(R38),IF(ABS(R38-R109)&lt;=0.25,0,ROUND(R38-R109,1)),"")</f>
        <v/>
      </c>
      <c r="S40" s="261">
        <f>IF(ISNUMBER(S38),IF(ABS(S38-S109)&lt;=0.25,0,ROUND(S38-S109,1)),"")</f>
        <v/>
      </c>
      <c r="T40" s="261">
        <f>IF(ISNUMBER(T38),IF(ABS(T38-T109)&lt;=0.25,0,ROUND(T38-T109,1)),"")</f>
        <v/>
      </c>
      <c r="U40" s="261">
        <f>IF(ISNUMBER(U38),IF(ABS(U38-U109)&lt;=0.25,0,ROUND(U38-U109,1)),"")</f>
        <v/>
      </c>
      <c r="V40" s="261">
        <f>IF(ISNUMBER(V38),IF(ABS(V38-V109)&lt;=0.25,0,ROUND(V38-V109,1)),"")</f>
        <v/>
      </c>
      <c r="W40" s="261">
        <f>IF(ISNUMBER(W38),IF(ABS(W38-W109)&lt;=0.25,0,ROUND(W38-W109,1)),"")</f>
        <v/>
      </c>
      <c r="X40" s="261">
        <f>IF(ISNUMBER(X38),IF(ABS(X38-X109)&lt;=0.25,0,ROUND(X38-X109,1)),"")</f>
        <v/>
      </c>
      <c r="Y40" s="261">
        <f>IF(ISNUMBER(Y38),IF(ABS(Y38-Y109)&lt;=0.25,0,ROUND(Y38-Y109,1)),"")</f>
        <v/>
      </c>
      <c r="Z40" s="261">
        <f>IF(ISNUMBER(Z38),IF(ABS(Z38-Z109)&lt;=0.25,0,ROUND(Z38-Z109,1)),"")</f>
        <v/>
      </c>
      <c r="AA40" s="261">
        <f>IF(ISNUMBER(AA38),IF(ABS(AA38-AA109)&lt;=0.25,0,ROUND(AA38-AA109,1)),"")</f>
        <v/>
      </c>
      <c r="AB40" s="261">
        <f>IF(ISNUMBER(AB38),IF(ABS(AB38-AB109)&lt;=0.25,0,ROUND(AB38-AB109,1)),"")</f>
        <v/>
      </c>
      <c r="AC40" s="261">
        <f>IF(ISNUMBER(AC38),IF(ABS(AC38-AC109)&lt;=0.25,0,ROUND(AC38-AC109,1)),"")</f>
        <v/>
      </c>
      <c r="AD40" s="261">
        <f>IF(ISNUMBER(AD38),IF(ABS(AD38-AD109)&lt;=0.25,0,ROUND(AD38-AD109,1)),"")</f>
        <v/>
      </c>
      <c r="AE40" s="261">
        <f>IF(ISNUMBER(AE38),IF(ABS(AE38-AE109)&lt;=0.25,0,ROUND(AE38-AE109,1)),"")</f>
        <v/>
      </c>
      <c r="AF40" s="264">
        <f>IF(ISNUMBER(AF38),IF(ABS(AF38-AF109)&lt;=0.25,0,ROUND(AF38-AF109,1)),"")</f>
        <v/>
      </c>
      <c r="AG40" s="264">
        <f>IF(ISNUMBER(AG38),IF(ABS(AG38-AG109)&lt;=0.25,0,ROUND(AG38-AG109,1)),"")</f>
        <v/>
      </c>
      <c r="AH40" s="264">
        <f>IF(ISNUMBER(AH38),IF(ABS(AH38-AH109)&lt;=0.25,0,ROUND(AH38-AH109,1)),"")</f>
        <v/>
      </c>
      <c r="AI40" s="264">
        <f>IF(ISNUMBER(AI38),IF(ABS(AI38-AI109)&lt;=0.25,0,ROUND(AI38-AI109,1)),"")</f>
        <v/>
      </c>
      <c r="AJ40" s="264">
        <f>IF(ISNUMBER(AJ38),IF(ABS(AJ38-AJ109)&lt;=0.25,0,ROUND(AJ38-AJ109,1)),"")</f>
        <v/>
      </c>
      <c r="AK40" s="264">
        <f>IF(ISNUMBER(AK38),IF(ABS(AK38-AK109)&lt;=0.25,0,ROUND(AK38-AK109,1)),"")</f>
        <v/>
      </c>
      <c r="AL40" s="264">
        <f>IF(ISNUMBER(AL38),IF(ABS(AL38-AL109)&lt;=0.25,0,ROUND(AL38-AL109,1)),"")</f>
        <v/>
      </c>
      <c r="AM40" s="153" t="n"/>
      <c r="AU40" s="25" t="inlineStr">
        <is>
          <t xml:space="preserve">  2027E</t>
        </is>
      </c>
      <c r="AV40" s="33">
        <f>AW40+$AV$39</f>
        <v/>
      </c>
      <c r="AW40" s="42" t="n">
        <v>0.3</v>
      </c>
      <c r="AX40" s="33">
        <f>AW40+$AX$39</f>
        <v/>
      </c>
    </row>
    <row r="41" ht="15" customHeight="1" s="251">
      <c r="B41" s="156" t="inlineStr">
        <is>
          <t xml:space="preserve">  Constant-currency net sales (Σ regions)</t>
        </is>
      </c>
      <c r="C41" s="44" t="n"/>
      <c r="D41" s="261">
        <f>IF(ISNUMBER(D15),D15+D24+D33,"")</f>
        <v/>
      </c>
      <c r="E41" s="44" t="n"/>
      <c r="F41" s="44" t="n"/>
      <c r="G41" s="44" t="n"/>
      <c r="H41" s="44" t="n"/>
      <c r="I41" s="261">
        <f>IF(ISNUMBER(I15),I15+I24+I33,"")</f>
        <v/>
      </c>
      <c r="J41" s="261">
        <f>IF(ISNUMBER(J15),J15+J24+J33,"")</f>
        <v/>
      </c>
      <c r="K41" s="261">
        <f>IF(ISNUMBER(K15),K15+K24+K33,"")</f>
        <v/>
      </c>
      <c r="L41" s="261">
        <f>IF(ISNUMBER(L15),L15+L24+L33,"")</f>
        <v/>
      </c>
      <c r="M41" s="261">
        <f>IF(ISNUMBER(M15),M15+M24+M33,"")</f>
        <v/>
      </c>
      <c r="N41" s="261">
        <f>IF(ISNUMBER(N15),N15+N24+N33,"")</f>
        <v/>
      </c>
      <c r="O41" s="261">
        <f>IF(ISNUMBER(O15),O15+O24+O33,"")</f>
        <v/>
      </c>
      <c r="P41" s="261">
        <f>IF(ISNUMBER(P15),P15+P24+P33,"")</f>
        <v/>
      </c>
      <c r="Q41" s="261">
        <f>IF(ISNUMBER(Q15),Q15+Q24+Q33,"")</f>
        <v/>
      </c>
      <c r="R41" s="261">
        <f>IF(ISNUMBER(R15),R15+R24+R33,"")</f>
        <v/>
      </c>
      <c r="S41" s="261">
        <f>IF(ISNUMBER(S15),S15+S24+S33,"")</f>
        <v/>
      </c>
      <c r="T41" s="261">
        <f>IF(ISNUMBER(T15),T15+T24+T33,"")</f>
        <v/>
      </c>
      <c r="U41" s="261">
        <f>IF(ISNUMBER(U15),U15+U24+U33,"")</f>
        <v/>
      </c>
      <c r="V41" s="261">
        <f>IF(ISNUMBER(V15),V15+V24+V33,"")</f>
        <v/>
      </c>
      <c r="W41" s="261">
        <f>IF(ISNUMBER(W15),W15+W24+W33,"")</f>
        <v/>
      </c>
      <c r="X41" s="261">
        <f>IF(ISNUMBER(X15),X15+X24+X33,"")</f>
        <v/>
      </c>
      <c r="Y41" s="261">
        <f>IF(ISNUMBER(Y15),Y15+Y24+Y33,"")</f>
        <v/>
      </c>
      <c r="Z41" s="261">
        <f>IF(ISNUMBER(Z15),Z15+Z24+Z33,"")</f>
        <v/>
      </c>
      <c r="AA41" s="261">
        <f>IF(ISNUMBER(AA15),AA15+AA24+AA33,"")</f>
        <v/>
      </c>
      <c r="AB41" s="261">
        <f>IF(ISNUMBER(AB15),AB15+AB24+AB33,"")</f>
        <v/>
      </c>
      <c r="AC41" s="261">
        <f>IF(ISNUMBER(AC15),AC15+AC24+AC33,"")</f>
        <v/>
      </c>
      <c r="AD41" s="261">
        <f>IF(ISNUMBER(AD15),AD15+AD24+AD33,"")</f>
        <v/>
      </c>
      <c r="AE41" s="261">
        <f>IF(ISNUMBER(AE15),AE15+AE24+AE33,"")</f>
        <v/>
      </c>
      <c r="AF41" s="254">
        <f>IF(ISNUMBER(AF15),AF15+AF24+AF33,"")</f>
        <v/>
      </c>
      <c r="AG41" s="254">
        <f>IF(ISNUMBER(AG15),AG15+AG24+AG33,"")</f>
        <v/>
      </c>
      <c r="AH41" s="254">
        <f>SUM(AD41:AG41)</f>
        <v/>
      </c>
      <c r="AI41" s="254">
        <f>IF(ISNUMBER(AI15),AI15+AI24+AI33,"")</f>
        <v/>
      </c>
      <c r="AJ41" s="254">
        <f>IF(ISNUMBER(AJ15),AJ15+AJ24+AJ33,"")</f>
        <v/>
      </c>
      <c r="AK41" s="254">
        <f>IF(ISNUMBER(AK15),AK15+AK24+AK33,"")</f>
        <v/>
      </c>
      <c r="AL41" s="254">
        <f>IF(ISNUMBER(AL15),AL15+AL24+AL33,"")</f>
        <v/>
      </c>
      <c r="AM41" s="153" t="n"/>
      <c r="AU41" s="25" t="inlineStr">
        <is>
          <t xml:space="preserve">  2028E</t>
        </is>
      </c>
      <c r="AV41" s="33">
        <f>AW41+$AV$39</f>
        <v/>
      </c>
      <c r="AW41" s="42" t="n">
        <v>0.27</v>
      </c>
      <c r="AX41" s="33">
        <f>AW41+$AX$39</f>
        <v/>
      </c>
    </row>
    <row r="42" ht="15" customHeight="1" s="251">
      <c r="B42" s="22" t="inlineStr">
        <is>
          <t xml:space="preserve">  Net sales y/y % constant currency (model: Σ regions)</t>
        </is>
      </c>
      <c r="C42" s="23" t="n"/>
      <c r="D42" s="255">
        <f>IF(ISNUMBER(D41),IFERROR(D41/(C11+C20+C29)-1,""),"")</f>
        <v/>
      </c>
      <c r="E42" s="23" t="n"/>
      <c r="F42" s="23" t="n"/>
      <c r="G42" s="23" t="n"/>
      <c r="H42" s="23" t="n"/>
      <c r="I42" s="255">
        <f>IF(ISNUMBER(I41),IFERROR(I41/(D11+D20+D29)-1,""),"")</f>
        <v/>
      </c>
      <c r="J42" s="255">
        <f>IF(ISNUMBER(J41),IFERROR(J41/(E11+E20+E29)-1,""),"")</f>
        <v/>
      </c>
      <c r="K42" s="255">
        <f>IF(ISNUMBER(K41),IFERROR(K41/(F11+F20+F29)-1,""),"")</f>
        <v/>
      </c>
      <c r="L42" s="255">
        <f>IF(ISNUMBER(L41),IFERROR(L41/(G11+G20+G29)-1,""),"")</f>
        <v/>
      </c>
      <c r="M42" s="255">
        <f>IF(ISNUMBER(M41),IFERROR(M41/(H11+H20+H29)-1,""),"")</f>
        <v/>
      </c>
      <c r="N42" s="255">
        <f>IF(ISNUMBER(N41),IFERROR(N41/(I11+I20+I29)-1,""),"")</f>
        <v/>
      </c>
      <c r="O42" s="255">
        <f>IF(ISNUMBER(O41),IFERROR(O41/(J11+J20+J29)-1,""),"")</f>
        <v/>
      </c>
      <c r="P42" s="255">
        <f>IF(ISNUMBER(P41),IFERROR(P41/(K11+K20+K29)-1,""),"")</f>
        <v/>
      </c>
      <c r="Q42" s="255">
        <f>IF(ISNUMBER(Q41),IFERROR(Q41/(L11+L20+L29)-1,""),"")</f>
        <v/>
      </c>
      <c r="R42" s="255">
        <f>IF(ISNUMBER(R41),IFERROR(R41/(M11+M20+M29)-1,""),"")</f>
        <v/>
      </c>
      <c r="S42" s="255">
        <f>IF(ISNUMBER(S41),IFERROR(S41/(N11+N20+N29)-1,""),"")</f>
        <v/>
      </c>
      <c r="T42" s="255">
        <f>IF(ISNUMBER(T41),IFERROR(T41/(O11+O20+O29)-1,""),"")</f>
        <v/>
      </c>
      <c r="U42" s="255">
        <f>IF(ISNUMBER(U41),IFERROR(U41/(P11+P20+P29)-1,""),"")</f>
        <v/>
      </c>
      <c r="V42" s="255">
        <f>IF(ISNUMBER(V41),IFERROR(V41/(Q11+Q20+Q29)-1,""),"")</f>
        <v/>
      </c>
      <c r="W42" s="255">
        <f>IF(ISNUMBER(W41),IFERROR(W41/(R11+R20+R29)-1,""),"")</f>
        <v/>
      </c>
      <c r="X42" s="255">
        <f>IF(ISNUMBER(X41),IFERROR(X41/(S11+S20+S29)-1,""),"")</f>
        <v/>
      </c>
      <c r="Y42" s="255">
        <f>IF(ISNUMBER(Y41),IFERROR(Y41/(T11+T20+T29)-1,""),"")</f>
        <v/>
      </c>
      <c r="Z42" s="255">
        <f>IF(ISNUMBER(Z41),IFERROR(Z41/(U11+U20+U29)-1,""),"")</f>
        <v/>
      </c>
      <c r="AA42" s="255">
        <f>IF(ISNUMBER(AA41),IFERROR(AA41/(V11+V20+V29)-1,""),"")</f>
        <v/>
      </c>
      <c r="AB42" s="255">
        <f>IF(ISNUMBER(AB41),IFERROR(AB41/(W11+W20+W29)-1,""),"")</f>
        <v/>
      </c>
      <c r="AC42" s="255">
        <f>IF(ISNUMBER(AC41),IFERROR(AC41/(X11+X20+X29)-1,""),"")</f>
        <v/>
      </c>
      <c r="AD42" s="255">
        <f>IF(ISNUMBER(AD41),IFERROR(AD41/(Y11+Y20+Y29)-1,""),"")</f>
        <v/>
      </c>
      <c r="AE42" s="255">
        <f>IF(ISNUMBER(AE41),IFERROR(AE41/(Z11+Z20+Z29)-1,""),"")</f>
        <v/>
      </c>
      <c r="AF42" s="256">
        <f>IF(ISNUMBER(AF41),IFERROR(AF41/(AA11+AA20+AA29)-1,""),"")</f>
        <v/>
      </c>
      <c r="AG42" s="256">
        <f>IF(ISNUMBER(AG41),IFERROR(AG41/(AB11+AB20+AB29)-1,""),"")</f>
        <v/>
      </c>
      <c r="AH42" s="256">
        <f>IF(ISNUMBER(AH41),IFERROR(AH41/(AC11+AC20+AC29)-1,""),"")</f>
        <v/>
      </c>
      <c r="AI42" s="256">
        <f>IFERROR((AH11*(1+AI13)+AH20*(1+AI22)+AH29*(1+AI31))/(AH11+AH20+AH29)-1,"")</f>
        <v/>
      </c>
      <c r="AJ42" s="256">
        <f>IFERROR((AI11*(1+AJ13)+AI20*(1+AJ22)+AI29*(1+AJ31))/(AI11+AI20+AI29)-1,"")</f>
        <v/>
      </c>
      <c r="AK42" s="256">
        <f>IFERROR((AJ11*(1+AK13)+AJ20*(1+AK22)+AJ29*(1+AK31))/(AJ11+AJ20+AJ29)-1,"")</f>
        <v/>
      </c>
      <c r="AL42" s="256">
        <f>IFERROR((AK11*(1+AL13)+AK20*(1+AL22)+AK29*(1+AL31))/(AK11+AK20+AK29)-1,"")</f>
        <v/>
      </c>
      <c r="AM42" s="153" t="n"/>
      <c r="AO42" s="37">
        <f>IFERROR(AVERAGE(AH42,AI42,AJ42,AK42,AL42),"n/m")</f>
        <v/>
      </c>
      <c r="AP42" s="37">
        <f>IFERROR(AVERAGE(I42,N42,S42,X42,AC42),"n/m")</f>
        <v/>
      </c>
      <c r="AQ42" s="37">
        <f>IFERROR(AVERAGE(S42,X42,AC42),"n/m")</f>
        <v/>
      </c>
      <c r="AR42" s="37">
        <f>IFERROR(AVERAGE(C42,D42,I42,N42,S42,X42,AC42),"n/m")</f>
        <v/>
      </c>
      <c r="AU42" s="25" t="inlineStr">
        <is>
          <t xml:space="preserve">  2029E</t>
        </is>
      </c>
      <c r="AV42" s="33">
        <f>AW42+$AV$39</f>
        <v/>
      </c>
      <c r="AW42" s="42" t="n">
        <v>0.24</v>
      </c>
      <c r="AX42" s="33">
        <f>AW42+$AX$39</f>
        <v/>
      </c>
    </row>
    <row r="43" ht="15" customHeight="1" s="251">
      <c r="B43" s="156" t="inlineStr">
        <is>
          <t xml:space="preserve">  Memo: constant-currency growth as published</t>
        </is>
      </c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258" t="n">
        <v>0.294</v>
      </c>
      <c r="V43" s="258" t="n">
        <v>0.332</v>
      </c>
      <c r="W43" s="258" t="n">
        <v>0.406</v>
      </c>
      <c r="X43" s="258" t="n">
        <v>0.332</v>
      </c>
      <c r="Y43" s="34" t="n"/>
      <c r="Z43" s="258" t="n">
        <v>0.382</v>
      </c>
      <c r="AA43" s="258" t="n">
        <v>0.345</v>
      </c>
      <c r="AB43" s="258" t="n">
        <v>0.306</v>
      </c>
      <c r="AC43" s="258" t="n">
        <v>0.356</v>
      </c>
      <c r="AD43" s="34" t="n"/>
      <c r="AE43" s="258" t="n">
        <v>0.216</v>
      </c>
      <c r="AF43" s="153" t="n"/>
      <c r="AG43" s="153" t="n"/>
      <c r="AH43" s="153" t="n"/>
      <c r="AI43" s="153" t="n"/>
      <c r="AJ43" s="153" t="n"/>
      <c r="AK43" s="153" t="n"/>
      <c r="AL43" s="153" t="n"/>
      <c r="AM43" s="153" t="inlineStr">
        <is>
          <t>Published from Q1-24. Annual published figures are computed by the company on full-year rates (may differ slightly from Σ quarters).</t>
        </is>
      </c>
      <c r="AU43" s="25" t="inlineStr">
        <is>
          <t xml:space="preserve">  2030E</t>
        </is>
      </c>
      <c r="AV43" s="33">
        <f>AW43+$AV$39</f>
        <v/>
      </c>
      <c r="AW43" s="42" t="n">
        <v>0.19</v>
      </c>
      <c r="AX43" s="33">
        <f>AW43+$AX$39</f>
        <v/>
      </c>
    </row>
    <row r="44" ht="15" customHeight="1" s="251">
      <c r="B44" s="22" t="inlineStr">
        <is>
          <t xml:space="preserve">  FX translation effect on net sales growth (pts)</t>
        </is>
      </c>
      <c r="C44" s="255">
        <f>IF(AND(ISNUMBER(C39),ISNUMBER(C42)),C39-C42,"")</f>
        <v/>
      </c>
      <c r="D44" s="255">
        <f>IF(AND(ISNUMBER(D39),ISNUMBER(D42)),D39-D42,"")</f>
        <v/>
      </c>
      <c r="E44" s="255">
        <f>IF(AND(ISNUMBER(E39),ISNUMBER(E42)),E39-E42,"")</f>
        <v/>
      </c>
      <c r="F44" s="255">
        <f>IF(AND(ISNUMBER(F39),ISNUMBER(F42)),F39-F42,"")</f>
        <v/>
      </c>
      <c r="G44" s="255">
        <f>IF(AND(ISNUMBER(G39),ISNUMBER(G42)),G39-G42,"")</f>
        <v/>
      </c>
      <c r="H44" s="255">
        <f>IF(AND(ISNUMBER(H39),ISNUMBER(H42)),H39-H42,"")</f>
        <v/>
      </c>
      <c r="I44" s="255">
        <f>IF(AND(ISNUMBER(I39),ISNUMBER(I42)),I39-I42,"")</f>
        <v/>
      </c>
      <c r="J44" s="255">
        <f>IF(AND(ISNUMBER(J39),ISNUMBER(J42)),J39-J42,"")</f>
        <v/>
      </c>
      <c r="K44" s="255">
        <f>IF(AND(ISNUMBER(K39),ISNUMBER(K42)),K39-K42,"")</f>
        <v/>
      </c>
      <c r="L44" s="255">
        <f>IF(AND(ISNUMBER(L39),ISNUMBER(L42)),L39-L42,"")</f>
        <v/>
      </c>
      <c r="M44" s="255">
        <f>IF(AND(ISNUMBER(M39),ISNUMBER(M42)),M39-M42,"")</f>
        <v/>
      </c>
      <c r="N44" s="255">
        <f>IF(AND(ISNUMBER(N39),ISNUMBER(N42)),N39-N42,"")</f>
        <v/>
      </c>
      <c r="O44" s="255">
        <f>IF(AND(ISNUMBER(O39),ISNUMBER(O42)),O39-O42,"")</f>
        <v/>
      </c>
      <c r="P44" s="255">
        <f>IF(AND(ISNUMBER(P39),ISNUMBER(P42)),P39-P42,"")</f>
        <v/>
      </c>
      <c r="Q44" s="255">
        <f>IF(AND(ISNUMBER(Q39),ISNUMBER(Q42)),Q39-Q42,"")</f>
        <v/>
      </c>
      <c r="R44" s="255">
        <f>IF(AND(ISNUMBER(R39),ISNUMBER(R42)),R39-R42,"")</f>
        <v/>
      </c>
      <c r="S44" s="255">
        <f>IF(AND(ISNUMBER(S39),ISNUMBER(S42)),S39-S42,"")</f>
        <v/>
      </c>
      <c r="T44" s="255">
        <f>IF(AND(ISNUMBER(T39),ISNUMBER(T42)),T39-T42,"")</f>
        <v/>
      </c>
      <c r="U44" s="255">
        <f>IF(AND(ISNUMBER(U39),ISNUMBER(U42)),U39-U42,"")</f>
        <v/>
      </c>
      <c r="V44" s="255">
        <f>IF(AND(ISNUMBER(V39),ISNUMBER(V42)),V39-V42,"")</f>
        <v/>
      </c>
      <c r="W44" s="255">
        <f>IF(AND(ISNUMBER(W39),ISNUMBER(W42)),W39-W42,"")</f>
        <v/>
      </c>
      <c r="X44" s="255">
        <f>IF(AND(ISNUMBER(X39),ISNUMBER(X42)),X39-X42,"")</f>
        <v/>
      </c>
      <c r="Y44" s="255">
        <f>IF(AND(ISNUMBER(Y39),ISNUMBER(Y42)),Y39-Y42,"")</f>
        <v/>
      </c>
      <c r="Z44" s="255">
        <f>IF(AND(ISNUMBER(Z39),ISNUMBER(Z42)),Z39-Z42,"")</f>
        <v/>
      </c>
      <c r="AA44" s="255">
        <f>IF(AND(ISNUMBER(AA39),ISNUMBER(AA42)),AA39-AA42,"")</f>
        <v/>
      </c>
      <c r="AB44" s="255">
        <f>IF(AND(ISNUMBER(AB39),ISNUMBER(AB42)),AB39-AB42,"")</f>
        <v/>
      </c>
      <c r="AC44" s="255">
        <f>IF(AND(ISNUMBER(AC39),ISNUMBER(AC42)),AC39-AC42,"")</f>
        <v/>
      </c>
      <c r="AD44" s="255">
        <f>IF(AND(ISNUMBER(AD39),ISNUMBER(AD42)),AD39-AD42,"")</f>
        <v/>
      </c>
      <c r="AE44" s="255">
        <f>IF(AND(ISNUMBER(AE39),ISNUMBER(AE42)),AE39-AE42,"")</f>
        <v/>
      </c>
      <c r="AF44" s="256">
        <f>IF(AND(ISNUMBER(AF39),ISNUMBER(AF42)),AF39-AF42,"")</f>
        <v/>
      </c>
      <c r="AG44" s="256">
        <f>IF(AND(ISNUMBER(AG39),ISNUMBER(AG42)),AG39-AG42,"")</f>
        <v/>
      </c>
      <c r="AH44" s="256">
        <f>IF(AND(ISNUMBER(AH39),ISNUMBER(AH42)),AH39-AH42,"")</f>
        <v/>
      </c>
      <c r="AI44" s="256">
        <f>IF(AND(ISNUMBER(AI39),ISNUMBER(AI42)),AI39-AI42,"")</f>
        <v/>
      </c>
      <c r="AJ44" s="256">
        <f>IF(AND(ISNUMBER(AJ39),ISNUMBER(AJ42)),AJ39-AJ42,"")</f>
        <v/>
      </c>
      <c r="AK44" s="256">
        <f>IF(AND(ISNUMBER(AK39),ISNUMBER(AK42)),AK39-AK42,"")</f>
        <v/>
      </c>
      <c r="AL44" s="256">
        <f>IF(AND(ISNUMBER(AL39),ISNUMBER(AL42)),AL39-AL42,"")</f>
        <v/>
      </c>
      <c r="AM44" s="153" t="n"/>
      <c r="AO44" s="37">
        <f>IFERROR(AVERAGE(AH44,AI44,AJ44,AK44,AL44),"n/m")</f>
        <v/>
      </c>
      <c r="AP44" s="37">
        <f>IFERROR(AVERAGE(I44,N44,S44,X44,AC44),"n/m")</f>
        <v/>
      </c>
      <c r="AQ44" s="37">
        <f>IFERROR(AVERAGE(S44,X44,AC44),"n/m")</f>
        <v/>
      </c>
      <c r="AR44" s="37">
        <f>IFERROR(AVERAGE(C44,D44,I44,N44,S44,X44,AC44),"n/m")</f>
        <v/>
      </c>
      <c r="AU44" s="15" t="inlineStr">
        <is>
          <t>GM (gross margin)</t>
        </is>
      </c>
      <c r="AV44" s="41" t="n">
        <v>0.005</v>
      </c>
      <c r="AW44" s="21" t="inlineStr">
        <is>
          <t>Δ →</t>
        </is>
      </c>
      <c r="AX44" s="41" t="n">
        <v>-0.012</v>
      </c>
      <c r="AY44" s="13" t="inlineStr">
        <is>
          <t>FY26 ≥65.0%; Investor Day: "industry-leading gross profit margin of 65.0%+ throughout the period" (DTC mix, full-price discipline).</t>
        </is>
      </c>
    </row>
    <row r="45" ht="15" customHeight="1" s="251">
      <c r="B45" s="156" t="inlineStr">
        <is>
          <t xml:space="preserve">  Memo: FY26 constant-currency growth guidance (scenario end-point)</t>
        </is>
      </c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  <c r="AA45" s="34" t="n"/>
      <c r="AB45" s="34" t="n"/>
      <c r="AC45" s="34" t="n"/>
      <c r="AD45" s="34" t="n"/>
      <c r="AE45" s="34" t="n"/>
      <c r="AF45" s="153" t="n"/>
      <c r="AG45" s="153" t="n"/>
      <c r="AH45" s="265">
        <f>CHOOSE(MATCH($AM$2,{"Bull","Base","Bear"},0),$AV$12,$AW$12,$AX$12)</f>
        <v/>
      </c>
      <c r="AI45" s="153" t="n"/>
      <c r="AJ45" s="153" t="n"/>
      <c r="AK45" s="153" t="n"/>
      <c r="AL45" s="153" t="n"/>
      <c r="AM45" s="153" t="inlineStr">
        <is>
          <t>Company FY26 constant-currency net sales growth "in the low-20% range" (Q2-26 release, reiterated 22-Sep-26). Drives the Q4-26E cc calibration.</t>
        </is>
      </c>
      <c r="AU45" s="25" t="inlineStr">
        <is>
          <t xml:space="preserve">  2027E</t>
        </is>
      </c>
      <c r="AV45" s="33">
        <f>AW45+$AV$44</f>
        <v/>
      </c>
      <c r="AW45" s="42" t="n">
        <v>0.655</v>
      </c>
      <c r="AX45" s="33">
        <f>AW45+$AX$44</f>
        <v/>
      </c>
    </row>
    <row r="46" ht="15" customHeight="1" s="251">
      <c r="B46" s="156" t="inlineStr">
        <is>
          <t xml:space="preserve">  Memo: Q3-26 constant-currency growth guidance (scenario)</t>
        </is>
      </c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  <c r="AA46" s="34" t="n"/>
      <c r="AB46" s="34" t="n"/>
      <c r="AC46" s="34" t="n"/>
      <c r="AD46" s="34" t="n"/>
      <c r="AE46" s="34" t="n"/>
      <c r="AF46" s="265">
        <f>CHOOSE(MATCH($AM$2,{"Bull","Base","Bear"},0),$AV$14,$AW$14,$AX$14)</f>
        <v/>
      </c>
      <c r="AG46" s="153" t="n"/>
      <c r="AH46" s="153" t="n"/>
      <c r="AI46" s="153" t="n"/>
      <c r="AJ46" s="153" t="n"/>
      <c r="AK46" s="153" t="n"/>
      <c r="AL46" s="153" t="n"/>
      <c r="AM46" s="153" t="inlineStr">
        <is>
          <t>Investor Day release (22-Sep-2026): "around 17%" constant-currency growth in Q3-26 (wholesale sell-in discipline; DTC momentum).</t>
        </is>
      </c>
      <c r="AU46" s="25" t="inlineStr">
        <is>
          <t xml:space="preserve">  2028E</t>
        </is>
      </c>
      <c r="AV46" s="33">
        <f>AW46+$AV$44</f>
        <v/>
      </c>
      <c r="AW46" s="42" t="n">
        <v>0.657</v>
      </c>
      <c r="AX46" s="33">
        <f>AW46+$AX$44</f>
        <v/>
      </c>
    </row>
    <row r="47" ht="15" customHeight="1" s="251">
      <c r="B47" s="25" t="inlineStr">
        <is>
          <t xml:space="preserve">  Outlook calibration: Δ constant-currency growth applied to all regions (Q3: Q3 guide; Q4: FY26 guide)</t>
        </is>
      </c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256">
        <f>((1+AF46)*(AA11+AA20+AA29)-(AA11*(1+AF16)+AA20*(1+AF25)+AA29*(1+AF34)))/(AA11+AA20+AA29)</f>
        <v/>
      </c>
      <c r="AG47" s="256">
        <f>((1+AH45)*AC38-AD41-AE41-AF41-(AB11*(1+AG16)+AB20*(1+AG25)+AB29*(1+AG34)))/(AB11+AB20+AB29)</f>
        <v/>
      </c>
      <c r="AH47" s="24" t="n"/>
      <c r="AI47" s="46" t="n"/>
      <c r="AJ47" s="46" t="n"/>
      <c r="AK47" s="46" t="n"/>
      <c r="AL47" s="46" t="n"/>
      <c r="AM47" s="19" t="inlineStr">
        <is>
          <t>Q3-26E: solves the uniform shift (vs 1H/26 regional cc growth) so Q3 cc growth = the Q3 guide; Q4-26E: so FY26 cc growth = the FY26 guidance end-point.</t>
        </is>
      </c>
      <c r="AU47" s="25" t="inlineStr">
        <is>
          <t xml:space="preserve">  2029E</t>
        </is>
      </c>
      <c r="AV47" s="33">
        <f>AW47+$AV$44</f>
        <v/>
      </c>
      <c r="AW47" s="42" t="n">
        <v>0.66</v>
      </c>
      <c r="AX47" s="33">
        <f>AW47+$AX$44</f>
        <v/>
      </c>
    </row>
    <row r="48" ht="15" customHeight="1" s="251">
      <c r="B48" s="57" t="inlineStr">
        <is>
          <t xml:space="preserve">  Check: FY26 constant-currency growth vs guidance end-point (should be 0)</t>
        </is>
      </c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153" t="n"/>
      <c r="AG48" s="153" t="n"/>
      <c r="AH48" s="265">
        <f>ROUND(AH42-AH45,4)</f>
        <v/>
      </c>
      <c r="AI48" s="153" t="n"/>
      <c r="AJ48" s="153" t="n"/>
      <c r="AK48" s="153" t="n"/>
      <c r="AL48" s="153" t="n"/>
      <c r="AM48" s="153" t="n"/>
      <c r="AU48" s="25" t="inlineStr">
        <is>
          <t xml:space="preserve">  2030E</t>
        </is>
      </c>
      <c r="AV48" s="33">
        <f>AW48+$AV$44</f>
        <v/>
      </c>
      <c r="AW48" s="42" t="n">
        <v>0.66</v>
      </c>
      <c r="AX48" s="33">
        <f>AW48+$AX$44</f>
        <v/>
      </c>
    </row>
    <row r="49" ht="15" customHeight="1" s="251">
      <c r="B49" s="57" t="inlineStr">
        <is>
          <t xml:space="preserve">  Check: Q3-26 constant-currency growth vs Q3 guide (should be 0)</t>
        </is>
      </c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265">
        <f>ROUND(AF42-AF46,4)</f>
        <v/>
      </c>
      <c r="AG49" s="153" t="n"/>
      <c r="AH49" s="153" t="n"/>
      <c r="AI49" s="153" t="n"/>
      <c r="AJ49" s="153" t="n"/>
      <c r="AK49" s="153" t="n"/>
      <c r="AL49" s="153" t="n"/>
      <c r="AM49" s="153" t="n"/>
      <c r="AU49" s="15" t="inlineStr">
        <is>
          <t>EBM (Adjusted EBITDA margin)</t>
        </is>
      </c>
      <c r="AV49" s="41" t="n">
        <v>0.01</v>
      </c>
      <c r="AW49" s="21" t="inlineStr">
        <is>
          <t>Δ →</t>
        </is>
      </c>
      <c r="AX49" s="41" t="n">
        <v>-0.025</v>
      </c>
      <c r="AY49" s="13" t="inlineStr">
        <is>
          <t>FY26 19.5–20.0%; Investor Day ambition ≥22% by 2029 from SG&amp;A leverage at scale. Base = target path.</t>
        </is>
      </c>
    </row>
    <row r="50" ht="15" customHeight="1" s="251">
      <c r="B50" s="156" t="inlineStr">
        <is>
          <t xml:space="preserve">  Memo: FY26 net sales guidance at current spot rates (CHF m, scenario end-point)</t>
        </is>
      </c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153" t="n"/>
      <c r="AG50" s="153" t="n"/>
      <c r="AH50" s="264">
        <f>CHOOSE(MATCH($AM$2,{"Bull","Base","Bear"},0),$AV$13,$AW$13,$AX$13)</f>
        <v/>
      </c>
      <c r="AI50" s="153" t="n"/>
      <c r="AJ50" s="153" t="n"/>
      <c r="AK50" s="153" t="n"/>
      <c r="AL50" s="153" t="n"/>
      <c r="AM50" s="153" t="inlineStr">
        <is>
          <t>Company FY26 net sales CHF 3.47–3.56bn "at current spot rates" (Q2-26 release). Drives the 2H FX calibration.</t>
        </is>
      </c>
      <c r="AU50" s="25" t="inlineStr">
        <is>
          <t xml:space="preserve">  2027E</t>
        </is>
      </c>
      <c r="AV50" s="33">
        <f>AW50+$AV$49</f>
        <v/>
      </c>
      <c r="AW50" s="42" t="n">
        <v>0.205</v>
      </c>
      <c r="AX50" s="33">
        <f>AW50+$AX$49</f>
        <v/>
      </c>
    </row>
    <row r="51" ht="15" customHeight="1" s="251">
      <c r="B51" s="25" t="inlineStr">
        <is>
          <t xml:space="preserve">  Outlook calibration: FX translation effect (pts, all regions, Q3/Q4-26E)</t>
        </is>
      </c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256">
        <f>(AH50-AD38-AE38-AF41-AG41)/((AA11+AA20+AA29)+(AB11+AB20+AB29))</f>
        <v/>
      </c>
      <c r="AG51" s="256">
        <f>$AF$51</f>
        <v/>
      </c>
      <c r="AH51" s="24" t="n"/>
      <c r="AI51" s="46" t="n"/>
      <c r="AJ51" s="46" t="n"/>
      <c r="AK51" s="46" t="n"/>
      <c r="AL51" s="46" t="n"/>
      <c r="AM51" s="19" t="inlineStr">
        <is>
          <t>Solves the uniform 2H FX translation effect so FY26 CHF net sales = the guidance end-point (the guidance converts low-20% cc growth at spot rates).</t>
        </is>
      </c>
      <c r="AU51" s="25" t="inlineStr">
        <is>
          <t xml:space="preserve">  2028E</t>
        </is>
      </c>
      <c r="AV51" s="33">
        <f>AW51+$AV$49</f>
        <v/>
      </c>
      <c r="AW51" s="42" t="n">
        <v>0.212</v>
      </c>
      <c r="AX51" s="33">
        <f>AW51+$AX$49</f>
        <v/>
      </c>
    </row>
    <row r="52" ht="15" customHeight="1" s="251">
      <c r="B52" s="57" t="inlineStr">
        <is>
          <t xml:space="preserve">  Check: FY26 net sales vs guidance end-point (should be 0)</t>
        </is>
      </c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153" t="n"/>
      <c r="AG52" s="153" t="n"/>
      <c r="AH52" s="264">
        <f>ROUND(AH38-AH50,1)</f>
        <v/>
      </c>
      <c r="AI52" s="153" t="n"/>
      <c r="AJ52" s="153" t="n"/>
      <c r="AK52" s="153" t="n"/>
      <c r="AL52" s="153" t="n"/>
      <c r="AM52" s="153" t="n"/>
      <c r="AU52" s="25" t="inlineStr">
        <is>
          <t xml:space="preserve">  2029E</t>
        </is>
      </c>
      <c r="AV52" s="33">
        <f>AW52+$AV$49</f>
        <v/>
      </c>
      <c r="AW52" s="42" t="n">
        <v>0.22</v>
      </c>
      <c r="AX52" s="33">
        <f>AW52+$AX$49</f>
        <v/>
      </c>
    </row>
    <row r="53" ht="15" customHeight="1" s="251">
      <c r="B53" s="25" t="inlineStr">
        <is>
          <t xml:space="preserve">  Tariff refund recognised in gross profit (US IEEPA duties; excluded from guidance)</t>
        </is>
      </c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  <c r="AA53" s="34" t="n"/>
      <c r="AB53" s="34" t="n"/>
      <c r="AC53" s="34" t="n"/>
      <c r="AD53" s="34" t="n"/>
      <c r="AE53" s="34" t="n"/>
      <c r="AF53" s="254">
        <f>CHOOSE(MATCH($AM$2,{"Bull","Base","Bear"},0),$AV$17,$AW$17,$AX$17)</f>
        <v/>
      </c>
      <c r="AG53" s="254">
        <f>0</f>
        <v/>
      </c>
      <c r="AH53" s="254">
        <f>SUM(AD53,AE53,AF53,AG53)</f>
        <v/>
      </c>
      <c r="AI53" s="266" t="n">
        <v>0</v>
      </c>
      <c r="AJ53" s="266" t="n">
        <v>0</v>
      </c>
      <c r="AK53" s="266" t="n">
        <v>0</v>
      </c>
      <c r="AL53" s="266" t="n">
        <v>0</v>
      </c>
      <c r="AM53" s="19" t="inlineStr">
        <is>
          <t>Investor Day release: up to USD 65m (up to CHF 53m) expected in Q3-26, benefiting reported gross profit; FY26 guidance excludes it. Not an adjusting item in the company definitions, so it lifts reported Adjusted EBITDA too.</t>
        </is>
      </c>
      <c r="AU53" s="25" t="inlineStr">
        <is>
          <t xml:space="preserve">  2030E</t>
        </is>
      </c>
      <c r="AV53" s="33">
        <f>AW53+$AV$49</f>
        <v/>
      </c>
      <c r="AW53" s="42" t="n">
        <v>0.225</v>
      </c>
      <c r="AX53" s="33">
        <f>AW53+$AX$49</f>
        <v/>
      </c>
    </row>
    <row r="54" collapsed="1" ht="15" customHeight="1" s="251">
      <c r="AU54" s="15" t="inlineStr">
        <is>
          <t>BB (share repurchases, USD m)</t>
        </is>
      </c>
      <c r="AV54" s="50" t="n">
        <v>100</v>
      </c>
      <c r="AW54" s="21" t="inlineStr">
        <is>
          <t>Δ →</t>
        </is>
      </c>
      <c r="AX54" s="50" t="n">
        <v>-150</v>
      </c>
      <c r="AY54" s="13" t="inlineStr">
        <is>
          <t>Base: USD 1bn authorization spread evenly Q4-26–2029 (≈USD 308m p.a.); 2030E assumes a renewed programme. Bull +USD 100m p.a., Bear −USD 150m p.a.</t>
        </is>
      </c>
    </row>
    <row r="55" ht="15" customHeight="1" s="251">
      <c r="B55" s="14" t="inlineStr">
        <is>
          <t>Sales channel — wholesale vs direct-to-consumer (DTC: e-commerce + own retail stores)</t>
        </is>
      </c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5" t="inlineStr">
        <is>
          <t>CHANNEL MIX — DTC share driver (Q3/Q4-26E: prior-year quarter + 1H/26 y/y share gain; 2027E+: input path)</t>
        </is>
      </c>
      <c r="AU55" s="25" t="inlineStr">
        <is>
          <t xml:space="preserve">  2027E</t>
        </is>
      </c>
      <c r="AV55" s="51">
        <f>MAX(0,AW55+$AV$54)</f>
        <v/>
      </c>
      <c r="AW55" s="26" t="n">
        <v>308</v>
      </c>
      <c r="AX55" s="51">
        <f>MAX(0,AW55+$AX$54)</f>
        <v/>
      </c>
    </row>
    <row r="56" ht="15" customHeight="1" s="251">
      <c r="B56" s="25" t="inlineStr">
        <is>
          <t xml:space="preserve">  Wholesale net sales</t>
        </is>
      </c>
      <c r="C56" s="253" t="n">
        <v>200.716</v>
      </c>
      <c r="D56" s="253" t="n">
        <v>264.819</v>
      </c>
      <c r="E56" s="253" t="n">
        <v>90.727</v>
      </c>
      <c r="F56" s="253" t="n">
        <v>109.374</v>
      </c>
      <c r="G56" s="253" t="n">
        <v>142.293</v>
      </c>
      <c r="H56" s="253" t="n">
        <v>106.375</v>
      </c>
      <c r="I56" s="253" t="n">
        <v>448.778</v>
      </c>
      <c r="J56" s="253" t="n">
        <v>152.255</v>
      </c>
      <c r="K56" s="253" t="n">
        <v>186.021</v>
      </c>
      <c r="L56" s="253" t="n">
        <v>221.437</v>
      </c>
      <c r="M56" s="253" t="n">
        <v>217.287</v>
      </c>
      <c r="N56" s="253" t="n">
        <v>777</v>
      </c>
      <c r="O56" s="253" t="n">
        <v>283.2</v>
      </c>
      <c r="P56" s="253" t="n">
        <v>280.8</v>
      </c>
      <c r="Q56" s="253" t="n">
        <v>315.7</v>
      </c>
      <c r="R56" s="253" t="n">
        <v>240.5</v>
      </c>
      <c r="S56" s="253" t="n">
        <v>1120.3</v>
      </c>
      <c r="T56" s="253" t="n">
        <v>317.7</v>
      </c>
      <c r="U56" s="253" t="n">
        <v>358.2</v>
      </c>
      <c r="V56" s="253" t="n">
        <v>389.1</v>
      </c>
      <c r="W56" s="253" t="n">
        <v>310.4</v>
      </c>
      <c r="X56" s="253" t="n">
        <v>1375.5</v>
      </c>
      <c r="Y56" s="253" t="n">
        <v>449.7</v>
      </c>
      <c r="Z56" s="253" t="n">
        <v>441</v>
      </c>
      <c r="AA56" s="253" t="n">
        <v>479.6</v>
      </c>
      <c r="AB56" s="253" t="n">
        <v>383.2</v>
      </c>
      <c r="AC56" s="253" t="n">
        <v>1753.4</v>
      </c>
      <c r="AD56" s="253" t="n">
        <v>509.6</v>
      </c>
      <c r="AE56" s="253" t="n">
        <v>461.9</v>
      </c>
      <c r="AF56" s="254">
        <f>AF109-AF57</f>
        <v/>
      </c>
      <c r="AG56" s="254">
        <f>AG109-AG57</f>
        <v/>
      </c>
      <c r="AH56" s="254">
        <f>SUM(AD56,AE56,AF56,AG56)</f>
        <v/>
      </c>
      <c r="AI56" s="254">
        <f>AI109-AI57</f>
        <v/>
      </c>
      <c r="AJ56" s="254">
        <f>AJ109-AJ57</f>
        <v/>
      </c>
      <c r="AK56" s="254">
        <f>AK109-AK57</f>
        <v/>
      </c>
      <c r="AL56" s="254">
        <f>AL109-AL57</f>
        <v/>
      </c>
      <c r="AM56" s="19" t="n"/>
      <c r="AO56" s="20">
        <f>IFERROR((AL56/AC56)^(1/5)-1,"n/m")</f>
        <v/>
      </c>
      <c r="AP56" s="20">
        <f>IFERROR((AC56/D56)^(1/5)-1,"n/m")</f>
        <v/>
      </c>
      <c r="AQ56" s="20">
        <f>IFERROR((AC56/N56)^(1/3)-1,"n/m")</f>
        <v/>
      </c>
      <c r="AR56" s="20">
        <f>IFERROR((AC56/C56)^(1/6)-1,"n/m")</f>
        <v/>
      </c>
      <c r="AU56" s="25" t="inlineStr">
        <is>
          <t xml:space="preserve">  2028E</t>
        </is>
      </c>
      <c r="AV56" s="51">
        <f>MAX(0,AW56+$AV$54)</f>
        <v/>
      </c>
      <c r="AW56" s="26" t="n">
        <v>308</v>
      </c>
      <c r="AX56" s="51">
        <f>MAX(0,AW56+$AX$54)</f>
        <v/>
      </c>
    </row>
    <row r="57" ht="15" customHeight="1" s="251">
      <c r="B57" s="25" t="inlineStr">
        <is>
          <t xml:space="preserve">  Direct-to-consumer net sales</t>
        </is>
      </c>
      <c r="C57" s="253" t="n">
        <v>66.404</v>
      </c>
      <c r="D57" s="253" t="n">
        <v>160.476</v>
      </c>
      <c r="E57" s="253" t="n">
        <v>49.666</v>
      </c>
      <c r="F57" s="253" t="n">
        <v>65.68800000000002</v>
      </c>
      <c r="G57" s="253" t="n">
        <v>75.744</v>
      </c>
      <c r="H57" s="253" t="n">
        <v>84.72399999999999</v>
      </c>
      <c r="I57" s="253" t="n">
        <v>275.813</v>
      </c>
      <c r="J57" s="253" t="n">
        <v>83.42600000000002</v>
      </c>
      <c r="K57" s="253" t="n">
        <v>105.641</v>
      </c>
      <c r="L57" s="253" t="n">
        <v>106.576</v>
      </c>
      <c r="M57" s="253" t="n">
        <v>149.513</v>
      </c>
      <c r="N57" s="253" t="n">
        <v>445.0999999999999</v>
      </c>
      <c r="O57" s="253" t="n">
        <v>137</v>
      </c>
      <c r="P57" s="253" t="n">
        <v>163.5</v>
      </c>
      <c r="Q57" s="253" t="n">
        <v>164.8</v>
      </c>
      <c r="R57" s="253" t="n">
        <v>206.6</v>
      </c>
      <c r="S57" s="253" t="n">
        <v>671.8</v>
      </c>
      <c r="T57" s="253" t="n">
        <v>190.5</v>
      </c>
      <c r="U57" s="253" t="n">
        <v>209.5000000000001</v>
      </c>
      <c r="V57" s="253" t="n">
        <v>246.6999999999999</v>
      </c>
      <c r="W57" s="253" t="n">
        <v>296.2</v>
      </c>
      <c r="X57" s="253" t="n">
        <v>942.8000000000002</v>
      </c>
      <c r="Y57" s="253" t="n">
        <v>276.9</v>
      </c>
      <c r="Z57" s="253" t="n">
        <v>308.2</v>
      </c>
      <c r="AA57" s="253" t="n">
        <v>314.8</v>
      </c>
      <c r="AB57" s="253" t="n">
        <v>360.6</v>
      </c>
      <c r="AC57" s="253" t="n">
        <v>1260.6</v>
      </c>
      <c r="AD57" s="253" t="n">
        <v>322.3</v>
      </c>
      <c r="AE57" s="253" t="n">
        <v>388.4</v>
      </c>
      <c r="AF57" s="254">
        <f>AF109*AF58</f>
        <v/>
      </c>
      <c r="AG57" s="254">
        <f>AG109*AG58</f>
        <v/>
      </c>
      <c r="AH57" s="254">
        <f>SUM(AD57,AE57,AF57,AG57)</f>
        <v/>
      </c>
      <c r="AI57" s="254">
        <f>AI109*AI58</f>
        <v/>
      </c>
      <c r="AJ57" s="254">
        <f>AJ109*AJ58</f>
        <v/>
      </c>
      <c r="AK57" s="254">
        <f>AK109*AK58</f>
        <v/>
      </c>
      <c r="AL57" s="254">
        <f>AL109*AL58</f>
        <v/>
      </c>
      <c r="AM57" s="19" t="n"/>
      <c r="AO57" s="20">
        <f>IFERROR((AL57/AC57)^(1/5)-1,"n/m")</f>
        <v/>
      </c>
      <c r="AP57" s="20">
        <f>IFERROR((AC57/D57)^(1/5)-1,"n/m")</f>
        <v/>
      </c>
      <c r="AQ57" s="20">
        <f>IFERROR((AC57/N57)^(1/3)-1,"n/m")</f>
        <v/>
      </c>
      <c r="AR57" s="20">
        <f>IFERROR((AC57/C57)^(1/6)-1,"n/m")</f>
        <v/>
      </c>
      <c r="AU57" s="25" t="inlineStr">
        <is>
          <t xml:space="preserve">  2029E</t>
        </is>
      </c>
      <c r="AV57" s="51">
        <f>MAX(0,AW57+$AV$54)</f>
        <v/>
      </c>
      <c r="AW57" s="26" t="n">
        <v>307</v>
      </c>
      <c r="AX57" s="51">
        <f>MAX(0,AW57+$AX$54)</f>
        <v/>
      </c>
    </row>
    <row r="58" ht="15" customHeight="1" s="251">
      <c r="B58" s="25" t="inlineStr">
        <is>
          <t xml:space="preserve">  DTC % of net sales</t>
        </is>
      </c>
      <c r="C58" s="215">
        <f>IF(AND(ISNUMBER(C57),ISNUMBER(C109)),IFERROR(C57/C109,""),"")</f>
        <v/>
      </c>
      <c r="D58" s="215">
        <f>IF(AND(ISNUMBER(D57),ISNUMBER(D109)),IFERROR(D57/D109,""),"")</f>
        <v/>
      </c>
      <c r="E58" s="215">
        <f>IF(AND(ISNUMBER(E57),ISNUMBER(E109)),IFERROR(E57/E109,""),"")</f>
        <v/>
      </c>
      <c r="F58" s="215">
        <f>IF(AND(ISNUMBER(F57),ISNUMBER(F109)),IFERROR(F57/F109,""),"")</f>
        <v/>
      </c>
      <c r="G58" s="215">
        <f>IF(AND(ISNUMBER(G57),ISNUMBER(G109)),IFERROR(G57/G109,""),"")</f>
        <v/>
      </c>
      <c r="H58" s="215">
        <f>IF(AND(ISNUMBER(H57),ISNUMBER(H109)),IFERROR(H57/H109,""),"")</f>
        <v/>
      </c>
      <c r="I58" s="215">
        <f>IF(AND(ISNUMBER(I57),ISNUMBER(I109)),IFERROR(I57/I109,""),"")</f>
        <v/>
      </c>
      <c r="J58" s="215">
        <f>IF(AND(ISNUMBER(J57),ISNUMBER(J109)),IFERROR(J57/J109,""),"")</f>
        <v/>
      </c>
      <c r="K58" s="215">
        <f>IF(AND(ISNUMBER(K57),ISNUMBER(K109)),IFERROR(K57/K109,""),"")</f>
        <v/>
      </c>
      <c r="L58" s="215">
        <f>IF(AND(ISNUMBER(L57),ISNUMBER(L109)),IFERROR(L57/L109,""),"")</f>
        <v/>
      </c>
      <c r="M58" s="215">
        <f>IF(AND(ISNUMBER(M57),ISNUMBER(M109)),IFERROR(M57/M109,""),"")</f>
        <v/>
      </c>
      <c r="N58" s="215">
        <f>IF(AND(ISNUMBER(N57),ISNUMBER(N109)),IFERROR(N57/N109,""),"")</f>
        <v/>
      </c>
      <c r="O58" s="215">
        <f>IF(AND(ISNUMBER(O57),ISNUMBER(O109)),IFERROR(O57/O109,""),"")</f>
        <v/>
      </c>
      <c r="P58" s="215">
        <f>IF(AND(ISNUMBER(P57),ISNUMBER(P109)),IFERROR(P57/P109,""),"")</f>
        <v/>
      </c>
      <c r="Q58" s="215">
        <f>IF(AND(ISNUMBER(Q57),ISNUMBER(Q109)),IFERROR(Q57/Q109,""),"")</f>
        <v/>
      </c>
      <c r="R58" s="215">
        <f>IF(AND(ISNUMBER(R57),ISNUMBER(R109)),IFERROR(R57/R109,""),"")</f>
        <v/>
      </c>
      <c r="S58" s="215">
        <f>IF(AND(ISNUMBER(S57),ISNUMBER(S109)),IFERROR(S57/S109,""),"")</f>
        <v/>
      </c>
      <c r="T58" s="215">
        <f>IF(AND(ISNUMBER(T57),ISNUMBER(T109)),IFERROR(T57/T109,""),"")</f>
        <v/>
      </c>
      <c r="U58" s="215">
        <f>IF(AND(ISNUMBER(U57),ISNUMBER(U109)),IFERROR(U57/U109,""),"")</f>
        <v/>
      </c>
      <c r="V58" s="215">
        <f>IF(AND(ISNUMBER(V57),ISNUMBER(V109)),IFERROR(V57/V109,""),"")</f>
        <v/>
      </c>
      <c r="W58" s="215">
        <f>IF(AND(ISNUMBER(W57),ISNUMBER(W109)),IFERROR(W57/W109,""),"")</f>
        <v/>
      </c>
      <c r="X58" s="215">
        <f>IF(AND(ISNUMBER(X57),ISNUMBER(X109)),IFERROR(X57/X109,""),"")</f>
        <v/>
      </c>
      <c r="Y58" s="215">
        <f>IF(AND(ISNUMBER(Y57),ISNUMBER(Y109)),IFERROR(Y57/Y109,""),"")</f>
        <v/>
      </c>
      <c r="Z58" s="215">
        <f>IF(AND(ISNUMBER(Z57),ISNUMBER(Z109)),IFERROR(Z57/Z109,""),"")</f>
        <v/>
      </c>
      <c r="AA58" s="215">
        <f>IF(AND(ISNUMBER(AA57),ISNUMBER(AA109)),IFERROR(AA57/AA109,""),"")</f>
        <v/>
      </c>
      <c r="AB58" s="215">
        <f>IF(AND(ISNUMBER(AB57),ISNUMBER(AB109)),IFERROR(AB57/AB109,""),"")</f>
        <v/>
      </c>
      <c r="AC58" s="215">
        <f>IF(AND(ISNUMBER(AC57),ISNUMBER(AC109)),IFERROR(AC57/AC109,""),"")</f>
        <v/>
      </c>
      <c r="AD58" s="215">
        <f>IF(AND(ISNUMBER(AD57),ISNUMBER(AD109)),IFERROR(AD57/AD109,""),"")</f>
        <v/>
      </c>
      <c r="AE58" s="215">
        <f>IF(AND(ISNUMBER(AE57),ISNUMBER(AE109)),IFERROR(AE57/AE109,""),"")</f>
        <v/>
      </c>
      <c r="AF58" s="256">
        <f>AA58+((AD57+AE57)/(AD109+AE109)-(Y57+Z57)/(Y109+Z109))</f>
        <v/>
      </c>
      <c r="AG58" s="256">
        <f>AB58+((AD57+AE57)/(AD109+AE109)-(Y57+Z57)/(Y109+Z109))</f>
        <v/>
      </c>
      <c r="AH58" s="256">
        <f>IF(AND(ISNUMBER(AH57),ISNUMBER(AH109)),IFERROR(AH57/AH109,""),"")</f>
        <v/>
      </c>
      <c r="AI58" s="260" t="n">
        <v>0.465</v>
      </c>
      <c r="AJ58" s="260" t="n">
        <v>0.48</v>
      </c>
      <c r="AK58" s="260" t="n">
        <v>0.495</v>
      </c>
      <c r="AL58" s="260" t="n">
        <v>0.51</v>
      </c>
      <c r="AM58" s="153" t="inlineStr">
        <is>
          <t>Q2-26 DTC 45.7% (record Q2); FY25 41.8%. Q2-26 release: DTC expected to strongly outperform wholesale in 2H/26 (wholesale sell-in deliberately managed).</t>
        </is>
      </c>
      <c r="AO58" s="37">
        <f>IFERROR(AVERAGE(AH58,AI58,AJ58,AK58,AL58),"n/m")</f>
        <v/>
      </c>
      <c r="AP58" s="37">
        <f>IFERROR(AVERAGE(I58,N58,S58,X58,AC58),"n/m")</f>
        <v/>
      </c>
      <c r="AQ58" s="37">
        <f>IFERROR(AVERAGE(S58,X58,AC58),"n/m")</f>
        <v/>
      </c>
      <c r="AR58" s="37">
        <f>IFERROR(AVERAGE(C58,D58,I58,N58,S58,X58,AC58),"n/m")</f>
        <v/>
      </c>
      <c r="AU58" s="25" t="inlineStr">
        <is>
          <t xml:space="preserve">  2030E</t>
        </is>
      </c>
      <c r="AV58" s="51">
        <f>MAX(0,AW58+$AV$54)</f>
        <v/>
      </c>
      <c r="AW58" s="26" t="n">
        <v>350</v>
      </c>
      <c r="AX58" s="51">
        <f>MAX(0,AW58+$AX$54)</f>
        <v/>
      </c>
    </row>
    <row r="59" ht="15" customHeight="1" s="251">
      <c r="B59" s="22" t="inlineStr">
        <is>
          <t xml:space="preserve">  Wholesale y/y % (reported)</t>
        </is>
      </c>
      <c r="C59" s="23" t="n"/>
      <c r="D59" s="255">
        <f>IF(AND(ISNUMBER(D56),ISNUMBER(C56)),IFERROR(D56/C56-1,""),"")</f>
        <v/>
      </c>
      <c r="E59" s="23" t="n"/>
      <c r="F59" s="23" t="n"/>
      <c r="G59" s="23" t="n"/>
      <c r="H59" s="23" t="n"/>
      <c r="I59" s="255">
        <f>IF(AND(ISNUMBER(I56),ISNUMBER(D56)),IFERROR(I56/D56-1,""),"")</f>
        <v/>
      </c>
      <c r="J59" s="255">
        <f>IF(AND(ISNUMBER(J56),ISNUMBER(E56)),IFERROR(J56/E56-1,""),"")</f>
        <v/>
      </c>
      <c r="K59" s="255">
        <f>IF(AND(ISNUMBER(K56),ISNUMBER(F56)),IFERROR(K56/F56-1,""),"")</f>
        <v/>
      </c>
      <c r="L59" s="255">
        <f>IF(AND(ISNUMBER(L56),ISNUMBER(G56)),IFERROR(L56/G56-1,""),"")</f>
        <v/>
      </c>
      <c r="M59" s="255">
        <f>IF(AND(ISNUMBER(M56),ISNUMBER(H56)),IFERROR(M56/H56-1,""),"")</f>
        <v/>
      </c>
      <c r="N59" s="255">
        <f>IF(AND(ISNUMBER(N56),ISNUMBER(I56)),IFERROR(N56/I56-1,""),"")</f>
        <v/>
      </c>
      <c r="O59" s="255">
        <f>IF(AND(ISNUMBER(O56),ISNUMBER(J56)),IFERROR(O56/J56-1,""),"")</f>
        <v/>
      </c>
      <c r="P59" s="255">
        <f>IF(AND(ISNUMBER(P56),ISNUMBER(K56)),IFERROR(P56/K56-1,""),"")</f>
        <v/>
      </c>
      <c r="Q59" s="255">
        <f>IF(AND(ISNUMBER(Q56),ISNUMBER(L56)),IFERROR(Q56/L56-1,""),"")</f>
        <v/>
      </c>
      <c r="R59" s="255">
        <f>IF(AND(ISNUMBER(R56),ISNUMBER(M56)),IFERROR(R56/M56-1,""),"")</f>
        <v/>
      </c>
      <c r="S59" s="255">
        <f>IF(AND(ISNUMBER(S56),ISNUMBER(N56)),IFERROR(S56/N56-1,""),"")</f>
        <v/>
      </c>
      <c r="T59" s="255">
        <f>IF(AND(ISNUMBER(T56),ISNUMBER(O56)),IFERROR(T56/O56-1,""),"")</f>
        <v/>
      </c>
      <c r="U59" s="255">
        <f>IF(AND(ISNUMBER(U56),ISNUMBER(P56)),IFERROR(U56/P56-1,""),"")</f>
        <v/>
      </c>
      <c r="V59" s="255">
        <f>IF(AND(ISNUMBER(V56),ISNUMBER(Q56)),IFERROR(V56/Q56-1,""),"")</f>
        <v/>
      </c>
      <c r="W59" s="255">
        <f>IF(AND(ISNUMBER(W56),ISNUMBER(R56)),IFERROR(W56/R56-1,""),"")</f>
        <v/>
      </c>
      <c r="X59" s="255">
        <f>IF(AND(ISNUMBER(X56),ISNUMBER(S56)),IFERROR(X56/S56-1,""),"")</f>
        <v/>
      </c>
      <c r="Y59" s="255">
        <f>IF(AND(ISNUMBER(Y56),ISNUMBER(T56)),IFERROR(Y56/T56-1,""),"")</f>
        <v/>
      </c>
      <c r="Z59" s="255">
        <f>IF(AND(ISNUMBER(Z56),ISNUMBER(U56)),IFERROR(Z56/U56-1,""),"")</f>
        <v/>
      </c>
      <c r="AA59" s="255">
        <f>IF(AND(ISNUMBER(AA56),ISNUMBER(V56)),IFERROR(AA56/V56-1,""),"")</f>
        <v/>
      </c>
      <c r="AB59" s="255">
        <f>IF(AND(ISNUMBER(AB56),ISNUMBER(W56)),IFERROR(AB56/W56-1,""),"")</f>
        <v/>
      </c>
      <c r="AC59" s="255">
        <f>IF(AND(ISNUMBER(AC56),ISNUMBER(X56)),IFERROR(AC56/X56-1,""),"")</f>
        <v/>
      </c>
      <c r="AD59" s="255">
        <f>IF(AND(ISNUMBER(AD56),ISNUMBER(Y56)),IFERROR(AD56/Y56-1,""),"")</f>
        <v/>
      </c>
      <c r="AE59" s="255">
        <f>IF(AND(ISNUMBER(AE56),ISNUMBER(Z56)),IFERROR(AE56/Z56-1,""),"")</f>
        <v/>
      </c>
      <c r="AF59" s="256">
        <f>IF(AND(ISNUMBER(AF56),ISNUMBER(AA56)),IFERROR(AF56/AA56-1,""),"")</f>
        <v/>
      </c>
      <c r="AG59" s="256">
        <f>IF(AND(ISNUMBER(AG56),ISNUMBER(AB56)),IFERROR(AG56/AB56-1,""),"")</f>
        <v/>
      </c>
      <c r="AH59" s="256">
        <f>IF(AND(ISNUMBER(AH56),ISNUMBER(AC56)),IFERROR(AH56/AC56-1,""),"")</f>
        <v/>
      </c>
      <c r="AI59" s="256">
        <f>IF(AND(ISNUMBER(AI56),ISNUMBER(AH56)),IFERROR(AI56/AH56-1,""),"")</f>
        <v/>
      </c>
      <c r="AJ59" s="256">
        <f>IF(AND(ISNUMBER(AJ56),ISNUMBER(AI56)),IFERROR(AJ56/AI56-1,""),"")</f>
        <v/>
      </c>
      <c r="AK59" s="256">
        <f>IF(AND(ISNUMBER(AK56),ISNUMBER(AJ56)),IFERROR(AK56/AJ56-1,""),"")</f>
        <v/>
      </c>
      <c r="AL59" s="256">
        <f>IF(AND(ISNUMBER(AL56),ISNUMBER(AK56)),IFERROR(AL56/AK56-1,""),"")</f>
        <v/>
      </c>
      <c r="AM59" s="153" t="n"/>
    </row>
    <row r="60" ht="15" customHeight="1" s="251">
      <c r="B60" s="22" t="inlineStr">
        <is>
          <t xml:space="preserve">  DTC y/y % (reported)</t>
        </is>
      </c>
      <c r="C60" s="23" t="n"/>
      <c r="D60" s="255">
        <f>IF(AND(ISNUMBER(D57),ISNUMBER(C57)),IFERROR(D57/C57-1,""),"")</f>
        <v/>
      </c>
      <c r="E60" s="23" t="n"/>
      <c r="F60" s="23" t="n"/>
      <c r="G60" s="23" t="n"/>
      <c r="H60" s="23" t="n"/>
      <c r="I60" s="255">
        <f>IF(AND(ISNUMBER(I57),ISNUMBER(D57)),IFERROR(I57/D57-1,""),"")</f>
        <v/>
      </c>
      <c r="J60" s="255">
        <f>IF(AND(ISNUMBER(J57),ISNUMBER(E57)),IFERROR(J57/E57-1,""),"")</f>
        <v/>
      </c>
      <c r="K60" s="255">
        <f>IF(AND(ISNUMBER(K57),ISNUMBER(F57)),IFERROR(K57/F57-1,""),"")</f>
        <v/>
      </c>
      <c r="L60" s="255">
        <f>IF(AND(ISNUMBER(L57),ISNUMBER(G57)),IFERROR(L57/G57-1,""),"")</f>
        <v/>
      </c>
      <c r="M60" s="255">
        <f>IF(AND(ISNUMBER(M57),ISNUMBER(H57)),IFERROR(M57/H57-1,""),"")</f>
        <v/>
      </c>
      <c r="N60" s="255">
        <f>IF(AND(ISNUMBER(N57),ISNUMBER(I57)),IFERROR(N57/I57-1,""),"")</f>
        <v/>
      </c>
      <c r="O60" s="255">
        <f>IF(AND(ISNUMBER(O57),ISNUMBER(J57)),IFERROR(O57/J57-1,""),"")</f>
        <v/>
      </c>
      <c r="P60" s="255">
        <f>IF(AND(ISNUMBER(P57),ISNUMBER(K57)),IFERROR(P57/K57-1,""),"")</f>
        <v/>
      </c>
      <c r="Q60" s="255">
        <f>IF(AND(ISNUMBER(Q57),ISNUMBER(L57)),IFERROR(Q57/L57-1,""),"")</f>
        <v/>
      </c>
      <c r="R60" s="255">
        <f>IF(AND(ISNUMBER(R57),ISNUMBER(M57)),IFERROR(R57/M57-1,""),"")</f>
        <v/>
      </c>
      <c r="S60" s="255">
        <f>IF(AND(ISNUMBER(S57),ISNUMBER(N57)),IFERROR(S57/N57-1,""),"")</f>
        <v/>
      </c>
      <c r="T60" s="255">
        <f>IF(AND(ISNUMBER(T57),ISNUMBER(O57)),IFERROR(T57/O57-1,""),"")</f>
        <v/>
      </c>
      <c r="U60" s="255">
        <f>IF(AND(ISNUMBER(U57),ISNUMBER(P57)),IFERROR(U57/P57-1,""),"")</f>
        <v/>
      </c>
      <c r="V60" s="255">
        <f>IF(AND(ISNUMBER(V57),ISNUMBER(Q57)),IFERROR(V57/Q57-1,""),"")</f>
        <v/>
      </c>
      <c r="W60" s="255">
        <f>IF(AND(ISNUMBER(W57),ISNUMBER(R57)),IFERROR(W57/R57-1,""),"")</f>
        <v/>
      </c>
      <c r="X60" s="255">
        <f>IF(AND(ISNUMBER(X57),ISNUMBER(S57)),IFERROR(X57/S57-1,""),"")</f>
        <v/>
      </c>
      <c r="Y60" s="255">
        <f>IF(AND(ISNUMBER(Y57),ISNUMBER(T57)),IFERROR(Y57/T57-1,""),"")</f>
        <v/>
      </c>
      <c r="Z60" s="255">
        <f>IF(AND(ISNUMBER(Z57),ISNUMBER(U57)),IFERROR(Z57/U57-1,""),"")</f>
        <v/>
      </c>
      <c r="AA60" s="255">
        <f>IF(AND(ISNUMBER(AA57),ISNUMBER(V57)),IFERROR(AA57/V57-1,""),"")</f>
        <v/>
      </c>
      <c r="AB60" s="255">
        <f>IF(AND(ISNUMBER(AB57),ISNUMBER(W57)),IFERROR(AB57/W57-1,""),"")</f>
        <v/>
      </c>
      <c r="AC60" s="255">
        <f>IF(AND(ISNUMBER(AC57),ISNUMBER(X57)),IFERROR(AC57/X57-1,""),"")</f>
        <v/>
      </c>
      <c r="AD60" s="255">
        <f>IF(AND(ISNUMBER(AD57),ISNUMBER(Y57)),IFERROR(AD57/Y57-1,""),"")</f>
        <v/>
      </c>
      <c r="AE60" s="255">
        <f>IF(AND(ISNUMBER(AE57),ISNUMBER(Z57)),IFERROR(AE57/Z57-1,""),"")</f>
        <v/>
      </c>
      <c r="AF60" s="256">
        <f>IF(AND(ISNUMBER(AF57),ISNUMBER(AA57)),IFERROR(AF57/AA57-1,""),"")</f>
        <v/>
      </c>
      <c r="AG60" s="256">
        <f>IF(AND(ISNUMBER(AG57),ISNUMBER(AB57)),IFERROR(AG57/AB57-1,""),"")</f>
        <v/>
      </c>
      <c r="AH60" s="256">
        <f>IF(AND(ISNUMBER(AH57),ISNUMBER(AC57)),IFERROR(AH57/AC57-1,""),"")</f>
        <v/>
      </c>
      <c r="AI60" s="256">
        <f>IF(AND(ISNUMBER(AI57),ISNUMBER(AH57)),IFERROR(AI57/AH57-1,""),"")</f>
        <v/>
      </c>
      <c r="AJ60" s="256">
        <f>IF(AND(ISNUMBER(AJ57),ISNUMBER(AI57)),IFERROR(AJ57/AI57-1,""),"")</f>
        <v/>
      </c>
      <c r="AK60" s="256">
        <f>IF(AND(ISNUMBER(AK57),ISNUMBER(AJ57)),IFERROR(AK57/AJ57-1,""),"")</f>
        <v/>
      </c>
      <c r="AL60" s="256">
        <f>IF(AND(ISNUMBER(AL57),ISNUMBER(AK57)),IFERROR(AL57/AK57-1,""),"")</f>
        <v/>
      </c>
      <c r="AM60" s="153" t="n"/>
    </row>
    <row r="61" ht="15" customHeight="1" s="251">
      <c r="B61" s="156" t="inlineStr">
        <is>
          <t xml:space="preserve">  Wholesale y/y % constant currency (published)</t>
        </is>
      </c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258" t="n">
        <v>0.198</v>
      </c>
      <c r="U61" s="258" t="n">
        <v>0.288</v>
      </c>
      <c r="V61" s="258" t="n">
        <v>0.24</v>
      </c>
      <c r="W61" s="258" t="n">
        <v>0.342</v>
      </c>
      <c r="X61" s="258" t="n">
        <v>0.263</v>
      </c>
      <c r="Y61" s="258" t="n">
        <v>0.386</v>
      </c>
      <c r="Z61" s="258" t="n">
        <v>0.288</v>
      </c>
      <c r="AA61" s="258" t="n">
        <v>0.325</v>
      </c>
      <c r="AB61" s="258" t="n">
        <v>0.312</v>
      </c>
      <c r="AC61" s="258" t="n">
        <v>0.326</v>
      </c>
      <c r="AD61" s="258" t="n">
        <v>0.251</v>
      </c>
      <c r="AE61" s="258" t="n">
        <v>0.127</v>
      </c>
      <c r="AF61" s="153" t="n"/>
      <c r="AG61" s="153" t="n"/>
      <c r="AH61" s="153" t="n"/>
      <c r="AI61" s="153" t="n"/>
      <c r="AJ61" s="153" t="n"/>
      <c r="AK61" s="153" t="n"/>
      <c r="AL61" s="153" t="n"/>
      <c r="AM61" s="153" t="n"/>
    </row>
    <row r="62" ht="15" customHeight="1" s="251">
      <c r="B62" s="156" t="inlineStr">
        <is>
          <t xml:space="preserve">  DTC y/y % constant currency (published)</t>
        </is>
      </c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258" t="n">
        <v>0.487</v>
      </c>
      <c r="U62" s="258" t="n">
        <v>0.304</v>
      </c>
      <c r="V62" s="258" t="n">
        <v>0.507</v>
      </c>
      <c r="W62" s="258" t="n">
        <v>0.482</v>
      </c>
      <c r="X62" s="258" t="n">
        <v>0.446</v>
      </c>
      <c r="Y62" s="258" t="n">
        <v>0.424</v>
      </c>
      <c r="Z62" s="258" t="n">
        <v>0.543</v>
      </c>
      <c r="AA62" s="258" t="n">
        <v>0.375</v>
      </c>
      <c r="AB62" s="258" t="n">
        <v>0.3</v>
      </c>
      <c r="AC62" s="258" t="n">
        <v>0.399</v>
      </c>
      <c r="AD62" s="258" t="n">
        <v>0.287</v>
      </c>
      <c r="AE62" s="258" t="n">
        <v>0.343</v>
      </c>
      <c r="AF62" s="153" t="n"/>
      <c r="AG62" s="153" t="n"/>
      <c r="AH62" s="153" t="n"/>
      <c r="AI62" s="153" t="n"/>
      <c r="AJ62" s="153" t="n"/>
      <c r="AK62" s="153" t="n"/>
      <c r="AL62" s="153" t="n"/>
      <c r="AM62" s="153" t="n"/>
    </row>
    <row r="63" ht="15" customHeight="1" s="251">
      <c r="AU63" s="11" t="n"/>
      <c r="AV63" s="12" t="n"/>
      <c r="AW63" s="12" t="n"/>
      <c r="AX63" s="12" t="n"/>
      <c r="AY63" s="13" t="n"/>
    </row>
    <row r="64" ht="15" customHeight="1" s="251">
      <c r="B64" s="14" t="inlineStr">
        <is>
          <t>Product — shoes · apparel · accessories</t>
        </is>
      </c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5" t="inlineStr">
        <is>
          <t>PRODUCT MIX — apparel / accessories share drivers; shoes = residual</t>
        </is>
      </c>
    </row>
    <row r="65" ht="15" customHeight="1" s="251">
      <c r="B65" s="25" t="inlineStr">
        <is>
          <t xml:space="preserve">  Shoes net sales</t>
        </is>
      </c>
      <c r="C65" s="253" t="n">
        <v>255.612</v>
      </c>
      <c r="D65" s="253" t="n">
        <v>406.39</v>
      </c>
      <c r="E65" s="253" t="n">
        <v>131.696</v>
      </c>
      <c r="F65" s="253" t="n">
        <v>166.84</v>
      </c>
      <c r="G65" s="253" t="n">
        <v>205.023</v>
      </c>
      <c r="H65" s="253" t="n">
        <v>179.729</v>
      </c>
      <c r="I65" s="253" t="n">
        <v>683.288</v>
      </c>
      <c r="J65" s="253" t="n">
        <v>222.503</v>
      </c>
      <c r="K65" s="253" t="n">
        <v>280.621</v>
      </c>
      <c r="L65" s="253" t="n">
        <v>310.892</v>
      </c>
      <c r="M65" s="253" t="n">
        <v>353.484</v>
      </c>
      <c r="N65" s="253" t="n">
        <v>1167.5</v>
      </c>
      <c r="O65" s="253" t="n">
        <v>400.5</v>
      </c>
      <c r="P65" s="253" t="n">
        <v>428.2</v>
      </c>
      <c r="Q65" s="253" t="n">
        <v>456.9</v>
      </c>
      <c r="R65" s="253" t="n">
        <v>425.8000000000002</v>
      </c>
      <c r="S65" s="253" t="n">
        <v>1711.4</v>
      </c>
      <c r="T65" s="253" t="n">
        <v>484.7</v>
      </c>
      <c r="U65" s="253" t="n">
        <v>542.5</v>
      </c>
      <c r="V65" s="253" t="n">
        <v>603.7</v>
      </c>
      <c r="W65" s="253" t="n">
        <v>568.8</v>
      </c>
      <c r="X65" s="253" t="n">
        <v>2199.6</v>
      </c>
      <c r="Y65" s="253" t="n">
        <v>680.9</v>
      </c>
      <c r="Z65" s="253" t="n">
        <v>704.9</v>
      </c>
      <c r="AA65" s="253" t="n">
        <v>731.3</v>
      </c>
      <c r="AB65" s="253" t="n">
        <v>687.3</v>
      </c>
      <c r="AC65" s="253" t="n">
        <v>2804.4</v>
      </c>
      <c r="AD65" s="253" t="n">
        <v>763.7</v>
      </c>
      <c r="AE65" s="253" t="n">
        <v>781.6</v>
      </c>
      <c r="AF65" s="254">
        <f>AF109-AF66-AF67</f>
        <v/>
      </c>
      <c r="AG65" s="254">
        <f>AG109-AG66-AG67</f>
        <v/>
      </c>
      <c r="AH65" s="254">
        <f>SUM(AD65,AE65,AF65,AG65)</f>
        <v/>
      </c>
      <c r="AI65" s="254">
        <f>AI109-AI66-AI67</f>
        <v/>
      </c>
      <c r="AJ65" s="254">
        <f>AJ109-AJ66-AJ67</f>
        <v/>
      </c>
      <c r="AK65" s="254">
        <f>AK109-AK66-AK67</f>
        <v/>
      </c>
      <c r="AL65" s="254">
        <f>AL109-AL66-AL67</f>
        <v/>
      </c>
      <c r="AM65" s="19" t="n"/>
      <c r="AO65" s="20">
        <f>IFERROR((AL65/AC65)^(1/5)-1,"n/m")</f>
        <v/>
      </c>
      <c r="AP65" s="20">
        <f>IFERROR((AC65/D65)^(1/5)-1,"n/m")</f>
        <v/>
      </c>
      <c r="AQ65" s="20">
        <f>IFERROR((AC65/N65)^(1/3)-1,"n/m")</f>
        <v/>
      </c>
      <c r="AR65" s="20">
        <f>IFERROR((AC65/C65)^(1/6)-1,"n/m")</f>
        <v/>
      </c>
    </row>
    <row r="66" ht="15" customHeight="1" s="251">
      <c r="B66" s="25" t="inlineStr">
        <is>
          <t xml:space="preserve">  Apparel net sales</t>
        </is>
      </c>
      <c r="C66" s="253" t="n">
        <v>9.57</v>
      </c>
      <c r="D66" s="253" t="n">
        <v>15.75</v>
      </c>
      <c r="E66" s="253" t="n">
        <v>7.837</v>
      </c>
      <c r="F66" s="253" t="n">
        <v>7.013</v>
      </c>
      <c r="G66" s="253" t="n">
        <v>11.508</v>
      </c>
      <c r="H66" s="253" t="n">
        <v>9.985000000000003</v>
      </c>
      <c r="I66" s="253" t="n">
        <v>36.343</v>
      </c>
      <c r="J66" s="253" t="n">
        <v>11.357</v>
      </c>
      <c r="K66" s="253" t="n">
        <v>9.204000000000001</v>
      </c>
      <c r="L66" s="253" t="n">
        <v>15.234</v>
      </c>
      <c r="M66" s="253" t="n">
        <v>11.503</v>
      </c>
      <c r="N66" s="253" t="n">
        <v>47.3</v>
      </c>
      <c r="O66" s="253" t="n">
        <v>16.9</v>
      </c>
      <c r="P66" s="253" t="n">
        <v>13.4</v>
      </c>
      <c r="Q66" s="253" t="n">
        <v>20.1</v>
      </c>
      <c r="R66" s="253" t="n">
        <v>18.50000000000001</v>
      </c>
      <c r="S66" s="253" t="n">
        <v>68.90000000000001</v>
      </c>
      <c r="T66" s="253" t="n">
        <v>19.7</v>
      </c>
      <c r="U66" s="253" t="n">
        <v>21.9</v>
      </c>
      <c r="V66" s="253" t="n">
        <v>26.8</v>
      </c>
      <c r="W66" s="253" t="n">
        <v>32.6</v>
      </c>
      <c r="X66" s="253" t="n">
        <v>101</v>
      </c>
      <c r="Y66" s="253" t="n">
        <v>38.1</v>
      </c>
      <c r="Z66" s="253" t="n">
        <v>36.7</v>
      </c>
      <c r="AA66" s="253" t="n">
        <v>50.1</v>
      </c>
      <c r="AB66" s="253" t="n">
        <v>45.1</v>
      </c>
      <c r="AC66" s="253" t="n">
        <v>169.9</v>
      </c>
      <c r="AD66" s="253" t="n">
        <v>55.3</v>
      </c>
      <c r="AE66" s="253" t="n">
        <v>54.2</v>
      </c>
      <c r="AF66" s="254">
        <f>AF109*AF69</f>
        <v/>
      </c>
      <c r="AG66" s="254">
        <f>AG109*AG69</f>
        <v/>
      </c>
      <c r="AH66" s="254">
        <f>SUM(AD66,AE66,AF66,AG66)</f>
        <v/>
      </c>
      <c r="AI66" s="254">
        <f>AI109*AI69</f>
        <v/>
      </c>
      <c r="AJ66" s="254">
        <f>AJ109*AJ69</f>
        <v/>
      </c>
      <c r="AK66" s="254">
        <f>AK109*AK69</f>
        <v/>
      </c>
      <c r="AL66" s="254">
        <f>AL109*AL69</f>
        <v/>
      </c>
      <c r="AM66" s="19" t="n"/>
      <c r="AO66" s="20">
        <f>IFERROR((AL66/AC66)^(1/5)-1,"n/m")</f>
        <v/>
      </c>
      <c r="AP66" s="20">
        <f>IFERROR((AC66/D66)^(1/5)-1,"n/m")</f>
        <v/>
      </c>
      <c r="AQ66" s="20">
        <f>IFERROR((AC66/N66)^(1/3)-1,"n/m")</f>
        <v/>
      </c>
      <c r="AR66" s="20">
        <f>IFERROR((AC66/C66)^(1/6)-1,"n/m")</f>
        <v/>
      </c>
    </row>
    <row r="67" ht="15" customHeight="1" s="251">
      <c r="B67" s="25" t="inlineStr">
        <is>
          <t xml:space="preserve">  Accessories net sales</t>
        </is>
      </c>
      <c r="C67" s="253" t="n">
        <v>1.938</v>
      </c>
      <c r="D67" s="253" t="n">
        <v>3.155</v>
      </c>
      <c r="E67" s="253" t="n">
        <v>0.86</v>
      </c>
      <c r="F67" s="253" t="n">
        <v>1.209</v>
      </c>
      <c r="G67" s="253" t="n">
        <v>1.506</v>
      </c>
      <c r="H67" s="253" t="n">
        <v>1.385</v>
      </c>
      <c r="I67" s="253" t="n">
        <v>4.96</v>
      </c>
      <c r="J67" s="253" t="n">
        <v>1.821</v>
      </c>
      <c r="K67" s="253" t="n">
        <v>1.837</v>
      </c>
      <c r="L67" s="253" t="n">
        <v>1.887</v>
      </c>
      <c r="M67" s="253" t="n">
        <v>1.856000000000001</v>
      </c>
      <c r="N67" s="253" t="n">
        <v>7.4</v>
      </c>
      <c r="O67" s="253" t="n">
        <v>2.8</v>
      </c>
      <c r="P67" s="253" t="n">
        <v>2.7</v>
      </c>
      <c r="Q67" s="253" t="n">
        <v>3.5</v>
      </c>
      <c r="R67" s="253" t="n">
        <v>2.9</v>
      </c>
      <c r="S67" s="253" t="n">
        <v>11.8</v>
      </c>
      <c r="T67" s="253" t="n">
        <v>3.8</v>
      </c>
      <c r="U67" s="253" t="n">
        <v>3.3</v>
      </c>
      <c r="V67" s="253" t="n">
        <v>5.3</v>
      </c>
      <c r="W67" s="253" t="n">
        <v>5.2</v>
      </c>
      <c r="X67" s="253" t="n">
        <v>17.7</v>
      </c>
      <c r="Y67" s="253" t="n">
        <v>7.6</v>
      </c>
      <c r="Z67" s="253" t="n">
        <v>7.7</v>
      </c>
      <c r="AA67" s="253" t="n">
        <v>13</v>
      </c>
      <c r="AB67" s="253" t="n">
        <v>11.4</v>
      </c>
      <c r="AC67" s="253" t="n">
        <v>39.6</v>
      </c>
      <c r="AD67" s="253" t="n">
        <v>12.9</v>
      </c>
      <c r="AE67" s="253" t="n">
        <v>14.5</v>
      </c>
      <c r="AF67" s="254">
        <f>AF109*AF70</f>
        <v/>
      </c>
      <c r="AG67" s="254">
        <f>AG109*AG70</f>
        <v/>
      </c>
      <c r="AH67" s="254">
        <f>SUM(AD67,AE67,AF67,AG67)</f>
        <v/>
      </c>
      <c r="AI67" s="254">
        <f>AI109*AI70</f>
        <v/>
      </c>
      <c r="AJ67" s="254">
        <f>AJ109*AJ70</f>
        <v/>
      </c>
      <c r="AK67" s="254">
        <f>AK109*AK70</f>
        <v/>
      </c>
      <c r="AL67" s="254">
        <f>AL109*AL70</f>
        <v/>
      </c>
      <c r="AM67" s="19" t="n"/>
    </row>
    <row r="68" ht="15" customHeight="1" s="251">
      <c r="B68" s="25" t="inlineStr">
        <is>
          <t xml:space="preserve">  Shoes % of net sales</t>
        </is>
      </c>
      <c r="C68" s="215">
        <f>IF(AND(ISNUMBER(C65),ISNUMBER(C109)),IFERROR(C65/C109,""),"")</f>
        <v/>
      </c>
      <c r="D68" s="215">
        <f>IF(AND(ISNUMBER(D65),ISNUMBER(D109)),IFERROR(D65/D109,""),"")</f>
        <v/>
      </c>
      <c r="E68" s="215">
        <f>IF(AND(ISNUMBER(E65),ISNUMBER(E109)),IFERROR(E65/E109,""),"")</f>
        <v/>
      </c>
      <c r="F68" s="215">
        <f>IF(AND(ISNUMBER(F65),ISNUMBER(F109)),IFERROR(F65/F109,""),"")</f>
        <v/>
      </c>
      <c r="G68" s="215">
        <f>IF(AND(ISNUMBER(G65),ISNUMBER(G109)),IFERROR(G65/G109,""),"")</f>
        <v/>
      </c>
      <c r="H68" s="215">
        <f>IF(AND(ISNUMBER(H65),ISNUMBER(H109)),IFERROR(H65/H109,""),"")</f>
        <v/>
      </c>
      <c r="I68" s="215">
        <f>IF(AND(ISNUMBER(I65),ISNUMBER(I109)),IFERROR(I65/I109,""),"")</f>
        <v/>
      </c>
      <c r="J68" s="215">
        <f>IF(AND(ISNUMBER(J65),ISNUMBER(J109)),IFERROR(J65/J109,""),"")</f>
        <v/>
      </c>
      <c r="K68" s="215">
        <f>IF(AND(ISNUMBER(K65),ISNUMBER(K109)),IFERROR(K65/K109,""),"")</f>
        <v/>
      </c>
      <c r="L68" s="215">
        <f>IF(AND(ISNUMBER(L65),ISNUMBER(L109)),IFERROR(L65/L109,""),"")</f>
        <v/>
      </c>
      <c r="M68" s="215">
        <f>IF(AND(ISNUMBER(M65),ISNUMBER(M109)),IFERROR(M65/M109,""),"")</f>
        <v/>
      </c>
      <c r="N68" s="215">
        <f>IF(AND(ISNUMBER(N65),ISNUMBER(N109)),IFERROR(N65/N109,""),"")</f>
        <v/>
      </c>
      <c r="O68" s="215">
        <f>IF(AND(ISNUMBER(O65),ISNUMBER(O109)),IFERROR(O65/O109,""),"")</f>
        <v/>
      </c>
      <c r="P68" s="215">
        <f>IF(AND(ISNUMBER(P65),ISNUMBER(P109)),IFERROR(P65/P109,""),"")</f>
        <v/>
      </c>
      <c r="Q68" s="215">
        <f>IF(AND(ISNUMBER(Q65),ISNUMBER(Q109)),IFERROR(Q65/Q109,""),"")</f>
        <v/>
      </c>
      <c r="R68" s="215">
        <f>IF(AND(ISNUMBER(R65),ISNUMBER(R109)),IFERROR(R65/R109,""),"")</f>
        <v/>
      </c>
      <c r="S68" s="215">
        <f>IF(AND(ISNUMBER(S65),ISNUMBER(S109)),IFERROR(S65/S109,""),"")</f>
        <v/>
      </c>
      <c r="T68" s="215">
        <f>IF(AND(ISNUMBER(T65),ISNUMBER(T109)),IFERROR(T65/T109,""),"")</f>
        <v/>
      </c>
      <c r="U68" s="215">
        <f>IF(AND(ISNUMBER(U65),ISNUMBER(U109)),IFERROR(U65/U109,""),"")</f>
        <v/>
      </c>
      <c r="V68" s="215">
        <f>IF(AND(ISNUMBER(V65),ISNUMBER(V109)),IFERROR(V65/V109,""),"")</f>
        <v/>
      </c>
      <c r="W68" s="215">
        <f>IF(AND(ISNUMBER(W65),ISNUMBER(W109)),IFERROR(W65/W109,""),"")</f>
        <v/>
      </c>
      <c r="X68" s="215">
        <f>IF(AND(ISNUMBER(X65),ISNUMBER(X109)),IFERROR(X65/X109,""),"")</f>
        <v/>
      </c>
      <c r="Y68" s="215">
        <f>IF(AND(ISNUMBER(Y65),ISNUMBER(Y109)),IFERROR(Y65/Y109,""),"")</f>
        <v/>
      </c>
      <c r="Z68" s="215">
        <f>IF(AND(ISNUMBER(Z65),ISNUMBER(Z109)),IFERROR(Z65/Z109,""),"")</f>
        <v/>
      </c>
      <c r="AA68" s="215">
        <f>IF(AND(ISNUMBER(AA65),ISNUMBER(AA109)),IFERROR(AA65/AA109,""),"")</f>
        <v/>
      </c>
      <c r="AB68" s="215">
        <f>IF(AND(ISNUMBER(AB65),ISNUMBER(AB109)),IFERROR(AB65/AB109,""),"")</f>
        <v/>
      </c>
      <c r="AC68" s="215">
        <f>IF(AND(ISNUMBER(AC65),ISNUMBER(AC109)),IFERROR(AC65/AC109,""),"")</f>
        <v/>
      </c>
      <c r="AD68" s="215">
        <f>IF(AND(ISNUMBER(AD65),ISNUMBER(AD109)),IFERROR(AD65/AD109,""),"")</f>
        <v/>
      </c>
      <c r="AE68" s="215">
        <f>IF(AND(ISNUMBER(AE65),ISNUMBER(AE109)),IFERROR(AE65/AE109,""),"")</f>
        <v/>
      </c>
      <c r="AF68" s="256">
        <f>IF(AND(ISNUMBER(AF65),ISNUMBER(AF109)),IFERROR(AF65/AF109,""),"")</f>
        <v/>
      </c>
      <c r="AG68" s="256">
        <f>IF(AND(ISNUMBER(AG65),ISNUMBER(AG109)),IFERROR(AG65/AG109,""),"")</f>
        <v/>
      </c>
      <c r="AH68" s="256">
        <f>IF(AND(ISNUMBER(AH65),ISNUMBER(AH109)),IFERROR(AH65/AH109,""),"")</f>
        <v/>
      </c>
      <c r="AI68" s="256">
        <f>IF(AND(ISNUMBER(AI65),ISNUMBER(AI109)),IFERROR(AI65/AI109,""),"")</f>
        <v/>
      </c>
      <c r="AJ68" s="256">
        <f>IF(AND(ISNUMBER(AJ65),ISNUMBER(AJ109)),IFERROR(AJ65/AJ109,""),"")</f>
        <v/>
      </c>
      <c r="AK68" s="256">
        <f>IF(AND(ISNUMBER(AK65),ISNUMBER(AK109)),IFERROR(AK65/AK109,""),"")</f>
        <v/>
      </c>
      <c r="AL68" s="256">
        <f>IF(AND(ISNUMBER(AL65),ISNUMBER(AL109)),IFERROR(AL65/AL109,""),"")</f>
        <v/>
      </c>
      <c r="AM68" s="153" t="n"/>
    </row>
    <row r="69" ht="15" customHeight="1" s="251">
      <c r="B69" s="25" t="inlineStr">
        <is>
          <t xml:space="preserve">  Apparel % of net sales</t>
        </is>
      </c>
      <c r="C69" s="215">
        <f>IF(AND(ISNUMBER(C66),ISNUMBER(C109)),IFERROR(C66/C109,""),"")</f>
        <v/>
      </c>
      <c r="D69" s="215">
        <f>IF(AND(ISNUMBER(D66),ISNUMBER(D109)),IFERROR(D66/D109,""),"")</f>
        <v/>
      </c>
      <c r="E69" s="215">
        <f>IF(AND(ISNUMBER(E66),ISNUMBER(E109)),IFERROR(E66/E109,""),"")</f>
        <v/>
      </c>
      <c r="F69" s="215">
        <f>IF(AND(ISNUMBER(F66),ISNUMBER(F109)),IFERROR(F66/F109,""),"")</f>
        <v/>
      </c>
      <c r="G69" s="215">
        <f>IF(AND(ISNUMBER(G66),ISNUMBER(G109)),IFERROR(G66/G109,""),"")</f>
        <v/>
      </c>
      <c r="H69" s="215">
        <f>IF(AND(ISNUMBER(H66),ISNUMBER(H109)),IFERROR(H66/H109,""),"")</f>
        <v/>
      </c>
      <c r="I69" s="215">
        <f>IF(AND(ISNUMBER(I66),ISNUMBER(I109)),IFERROR(I66/I109,""),"")</f>
        <v/>
      </c>
      <c r="J69" s="215">
        <f>IF(AND(ISNUMBER(J66),ISNUMBER(J109)),IFERROR(J66/J109,""),"")</f>
        <v/>
      </c>
      <c r="K69" s="215">
        <f>IF(AND(ISNUMBER(K66),ISNUMBER(K109)),IFERROR(K66/K109,""),"")</f>
        <v/>
      </c>
      <c r="L69" s="215">
        <f>IF(AND(ISNUMBER(L66),ISNUMBER(L109)),IFERROR(L66/L109,""),"")</f>
        <v/>
      </c>
      <c r="M69" s="215">
        <f>IF(AND(ISNUMBER(M66),ISNUMBER(M109)),IFERROR(M66/M109,""),"")</f>
        <v/>
      </c>
      <c r="N69" s="215">
        <f>IF(AND(ISNUMBER(N66),ISNUMBER(N109)),IFERROR(N66/N109,""),"")</f>
        <v/>
      </c>
      <c r="O69" s="215">
        <f>IF(AND(ISNUMBER(O66),ISNUMBER(O109)),IFERROR(O66/O109,""),"")</f>
        <v/>
      </c>
      <c r="P69" s="215">
        <f>IF(AND(ISNUMBER(P66),ISNUMBER(P109)),IFERROR(P66/P109,""),"")</f>
        <v/>
      </c>
      <c r="Q69" s="215">
        <f>IF(AND(ISNUMBER(Q66),ISNUMBER(Q109)),IFERROR(Q66/Q109,""),"")</f>
        <v/>
      </c>
      <c r="R69" s="215">
        <f>IF(AND(ISNUMBER(R66),ISNUMBER(R109)),IFERROR(R66/R109,""),"")</f>
        <v/>
      </c>
      <c r="S69" s="215">
        <f>IF(AND(ISNUMBER(S66),ISNUMBER(S109)),IFERROR(S66/S109,""),"")</f>
        <v/>
      </c>
      <c r="T69" s="215">
        <f>IF(AND(ISNUMBER(T66),ISNUMBER(T109)),IFERROR(T66/T109,""),"")</f>
        <v/>
      </c>
      <c r="U69" s="215">
        <f>IF(AND(ISNUMBER(U66),ISNUMBER(U109)),IFERROR(U66/U109,""),"")</f>
        <v/>
      </c>
      <c r="V69" s="215">
        <f>IF(AND(ISNUMBER(V66),ISNUMBER(V109)),IFERROR(V66/V109,""),"")</f>
        <v/>
      </c>
      <c r="W69" s="215">
        <f>IF(AND(ISNUMBER(W66),ISNUMBER(W109)),IFERROR(W66/W109,""),"")</f>
        <v/>
      </c>
      <c r="X69" s="215">
        <f>IF(AND(ISNUMBER(X66),ISNUMBER(X109)),IFERROR(X66/X109,""),"")</f>
        <v/>
      </c>
      <c r="Y69" s="215">
        <f>IF(AND(ISNUMBER(Y66),ISNUMBER(Y109)),IFERROR(Y66/Y109,""),"")</f>
        <v/>
      </c>
      <c r="Z69" s="215">
        <f>IF(AND(ISNUMBER(Z66),ISNUMBER(Z109)),IFERROR(Z66/Z109,""),"")</f>
        <v/>
      </c>
      <c r="AA69" s="215">
        <f>IF(AND(ISNUMBER(AA66),ISNUMBER(AA109)),IFERROR(AA66/AA109,""),"")</f>
        <v/>
      </c>
      <c r="AB69" s="215">
        <f>IF(AND(ISNUMBER(AB66),ISNUMBER(AB109)),IFERROR(AB66/AB109,""),"")</f>
        <v/>
      </c>
      <c r="AC69" s="215">
        <f>IF(AND(ISNUMBER(AC66),ISNUMBER(AC109)),IFERROR(AC66/AC109,""),"")</f>
        <v/>
      </c>
      <c r="AD69" s="215">
        <f>IF(AND(ISNUMBER(AD66),ISNUMBER(AD109)),IFERROR(AD66/AD109,""),"")</f>
        <v/>
      </c>
      <c r="AE69" s="215">
        <f>IF(AND(ISNUMBER(AE66),ISNUMBER(AE109)),IFERROR(AE66/AE109,""),"")</f>
        <v/>
      </c>
      <c r="AF69" s="256">
        <f>AA69+((AD66+AE66)/(AD109+AE109)-(Y66+Z66)/(Y109+Z109))</f>
        <v/>
      </c>
      <c r="AG69" s="256">
        <f>AB69+((AD66+AE66)/(AD109+AE109)-(Y66+Z66)/(Y109+Z109))</f>
        <v/>
      </c>
      <c r="AH69" s="256">
        <f>IF(AND(ISNUMBER(AH66),ISNUMBER(AH109)),IFERROR(AH66/AH109,""),"")</f>
        <v/>
      </c>
      <c r="AI69" s="260" t="n">
        <v>0.075</v>
      </c>
      <c r="AJ69" s="260" t="n">
        <v>0.08500000000000001</v>
      </c>
      <c r="AK69" s="260" t="n">
        <v>0.095</v>
      </c>
      <c r="AL69" s="260" t="n">
        <v>0.1</v>
      </c>
      <c r="AM69" s="153" t="inlineStr">
        <is>
          <t>Apparel 6.5% of 1H/26 net sales (+56.9% cc); Investor Day 2026: Apparel one of three immediate growth pillars (Run, Sneaker, Apparel).</t>
        </is>
      </c>
      <c r="AO69" s="37">
        <f>IFERROR(AVERAGE(AH69,AI69,AJ69,AK69,AL69),"n/m")</f>
        <v/>
      </c>
      <c r="AP69" s="37">
        <f>IFERROR(AVERAGE(I69,N69,S69,X69,AC69),"n/m")</f>
        <v/>
      </c>
      <c r="AQ69" s="37">
        <f>IFERROR(AVERAGE(S69,X69,AC69),"n/m")</f>
        <v/>
      </c>
      <c r="AR69" s="37">
        <f>IFERROR(AVERAGE(C69,D69,I69,N69,S69,X69,AC69),"n/m")</f>
        <v/>
      </c>
    </row>
    <row r="70" ht="15" customHeight="1" s="251">
      <c r="B70" s="25" t="inlineStr">
        <is>
          <t xml:space="preserve">  Accessories % of net sales</t>
        </is>
      </c>
      <c r="C70" s="215">
        <f>IF(AND(ISNUMBER(C67),ISNUMBER(C109)),IFERROR(C67/C109,""),"")</f>
        <v/>
      </c>
      <c r="D70" s="215">
        <f>IF(AND(ISNUMBER(D67),ISNUMBER(D109)),IFERROR(D67/D109,""),"")</f>
        <v/>
      </c>
      <c r="E70" s="215">
        <f>IF(AND(ISNUMBER(E67),ISNUMBER(E109)),IFERROR(E67/E109,""),"")</f>
        <v/>
      </c>
      <c r="F70" s="215">
        <f>IF(AND(ISNUMBER(F67),ISNUMBER(F109)),IFERROR(F67/F109,""),"")</f>
        <v/>
      </c>
      <c r="G70" s="215">
        <f>IF(AND(ISNUMBER(G67),ISNUMBER(G109)),IFERROR(G67/G109,""),"")</f>
        <v/>
      </c>
      <c r="H70" s="215">
        <f>IF(AND(ISNUMBER(H67),ISNUMBER(H109)),IFERROR(H67/H109,""),"")</f>
        <v/>
      </c>
      <c r="I70" s="215">
        <f>IF(AND(ISNUMBER(I67),ISNUMBER(I109)),IFERROR(I67/I109,""),"")</f>
        <v/>
      </c>
      <c r="J70" s="215">
        <f>IF(AND(ISNUMBER(J67),ISNUMBER(J109)),IFERROR(J67/J109,""),"")</f>
        <v/>
      </c>
      <c r="K70" s="215">
        <f>IF(AND(ISNUMBER(K67),ISNUMBER(K109)),IFERROR(K67/K109,""),"")</f>
        <v/>
      </c>
      <c r="L70" s="215">
        <f>IF(AND(ISNUMBER(L67),ISNUMBER(L109)),IFERROR(L67/L109,""),"")</f>
        <v/>
      </c>
      <c r="M70" s="215">
        <f>IF(AND(ISNUMBER(M67),ISNUMBER(M109)),IFERROR(M67/M109,""),"")</f>
        <v/>
      </c>
      <c r="N70" s="215">
        <f>IF(AND(ISNUMBER(N67),ISNUMBER(N109)),IFERROR(N67/N109,""),"")</f>
        <v/>
      </c>
      <c r="O70" s="215">
        <f>IF(AND(ISNUMBER(O67),ISNUMBER(O109)),IFERROR(O67/O109,""),"")</f>
        <v/>
      </c>
      <c r="P70" s="215">
        <f>IF(AND(ISNUMBER(P67),ISNUMBER(P109)),IFERROR(P67/P109,""),"")</f>
        <v/>
      </c>
      <c r="Q70" s="215">
        <f>IF(AND(ISNUMBER(Q67),ISNUMBER(Q109)),IFERROR(Q67/Q109,""),"")</f>
        <v/>
      </c>
      <c r="R70" s="215">
        <f>IF(AND(ISNUMBER(R67),ISNUMBER(R109)),IFERROR(R67/R109,""),"")</f>
        <v/>
      </c>
      <c r="S70" s="215">
        <f>IF(AND(ISNUMBER(S67),ISNUMBER(S109)),IFERROR(S67/S109,""),"")</f>
        <v/>
      </c>
      <c r="T70" s="215">
        <f>IF(AND(ISNUMBER(T67),ISNUMBER(T109)),IFERROR(T67/T109,""),"")</f>
        <v/>
      </c>
      <c r="U70" s="215">
        <f>IF(AND(ISNUMBER(U67),ISNUMBER(U109)),IFERROR(U67/U109,""),"")</f>
        <v/>
      </c>
      <c r="V70" s="215">
        <f>IF(AND(ISNUMBER(V67),ISNUMBER(V109)),IFERROR(V67/V109,""),"")</f>
        <v/>
      </c>
      <c r="W70" s="215">
        <f>IF(AND(ISNUMBER(W67),ISNUMBER(W109)),IFERROR(W67/W109,""),"")</f>
        <v/>
      </c>
      <c r="X70" s="215">
        <f>IF(AND(ISNUMBER(X67),ISNUMBER(X109)),IFERROR(X67/X109,""),"")</f>
        <v/>
      </c>
      <c r="Y70" s="215">
        <f>IF(AND(ISNUMBER(Y67),ISNUMBER(Y109)),IFERROR(Y67/Y109,""),"")</f>
        <v/>
      </c>
      <c r="Z70" s="215">
        <f>IF(AND(ISNUMBER(Z67),ISNUMBER(Z109)),IFERROR(Z67/Z109,""),"")</f>
        <v/>
      </c>
      <c r="AA70" s="215">
        <f>IF(AND(ISNUMBER(AA67),ISNUMBER(AA109)),IFERROR(AA67/AA109,""),"")</f>
        <v/>
      </c>
      <c r="AB70" s="215">
        <f>IF(AND(ISNUMBER(AB67),ISNUMBER(AB109)),IFERROR(AB67/AB109,""),"")</f>
        <v/>
      </c>
      <c r="AC70" s="215">
        <f>IF(AND(ISNUMBER(AC67),ISNUMBER(AC109)),IFERROR(AC67/AC109,""),"")</f>
        <v/>
      </c>
      <c r="AD70" s="215">
        <f>IF(AND(ISNUMBER(AD67),ISNUMBER(AD109)),IFERROR(AD67/AD109,""),"")</f>
        <v/>
      </c>
      <c r="AE70" s="215">
        <f>IF(AND(ISNUMBER(AE67),ISNUMBER(AE109)),IFERROR(AE67/AE109,""),"")</f>
        <v/>
      </c>
      <c r="AF70" s="256">
        <f>AA70+((AD67+AE67)/(AD109+AE109)-(Y67+Z67)/(Y109+Z109))</f>
        <v/>
      </c>
      <c r="AG70" s="256">
        <f>AB70+((AD67+AE67)/(AD109+AE109)-(Y67+Z67)/(Y109+Z109))</f>
        <v/>
      </c>
      <c r="AH70" s="256">
        <f>IF(AND(ISNUMBER(AH67),ISNUMBER(AH109)),IFERROR(AH67/AH109,""),"")</f>
        <v/>
      </c>
      <c r="AI70" s="260" t="n">
        <v>0.016</v>
      </c>
      <c r="AJ70" s="260" t="n">
        <v>0.017</v>
      </c>
      <c r="AK70" s="260" t="n">
        <v>0.018</v>
      </c>
      <c r="AL70" s="260" t="n">
        <v>0.019</v>
      </c>
      <c r="AM70" s="153" t="n"/>
    </row>
    <row r="71" ht="15" customHeight="1" s="251">
      <c r="B71" s="22" t="inlineStr">
        <is>
          <t xml:space="preserve">  Shoes y/y % (reported)</t>
        </is>
      </c>
      <c r="C71" s="23" t="n"/>
      <c r="D71" s="255">
        <f>IF(AND(ISNUMBER(D65),ISNUMBER(C65)),IFERROR(D65/C65-1,""),"")</f>
        <v/>
      </c>
      <c r="E71" s="23" t="n"/>
      <c r="F71" s="23" t="n"/>
      <c r="G71" s="23" t="n"/>
      <c r="H71" s="23" t="n"/>
      <c r="I71" s="255">
        <f>IF(AND(ISNUMBER(I65),ISNUMBER(D65)),IFERROR(I65/D65-1,""),"")</f>
        <v/>
      </c>
      <c r="J71" s="255">
        <f>IF(AND(ISNUMBER(J65),ISNUMBER(E65)),IFERROR(J65/E65-1,""),"")</f>
        <v/>
      </c>
      <c r="K71" s="255">
        <f>IF(AND(ISNUMBER(K65),ISNUMBER(F65)),IFERROR(K65/F65-1,""),"")</f>
        <v/>
      </c>
      <c r="L71" s="255">
        <f>IF(AND(ISNUMBER(L65),ISNUMBER(G65)),IFERROR(L65/G65-1,""),"")</f>
        <v/>
      </c>
      <c r="M71" s="255">
        <f>IF(AND(ISNUMBER(M65),ISNUMBER(H65)),IFERROR(M65/H65-1,""),"")</f>
        <v/>
      </c>
      <c r="N71" s="255">
        <f>IF(AND(ISNUMBER(N65),ISNUMBER(I65)),IFERROR(N65/I65-1,""),"")</f>
        <v/>
      </c>
      <c r="O71" s="255">
        <f>IF(AND(ISNUMBER(O65),ISNUMBER(J65)),IFERROR(O65/J65-1,""),"")</f>
        <v/>
      </c>
      <c r="P71" s="255">
        <f>IF(AND(ISNUMBER(P65),ISNUMBER(K65)),IFERROR(P65/K65-1,""),"")</f>
        <v/>
      </c>
      <c r="Q71" s="255">
        <f>IF(AND(ISNUMBER(Q65),ISNUMBER(L65)),IFERROR(Q65/L65-1,""),"")</f>
        <v/>
      </c>
      <c r="R71" s="255">
        <f>IF(AND(ISNUMBER(R65),ISNUMBER(M65)),IFERROR(R65/M65-1,""),"")</f>
        <v/>
      </c>
      <c r="S71" s="255">
        <f>IF(AND(ISNUMBER(S65),ISNUMBER(N65)),IFERROR(S65/N65-1,""),"")</f>
        <v/>
      </c>
      <c r="T71" s="255">
        <f>IF(AND(ISNUMBER(T65),ISNUMBER(O65)),IFERROR(T65/O65-1,""),"")</f>
        <v/>
      </c>
      <c r="U71" s="255">
        <f>IF(AND(ISNUMBER(U65),ISNUMBER(P65)),IFERROR(U65/P65-1,""),"")</f>
        <v/>
      </c>
      <c r="V71" s="255">
        <f>IF(AND(ISNUMBER(V65),ISNUMBER(Q65)),IFERROR(V65/Q65-1,""),"")</f>
        <v/>
      </c>
      <c r="W71" s="255">
        <f>IF(AND(ISNUMBER(W65),ISNUMBER(R65)),IFERROR(W65/R65-1,""),"")</f>
        <v/>
      </c>
      <c r="X71" s="255">
        <f>IF(AND(ISNUMBER(X65),ISNUMBER(S65)),IFERROR(X65/S65-1,""),"")</f>
        <v/>
      </c>
      <c r="Y71" s="255">
        <f>IF(AND(ISNUMBER(Y65),ISNUMBER(T65)),IFERROR(Y65/T65-1,""),"")</f>
        <v/>
      </c>
      <c r="Z71" s="255">
        <f>IF(AND(ISNUMBER(Z65),ISNUMBER(U65)),IFERROR(Z65/U65-1,""),"")</f>
        <v/>
      </c>
      <c r="AA71" s="255">
        <f>IF(AND(ISNUMBER(AA65),ISNUMBER(V65)),IFERROR(AA65/V65-1,""),"")</f>
        <v/>
      </c>
      <c r="AB71" s="255">
        <f>IF(AND(ISNUMBER(AB65),ISNUMBER(W65)),IFERROR(AB65/W65-1,""),"")</f>
        <v/>
      </c>
      <c r="AC71" s="255">
        <f>IF(AND(ISNUMBER(AC65),ISNUMBER(X65)),IFERROR(AC65/X65-1,""),"")</f>
        <v/>
      </c>
      <c r="AD71" s="255">
        <f>IF(AND(ISNUMBER(AD65),ISNUMBER(Y65)),IFERROR(AD65/Y65-1,""),"")</f>
        <v/>
      </c>
      <c r="AE71" s="255">
        <f>IF(AND(ISNUMBER(AE65),ISNUMBER(Z65)),IFERROR(AE65/Z65-1,""),"")</f>
        <v/>
      </c>
      <c r="AF71" s="256">
        <f>IF(AND(ISNUMBER(AF65),ISNUMBER(AA65)),IFERROR(AF65/AA65-1,""),"")</f>
        <v/>
      </c>
      <c r="AG71" s="256">
        <f>IF(AND(ISNUMBER(AG65),ISNUMBER(AB65)),IFERROR(AG65/AB65-1,""),"")</f>
        <v/>
      </c>
      <c r="AH71" s="256">
        <f>IF(AND(ISNUMBER(AH65),ISNUMBER(AC65)),IFERROR(AH65/AC65-1,""),"")</f>
        <v/>
      </c>
      <c r="AI71" s="256">
        <f>IF(AND(ISNUMBER(AI65),ISNUMBER(AH65)),IFERROR(AI65/AH65-1,""),"")</f>
        <v/>
      </c>
      <c r="AJ71" s="256">
        <f>IF(AND(ISNUMBER(AJ65),ISNUMBER(AI65)),IFERROR(AJ65/AI65-1,""),"")</f>
        <v/>
      </c>
      <c r="AK71" s="256">
        <f>IF(AND(ISNUMBER(AK65),ISNUMBER(AJ65)),IFERROR(AK65/AJ65-1,""),"")</f>
        <v/>
      </c>
      <c r="AL71" s="256">
        <f>IF(AND(ISNUMBER(AL65),ISNUMBER(AK65)),IFERROR(AL65/AK65-1,""),"")</f>
        <v/>
      </c>
      <c r="AM71" s="153" t="n"/>
    </row>
    <row r="72" collapsed="1" ht="15" customHeight="1" s="251">
      <c r="B72" s="22" t="inlineStr">
        <is>
          <t xml:space="preserve">  Apparel y/y % (reported)</t>
        </is>
      </c>
      <c r="C72" s="23" t="n"/>
      <c r="D72" s="255">
        <f>IF(AND(ISNUMBER(D66),ISNUMBER(C66)),IFERROR(D66/C66-1,""),"")</f>
        <v/>
      </c>
      <c r="E72" s="23" t="n"/>
      <c r="F72" s="23" t="n"/>
      <c r="G72" s="23" t="n"/>
      <c r="H72" s="23" t="n"/>
      <c r="I72" s="255">
        <f>IF(AND(ISNUMBER(I66),ISNUMBER(D66)),IFERROR(I66/D66-1,""),"")</f>
        <v/>
      </c>
      <c r="J72" s="255">
        <f>IF(AND(ISNUMBER(J66),ISNUMBER(E66)),IFERROR(J66/E66-1,""),"")</f>
        <v/>
      </c>
      <c r="K72" s="255">
        <f>IF(AND(ISNUMBER(K66),ISNUMBER(F66)),IFERROR(K66/F66-1,""),"")</f>
        <v/>
      </c>
      <c r="L72" s="255">
        <f>IF(AND(ISNUMBER(L66),ISNUMBER(G66)),IFERROR(L66/G66-1,""),"")</f>
        <v/>
      </c>
      <c r="M72" s="255">
        <f>IF(AND(ISNUMBER(M66),ISNUMBER(H66)),IFERROR(M66/H66-1,""),"")</f>
        <v/>
      </c>
      <c r="N72" s="255">
        <f>IF(AND(ISNUMBER(N66),ISNUMBER(I66)),IFERROR(N66/I66-1,""),"")</f>
        <v/>
      </c>
      <c r="O72" s="255">
        <f>IF(AND(ISNUMBER(O66),ISNUMBER(J66)),IFERROR(O66/J66-1,""),"")</f>
        <v/>
      </c>
      <c r="P72" s="255">
        <f>IF(AND(ISNUMBER(P66),ISNUMBER(K66)),IFERROR(P66/K66-1,""),"")</f>
        <v/>
      </c>
      <c r="Q72" s="255">
        <f>IF(AND(ISNUMBER(Q66),ISNUMBER(L66)),IFERROR(Q66/L66-1,""),"")</f>
        <v/>
      </c>
      <c r="R72" s="255">
        <f>IF(AND(ISNUMBER(R66),ISNUMBER(M66)),IFERROR(R66/M66-1,""),"")</f>
        <v/>
      </c>
      <c r="S72" s="255">
        <f>IF(AND(ISNUMBER(S66),ISNUMBER(N66)),IFERROR(S66/N66-1,""),"")</f>
        <v/>
      </c>
      <c r="T72" s="255">
        <f>IF(AND(ISNUMBER(T66),ISNUMBER(O66)),IFERROR(T66/O66-1,""),"")</f>
        <v/>
      </c>
      <c r="U72" s="255">
        <f>IF(AND(ISNUMBER(U66),ISNUMBER(P66)),IFERROR(U66/P66-1,""),"")</f>
        <v/>
      </c>
      <c r="V72" s="255">
        <f>IF(AND(ISNUMBER(V66),ISNUMBER(Q66)),IFERROR(V66/Q66-1,""),"")</f>
        <v/>
      </c>
      <c r="W72" s="255">
        <f>IF(AND(ISNUMBER(W66),ISNUMBER(R66)),IFERROR(W66/R66-1,""),"")</f>
        <v/>
      </c>
      <c r="X72" s="255">
        <f>IF(AND(ISNUMBER(X66),ISNUMBER(S66)),IFERROR(X66/S66-1,""),"")</f>
        <v/>
      </c>
      <c r="Y72" s="255">
        <f>IF(AND(ISNUMBER(Y66),ISNUMBER(T66)),IFERROR(Y66/T66-1,""),"")</f>
        <v/>
      </c>
      <c r="Z72" s="255">
        <f>IF(AND(ISNUMBER(Z66),ISNUMBER(U66)),IFERROR(Z66/U66-1,""),"")</f>
        <v/>
      </c>
      <c r="AA72" s="255">
        <f>IF(AND(ISNUMBER(AA66),ISNUMBER(V66)),IFERROR(AA66/V66-1,""),"")</f>
        <v/>
      </c>
      <c r="AB72" s="255">
        <f>IF(AND(ISNUMBER(AB66),ISNUMBER(W66)),IFERROR(AB66/W66-1,""),"")</f>
        <v/>
      </c>
      <c r="AC72" s="255">
        <f>IF(AND(ISNUMBER(AC66),ISNUMBER(X66)),IFERROR(AC66/X66-1,""),"")</f>
        <v/>
      </c>
      <c r="AD72" s="255">
        <f>IF(AND(ISNUMBER(AD66),ISNUMBER(Y66)),IFERROR(AD66/Y66-1,""),"")</f>
        <v/>
      </c>
      <c r="AE72" s="255">
        <f>IF(AND(ISNUMBER(AE66),ISNUMBER(Z66)),IFERROR(AE66/Z66-1,""),"")</f>
        <v/>
      </c>
      <c r="AF72" s="256">
        <f>IF(AND(ISNUMBER(AF66),ISNUMBER(AA66)),IFERROR(AF66/AA66-1,""),"")</f>
        <v/>
      </c>
      <c r="AG72" s="256">
        <f>IF(AND(ISNUMBER(AG66),ISNUMBER(AB66)),IFERROR(AG66/AB66-1,""),"")</f>
        <v/>
      </c>
      <c r="AH72" s="256">
        <f>IF(AND(ISNUMBER(AH66),ISNUMBER(AC66)),IFERROR(AH66/AC66-1,""),"")</f>
        <v/>
      </c>
      <c r="AI72" s="256">
        <f>IF(AND(ISNUMBER(AI66),ISNUMBER(AH66)),IFERROR(AI66/AH66-1,""),"")</f>
        <v/>
      </c>
      <c r="AJ72" s="256">
        <f>IF(AND(ISNUMBER(AJ66),ISNUMBER(AI66)),IFERROR(AJ66/AI66-1,""),"")</f>
        <v/>
      </c>
      <c r="AK72" s="256">
        <f>IF(AND(ISNUMBER(AK66),ISNUMBER(AJ66)),IFERROR(AK66/AJ66-1,""),"")</f>
        <v/>
      </c>
      <c r="AL72" s="256">
        <f>IF(AND(ISNUMBER(AL66),ISNUMBER(AK66)),IFERROR(AL66/AK66-1,""),"")</f>
        <v/>
      </c>
      <c r="AM72" s="153" t="n"/>
    </row>
    <row r="73" ht="15" customHeight="1" s="251">
      <c r="B73" s="156" t="inlineStr">
        <is>
          <t xml:space="preserve">  Shoes y/y % constant currency (published)</t>
        </is>
      </c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258" t="n">
        <v>0.293</v>
      </c>
      <c r="U73" s="258" t="n">
        <v>0.282</v>
      </c>
      <c r="V73" s="258" t="n">
        <v>0.329</v>
      </c>
      <c r="W73" s="258" t="n">
        <v>0.385</v>
      </c>
      <c r="X73" s="258" t="n">
        <v>0.323</v>
      </c>
      <c r="Y73" s="258" t="n">
        <v>0.375</v>
      </c>
      <c r="Z73" s="258" t="n">
        <v>0.36</v>
      </c>
      <c r="AA73" s="258" t="n">
        <v>0.304</v>
      </c>
      <c r="AB73" s="258" t="n">
        <v>0.288</v>
      </c>
      <c r="AC73" s="258" t="n">
        <v>0.329</v>
      </c>
      <c r="AD73" s="258" t="n">
        <v>0.24</v>
      </c>
      <c r="AE73" s="258" t="n">
        <v>0.189</v>
      </c>
      <c r="AF73" s="153" t="n"/>
      <c r="AG73" s="153" t="n"/>
      <c r="AH73" s="153" t="n"/>
      <c r="AI73" s="153" t="n"/>
      <c r="AJ73" s="153" t="n"/>
      <c r="AK73" s="153" t="n"/>
      <c r="AL73" s="153" t="n"/>
      <c r="AM73" s="153" t="n"/>
    </row>
    <row r="74" ht="15" customHeight="1" s="251">
      <c r="B74" s="156" t="inlineStr">
        <is>
          <t xml:space="preserve">  Apparel y/y % constant currency (published)</t>
        </is>
      </c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258" t="n">
        <v>0.249</v>
      </c>
      <c r="U74" s="258" t="n">
        <v>0.666</v>
      </c>
      <c r="V74" s="258" t="n">
        <v>0.347</v>
      </c>
      <c r="W74" s="258" t="n">
        <v>0.825</v>
      </c>
      <c r="X74" s="258" t="n">
        <v>0.51</v>
      </c>
      <c r="Y74" s="258" t="n">
        <v>0.91</v>
      </c>
      <c r="Z74" s="258" t="n">
        <v>0.755</v>
      </c>
      <c r="AA74" s="258" t="n">
        <v>1.002</v>
      </c>
      <c r="AB74" s="258" t="n">
        <v>0.46</v>
      </c>
      <c r="AC74" s="258" t="n">
        <v>0.755</v>
      </c>
      <c r="AD74" s="258" t="n">
        <v>0.575</v>
      </c>
      <c r="AE74" s="258" t="n">
        <v>0.5620000000000001</v>
      </c>
      <c r="AF74" s="153" t="n"/>
      <c r="AG74" s="153" t="n"/>
      <c r="AH74" s="153" t="n"/>
      <c r="AI74" s="153" t="n"/>
      <c r="AJ74" s="153" t="n"/>
      <c r="AK74" s="153" t="n"/>
      <c r="AL74" s="153" t="n"/>
      <c r="AM74" s="153" t="n"/>
    </row>
    <row r="75" ht="15" customHeight="1" s="251">
      <c r="AU75" s="11" t="n"/>
      <c r="AV75" s="12" t="n"/>
      <c r="AW75" s="12" t="n"/>
      <c r="AX75" s="12" t="n"/>
      <c r="AY75" s="13" t="n"/>
    </row>
    <row r="76" ht="15" customHeight="1" s="251">
      <c r="B76" s="14" t="inlineStr">
        <is>
          <t>Memo: former regional disclosure (to 2022) — Europe · North America · Asia-Pacific · Rest of World</t>
        </is>
      </c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5" t="inlineStr">
        <is>
          <t>FORMER REGIONS — as originally reported (IPO prospectus, 2021–22 MD&amp;A, Forms 20-F FY2021–22); replaced by EMEA / Americas / APAC from Q1-23</t>
        </is>
      </c>
    </row>
    <row r="77" ht="15" customHeight="1" s="251">
      <c r="B77" s="156" t="inlineStr">
        <is>
          <t xml:space="preserve">  Europe</t>
        </is>
      </c>
      <c r="C77" s="253" t="n">
        <v>128.344</v>
      </c>
      <c r="D77" s="253" t="n">
        <v>187.51</v>
      </c>
      <c r="E77" s="253" t="n">
        <v>57.059</v>
      </c>
      <c r="F77" s="253" t="n">
        <v>70.86199999999999</v>
      </c>
      <c r="G77" s="253" t="n">
        <v>88.342</v>
      </c>
      <c r="H77" s="253" t="n">
        <v>44.09500000000003</v>
      </c>
      <c r="I77" s="253" t="n">
        <v>260.357</v>
      </c>
      <c r="J77" s="253" t="n">
        <v>74.941</v>
      </c>
      <c r="K77" s="253" t="n">
        <v>83.29300000000001</v>
      </c>
      <c r="L77" s="253" t="n">
        <v>116.468</v>
      </c>
      <c r="M77" s="253" t="n">
        <v>79.59800000000001</v>
      </c>
      <c r="N77" s="253" t="n">
        <v>354.3</v>
      </c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  <c r="AA77" s="34" t="n"/>
      <c r="AB77" s="34" t="n"/>
      <c r="AC77" s="34" t="n"/>
      <c r="AD77" s="34" t="n"/>
      <c r="AE77" s="34" t="n"/>
      <c r="AF77" s="153" t="n"/>
      <c r="AG77" s="153" t="n"/>
      <c r="AH77" s="153" t="n"/>
      <c r="AI77" s="153" t="n"/>
      <c r="AJ77" s="153" t="n"/>
      <c r="AK77" s="153" t="n"/>
      <c r="AL77" s="153" t="n"/>
      <c r="AM77" s="153" t="inlineStr">
        <is>
          <t>Rest of World = net sales − Europe − North America − Asia-Pacific.</t>
        </is>
      </c>
    </row>
    <row r="78" ht="15" customHeight="1" s="251">
      <c r="B78" s="156" t="inlineStr">
        <is>
          <t xml:space="preserve">  North America</t>
        </is>
      </c>
      <c r="C78" s="253" t="n">
        <v>111.761</v>
      </c>
      <c r="D78" s="253" t="n">
        <v>208.089</v>
      </c>
      <c r="E78" s="253" t="n">
        <v>74.223</v>
      </c>
      <c r="F78" s="253" t="n">
        <v>89.72</v>
      </c>
      <c r="G78" s="253" t="n">
        <v>112.186</v>
      </c>
      <c r="H78" s="253" t="n">
        <v>133.401</v>
      </c>
      <c r="I78" s="253" t="n">
        <v>409.53</v>
      </c>
      <c r="J78" s="253" t="n">
        <v>138.441</v>
      </c>
      <c r="K78" s="253" t="n">
        <v>181.673</v>
      </c>
      <c r="L78" s="253" t="n">
        <v>176.26</v>
      </c>
      <c r="M78" s="253" t="n">
        <v>242.126</v>
      </c>
      <c r="N78" s="253" t="n">
        <v>738.5</v>
      </c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  <c r="AA78" s="34" t="n"/>
      <c r="AB78" s="34" t="n"/>
      <c r="AC78" s="34" t="n"/>
      <c r="AD78" s="34" t="n"/>
      <c r="AE78" s="34" t="n"/>
      <c r="AF78" s="153" t="n"/>
      <c r="AG78" s="153" t="n"/>
      <c r="AH78" s="153" t="n"/>
      <c r="AI78" s="153" t="n"/>
      <c r="AJ78" s="153" t="n"/>
      <c r="AK78" s="153" t="n"/>
      <c r="AL78" s="153" t="n"/>
      <c r="AM78" s="153" t="n"/>
    </row>
    <row r="79" ht="15" customHeight="1" s="251">
      <c r="B79" s="156" t="inlineStr">
        <is>
          <t xml:space="preserve">  Asia-Pacific (former definition)</t>
        </is>
      </c>
      <c r="C79" s="253" t="n">
        <v>17.867</v>
      </c>
      <c r="D79" s="253" t="n">
        <v>22.999</v>
      </c>
      <c r="E79" s="253" t="n">
        <v>7.274</v>
      </c>
      <c r="F79" s="253" t="n">
        <v>11.772</v>
      </c>
      <c r="G79" s="253" t="n">
        <v>13.094</v>
      </c>
      <c r="H79" s="253" t="n">
        <v>10.59</v>
      </c>
      <c r="I79" s="253" t="n">
        <v>42.73</v>
      </c>
      <c r="J79" s="253" t="n">
        <v>16.435</v>
      </c>
      <c r="K79" s="253" t="n">
        <v>17.916</v>
      </c>
      <c r="L79" s="253" t="n">
        <v>24.246</v>
      </c>
      <c r="M79" s="253" t="n">
        <v>21.603</v>
      </c>
      <c r="N79" s="253" t="n">
        <v>80.2</v>
      </c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  <c r="AA79" s="34" t="n"/>
      <c r="AB79" s="34" t="n"/>
      <c r="AC79" s="34" t="n"/>
      <c r="AD79" s="34" t="n"/>
      <c r="AE79" s="34" t="n"/>
      <c r="AF79" s="153" t="n"/>
      <c r="AG79" s="153" t="n"/>
      <c r="AH79" s="153" t="n"/>
      <c r="AI79" s="153" t="n"/>
      <c r="AJ79" s="153" t="n"/>
      <c r="AK79" s="153" t="n"/>
      <c r="AL79" s="153" t="n"/>
      <c r="AM79" s="153" t="n"/>
    </row>
    <row r="80" collapsed="1" ht="15" customHeight="1" s="251">
      <c r="B80" s="156" t="inlineStr">
        <is>
          <t xml:space="preserve">  Rest of World</t>
        </is>
      </c>
      <c r="C80" s="253" t="n">
        <v>9.148000000000014</v>
      </c>
      <c r="D80" s="253" t="n">
        <v>6.697000000000028</v>
      </c>
      <c r="E80" s="253" t="n">
        <v>1.837000000000004</v>
      </c>
      <c r="F80" s="253" t="n">
        <v>2.708000000000018</v>
      </c>
      <c r="G80" s="253" t="n">
        <v>4.414999999999987</v>
      </c>
      <c r="H80" s="253" t="n">
        <v>3.013000000000012</v>
      </c>
      <c r="I80" s="253" t="n">
        <v>11.97400000000001</v>
      </c>
      <c r="J80" s="253" t="n">
        <v>5.864000000000008</v>
      </c>
      <c r="K80" s="253" t="n">
        <v>8.779999999999969</v>
      </c>
      <c r="L80" s="253" t="n">
        <v>11.03899999999997</v>
      </c>
      <c r="M80" s="253" t="n">
        <v>23.47300000000002</v>
      </c>
      <c r="N80" s="253" t="n">
        <v>49.09999999999995</v>
      </c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  <c r="AA80" s="34" t="n"/>
      <c r="AB80" s="34" t="n"/>
      <c r="AC80" s="34" t="n"/>
      <c r="AD80" s="34" t="n"/>
      <c r="AE80" s="34" t="n"/>
      <c r="AF80" s="153" t="n"/>
      <c r="AG80" s="153" t="n"/>
      <c r="AH80" s="153" t="n"/>
      <c r="AI80" s="153" t="n"/>
      <c r="AJ80" s="153" t="n"/>
      <c r="AK80" s="153" t="n"/>
      <c r="AL80" s="153" t="n"/>
      <c r="AM80" s="153" t="n"/>
    </row>
    <row r="81" ht="15" customHeight="1" s="251">
      <c r="B81" s="22" t="inlineStr">
        <is>
          <t xml:space="preserve">  North America y/y %</t>
        </is>
      </c>
      <c r="C81" s="23" t="n"/>
      <c r="D81" s="255">
        <f>IF(AND(ISNUMBER(D78),ISNUMBER(C78)),IFERROR(D78/C78-1,""),"")</f>
        <v/>
      </c>
      <c r="E81" s="23" t="n"/>
      <c r="F81" s="23" t="n"/>
      <c r="G81" s="23" t="n"/>
      <c r="H81" s="23" t="n"/>
      <c r="I81" s="255">
        <f>IF(AND(ISNUMBER(I78),ISNUMBER(D78)),IFERROR(I78/D78-1,""),"")</f>
        <v/>
      </c>
      <c r="J81" s="255">
        <f>IF(AND(ISNUMBER(J78),ISNUMBER(E78)),IFERROR(J78/E78-1,""),"")</f>
        <v/>
      </c>
      <c r="K81" s="255">
        <f>IF(AND(ISNUMBER(K78),ISNUMBER(F78)),IFERROR(K78/F78-1,""),"")</f>
        <v/>
      </c>
      <c r="L81" s="255">
        <f>IF(AND(ISNUMBER(L78),ISNUMBER(G78)),IFERROR(L78/G78-1,""),"")</f>
        <v/>
      </c>
      <c r="M81" s="255">
        <f>IF(AND(ISNUMBER(M78),ISNUMBER(H78)),IFERROR(M78/H78-1,""),"")</f>
        <v/>
      </c>
      <c r="N81" s="255">
        <f>IF(AND(ISNUMBER(N78),ISNUMBER(I78)),IFERROR(N78/I78-1,""),"")</f>
        <v/>
      </c>
      <c r="O81" s="255">
        <f>IF(AND(ISNUMBER(O78),ISNUMBER(J78)),IFERROR(O78/J78-1,""),"")</f>
        <v/>
      </c>
      <c r="P81" s="255">
        <f>IF(AND(ISNUMBER(P78),ISNUMBER(K78)),IFERROR(P78/K78-1,""),"")</f>
        <v/>
      </c>
      <c r="Q81" s="255">
        <f>IF(AND(ISNUMBER(Q78),ISNUMBER(L78)),IFERROR(Q78/L78-1,""),"")</f>
        <v/>
      </c>
      <c r="R81" s="255">
        <f>IF(AND(ISNUMBER(R78),ISNUMBER(M78)),IFERROR(R78/M78-1,""),"")</f>
        <v/>
      </c>
      <c r="S81" s="255">
        <f>IF(AND(ISNUMBER(S78),ISNUMBER(N78)),IFERROR(S78/N78-1,""),"")</f>
        <v/>
      </c>
      <c r="T81" s="255">
        <f>IF(AND(ISNUMBER(T78),ISNUMBER(O78)),IFERROR(T78/O78-1,""),"")</f>
        <v/>
      </c>
      <c r="U81" s="255">
        <f>IF(AND(ISNUMBER(U78),ISNUMBER(P78)),IFERROR(U78/P78-1,""),"")</f>
        <v/>
      </c>
      <c r="V81" s="255">
        <f>IF(AND(ISNUMBER(V78),ISNUMBER(Q78)),IFERROR(V78/Q78-1,""),"")</f>
        <v/>
      </c>
      <c r="W81" s="255">
        <f>IF(AND(ISNUMBER(W78),ISNUMBER(R78)),IFERROR(W78/R78-1,""),"")</f>
        <v/>
      </c>
      <c r="X81" s="255">
        <f>IF(AND(ISNUMBER(X78),ISNUMBER(S78)),IFERROR(X78/S78-1,""),"")</f>
        <v/>
      </c>
      <c r="Y81" s="255">
        <f>IF(AND(ISNUMBER(Y78),ISNUMBER(T78)),IFERROR(Y78/T78-1,""),"")</f>
        <v/>
      </c>
      <c r="Z81" s="255">
        <f>IF(AND(ISNUMBER(Z78),ISNUMBER(U78)),IFERROR(Z78/U78-1,""),"")</f>
        <v/>
      </c>
      <c r="AA81" s="255">
        <f>IF(AND(ISNUMBER(AA78),ISNUMBER(V78)),IFERROR(AA78/V78-1,""),"")</f>
        <v/>
      </c>
      <c r="AB81" s="255">
        <f>IF(AND(ISNUMBER(AB78),ISNUMBER(W78)),IFERROR(AB78/W78-1,""),"")</f>
        <v/>
      </c>
      <c r="AC81" s="255">
        <f>IF(AND(ISNUMBER(AC78),ISNUMBER(X78)),IFERROR(AC78/X78-1,""),"")</f>
        <v/>
      </c>
      <c r="AD81" s="255">
        <f>IF(AND(ISNUMBER(AD78),ISNUMBER(Y78)),IFERROR(AD78/Y78-1,""),"")</f>
        <v/>
      </c>
      <c r="AE81" s="255">
        <f>IF(AND(ISNUMBER(AE78),ISNUMBER(Z78)),IFERROR(AE78/Z78-1,""),"")</f>
        <v/>
      </c>
      <c r="AF81" s="256">
        <f>IF(AND(ISNUMBER(AF78),ISNUMBER(AA78)),IFERROR(AF78/AA78-1,""),"")</f>
        <v/>
      </c>
      <c r="AG81" s="256">
        <f>IF(AND(ISNUMBER(AG78),ISNUMBER(AB78)),IFERROR(AG78/AB78-1,""),"")</f>
        <v/>
      </c>
      <c r="AH81" s="256">
        <f>IF(AND(ISNUMBER(AH78),ISNUMBER(AC78)),IFERROR(AH78/AC78-1,""),"")</f>
        <v/>
      </c>
      <c r="AI81" s="256">
        <f>IF(AND(ISNUMBER(AI78),ISNUMBER(AH78)),IFERROR(AI78/AH78-1,""),"")</f>
        <v/>
      </c>
      <c r="AJ81" s="256">
        <f>IF(AND(ISNUMBER(AJ78),ISNUMBER(AI78)),IFERROR(AJ78/AI78-1,""),"")</f>
        <v/>
      </c>
      <c r="AK81" s="256">
        <f>IF(AND(ISNUMBER(AK78),ISNUMBER(AJ78)),IFERROR(AK78/AJ78-1,""),"")</f>
        <v/>
      </c>
      <c r="AL81" s="256">
        <f>IF(AND(ISNUMBER(AL78),ISNUMBER(AK78)),IFERROR(AL78/AK78-1,""),"")</f>
        <v/>
      </c>
      <c r="AM81" s="153" t="n"/>
    </row>
    <row r="82" ht="15" customHeight="1" s="251">
      <c r="AU82" s="11" t="n"/>
      <c r="AV82" s="12" t="n"/>
      <c r="AW82" s="12" t="n"/>
      <c r="AX82" s="12" t="n"/>
      <c r="AY82" s="13" t="n"/>
    </row>
    <row r="83" ht="15" customHeight="1" s="251">
      <c r="B83" s="14" t="inlineStr">
        <is>
          <t>Profitability build — gross margin &amp; Adjusted EBITDA margin → FY26 outlook calibration (excl. tariff refund)</t>
        </is>
      </c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5" t="inlineStr">
        <is>
          <t>MARGIN BUILD — Q3/Q4-26E: prior-year quarter margin + uniform Δ solved to the FY26 guidance end-point; 2027E+: scenario levers (Investor Day 2029: GM ≥65%, Adj. EBITDA margin ≥22%)</t>
        </is>
      </c>
    </row>
    <row r="84" ht="15" customHeight="1" s="251">
      <c r="B84" s="25" t="inlineStr">
        <is>
          <t xml:space="preserve">  Gross margin % (excl. tariff refund)</t>
        </is>
      </c>
      <c r="C84" s="215">
        <f>IF(ISNUMBER(C110),IFERROR(C111/C109,""),"")</f>
        <v/>
      </c>
      <c r="D84" s="215">
        <f>IF(ISNUMBER(D110),IFERROR(D111/D109,""),"")</f>
        <v/>
      </c>
      <c r="E84" s="215">
        <f>IF(ISNUMBER(E110),IFERROR(E111/E109,""),"")</f>
        <v/>
      </c>
      <c r="F84" s="215">
        <f>IF(ISNUMBER(F110),IFERROR(F111/F109,""),"")</f>
        <v/>
      </c>
      <c r="G84" s="215">
        <f>IF(ISNUMBER(G110),IFERROR(G111/G109,""),"")</f>
        <v/>
      </c>
      <c r="H84" s="215">
        <f>IF(ISNUMBER(H110),IFERROR(H111/H109,""),"")</f>
        <v/>
      </c>
      <c r="I84" s="215">
        <f>IF(ISNUMBER(I110),IFERROR(I111/I109,""),"")</f>
        <v/>
      </c>
      <c r="J84" s="215">
        <f>IF(ISNUMBER(J110),IFERROR(J111/J109,""),"")</f>
        <v/>
      </c>
      <c r="K84" s="215">
        <f>IF(ISNUMBER(K110),IFERROR(K111/K109,""),"")</f>
        <v/>
      </c>
      <c r="L84" s="215">
        <f>IF(ISNUMBER(L110),IFERROR(L111/L109,""),"")</f>
        <v/>
      </c>
      <c r="M84" s="215">
        <f>IF(ISNUMBER(M110),IFERROR(M111/M109,""),"")</f>
        <v/>
      </c>
      <c r="N84" s="215">
        <f>IF(ISNUMBER(N110),IFERROR(N111/N109,""),"")</f>
        <v/>
      </c>
      <c r="O84" s="215">
        <f>IF(ISNUMBER(O110),IFERROR(O111/O109,""),"")</f>
        <v/>
      </c>
      <c r="P84" s="215">
        <f>IF(ISNUMBER(P110),IFERROR(P111/P109,""),"")</f>
        <v/>
      </c>
      <c r="Q84" s="215">
        <f>IF(ISNUMBER(Q110),IFERROR(Q111/Q109,""),"")</f>
        <v/>
      </c>
      <c r="R84" s="215">
        <f>IF(ISNUMBER(R110),IFERROR(R111/R109,""),"")</f>
        <v/>
      </c>
      <c r="S84" s="215">
        <f>IF(ISNUMBER(S110),IFERROR(S111/S109,""),"")</f>
        <v/>
      </c>
      <c r="T84" s="215">
        <f>IF(ISNUMBER(T110),IFERROR(T111/T109,""),"")</f>
        <v/>
      </c>
      <c r="U84" s="215">
        <f>IF(ISNUMBER(U110),IFERROR(U111/U109,""),"")</f>
        <v/>
      </c>
      <c r="V84" s="215">
        <f>IF(ISNUMBER(V110),IFERROR(V111/V109,""),"")</f>
        <v/>
      </c>
      <c r="W84" s="215">
        <f>IF(ISNUMBER(W110),IFERROR(W111/W109,""),"")</f>
        <v/>
      </c>
      <c r="X84" s="215">
        <f>IF(ISNUMBER(X110),IFERROR(X111/X109,""),"")</f>
        <v/>
      </c>
      <c r="Y84" s="215">
        <f>IF(ISNUMBER(Y110),IFERROR(Y111/Y109,""),"")</f>
        <v/>
      </c>
      <c r="Z84" s="215">
        <f>IF(ISNUMBER(Z110),IFERROR(Z111/Z109,""),"")</f>
        <v/>
      </c>
      <c r="AA84" s="215">
        <f>IF(ISNUMBER(AA110),IFERROR(AA111/AA109,""),"")</f>
        <v/>
      </c>
      <c r="AB84" s="215">
        <f>IF(ISNUMBER(AB110),IFERROR(AB111/AB109,""),"")</f>
        <v/>
      </c>
      <c r="AC84" s="215">
        <f>IF(ISNUMBER(AC110),IFERROR(AC111/AC109,""),"")</f>
        <v/>
      </c>
      <c r="AD84" s="215">
        <f>IF(ISNUMBER(AD110),IFERROR(AD111/AD109,""),"")</f>
        <v/>
      </c>
      <c r="AE84" s="215">
        <f>IF(ISNUMBER(AE110),IFERROR(AE111/AE109,""),"")</f>
        <v/>
      </c>
      <c r="AF84" s="256">
        <f>AA84+$AF$86</f>
        <v/>
      </c>
      <c r="AG84" s="256">
        <f>AB84+$AF$86</f>
        <v/>
      </c>
      <c r="AH84" s="256">
        <f>IFERROR((AH111-AH53)/AH109,"")</f>
        <v/>
      </c>
      <c r="AI84" s="256">
        <f>CHOOSE(MATCH($AM$2,{"Bull","Base","Bear"},0),$AV$45,$AW$45,$AX$45)</f>
        <v/>
      </c>
      <c r="AJ84" s="256">
        <f>CHOOSE(MATCH($AM$2,{"Bull","Base","Bear"},0),$AV$46,$AW$46,$AX$46)</f>
        <v/>
      </c>
      <c r="AK84" s="256">
        <f>CHOOSE(MATCH($AM$2,{"Bull","Base","Bear"},0),$AV$47,$AW$47,$AX$47)</f>
        <v/>
      </c>
      <c r="AL84" s="256">
        <f>CHOOSE(MATCH($AM$2,{"Bull","Base","Bear"},0),$AV$48,$AW$48,$AX$48)</f>
        <v/>
      </c>
      <c r="AM84" s="153" t="inlineStr">
        <is>
          <t>Historical = reported gross margin. FY26 guidance "at least 65.0%" excludes the tariff refund. 2027E–2030E: scenario lever (company: ≥65.0% through 2029).</t>
        </is>
      </c>
      <c r="AO84" s="37">
        <f>IFERROR(AVERAGE(AH84,AI84,AJ84,AK84,AL84),"n/m")</f>
        <v/>
      </c>
      <c r="AP84" s="37">
        <f>IFERROR(AVERAGE(I84,N84,S84,X84,AC84),"n/m")</f>
        <v/>
      </c>
      <c r="AQ84" s="37">
        <f>IFERROR(AVERAGE(S84,X84,AC84),"n/m")</f>
        <v/>
      </c>
      <c r="AR84" s="37">
        <f>IFERROR(AVERAGE(C84,D84,I84,N84,S84,X84,AC84),"n/m")</f>
        <v/>
      </c>
    </row>
    <row r="85" ht="15" customHeight="1" s="251">
      <c r="B85" s="156" t="inlineStr">
        <is>
          <t xml:space="preserve">  Memo: FY26 gross margin guidance (scenario end-point)</t>
        </is>
      </c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  <c r="AA85" s="34" t="n"/>
      <c r="AB85" s="34" t="n"/>
      <c r="AC85" s="34" t="n"/>
      <c r="AD85" s="34" t="n"/>
      <c r="AE85" s="34" t="n"/>
      <c r="AF85" s="153" t="n"/>
      <c r="AG85" s="153" t="n"/>
      <c r="AH85" s="265">
        <f>CHOOSE(MATCH($AM$2,{"Bull","Base","Bear"},0),$AV$15,$AW$15,$AX$15)</f>
        <v/>
      </c>
      <c r="AI85" s="153" t="n"/>
      <c r="AJ85" s="153" t="n"/>
      <c r="AK85" s="153" t="n"/>
      <c r="AL85" s="153" t="n"/>
      <c r="AM85" s="153" t="n"/>
    </row>
    <row r="86" ht="15" customHeight="1" s="251">
      <c r="B86" s="25" t="inlineStr">
        <is>
          <t xml:space="preserve">  Outlook calibration: Δ gross margin vs prior-year quarter (Q3/Q4-26E)</t>
        </is>
      </c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256">
        <f>(AH85*AH109-AD111-AE111-AF109*AA84-AG109*AB84)/(AF109+AG109)</f>
        <v/>
      </c>
      <c r="AG86" s="256">
        <f>$AF$86</f>
        <v/>
      </c>
      <c r="AH86" s="24" t="n"/>
      <c r="AI86" s="46" t="n"/>
      <c r="AJ86" s="46" t="n"/>
      <c r="AK86" s="46" t="n"/>
      <c r="AL86" s="46" t="n"/>
      <c r="AM86" s="19" t="n"/>
    </row>
    <row r="87" ht="15" customHeight="1" s="251">
      <c r="B87" s="57" t="inlineStr">
        <is>
          <t xml:space="preserve">  Check: FY26 gross margin (excl. refund) vs guidance end-point (should be 0)</t>
        </is>
      </c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  <c r="AE87" s="44" t="n"/>
      <c r="AF87" s="153" t="n"/>
      <c r="AG87" s="153" t="n"/>
      <c r="AH87" s="265">
        <f>ROUND(AH84-AH85,4)</f>
        <v/>
      </c>
      <c r="AI87" s="153" t="n"/>
      <c r="AJ87" s="153" t="n"/>
      <c r="AK87" s="153" t="n"/>
      <c r="AL87" s="153" t="n"/>
      <c r="AM87" s="153" t="n"/>
    </row>
    <row r="88" collapsed="1" ht="15" customHeight="1" s="251">
      <c r="B88" s="25" t="inlineStr">
        <is>
          <t xml:space="preserve">  Adjusted EBITDA margin % (excl. tariff refund)</t>
        </is>
      </c>
      <c r="C88" s="215">
        <f>IF(ISNUMBER(C152),IFERROR(C152/C109,""),"")</f>
        <v/>
      </c>
      <c r="D88" s="215">
        <f>IF(ISNUMBER(D152),IFERROR(D152/D109,""),"")</f>
        <v/>
      </c>
      <c r="E88" s="215">
        <f>IF(ISNUMBER(E152),IFERROR(E152/E109,""),"")</f>
        <v/>
      </c>
      <c r="F88" s="215">
        <f>IF(ISNUMBER(F152),IFERROR(F152/F109,""),"")</f>
        <v/>
      </c>
      <c r="G88" s="215">
        <f>IF(ISNUMBER(G152),IFERROR(G152/G109,""),"")</f>
        <v/>
      </c>
      <c r="H88" s="215">
        <f>IF(ISNUMBER(H152),IFERROR(H152/H109,""),"")</f>
        <v/>
      </c>
      <c r="I88" s="215">
        <f>IF(ISNUMBER(I152),IFERROR(I152/I109,""),"")</f>
        <v/>
      </c>
      <c r="J88" s="215">
        <f>IF(ISNUMBER(J152),IFERROR(J152/J109,""),"")</f>
        <v/>
      </c>
      <c r="K88" s="215">
        <f>IF(ISNUMBER(K152),IFERROR(K152/K109,""),"")</f>
        <v/>
      </c>
      <c r="L88" s="215">
        <f>IF(ISNUMBER(L152),IFERROR(L152/L109,""),"")</f>
        <v/>
      </c>
      <c r="M88" s="215">
        <f>IF(ISNUMBER(M152),IFERROR(M152/M109,""),"")</f>
        <v/>
      </c>
      <c r="N88" s="215">
        <f>IF(ISNUMBER(N152),IFERROR(N152/N109,""),"")</f>
        <v/>
      </c>
      <c r="O88" s="215">
        <f>IF(ISNUMBER(O152),IFERROR(O152/O109,""),"")</f>
        <v/>
      </c>
      <c r="P88" s="215">
        <f>IF(ISNUMBER(P152),IFERROR(P152/P109,""),"")</f>
        <v/>
      </c>
      <c r="Q88" s="215">
        <f>IF(ISNUMBER(Q152),IFERROR(Q152/Q109,""),"")</f>
        <v/>
      </c>
      <c r="R88" s="215">
        <f>IF(ISNUMBER(R152),IFERROR(R152/R109,""),"")</f>
        <v/>
      </c>
      <c r="S88" s="215">
        <f>IF(ISNUMBER(S152),IFERROR(S152/S109,""),"")</f>
        <v/>
      </c>
      <c r="T88" s="215">
        <f>IF(ISNUMBER(T152),IFERROR(T152/T109,""),"")</f>
        <v/>
      </c>
      <c r="U88" s="215">
        <f>IF(ISNUMBER(U152),IFERROR(U152/U109,""),"")</f>
        <v/>
      </c>
      <c r="V88" s="215">
        <f>IF(ISNUMBER(V152),IFERROR(V152/V109,""),"")</f>
        <v/>
      </c>
      <c r="W88" s="215">
        <f>IF(ISNUMBER(W152),IFERROR(W152/W109,""),"")</f>
        <v/>
      </c>
      <c r="X88" s="215">
        <f>IF(ISNUMBER(X152),IFERROR(X152/X109,""),"")</f>
        <v/>
      </c>
      <c r="Y88" s="215">
        <f>IF(ISNUMBER(Y152),IFERROR(Y152/Y109,""),"")</f>
        <v/>
      </c>
      <c r="Z88" s="215">
        <f>IF(ISNUMBER(Z152),IFERROR(Z152/Z109,""),"")</f>
        <v/>
      </c>
      <c r="AA88" s="215">
        <f>IF(ISNUMBER(AA152),IFERROR(AA152/AA109,""),"")</f>
        <v/>
      </c>
      <c r="AB88" s="215">
        <f>IF(ISNUMBER(AB152),IFERROR(AB152/AB109,""),"")</f>
        <v/>
      </c>
      <c r="AC88" s="215">
        <f>IF(ISNUMBER(AC152),IFERROR(AC152/AC109,""),"")</f>
        <v/>
      </c>
      <c r="AD88" s="215">
        <f>IF(ISNUMBER(AD152),IFERROR(AD152/AD109,""),"")</f>
        <v/>
      </c>
      <c r="AE88" s="215">
        <f>IF(ISNUMBER(AE152),IFERROR(AE152/AE109,""),"")</f>
        <v/>
      </c>
      <c r="AF88" s="256">
        <f>AA88+$AF$90</f>
        <v/>
      </c>
      <c r="AG88" s="256">
        <f>AB88+$AF$90</f>
        <v/>
      </c>
      <c r="AH88" s="256">
        <f>IFERROR((AH92-AH53)/AH109,"")</f>
        <v/>
      </c>
      <c r="AI88" s="256">
        <f>CHOOSE(MATCH($AM$2,{"Bull","Base","Bear"},0),$AV$50,$AW$50,$AX$50)</f>
        <v/>
      </c>
      <c r="AJ88" s="256">
        <f>CHOOSE(MATCH($AM$2,{"Bull","Base","Bear"},0),$AV$51,$AW$51,$AX$51)</f>
        <v/>
      </c>
      <c r="AK88" s="256">
        <f>CHOOSE(MATCH($AM$2,{"Bull","Base","Bear"},0),$AV$52,$AW$52,$AX$52)</f>
        <v/>
      </c>
      <c r="AL88" s="256">
        <f>CHOOSE(MATCH($AM$2,{"Bull","Base","Bear"},0),$AV$53,$AW$53,$AX$53)</f>
        <v/>
      </c>
      <c r="AM88" s="153" t="inlineStr">
        <is>
          <t>Historical = published Adjusted EBITDA ÷ net sales. FY26 guidance 19.5–20.0% (excl. tariff refund). 2027E–2030E: scenario lever (company: ≥22% by 2029).</t>
        </is>
      </c>
      <c r="AO88" s="37">
        <f>IFERROR(AVERAGE(AH88,AI88,AJ88,AK88,AL88),"n/m")</f>
        <v/>
      </c>
      <c r="AP88" s="37">
        <f>IFERROR(AVERAGE(I88,N88,S88,X88,AC88),"n/m")</f>
        <v/>
      </c>
      <c r="AQ88" s="37">
        <f>IFERROR(AVERAGE(S88,X88,AC88),"n/m")</f>
        <v/>
      </c>
      <c r="AR88" s="37">
        <f>IFERROR(AVERAGE(C88,D88,I88,N88,S88,X88,AC88),"n/m")</f>
        <v/>
      </c>
    </row>
    <row r="89" ht="15" customHeight="1" s="251">
      <c r="B89" s="156" t="inlineStr">
        <is>
          <t xml:space="preserve">  Memo: FY26 Adjusted EBITDA margin guidance (scenario end-point)</t>
        </is>
      </c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  <c r="AA89" s="34" t="n"/>
      <c r="AB89" s="34" t="n"/>
      <c r="AC89" s="34" t="n"/>
      <c r="AD89" s="34" t="n"/>
      <c r="AE89" s="34" t="n"/>
      <c r="AF89" s="153" t="n"/>
      <c r="AG89" s="153" t="n"/>
      <c r="AH89" s="265">
        <f>CHOOSE(MATCH($AM$2,{"Bull","Base","Bear"},0),$AV$16,$AW$16,$AX$16)</f>
        <v/>
      </c>
      <c r="AI89" s="153" t="n"/>
      <c r="AJ89" s="153" t="n"/>
      <c r="AK89" s="153" t="n"/>
      <c r="AL89" s="153" t="n"/>
      <c r="AM89" s="153" t="n"/>
    </row>
    <row r="90" ht="15" customHeight="1" s="251">
      <c r="B90" s="25" t="inlineStr">
        <is>
          <t xml:space="preserve">  Outlook calibration: Δ Adjusted EBITDA margin vs prior-year quarter (Q3/Q4-26E)</t>
        </is>
      </c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256">
        <f>(AH89*AH109-AD92-AE92-AF109*AA88-AG109*AB88)/(AF109+AG109)</f>
        <v/>
      </c>
      <c r="AG90" s="256">
        <f>$AF$90</f>
        <v/>
      </c>
      <c r="AH90" s="24" t="n"/>
      <c r="AI90" s="46" t="n"/>
      <c r="AJ90" s="46" t="n"/>
      <c r="AK90" s="46" t="n"/>
      <c r="AL90" s="46" t="n"/>
      <c r="AM90" s="19" t="n"/>
    </row>
    <row r="91" ht="15" customHeight="1" s="251">
      <c r="B91" s="57" t="inlineStr">
        <is>
          <t xml:space="preserve">  Check: FY26 Adjusted EBITDA margin (excl. refund) vs guidance end-point (should be 0)</t>
        </is>
      </c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  <c r="AE91" s="44" t="n"/>
      <c r="AF91" s="153" t="n"/>
      <c r="AG91" s="153" t="n"/>
      <c r="AH91" s="265">
        <f>ROUND(AH88-AH89,4)</f>
        <v/>
      </c>
      <c r="AI91" s="153" t="n"/>
      <c r="AJ91" s="153" t="n"/>
      <c r="AK91" s="153" t="n"/>
      <c r="AL91" s="153" t="n"/>
      <c r="AM91" s="153" t="n"/>
    </row>
    <row r="92" ht="15" customHeight="1" s="251">
      <c r="B92" s="55" t="inlineStr">
        <is>
          <t>Adjusted EBITDA (margin build, incl. tariff refund)</t>
        </is>
      </c>
      <c r="C92" s="263">
        <f>C152</f>
        <v/>
      </c>
      <c r="D92" s="263">
        <f>D152</f>
        <v/>
      </c>
      <c r="E92" s="263">
        <f>E152</f>
        <v/>
      </c>
      <c r="F92" s="263">
        <f>F152</f>
        <v/>
      </c>
      <c r="G92" s="263">
        <f>G152</f>
        <v/>
      </c>
      <c r="H92" s="263">
        <f>H152</f>
        <v/>
      </c>
      <c r="I92" s="263">
        <f>I152</f>
        <v/>
      </c>
      <c r="J92" s="263">
        <f>J152</f>
        <v/>
      </c>
      <c r="K92" s="263">
        <f>K152</f>
        <v/>
      </c>
      <c r="L92" s="263">
        <f>L152</f>
        <v/>
      </c>
      <c r="M92" s="263">
        <f>M152</f>
        <v/>
      </c>
      <c r="N92" s="263">
        <f>N152</f>
        <v/>
      </c>
      <c r="O92" s="263">
        <f>O152</f>
        <v/>
      </c>
      <c r="P92" s="263">
        <f>P152</f>
        <v/>
      </c>
      <c r="Q92" s="263">
        <f>Q152</f>
        <v/>
      </c>
      <c r="R92" s="263">
        <f>R152</f>
        <v/>
      </c>
      <c r="S92" s="263">
        <f>S152</f>
        <v/>
      </c>
      <c r="T92" s="263">
        <f>T152</f>
        <v/>
      </c>
      <c r="U92" s="263">
        <f>U152</f>
        <v/>
      </c>
      <c r="V92" s="263">
        <f>V152</f>
        <v/>
      </c>
      <c r="W92" s="263">
        <f>W152</f>
        <v/>
      </c>
      <c r="X92" s="263">
        <f>X152</f>
        <v/>
      </c>
      <c r="Y92" s="263">
        <f>Y152</f>
        <v/>
      </c>
      <c r="Z92" s="263">
        <f>Z152</f>
        <v/>
      </c>
      <c r="AA92" s="263">
        <f>AA152</f>
        <v/>
      </c>
      <c r="AB92" s="263">
        <f>AB152</f>
        <v/>
      </c>
      <c r="AC92" s="263">
        <f>AC152</f>
        <v/>
      </c>
      <c r="AD92" s="263">
        <f>AD152</f>
        <v/>
      </c>
      <c r="AE92" s="263">
        <f>AE152</f>
        <v/>
      </c>
      <c r="AF92" s="263">
        <f>AF109*AF88+N(AF53)</f>
        <v/>
      </c>
      <c r="AG92" s="263">
        <f>AG109*AG88+N(AG53)</f>
        <v/>
      </c>
      <c r="AH92" s="263">
        <f>SUM(AD92,AE92,AF92,AG92)</f>
        <v/>
      </c>
      <c r="AI92" s="263">
        <f>AI109*AI88</f>
        <v/>
      </c>
      <c r="AJ92" s="263">
        <f>AJ109*AJ88</f>
        <v/>
      </c>
      <c r="AK92" s="263">
        <f>AK109*AK88</f>
        <v/>
      </c>
      <c r="AL92" s="263">
        <f>AL109*AL88</f>
        <v/>
      </c>
      <c r="AM92" s="153" t="inlineStr">
        <is>
          <t>On's primary profit KPI and guidance metric (company definition: excludes share-based compensation; post-IFRS 16, so store rents sit below EBITDA in D&amp;A / interest). Drives the IFRS P&amp;L below.</t>
        </is>
      </c>
      <c r="AO92" s="20">
        <f>IFERROR((AL92/AC92)^(1/5)-1,"n/m")</f>
        <v/>
      </c>
      <c r="AP92" s="20">
        <f>IFERROR((AC92/D92)^(1/5)-1,"n/m")</f>
        <v/>
      </c>
      <c r="AQ92" s="20">
        <f>IFERROR((AC92/N92)^(1/3)-1,"n/m")</f>
        <v/>
      </c>
      <c r="AR92" s="20">
        <f>IFERROR((AC92/C92)^(1/6)-1,"n/m")</f>
        <v/>
      </c>
    </row>
    <row r="93" ht="15" customHeight="1" s="251">
      <c r="B93" s="22" t="inlineStr">
        <is>
          <t xml:space="preserve">  Adjusted EBITDA y/y %</t>
        </is>
      </c>
      <c r="C93" s="23" t="n"/>
      <c r="D93" s="255">
        <f>IF(AND(ISNUMBER(D92),ISNUMBER(C92)),IFERROR(D92/C92-1,""),"")</f>
        <v/>
      </c>
      <c r="E93" s="23" t="n"/>
      <c r="F93" s="23" t="n"/>
      <c r="G93" s="23" t="n"/>
      <c r="H93" s="23" t="n"/>
      <c r="I93" s="255">
        <f>IF(AND(ISNUMBER(I92),ISNUMBER(D92)),IFERROR(I92/D92-1,""),"")</f>
        <v/>
      </c>
      <c r="J93" s="255">
        <f>IF(AND(ISNUMBER(J92),ISNUMBER(E92)),IFERROR(J92/E92-1,""),"")</f>
        <v/>
      </c>
      <c r="K93" s="255">
        <f>IF(AND(ISNUMBER(K92),ISNUMBER(F92)),IFERROR(K92/F92-1,""),"")</f>
        <v/>
      </c>
      <c r="L93" s="255">
        <f>IF(AND(ISNUMBER(L92),ISNUMBER(G92)),IFERROR(L92/G92-1,""),"")</f>
        <v/>
      </c>
      <c r="M93" s="255">
        <f>IF(AND(ISNUMBER(M92),ISNUMBER(H92)),IFERROR(M92/H92-1,""),"")</f>
        <v/>
      </c>
      <c r="N93" s="255">
        <f>IF(AND(ISNUMBER(N92),ISNUMBER(I92)),IFERROR(N92/I92-1,""),"")</f>
        <v/>
      </c>
      <c r="O93" s="255">
        <f>IF(AND(ISNUMBER(O92),ISNUMBER(J92)),IFERROR(O92/J92-1,""),"")</f>
        <v/>
      </c>
      <c r="P93" s="255">
        <f>IF(AND(ISNUMBER(P92),ISNUMBER(K92)),IFERROR(P92/K92-1,""),"")</f>
        <v/>
      </c>
      <c r="Q93" s="255">
        <f>IF(AND(ISNUMBER(Q92),ISNUMBER(L92)),IFERROR(Q92/L92-1,""),"")</f>
        <v/>
      </c>
      <c r="R93" s="255">
        <f>IF(AND(ISNUMBER(R92),ISNUMBER(M92)),IFERROR(R92/M92-1,""),"")</f>
        <v/>
      </c>
      <c r="S93" s="255">
        <f>IF(AND(ISNUMBER(S92),ISNUMBER(N92)),IFERROR(S92/N92-1,""),"")</f>
        <v/>
      </c>
      <c r="T93" s="255">
        <f>IF(AND(ISNUMBER(T92),ISNUMBER(O92)),IFERROR(T92/O92-1,""),"")</f>
        <v/>
      </c>
      <c r="U93" s="255">
        <f>IF(AND(ISNUMBER(U92),ISNUMBER(P92)),IFERROR(U92/P92-1,""),"")</f>
        <v/>
      </c>
      <c r="V93" s="255">
        <f>IF(AND(ISNUMBER(V92),ISNUMBER(Q92)),IFERROR(V92/Q92-1,""),"")</f>
        <v/>
      </c>
      <c r="W93" s="255">
        <f>IF(AND(ISNUMBER(W92),ISNUMBER(R92)),IFERROR(W92/R92-1,""),"")</f>
        <v/>
      </c>
      <c r="X93" s="255">
        <f>IF(AND(ISNUMBER(X92),ISNUMBER(S92)),IFERROR(X92/S92-1,""),"")</f>
        <v/>
      </c>
      <c r="Y93" s="255">
        <f>IF(AND(ISNUMBER(Y92),ISNUMBER(T92)),IFERROR(Y92/T92-1,""),"")</f>
        <v/>
      </c>
      <c r="Z93" s="255">
        <f>IF(AND(ISNUMBER(Z92),ISNUMBER(U92)),IFERROR(Z92/U92-1,""),"")</f>
        <v/>
      </c>
      <c r="AA93" s="255">
        <f>IF(AND(ISNUMBER(AA92),ISNUMBER(V92)),IFERROR(AA92/V92-1,""),"")</f>
        <v/>
      </c>
      <c r="AB93" s="255">
        <f>IF(AND(ISNUMBER(AB92),ISNUMBER(W92)),IFERROR(AB92/W92-1,""),"")</f>
        <v/>
      </c>
      <c r="AC93" s="255">
        <f>IF(AND(ISNUMBER(AC92),ISNUMBER(X92)),IFERROR(AC92/X92-1,""),"")</f>
        <v/>
      </c>
      <c r="AD93" s="255">
        <f>IF(AND(ISNUMBER(AD92),ISNUMBER(Y92)),IFERROR(AD92/Y92-1,""),"")</f>
        <v/>
      </c>
      <c r="AE93" s="255">
        <f>IF(AND(ISNUMBER(AE92),ISNUMBER(Z92)),IFERROR(AE92/Z92-1,""),"")</f>
        <v/>
      </c>
      <c r="AF93" s="256">
        <f>IF(AND(ISNUMBER(AF92),ISNUMBER(AA92)),IFERROR(AF92/AA92-1,""),"")</f>
        <v/>
      </c>
      <c r="AG93" s="256">
        <f>IF(AND(ISNUMBER(AG92),ISNUMBER(AB92)),IFERROR(AG92/AB92-1,""),"")</f>
        <v/>
      </c>
      <c r="AH93" s="256">
        <f>IF(AND(ISNUMBER(AH92),ISNUMBER(AC92)),IFERROR(AH92/AC92-1,""),"")</f>
        <v/>
      </c>
      <c r="AI93" s="256">
        <f>IF(AND(ISNUMBER(AI92),ISNUMBER(AH92)),IFERROR(AI92/AH92-1,""),"")</f>
        <v/>
      </c>
      <c r="AJ93" s="256">
        <f>IF(AND(ISNUMBER(AJ92),ISNUMBER(AI92)),IFERROR(AJ92/AI92-1,""),"")</f>
        <v/>
      </c>
      <c r="AK93" s="256">
        <f>IF(AND(ISNUMBER(AK92),ISNUMBER(AJ92)),IFERROR(AK92/AJ92-1,""),"")</f>
        <v/>
      </c>
      <c r="AL93" s="256">
        <f>IF(AND(ISNUMBER(AL92),ISNUMBER(AK92)),IFERROR(AL92/AK92-1,""),"")</f>
        <v/>
      </c>
      <c r="AM93" s="153" t="n"/>
    </row>
    <row r="94" ht="15" customHeight="1" s="251">
      <c r="B94" s="57" t="inlineStr">
        <is>
          <t xml:space="preserve">  Check: build vs Adjusted EBITDA bridge (should be 0)</t>
        </is>
      </c>
      <c r="C94" s="261">
        <f>IF(AND(ISNUMBER(C92),ISNUMBER(C150)),IF(ABS(C92-C150)&lt;=0.15,0,ROUND(C92-C150,1)),"")</f>
        <v/>
      </c>
      <c r="D94" s="261">
        <f>IF(AND(ISNUMBER(D92),ISNUMBER(D150)),IF(ABS(D92-D150)&lt;=0.15,0,ROUND(D92-D150,1)),"")</f>
        <v/>
      </c>
      <c r="E94" s="261">
        <f>IF(AND(ISNUMBER(E92),ISNUMBER(E150)),IF(ABS(E92-E150)&lt;=0.15,0,ROUND(E92-E150,1)),"")</f>
        <v/>
      </c>
      <c r="F94" s="261">
        <f>IF(AND(ISNUMBER(F92),ISNUMBER(F150)),IF(ABS(F92-F150)&lt;=0.15,0,ROUND(F92-F150,1)),"")</f>
        <v/>
      </c>
      <c r="G94" s="261">
        <f>IF(AND(ISNUMBER(G92),ISNUMBER(G150)),IF(ABS(G92-G150)&lt;=0.15,0,ROUND(G92-G150,1)),"")</f>
        <v/>
      </c>
      <c r="H94" s="261">
        <f>IF(AND(ISNUMBER(H92),ISNUMBER(H150)),IF(ABS(H92-H150)&lt;=0.15,0,ROUND(H92-H150,1)),"")</f>
        <v/>
      </c>
      <c r="I94" s="261">
        <f>IF(AND(ISNUMBER(I92),ISNUMBER(I150)),IF(ABS(I92-I150)&lt;=0.15,0,ROUND(I92-I150,1)),"")</f>
        <v/>
      </c>
      <c r="J94" s="261">
        <f>IF(AND(ISNUMBER(J92),ISNUMBER(J150)),IF(ABS(J92-J150)&lt;=0.15,0,ROUND(J92-J150,1)),"")</f>
        <v/>
      </c>
      <c r="K94" s="261">
        <f>IF(AND(ISNUMBER(K92),ISNUMBER(K150)),IF(ABS(K92-K150)&lt;=0.15,0,ROUND(K92-K150,1)),"")</f>
        <v/>
      </c>
      <c r="L94" s="261">
        <f>IF(AND(ISNUMBER(L92),ISNUMBER(L150)),IF(ABS(L92-L150)&lt;=0.15,0,ROUND(L92-L150,1)),"")</f>
        <v/>
      </c>
      <c r="M94" s="261">
        <f>IF(AND(ISNUMBER(M92),ISNUMBER(M150)),IF(ABS(M92-M150)&lt;=0.15,0,ROUND(M92-M150,1)),"")</f>
        <v/>
      </c>
      <c r="N94" s="261">
        <f>IF(AND(ISNUMBER(N92),ISNUMBER(N150)),IF(ABS(N92-N150)&lt;=0.15,0,ROUND(N92-N150,1)),"")</f>
        <v/>
      </c>
      <c r="O94" s="261">
        <f>IF(AND(ISNUMBER(O92),ISNUMBER(O150)),IF(ABS(O92-O150)&lt;=0.15,0,ROUND(O92-O150,1)),"")</f>
        <v/>
      </c>
      <c r="P94" s="261">
        <f>IF(AND(ISNUMBER(P92),ISNUMBER(P150)),IF(ABS(P92-P150)&lt;=0.15,0,ROUND(P92-P150,1)),"")</f>
        <v/>
      </c>
      <c r="Q94" s="261">
        <f>IF(AND(ISNUMBER(Q92),ISNUMBER(Q150)),IF(ABS(Q92-Q150)&lt;=0.15,0,ROUND(Q92-Q150,1)),"")</f>
        <v/>
      </c>
      <c r="R94" s="261">
        <f>IF(AND(ISNUMBER(R92),ISNUMBER(R150)),IF(ABS(R92-R150)&lt;=0.15,0,ROUND(R92-R150,1)),"")</f>
        <v/>
      </c>
      <c r="S94" s="261">
        <f>IF(AND(ISNUMBER(S92),ISNUMBER(S150)),IF(ABS(S92-S150)&lt;=0.15,0,ROUND(S92-S150,1)),"")</f>
        <v/>
      </c>
      <c r="T94" s="261">
        <f>IF(AND(ISNUMBER(T92),ISNUMBER(T150)),IF(ABS(T92-T150)&lt;=0.15,0,ROUND(T92-T150,1)),"")</f>
        <v/>
      </c>
      <c r="U94" s="261">
        <f>IF(AND(ISNUMBER(U92),ISNUMBER(U150)),IF(ABS(U92-U150)&lt;=0.15,0,ROUND(U92-U150,1)),"")</f>
        <v/>
      </c>
      <c r="V94" s="261">
        <f>IF(AND(ISNUMBER(V92),ISNUMBER(V150)),IF(ABS(V92-V150)&lt;=0.15,0,ROUND(V92-V150,1)),"")</f>
        <v/>
      </c>
      <c r="W94" s="261">
        <f>IF(AND(ISNUMBER(W92),ISNUMBER(W150)),IF(ABS(W92-W150)&lt;=0.15,0,ROUND(W92-W150,1)),"")</f>
        <v/>
      </c>
      <c r="X94" s="261">
        <f>IF(AND(ISNUMBER(X92),ISNUMBER(X150)),IF(ABS(X92-X150)&lt;=0.15,0,ROUND(X92-X150,1)),"")</f>
        <v/>
      </c>
      <c r="Y94" s="261">
        <f>IF(AND(ISNUMBER(Y92),ISNUMBER(Y150)),IF(ABS(Y92-Y150)&lt;=0.15,0,ROUND(Y92-Y150,1)),"")</f>
        <v/>
      </c>
      <c r="Z94" s="261">
        <f>IF(AND(ISNUMBER(Z92),ISNUMBER(Z150)),IF(ABS(Z92-Z150)&lt;=0.15,0,ROUND(Z92-Z150,1)),"")</f>
        <v/>
      </c>
      <c r="AA94" s="261">
        <f>IF(AND(ISNUMBER(AA92),ISNUMBER(AA150)),IF(ABS(AA92-AA150)&lt;=0.15,0,ROUND(AA92-AA150,1)),"")</f>
        <v/>
      </c>
      <c r="AB94" s="261">
        <f>IF(AND(ISNUMBER(AB92),ISNUMBER(AB150)),IF(ABS(AB92-AB150)&lt;=0.15,0,ROUND(AB92-AB150,1)),"")</f>
        <v/>
      </c>
      <c r="AC94" s="261">
        <f>IF(AND(ISNUMBER(AC92),ISNUMBER(AC150)),IF(ABS(AC92-AC150)&lt;=0.15,0,ROUND(AC92-AC150,1)),"")</f>
        <v/>
      </c>
      <c r="AD94" s="261">
        <f>IF(AND(ISNUMBER(AD92),ISNUMBER(AD150)),IF(ABS(AD92-AD150)&lt;=0.15,0,ROUND(AD92-AD150,1)),"")</f>
        <v/>
      </c>
      <c r="AE94" s="261">
        <f>IF(AND(ISNUMBER(AE92),ISNUMBER(AE150)),IF(ABS(AE92-AE150)&lt;=0.15,0,ROUND(AE92-AE150,1)),"")</f>
        <v/>
      </c>
      <c r="AF94" s="264">
        <f>IF(AND(ISNUMBER(AF92),ISNUMBER(AF150)),IF(ABS(AF92-AF150)&lt;=0.15,0,ROUND(AF92-AF150,1)),"")</f>
        <v/>
      </c>
      <c r="AG94" s="264">
        <f>IF(AND(ISNUMBER(AG92),ISNUMBER(AG150)),IF(ABS(AG92-AG150)&lt;=0.15,0,ROUND(AG92-AG150,1)),"")</f>
        <v/>
      </c>
      <c r="AH94" s="264">
        <f>IF(AND(ISNUMBER(AH92),ISNUMBER(AH150)),IF(ABS(AH92-AH150)&lt;=0.15,0,ROUND(AH92-AH150,1)),"")</f>
        <v/>
      </c>
      <c r="AI94" s="264">
        <f>IF(AND(ISNUMBER(AI92),ISNUMBER(AI150)),IF(ABS(AI92-AI150)&lt;=0.15,0,ROUND(AI92-AI150,1)),"")</f>
        <v/>
      </c>
      <c r="AJ94" s="264">
        <f>IF(AND(ISNUMBER(AJ92),ISNUMBER(AJ150)),IF(ABS(AJ92-AJ150)&lt;=0.15,0,ROUND(AJ92-AJ150,1)),"")</f>
        <v/>
      </c>
      <c r="AK94" s="264">
        <f>IF(AND(ISNUMBER(AK92),ISNUMBER(AK150)),IF(ABS(AK92-AK150)&lt;=0.15,0,ROUND(AK92-AK150,1)),"")</f>
        <v/>
      </c>
      <c r="AL94" s="264">
        <f>IF(AND(ISNUMBER(AL92),ISNUMBER(AL150)),IF(ABS(AL92-AL150)&lt;=0.15,0,ROUND(AL92-AL150,1)),"")</f>
        <v/>
      </c>
      <c r="AM94" s="153" t="n"/>
    </row>
    <row r="95" ht="15" customHeight="1" s="251">
      <c r="B95" s="25" t="inlineStr">
        <is>
          <t xml:space="preserve">  SG&amp;A excl. share-based compensation and D&amp;A, % of net sales (cash operating costs)</t>
        </is>
      </c>
      <c r="C95" s="215">
        <f>IF(ISNUMBER(C113),IFERROR((C113-C104-C102-N(C106))/C109,""),"")</f>
        <v/>
      </c>
      <c r="D95" s="215">
        <f>IF(ISNUMBER(D113),IFERROR((D113-D104-D102-N(D106))/D109,""),"")</f>
        <v/>
      </c>
      <c r="E95" s="215">
        <f>IF(ISNUMBER(E113),IFERROR((E113-E104-E102-N(E106))/E109,""),"")</f>
        <v/>
      </c>
      <c r="F95" s="215">
        <f>IF(ISNUMBER(F113),IFERROR((F113-F104-F102-N(F106))/F109,""),"")</f>
        <v/>
      </c>
      <c r="G95" s="215">
        <f>IF(ISNUMBER(G113),IFERROR((G113-G104-G102-N(G106))/G109,""),"")</f>
        <v/>
      </c>
      <c r="H95" s="215">
        <f>IF(ISNUMBER(H113),IFERROR((H113-H104-H102-N(H106))/H109,""),"")</f>
        <v/>
      </c>
      <c r="I95" s="215">
        <f>IF(ISNUMBER(I113),IFERROR((I113-I104-I102-N(I106))/I109,""),"")</f>
        <v/>
      </c>
      <c r="J95" s="215">
        <f>IF(ISNUMBER(J113),IFERROR((J113-J104-J102-N(J106))/J109,""),"")</f>
        <v/>
      </c>
      <c r="K95" s="215">
        <f>IF(ISNUMBER(K113),IFERROR((K113-K104-K102-N(K106))/K109,""),"")</f>
        <v/>
      </c>
      <c r="L95" s="215">
        <f>IF(ISNUMBER(L113),IFERROR((L113-L104-L102-N(L106))/L109,""),"")</f>
        <v/>
      </c>
      <c r="M95" s="215">
        <f>IF(ISNUMBER(M113),IFERROR((M113-M104-M102-N(M106))/M109,""),"")</f>
        <v/>
      </c>
      <c r="N95" s="215">
        <f>IF(ISNUMBER(N113),IFERROR((N113-N104-N102-N(N106))/N109,""),"")</f>
        <v/>
      </c>
      <c r="O95" s="215">
        <f>IF(ISNUMBER(O113),IFERROR((O113-O104-O102-N(O106))/O109,""),"")</f>
        <v/>
      </c>
      <c r="P95" s="215">
        <f>IF(ISNUMBER(P113),IFERROR((P113-P104-P102-N(P106))/P109,""),"")</f>
        <v/>
      </c>
      <c r="Q95" s="215">
        <f>IF(ISNUMBER(Q113),IFERROR((Q113-Q104-Q102-N(Q106))/Q109,""),"")</f>
        <v/>
      </c>
      <c r="R95" s="215">
        <f>IF(ISNUMBER(R113),IFERROR((R113-R104-R102-N(R106))/R109,""),"")</f>
        <v/>
      </c>
      <c r="S95" s="215">
        <f>IF(ISNUMBER(S113),IFERROR((S113-S104-S102-N(S106))/S109,""),"")</f>
        <v/>
      </c>
      <c r="T95" s="215">
        <f>IF(ISNUMBER(T113),IFERROR((T113-T104-T102-N(T106))/T109,""),"")</f>
        <v/>
      </c>
      <c r="U95" s="215">
        <f>IF(ISNUMBER(U113),IFERROR((U113-U104-U102-N(U106))/U109,""),"")</f>
        <v/>
      </c>
      <c r="V95" s="215">
        <f>IF(ISNUMBER(V113),IFERROR((V113-V104-V102-N(V106))/V109,""),"")</f>
        <v/>
      </c>
      <c r="W95" s="215">
        <f>IF(ISNUMBER(W113),IFERROR((W113-W104-W102-N(W106))/W109,""),"")</f>
        <v/>
      </c>
      <c r="X95" s="215">
        <f>IF(ISNUMBER(X113),IFERROR((X113-X104-X102-N(X106))/X109,""),"")</f>
        <v/>
      </c>
      <c r="Y95" s="215">
        <f>IF(ISNUMBER(Y113),IFERROR((Y113-Y104-Y102-N(Y106))/Y109,""),"")</f>
        <v/>
      </c>
      <c r="Z95" s="215">
        <f>IF(ISNUMBER(Z113),IFERROR((Z113-Z104-Z102-N(Z106))/Z109,""),"")</f>
        <v/>
      </c>
      <c r="AA95" s="215">
        <f>IF(ISNUMBER(AA113),IFERROR((AA113-AA104-AA102-N(AA106))/AA109,""),"")</f>
        <v/>
      </c>
      <c r="AB95" s="215">
        <f>IF(ISNUMBER(AB113),IFERROR((AB113-AB104-AB102-N(AB106))/AB109,""),"")</f>
        <v/>
      </c>
      <c r="AC95" s="215">
        <f>IF(ISNUMBER(AC113),IFERROR((AC113-AC104-AC102-N(AC106))/AC109,""),"")</f>
        <v/>
      </c>
      <c r="AD95" s="215">
        <f>IF(ISNUMBER(AD113),IFERROR((AD113-AD104-AD102-N(AD106))/AD109,""),"")</f>
        <v/>
      </c>
      <c r="AE95" s="215">
        <f>IF(ISNUMBER(AE113),IFERROR((AE113-AE104-AE102-N(AE106))/AE109,""),"")</f>
        <v/>
      </c>
      <c r="AF95" s="256">
        <f>IF(ISNUMBER(AF113),IFERROR((AF113-AF104-AF102-N(AF106))/AF109,""),"")</f>
        <v/>
      </c>
      <c r="AG95" s="256">
        <f>IF(ISNUMBER(AG113),IFERROR((AG113-AG104-AG102-N(AG106))/AG109,""),"")</f>
        <v/>
      </c>
      <c r="AH95" s="256">
        <f>IF(ISNUMBER(AH113),IFERROR((AH113-AH104-AH102-N(AH106))/AH109,""),"")</f>
        <v/>
      </c>
      <c r="AI95" s="256">
        <f>IF(ISNUMBER(AI113),IFERROR((AI113-AI104-AI102-N(AI106))/AI109,""),"")</f>
        <v/>
      </c>
      <c r="AJ95" s="256">
        <f>IF(ISNUMBER(AJ113),IFERROR((AJ113-AJ104-AJ102-N(AJ106))/AJ109,""),"")</f>
        <v/>
      </c>
      <c r="AK95" s="256">
        <f>IF(ISNUMBER(AK113),IFERROR((AK113-AK104-AK102-N(AK106))/AK109,""),"")</f>
        <v/>
      </c>
      <c r="AL95" s="256">
        <f>IF(ISNUMBER(AL113),IFERROR((AL113-AL104-AL102-N(AL106))/AL109,""),"")</f>
        <v/>
      </c>
      <c r="AM95" s="153" t="inlineStr">
        <is>
          <t>Output: gross margin − Adjusted EBITDA margin (equity transaction costs 2021–22 also excluded). Investor Day: "meaningful SG&amp;A leverage" to 2029.</t>
        </is>
      </c>
      <c r="AO95" s="37">
        <f>IFERROR(AVERAGE(AH95,AI95,AJ95,AK95,AL95),"n/m")</f>
        <v/>
      </c>
      <c r="AP95" s="37">
        <f>IFERROR(AVERAGE(I95,N95,S95,X95,AC95),"n/m")</f>
        <v/>
      </c>
      <c r="AQ95" s="37">
        <f>IFERROR(AVERAGE(S95,X95,AC95),"n/m")</f>
        <v/>
      </c>
      <c r="AR95" s="37">
        <f>IFERROR(AVERAGE(C95,D95,I95,N95,S95,X95,AC95),"n/m")</f>
        <v/>
      </c>
    </row>
    <row r="96" ht="15" customHeight="1" s="251">
      <c r="B96" s="25" t="inlineStr">
        <is>
          <t xml:space="preserve">  Investor Day 2026 targets (22-Sep-2026) vs model — information, not forced:</t>
        </is>
      </c>
      <c r="AM96" s="153" t="n"/>
    </row>
    <row r="97" ht="15" customHeight="1" s="251">
      <c r="B97" s="156" t="inlineStr">
        <is>
          <t xml:space="preserve">    2029 net sales target: ≥ CHF 5.6bn at current FX (model − target, CHF m)</t>
        </is>
      </c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  <c r="AE97" s="44" t="n"/>
      <c r="AF97" s="35" t="n"/>
      <c r="AG97" s="35" t="n"/>
      <c r="AH97" s="35" t="n"/>
      <c r="AI97" s="35" t="n"/>
      <c r="AJ97" s="35" t="n"/>
      <c r="AK97" s="254">
        <f>AK109-5600.0</f>
        <v/>
      </c>
      <c r="AL97" s="35" t="n"/>
      <c r="AM97" s="153" t="n"/>
    </row>
    <row r="98" ht="15" customHeight="1" s="251">
      <c r="B98" s="156" t="inlineStr">
        <is>
          <t xml:space="preserve">    2026–29 constant-currency net sales CAGR (target: high-teens)</t>
        </is>
      </c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  <c r="AE98" s="44" t="n"/>
      <c r="AF98" s="35" t="n"/>
      <c r="AG98" s="35" t="n"/>
      <c r="AH98" s="35" t="n"/>
      <c r="AI98" s="35" t="n"/>
      <c r="AJ98" s="35" t="n"/>
      <c r="AK98" s="256">
        <f>IFERROR(((AI42+1)*(AJ42+1)*(AK42+1))^(1/3)-1,"")</f>
        <v/>
      </c>
      <c r="AL98" s="35" t="n"/>
      <c r="AM98" s="153" t="n"/>
    </row>
    <row r="99" ht="15" customHeight="1" s="251">
      <c r="B99" s="156" t="inlineStr">
        <is>
          <t xml:space="preserve">    2026–29 Adjusted EBITDA CAGR (target: &gt; 20%; on FY26 excl. tariff refund)</t>
        </is>
      </c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  <c r="AE99" s="44" t="n"/>
      <c r="AF99" s="35" t="n"/>
      <c r="AG99" s="35" t="n"/>
      <c r="AH99" s="35" t="n"/>
      <c r="AI99" s="35" t="n"/>
      <c r="AJ99" s="35" t="n"/>
      <c r="AK99" s="256">
        <f>IFERROR((AK92/(AH92-AH53))^(1/3)-1,"")</f>
        <v/>
      </c>
      <c r="AL99" s="35" t="n"/>
      <c r="AM99" s="153" t="n"/>
    </row>
    <row r="100" ht="15" customHeight="1" s="251">
      <c r="AU100" s="11" t="n"/>
      <c r="AV100" s="12" t="n"/>
      <c r="AW100" s="12" t="n"/>
      <c r="AX100" s="12" t="n"/>
      <c r="AY100" s="13" t="n"/>
    </row>
    <row r="101" ht="15" customHeight="1" s="251">
      <c r="B101" s="14" t="inlineStr">
        <is>
          <t>Cost drivers &amp; D&amp;A</t>
        </is>
      </c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5" t="inlineStr">
        <is>
          <t>COST DRIVERS — Q3/Q4-26E: FY26 point estimates less 1H/26; 2027E+: % of net sales</t>
        </is>
      </c>
    </row>
    <row r="102" ht="15" customHeight="1" s="251">
      <c r="B102" s="25" t="inlineStr">
        <is>
          <t xml:space="preserve">  Depreciation &amp; amortization (incl. right-of-use assets)</t>
        </is>
      </c>
      <c r="C102" s="253" t="n">
        <v>5.342</v>
      </c>
      <c r="D102" s="253" t="n">
        <v>12.091</v>
      </c>
      <c r="E102" s="253" t="n">
        <v>5.325</v>
      </c>
      <c r="F102" s="253" t="n">
        <v>6.351</v>
      </c>
      <c r="G102" s="253" t="n">
        <v>7.716</v>
      </c>
      <c r="H102" s="253" t="n">
        <v>12.022</v>
      </c>
      <c r="I102" s="253" t="n">
        <v>31.414</v>
      </c>
      <c r="J102" s="253" t="n">
        <v>9.308</v>
      </c>
      <c r="K102" s="253" t="n">
        <v>10.647</v>
      </c>
      <c r="L102" s="253" t="n">
        <v>13.72</v>
      </c>
      <c r="M102" s="253" t="n">
        <v>12.7</v>
      </c>
      <c r="N102" s="253" t="n">
        <v>46.4</v>
      </c>
      <c r="O102" s="253" t="n">
        <v>13.8</v>
      </c>
      <c r="P102" s="253" t="n">
        <v>14.2</v>
      </c>
      <c r="Q102" s="253" t="n">
        <v>16.6</v>
      </c>
      <c r="R102" s="253" t="n">
        <v>20.3</v>
      </c>
      <c r="S102" s="253" t="n">
        <v>64.90000000000001</v>
      </c>
      <c r="T102" s="253" t="n">
        <v>22.1</v>
      </c>
      <c r="U102" s="253" t="n">
        <v>26.3</v>
      </c>
      <c r="V102" s="253" t="n">
        <v>27.5</v>
      </c>
      <c r="W102" s="253" t="n">
        <v>28.7</v>
      </c>
      <c r="X102" s="253" t="n">
        <v>104.6</v>
      </c>
      <c r="Y102" s="253" t="n">
        <v>28.3</v>
      </c>
      <c r="Z102" s="253" t="n">
        <v>32.4</v>
      </c>
      <c r="AA102" s="253" t="n">
        <v>32.2</v>
      </c>
      <c r="AB102" s="253" t="n">
        <v>34.5</v>
      </c>
      <c r="AC102" s="253" t="n">
        <v>127.4</v>
      </c>
      <c r="AD102" s="253" t="n">
        <v>35.6</v>
      </c>
      <c r="AE102" s="253" t="n">
        <v>36.5</v>
      </c>
      <c r="AF102" s="254">
        <f>($AW$21-(AD102+AE102))/2</f>
        <v/>
      </c>
      <c r="AG102" s="254">
        <f>($AW$21-(AD102+AE102))/2</f>
        <v/>
      </c>
      <c r="AH102" s="254">
        <f>SUM(AD102,AE102,AF102,AG102)</f>
        <v/>
      </c>
      <c r="AI102" s="254">
        <f>AI109*AI103</f>
        <v/>
      </c>
      <c r="AJ102" s="254">
        <f>AJ109*AJ103</f>
        <v/>
      </c>
      <c r="AK102" s="254">
        <f>AK109*AK103</f>
        <v/>
      </c>
      <c r="AL102" s="254">
        <f>AL109*AL103</f>
        <v/>
      </c>
      <c r="AM102" s="19" t="inlineStr">
        <is>
          <t>IFRS 16: includes depreciation of store / office / warehouse right-of-use assets (rent is not in Adjusted EBITDA).</t>
        </is>
      </c>
      <c r="AO102" s="20">
        <f>IFERROR((AL102/AC102)^(1/5)-1,"n/m")</f>
        <v/>
      </c>
      <c r="AP102" s="20">
        <f>IFERROR((AC102/D102)^(1/5)-1,"n/m")</f>
        <v/>
      </c>
      <c r="AQ102" s="20">
        <f>IFERROR((AC102/N102)^(1/3)-1,"n/m")</f>
        <v/>
      </c>
      <c r="AR102" s="20">
        <f>IFERROR((AC102/C102)^(1/6)-1,"n/m")</f>
        <v/>
      </c>
    </row>
    <row r="103" ht="15" customHeight="1" s="251">
      <c r="B103" s="25" t="inlineStr">
        <is>
          <t xml:space="preserve">  D&amp;A % of net sales</t>
        </is>
      </c>
      <c r="C103" s="215">
        <f>IF(AND(ISNUMBER(C102),ISNUMBER(C109)),IFERROR(C102/C109,""),"")</f>
        <v/>
      </c>
      <c r="D103" s="215">
        <f>IF(AND(ISNUMBER(D102),ISNUMBER(D109)),IFERROR(D102/D109,""),"")</f>
        <v/>
      </c>
      <c r="E103" s="215">
        <f>IF(AND(ISNUMBER(E102),ISNUMBER(E109)),IFERROR(E102/E109,""),"")</f>
        <v/>
      </c>
      <c r="F103" s="215">
        <f>IF(AND(ISNUMBER(F102),ISNUMBER(F109)),IFERROR(F102/F109,""),"")</f>
        <v/>
      </c>
      <c r="G103" s="215">
        <f>IF(AND(ISNUMBER(G102),ISNUMBER(G109)),IFERROR(G102/G109,""),"")</f>
        <v/>
      </c>
      <c r="H103" s="215">
        <f>IF(AND(ISNUMBER(H102),ISNUMBER(H109)),IFERROR(H102/H109,""),"")</f>
        <v/>
      </c>
      <c r="I103" s="215">
        <f>IF(AND(ISNUMBER(I102),ISNUMBER(I109)),IFERROR(I102/I109,""),"")</f>
        <v/>
      </c>
      <c r="J103" s="215">
        <f>IF(AND(ISNUMBER(J102),ISNUMBER(J109)),IFERROR(J102/J109,""),"")</f>
        <v/>
      </c>
      <c r="K103" s="215">
        <f>IF(AND(ISNUMBER(K102),ISNUMBER(K109)),IFERROR(K102/K109,""),"")</f>
        <v/>
      </c>
      <c r="L103" s="215">
        <f>IF(AND(ISNUMBER(L102),ISNUMBER(L109)),IFERROR(L102/L109,""),"")</f>
        <v/>
      </c>
      <c r="M103" s="215">
        <f>IF(AND(ISNUMBER(M102),ISNUMBER(M109)),IFERROR(M102/M109,""),"")</f>
        <v/>
      </c>
      <c r="N103" s="215">
        <f>IF(AND(ISNUMBER(N102),ISNUMBER(N109)),IFERROR(N102/N109,""),"")</f>
        <v/>
      </c>
      <c r="O103" s="215">
        <f>IF(AND(ISNUMBER(O102),ISNUMBER(O109)),IFERROR(O102/O109,""),"")</f>
        <v/>
      </c>
      <c r="P103" s="215">
        <f>IF(AND(ISNUMBER(P102),ISNUMBER(P109)),IFERROR(P102/P109,""),"")</f>
        <v/>
      </c>
      <c r="Q103" s="215">
        <f>IF(AND(ISNUMBER(Q102),ISNUMBER(Q109)),IFERROR(Q102/Q109,""),"")</f>
        <v/>
      </c>
      <c r="R103" s="215">
        <f>IF(AND(ISNUMBER(R102),ISNUMBER(R109)),IFERROR(R102/R109,""),"")</f>
        <v/>
      </c>
      <c r="S103" s="215">
        <f>IF(AND(ISNUMBER(S102),ISNUMBER(S109)),IFERROR(S102/S109,""),"")</f>
        <v/>
      </c>
      <c r="T103" s="215">
        <f>IF(AND(ISNUMBER(T102),ISNUMBER(T109)),IFERROR(T102/T109,""),"")</f>
        <v/>
      </c>
      <c r="U103" s="215">
        <f>IF(AND(ISNUMBER(U102),ISNUMBER(U109)),IFERROR(U102/U109,""),"")</f>
        <v/>
      </c>
      <c r="V103" s="215">
        <f>IF(AND(ISNUMBER(V102),ISNUMBER(V109)),IFERROR(V102/V109,""),"")</f>
        <v/>
      </c>
      <c r="W103" s="215">
        <f>IF(AND(ISNUMBER(W102),ISNUMBER(W109)),IFERROR(W102/W109,""),"")</f>
        <v/>
      </c>
      <c r="X103" s="215">
        <f>IF(AND(ISNUMBER(X102),ISNUMBER(X109)),IFERROR(X102/X109,""),"")</f>
        <v/>
      </c>
      <c r="Y103" s="215">
        <f>IF(AND(ISNUMBER(Y102),ISNUMBER(Y109)),IFERROR(Y102/Y109,""),"")</f>
        <v/>
      </c>
      <c r="Z103" s="215">
        <f>IF(AND(ISNUMBER(Z102),ISNUMBER(Z109)),IFERROR(Z102/Z109,""),"")</f>
        <v/>
      </c>
      <c r="AA103" s="215">
        <f>IF(AND(ISNUMBER(AA102),ISNUMBER(AA109)),IFERROR(AA102/AA109,""),"")</f>
        <v/>
      </c>
      <c r="AB103" s="215">
        <f>IF(AND(ISNUMBER(AB102),ISNUMBER(AB109)),IFERROR(AB102/AB109,""),"")</f>
        <v/>
      </c>
      <c r="AC103" s="215">
        <f>IF(AND(ISNUMBER(AC102),ISNUMBER(AC109)),IFERROR(AC102/AC109,""),"")</f>
        <v/>
      </c>
      <c r="AD103" s="215">
        <f>IF(AND(ISNUMBER(AD102),ISNUMBER(AD109)),IFERROR(AD102/AD109,""),"")</f>
        <v/>
      </c>
      <c r="AE103" s="215">
        <f>IF(AND(ISNUMBER(AE102),ISNUMBER(AE109)),IFERROR(AE102/AE109,""),"")</f>
        <v/>
      </c>
      <c r="AF103" s="256">
        <f>IF(AND(ISNUMBER(AF102),ISNUMBER(AF109)),IFERROR(AF102/AF109,""),"")</f>
        <v/>
      </c>
      <c r="AG103" s="256">
        <f>IF(AND(ISNUMBER(AG102),ISNUMBER(AG109)),IFERROR(AG102/AG109,""),"")</f>
        <v/>
      </c>
      <c r="AH103" s="256">
        <f>IF(AND(ISNUMBER(AH102),ISNUMBER(AH109)),IFERROR(AH102/AH109,""),"")</f>
        <v/>
      </c>
      <c r="AI103" s="260" t="n">
        <v>0.043</v>
      </c>
      <c r="AJ103" s="260" t="n">
        <v>0.043</v>
      </c>
      <c r="AK103" s="260" t="n">
        <v>0.043</v>
      </c>
      <c r="AL103" s="260" t="n">
        <v>0.043</v>
      </c>
      <c r="AM103" s="153" t="n"/>
      <c r="AO103" s="37">
        <f>IFERROR(AVERAGE(AH103,AI103,AJ103,AK103,AL103),"n/m")</f>
        <v/>
      </c>
      <c r="AP103" s="37">
        <f>IFERROR(AVERAGE(I103,N103,S103,X103,AC103),"n/m")</f>
        <v/>
      </c>
      <c r="AQ103" s="37">
        <f>IFERROR(AVERAGE(S103,X103,AC103),"n/m")</f>
        <v/>
      </c>
      <c r="AR103" s="37">
        <f>IFERROR(AVERAGE(C103,D103,I103,N103,S103,X103,AC103),"n/m")</f>
        <v/>
      </c>
    </row>
    <row r="104" ht="15" customHeight="1" s="251">
      <c r="B104" s="25" t="inlineStr">
        <is>
          <t xml:space="preserve">  Share-based compensation (incl. social charges; Adjusted EBITDA reconciliation)</t>
        </is>
      </c>
      <c r="C104" s="253" t="n">
        <v>18.838</v>
      </c>
      <c r="D104" s="253" t="n">
        <v>54.765</v>
      </c>
      <c r="E104" s="253" t="n">
        <v>25.482</v>
      </c>
      <c r="F104" s="253" t="n">
        <v>-5.59</v>
      </c>
      <c r="G104" s="253" t="n">
        <v>2.36</v>
      </c>
      <c r="H104" s="253" t="n">
        <v>176.205</v>
      </c>
      <c r="I104" s="253" t="n">
        <v>198.456</v>
      </c>
      <c r="J104" s="253" t="n">
        <v>3.031</v>
      </c>
      <c r="K104" s="253" t="n">
        <v>-5.566</v>
      </c>
      <c r="L104" s="253" t="n">
        <v>1.93</v>
      </c>
      <c r="M104" s="253" t="n">
        <v>34.4</v>
      </c>
      <c r="N104" s="253" t="n">
        <v>33.8</v>
      </c>
      <c r="O104" s="253" t="n">
        <v>4.9</v>
      </c>
      <c r="P104" s="253" t="n">
        <v>9.1</v>
      </c>
      <c r="Q104" s="253" t="n">
        <v>7</v>
      </c>
      <c r="R104" s="253" t="n">
        <v>10.8</v>
      </c>
      <c r="S104" s="253" t="n">
        <v>31.8</v>
      </c>
      <c r="T104" s="253" t="n">
        <v>16.8</v>
      </c>
      <c r="U104" s="253" t="n">
        <v>17.1</v>
      </c>
      <c r="V104" s="253" t="n">
        <v>19.9</v>
      </c>
      <c r="W104" s="253" t="n">
        <v>17.6</v>
      </c>
      <c r="X104" s="253" t="n">
        <v>71.5</v>
      </c>
      <c r="Y104" s="253" t="n">
        <v>14.6</v>
      </c>
      <c r="Z104" s="253" t="n">
        <v>10.9</v>
      </c>
      <c r="AA104" s="253" t="n">
        <v>23</v>
      </c>
      <c r="AB104" s="253" t="n">
        <v>14</v>
      </c>
      <c r="AC104" s="253" t="n">
        <v>62.6</v>
      </c>
      <c r="AD104" s="253" t="n">
        <v>21.3</v>
      </c>
      <c r="AE104" s="253" t="n">
        <v>12.2</v>
      </c>
      <c r="AF104" s="254">
        <f>($AW$22-(AD104+AE104))/2</f>
        <v/>
      </c>
      <c r="AG104" s="254">
        <f>($AW$22-(AD104+AE104))/2</f>
        <v/>
      </c>
      <c r="AH104" s="254">
        <f>SUM(AD104,AE104,AF104,AG104)</f>
        <v/>
      </c>
      <c r="AI104" s="254">
        <f>AI109*AI105</f>
        <v/>
      </c>
      <c r="AJ104" s="254">
        <f>AJ109*AJ105</f>
        <v/>
      </c>
      <c r="AK104" s="254">
        <f>AK109*AK105</f>
        <v/>
      </c>
      <c r="AL104" s="254">
        <f>AL109*AL105</f>
        <v/>
      </c>
      <c r="AM104" s="19" t="inlineStr">
        <is>
          <t>2021 includes the IPO founder / employee awards (CHF 176m in Q4-21). Forecast: FY26 point estimate, then % of net sales.</t>
        </is>
      </c>
      <c r="AO104" s="20">
        <f>IFERROR((AL104/AC104)^(1/5)-1,"n/m")</f>
        <v/>
      </c>
      <c r="AP104" s="20">
        <f>IFERROR((AC104/D104)^(1/5)-1,"n/m")</f>
        <v/>
      </c>
      <c r="AQ104" s="20">
        <f>IFERROR((AC104/N104)^(1/3)-1,"n/m")</f>
        <v/>
      </c>
      <c r="AR104" s="20">
        <f>IFERROR((AC104/C104)^(1/6)-1,"n/m")</f>
        <v/>
      </c>
    </row>
    <row r="105" ht="15" customHeight="1" s="251">
      <c r="B105" s="25" t="inlineStr">
        <is>
          <t xml:space="preserve">  Share-based compensation % of net sales</t>
        </is>
      </c>
      <c r="C105" s="215">
        <f>IF(AND(ISNUMBER(C104),ISNUMBER(C109)),IFERROR(C104/C109,""),"")</f>
        <v/>
      </c>
      <c r="D105" s="215">
        <f>IF(AND(ISNUMBER(D104),ISNUMBER(D109)),IFERROR(D104/D109,""),"")</f>
        <v/>
      </c>
      <c r="E105" s="215">
        <f>IF(AND(ISNUMBER(E104),ISNUMBER(E109)),IFERROR(E104/E109,""),"")</f>
        <v/>
      </c>
      <c r="F105" s="215">
        <f>IF(AND(ISNUMBER(F104),ISNUMBER(F109)),IFERROR(F104/F109,""),"")</f>
        <v/>
      </c>
      <c r="G105" s="215">
        <f>IF(AND(ISNUMBER(G104),ISNUMBER(G109)),IFERROR(G104/G109,""),"")</f>
        <v/>
      </c>
      <c r="H105" s="215">
        <f>IF(AND(ISNUMBER(H104),ISNUMBER(H109)),IFERROR(H104/H109,""),"")</f>
        <v/>
      </c>
      <c r="I105" s="215">
        <f>IF(AND(ISNUMBER(I104),ISNUMBER(I109)),IFERROR(I104/I109,""),"")</f>
        <v/>
      </c>
      <c r="J105" s="215">
        <f>IF(AND(ISNUMBER(J104),ISNUMBER(J109)),IFERROR(J104/J109,""),"")</f>
        <v/>
      </c>
      <c r="K105" s="215">
        <f>IF(AND(ISNUMBER(K104),ISNUMBER(K109)),IFERROR(K104/K109,""),"")</f>
        <v/>
      </c>
      <c r="L105" s="215">
        <f>IF(AND(ISNUMBER(L104),ISNUMBER(L109)),IFERROR(L104/L109,""),"")</f>
        <v/>
      </c>
      <c r="M105" s="215">
        <f>IF(AND(ISNUMBER(M104),ISNUMBER(M109)),IFERROR(M104/M109,""),"")</f>
        <v/>
      </c>
      <c r="N105" s="215">
        <f>IF(AND(ISNUMBER(N104),ISNUMBER(N109)),IFERROR(N104/N109,""),"")</f>
        <v/>
      </c>
      <c r="O105" s="215">
        <f>IF(AND(ISNUMBER(O104),ISNUMBER(O109)),IFERROR(O104/O109,""),"")</f>
        <v/>
      </c>
      <c r="P105" s="215">
        <f>IF(AND(ISNUMBER(P104),ISNUMBER(P109)),IFERROR(P104/P109,""),"")</f>
        <v/>
      </c>
      <c r="Q105" s="215">
        <f>IF(AND(ISNUMBER(Q104),ISNUMBER(Q109)),IFERROR(Q104/Q109,""),"")</f>
        <v/>
      </c>
      <c r="R105" s="215">
        <f>IF(AND(ISNUMBER(R104),ISNUMBER(R109)),IFERROR(R104/R109,""),"")</f>
        <v/>
      </c>
      <c r="S105" s="215">
        <f>IF(AND(ISNUMBER(S104),ISNUMBER(S109)),IFERROR(S104/S109,""),"")</f>
        <v/>
      </c>
      <c r="T105" s="215">
        <f>IF(AND(ISNUMBER(T104),ISNUMBER(T109)),IFERROR(T104/T109,""),"")</f>
        <v/>
      </c>
      <c r="U105" s="215">
        <f>IF(AND(ISNUMBER(U104),ISNUMBER(U109)),IFERROR(U104/U109,""),"")</f>
        <v/>
      </c>
      <c r="V105" s="215">
        <f>IF(AND(ISNUMBER(V104),ISNUMBER(V109)),IFERROR(V104/V109,""),"")</f>
        <v/>
      </c>
      <c r="W105" s="215">
        <f>IF(AND(ISNUMBER(W104),ISNUMBER(W109)),IFERROR(W104/W109,""),"")</f>
        <v/>
      </c>
      <c r="X105" s="215">
        <f>IF(AND(ISNUMBER(X104),ISNUMBER(X109)),IFERROR(X104/X109,""),"")</f>
        <v/>
      </c>
      <c r="Y105" s="215">
        <f>IF(AND(ISNUMBER(Y104),ISNUMBER(Y109)),IFERROR(Y104/Y109,""),"")</f>
        <v/>
      </c>
      <c r="Z105" s="215">
        <f>IF(AND(ISNUMBER(Z104),ISNUMBER(Z109)),IFERROR(Z104/Z109,""),"")</f>
        <v/>
      </c>
      <c r="AA105" s="215">
        <f>IF(AND(ISNUMBER(AA104),ISNUMBER(AA109)),IFERROR(AA104/AA109,""),"")</f>
        <v/>
      </c>
      <c r="AB105" s="215">
        <f>IF(AND(ISNUMBER(AB104),ISNUMBER(AB109)),IFERROR(AB104/AB109,""),"")</f>
        <v/>
      </c>
      <c r="AC105" s="215">
        <f>IF(AND(ISNUMBER(AC104),ISNUMBER(AC109)),IFERROR(AC104/AC109,""),"")</f>
        <v/>
      </c>
      <c r="AD105" s="215">
        <f>IF(AND(ISNUMBER(AD104),ISNUMBER(AD109)),IFERROR(AD104/AD109,""),"")</f>
        <v/>
      </c>
      <c r="AE105" s="215">
        <f>IF(AND(ISNUMBER(AE104),ISNUMBER(AE109)),IFERROR(AE104/AE109,""),"")</f>
        <v/>
      </c>
      <c r="AF105" s="256">
        <f>IF(AND(ISNUMBER(AF104),ISNUMBER(AF109)),IFERROR(AF104/AF109,""),"")</f>
        <v/>
      </c>
      <c r="AG105" s="256">
        <f>IF(AND(ISNUMBER(AG104),ISNUMBER(AG109)),IFERROR(AG104/AG109,""),"")</f>
        <v/>
      </c>
      <c r="AH105" s="256">
        <f>IF(AND(ISNUMBER(AH104),ISNUMBER(AH109)),IFERROR(AH104/AH109,""),"")</f>
        <v/>
      </c>
      <c r="AI105" s="260" t="n">
        <v>0.019</v>
      </c>
      <c r="AJ105" s="260" t="n">
        <v>0.019</v>
      </c>
      <c r="AK105" s="260" t="n">
        <v>0.019</v>
      </c>
      <c r="AL105" s="260" t="n">
        <v>0.019</v>
      </c>
      <c r="AM105" s="153" t="n"/>
      <c r="AO105" s="37">
        <f>IFERROR(AVERAGE(AH105,AI105,AJ105,AK105,AL105),"n/m")</f>
        <v/>
      </c>
      <c r="AP105" s="37">
        <f>IFERROR(AVERAGE(I105,N105,S105,X105,AC105),"n/m")</f>
        <v/>
      </c>
      <c r="AQ105" s="37">
        <f>IFERROR(AVERAGE(S105,X105,AC105),"n/m")</f>
        <v/>
      </c>
      <c r="AR105" s="37">
        <f>IFERROR(AVERAGE(C105,D105,I105,N105,S105,X105,AC105),"n/m")</f>
        <v/>
      </c>
    </row>
    <row r="106" ht="15" customHeight="1" s="251">
      <c r="B106" s="25" t="inlineStr">
        <is>
          <t xml:space="preserve">  Equity transaction costs (IPO 2021; added back to Adjusted EBITDA)</t>
        </is>
      </c>
      <c r="C106" s="253" t="n">
        <v>0</v>
      </c>
      <c r="D106" s="253" t="n">
        <v>0</v>
      </c>
      <c r="E106" s="253" t="n">
        <v>0</v>
      </c>
      <c r="F106" s="253" t="n">
        <v>3.251</v>
      </c>
      <c r="G106" s="253" t="n">
        <v>3.974</v>
      </c>
      <c r="H106" s="253" t="n">
        <v>0.422</v>
      </c>
      <c r="I106" s="253" t="n">
        <v>7.647</v>
      </c>
      <c r="J106" s="253" t="n">
        <v>0</v>
      </c>
      <c r="K106" s="253" t="n">
        <v>0</v>
      </c>
      <c r="L106" s="253" t="n">
        <v>0</v>
      </c>
      <c r="M106" s="253" t="n">
        <v>0</v>
      </c>
      <c r="N106" s="253" t="n">
        <v>0</v>
      </c>
      <c r="O106" s="253" t="n">
        <v>0</v>
      </c>
      <c r="P106" s="253" t="n">
        <v>0</v>
      </c>
      <c r="Q106" s="253" t="n">
        <v>0</v>
      </c>
      <c r="R106" s="253" t="n">
        <v>0</v>
      </c>
      <c r="S106" s="253" t="n">
        <v>0</v>
      </c>
      <c r="T106" s="253" t="n">
        <v>0</v>
      </c>
      <c r="U106" s="253" t="n">
        <v>0</v>
      </c>
      <c r="V106" s="253" t="n">
        <v>0</v>
      </c>
      <c r="W106" s="253" t="n">
        <v>0</v>
      </c>
      <c r="X106" s="253" t="n">
        <v>0</v>
      </c>
      <c r="Y106" s="253" t="n">
        <v>0</v>
      </c>
      <c r="Z106" s="253" t="n">
        <v>0</v>
      </c>
      <c r="AA106" s="253" t="n">
        <v>0</v>
      </c>
      <c r="AB106" s="253" t="n">
        <v>0</v>
      </c>
      <c r="AC106" s="253" t="n">
        <v>0</v>
      </c>
      <c r="AD106" s="253" t="n">
        <v>0</v>
      </c>
      <c r="AE106" s="253" t="n">
        <v>0</v>
      </c>
      <c r="AF106" s="254">
        <f>0</f>
        <v/>
      </c>
      <c r="AG106" s="254">
        <f>0</f>
        <v/>
      </c>
      <c r="AH106" s="254">
        <f>SUM(AD106,AE106,AF106,AG106)</f>
        <v/>
      </c>
      <c r="AI106" s="254">
        <f>0</f>
        <v/>
      </c>
      <c r="AJ106" s="254">
        <f>0</f>
        <v/>
      </c>
      <c r="AK106" s="254">
        <f>0</f>
        <v/>
      </c>
      <c r="AL106" s="254">
        <f>0</f>
        <v/>
      </c>
      <c r="AM106" s="19" t="n"/>
    </row>
    <row r="107" ht="15" customHeight="1" s="251">
      <c r="AU107" s="11" t="n"/>
      <c r="AV107" s="12" t="n"/>
      <c r="AW107" s="12" t="n"/>
      <c r="AX107" s="12" t="n"/>
      <c r="AY107" s="13" t="n"/>
    </row>
    <row r="108" ht="15" customHeight="1" s="251">
      <c r="B108" s="10" t="inlineStr">
        <is>
          <t>CONSOLIDATED STATEMENT OF INCOME (IFRS)</t>
        </is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inlineStr">
        <is>
          <t>CONSOLIDATED IS — forecast logic (gross profit = net sales × gross margin + tariff refund; operating result = Adjusted EBITDA − D&amp;A − SBC; SG&amp;A implied)</t>
        </is>
      </c>
    </row>
    <row r="109" ht="15" customHeight="1" s="251">
      <c r="B109" s="55" t="inlineStr">
        <is>
          <t>Net sales</t>
        </is>
      </c>
      <c r="C109" s="267" t="n">
        <v>267.12</v>
      </c>
      <c r="D109" s="267" t="n">
        <v>425.295</v>
      </c>
      <c r="E109" s="267" t="n">
        <v>140.393</v>
      </c>
      <c r="F109" s="267" t="n">
        <v>175.062</v>
      </c>
      <c r="G109" s="267" t="n">
        <v>218.037</v>
      </c>
      <c r="H109" s="267" t="n">
        <v>191.099</v>
      </c>
      <c r="I109" s="267" t="n">
        <v>724.591</v>
      </c>
      <c r="J109" s="267" t="n">
        <v>235.681</v>
      </c>
      <c r="K109" s="267" t="n">
        <v>291.662</v>
      </c>
      <c r="L109" s="267" t="n">
        <v>328.013</v>
      </c>
      <c r="M109" s="267" t="n">
        <v>366.8</v>
      </c>
      <c r="N109" s="267" t="n">
        <v>1222.1</v>
      </c>
      <c r="O109" s="267" t="n">
        <v>420.2</v>
      </c>
      <c r="P109" s="267" t="n">
        <v>444.3</v>
      </c>
      <c r="Q109" s="267" t="n">
        <v>480.5</v>
      </c>
      <c r="R109" s="267" t="n">
        <v>447.1</v>
      </c>
      <c r="S109" s="267" t="n">
        <v>1792.1</v>
      </c>
      <c r="T109" s="267" t="n">
        <v>508.2</v>
      </c>
      <c r="U109" s="267" t="n">
        <v>567.7</v>
      </c>
      <c r="V109" s="267" t="n">
        <v>635.8</v>
      </c>
      <c r="W109" s="267" t="n">
        <v>606.6</v>
      </c>
      <c r="X109" s="267" t="n">
        <v>2318.3</v>
      </c>
      <c r="Y109" s="267" t="n">
        <v>726.6</v>
      </c>
      <c r="Z109" s="267" t="n">
        <v>749.2</v>
      </c>
      <c r="AA109" s="267" t="n">
        <v>794.4</v>
      </c>
      <c r="AB109" s="267" t="n">
        <v>743.8</v>
      </c>
      <c r="AC109" s="267" t="n">
        <v>3014</v>
      </c>
      <c r="AD109" s="267" t="n">
        <v>831.9</v>
      </c>
      <c r="AE109" s="267" t="n">
        <v>850.3</v>
      </c>
      <c r="AF109" s="263">
        <f>AF38</f>
        <v/>
      </c>
      <c r="AG109" s="263">
        <f>AG38</f>
        <v/>
      </c>
      <c r="AH109" s="263">
        <f>SUM(AD109,AE109,AF109,AG109)</f>
        <v/>
      </c>
      <c r="AI109" s="263">
        <f>AI38</f>
        <v/>
      </c>
      <c r="AJ109" s="263">
        <f>AJ38</f>
        <v/>
      </c>
      <c r="AK109" s="263">
        <f>AK38</f>
        <v/>
      </c>
      <c r="AL109" s="263">
        <f>AL38</f>
        <v/>
      </c>
      <c r="AM109" s="153" t="inlineStr">
        <is>
          <t>Forecast linked to the region build.</t>
        </is>
      </c>
      <c r="AO109" s="20">
        <f>IFERROR((AL109/AC109)^(1/5)-1,"n/m")</f>
        <v/>
      </c>
      <c r="AP109" s="20">
        <f>IFERROR((AC109/D109)^(1/5)-1,"n/m")</f>
        <v/>
      </c>
      <c r="AQ109" s="20">
        <f>IFERROR((AC109/N109)^(1/3)-1,"n/m")</f>
        <v/>
      </c>
      <c r="AR109" s="20">
        <f>IFERROR((AC109/C109)^(1/6)-1,"n/m")</f>
        <v/>
      </c>
    </row>
    <row r="110" ht="15" customHeight="1" s="251">
      <c r="B110" s="25" t="inlineStr">
        <is>
          <t>Cost of sales</t>
        </is>
      </c>
      <c r="C110" s="253" t="n">
        <v>124.003</v>
      </c>
      <c r="D110" s="253" t="n">
        <v>194.19</v>
      </c>
      <c r="E110" s="253" t="n">
        <v>59.561</v>
      </c>
      <c r="F110" s="253" t="n">
        <v>68.714</v>
      </c>
      <c r="G110" s="253" t="n">
        <v>86.749</v>
      </c>
      <c r="H110" s="253" t="n">
        <v>79.28100000000001</v>
      </c>
      <c r="I110" s="253" t="n">
        <v>294.305</v>
      </c>
      <c r="J110" s="253" t="n">
        <v>113.607</v>
      </c>
      <c r="K110" s="253" t="n">
        <v>130.824</v>
      </c>
      <c r="L110" s="253" t="n">
        <v>140.605</v>
      </c>
      <c r="M110" s="253" t="n">
        <v>152.2</v>
      </c>
      <c r="N110" s="253" t="n">
        <v>537.2</v>
      </c>
      <c r="O110" s="253" t="n">
        <v>175.3</v>
      </c>
      <c r="P110" s="253" t="n">
        <v>179.8</v>
      </c>
      <c r="Q110" s="253" t="n">
        <v>192.8</v>
      </c>
      <c r="R110" s="253" t="n">
        <v>176.9</v>
      </c>
      <c r="S110" s="253" t="n">
        <v>724.8</v>
      </c>
      <c r="T110" s="253" t="n">
        <v>204.9</v>
      </c>
      <c r="U110" s="253" t="n">
        <v>227.4</v>
      </c>
      <c r="V110" s="253" t="n">
        <v>250.5</v>
      </c>
      <c r="W110" s="253" t="n">
        <v>229.8</v>
      </c>
      <c r="X110" s="253" t="n">
        <v>912.6</v>
      </c>
      <c r="Y110" s="253" t="n">
        <v>291.3</v>
      </c>
      <c r="Z110" s="253" t="n">
        <v>288.4</v>
      </c>
      <c r="AA110" s="253" t="n">
        <v>272.1</v>
      </c>
      <c r="AB110" s="253" t="n">
        <v>268.5</v>
      </c>
      <c r="AC110" s="253" t="n">
        <v>1120.3</v>
      </c>
      <c r="AD110" s="253" t="n">
        <v>297.6</v>
      </c>
      <c r="AE110" s="253" t="n">
        <v>294.6</v>
      </c>
      <c r="AF110" s="254">
        <f>AF109-AF111</f>
        <v/>
      </c>
      <c r="AG110" s="254">
        <f>AG109-AG111</f>
        <v/>
      </c>
      <c r="AH110" s="254">
        <f>SUM(AD110,AE110,AF110,AG110)</f>
        <v/>
      </c>
      <c r="AI110" s="254">
        <f>AI109-AI111</f>
        <v/>
      </c>
      <c r="AJ110" s="254">
        <f>AJ109-AJ111</f>
        <v/>
      </c>
      <c r="AK110" s="254">
        <f>AK109-AK111</f>
        <v/>
      </c>
      <c r="AL110" s="254">
        <f>AL109-AL111</f>
        <v/>
      </c>
      <c r="AM110" s="19" t="n"/>
    </row>
    <row r="111" ht="15" customHeight="1" s="251">
      <c r="B111" s="16" t="inlineStr">
        <is>
          <t>Gross profit</t>
        </is>
      </c>
      <c r="C111" s="268">
        <f>IF(ISNUMBER(C110),C109-C110,"")</f>
        <v/>
      </c>
      <c r="D111" s="268">
        <f>IF(ISNUMBER(D110),D109-D110,"")</f>
        <v/>
      </c>
      <c r="E111" s="268">
        <f>IF(ISNUMBER(E110),E109-E110,"")</f>
        <v/>
      </c>
      <c r="F111" s="268">
        <f>IF(ISNUMBER(F110),F109-F110,"")</f>
        <v/>
      </c>
      <c r="G111" s="268">
        <f>IF(ISNUMBER(G110),G109-G110,"")</f>
        <v/>
      </c>
      <c r="H111" s="268">
        <f>IF(ISNUMBER(H110),H109-H110,"")</f>
        <v/>
      </c>
      <c r="I111" s="268">
        <f>IF(ISNUMBER(I110),I109-I110,"")</f>
        <v/>
      </c>
      <c r="J111" s="268">
        <f>IF(ISNUMBER(J110),J109-J110,"")</f>
        <v/>
      </c>
      <c r="K111" s="268">
        <f>IF(ISNUMBER(K110),K109-K110,"")</f>
        <v/>
      </c>
      <c r="L111" s="268">
        <f>IF(ISNUMBER(L110),L109-L110,"")</f>
        <v/>
      </c>
      <c r="M111" s="268">
        <f>IF(ISNUMBER(M110),M109-M110,"")</f>
        <v/>
      </c>
      <c r="N111" s="268">
        <f>IF(ISNUMBER(N110),N109-N110,"")</f>
        <v/>
      </c>
      <c r="O111" s="268">
        <f>IF(ISNUMBER(O110),O109-O110,"")</f>
        <v/>
      </c>
      <c r="P111" s="268">
        <f>IF(ISNUMBER(P110),P109-P110,"")</f>
        <v/>
      </c>
      <c r="Q111" s="268">
        <f>IF(ISNUMBER(Q110),Q109-Q110,"")</f>
        <v/>
      </c>
      <c r="R111" s="268">
        <f>IF(ISNUMBER(R110),R109-R110,"")</f>
        <v/>
      </c>
      <c r="S111" s="268">
        <f>IF(ISNUMBER(S110),S109-S110,"")</f>
        <v/>
      </c>
      <c r="T111" s="268">
        <f>IF(ISNUMBER(T110),T109-T110,"")</f>
        <v/>
      </c>
      <c r="U111" s="268">
        <f>IF(ISNUMBER(U110),U109-U110,"")</f>
        <v/>
      </c>
      <c r="V111" s="268">
        <f>IF(ISNUMBER(V110),V109-V110,"")</f>
        <v/>
      </c>
      <c r="W111" s="268">
        <f>IF(ISNUMBER(W110),W109-W110,"")</f>
        <v/>
      </c>
      <c r="X111" s="268">
        <f>IF(ISNUMBER(X110),X109-X110,"")</f>
        <v/>
      </c>
      <c r="Y111" s="268">
        <f>IF(ISNUMBER(Y110),Y109-Y110,"")</f>
        <v/>
      </c>
      <c r="Z111" s="268">
        <f>IF(ISNUMBER(Z110),Z109-Z110,"")</f>
        <v/>
      </c>
      <c r="AA111" s="268">
        <f>IF(ISNUMBER(AA110),AA109-AA110,"")</f>
        <v/>
      </c>
      <c r="AB111" s="268">
        <f>IF(ISNUMBER(AB110),AB109-AB110,"")</f>
        <v/>
      </c>
      <c r="AC111" s="268">
        <f>IF(ISNUMBER(AC110),AC109-AC110,"")</f>
        <v/>
      </c>
      <c r="AD111" s="268">
        <f>IF(ISNUMBER(AD110),AD109-AD110,"")</f>
        <v/>
      </c>
      <c r="AE111" s="268">
        <f>IF(ISNUMBER(AE110),AE109-AE110,"")</f>
        <v/>
      </c>
      <c r="AF111" s="269">
        <f>AF109*AF84+N(AF53)</f>
        <v/>
      </c>
      <c r="AG111" s="269">
        <f>AG109*AG84+N(AG53)</f>
        <v/>
      </c>
      <c r="AH111" s="269">
        <f>SUM(AD111,AE111,AF111,AG111)</f>
        <v/>
      </c>
      <c r="AI111" s="269">
        <f>AI109*AI84+N(AI53)</f>
        <v/>
      </c>
      <c r="AJ111" s="269">
        <f>AJ109*AJ84+N(AJ53)</f>
        <v/>
      </c>
      <c r="AK111" s="269">
        <f>AK109*AK84+N(AK53)</f>
        <v/>
      </c>
      <c r="AL111" s="269">
        <f>AL109*AL84+N(AL53)</f>
        <v/>
      </c>
      <c r="AM111" s="153" t="n"/>
      <c r="AO111" s="20">
        <f>IFERROR((AL111/AC111)^(1/5)-1,"n/m")</f>
        <v/>
      </c>
      <c r="AP111" s="20">
        <f>IFERROR((AC111/D111)^(1/5)-1,"n/m")</f>
        <v/>
      </c>
      <c r="AQ111" s="20">
        <f>IFERROR((AC111/N111)^(1/3)-1,"n/m")</f>
        <v/>
      </c>
      <c r="AR111" s="20">
        <f>IFERROR((AC111/C111)^(1/6)-1,"n/m")</f>
        <v/>
      </c>
    </row>
    <row r="112" ht="15" customHeight="1" s="251">
      <c r="B112" s="25" t="inlineStr">
        <is>
          <t xml:space="preserve">  Gross margin % (reported)</t>
        </is>
      </c>
      <c r="C112" s="215">
        <f>IF(AND(ISNUMBER(C111),ISNUMBER(C109)),IFERROR(C111/C109,""),"")</f>
        <v/>
      </c>
      <c r="D112" s="215">
        <f>IF(AND(ISNUMBER(D111),ISNUMBER(D109)),IFERROR(D111/D109,""),"")</f>
        <v/>
      </c>
      <c r="E112" s="215">
        <f>IF(AND(ISNUMBER(E111),ISNUMBER(E109)),IFERROR(E111/E109,""),"")</f>
        <v/>
      </c>
      <c r="F112" s="215">
        <f>IF(AND(ISNUMBER(F111),ISNUMBER(F109)),IFERROR(F111/F109,""),"")</f>
        <v/>
      </c>
      <c r="G112" s="215">
        <f>IF(AND(ISNUMBER(G111),ISNUMBER(G109)),IFERROR(G111/G109,""),"")</f>
        <v/>
      </c>
      <c r="H112" s="215">
        <f>IF(AND(ISNUMBER(H111),ISNUMBER(H109)),IFERROR(H111/H109,""),"")</f>
        <v/>
      </c>
      <c r="I112" s="215">
        <f>IF(AND(ISNUMBER(I111),ISNUMBER(I109)),IFERROR(I111/I109,""),"")</f>
        <v/>
      </c>
      <c r="J112" s="215">
        <f>IF(AND(ISNUMBER(J111),ISNUMBER(J109)),IFERROR(J111/J109,""),"")</f>
        <v/>
      </c>
      <c r="K112" s="215">
        <f>IF(AND(ISNUMBER(K111),ISNUMBER(K109)),IFERROR(K111/K109,""),"")</f>
        <v/>
      </c>
      <c r="L112" s="215">
        <f>IF(AND(ISNUMBER(L111),ISNUMBER(L109)),IFERROR(L111/L109,""),"")</f>
        <v/>
      </c>
      <c r="M112" s="215">
        <f>IF(AND(ISNUMBER(M111),ISNUMBER(M109)),IFERROR(M111/M109,""),"")</f>
        <v/>
      </c>
      <c r="N112" s="215">
        <f>IF(AND(ISNUMBER(N111),ISNUMBER(N109)),IFERROR(N111/N109,""),"")</f>
        <v/>
      </c>
      <c r="O112" s="215">
        <f>IF(AND(ISNUMBER(O111),ISNUMBER(O109)),IFERROR(O111/O109,""),"")</f>
        <v/>
      </c>
      <c r="P112" s="215">
        <f>IF(AND(ISNUMBER(P111),ISNUMBER(P109)),IFERROR(P111/P109,""),"")</f>
        <v/>
      </c>
      <c r="Q112" s="215">
        <f>IF(AND(ISNUMBER(Q111),ISNUMBER(Q109)),IFERROR(Q111/Q109,""),"")</f>
        <v/>
      </c>
      <c r="R112" s="215">
        <f>IF(AND(ISNUMBER(R111),ISNUMBER(R109)),IFERROR(R111/R109,""),"")</f>
        <v/>
      </c>
      <c r="S112" s="215">
        <f>IF(AND(ISNUMBER(S111),ISNUMBER(S109)),IFERROR(S111/S109,""),"")</f>
        <v/>
      </c>
      <c r="T112" s="215">
        <f>IF(AND(ISNUMBER(T111),ISNUMBER(T109)),IFERROR(T111/T109,""),"")</f>
        <v/>
      </c>
      <c r="U112" s="215">
        <f>IF(AND(ISNUMBER(U111),ISNUMBER(U109)),IFERROR(U111/U109,""),"")</f>
        <v/>
      </c>
      <c r="V112" s="215">
        <f>IF(AND(ISNUMBER(V111),ISNUMBER(V109)),IFERROR(V111/V109,""),"")</f>
        <v/>
      </c>
      <c r="W112" s="215">
        <f>IF(AND(ISNUMBER(W111),ISNUMBER(W109)),IFERROR(W111/W109,""),"")</f>
        <v/>
      </c>
      <c r="X112" s="215">
        <f>IF(AND(ISNUMBER(X111),ISNUMBER(X109)),IFERROR(X111/X109,""),"")</f>
        <v/>
      </c>
      <c r="Y112" s="215">
        <f>IF(AND(ISNUMBER(Y111),ISNUMBER(Y109)),IFERROR(Y111/Y109,""),"")</f>
        <v/>
      </c>
      <c r="Z112" s="215">
        <f>IF(AND(ISNUMBER(Z111),ISNUMBER(Z109)),IFERROR(Z111/Z109,""),"")</f>
        <v/>
      </c>
      <c r="AA112" s="215">
        <f>IF(AND(ISNUMBER(AA111),ISNUMBER(AA109)),IFERROR(AA111/AA109,""),"")</f>
        <v/>
      </c>
      <c r="AB112" s="215">
        <f>IF(AND(ISNUMBER(AB111),ISNUMBER(AB109)),IFERROR(AB111/AB109,""),"")</f>
        <v/>
      </c>
      <c r="AC112" s="215">
        <f>IF(AND(ISNUMBER(AC111),ISNUMBER(AC109)),IFERROR(AC111/AC109,""),"")</f>
        <v/>
      </c>
      <c r="AD112" s="215">
        <f>IF(AND(ISNUMBER(AD111),ISNUMBER(AD109)),IFERROR(AD111/AD109,""),"")</f>
        <v/>
      </c>
      <c r="AE112" s="215">
        <f>IF(AND(ISNUMBER(AE111),ISNUMBER(AE109)),IFERROR(AE111/AE109,""),"")</f>
        <v/>
      </c>
      <c r="AF112" s="256">
        <f>IF(AND(ISNUMBER(AF111),ISNUMBER(AF109)),IFERROR(AF111/AF109,""),"")</f>
        <v/>
      </c>
      <c r="AG112" s="256">
        <f>IF(AND(ISNUMBER(AG111),ISNUMBER(AG109)),IFERROR(AG111/AG109,""),"")</f>
        <v/>
      </c>
      <c r="AH112" s="256">
        <f>IF(AND(ISNUMBER(AH111),ISNUMBER(AH109)),IFERROR(AH111/AH109,""),"")</f>
        <v/>
      </c>
      <c r="AI112" s="256">
        <f>IF(AND(ISNUMBER(AI111),ISNUMBER(AI109)),IFERROR(AI111/AI109,""),"")</f>
        <v/>
      </c>
      <c r="AJ112" s="256">
        <f>IF(AND(ISNUMBER(AJ111),ISNUMBER(AJ109)),IFERROR(AJ111/AJ109,""),"")</f>
        <v/>
      </c>
      <c r="AK112" s="256">
        <f>IF(AND(ISNUMBER(AK111),ISNUMBER(AK109)),IFERROR(AK111/AK109,""),"")</f>
        <v/>
      </c>
      <c r="AL112" s="256">
        <f>IF(AND(ISNUMBER(AL111),ISNUMBER(AL109)),IFERROR(AL111/AL109,""),"")</f>
        <v/>
      </c>
      <c r="AM112" s="153" t="n"/>
      <c r="AO112" s="37">
        <f>IFERROR(AVERAGE(AH112,AI112,AJ112,AK112,AL112),"n/m")</f>
        <v/>
      </c>
      <c r="AP112" s="37">
        <f>IFERROR(AVERAGE(I112,N112,S112,X112,AC112),"n/m")</f>
        <v/>
      </c>
      <c r="AQ112" s="37">
        <f>IFERROR(AVERAGE(S112,X112,AC112),"n/m")</f>
        <v/>
      </c>
      <c r="AR112" s="37">
        <f>IFERROR(AVERAGE(C112,D112,I112,N112,S112,X112,AC112),"n/m")</f>
        <v/>
      </c>
    </row>
    <row r="113" ht="15" customHeight="1" s="251">
      <c r="B113" s="25" t="inlineStr">
        <is>
          <t>Selling, general &amp; administrative expenses</t>
        </is>
      </c>
      <c r="C113" s="253" t="n">
        <v>137.428</v>
      </c>
      <c r="D113" s="253" t="n">
        <v>248.199</v>
      </c>
      <c r="E113" s="253" t="n">
        <v>91.733</v>
      </c>
      <c r="F113" s="253" t="n">
        <v>82.96599999999999</v>
      </c>
      <c r="G113" s="253" t="n">
        <v>107.407</v>
      </c>
      <c r="H113" s="253" t="n">
        <v>289.269</v>
      </c>
      <c r="I113" s="253" t="n">
        <v>571.375</v>
      </c>
      <c r="J113" s="253" t="n">
        <v>118.703</v>
      </c>
      <c r="K113" s="253" t="n">
        <v>134.497</v>
      </c>
      <c r="L113" s="253" t="n">
        <v>146.72</v>
      </c>
      <c r="M113" s="253" t="n">
        <v>199.9</v>
      </c>
      <c r="N113" s="253" t="n">
        <v>599.8</v>
      </c>
      <c r="O113" s="253" t="n">
        <v>202.6</v>
      </c>
      <c r="P113" s="253" t="n">
        <v>225.1</v>
      </c>
      <c r="Q113" s="253" t="n">
        <v>229.9</v>
      </c>
      <c r="R113" s="253" t="n">
        <v>229.4</v>
      </c>
      <c r="S113" s="253" t="n">
        <v>887</v>
      </c>
      <c r="T113" s="253" t="n">
        <v>264.8</v>
      </c>
      <c r="U113" s="253" t="n">
        <v>292.9</v>
      </c>
      <c r="V113" s="253" t="n">
        <v>312.7</v>
      </c>
      <c r="W113" s="253" t="n">
        <v>323.7</v>
      </c>
      <c r="X113" s="253" t="n">
        <v>1194.2</v>
      </c>
      <c r="Y113" s="253" t="n">
        <v>358.2</v>
      </c>
      <c r="Z113" s="253" t="n">
        <v>368</v>
      </c>
      <c r="AA113" s="253" t="n">
        <v>397.5</v>
      </c>
      <c r="AB113" s="253" t="n">
        <v>392.8</v>
      </c>
      <c r="AC113" s="253" t="n">
        <v>1516.6</v>
      </c>
      <c r="AD113" s="253" t="n">
        <v>416.9</v>
      </c>
      <c r="AE113" s="253" t="n">
        <v>436.3</v>
      </c>
      <c r="AF113" s="254">
        <f>AF111-AF114</f>
        <v/>
      </c>
      <c r="AG113" s="254">
        <f>AG111-AG114</f>
        <v/>
      </c>
      <c r="AH113" s="254">
        <f>SUM(AD113,AE113,AF113,AG113)</f>
        <v/>
      </c>
      <c r="AI113" s="254">
        <f>AI111-AI114</f>
        <v/>
      </c>
      <c r="AJ113" s="254">
        <f>AJ111-AJ114</f>
        <v/>
      </c>
      <c r="AK113" s="254">
        <f>AK111-AK114</f>
        <v/>
      </c>
      <c r="AL113" s="254">
        <f>AL111-AL114</f>
        <v/>
      </c>
      <c r="AM113" s="19" t="inlineStr">
        <is>
          <t>Includes D&amp;A, share-based compensation and (2021) IPO costs. Forecast implied: gross profit − operating result.</t>
        </is>
      </c>
      <c r="AO113" s="20">
        <f>IFERROR((AL113/AC113)^(1/5)-1,"n/m")</f>
        <v/>
      </c>
      <c r="AP113" s="20">
        <f>IFERROR((AC113/D113)^(1/5)-1,"n/m")</f>
        <v/>
      </c>
      <c r="AQ113" s="20">
        <f>IFERROR((AC113/N113)^(1/3)-1,"n/m")</f>
        <v/>
      </c>
      <c r="AR113" s="20">
        <f>IFERROR((AC113/C113)^(1/6)-1,"n/m")</f>
        <v/>
      </c>
    </row>
    <row r="114" ht="15" customHeight="1" s="251">
      <c r="B114" s="55" t="inlineStr">
        <is>
          <t>Operating result</t>
        </is>
      </c>
      <c r="C114" s="267" t="n">
        <v>5.689</v>
      </c>
      <c r="D114" s="267" t="n">
        <v>-17.094</v>
      </c>
      <c r="E114" s="267" t="n">
        <v>-10.901</v>
      </c>
      <c r="F114" s="267" t="n">
        <v>23.382</v>
      </c>
      <c r="G114" s="267" t="n">
        <v>23.881</v>
      </c>
      <c r="H114" s="267" t="n">
        <v>-177.451</v>
      </c>
      <c r="I114" s="267" t="n">
        <v>-141.089</v>
      </c>
      <c r="J114" s="267" t="n">
        <v>3.371</v>
      </c>
      <c r="K114" s="267" t="n">
        <v>26.341</v>
      </c>
      <c r="L114" s="267" t="n">
        <v>40.688</v>
      </c>
      <c r="M114" s="267" t="n">
        <v>14.7</v>
      </c>
      <c r="N114" s="267" t="n">
        <v>85.09999999999999</v>
      </c>
      <c r="O114" s="267" t="n">
        <v>42.3</v>
      </c>
      <c r="P114" s="267" t="n">
        <v>39.4</v>
      </c>
      <c r="Q114" s="267" t="n">
        <v>57.8</v>
      </c>
      <c r="R114" s="267" t="n">
        <v>40.8</v>
      </c>
      <c r="S114" s="267" t="n">
        <v>180.2</v>
      </c>
      <c r="T114" s="267" t="n">
        <v>38.5</v>
      </c>
      <c r="U114" s="267" t="n">
        <v>47.3</v>
      </c>
      <c r="V114" s="267" t="n">
        <v>72.59999999999999</v>
      </c>
      <c r="W114" s="267" t="n">
        <v>53.1</v>
      </c>
      <c r="X114" s="267" t="n">
        <v>211.6</v>
      </c>
      <c r="Y114" s="267" t="n">
        <v>77</v>
      </c>
      <c r="Z114" s="267" t="n">
        <v>92.8</v>
      </c>
      <c r="AA114" s="267" t="n">
        <v>124.7</v>
      </c>
      <c r="AB114" s="267" t="n">
        <v>82.5</v>
      </c>
      <c r="AC114" s="267" t="n">
        <v>377</v>
      </c>
      <c r="AD114" s="267" t="n">
        <v>117.4</v>
      </c>
      <c r="AE114" s="267" t="n">
        <v>119.4</v>
      </c>
      <c r="AF114" s="263">
        <f>AF92-AF102-AF104-AF106</f>
        <v/>
      </c>
      <c r="AG114" s="263">
        <f>AG92-AG102-AG104-AG106</f>
        <v/>
      </c>
      <c r="AH114" s="263">
        <f>SUM(AD114,AE114,AF114,AG114)</f>
        <v/>
      </c>
      <c r="AI114" s="263">
        <f>AI92-AI102-AI104-AI106</f>
        <v/>
      </c>
      <c r="AJ114" s="263">
        <f>AJ92-AJ102-AJ104-AJ106</f>
        <v/>
      </c>
      <c r="AK114" s="263">
        <f>AK92-AK102-AK104-AK106</f>
        <v/>
      </c>
      <c r="AL114" s="263">
        <f>AL92-AL102-AL104-AL106</f>
        <v/>
      </c>
      <c r="AM114" s="153" t="inlineStr">
        <is>
          <t>Historical as reported (Q4-21 corrected: release typo, see check / manual_items.json). Forecast = Adjusted EBITDA − D&amp;A − SBC.</t>
        </is>
      </c>
      <c r="AO114" s="20">
        <f>IFERROR((AL114/AC114)^(1/5)-1,"n/m")</f>
        <v/>
      </c>
      <c r="AP114" s="20">
        <f>IFERROR((AC114/D114)^(1/5)-1,"n/m")</f>
        <v/>
      </c>
      <c r="AQ114" s="20">
        <f>IFERROR((AC114/N114)^(1/3)-1,"n/m")</f>
        <v/>
      </c>
      <c r="AR114" s="20">
        <f>IFERROR((AC114/C114)^(1/6)-1,"n/m")</f>
        <v/>
      </c>
    </row>
    <row r="115" ht="15" customHeight="1" s="251">
      <c r="B115" s="25" t="inlineStr">
        <is>
          <t xml:space="preserve">  Operating margin (IFRS) %</t>
        </is>
      </c>
      <c r="C115" s="215">
        <f>IF(AND(ISNUMBER(C114),ISNUMBER(C109)),IFERROR(C114/C109,""),"")</f>
        <v/>
      </c>
      <c r="D115" s="215">
        <f>IF(AND(ISNUMBER(D114),ISNUMBER(D109)),IFERROR(D114/D109,""),"")</f>
        <v/>
      </c>
      <c r="E115" s="215">
        <f>IF(AND(ISNUMBER(E114),ISNUMBER(E109)),IFERROR(E114/E109,""),"")</f>
        <v/>
      </c>
      <c r="F115" s="215">
        <f>IF(AND(ISNUMBER(F114),ISNUMBER(F109)),IFERROR(F114/F109,""),"")</f>
        <v/>
      </c>
      <c r="G115" s="215">
        <f>IF(AND(ISNUMBER(G114),ISNUMBER(G109)),IFERROR(G114/G109,""),"")</f>
        <v/>
      </c>
      <c r="H115" s="215">
        <f>IF(AND(ISNUMBER(H114),ISNUMBER(H109)),IFERROR(H114/H109,""),"")</f>
        <v/>
      </c>
      <c r="I115" s="215">
        <f>IF(AND(ISNUMBER(I114),ISNUMBER(I109)),IFERROR(I114/I109,""),"")</f>
        <v/>
      </c>
      <c r="J115" s="215">
        <f>IF(AND(ISNUMBER(J114),ISNUMBER(J109)),IFERROR(J114/J109,""),"")</f>
        <v/>
      </c>
      <c r="K115" s="215">
        <f>IF(AND(ISNUMBER(K114),ISNUMBER(K109)),IFERROR(K114/K109,""),"")</f>
        <v/>
      </c>
      <c r="L115" s="215">
        <f>IF(AND(ISNUMBER(L114),ISNUMBER(L109)),IFERROR(L114/L109,""),"")</f>
        <v/>
      </c>
      <c r="M115" s="215">
        <f>IF(AND(ISNUMBER(M114),ISNUMBER(M109)),IFERROR(M114/M109,""),"")</f>
        <v/>
      </c>
      <c r="N115" s="215">
        <f>IF(AND(ISNUMBER(N114),ISNUMBER(N109)),IFERROR(N114/N109,""),"")</f>
        <v/>
      </c>
      <c r="O115" s="215">
        <f>IF(AND(ISNUMBER(O114),ISNUMBER(O109)),IFERROR(O114/O109,""),"")</f>
        <v/>
      </c>
      <c r="P115" s="215">
        <f>IF(AND(ISNUMBER(P114),ISNUMBER(P109)),IFERROR(P114/P109,""),"")</f>
        <v/>
      </c>
      <c r="Q115" s="215">
        <f>IF(AND(ISNUMBER(Q114),ISNUMBER(Q109)),IFERROR(Q114/Q109,""),"")</f>
        <v/>
      </c>
      <c r="R115" s="215">
        <f>IF(AND(ISNUMBER(R114),ISNUMBER(R109)),IFERROR(R114/R109,""),"")</f>
        <v/>
      </c>
      <c r="S115" s="215">
        <f>IF(AND(ISNUMBER(S114),ISNUMBER(S109)),IFERROR(S114/S109,""),"")</f>
        <v/>
      </c>
      <c r="T115" s="215">
        <f>IF(AND(ISNUMBER(T114),ISNUMBER(T109)),IFERROR(T114/T109,""),"")</f>
        <v/>
      </c>
      <c r="U115" s="215">
        <f>IF(AND(ISNUMBER(U114),ISNUMBER(U109)),IFERROR(U114/U109,""),"")</f>
        <v/>
      </c>
      <c r="V115" s="215">
        <f>IF(AND(ISNUMBER(V114),ISNUMBER(V109)),IFERROR(V114/V109,""),"")</f>
        <v/>
      </c>
      <c r="W115" s="215">
        <f>IF(AND(ISNUMBER(W114),ISNUMBER(W109)),IFERROR(W114/W109,""),"")</f>
        <v/>
      </c>
      <c r="X115" s="215">
        <f>IF(AND(ISNUMBER(X114),ISNUMBER(X109)),IFERROR(X114/X109,""),"")</f>
        <v/>
      </c>
      <c r="Y115" s="215">
        <f>IF(AND(ISNUMBER(Y114),ISNUMBER(Y109)),IFERROR(Y114/Y109,""),"")</f>
        <v/>
      </c>
      <c r="Z115" s="215">
        <f>IF(AND(ISNUMBER(Z114),ISNUMBER(Z109)),IFERROR(Z114/Z109,""),"")</f>
        <v/>
      </c>
      <c r="AA115" s="215">
        <f>IF(AND(ISNUMBER(AA114),ISNUMBER(AA109)),IFERROR(AA114/AA109,""),"")</f>
        <v/>
      </c>
      <c r="AB115" s="215">
        <f>IF(AND(ISNUMBER(AB114),ISNUMBER(AB109)),IFERROR(AB114/AB109,""),"")</f>
        <v/>
      </c>
      <c r="AC115" s="215">
        <f>IF(AND(ISNUMBER(AC114),ISNUMBER(AC109)),IFERROR(AC114/AC109,""),"")</f>
        <v/>
      </c>
      <c r="AD115" s="215">
        <f>IF(AND(ISNUMBER(AD114),ISNUMBER(AD109)),IFERROR(AD114/AD109,""),"")</f>
        <v/>
      </c>
      <c r="AE115" s="215">
        <f>IF(AND(ISNUMBER(AE114),ISNUMBER(AE109)),IFERROR(AE114/AE109,""),"")</f>
        <v/>
      </c>
      <c r="AF115" s="256">
        <f>IF(AND(ISNUMBER(AF114),ISNUMBER(AF109)),IFERROR(AF114/AF109,""),"")</f>
        <v/>
      </c>
      <c r="AG115" s="256">
        <f>IF(AND(ISNUMBER(AG114),ISNUMBER(AG109)),IFERROR(AG114/AG109,""),"")</f>
        <v/>
      </c>
      <c r="AH115" s="256">
        <f>IF(AND(ISNUMBER(AH114),ISNUMBER(AH109)),IFERROR(AH114/AH109,""),"")</f>
        <v/>
      </c>
      <c r="AI115" s="256">
        <f>IF(AND(ISNUMBER(AI114),ISNUMBER(AI109)),IFERROR(AI114/AI109,""),"")</f>
        <v/>
      </c>
      <c r="AJ115" s="256">
        <f>IF(AND(ISNUMBER(AJ114),ISNUMBER(AJ109)),IFERROR(AJ114/AJ109,""),"")</f>
        <v/>
      </c>
      <c r="AK115" s="256">
        <f>IF(AND(ISNUMBER(AK114),ISNUMBER(AK109)),IFERROR(AK114/AK109,""),"")</f>
        <v/>
      </c>
      <c r="AL115" s="256">
        <f>IF(AND(ISNUMBER(AL114),ISNUMBER(AL109)),IFERROR(AL114/AL109,""),"")</f>
        <v/>
      </c>
      <c r="AM115" s="153" t="n"/>
      <c r="AO115" s="37">
        <f>IFERROR(AVERAGE(AH115,AI115,AJ115,AK115,AL115),"n/m")</f>
        <v/>
      </c>
      <c r="AP115" s="37">
        <f>IFERROR(AVERAGE(I115,N115,S115,X115,AC115),"n/m")</f>
        <v/>
      </c>
      <c r="AQ115" s="37">
        <f>IFERROR(AVERAGE(S115,X115,AC115),"n/m")</f>
        <v/>
      </c>
      <c r="AR115" s="37">
        <f>IFERROR(AVERAGE(C115,D115,I115,N115,S115,X115,AC115),"n/m")</f>
        <v/>
      </c>
    </row>
    <row r="116" ht="15" customHeight="1" s="251">
      <c r="B116" s="25" t="inlineStr">
        <is>
          <t>Financial income</t>
        </is>
      </c>
      <c r="C116" s="253" t="n">
        <v>0.047</v>
      </c>
      <c r="D116" s="253" t="n">
        <v>0.027</v>
      </c>
      <c r="E116" s="253" t="n">
        <v>0.006</v>
      </c>
      <c r="F116" s="253" t="n">
        <v>0.005</v>
      </c>
      <c r="G116" s="253" t="n">
        <v>0.006</v>
      </c>
      <c r="H116" s="253" t="n">
        <v>0.007</v>
      </c>
      <c r="I116" s="253" t="n">
        <v>0.025</v>
      </c>
      <c r="J116" s="253" t="n">
        <v>0.31</v>
      </c>
      <c r="K116" s="253" t="n">
        <v>1.114</v>
      </c>
      <c r="L116" s="253" t="n">
        <v>1.85</v>
      </c>
      <c r="M116" s="253" t="n">
        <v>2.5</v>
      </c>
      <c r="N116" s="253" t="n">
        <v>5.7</v>
      </c>
      <c r="O116" s="253" t="n">
        <v>2.1</v>
      </c>
      <c r="P116" s="253" t="n">
        <v>4.3</v>
      </c>
      <c r="Q116" s="253" t="n">
        <v>1</v>
      </c>
      <c r="R116" s="253" t="n">
        <v>4.2</v>
      </c>
      <c r="S116" s="253" t="n">
        <v>11.5</v>
      </c>
      <c r="T116" s="253" t="n">
        <v>5.4</v>
      </c>
      <c r="U116" s="253" t="n">
        <v>5.8</v>
      </c>
      <c r="V116" s="253" t="n">
        <v>6</v>
      </c>
      <c r="W116" s="253" t="n">
        <v>6.3</v>
      </c>
      <c r="X116" s="253" t="n">
        <v>23.5</v>
      </c>
      <c r="Y116" s="253" t="n">
        <v>7.3</v>
      </c>
      <c r="Z116" s="253" t="n">
        <v>7.5</v>
      </c>
      <c r="AA116" s="253" t="n">
        <v>8.1</v>
      </c>
      <c r="AB116" s="253" t="n">
        <v>8</v>
      </c>
      <c r="AC116" s="253" t="n">
        <v>30.9</v>
      </c>
      <c r="AD116" s="253" t="n">
        <v>7</v>
      </c>
      <c r="AE116" s="253" t="n">
        <v>11.3</v>
      </c>
      <c r="AF116" s="254">
        <f>($AW$23-(AD116+AE116))/2</f>
        <v/>
      </c>
      <c r="AG116" s="254">
        <f>($AW$23-(AD116+AE116))/2</f>
        <v/>
      </c>
      <c r="AH116" s="254">
        <f>SUM(AD116,AE116,AF116,AG116)</f>
        <v/>
      </c>
      <c r="AI116" s="254">
        <f>AH229*AI310</f>
        <v/>
      </c>
      <c r="AJ116" s="254">
        <f>AI229*AJ310</f>
        <v/>
      </c>
      <c r="AK116" s="254">
        <f>AJ229*AK310</f>
        <v/>
      </c>
      <c r="AL116" s="254">
        <f>AK229*AL310</f>
        <v/>
      </c>
      <c r="AM116" s="19" t="inlineStr">
        <is>
          <t>Interest on cash and deposits. 2027E+: opening cash × yield (no circularity).</t>
        </is>
      </c>
    </row>
    <row r="117" ht="15" customHeight="1" s="251">
      <c r="B117" s="25" t="inlineStr">
        <is>
          <t>Financial expenses</t>
        </is>
      </c>
      <c r="C117" s="253" t="n">
        <v>0.697</v>
      </c>
      <c r="D117" s="253" t="n">
        <v>0.9399999999999999</v>
      </c>
      <c r="E117" s="253" t="n">
        <v>0.518</v>
      </c>
      <c r="F117" s="253" t="n">
        <v>1.025</v>
      </c>
      <c r="G117" s="253" t="n">
        <v>0.674</v>
      </c>
      <c r="H117" s="253" t="n">
        <v>1.357</v>
      </c>
      <c r="I117" s="253" t="n">
        <v>3.574</v>
      </c>
      <c r="J117" s="253" t="n">
        <v>1.499</v>
      </c>
      <c r="K117" s="253" t="n">
        <v>1.536</v>
      </c>
      <c r="L117" s="253" t="n">
        <v>2.465</v>
      </c>
      <c r="M117" s="253" t="n">
        <v>0.9</v>
      </c>
      <c r="N117" s="253" t="n">
        <v>6.4</v>
      </c>
      <c r="O117" s="253" t="n">
        <v>1.7</v>
      </c>
      <c r="P117" s="253" t="n">
        <v>1.9</v>
      </c>
      <c r="Q117" s="253" t="n">
        <v>3.2</v>
      </c>
      <c r="R117" s="253" t="n">
        <v>4.5</v>
      </c>
      <c r="S117" s="253" t="n">
        <v>11.3</v>
      </c>
      <c r="T117" s="253" t="n">
        <v>4.9</v>
      </c>
      <c r="U117" s="253" t="n">
        <v>5.9</v>
      </c>
      <c r="V117" s="253" t="n">
        <v>6.5</v>
      </c>
      <c r="W117" s="253" t="n">
        <v>5.9</v>
      </c>
      <c r="X117" s="253" t="n">
        <v>23.1</v>
      </c>
      <c r="Y117" s="253" t="n">
        <v>5.9</v>
      </c>
      <c r="Z117" s="253" t="n">
        <v>7.7</v>
      </c>
      <c r="AA117" s="253" t="n">
        <v>8.1</v>
      </c>
      <c r="AB117" s="253" t="n">
        <v>7.8</v>
      </c>
      <c r="AC117" s="253" t="n">
        <v>29.6</v>
      </c>
      <c r="AD117" s="253" t="n">
        <v>8</v>
      </c>
      <c r="AE117" s="253" t="n">
        <v>8.300000000000001</v>
      </c>
      <c r="AF117" s="254">
        <f>($AW$24-(AD117+AE117))/2</f>
        <v/>
      </c>
      <c r="AG117" s="254">
        <f>($AW$24-(AD117+AE117))/2</f>
        <v/>
      </c>
      <c r="AH117" s="254">
        <f>SUM(AD117,AE117,AF117,AG117)</f>
        <v/>
      </c>
      <c r="AI117" s="254">
        <f>AH307*AI309</f>
        <v/>
      </c>
      <c r="AJ117" s="254">
        <f>AI307*AJ309</f>
        <v/>
      </c>
      <c r="AK117" s="254">
        <f>AJ307*AK309</f>
        <v/>
      </c>
      <c r="AL117" s="254">
        <f>AK307*AL309</f>
        <v/>
      </c>
      <c r="AM117" s="19" t="inlineStr">
        <is>
          <t>Mostly IFRS 16 lease interest (no bank debt; CHF 700m revolving facility undrawn). 2027E+: opening lease &amp; other financial liabilities × rate.</t>
        </is>
      </c>
    </row>
    <row r="118" ht="15" customHeight="1" s="251">
      <c r="B118" s="25" t="inlineStr">
        <is>
          <t>Foreign exchange result (gain = +)</t>
        </is>
      </c>
      <c r="C118" s="253" t="n">
        <v>-1.893</v>
      </c>
      <c r="D118" s="253" t="n">
        <v>-6.434</v>
      </c>
      <c r="E118" s="253" t="n">
        <v>2.679</v>
      </c>
      <c r="F118" s="253" t="n">
        <v>-0.38</v>
      </c>
      <c r="G118" s="253" t="n">
        <v>-5.021</v>
      </c>
      <c r="H118" s="253" t="n">
        <v>-12.227</v>
      </c>
      <c r="I118" s="253" t="n">
        <v>-14.949</v>
      </c>
      <c r="J118" s="253" t="n">
        <v>17.19</v>
      </c>
      <c r="K118" s="253" t="n">
        <v>32.272</v>
      </c>
      <c r="L118" s="253" t="n">
        <v>-15.327</v>
      </c>
      <c r="M118" s="253" t="n">
        <v>-40.7</v>
      </c>
      <c r="N118" s="253" t="n">
        <v>-6.5</v>
      </c>
      <c r="O118" s="253" t="n">
        <v>8.800000000000001</v>
      </c>
      <c r="P118" s="253" t="n">
        <v>-48.5</v>
      </c>
      <c r="Q118" s="253" t="n">
        <v>13.8</v>
      </c>
      <c r="R118" s="253" t="n">
        <v>-85.5</v>
      </c>
      <c r="S118" s="253" t="n">
        <v>-111.4</v>
      </c>
      <c r="T118" s="253" t="n">
        <v>76.8</v>
      </c>
      <c r="U118" s="253" t="n">
        <v>-4.5</v>
      </c>
      <c r="V118" s="253" t="n">
        <v>-42.6</v>
      </c>
      <c r="W118" s="253" t="n">
        <v>38</v>
      </c>
      <c r="X118" s="253" t="n">
        <v>67.7</v>
      </c>
      <c r="Y118" s="253" t="n">
        <v>-14.5</v>
      </c>
      <c r="Z118" s="253" t="n">
        <v>-139.9</v>
      </c>
      <c r="AA118" s="253" t="n">
        <v>-6.1</v>
      </c>
      <c r="AB118" s="253" t="n">
        <v>-12.7</v>
      </c>
      <c r="AC118" s="253" t="n">
        <v>-173.2</v>
      </c>
      <c r="AD118" s="253" t="n">
        <v>-0.3</v>
      </c>
      <c r="AE118" s="253" t="n">
        <v>3.3</v>
      </c>
      <c r="AF118" s="266" t="n">
        <v>0</v>
      </c>
      <c r="AG118" s="266" t="n">
        <v>0</v>
      </c>
      <c r="AH118" s="254">
        <f>SUM(AD118,AE118,AF118,AG118)</f>
        <v/>
      </c>
      <c r="AI118" s="266" t="n">
        <v>0</v>
      </c>
      <c r="AJ118" s="266" t="n">
        <v>0</v>
      </c>
      <c r="AK118" s="266" t="n">
        <v>0</v>
      </c>
      <c r="AL118" s="266" t="n">
        <v>0</v>
      </c>
      <c r="AM118" s="19" t="inlineStr">
        <is>
          <t>Revaluation of intercompany / USD balances (Q2-25 loss CHF 139.9m on USD weakness). Not forecast; excluded from Adjusted EBITDA.</t>
        </is>
      </c>
    </row>
    <row r="119" ht="15" customHeight="1" s="251">
      <c r="B119" s="16" t="inlineStr">
        <is>
          <t>Income before taxes</t>
        </is>
      </c>
      <c r="C119" s="268">
        <f>IF(ISNUMBER(C114),C114+C116-C117+C118,"")</f>
        <v/>
      </c>
      <c r="D119" s="268">
        <f>IF(ISNUMBER(D114),D114+D116-D117+D118,"")</f>
        <v/>
      </c>
      <c r="E119" s="268">
        <f>IF(ISNUMBER(E114),E114+E116-E117+E118,"")</f>
        <v/>
      </c>
      <c r="F119" s="268">
        <f>IF(ISNUMBER(F114),F114+F116-F117+F118,"")</f>
        <v/>
      </c>
      <c r="G119" s="268">
        <f>IF(ISNUMBER(G114),G114+G116-G117+G118,"")</f>
        <v/>
      </c>
      <c r="H119" s="268">
        <f>IF(ISNUMBER(H114),H114+H116-H117+H118,"")</f>
        <v/>
      </c>
      <c r="I119" s="268">
        <f>IF(ISNUMBER(I114),I114+I116-I117+I118,"")</f>
        <v/>
      </c>
      <c r="J119" s="268">
        <f>IF(ISNUMBER(J114),J114+J116-J117+J118,"")</f>
        <v/>
      </c>
      <c r="K119" s="268">
        <f>IF(ISNUMBER(K114),K114+K116-K117+K118,"")</f>
        <v/>
      </c>
      <c r="L119" s="268">
        <f>IF(ISNUMBER(L114),L114+L116-L117+L118,"")</f>
        <v/>
      </c>
      <c r="M119" s="268">
        <f>IF(ISNUMBER(M114),M114+M116-M117+M118,"")</f>
        <v/>
      </c>
      <c r="N119" s="268">
        <f>IF(ISNUMBER(N114),N114+N116-N117+N118,"")</f>
        <v/>
      </c>
      <c r="O119" s="268">
        <f>IF(ISNUMBER(O114),O114+O116-O117+O118,"")</f>
        <v/>
      </c>
      <c r="P119" s="268">
        <f>IF(ISNUMBER(P114),P114+P116-P117+P118,"")</f>
        <v/>
      </c>
      <c r="Q119" s="268">
        <f>IF(ISNUMBER(Q114),Q114+Q116-Q117+Q118,"")</f>
        <v/>
      </c>
      <c r="R119" s="268">
        <f>IF(ISNUMBER(R114),R114+R116-R117+R118,"")</f>
        <v/>
      </c>
      <c r="S119" s="268">
        <f>IF(ISNUMBER(S114),S114+S116-S117+S118,"")</f>
        <v/>
      </c>
      <c r="T119" s="268">
        <f>IF(ISNUMBER(T114),T114+T116-T117+T118,"")</f>
        <v/>
      </c>
      <c r="U119" s="268">
        <f>IF(ISNUMBER(U114),U114+U116-U117+U118,"")</f>
        <v/>
      </c>
      <c r="V119" s="268">
        <f>IF(ISNUMBER(V114),V114+V116-V117+V118,"")</f>
        <v/>
      </c>
      <c r="W119" s="268">
        <f>IF(ISNUMBER(W114),W114+W116-W117+W118,"")</f>
        <v/>
      </c>
      <c r="X119" s="268">
        <f>IF(ISNUMBER(X114),X114+X116-X117+X118,"")</f>
        <v/>
      </c>
      <c r="Y119" s="268">
        <f>IF(ISNUMBER(Y114),Y114+Y116-Y117+Y118,"")</f>
        <v/>
      </c>
      <c r="Z119" s="268">
        <f>IF(ISNUMBER(Z114),Z114+Z116-Z117+Z118,"")</f>
        <v/>
      </c>
      <c r="AA119" s="268">
        <f>IF(ISNUMBER(AA114),AA114+AA116-AA117+AA118,"")</f>
        <v/>
      </c>
      <c r="AB119" s="268">
        <f>IF(ISNUMBER(AB114),AB114+AB116-AB117+AB118,"")</f>
        <v/>
      </c>
      <c r="AC119" s="268">
        <f>IF(ISNUMBER(AC114),AC114+AC116-AC117+AC118,"")</f>
        <v/>
      </c>
      <c r="AD119" s="268">
        <f>IF(ISNUMBER(AD114),AD114+AD116-AD117+AD118,"")</f>
        <v/>
      </c>
      <c r="AE119" s="268">
        <f>IF(ISNUMBER(AE114),AE114+AE116-AE117+AE118,"")</f>
        <v/>
      </c>
      <c r="AF119" s="269">
        <f>IF(ISNUMBER(AF114),AF114+AF116-AF117+AF118,"")</f>
        <v/>
      </c>
      <c r="AG119" s="269">
        <f>IF(ISNUMBER(AG114),AG114+AG116-AG117+AG118,"")</f>
        <v/>
      </c>
      <c r="AH119" s="269">
        <f>IF(ISNUMBER(AH114),AH114+AH116-AH117+AH118,"")</f>
        <v/>
      </c>
      <c r="AI119" s="269">
        <f>IF(ISNUMBER(AI114),AI114+AI116-AI117+AI118,"")</f>
        <v/>
      </c>
      <c r="AJ119" s="269">
        <f>IF(ISNUMBER(AJ114),AJ114+AJ116-AJ117+AJ118,"")</f>
        <v/>
      </c>
      <c r="AK119" s="269">
        <f>IF(ISNUMBER(AK114),AK114+AK116-AK117+AK118,"")</f>
        <v/>
      </c>
      <c r="AL119" s="269">
        <f>IF(ISNUMBER(AL114),AL114+AL116-AL117+AL118,"")</f>
        <v/>
      </c>
      <c r="AM119" s="153" t="n"/>
    </row>
    <row r="120" ht="15" customHeight="1" s="251">
      <c r="B120" s="25" t="inlineStr">
        <is>
          <t>Income tax expense (benefit)</t>
        </is>
      </c>
      <c r="C120" s="253" t="n">
        <v>4.62</v>
      </c>
      <c r="D120" s="253" t="n">
        <v>3.083</v>
      </c>
      <c r="E120" s="253" t="n">
        <v>1.718</v>
      </c>
      <c r="F120" s="253" t="n">
        <v>7.772</v>
      </c>
      <c r="G120" s="253" t="n">
        <v>5.199</v>
      </c>
      <c r="H120" s="253" t="n">
        <v>-4.048</v>
      </c>
      <c r="I120" s="253" t="n">
        <v>10.64</v>
      </c>
      <c r="J120" s="253" t="n">
        <v>5.028</v>
      </c>
      <c r="K120" s="253" t="n">
        <v>9.042999999999999</v>
      </c>
      <c r="L120" s="253" t="n">
        <v>4.116</v>
      </c>
      <c r="M120" s="253" t="n">
        <v>2</v>
      </c>
      <c r="N120" s="253" t="n">
        <v>20.2</v>
      </c>
      <c r="O120" s="253" t="n">
        <v>7.1</v>
      </c>
      <c r="P120" s="253" t="n">
        <v>-10</v>
      </c>
      <c r="Q120" s="253" t="n">
        <v>10.6</v>
      </c>
      <c r="R120" s="253" t="n">
        <v>-18.2</v>
      </c>
      <c r="S120" s="253" t="n">
        <v>-10.5</v>
      </c>
      <c r="T120" s="253" t="n">
        <v>24.4</v>
      </c>
      <c r="U120" s="253" t="n">
        <v>11.8</v>
      </c>
      <c r="V120" s="253" t="n">
        <v>-0.9</v>
      </c>
      <c r="W120" s="253" t="n">
        <v>2</v>
      </c>
      <c r="X120" s="253" t="n">
        <v>37.4</v>
      </c>
      <c r="Y120" s="253" t="n">
        <v>7.2</v>
      </c>
      <c r="Z120" s="253" t="n">
        <v>-6.4</v>
      </c>
      <c r="AA120" s="253" t="n">
        <v>-0.3</v>
      </c>
      <c r="AB120" s="253" t="n">
        <v>1</v>
      </c>
      <c r="AC120" s="253" t="n">
        <v>1.5</v>
      </c>
      <c r="AD120" s="253" t="n">
        <v>12.8</v>
      </c>
      <c r="AE120" s="253" t="n">
        <v>20.7</v>
      </c>
      <c r="AF120" s="254">
        <f>AF119*AF121</f>
        <v/>
      </c>
      <c r="AG120" s="254">
        <f>AG119*AG121</f>
        <v/>
      </c>
      <c r="AH120" s="254">
        <f>SUM(AD120,AE120,AF120,AG120)</f>
        <v/>
      </c>
      <c r="AI120" s="254">
        <f>AI119*AI121</f>
        <v/>
      </c>
      <c r="AJ120" s="254">
        <f>AJ119*AJ121</f>
        <v/>
      </c>
      <c r="AK120" s="254">
        <f>AK119*AK121</f>
        <v/>
      </c>
      <c r="AL120" s="254">
        <f>AL119*AL121</f>
        <v/>
      </c>
      <c r="AM120" s="19" t="n"/>
    </row>
    <row r="121" ht="15" customHeight="1" s="251">
      <c r="B121" s="25" t="inlineStr">
        <is>
          <t xml:space="preserve">  Effective tax rate</t>
        </is>
      </c>
      <c r="C121" s="215">
        <f>IF(AND(ISNUMBER(C120),ISNUMBER(C119)),IFERROR(C120/C119,""),"")</f>
        <v/>
      </c>
      <c r="D121" s="215">
        <f>IF(AND(ISNUMBER(D120),ISNUMBER(D119)),IFERROR(D120/D119,""),"")</f>
        <v/>
      </c>
      <c r="E121" s="215">
        <f>IF(AND(ISNUMBER(E120),ISNUMBER(E119)),IFERROR(E120/E119,""),"")</f>
        <v/>
      </c>
      <c r="F121" s="215">
        <f>IF(AND(ISNUMBER(F120),ISNUMBER(F119)),IFERROR(F120/F119,""),"")</f>
        <v/>
      </c>
      <c r="G121" s="215">
        <f>IF(AND(ISNUMBER(G120),ISNUMBER(G119)),IFERROR(G120/G119,""),"")</f>
        <v/>
      </c>
      <c r="H121" s="215">
        <f>IF(AND(ISNUMBER(H120),ISNUMBER(H119)),IFERROR(H120/H119,""),"")</f>
        <v/>
      </c>
      <c r="I121" s="215">
        <f>IF(AND(ISNUMBER(I120),ISNUMBER(I119)),IFERROR(I120/I119,""),"")</f>
        <v/>
      </c>
      <c r="J121" s="215">
        <f>IF(AND(ISNUMBER(J120),ISNUMBER(J119)),IFERROR(J120/J119,""),"")</f>
        <v/>
      </c>
      <c r="K121" s="215">
        <f>IF(AND(ISNUMBER(K120),ISNUMBER(K119)),IFERROR(K120/K119,""),"")</f>
        <v/>
      </c>
      <c r="L121" s="215">
        <f>IF(AND(ISNUMBER(L120),ISNUMBER(L119)),IFERROR(L120/L119,""),"")</f>
        <v/>
      </c>
      <c r="M121" s="215">
        <f>IF(AND(ISNUMBER(M120),ISNUMBER(M119)),IFERROR(M120/M119,""),"")</f>
        <v/>
      </c>
      <c r="N121" s="215">
        <f>IF(AND(ISNUMBER(N120),ISNUMBER(N119)),IFERROR(N120/N119,""),"")</f>
        <v/>
      </c>
      <c r="O121" s="215">
        <f>IF(AND(ISNUMBER(O120),ISNUMBER(O119)),IFERROR(O120/O119,""),"")</f>
        <v/>
      </c>
      <c r="P121" s="215">
        <f>IF(AND(ISNUMBER(P120),ISNUMBER(P119)),IFERROR(P120/P119,""),"")</f>
        <v/>
      </c>
      <c r="Q121" s="215">
        <f>IF(AND(ISNUMBER(Q120),ISNUMBER(Q119)),IFERROR(Q120/Q119,""),"")</f>
        <v/>
      </c>
      <c r="R121" s="215">
        <f>IF(AND(ISNUMBER(R120),ISNUMBER(R119)),IFERROR(R120/R119,""),"")</f>
        <v/>
      </c>
      <c r="S121" s="215">
        <f>IF(AND(ISNUMBER(S120),ISNUMBER(S119)),IFERROR(S120/S119,""),"")</f>
        <v/>
      </c>
      <c r="T121" s="215">
        <f>IF(AND(ISNUMBER(T120),ISNUMBER(T119)),IFERROR(T120/T119,""),"")</f>
        <v/>
      </c>
      <c r="U121" s="215">
        <f>IF(AND(ISNUMBER(U120),ISNUMBER(U119)),IFERROR(U120/U119,""),"")</f>
        <v/>
      </c>
      <c r="V121" s="215">
        <f>IF(AND(ISNUMBER(V120),ISNUMBER(V119)),IFERROR(V120/V119,""),"")</f>
        <v/>
      </c>
      <c r="W121" s="215">
        <f>IF(AND(ISNUMBER(W120),ISNUMBER(W119)),IFERROR(W120/W119,""),"")</f>
        <v/>
      </c>
      <c r="X121" s="215">
        <f>IF(AND(ISNUMBER(X120),ISNUMBER(X119)),IFERROR(X120/X119,""),"")</f>
        <v/>
      </c>
      <c r="Y121" s="215">
        <f>IF(AND(ISNUMBER(Y120),ISNUMBER(Y119)),IFERROR(Y120/Y119,""),"")</f>
        <v/>
      </c>
      <c r="Z121" s="215">
        <f>IF(AND(ISNUMBER(Z120),ISNUMBER(Z119)),IFERROR(Z120/Z119,""),"")</f>
        <v/>
      </c>
      <c r="AA121" s="215">
        <f>IF(AND(ISNUMBER(AA120),ISNUMBER(AA119)),IFERROR(AA120/AA119,""),"")</f>
        <v/>
      </c>
      <c r="AB121" s="215">
        <f>IF(AND(ISNUMBER(AB120),ISNUMBER(AB119)),IFERROR(AB120/AB119,""),"")</f>
        <v/>
      </c>
      <c r="AC121" s="215">
        <f>IF(AND(ISNUMBER(AC120),ISNUMBER(AC119)),IFERROR(AC120/AC119,""),"")</f>
        <v/>
      </c>
      <c r="AD121" s="215">
        <f>IF(AND(ISNUMBER(AD120),ISNUMBER(AD119)),IFERROR(AD120/AD119,""),"")</f>
        <v/>
      </c>
      <c r="AE121" s="215">
        <f>IF(AND(ISNUMBER(AE120),ISNUMBER(AE119)),IFERROR(AE120/AE119,""),"")</f>
        <v/>
      </c>
      <c r="AF121" s="256">
        <f>$AW$25</f>
        <v/>
      </c>
      <c r="AG121" s="256">
        <f>$AW$25</f>
        <v/>
      </c>
      <c r="AH121" s="256">
        <f>IF(AND(ISNUMBER(AH120),ISNUMBER(AH119)),IFERROR(AH120/AH119,""),"")</f>
        <v/>
      </c>
      <c r="AI121" s="260" t="n">
        <v>0.17</v>
      </c>
      <c r="AJ121" s="260" t="n">
        <v>0.17</v>
      </c>
      <c r="AK121" s="260" t="n">
        <v>0.17</v>
      </c>
      <c r="AL121" s="260" t="n">
        <v>0.17</v>
      </c>
      <c r="AM121" s="153" t="inlineStr">
        <is>
          <t>Swiss holding with a global footprint; 1H/26 13.9% (Q2-26 16.5%). Q3/Q4-26E point estimate; 2027E+ input.</t>
        </is>
      </c>
      <c r="AO121" s="37">
        <f>IFERROR(AVERAGE(AH121,AI121,AJ121,AK121,AL121),"n/m")</f>
        <v/>
      </c>
      <c r="AP121" s="37">
        <f>IFERROR(AVERAGE(I121,N121,S121,X121,AC121),"n/m")</f>
        <v/>
      </c>
      <c r="AQ121" s="37">
        <f>IFERROR(AVERAGE(S121,X121,AC121),"n/m")</f>
        <v/>
      </c>
      <c r="AR121" s="37">
        <f>IFERROR(AVERAGE(C121,D121,I121,N121,S121,X121,AC121),"n/m")</f>
        <v/>
      </c>
    </row>
    <row r="122" ht="15" customHeight="1" s="251">
      <c r="B122" s="55" t="inlineStr">
        <is>
          <t>Net income (loss)</t>
        </is>
      </c>
      <c r="C122" s="263">
        <f>IF(ISNUMBER(C119),C119-C120,"")</f>
        <v/>
      </c>
      <c r="D122" s="263">
        <f>IF(ISNUMBER(D119),D119-D120,"")</f>
        <v/>
      </c>
      <c r="E122" s="263">
        <f>IF(ISNUMBER(E119),E119-E120,"")</f>
        <v/>
      </c>
      <c r="F122" s="263">
        <f>IF(ISNUMBER(F119),F119-F120,"")</f>
        <v/>
      </c>
      <c r="G122" s="263">
        <f>IF(ISNUMBER(G119),G119-G120,"")</f>
        <v/>
      </c>
      <c r="H122" s="263">
        <f>IF(ISNUMBER(H119),H119-H120,"")</f>
        <v/>
      </c>
      <c r="I122" s="263">
        <f>IF(ISNUMBER(I119),I119-I120,"")</f>
        <v/>
      </c>
      <c r="J122" s="263">
        <f>IF(ISNUMBER(J119),J119-J120,"")</f>
        <v/>
      </c>
      <c r="K122" s="263">
        <f>IF(ISNUMBER(K119),K119-K120,"")</f>
        <v/>
      </c>
      <c r="L122" s="263">
        <f>IF(ISNUMBER(L119),L119-L120,"")</f>
        <v/>
      </c>
      <c r="M122" s="263">
        <f>IF(ISNUMBER(M119),M119-M120,"")</f>
        <v/>
      </c>
      <c r="N122" s="263">
        <f>IF(ISNUMBER(N119),N119-N120,"")</f>
        <v/>
      </c>
      <c r="O122" s="263">
        <f>IF(ISNUMBER(O119),O119-O120,"")</f>
        <v/>
      </c>
      <c r="P122" s="263">
        <f>IF(ISNUMBER(P119),P119-P120,"")</f>
        <v/>
      </c>
      <c r="Q122" s="263">
        <f>IF(ISNUMBER(Q119),Q119-Q120,"")</f>
        <v/>
      </c>
      <c r="R122" s="263">
        <f>IF(ISNUMBER(R119),R119-R120,"")</f>
        <v/>
      </c>
      <c r="S122" s="263">
        <f>IF(ISNUMBER(S119),S119-S120,"")</f>
        <v/>
      </c>
      <c r="T122" s="263">
        <f>IF(ISNUMBER(T119),T119-T120,"")</f>
        <v/>
      </c>
      <c r="U122" s="263">
        <f>IF(ISNUMBER(U119),U119-U120,"")</f>
        <v/>
      </c>
      <c r="V122" s="263">
        <f>IF(ISNUMBER(V119),V119-V120,"")</f>
        <v/>
      </c>
      <c r="W122" s="263">
        <f>IF(ISNUMBER(W119),W119-W120,"")</f>
        <v/>
      </c>
      <c r="X122" s="263">
        <f>IF(ISNUMBER(X119),X119-X120,"")</f>
        <v/>
      </c>
      <c r="Y122" s="263">
        <f>IF(ISNUMBER(Y119),Y119-Y120,"")</f>
        <v/>
      </c>
      <c r="Z122" s="263">
        <f>IF(ISNUMBER(Z119),Z119-Z120,"")</f>
        <v/>
      </c>
      <c r="AA122" s="263">
        <f>IF(ISNUMBER(AA119),AA119-AA120,"")</f>
        <v/>
      </c>
      <c r="AB122" s="263">
        <f>IF(ISNUMBER(AB119),AB119-AB120,"")</f>
        <v/>
      </c>
      <c r="AC122" s="263">
        <f>IF(ISNUMBER(AC119),AC119-AC120,"")</f>
        <v/>
      </c>
      <c r="AD122" s="263">
        <f>IF(ISNUMBER(AD119),AD119-AD120,"")</f>
        <v/>
      </c>
      <c r="AE122" s="263">
        <f>IF(ISNUMBER(AE119),AE119-AE120,"")</f>
        <v/>
      </c>
      <c r="AF122" s="263">
        <f>IF(ISNUMBER(AF119),AF119-AF120,"")</f>
        <v/>
      </c>
      <c r="AG122" s="263">
        <f>IF(ISNUMBER(AG119),AG119-AG120,"")</f>
        <v/>
      </c>
      <c r="AH122" s="263">
        <f>IF(ISNUMBER(AH119),AH119-AH120,"")</f>
        <v/>
      </c>
      <c r="AI122" s="263">
        <f>IF(ISNUMBER(AI119),AI119-AI120,"")</f>
        <v/>
      </c>
      <c r="AJ122" s="263">
        <f>IF(ISNUMBER(AJ119),AJ119-AJ120,"")</f>
        <v/>
      </c>
      <c r="AK122" s="263">
        <f>IF(ISNUMBER(AK119),AK119-AK120,"")</f>
        <v/>
      </c>
      <c r="AL122" s="263">
        <f>IF(ISNUMBER(AL119),AL119-AL120,"")</f>
        <v/>
      </c>
      <c r="AM122" s="153" t="n"/>
      <c r="AO122" s="20">
        <f>IFERROR((AL122/AC122)^(1/5)-1,"n/m")</f>
        <v/>
      </c>
      <c r="AP122" s="20">
        <f>IFERROR((AC122/D122)^(1/5)-1,"n/m")</f>
        <v/>
      </c>
      <c r="AQ122" s="20">
        <f>IFERROR((AC122/N122)^(1/3)-1,"n/m")</f>
        <v/>
      </c>
      <c r="AR122" s="20">
        <f>IFERROR((AC122/C122)^(1/6)-1,"n/m")</f>
        <v/>
      </c>
    </row>
    <row r="123" ht="15" customHeight="1" s="251">
      <c r="B123" s="57" t="inlineStr">
        <is>
          <t xml:space="preserve">  Check: net income vs reported (should be 0; ±0.15 rounding)</t>
        </is>
      </c>
      <c r="C123" s="261">
        <f>IF(ISNUMBER(C124),IF(ABS(C122-C124)&lt;=0.15,0,ROUND(C122-C124,2)),"")</f>
        <v/>
      </c>
      <c r="D123" s="261">
        <f>IF(ISNUMBER(D124),IF(ABS(D122-D124)&lt;=0.15,0,ROUND(D122-D124,2)),"")</f>
        <v/>
      </c>
      <c r="E123" s="261">
        <f>IF(ISNUMBER(E124),IF(ABS(E122-E124)&lt;=0.15,0,ROUND(E122-E124,2)),"")</f>
        <v/>
      </c>
      <c r="F123" s="261">
        <f>IF(ISNUMBER(F124),IF(ABS(F122-F124)&lt;=0.15,0,ROUND(F122-F124,2)),"")</f>
        <v/>
      </c>
      <c r="G123" s="261">
        <f>IF(ISNUMBER(G124),IF(ABS(G122-G124)&lt;=0.15,0,ROUND(G122-G124,2)),"")</f>
        <v/>
      </c>
      <c r="H123" s="261">
        <f>IF(ISNUMBER(H124),IF(ABS(H122-H124)&lt;=0.15,0,ROUND(H122-H124,2)),"")</f>
        <v/>
      </c>
      <c r="I123" s="261">
        <f>IF(ISNUMBER(I124),IF(ABS(I122-I124)&lt;=0.15,0,ROUND(I122-I124,2)),"")</f>
        <v/>
      </c>
      <c r="J123" s="261">
        <f>IF(ISNUMBER(J124),IF(ABS(J122-J124)&lt;=0.15,0,ROUND(J122-J124,2)),"")</f>
        <v/>
      </c>
      <c r="K123" s="261">
        <f>IF(ISNUMBER(K124),IF(ABS(K122-K124)&lt;=0.15,0,ROUND(K122-K124,2)),"")</f>
        <v/>
      </c>
      <c r="L123" s="261">
        <f>IF(ISNUMBER(L124),IF(ABS(L122-L124)&lt;=0.15,0,ROUND(L122-L124,2)),"")</f>
        <v/>
      </c>
      <c r="M123" s="261">
        <f>IF(ISNUMBER(M124),IF(ABS(M122-M124)&lt;=0.15,0,ROUND(M122-M124,2)),"")</f>
        <v/>
      </c>
      <c r="N123" s="261">
        <f>IF(ISNUMBER(N124),IF(ABS(N122-N124)&lt;=0.15,0,ROUND(N122-N124,2)),"")</f>
        <v/>
      </c>
      <c r="O123" s="261">
        <f>IF(ISNUMBER(O124),IF(ABS(O122-O124)&lt;=0.15,0,ROUND(O122-O124,2)),"")</f>
        <v/>
      </c>
      <c r="P123" s="261">
        <f>IF(ISNUMBER(P124),IF(ABS(P122-P124)&lt;=0.15,0,ROUND(P122-P124,2)),"")</f>
        <v/>
      </c>
      <c r="Q123" s="261">
        <f>IF(ISNUMBER(Q124),IF(ABS(Q122-Q124)&lt;=0.15,0,ROUND(Q122-Q124,2)),"")</f>
        <v/>
      </c>
      <c r="R123" s="261">
        <f>IF(ISNUMBER(R124),IF(ABS(R122-R124)&lt;=0.15,0,ROUND(R122-R124,2)),"")</f>
        <v/>
      </c>
      <c r="S123" s="261">
        <f>IF(ISNUMBER(S124),IF(ABS(S122-S124)&lt;=0.15,0,ROUND(S122-S124,2)),"")</f>
        <v/>
      </c>
      <c r="T123" s="261">
        <f>IF(ISNUMBER(T124),IF(ABS(T122-T124)&lt;=0.15,0,ROUND(T122-T124,2)),"")</f>
        <v/>
      </c>
      <c r="U123" s="261">
        <f>IF(ISNUMBER(U124),IF(ABS(U122-U124)&lt;=0.15,0,ROUND(U122-U124,2)),"")</f>
        <v/>
      </c>
      <c r="V123" s="261">
        <f>IF(ISNUMBER(V124),IF(ABS(V122-V124)&lt;=0.15,0,ROUND(V122-V124,2)),"")</f>
        <v/>
      </c>
      <c r="W123" s="261">
        <f>IF(ISNUMBER(W124),IF(ABS(W122-W124)&lt;=0.15,0,ROUND(W122-W124,2)),"")</f>
        <v/>
      </c>
      <c r="X123" s="261">
        <f>IF(ISNUMBER(X124),IF(ABS(X122-X124)&lt;=0.15,0,ROUND(X122-X124,2)),"")</f>
        <v/>
      </c>
      <c r="Y123" s="261">
        <f>IF(ISNUMBER(Y124),IF(ABS(Y122-Y124)&lt;=0.15,0,ROUND(Y122-Y124,2)),"")</f>
        <v/>
      </c>
      <c r="Z123" s="261">
        <f>IF(ISNUMBER(Z124),IF(ABS(Z122-Z124)&lt;=0.15,0,ROUND(Z122-Z124,2)),"")</f>
        <v/>
      </c>
      <c r="AA123" s="261">
        <f>IF(ISNUMBER(AA124),IF(ABS(AA122-AA124)&lt;=0.15,0,ROUND(AA122-AA124,2)),"")</f>
        <v/>
      </c>
      <c r="AB123" s="261">
        <f>IF(ISNUMBER(AB124),IF(ABS(AB122-AB124)&lt;=0.15,0,ROUND(AB122-AB124,2)),"")</f>
        <v/>
      </c>
      <c r="AC123" s="261">
        <f>IF(ISNUMBER(AC124),IF(ABS(AC122-AC124)&lt;=0.15,0,ROUND(AC122-AC124,2)),"")</f>
        <v/>
      </c>
      <c r="AD123" s="261">
        <f>IF(ISNUMBER(AD124),IF(ABS(AD122-AD124)&lt;=0.15,0,ROUND(AD122-AD124,2)),"")</f>
        <v/>
      </c>
      <c r="AE123" s="261">
        <f>IF(ISNUMBER(AE124),IF(ABS(AE122-AE124)&lt;=0.15,0,ROUND(AE122-AE124,2)),"")</f>
        <v/>
      </c>
      <c r="AF123" s="153" t="n"/>
      <c r="AG123" s="153" t="n"/>
      <c r="AH123" s="153" t="n"/>
      <c r="AI123" s="153" t="n"/>
      <c r="AJ123" s="153" t="n"/>
      <c r="AK123" s="153" t="n"/>
      <c r="AL123" s="153" t="n"/>
      <c r="AM123" s="153" t="n"/>
    </row>
    <row r="124" ht="15" customHeight="1" s="251">
      <c r="B124" s="156" t="inlineStr">
        <is>
          <t xml:space="preserve">  Memo: net income (loss) as reported</t>
        </is>
      </c>
      <c r="C124" s="253" t="n">
        <v>-1.473</v>
      </c>
      <c r="D124" s="253" t="n">
        <v>-27.524</v>
      </c>
      <c r="E124" s="253" t="n">
        <v>-10.452</v>
      </c>
      <c r="F124" s="253" t="n">
        <v>14.21</v>
      </c>
      <c r="G124" s="253" t="n">
        <v>12.993</v>
      </c>
      <c r="H124" s="253" t="n">
        <v>-186.979</v>
      </c>
      <c r="I124" s="253" t="n">
        <v>-170.228</v>
      </c>
      <c r="J124" s="253" t="n">
        <v>14.344</v>
      </c>
      <c r="K124" s="253" t="n">
        <v>49.148</v>
      </c>
      <c r="L124" s="253" t="n">
        <v>20.631</v>
      </c>
      <c r="M124" s="253" t="n">
        <v>-26.4</v>
      </c>
      <c r="N124" s="253" t="n">
        <v>57.7</v>
      </c>
      <c r="O124" s="253" t="n">
        <v>44.4</v>
      </c>
      <c r="P124" s="253" t="n">
        <v>3.3</v>
      </c>
      <c r="Q124" s="253" t="n">
        <v>58.7</v>
      </c>
      <c r="R124" s="253" t="n">
        <v>-26.8</v>
      </c>
      <c r="S124" s="253" t="n">
        <v>79.59999999999999</v>
      </c>
      <c r="T124" s="253" t="n">
        <v>91.40000000000001</v>
      </c>
      <c r="U124" s="253" t="n">
        <v>30.8</v>
      </c>
      <c r="V124" s="253" t="n">
        <v>30.5</v>
      </c>
      <c r="W124" s="253" t="n">
        <v>89.5</v>
      </c>
      <c r="X124" s="253" t="n">
        <v>242.3</v>
      </c>
      <c r="Y124" s="253" t="n">
        <v>56.7</v>
      </c>
      <c r="Z124" s="253" t="n">
        <v>-40.9</v>
      </c>
      <c r="AA124" s="253" t="n">
        <v>118.9</v>
      </c>
      <c r="AB124" s="253" t="n">
        <v>69.09999999999999</v>
      </c>
      <c r="AC124" s="253" t="n">
        <v>203.7</v>
      </c>
      <c r="AD124" s="253" t="n">
        <v>103.3</v>
      </c>
      <c r="AE124" s="253" t="n">
        <v>105</v>
      </c>
      <c r="AF124" s="153" t="n"/>
      <c r="AG124" s="153" t="n"/>
      <c r="AH124" s="153" t="n"/>
      <c r="AI124" s="153" t="n"/>
      <c r="AJ124" s="153" t="n"/>
      <c r="AK124" s="153" t="n"/>
      <c r="AL124" s="153" t="n"/>
      <c r="AM124" s="153" t="n"/>
    </row>
    <row r="125" ht="15" customHeight="1" s="251">
      <c r="B125" s="156" t="inlineStr">
        <is>
          <t xml:space="preserve">  Memo: depreciation &amp; amortization (total)</t>
        </is>
      </c>
      <c r="C125" s="261">
        <f>IF(ISNUMBER(C102),C102,"")</f>
        <v/>
      </c>
      <c r="D125" s="261">
        <f>IF(ISNUMBER(D102),D102,"")</f>
        <v/>
      </c>
      <c r="E125" s="261">
        <f>IF(ISNUMBER(E102),E102,"")</f>
        <v/>
      </c>
      <c r="F125" s="261">
        <f>IF(ISNUMBER(F102),F102,"")</f>
        <v/>
      </c>
      <c r="G125" s="261">
        <f>IF(ISNUMBER(G102),G102,"")</f>
        <v/>
      </c>
      <c r="H125" s="261">
        <f>IF(ISNUMBER(H102),H102,"")</f>
        <v/>
      </c>
      <c r="I125" s="261">
        <f>IF(ISNUMBER(I102),I102,"")</f>
        <v/>
      </c>
      <c r="J125" s="261">
        <f>IF(ISNUMBER(J102),J102,"")</f>
        <v/>
      </c>
      <c r="K125" s="261">
        <f>IF(ISNUMBER(K102),K102,"")</f>
        <v/>
      </c>
      <c r="L125" s="261">
        <f>IF(ISNUMBER(L102),L102,"")</f>
        <v/>
      </c>
      <c r="M125" s="261">
        <f>IF(ISNUMBER(M102),M102,"")</f>
        <v/>
      </c>
      <c r="N125" s="261">
        <f>IF(ISNUMBER(N102),N102,"")</f>
        <v/>
      </c>
      <c r="O125" s="261">
        <f>IF(ISNUMBER(O102),O102,"")</f>
        <v/>
      </c>
      <c r="P125" s="261">
        <f>IF(ISNUMBER(P102),P102,"")</f>
        <v/>
      </c>
      <c r="Q125" s="261">
        <f>IF(ISNUMBER(Q102),Q102,"")</f>
        <v/>
      </c>
      <c r="R125" s="261">
        <f>IF(ISNUMBER(R102),R102,"")</f>
        <v/>
      </c>
      <c r="S125" s="261">
        <f>IF(ISNUMBER(S102),S102,"")</f>
        <v/>
      </c>
      <c r="T125" s="261">
        <f>IF(ISNUMBER(T102),T102,"")</f>
        <v/>
      </c>
      <c r="U125" s="261">
        <f>IF(ISNUMBER(U102),U102,"")</f>
        <v/>
      </c>
      <c r="V125" s="261">
        <f>IF(ISNUMBER(V102),V102,"")</f>
        <v/>
      </c>
      <c r="W125" s="261">
        <f>IF(ISNUMBER(W102),W102,"")</f>
        <v/>
      </c>
      <c r="X125" s="261">
        <f>IF(ISNUMBER(X102),X102,"")</f>
        <v/>
      </c>
      <c r="Y125" s="261">
        <f>IF(ISNUMBER(Y102),Y102,"")</f>
        <v/>
      </c>
      <c r="Z125" s="261">
        <f>IF(ISNUMBER(Z102),Z102,"")</f>
        <v/>
      </c>
      <c r="AA125" s="261">
        <f>IF(ISNUMBER(AA102),AA102,"")</f>
        <v/>
      </c>
      <c r="AB125" s="261">
        <f>IF(ISNUMBER(AB102),AB102,"")</f>
        <v/>
      </c>
      <c r="AC125" s="261">
        <f>IF(ISNUMBER(AC102),AC102,"")</f>
        <v/>
      </c>
      <c r="AD125" s="261">
        <f>IF(ISNUMBER(AD102),AD102,"")</f>
        <v/>
      </c>
      <c r="AE125" s="261">
        <f>IF(ISNUMBER(AE102),AE102,"")</f>
        <v/>
      </c>
      <c r="AF125" s="254">
        <f>IF(ISNUMBER(AF102),AF102,"")</f>
        <v/>
      </c>
      <c r="AG125" s="254">
        <f>IF(ISNUMBER(AG102),AG102,"")</f>
        <v/>
      </c>
      <c r="AH125" s="254">
        <f>IF(ISNUMBER(AH102),AH102,"")</f>
        <v/>
      </c>
      <c r="AI125" s="254">
        <f>IF(ISNUMBER(AI102),AI102,"")</f>
        <v/>
      </c>
      <c r="AJ125" s="254">
        <f>IF(ISNUMBER(AJ102),AJ102,"")</f>
        <v/>
      </c>
      <c r="AK125" s="254">
        <f>IF(ISNUMBER(AK102),AK102,"")</f>
        <v/>
      </c>
      <c r="AL125" s="254">
        <f>IF(ISNUMBER(AL102),AL102,"")</f>
        <v/>
      </c>
      <c r="AM125" s="153" t="n"/>
      <c r="AO125" s="20">
        <f>IFERROR((AL125/AC125)^(1/5)-1,"n/m")</f>
        <v/>
      </c>
      <c r="AP125" s="20">
        <f>IFERROR((AC125/D125)^(1/5)-1,"n/m")</f>
        <v/>
      </c>
      <c r="AQ125" s="20">
        <f>IFERROR((AC125/N125)^(1/3)-1,"n/m")</f>
        <v/>
      </c>
      <c r="AR125" s="20">
        <f>IFERROR((AC125/C125)^(1/6)-1,"n/m")</f>
        <v/>
      </c>
    </row>
    <row r="126" ht="15" customHeight="1" s="251">
      <c r="B126" s="156" t="inlineStr">
        <is>
          <t xml:space="preserve">  Memo: share-based compensation</t>
        </is>
      </c>
      <c r="C126" s="261">
        <f>C104</f>
        <v/>
      </c>
      <c r="D126" s="261">
        <f>D104</f>
        <v/>
      </c>
      <c r="E126" s="261">
        <f>E104</f>
        <v/>
      </c>
      <c r="F126" s="261">
        <f>F104</f>
        <v/>
      </c>
      <c r="G126" s="261">
        <f>G104</f>
        <v/>
      </c>
      <c r="H126" s="261">
        <f>H104</f>
        <v/>
      </c>
      <c r="I126" s="261">
        <f>I104</f>
        <v/>
      </c>
      <c r="J126" s="261">
        <f>J104</f>
        <v/>
      </c>
      <c r="K126" s="261">
        <f>K104</f>
        <v/>
      </c>
      <c r="L126" s="261">
        <f>L104</f>
        <v/>
      </c>
      <c r="M126" s="261">
        <f>M104</f>
        <v/>
      </c>
      <c r="N126" s="261">
        <f>N104</f>
        <v/>
      </c>
      <c r="O126" s="261">
        <f>O104</f>
        <v/>
      </c>
      <c r="P126" s="261">
        <f>P104</f>
        <v/>
      </c>
      <c r="Q126" s="261">
        <f>Q104</f>
        <v/>
      </c>
      <c r="R126" s="261">
        <f>R104</f>
        <v/>
      </c>
      <c r="S126" s="261">
        <f>S104</f>
        <v/>
      </c>
      <c r="T126" s="261">
        <f>T104</f>
        <v/>
      </c>
      <c r="U126" s="261">
        <f>U104</f>
        <v/>
      </c>
      <c r="V126" s="261">
        <f>V104</f>
        <v/>
      </c>
      <c r="W126" s="261">
        <f>W104</f>
        <v/>
      </c>
      <c r="X126" s="261">
        <f>X104</f>
        <v/>
      </c>
      <c r="Y126" s="261">
        <f>Y104</f>
        <v/>
      </c>
      <c r="Z126" s="261">
        <f>Z104</f>
        <v/>
      </c>
      <c r="AA126" s="261">
        <f>AA104</f>
        <v/>
      </c>
      <c r="AB126" s="261">
        <f>AB104</f>
        <v/>
      </c>
      <c r="AC126" s="261">
        <f>AC104</f>
        <v/>
      </c>
      <c r="AD126" s="261">
        <f>AD104</f>
        <v/>
      </c>
      <c r="AE126" s="261">
        <f>AE104</f>
        <v/>
      </c>
      <c r="AF126" s="254">
        <f>AF104</f>
        <v/>
      </c>
      <c r="AG126" s="254">
        <f>AG104</f>
        <v/>
      </c>
      <c r="AH126" s="254">
        <f>AH104</f>
        <v/>
      </c>
      <c r="AI126" s="254">
        <f>AI104</f>
        <v/>
      </c>
      <c r="AJ126" s="254">
        <f>AJ104</f>
        <v/>
      </c>
      <c r="AK126" s="254">
        <f>AK104</f>
        <v/>
      </c>
      <c r="AL126" s="254">
        <f>AL104</f>
        <v/>
      </c>
      <c r="AM126" s="153" t="n"/>
    </row>
    <row r="127" ht="15" customHeight="1" s="251">
      <c r="B127" s="25" t="inlineStr">
        <is>
          <t>(Earnings per share — Class A-equivalent shares = Class A + Class B ÷ 10; Class B voting shares carry 1/10 of the Class A economic rights)</t>
        </is>
      </c>
      <c r="AM127" s="153" t="n"/>
    </row>
    <row r="128" ht="15" customHeight="1" s="251">
      <c r="B128" s="25" t="inlineStr">
        <is>
          <t xml:space="preserve">  Weighted-average basic shares, Class A-equivalent (m)</t>
        </is>
      </c>
      <c r="C128" s="253" t="n">
        <v>233.9575</v>
      </c>
      <c r="D128" s="253" t="n">
        <v>265.685</v>
      </c>
      <c r="E128" s="253" t="n">
        <v>276.057806</v>
      </c>
      <c r="F128" s="253" t="n">
        <v>280.28375</v>
      </c>
      <c r="G128" s="253" t="n">
        <v>285.054096</v>
      </c>
      <c r="H128" s="253" t="n">
        <v>311.150961</v>
      </c>
      <c r="I128" s="253" t="n">
        <v>288.3045128</v>
      </c>
      <c r="J128" s="253" t="n">
        <v>315.393074</v>
      </c>
      <c r="K128" s="253" t="n">
        <v>316.726321</v>
      </c>
      <c r="L128" s="253" t="n">
        <v>317.193241</v>
      </c>
      <c r="M128" s="253" t="n">
        <v>317.646002</v>
      </c>
      <c r="N128" s="253" t="n">
        <v>316.739245</v>
      </c>
      <c r="O128" s="253" t="n">
        <v>318.066691</v>
      </c>
      <c r="P128" s="253" t="n">
        <v>318.671627</v>
      </c>
      <c r="Q128" s="253" t="n">
        <v>319.036532</v>
      </c>
      <c r="R128" s="253" t="n">
        <v>319.326209</v>
      </c>
      <c r="S128" s="253" t="n">
        <v>318.806552</v>
      </c>
      <c r="T128" s="253" t="n">
        <v>322.195184</v>
      </c>
      <c r="U128" s="253" t="n">
        <v>322.626705</v>
      </c>
      <c r="V128" s="253" t="n">
        <v>323.197831</v>
      </c>
      <c r="W128" s="253" t="n">
        <v>323.607723</v>
      </c>
      <c r="X128" s="253" t="n">
        <v>323.00913</v>
      </c>
      <c r="Y128" s="253" t="n">
        <v>327.88171</v>
      </c>
      <c r="Z128" s="253" t="n">
        <v>329.6356291</v>
      </c>
      <c r="AA128" s="253" t="n">
        <v>329.964166</v>
      </c>
      <c r="AB128" s="253" t="n">
        <v>330.4322689</v>
      </c>
      <c r="AC128" s="253" t="n">
        <v>329.504487</v>
      </c>
      <c r="AD128" s="253" t="n">
        <v>331.634401</v>
      </c>
      <c r="AE128" s="253" t="n">
        <v>333.9574793</v>
      </c>
      <c r="AF128" s="254">
        <f>$AE$128+$AH$250*0.25-0</f>
        <v/>
      </c>
      <c r="AG128" s="254">
        <f>$AE$128+$AH$250*0.75-$AH$249*0.5</f>
        <v/>
      </c>
      <c r="AH128" s="254">
        <f>AVERAGE(AD128,AE128,AF128,AG128)</f>
        <v/>
      </c>
      <c r="AI128" s="254">
        <f>AVERAGE(AI251,AI252)</f>
        <v/>
      </c>
      <c r="AJ128" s="254">
        <f>AVERAGE(AJ251,AJ252)</f>
        <v/>
      </c>
      <c r="AK128" s="254">
        <f>AVERAGE(AK251,AK252)</f>
        <v/>
      </c>
      <c r="AL128" s="254">
        <f>AVERAGE(AL251,AL252)</f>
        <v/>
      </c>
      <c r="AM128" s="19" t="inlineStr">
        <is>
          <t>Published Class A + Class B weighted shares (adjusted-EPS tables); Class B ÷ 10. FY2019–20 Class A only (×1,250 for the 2021 share-capital reorganisation). Q4-26E: half of the quarter's buybacks weighted.</t>
        </is>
      </c>
    </row>
    <row r="129" ht="15" customHeight="1" s="251">
      <c r="B129" s="25" t="inlineStr">
        <is>
          <t xml:space="preserve">  Weighted-average diluted shares, Class A-equivalent (m)</t>
        </is>
      </c>
      <c r="C129" s="253" t="n">
        <v>237.7325</v>
      </c>
      <c r="D129" s="253" t="n">
        <v>274.44875</v>
      </c>
      <c r="E129" s="253" t="n">
        <v>282.035062</v>
      </c>
      <c r="F129" s="253" t="n">
        <v>283.580363</v>
      </c>
      <c r="G129" s="253" t="n">
        <v>288.622133</v>
      </c>
      <c r="H129" s="253" t="n">
        <v>311.150961</v>
      </c>
      <c r="I129" s="253" t="n">
        <v>293.7932289</v>
      </c>
      <c r="J129" s="253" t="n">
        <v>319.6446699</v>
      </c>
      <c r="K129" s="253" t="n">
        <v>319.6463123</v>
      </c>
      <c r="L129" s="253" t="n">
        <v>319.6871019</v>
      </c>
      <c r="M129" s="253" t="n">
        <v>319.9360068</v>
      </c>
      <c r="N129" s="253" t="n">
        <v>319.7828873</v>
      </c>
      <c r="O129" s="253" t="n">
        <v>322.3980607</v>
      </c>
      <c r="P129" s="253" t="n">
        <v>323.3158503</v>
      </c>
      <c r="Q129" s="253" t="n">
        <v>323.7702746000001</v>
      </c>
      <c r="R129" s="253" t="n">
        <v>319.326209</v>
      </c>
      <c r="S129" s="253" t="n">
        <v>323.2573143</v>
      </c>
      <c r="T129" s="253" t="n">
        <v>326.7326002</v>
      </c>
      <c r="U129" s="253" t="n">
        <v>327.3041521</v>
      </c>
      <c r="V129" s="253" t="n">
        <v>328.2185113</v>
      </c>
      <c r="W129" s="253" t="n">
        <v>329.0935152</v>
      </c>
      <c r="X129" s="253" t="n">
        <v>328.0788566000001</v>
      </c>
      <c r="Y129" s="253" t="n">
        <v>333.6908422</v>
      </c>
      <c r="Z129" s="253" t="n">
        <v>334.1654361</v>
      </c>
      <c r="AA129" s="253" t="n">
        <v>333.950277</v>
      </c>
      <c r="AB129" s="253" t="n">
        <v>334.1903467</v>
      </c>
      <c r="AC129" s="253" t="n">
        <v>333.8584522</v>
      </c>
      <c r="AD129" s="253" t="n">
        <v>335.6059409</v>
      </c>
      <c r="AE129" s="253" t="n">
        <v>335.8841035</v>
      </c>
      <c r="AF129" s="254">
        <f>AF128+($AE$129-$AE$128)</f>
        <v/>
      </c>
      <c r="AG129" s="254">
        <f>AG128+($AE$129-$AE$128)</f>
        <v/>
      </c>
      <c r="AH129" s="254">
        <f>AVERAGE(AD129,AE129,AF129,AG129)</f>
        <v/>
      </c>
      <c r="AI129" s="254">
        <f>AI128+AI312</f>
        <v/>
      </c>
      <c r="AJ129" s="254">
        <f>AJ128+AJ312</f>
        <v/>
      </c>
      <c r="AK129" s="254">
        <f>AK128+AK312</f>
        <v/>
      </c>
      <c r="AL129" s="254">
        <f>AL128+AL312</f>
        <v/>
      </c>
      <c r="AM129" s="19" t="n"/>
      <c r="AO129" s="20">
        <f>IFERROR((AL129/AC129)^(1/5)-1,"n/m")</f>
        <v/>
      </c>
      <c r="AP129" s="20">
        <f>IFERROR((AC129/D129)^(1/5)-1,"n/m")</f>
        <v/>
      </c>
      <c r="AQ129" s="20">
        <f>IFERROR((AC129/N129)^(1/3)-1,"n/m")</f>
        <v/>
      </c>
      <c r="AR129" s="20">
        <f>IFERROR((AC129/C129)^(1/6)-1,"n/m")</f>
        <v/>
      </c>
    </row>
    <row r="130" ht="15" customHeight="1" s="251">
      <c r="B130" s="25" t="inlineStr">
        <is>
          <t>EPS – basic, Class A (CHF)</t>
        </is>
      </c>
      <c r="C130" s="270">
        <f>IF(ISNUMBER(C128),IFERROR(C122/C128,""),"")</f>
        <v/>
      </c>
      <c r="D130" s="270">
        <f>IF(ISNUMBER(D128),IFERROR(D122/D128,""),"")</f>
        <v/>
      </c>
      <c r="E130" s="270">
        <f>IF(ISNUMBER(E128),IFERROR(E122/E128,""),"")</f>
        <v/>
      </c>
      <c r="F130" s="270">
        <f>IF(ISNUMBER(F128),IFERROR(F122/F128,""),"")</f>
        <v/>
      </c>
      <c r="G130" s="270">
        <f>IF(ISNUMBER(G128),IFERROR(G122/G128,""),"")</f>
        <v/>
      </c>
      <c r="H130" s="270">
        <f>IF(ISNUMBER(H128),IFERROR(H122/H128,""),"")</f>
        <v/>
      </c>
      <c r="I130" s="270">
        <f>IF(ISNUMBER(I128),IFERROR(I122/I128,""),"")</f>
        <v/>
      </c>
      <c r="J130" s="270">
        <f>IF(ISNUMBER(J128),IFERROR(J122/J128,""),"")</f>
        <v/>
      </c>
      <c r="K130" s="270">
        <f>IF(ISNUMBER(K128),IFERROR(K122/K128,""),"")</f>
        <v/>
      </c>
      <c r="L130" s="270">
        <f>IF(ISNUMBER(L128),IFERROR(L122/L128,""),"")</f>
        <v/>
      </c>
      <c r="M130" s="270">
        <f>IF(ISNUMBER(M128),IFERROR(M122/M128,""),"")</f>
        <v/>
      </c>
      <c r="N130" s="270">
        <f>IF(ISNUMBER(N128),IFERROR(N122/N128,""),"")</f>
        <v/>
      </c>
      <c r="O130" s="270">
        <f>IF(ISNUMBER(O128),IFERROR(O122/O128,""),"")</f>
        <v/>
      </c>
      <c r="P130" s="270">
        <f>IF(ISNUMBER(P128),IFERROR(P122/P128,""),"")</f>
        <v/>
      </c>
      <c r="Q130" s="270">
        <f>IF(ISNUMBER(Q128),IFERROR(Q122/Q128,""),"")</f>
        <v/>
      </c>
      <c r="R130" s="270">
        <f>IF(ISNUMBER(R128),IFERROR(R122/R128,""),"")</f>
        <v/>
      </c>
      <c r="S130" s="270">
        <f>IF(ISNUMBER(S128),IFERROR(S122/S128,""),"")</f>
        <v/>
      </c>
      <c r="T130" s="270">
        <f>IF(ISNUMBER(T128),IFERROR(T122/T128,""),"")</f>
        <v/>
      </c>
      <c r="U130" s="270">
        <f>IF(ISNUMBER(U128),IFERROR(U122/U128,""),"")</f>
        <v/>
      </c>
      <c r="V130" s="270">
        <f>IF(ISNUMBER(V128),IFERROR(V122/V128,""),"")</f>
        <v/>
      </c>
      <c r="W130" s="270">
        <f>IF(ISNUMBER(W128),IFERROR(W122/W128,""),"")</f>
        <v/>
      </c>
      <c r="X130" s="270">
        <f>IF(ISNUMBER(X128),IFERROR(X122/X128,""),"")</f>
        <v/>
      </c>
      <c r="Y130" s="270">
        <f>IF(ISNUMBER(Y128),IFERROR(Y122/Y128,""),"")</f>
        <v/>
      </c>
      <c r="Z130" s="270">
        <f>IF(ISNUMBER(Z128),IFERROR(Z122/Z128,""),"")</f>
        <v/>
      </c>
      <c r="AA130" s="270">
        <f>IF(ISNUMBER(AA128),IFERROR(AA122/AA128,""),"")</f>
        <v/>
      </c>
      <c r="AB130" s="270">
        <f>IF(ISNUMBER(AB128),IFERROR(AB122/AB128,""),"")</f>
        <v/>
      </c>
      <c r="AC130" s="270">
        <f>IF(ISNUMBER(AC128),IFERROR(AC122/AC128,""),"")</f>
        <v/>
      </c>
      <c r="AD130" s="270">
        <f>IF(ISNUMBER(AD128),IFERROR(AD122/AD128,""),"")</f>
        <v/>
      </c>
      <c r="AE130" s="270">
        <f>IF(ISNUMBER(AE128),IFERROR(AE122/AE128,""),"")</f>
        <v/>
      </c>
      <c r="AF130" s="271">
        <f>IF(ISNUMBER(AF128),IFERROR(AF122/AF128,""),"")</f>
        <v/>
      </c>
      <c r="AG130" s="271">
        <f>IF(ISNUMBER(AG128),IFERROR(AG122/AG128,""),"")</f>
        <v/>
      </c>
      <c r="AH130" s="271">
        <f>IF(ISNUMBER(AH128),IFERROR(AH122/AH128,""),"")</f>
        <v/>
      </c>
      <c r="AI130" s="271">
        <f>IF(ISNUMBER(AI128),IFERROR(AI122/AI128,""),"")</f>
        <v/>
      </c>
      <c r="AJ130" s="271">
        <f>IF(ISNUMBER(AJ128),IFERROR(AJ122/AJ128,""),"")</f>
        <v/>
      </c>
      <c r="AK130" s="271">
        <f>IF(ISNUMBER(AK128),IFERROR(AK122/AK128,""),"")</f>
        <v/>
      </c>
      <c r="AL130" s="271">
        <f>IF(ISNUMBER(AL128),IFERROR(AL122/AL128,""),"")</f>
        <v/>
      </c>
      <c r="AM130" s="153" t="n"/>
    </row>
    <row r="131" ht="15" customHeight="1" s="251">
      <c r="B131" s="55" t="inlineStr">
        <is>
          <t>EPS – diluted, Class A (CHF)</t>
        </is>
      </c>
      <c r="C131" s="272">
        <f>IF(ISNUMBER(C129),IFERROR(C122/C129,""),"")</f>
        <v/>
      </c>
      <c r="D131" s="272">
        <f>IF(ISNUMBER(D129),IFERROR(D122/D129,""),"")</f>
        <v/>
      </c>
      <c r="E131" s="272">
        <f>IF(ISNUMBER(E129),IFERROR(E122/E129,""),"")</f>
        <v/>
      </c>
      <c r="F131" s="272">
        <f>IF(ISNUMBER(F129),IFERROR(F122/F129,""),"")</f>
        <v/>
      </c>
      <c r="G131" s="272">
        <f>IF(ISNUMBER(G129),IFERROR(G122/G129,""),"")</f>
        <v/>
      </c>
      <c r="H131" s="272">
        <f>IF(ISNUMBER(H129),IFERROR(H122/H129,""),"")</f>
        <v/>
      </c>
      <c r="I131" s="272">
        <f>IF(ISNUMBER(I129),IFERROR(I122/I129,""),"")</f>
        <v/>
      </c>
      <c r="J131" s="272">
        <f>IF(ISNUMBER(J129),IFERROR(J122/J129,""),"")</f>
        <v/>
      </c>
      <c r="K131" s="272">
        <f>IF(ISNUMBER(K129),IFERROR(K122/K129,""),"")</f>
        <v/>
      </c>
      <c r="L131" s="272">
        <f>IF(ISNUMBER(L129),IFERROR(L122/L129,""),"")</f>
        <v/>
      </c>
      <c r="M131" s="272">
        <f>IF(ISNUMBER(M129),IFERROR(M122/M129,""),"")</f>
        <v/>
      </c>
      <c r="N131" s="272">
        <f>IF(ISNUMBER(N129),IFERROR(N122/N129,""),"")</f>
        <v/>
      </c>
      <c r="O131" s="272">
        <f>IF(ISNUMBER(O129),IFERROR(O122/O129,""),"")</f>
        <v/>
      </c>
      <c r="P131" s="272">
        <f>IF(ISNUMBER(P129),IFERROR(P122/P129,""),"")</f>
        <v/>
      </c>
      <c r="Q131" s="272">
        <f>IF(ISNUMBER(Q129),IFERROR(Q122/Q129,""),"")</f>
        <v/>
      </c>
      <c r="R131" s="272">
        <f>IF(ISNUMBER(R129),IFERROR(R122/R129,""),"")</f>
        <v/>
      </c>
      <c r="S131" s="272">
        <f>IF(ISNUMBER(S129),IFERROR(S122/S129,""),"")</f>
        <v/>
      </c>
      <c r="T131" s="272">
        <f>IF(ISNUMBER(T129),IFERROR(T122/T129,""),"")</f>
        <v/>
      </c>
      <c r="U131" s="272">
        <f>IF(ISNUMBER(U129),IFERROR(U122/U129,""),"")</f>
        <v/>
      </c>
      <c r="V131" s="272">
        <f>IF(ISNUMBER(V129),IFERROR(V122/V129,""),"")</f>
        <v/>
      </c>
      <c r="W131" s="272">
        <f>IF(ISNUMBER(W129),IFERROR(W122/W129,""),"")</f>
        <v/>
      </c>
      <c r="X131" s="272">
        <f>IF(ISNUMBER(X129),IFERROR(X122/X129,""),"")</f>
        <v/>
      </c>
      <c r="Y131" s="272">
        <f>IF(ISNUMBER(Y129),IFERROR(Y122/Y129,""),"")</f>
        <v/>
      </c>
      <c r="Z131" s="272">
        <f>IF(ISNUMBER(Z129),IFERROR(Z122/Z129,""),"")</f>
        <v/>
      </c>
      <c r="AA131" s="272">
        <f>IF(ISNUMBER(AA129),IFERROR(AA122/AA129,""),"")</f>
        <v/>
      </c>
      <c r="AB131" s="272">
        <f>IF(ISNUMBER(AB129),IFERROR(AB122/AB129,""),"")</f>
        <v/>
      </c>
      <c r="AC131" s="272">
        <f>IF(ISNUMBER(AC129),IFERROR(AC122/AC129,""),"")</f>
        <v/>
      </c>
      <c r="AD131" s="272">
        <f>IF(ISNUMBER(AD129),IFERROR(AD122/AD129,""),"")</f>
        <v/>
      </c>
      <c r="AE131" s="272">
        <f>IF(ISNUMBER(AE129),IFERROR(AE122/AE129,""),"")</f>
        <v/>
      </c>
      <c r="AF131" s="272">
        <f>IF(ISNUMBER(AF129),IFERROR(AF122/AF129,""),"")</f>
        <v/>
      </c>
      <c r="AG131" s="272">
        <f>IF(ISNUMBER(AG129),IFERROR(AG122/AG129,""),"")</f>
        <v/>
      </c>
      <c r="AH131" s="272">
        <f>IF(ISNUMBER(AH129),IFERROR(AH122/AH129,""),"")</f>
        <v/>
      </c>
      <c r="AI131" s="272">
        <f>IF(ISNUMBER(AI129),IFERROR(AI122/AI129,""),"")</f>
        <v/>
      </c>
      <c r="AJ131" s="272">
        <f>IF(ISNUMBER(AJ129),IFERROR(AJ122/AJ129,""),"")</f>
        <v/>
      </c>
      <c r="AK131" s="272">
        <f>IF(ISNUMBER(AK129),IFERROR(AK122/AK129,""),"")</f>
        <v/>
      </c>
      <c r="AL131" s="272">
        <f>IF(ISNUMBER(AL129),IFERROR(AL122/AL129,""),"")</f>
        <v/>
      </c>
      <c r="AM131" s="19" t="inlineStr">
        <is>
          <t>Net income ÷ Class A-equivalent diluted shares (Class B EPS = 1/10). Anti-dilution: the company reports diluted = basic in loss periods.</t>
        </is>
      </c>
    </row>
    <row r="132" ht="15" customHeight="1" s="251">
      <c r="B132" s="22" t="inlineStr">
        <is>
          <t xml:space="preserve">  EPS – diluted y/y %</t>
        </is>
      </c>
      <c r="C132" s="23" t="n"/>
      <c r="D132" s="255">
        <f>IF(AND(ISNUMBER(D131),ISNUMBER(C131)),IFERROR(D131/C131-1,""),"")</f>
        <v/>
      </c>
      <c r="E132" s="23" t="n"/>
      <c r="F132" s="23" t="n"/>
      <c r="G132" s="23" t="n"/>
      <c r="H132" s="23" t="n"/>
      <c r="I132" s="255">
        <f>IF(AND(ISNUMBER(I131),ISNUMBER(D131)),IFERROR(I131/D131-1,""),"")</f>
        <v/>
      </c>
      <c r="J132" s="255">
        <f>IF(AND(ISNUMBER(J131),ISNUMBER(E131)),IFERROR(J131/E131-1,""),"")</f>
        <v/>
      </c>
      <c r="K132" s="255">
        <f>IF(AND(ISNUMBER(K131),ISNUMBER(F131)),IFERROR(K131/F131-1,""),"")</f>
        <v/>
      </c>
      <c r="L132" s="255">
        <f>IF(AND(ISNUMBER(L131),ISNUMBER(G131)),IFERROR(L131/G131-1,""),"")</f>
        <v/>
      </c>
      <c r="M132" s="255">
        <f>IF(AND(ISNUMBER(M131),ISNUMBER(H131)),IFERROR(M131/H131-1,""),"")</f>
        <v/>
      </c>
      <c r="N132" s="255">
        <f>IF(AND(ISNUMBER(N131),ISNUMBER(I131)),IFERROR(N131/I131-1,""),"")</f>
        <v/>
      </c>
      <c r="O132" s="255">
        <f>IF(AND(ISNUMBER(O131),ISNUMBER(J131)),IFERROR(O131/J131-1,""),"")</f>
        <v/>
      </c>
      <c r="P132" s="255">
        <f>IF(AND(ISNUMBER(P131),ISNUMBER(K131)),IFERROR(P131/K131-1,""),"")</f>
        <v/>
      </c>
      <c r="Q132" s="255">
        <f>IF(AND(ISNUMBER(Q131),ISNUMBER(L131)),IFERROR(Q131/L131-1,""),"")</f>
        <v/>
      </c>
      <c r="R132" s="255">
        <f>IF(AND(ISNUMBER(R131),ISNUMBER(M131)),IFERROR(R131/M131-1,""),"")</f>
        <v/>
      </c>
      <c r="S132" s="255">
        <f>IF(AND(ISNUMBER(S131),ISNUMBER(N131)),IFERROR(S131/N131-1,""),"")</f>
        <v/>
      </c>
      <c r="T132" s="255">
        <f>IF(AND(ISNUMBER(T131),ISNUMBER(O131)),IFERROR(T131/O131-1,""),"")</f>
        <v/>
      </c>
      <c r="U132" s="255">
        <f>IF(AND(ISNUMBER(U131),ISNUMBER(P131)),IFERROR(U131/P131-1,""),"")</f>
        <v/>
      </c>
      <c r="V132" s="255">
        <f>IF(AND(ISNUMBER(V131),ISNUMBER(Q131)),IFERROR(V131/Q131-1,""),"")</f>
        <v/>
      </c>
      <c r="W132" s="255">
        <f>IF(AND(ISNUMBER(W131),ISNUMBER(R131)),IFERROR(W131/R131-1,""),"")</f>
        <v/>
      </c>
      <c r="X132" s="255">
        <f>IF(AND(ISNUMBER(X131),ISNUMBER(S131)),IFERROR(X131/S131-1,""),"")</f>
        <v/>
      </c>
      <c r="Y132" s="255">
        <f>IF(AND(ISNUMBER(Y131),ISNUMBER(T131)),IFERROR(Y131/T131-1,""),"")</f>
        <v/>
      </c>
      <c r="Z132" s="255">
        <f>IF(AND(ISNUMBER(Z131),ISNUMBER(U131)),IFERROR(Z131/U131-1,""),"")</f>
        <v/>
      </c>
      <c r="AA132" s="255">
        <f>IF(AND(ISNUMBER(AA131),ISNUMBER(V131)),IFERROR(AA131/V131-1,""),"")</f>
        <v/>
      </c>
      <c r="AB132" s="255">
        <f>IF(AND(ISNUMBER(AB131),ISNUMBER(W131)),IFERROR(AB131/W131-1,""),"")</f>
        <v/>
      </c>
      <c r="AC132" s="255">
        <f>IF(AND(ISNUMBER(AC131),ISNUMBER(X131)),IFERROR(AC131/X131-1,""),"")</f>
        <v/>
      </c>
      <c r="AD132" s="255">
        <f>IF(AND(ISNUMBER(AD131),ISNUMBER(Y131)),IFERROR(AD131/Y131-1,""),"")</f>
        <v/>
      </c>
      <c r="AE132" s="255">
        <f>IF(AND(ISNUMBER(AE131),ISNUMBER(Z131)),IFERROR(AE131/Z131-1,""),"")</f>
        <v/>
      </c>
      <c r="AF132" s="256">
        <f>IF(AND(ISNUMBER(AF131),ISNUMBER(AA131)),IFERROR(AF131/AA131-1,""),"")</f>
        <v/>
      </c>
      <c r="AG132" s="256">
        <f>IF(AND(ISNUMBER(AG131),ISNUMBER(AB131)),IFERROR(AG131/AB131-1,""),"")</f>
        <v/>
      </c>
      <c r="AH132" s="256">
        <f>IF(AND(ISNUMBER(AH131),ISNUMBER(AC131)),IFERROR(AH131/AC131-1,""),"")</f>
        <v/>
      </c>
      <c r="AI132" s="256">
        <f>IF(AND(ISNUMBER(AI131),ISNUMBER(AH131)),IFERROR(AI131/AH131-1,""),"")</f>
        <v/>
      </c>
      <c r="AJ132" s="256">
        <f>IF(AND(ISNUMBER(AJ131),ISNUMBER(AI131)),IFERROR(AJ131/AI131-1,""),"")</f>
        <v/>
      </c>
      <c r="AK132" s="256">
        <f>IF(AND(ISNUMBER(AK131),ISNUMBER(AJ131)),IFERROR(AK131/AJ131-1,""),"")</f>
        <v/>
      </c>
      <c r="AL132" s="256">
        <f>IF(AND(ISNUMBER(AL131),ISNUMBER(AK131)),IFERROR(AL131/AK131-1,""),"")</f>
        <v/>
      </c>
      <c r="AM132" s="153" t="n"/>
    </row>
    <row r="133" ht="15" customHeight="1" s="251">
      <c r="B133" s="156" t="inlineStr">
        <is>
          <t xml:space="preserve">  Memo: EPS – basic, Class A as reported (CHF)</t>
        </is>
      </c>
      <c r="C133" s="273" t="n">
        <v>-0.006296</v>
      </c>
      <c r="D133" s="273" t="n">
        <v>-0.1</v>
      </c>
      <c r="E133" s="273" t="n">
        <v>-0.04</v>
      </c>
      <c r="F133" s="273" t="n">
        <v>0.05</v>
      </c>
      <c r="G133" s="273" t="n">
        <v>0.05</v>
      </c>
      <c r="H133" s="273" t="n">
        <v>-0.6</v>
      </c>
      <c r="I133" s="273" t="n">
        <v>-0.59</v>
      </c>
      <c r="J133" s="273" t="n">
        <v>0.05</v>
      </c>
      <c r="K133" s="273" t="n">
        <v>0.16</v>
      </c>
      <c r="L133" s="273" t="n">
        <v>0.07000000000000001</v>
      </c>
      <c r="M133" s="273" t="n">
        <v>-0.08</v>
      </c>
      <c r="N133" s="273" t="n">
        <v>0.18</v>
      </c>
      <c r="O133" s="273" t="n">
        <v>0.14</v>
      </c>
      <c r="P133" s="273" t="n">
        <v>0.01</v>
      </c>
      <c r="Q133" s="273" t="n">
        <v>0.18</v>
      </c>
      <c r="R133" s="273" t="n">
        <v>-0.08</v>
      </c>
      <c r="S133" s="273" t="n">
        <v>0.25</v>
      </c>
      <c r="T133" s="273" t="n">
        <v>0.28</v>
      </c>
      <c r="U133" s="273" t="n">
        <v>0.1</v>
      </c>
      <c r="V133" s="273" t="n">
        <v>0.09</v>
      </c>
      <c r="W133" s="273" t="n">
        <v>0.28</v>
      </c>
      <c r="X133" s="273" t="n">
        <v>0.75</v>
      </c>
      <c r="Y133" s="273" t="n">
        <v>0.17</v>
      </c>
      <c r="Z133" s="273" t="n">
        <v>-0.12</v>
      </c>
      <c r="AA133" s="273" t="n">
        <v>0.36</v>
      </c>
      <c r="AB133" s="273" t="n">
        <v>0.21</v>
      </c>
      <c r="AC133" s="273" t="n">
        <v>0.62</v>
      </c>
      <c r="AD133" s="273" t="n">
        <v>0.31</v>
      </c>
      <c r="AE133" s="273" t="n">
        <v>0.31</v>
      </c>
      <c r="AF133" s="153" t="n"/>
      <c r="AG133" s="153" t="n"/>
      <c r="AH133" s="153" t="n"/>
      <c r="AI133" s="153" t="n"/>
      <c r="AJ133" s="153" t="n"/>
      <c r="AK133" s="153" t="n"/>
      <c r="AL133" s="153" t="n"/>
      <c r="AM133" s="153" t="n"/>
    </row>
    <row r="134" ht="15" customHeight="1" s="251">
      <c r="B134" s="57" t="inlineStr">
        <is>
          <t xml:space="preserve">  Check: model basic EPS vs reported (should be 0.00; ±0.01 rounding)</t>
        </is>
      </c>
      <c r="C134" s="270">
        <f>IF(AND(ISNUMBER(C133),ISNUMBER(C130)),IF(ABS(C130-C133)&lt;=0.0101,0,ROUND(C130-C133,2)),"n/p")</f>
        <v/>
      </c>
      <c r="D134" s="270">
        <f>IF(AND(ISNUMBER(D133),ISNUMBER(D130)),IF(ABS(D130-D133)&lt;=0.0101,0,ROUND(D130-D133,2)),"n/p")</f>
        <v/>
      </c>
      <c r="E134" s="270">
        <f>IF(AND(ISNUMBER(E133),ISNUMBER(E130)),IF(ABS(E130-E133)&lt;=0.0101,0,ROUND(E130-E133,2)),"n/p")</f>
        <v/>
      </c>
      <c r="F134" s="270">
        <f>IF(AND(ISNUMBER(F133),ISNUMBER(F130)),IF(ABS(F130-F133)&lt;=0.0101,0,ROUND(F130-F133,2)),"n/p")</f>
        <v/>
      </c>
      <c r="G134" s="270">
        <f>IF(AND(ISNUMBER(G133),ISNUMBER(G130)),IF(ABS(G130-G133)&lt;=0.0101,0,ROUND(G130-G133,2)),"n/p")</f>
        <v/>
      </c>
      <c r="H134" s="270">
        <f>IF(AND(ISNUMBER(H133),ISNUMBER(H130)),IF(ABS(H130-H133)&lt;=0.0101,0,ROUND(H130-H133,2)),"n/p")</f>
        <v/>
      </c>
      <c r="I134" s="270">
        <f>IF(AND(ISNUMBER(I133),ISNUMBER(I130)),IF(ABS(I130-I133)&lt;=0.0101,0,ROUND(I130-I133,2)),"n/p")</f>
        <v/>
      </c>
      <c r="J134" s="270">
        <f>IF(AND(ISNUMBER(J133),ISNUMBER(J130)),IF(ABS(J130-J133)&lt;=0.0101,0,ROUND(J130-J133,2)),"n/p")</f>
        <v/>
      </c>
      <c r="K134" s="270">
        <f>IF(AND(ISNUMBER(K133),ISNUMBER(K130)),IF(ABS(K130-K133)&lt;=0.0101,0,ROUND(K130-K133,2)),"n/p")</f>
        <v/>
      </c>
      <c r="L134" s="270">
        <f>IF(AND(ISNUMBER(L133),ISNUMBER(L130)),IF(ABS(L130-L133)&lt;=0.0101,0,ROUND(L130-L133,2)),"n/p")</f>
        <v/>
      </c>
      <c r="M134" s="270">
        <f>IF(AND(ISNUMBER(M133),ISNUMBER(M130)),IF(ABS(M130-M133)&lt;=0.0101,0,ROUND(M130-M133,2)),"n/p")</f>
        <v/>
      </c>
      <c r="N134" s="270">
        <f>IF(AND(ISNUMBER(N133),ISNUMBER(N130)),IF(ABS(N130-N133)&lt;=0.0101,0,ROUND(N130-N133,2)),"n/p")</f>
        <v/>
      </c>
      <c r="O134" s="270">
        <f>IF(AND(ISNUMBER(O133),ISNUMBER(O130)),IF(ABS(O130-O133)&lt;=0.0101,0,ROUND(O130-O133,2)),"n/p")</f>
        <v/>
      </c>
      <c r="P134" s="270">
        <f>IF(AND(ISNUMBER(P133),ISNUMBER(P130)),IF(ABS(P130-P133)&lt;=0.0101,0,ROUND(P130-P133,2)),"n/p")</f>
        <v/>
      </c>
      <c r="Q134" s="270">
        <f>IF(AND(ISNUMBER(Q133),ISNUMBER(Q130)),IF(ABS(Q130-Q133)&lt;=0.0101,0,ROUND(Q130-Q133,2)),"n/p")</f>
        <v/>
      </c>
      <c r="R134" s="270">
        <f>IF(AND(ISNUMBER(R133),ISNUMBER(R130)),IF(ABS(R130-R133)&lt;=0.0101,0,ROUND(R130-R133,2)),"n/p")</f>
        <v/>
      </c>
      <c r="S134" s="270">
        <f>IF(AND(ISNUMBER(S133),ISNUMBER(S130)),IF(ABS(S130-S133)&lt;=0.0101,0,ROUND(S130-S133,2)),"n/p")</f>
        <v/>
      </c>
      <c r="T134" s="270">
        <f>IF(AND(ISNUMBER(T133),ISNUMBER(T130)),IF(ABS(T130-T133)&lt;=0.0101,0,ROUND(T130-T133,2)),"n/p")</f>
        <v/>
      </c>
      <c r="U134" s="270">
        <f>IF(AND(ISNUMBER(U133),ISNUMBER(U130)),IF(ABS(U130-U133)&lt;=0.0101,0,ROUND(U130-U133,2)),"n/p")</f>
        <v/>
      </c>
      <c r="V134" s="270">
        <f>IF(AND(ISNUMBER(V133),ISNUMBER(V130)),IF(ABS(V130-V133)&lt;=0.0101,0,ROUND(V130-V133,2)),"n/p")</f>
        <v/>
      </c>
      <c r="W134" s="270">
        <f>IF(AND(ISNUMBER(W133),ISNUMBER(W130)),IF(ABS(W130-W133)&lt;=0.0101,0,ROUND(W130-W133,2)),"n/p")</f>
        <v/>
      </c>
      <c r="X134" s="270">
        <f>IF(AND(ISNUMBER(X133),ISNUMBER(X130)),IF(ABS(X130-X133)&lt;=0.0101,0,ROUND(X130-X133,2)),"n/p")</f>
        <v/>
      </c>
      <c r="Y134" s="270">
        <f>IF(AND(ISNUMBER(Y133),ISNUMBER(Y130)),IF(ABS(Y130-Y133)&lt;=0.0101,0,ROUND(Y130-Y133,2)),"n/p")</f>
        <v/>
      </c>
      <c r="Z134" s="270">
        <f>IF(AND(ISNUMBER(Z133),ISNUMBER(Z130)),IF(ABS(Z130-Z133)&lt;=0.0101,0,ROUND(Z130-Z133,2)),"n/p")</f>
        <v/>
      </c>
      <c r="AA134" s="270">
        <f>IF(AND(ISNUMBER(AA133),ISNUMBER(AA130)),IF(ABS(AA130-AA133)&lt;=0.0101,0,ROUND(AA130-AA133,2)),"n/p")</f>
        <v/>
      </c>
      <c r="AB134" s="270">
        <f>IF(AND(ISNUMBER(AB133),ISNUMBER(AB130)),IF(ABS(AB130-AB133)&lt;=0.0101,0,ROUND(AB130-AB133,2)),"n/p")</f>
        <v/>
      </c>
      <c r="AC134" s="270">
        <f>IF(AND(ISNUMBER(AC133),ISNUMBER(AC130)),IF(ABS(AC130-AC133)&lt;=0.0101,0,ROUND(AC130-AC133,2)),"n/p")</f>
        <v/>
      </c>
      <c r="AD134" s="270">
        <f>IF(AND(ISNUMBER(AD133),ISNUMBER(AD130)),IF(ABS(AD130-AD133)&lt;=0.0101,0,ROUND(AD130-AD133,2)),"n/p")</f>
        <v/>
      </c>
      <c r="AE134" s="270">
        <f>IF(AND(ISNUMBER(AE133),ISNUMBER(AE130)),IF(ABS(AE130-AE133)&lt;=0.0101,0,ROUND(AE130-AE133,2)),"n/p")</f>
        <v/>
      </c>
      <c r="AF134" s="153" t="n"/>
      <c r="AG134" s="153" t="n"/>
      <c r="AH134" s="153" t="n"/>
      <c r="AI134" s="153" t="n"/>
      <c r="AJ134" s="153" t="n"/>
      <c r="AK134" s="153" t="n"/>
      <c r="AL134" s="153" t="n"/>
      <c r="AM134" s="153" t="n"/>
    </row>
    <row r="135" ht="15" customHeight="1" s="251">
      <c r="B135" s="156" t="inlineStr">
        <is>
          <t xml:space="preserve">  Memo: EPS – diluted, Class A as reported (CHF)</t>
        </is>
      </c>
      <c r="C135" s="273" t="n">
        <v>-0.006296</v>
      </c>
      <c r="D135" s="273" t="n">
        <v>-0.1</v>
      </c>
      <c r="E135" s="273" t="n">
        <v>-0.04</v>
      </c>
      <c r="F135" s="273" t="n">
        <v>0.05</v>
      </c>
      <c r="G135" s="273" t="n">
        <v>0.04</v>
      </c>
      <c r="H135" s="273" t="n">
        <v>-0.6</v>
      </c>
      <c r="I135" s="273" t="n">
        <v>-0.59</v>
      </c>
      <c r="J135" s="273" t="n">
        <v>0.04</v>
      </c>
      <c r="K135" s="273" t="n">
        <v>0.15</v>
      </c>
      <c r="L135" s="273" t="n">
        <v>0.06</v>
      </c>
      <c r="M135" s="273" t="n">
        <v>-0.08</v>
      </c>
      <c r="N135" s="273" t="n">
        <v>0.18</v>
      </c>
      <c r="O135" s="273" t="n">
        <v>0.14</v>
      </c>
      <c r="P135" s="273" t="n">
        <v>0.01</v>
      </c>
      <c r="Q135" s="273" t="n">
        <v>0.18</v>
      </c>
      <c r="R135" s="273" t="n">
        <v>-0.08</v>
      </c>
      <c r="S135" s="273" t="n">
        <v>0.25</v>
      </c>
      <c r="T135" s="273" t="n">
        <v>0.28</v>
      </c>
      <c r="U135" s="273" t="n">
        <v>0.09</v>
      </c>
      <c r="V135" s="273" t="n">
        <v>0.09</v>
      </c>
      <c r="W135" s="273" t="n">
        <v>0.27</v>
      </c>
      <c r="X135" s="273" t="n">
        <v>0.74</v>
      </c>
      <c r="Y135" s="273" t="n">
        <v>0.17</v>
      </c>
      <c r="Z135" s="273" t="n">
        <v>-0.12</v>
      </c>
      <c r="AA135" s="273" t="n">
        <v>0.36</v>
      </c>
      <c r="AB135" s="273" t="n">
        <v>0.21</v>
      </c>
      <c r="AC135" s="273" t="n">
        <v>0.61</v>
      </c>
      <c r="AD135" s="273" t="n">
        <v>0.31</v>
      </c>
      <c r="AE135" s="273" t="n">
        <v>0.31</v>
      </c>
      <c r="AF135" s="153" t="n"/>
      <c r="AG135" s="153" t="n"/>
      <c r="AH135" s="153" t="n"/>
      <c r="AI135" s="153" t="n"/>
      <c r="AJ135" s="153" t="n"/>
      <c r="AK135" s="153" t="n"/>
      <c r="AL135" s="153" t="n"/>
      <c r="AM135" s="153" t="n"/>
    </row>
    <row r="136" ht="15" customHeight="1" s="251">
      <c r="B136" s="25" t="inlineStr">
        <is>
          <t xml:space="preserve">  Dividends per Class A share (CHF)</t>
        </is>
      </c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  <c r="AA136" s="34" t="n"/>
      <c r="AB136" s="34" t="n"/>
      <c r="AC136" s="34" t="n"/>
      <c r="AD136" s="34" t="n"/>
      <c r="AE136" s="34" t="n"/>
      <c r="AF136" s="274" t="n">
        <v>0</v>
      </c>
      <c r="AG136" s="274" t="n">
        <v>0</v>
      </c>
      <c r="AH136" s="35" t="n"/>
      <c r="AI136" s="274" t="n">
        <v>0</v>
      </c>
      <c r="AJ136" s="274" t="n">
        <v>0</v>
      </c>
      <c r="AK136" s="274" t="n">
        <v>0</v>
      </c>
      <c r="AL136" s="274" t="n">
        <v>0</v>
      </c>
      <c r="AM136" s="19" t="inlineStr">
        <is>
          <t>On has not paid dividends; capital returns via the USD 1bn Class A share repurchase authorization (Sep-2026 to Dec-2029).</t>
        </is>
      </c>
    </row>
    <row r="137" ht="15" customHeight="1" s="251">
      <c r="AU137" s="11" t="n"/>
      <c r="AV137" s="12" t="n"/>
      <c r="AW137" s="12" t="n"/>
      <c r="AX137" s="12" t="n"/>
      <c r="AY137" s="13" t="n"/>
    </row>
    <row r="138" ht="15" customHeight="1" s="251">
      <c r="B138" s="10" t="inlineStr">
        <is>
          <t>RECONCILIATION: NET INCOME → EBITDA → ADJUSTED EBITDA (company definition, as published)</t>
        </is>
      </c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inlineStr">
        <is>
          <t>ADJUSTED EBITDA — per On release reconciliation: net income + income taxes − financial income + financial expenses − FX result + D&amp;A + SBC (+ equity transaction costs 2021–22)</t>
        </is>
      </c>
    </row>
    <row r="139" ht="15" customHeight="1" s="251">
      <c r="B139" s="16" t="inlineStr">
        <is>
          <t>Net income (loss) (IFRS)</t>
        </is>
      </c>
      <c r="C139" s="268">
        <f>C122</f>
        <v/>
      </c>
      <c r="D139" s="268">
        <f>D122</f>
        <v/>
      </c>
      <c r="E139" s="268">
        <f>E122</f>
        <v/>
      </c>
      <c r="F139" s="268">
        <f>F122</f>
        <v/>
      </c>
      <c r="G139" s="268">
        <f>G122</f>
        <v/>
      </c>
      <c r="H139" s="268">
        <f>H122</f>
        <v/>
      </c>
      <c r="I139" s="268">
        <f>I122</f>
        <v/>
      </c>
      <c r="J139" s="268">
        <f>J122</f>
        <v/>
      </c>
      <c r="K139" s="268">
        <f>K122</f>
        <v/>
      </c>
      <c r="L139" s="268">
        <f>L122</f>
        <v/>
      </c>
      <c r="M139" s="268">
        <f>M122</f>
        <v/>
      </c>
      <c r="N139" s="268">
        <f>N122</f>
        <v/>
      </c>
      <c r="O139" s="268">
        <f>O122</f>
        <v/>
      </c>
      <c r="P139" s="268">
        <f>P122</f>
        <v/>
      </c>
      <c r="Q139" s="268">
        <f>Q122</f>
        <v/>
      </c>
      <c r="R139" s="268">
        <f>R122</f>
        <v/>
      </c>
      <c r="S139" s="268">
        <f>S122</f>
        <v/>
      </c>
      <c r="T139" s="268">
        <f>T122</f>
        <v/>
      </c>
      <c r="U139" s="268">
        <f>U122</f>
        <v/>
      </c>
      <c r="V139" s="268">
        <f>V122</f>
        <v/>
      </c>
      <c r="W139" s="268">
        <f>W122</f>
        <v/>
      </c>
      <c r="X139" s="268">
        <f>X122</f>
        <v/>
      </c>
      <c r="Y139" s="268">
        <f>Y122</f>
        <v/>
      </c>
      <c r="Z139" s="268">
        <f>Z122</f>
        <v/>
      </c>
      <c r="AA139" s="268">
        <f>AA122</f>
        <v/>
      </c>
      <c r="AB139" s="268">
        <f>AB122</f>
        <v/>
      </c>
      <c r="AC139" s="268">
        <f>AC122</f>
        <v/>
      </c>
      <c r="AD139" s="268">
        <f>AD122</f>
        <v/>
      </c>
      <c r="AE139" s="268">
        <f>AE122</f>
        <v/>
      </c>
      <c r="AF139" s="269">
        <f>AF122</f>
        <v/>
      </c>
      <c r="AG139" s="269">
        <f>AG122</f>
        <v/>
      </c>
      <c r="AH139" s="269">
        <f>AH122</f>
        <v/>
      </c>
      <c r="AI139" s="269">
        <f>AI122</f>
        <v/>
      </c>
      <c r="AJ139" s="269">
        <f>AJ122</f>
        <v/>
      </c>
      <c r="AK139" s="269">
        <f>AK122</f>
        <v/>
      </c>
      <c r="AL139" s="269">
        <f>AL122</f>
        <v/>
      </c>
      <c r="AM139" s="153" t="n"/>
    </row>
    <row r="140" ht="15" customHeight="1" s="251">
      <c r="B140" s="25" t="inlineStr">
        <is>
          <t xml:space="preserve">  (+) Income taxes</t>
        </is>
      </c>
      <c r="C140" s="261">
        <f>C120</f>
        <v/>
      </c>
      <c r="D140" s="261">
        <f>D120</f>
        <v/>
      </c>
      <c r="E140" s="261">
        <f>E120</f>
        <v/>
      </c>
      <c r="F140" s="261">
        <f>F120</f>
        <v/>
      </c>
      <c r="G140" s="261">
        <f>G120</f>
        <v/>
      </c>
      <c r="H140" s="261">
        <f>H120</f>
        <v/>
      </c>
      <c r="I140" s="261">
        <f>I120</f>
        <v/>
      </c>
      <c r="J140" s="261">
        <f>J120</f>
        <v/>
      </c>
      <c r="K140" s="261">
        <f>K120</f>
        <v/>
      </c>
      <c r="L140" s="261">
        <f>L120</f>
        <v/>
      </c>
      <c r="M140" s="261">
        <f>M120</f>
        <v/>
      </c>
      <c r="N140" s="261">
        <f>N120</f>
        <v/>
      </c>
      <c r="O140" s="261">
        <f>O120</f>
        <v/>
      </c>
      <c r="P140" s="261">
        <f>P120</f>
        <v/>
      </c>
      <c r="Q140" s="261">
        <f>Q120</f>
        <v/>
      </c>
      <c r="R140" s="261">
        <f>R120</f>
        <v/>
      </c>
      <c r="S140" s="261">
        <f>S120</f>
        <v/>
      </c>
      <c r="T140" s="261">
        <f>T120</f>
        <v/>
      </c>
      <c r="U140" s="261">
        <f>U120</f>
        <v/>
      </c>
      <c r="V140" s="261">
        <f>V120</f>
        <v/>
      </c>
      <c r="W140" s="261">
        <f>W120</f>
        <v/>
      </c>
      <c r="X140" s="261">
        <f>X120</f>
        <v/>
      </c>
      <c r="Y140" s="261">
        <f>Y120</f>
        <v/>
      </c>
      <c r="Z140" s="261">
        <f>Z120</f>
        <v/>
      </c>
      <c r="AA140" s="261">
        <f>AA120</f>
        <v/>
      </c>
      <c r="AB140" s="261">
        <f>AB120</f>
        <v/>
      </c>
      <c r="AC140" s="261">
        <f>AC120</f>
        <v/>
      </c>
      <c r="AD140" s="261">
        <f>AD120</f>
        <v/>
      </c>
      <c r="AE140" s="261">
        <f>AE120</f>
        <v/>
      </c>
      <c r="AF140" s="254">
        <f>AF120</f>
        <v/>
      </c>
      <c r="AG140" s="254">
        <f>AG120</f>
        <v/>
      </c>
      <c r="AH140" s="254">
        <f>AH120</f>
        <v/>
      </c>
      <c r="AI140" s="254">
        <f>AI120</f>
        <v/>
      </c>
      <c r="AJ140" s="254">
        <f>AJ120</f>
        <v/>
      </c>
      <c r="AK140" s="254">
        <f>AK120</f>
        <v/>
      </c>
      <c r="AL140" s="254">
        <f>AL120</f>
        <v/>
      </c>
      <c r="AM140" s="19" t="n"/>
    </row>
    <row r="141" ht="15" customHeight="1" s="251">
      <c r="B141" s="25" t="inlineStr">
        <is>
          <t xml:space="preserve">  (−) Financial income</t>
        </is>
      </c>
      <c r="C141" s="261">
        <f>-C116</f>
        <v/>
      </c>
      <c r="D141" s="261">
        <f>-D116</f>
        <v/>
      </c>
      <c r="E141" s="261">
        <f>-E116</f>
        <v/>
      </c>
      <c r="F141" s="261">
        <f>-F116</f>
        <v/>
      </c>
      <c r="G141" s="261">
        <f>-G116</f>
        <v/>
      </c>
      <c r="H141" s="261">
        <f>-H116</f>
        <v/>
      </c>
      <c r="I141" s="261">
        <f>-I116</f>
        <v/>
      </c>
      <c r="J141" s="261">
        <f>-J116</f>
        <v/>
      </c>
      <c r="K141" s="261">
        <f>-K116</f>
        <v/>
      </c>
      <c r="L141" s="261">
        <f>-L116</f>
        <v/>
      </c>
      <c r="M141" s="261">
        <f>-M116</f>
        <v/>
      </c>
      <c r="N141" s="261">
        <f>-N116</f>
        <v/>
      </c>
      <c r="O141" s="261">
        <f>-O116</f>
        <v/>
      </c>
      <c r="P141" s="261">
        <f>-P116</f>
        <v/>
      </c>
      <c r="Q141" s="261">
        <f>-Q116</f>
        <v/>
      </c>
      <c r="R141" s="261">
        <f>-R116</f>
        <v/>
      </c>
      <c r="S141" s="261">
        <f>-S116</f>
        <v/>
      </c>
      <c r="T141" s="261">
        <f>-T116</f>
        <v/>
      </c>
      <c r="U141" s="261">
        <f>-U116</f>
        <v/>
      </c>
      <c r="V141" s="261">
        <f>-V116</f>
        <v/>
      </c>
      <c r="W141" s="261">
        <f>-W116</f>
        <v/>
      </c>
      <c r="X141" s="261">
        <f>-X116</f>
        <v/>
      </c>
      <c r="Y141" s="261">
        <f>-Y116</f>
        <v/>
      </c>
      <c r="Z141" s="261">
        <f>-Z116</f>
        <v/>
      </c>
      <c r="AA141" s="261">
        <f>-AA116</f>
        <v/>
      </c>
      <c r="AB141" s="261">
        <f>-AB116</f>
        <v/>
      </c>
      <c r="AC141" s="261">
        <f>-AC116</f>
        <v/>
      </c>
      <c r="AD141" s="261">
        <f>-AD116</f>
        <v/>
      </c>
      <c r="AE141" s="261">
        <f>-AE116</f>
        <v/>
      </c>
      <c r="AF141" s="254">
        <f>-AF116</f>
        <v/>
      </c>
      <c r="AG141" s="254">
        <f>-AG116</f>
        <v/>
      </c>
      <c r="AH141" s="254">
        <f>-AH116</f>
        <v/>
      </c>
      <c r="AI141" s="254">
        <f>-AI116</f>
        <v/>
      </c>
      <c r="AJ141" s="254">
        <f>-AJ116</f>
        <v/>
      </c>
      <c r="AK141" s="254">
        <f>-AK116</f>
        <v/>
      </c>
      <c r="AL141" s="254">
        <f>-AL116</f>
        <v/>
      </c>
      <c r="AM141" s="19" t="n"/>
    </row>
    <row r="142" ht="15" customHeight="1" s="251">
      <c r="B142" s="25" t="inlineStr">
        <is>
          <t xml:space="preserve">  (+) Financial expenses</t>
        </is>
      </c>
      <c r="C142" s="261">
        <f>C117</f>
        <v/>
      </c>
      <c r="D142" s="261">
        <f>D117</f>
        <v/>
      </c>
      <c r="E142" s="261">
        <f>E117</f>
        <v/>
      </c>
      <c r="F142" s="261">
        <f>F117</f>
        <v/>
      </c>
      <c r="G142" s="261">
        <f>G117</f>
        <v/>
      </c>
      <c r="H142" s="261">
        <f>H117</f>
        <v/>
      </c>
      <c r="I142" s="261">
        <f>I117</f>
        <v/>
      </c>
      <c r="J142" s="261">
        <f>J117</f>
        <v/>
      </c>
      <c r="K142" s="261">
        <f>K117</f>
        <v/>
      </c>
      <c r="L142" s="261">
        <f>L117</f>
        <v/>
      </c>
      <c r="M142" s="261">
        <f>M117</f>
        <v/>
      </c>
      <c r="N142" s="261">
        <f>N117</f>
        <v/>
      </c>
      <c r="O142" s="261">
        <f>O117</f>
        <v/>
      </c>
      <c r="P142" s="261">
        <f>P117</f>
        <v/>
      </c>
      <c r="Q142" s="261">
        <f>Q117</f>
        <v/>
      </c>
      <c r="R142" s="261">
        <f>R117</f>
        <v/>
      </c>
      <c r="S142" s="261">
        <f>S117</f>
        <v/>
      </c>
      <c r="T142" s="261">
        <f>T117</f>
        <v/>
      </c>
      <c r="U142" s="261">
        <f>U117</f>
        <v/>
      </c>
      <c r="V142" s="261">
        <f>V117</f>
        <v/>
      </c>
      <c r="W142" s="261">
        <f>W117</f>
        <v/>
      </c>
      <c r="X142" s="261">
        <f>X117</f>
        <v/>
      </c>
      <c r="Y142" s="261">
        <f>Y117</f>
        <v/>
      </c>
      <c r="Z142" s="261">
        <f>Z117</f>
        <v/>
      </c>
      <c r="AA142" s="261">
        <f>AA117</f>
        <v/>
      </c>
      <c r="AB142" s="261">
        <f>AB117</f>
        <v/>
      </c>
      <c r="AC142" s="261">
        <f>AC117</f>
        <v/>
      </c>
      <c r="AD142" s="261">
        <f>AD117</f>
        <v/>
      </c>
      <c r="AE142" s="261">
        <f>AE117</f>
        <v/>
      </c>
      <c r="AF142" s="254">
        <f>AF117</f>
        <v/>
      </c>
      <c r="AG142" s="254">
        <f>AG117</f>
        <v/>
      </c>
      <c r="AH142" s="254">
        <f>AH117</f>
        <v/>
      </c>
      <c r="AI142" s="254">
        <f>AI117</f>
        <v/>
      </c>
      <c r="AJ142" s="254">
        <f>AJ117</f>
        <v/>
      </c>
      <c r="AK142" s="254">
        <f>AK117</f>
        <v/>
      </c>
      <c r="AL142" s="254">
        <f>AL117</f>
        <v/>
      </c>
      <c r="AM142" s="19" t="n"/>
    </row>
    <row r="143" ht="15" customHeight="1" s="251">
      <c r="B143" s="25" t="inlineStr">
        <is>
          <t xml:space="preserve">  (−) Foreign exchange result (loss = +)</t>
        </is>
      </c>
      <c r="C143" s="261">
        <f>-C118</f>
        <v/>
      </c>
      <c r="D143" s="261">
        <f>-D118</f>
        <v/>
      </c>
      <c r="E143" s="261">
        <f>-E118</f>
        <v/>
      </c>
      <c r="F143" s="261">
        <f>-F118</f>
        <v/>
      </c>
      <c r="G143" s="261">
        <f>-G118</f>
        <v/>
      </c>
      <c r="H143" s="261">
        <f>-H118</f>
        <v/>
      </c>
      <c r="I143" s="261">
        <f>-I118</f>
        <v/>
      </c>
      <c r="J143" s="261">
        <f>-J118</f>
        <v/>
      </c>
      <c r="K143" s="261">
        <f>-K118</f>
        <v/>
      </c>
      <c r="L143" s="261">
        <f>-L118</f>
        <v/>
      </c>
      <c r="M143" s="261">
        <f>-M118</f>
        <v/>
      </c>
      <c r="N143" s="261">
        <f>-N118</f>
        <v/>
      </c>
      <c r="O143" s="261">
        <f>-O118</f>
        <v/>
      </c>
      <c r="P143" s="261">
        <f>-P118</f>
        <v/>
      </c>
      <c r="Q143" s="261">
        <f>-Q118</f>
        <v/>
      </c>
      <c r="R143" s="261">
        <f>-R118</f>
        <v/>
      </c>
      <c r="S143" s="261">
        <f>-S118</f>
        <v/>
      </c>
      <c r="T143" s="261">
        <f>-T118</f>
        <v/>
      </c>
      <c r="U143" s="261">
        <f>-U118</f>
        <v/>
      </c>
      <c r="V143" s="261">
        <f>-V118</f>
        <v/>
      </c>
      <c r="W143" s="261">
        <f>-W118</f>
        <v/>
      </c>
      <c r="X143" s="261">
        <f>-X118</f>
        <v/>
      </c>
      <c r="Y143" s="261">
        <f>-Y118</f>
        <v/>
      </c>
      <c r="Z143" s="261">
        <f>-Z118</f>
        <v/>
      </c>
      <c r="AA143" s="261">
        <f>-AA118</f>
        <v/>
      </c>
      <c r="AB143" s="261">
        <f>-AB118</f>
        <v/>
      </c>
      <c r="AC143" s="261">
        <f>-AC118</f>
        <v/>
      </c>
      <c r="AD143" s="261">
        <f>-AD118</f>
        <v/>
      </c>
      <c r="AE143" s="261">
        <f>-AE118</f>
        <v/>
      </c>
      <c r="AF143" s="254">
        <f>-AF118</f>
        <v/>
      </c>
      <c r="AG143" s="254">
        <f>-AG118</f>
        <v/>
      </c>
      <c r="AH143" s="254">
        <f>-AH118</f>
        <v/>
      </c>
      <c r="AI143" s="254">
        <f>-AI118</f>
        <v/>
      </c>
      <c r="AJ143" s="254">
        <f>-AJ118</f>
        <v/>
      </c>
      <c r="AK143" s="254">
        <f>-AK118</f>
        <v/>
      </c>
      <c r="AL143" s="254">
        <f>-AL118</f>
        <v/>
      </c>
      <c r="AM143" s="19" t="n"/>
    </row>
    <row r="144" ht="15" customHeight="1" s="251">
      <c r="B144" s="16" t="inlineStr">
        <is>
          <t xml:space="preserve">  = Operating result</t>
        </is>
      </c>
      <c r="C144" s="268">
        <f>IF(ISNUMBER(C139),C139+C140+C141+C142+C143,"")</f>
        <v/>
      </c>
      <c r="D144" s="268">
        <f>IF(ISNUMBER(D139),D139+D140+D141+D142+D143,"")</f>
        <v/>
      </c>
      <c r="E144" s="268">
        <f>IF(ISNUMBER(E139),E139+E140+E141+E142+E143,"")</f>
        <v/>
      </c>
      <c r="F144" s="268">
        <f>IF(ISNUMBER(F139),F139+F140+F141+F142+F143,"")</f>
        <v/>
      </c>
      <c r="G144" s="268">
        <f>IF(ISNUMBER(G139),G139+G140+G141+G142+G143,"")</f>
        <v/>
      </c>
      <c r="H144" s="268">
        <f>IF(ISNUMBER(H139),H139+H140+H141+H142+H143,"")</f>
        <v/>
      </c>
      <c r="I144" s="268">
        <f>IF(ISNUMBER(I139),I139+I140+I141+I142+I143,"")</f>
        <v/>
      </c>
      <c r="J144" s="268">
        <f>IF(ISNUMBER(J139),J139+J140+J141+J142+J143,"")</f>
        <v/>
      </c>
      <c r="K144" s="268">
        <f>IF(ISNUMBER(K139),K139+K140+K141+K142+K143,"")</f>
        <v/>
      </c>
      <c r="L144" s="268">
        <f>IF(ISNUMBER(L139),L139+L140+L141+L142+L143,"")</f>
        <v/>
      </c>
      <c r="M144" s="268">
        <f>IF(ISNUMBER(M139),M139+M140+M141+M142+M143,"")</f>
        <v/>
      </c>
      <c r="N144" s="268">
        <f>IF(ISNUMBER(N139),N139+N140+N141+N142+N143,"")</f>
        <v/>
      </c>
      <c r="O144" s="268">
        <f>IF(ISNUMBER(O139),O139+O140+O141+O142+O143,"")</f>
        <v/>
      </c>
      <c r="P144" s="268">
        <f>IF(ISNUMBER(P139),P139+P140+P141+P142+P143,"")</f>
        <v/>
      </c>
      <c r="Q144" s="268">
        <f>IF(ISNUMBER(Q139),Q139+Q140+Q141+Q142+Q143,"")</f>
        <v/>
      </c>
      <c r="R144" s="268">
        <f>IF(ISNUMBER(R139),R139+R140+R141+R142+R143,"")</f>
        <v/>
      </c>
      <c r="S144" s="268">
        <f>IF(ISNUMBER(S139),S139+S140+S141+S142+S143,"")</f>
        <v/>
      </c>
      <c r="T144" s="268">
        <f>IF(ISNUMBER(T139),T139+T140+T141+T142+T143,"")</f>
        <v/>
      </c>
      <c r="U144" s="268">
        <f>IF(ISNUMBER(U139),U139+U140+U141+U142+U143,"")</f>
        <v/>
      </c>
      <c r="V144" s="268">
        <f>IF(ISNUMBER(V139),V139+V140+V141+V142+V143,"")</f>
        <v/>
      </c>
      <c r="W144" s="268">
        <f>IF(ISNUMBER(W139),W139+W140+W141+W142+W143,"")</f>
        <v/>
      </c>
      <c r="X144" s="268">
        <f>IF(ISNUMBER(X139),X139+X140+X141+X142+X143,"")</f>
        <v/>
      </c>
      <c r="Y144" s="268">
        <f>IF(ISNUMBER(Y139),Y139+Y140+Y141+Y142+Y143,"")</f>
        <v/>
      </c>
      <c r="Z144" s="268">
        <f>IF(ISNUMBER(Z139),Z139+Z140+Z141+Z142+Z143,"")</f>
        <v/>
      </c>
      <c r="AA144" s="268">
        <f>IF(ISNUMBER(AA139),AA139+AA140+AA141+AA142+AA143,"")</f>
        <v/>
      </c>
      <c r="AB144" s="268">
        <f>IF(ISNUMBER(AB139),AB139+AB140+AB141+AB142+AB143,"")</f>
        <v/>
      </c>
      <c r="AC144" s="268">
        <f>IF(ISNUMBER(AC139),AC139+AC140+AC141+AC142+AC143,"")</f>
        <v/>
      </c>
      <c r="AD144" s="268">
        <f>IF(ISNUMBER(AD139),AD139+AD140+AD141+AD142+AD143,"")</f>
        <v/>
      </c>
      <c r="AE144" s="268">
        <f>IF(ISNUMBER(AE139),AE139+AE140+AE141+AE142+AE143,"")</f>
        <v/>
      </c>
      <c r="AF144" s="269">
        <f>IF(ISNUMBER(AF139),AF139+AF140+AF141+AF142+AF143,"")</f>
        <v/>
      </c>
      <c r="AG144" s="269">
        <f>IF(ISNUMBER(AG139),AG139+AG140+AG141+AG142+AG143,"")</f>
        <v/>
      </c>
      <c r="AH144" s="269">
        <f>IF(ISNUMBER(AH139),AH139+AH140+AH141+AH142+AH143,"")</f>
        <v/>
      </c>
      <c r="AI144" s="269">
        <f>IF(ISNUMBER(AI139),AI139+AI140+AI141+AI142+AI143,"")</f>
        <v/>
      </c>
      <c r="AJ144" s="269">
        <f>IF(ISNUMBER(AJ139),AJ139+AJ140+AJ141+AJ142+AJ143,"")</f>
        <v/>
      </c>
      <c r="AK144" s="269">
        <f>IF(ISNUMBER(AK139),AK139+AK140+AK141+AK142+AK143,"")</f>
        <v/>
      </c>
      <c r="AL144" s="269">
        <f>IF(ISNUMBER(AL139),AL139+AL140+AL141+AL142+AL143,"")</f>
        <v/>
      </c>
      <c r="AM144" s="153" t="n"/>
    </row>
    <row r="145" ht="15" customHeight="1" s="251">
      <c r="B145" s="25" t="inlineStr">
        <is>
          <t xml:space="preserve">  (+) Depreciation &amp; amortization</t>
        </is>
      </c>
      <c r="C145" s="261">
        <f>C102</f>
        <v/>
      </c>
      <c r="D145" s="261">
        <f>D102</f>
        <v/>
      </c>
      <c r="E145" s="261">
        <f>E102</f>
        <v/>
      </c>
      <c r="F145" s="261">
        <f>F102</f>
        <v/>
      </c>
      <c r="G145" s="261">
        <f>G102</f>
        <v/>
      </c>
      <c r="H145" s="261">
        <f>H102</f>
        <v/>
      </c>
      <c r="I145" s="261">
        <f>I102</f>
        <v/>
      </c>
      <c r="J145" s="261">
        <f>J102</f>
        <v/>
      </c>
      <c r="K145" s="261">
        <f>K102</f>
        <v/>
      </c>
      <c r="L145" s="261">
        <f>L102</f>
        <v/>
      </c>
      <c r="M145" s="261">
        <f>M102</f>
        <v/>
      </c>
      <c r="N145" s="261">
        <f>N102</f>
        <v/>
      </c>
      <c r="O145" s="261">
        <f>O102</f>
        <v/>
      </c>
      <c r="P145" s="261">
        <f>P102</f>
        <v/>
      </c>
      <c r="Q145" s="261">
        <f>Q102</f>
        <v/>
      </c>
      <c r="R145" s="261">
        <f>R102</f>
        <v/>
      </c>
      <c r="S145" s="261">
        <f>S102</f>
        <v/>
      </c>
      <c r="T145" s="261">
        <f>T102</f>
        <v/>
      </c>
      <c r="U145" s="261">
        <f>U102</f>
        <v/>
      </c>
      <c r="V145" s="261">
        <f>V102</f>
        <v/>
      </c>
      <c r="W145" s="261">
        <f>W102</f>
        <v/>
      </c>
      <c r="X145" s="261">
        <f>X102</f>
        <v/>
      </c>
      <c r="Y145" s="261">
        <f>Y102</f>
        <v/>
      </c>
      <c r="Z145" s="261">
        <f>Z102</f>
        <v/>
      </c>
      <c r="AA145" s="261">
        <f>AA102</f>
        <v/>
      </c>
      <c r="AB145" s="261">
        <f>AB102</f>
        <v/>
      </c>
      <c r="AC145" s="261">
        <f>AC102</f>
        <v/>
      </c>
      <c r="AD145" s="261">
        <f>AD102</f>
        <v/>
      </c>
      <c r="AE145" s="261">
        <f>AE102</f>
        <v/>
      </c>
      <c r="AF145" s="254">
        <f>AF102</f>
        <v/>
      </c>
      <c r="AG145" s="254">
        <f>AG102</f>
        <v/>
      </c>
      <c r="AH145" s="254">
        <f>AH102</f>
        <v/>
      </c>
      <c r="AI145" s="254">
        <f>AI102</f>
        <v/>
      </c>
      <c r="AJ145" s="254">
        <f>AJ102</f>
        <v/>
      </c>
      <c r="AK145" s="254">
        <f>AK102</f>
        <v/>
      </c>
      <c r="AL145" s="254">
        <f>AL102</f>
        <v/>
      </c>
      <c r="AM145" s="19" t="n"/>
    </row>
    <row r="146" ht="15" customHeight="1" s="251">
      <c r="B146" s="55" t="inlineStr">
        <is>
          <t xml:space="preserve">  = EBITDA</t>
        </is>
      </c>
      <c r="C146" s="263">
        <f>IF(AND(ISNUMBER(C144),ISNUMBER(C145)),C144+C145,"")</f>
        <v/>
      </c>
      <c r="D146" s="263">
        <f>IF(AND(ISNUMBER(D144),ISNUMBER(D145)),D144+D145,"")</f>
        <v/>
      </c>
      <c r="E146" s="263">
        <f>IF(AND(ISNUMBER(E144),ISNUMBER(E145)),E144+E145,"")</f>
        <v/>
      </c>
      <c r="F146" s="263">
        <f>IF(AND(ISNUMBER(F144),ISNUMBER(F145)),F144+F145,"")</f>
        <v/>
      </c>
      <c r="G146" s="263">
        <f>IF(AND(ISNUMBER(G144),ISNUMBER(G145)),G144+G145,"")</f>
        <v/>
      </c>
      <c r="H146" s="263">
        <f>IF(AND(ISNUMBER(H144),ISNUMBER(H145)),H144+H145,"")</f>
        <v/>
      </c>
      <c r="I146" s="263">
        <f>IF(AND(ISNUMBER(I144),ISNUMBER(I145)),I144+I145,"")</f>
        <v/>
      </c>
      <c r="J146" s="263">
        <f>IF(AND(ISNUMBER(J144),ISNUMBER(J145)),J144+J145,"")</f>
        <v/>
      </c>
      <c r="K146" s="263">
        <f>IF(AND(ISNUMBER(K144),ISNUMBER(K145)),K144+K145,"")</f>
        <v/>
      </c>
      <c r="L146" s="263">
        <f>IF(AND(ISNUMBER(L144),ISNUMBER(L145)),L144+L145,"")</f>
        <v/>
      </c>
      <c r="M146" s="263">
        <f>IF(AND(ISNUMBER(M144),ISNUMBER(M145)),M144+M145,"")</f>
        <v/>
      </c>
      <c r="N146" s="263">
        <f>IF(AND(ISNUMBER(N144),ISNUMBER(N145)),N144+N145,"")</f>
        <v/>
      </c>
      <c r="O146" s="263">
        <f>IF(AND(ISNUMBER(O144),ISNUMBER(O145)),O144+O145,"")</f>
        <v/>
      </c>
      <c r="P146" s="263">
        <f>IF(AND(ISNUMBER(P144),ISNUMBER(P145)),P144+P145,"")</f>
        <v/>
      </c>
      <c r="Q146" s="263">
        <f>IF(AND(ISNUMBER(Q144),ISNUMBER(Q145)),Q144+Q145,"")</f>
        <v/>
      </c>
      <c r="R146" s="263">
        <f>IF(AND(ISNUMBER(R144),ISNUMBER(R145)),R144+R145,"")</f>
        <v/>
      </c>
      <c r="S146" s="263">
        <f>IF(AND(ISNUMBER(S144),ISNUMBER(S145)),S144+S145,"")</f>
        <v/>
      </c>
      <c r="T146" s="263">
        <f>IF(AND(ISNUMBER(T144),ISNUMBER(T145)),T144+T145,"")</f>
        <v/>
      </c>
      <c r="U146" s="263">
        <f>IF(AND(ISNUMBER(U144),ISNUMBER(U145)),U144+U145,"")</f>
        <v/>
      </c>
      <c r="V146" s="263">
        <f>IF(AND(ISNUMBER(V144),ISNUMBER(V145)),V144+V145,"")</f>
        <v/>
      </c>
      <c r="W146" s="263">
        <f>IF(AND(ISNUMBER(W144),ISNUMBER(W145)),W144+W145,"")</f>
        <v/>
      </c>
      <c r="X146" s="263">
        <f>IF(AND(ISNUMBER(X144),ISNUMBER(X145)),X144+X145,"")</f>
        <v/>
      </c>
      <c r="Y146" s="263">
        <f>IF(AND(ISNUMBER(Y144),ISNUMBER(Y145)),Y144+Y145,"")</f>
        <v/>
      </c>
      <c r="Z146" s="263">
        <f>IF(AND(ISNUMBER(Z144),ISNUMBER(Z145)),Z144+Z145,"")</f>
        <v/>
      </c>
      <c r="AA146" s="263">
        <f>IF(AND(ISNUMBER(AA144),ISNUMBER(AA145)),AA144+AA145,"")</f>
        <v/>
      </c>
      <c r="AB146" s="263">
        <f>IF(AND(ISNUMBER(AB144),ISNUMBER(AB145)),AB144+AB145,"")</f>
        <v/>
      </c>
      <c r="AC146" s="263">
        <f>IF(AND(ISNUMBER(AC144),ISNUMBER(AC145)),AC144+AC145,"")</f>
        <v/>
      </c>
      <c r="AD146" s="263">
        <f>IF(AND(ISNUMBER(AD144),ISNUMBER(AD145)),AD144+AD145,"")</f>
        <v/>
      </c>
      <c r="AE146" s="263">
        <f>IF(AND(ISNUMBER(AE144),ISNUMBER(AE145)),AE144+AE145,"")</f>
        <v/>
      </c>
      <c r="AF146" s="263">
        <f>IF(AND(ISNUMBER(AF144),ISNUMBER(AF145)),AF144+AF145,"")</f>
        <v/>
      </c>
      <c r="AG146" s="263">
        <f>IF(AND(ISNUMBER(AG144),ISNUMBER(AG145)),AG144+AG145,"")</f>
        <v/>
      </c>
      <c r="AH146" s="263">
        <f>IF(AND(ISNUMBER(AH144),ISNUMBER(AH145)),AH144+AH145,"")</f>
        <v/>
      </c>
      <c r="AI146" s="263">
        <f>IF(AND(ISNUMBER(AI144),ISNUMBER(AI145)),AI144+AI145,"")</f>
        <v/>
      </c>
      <c r="AJ146" s="263">
        <f>IF(AND(ISNUMBER(AJ144),ISNUMBER(AJ145)),AJ144+AJ145,"")</f>
        <v/>
      </c>
      <c r="AK146" s="263">
        <f>IF(AND(ISNUMBER(AK144),ISNUMBER(AK145)),AK144+AK145,"")</f>
        <v/>
      </c>
      <c r="AL146" s="263">
        <f>IF(AND(ISNUMBER(AL144),ISNUMBER(AL145)),AL144+AL145,"")</f>
        <v/>
      </c>
      <c r="AM146" s="153" t="n"/>
      <c r="AO146" s="20">
        <f>IFERROR((AL146/AC146)^(1/5)-1,"n/m")</f>
        <v/>
      </c>
      <c r="AP146" s="20">
        <f>IFERROR((AC146/D146)^(1/5)-1,"n/m")</f>
        <v/>
      </c>
      <c r="AQ146" s="20">
        <f>IFERROR((AC146/N146)^(1/3)-1,"n/m")</f>
        <v/>
      </c>
      <c r="AR146" s="20">
        <f>IFERROR((AC146/C146)^(1/6)-1,"n/m")</f>
        <v/>
      </c>
    </row>
    <row r="147" ht="15" customHeight="1" s="251">
      <c r="B147" s="25" t="inlineStr">
        <is>
          <t xml:space="preserve">  (+) Share-based compensation</t>
        </is>
      </c>
      <c r="C147" s="261">
        <f>C104</f>
        <v/>
      </c>
      <c r="D147" s="261">
        <f>D104</f>
        <v/>
      </c>
      <c r="E147" s="261">
        <f>E104</f>
        <v/>
      </c>
      <c r="F147" s="261">
        <f>F104</f>
        <v/>
      </c>
      <c r="G147" s="261">
        <f>G104</f>
        <v/>
      </c>
      <c r="H147" s="261">
        <f>H104</f>
        <v/>
      </c>
      <c r="I147" s="261">
        <f>I104</f>
        <v/>
      </c>
      <c r="J147" s="261">
        <f>J104</f>
        <v/>
      </c>
      <c r="K147" s="261">
        <f>K104</f>
        <v/>
      </c>
      <c r="L147" s="261">
        <f>L104</f>
        <v/>
      </c>
      <c r="M147" s="261">
        <f>M104</f>
        <v/>
      </c>
      <c r="N147" s="261">
        <f>N104</f>
        <v/>
      </c>
      <c r="O147" s="261">
        <f>O104</f>
        <v/>
      </c>
      <c r="P147" s="261">
        <f>P104</f>
        <v/>
      </c>
      <c r="Q147" s="261">
        <f>Q104</f>
        <v/>
      </c>
      <c r="R147" s="261">
        <f>R104</f>
        <v/>
      </c>
      <c r="S147" s="261">
        <f>S104</f>
        <v/>
      </c>
      <c r="T147" s="261">
        <f>T104</f>
        <v/>
      </c>
      <c r="U147" s="261">
        <f>U104</f>
        <v/>
      </c>
      <c r="V147" s="261">
        <f>V104</f>
        <v/>
      </c>
      <c r="W147" s="261">
        <f>W104</f>
        <v/>
      </c>
      <c r="X147" s="261">
        <f>X104</f>
        <v/>
      </c>
      <c r="Y147" s="261">
        <f>Y104</f>
        <v/>
      </c>
      <c r="Z147" s="261">
        <f>Z104</f>
        <v/>
      </c>
      <c r="AA147" s="261">
        <f>AA104</f>
        <v/>
      </c>
      <c r="AB147" s="261">
        <f>AB104</f>
        <v/>
      </c>
      <c r="AC147" s="261">
        <f>AC104</f>
        <v/>
      </c>
      <c r="AD147" s="261">
        <f>AD104</f>
        <v/>
      </c>
      <c r="AE147" s="261">
        <f>AE104</f>
        <v/>
      </c>
      <c r="AF147" s="254">
        <f>AF104</f>
        <v/>
      </c>
      <c r="AG147" s="254">
        <f>AG104</f>
        <v/>
      </c>
      <c r="AH147" s="254">
        <f>AH104</f>
        <v/>
      </c>
      <c r="AI147" s="254">
        <f>AI104</f>
        <v/>
      </c>
      <c r="AJ147" s="254">
        <f>AJ104</f>
        <v/>
      </c>
      <c r="AK147" s="254">
        <f>AK104</f>
        <v/>
      </c>
      <c r="AL147" s="254">
        <f>AL104</f>
        <v/>
      </c>
      <c r="AM147" s="19" t="n"/>
    </row>
    <row r="148" ht="15" customHeight="1" s="251">
      <c r="B148" s="25" t="inlineStr">
        <is>
          <t xml:space="preserve">  (+) Equity transaction costs (IPO, 2021–22)</t>
        </is>
      </c>
      <c r="C148" s="261">
        <f>N(C106)</f>
        <v/>
      </c>
      <c r="D148" s="261">
        <f>N(D106)</f>
        <v/>
      </c>
      <c r="E148" s="261">
        <f>N(E106)</f>
        <v/>
      </c>
      <c r="F148" s="261">
        <f>N(F106)</f>
        <v/>
      </c>
      <c r="G148" s="261">
        <f>N(G106)</f>
        <v/>
      </c>
      <c r="H148" s="261">
        <f>N(H106)</f>
        <v/>
      </c>
      <c r="I148" s="261">
        <f>N(I106)</f>
        <v/>
      </c>
      <c r="J148" s="261">
        <f>N(J106)</f>
        <v/>
      </c>
      <c r="K148" s="261">
        <f>N(K106)</f>
        <v/>
      </c>
      <c r="L148" s="261">
        <f>N(L106)</f>
        <v/>
      </c>
      <c r="M148" s="261">
        <f>N(M106)</f>
        <v/>
      </c>
      <c r="N148" s="261">
        <f>N(N106)</f>
        <v/>
      </c>
      <c r="O148" s="261">
        <f>N(O106)</f>
        <v/>
      </c>
      <c r="P148" s="261">
        <f>N(P106)</f>
        <v/>
      </c>
      <c r="Q148" s="261">
        <f>N(Q106)</f>
        <v/>
      </c>
      <c r="R148" s="261">
        <f>N(R106)</f>
        <v/>
      </c>
      <c r="S148" s="261">
        <f>N(S106)</f>
        <v/>
      </c>
      <c r="T148" s="261">
        <f>N(T106)</f>
        <v/>
      </c>
      <c r="U148" s="261">
        <f>N(U106)</f>
        <v/>
      </c>
      <c r="V148" s="261">
        <f>N(V106)</f>
        <v/>
      </c>
      <c r="W148" s="261">
        <f>N(W106)</f>
        <v/>
      </c>
      <c r="X148" s="261">
        <f>N(X106)</f>
        <v/>
      </c>
      <c r="Y148" s="261">
        <f>N(Y106)</f>
        <v/>
      </c>
      <c r="Z148" s="261">
        <f>N(Z106)</f>
        <v/>
      </c>
      <c r="AA148" s="261">
        <f>N(AA106)</f>
        <v/>
      </c>
      <c r="AB148" s="261">
        <f>N(AB106)</f>
        <v/>
      </c>
      <c r="AC148" s="261">
        <f>N(AC106)</f>
        <v/>
      </c>
      <c r="AD148" s="261">
        <f>N(AD106)</f>
        <v/>
      </c>
      <c r="AE148" s="261">
        <f>N(AE106)</f>
        <v/>
      </c>
      <c r="AF148" s="254">
        <f>N(AF106)</f>
        <v/>
      </c>
      <c r="AG148" s="254">
        <f>N(AG106)</f>
        <v/>
      </c>
      <c r="AH148" s="254">
        <f>N(AH106)</f>
        <v/>
      </c>
      <c r="AI148" s="254">
        <f>N(AI106)</f>
        <v/>
      </c>
      <c r="AJ148" s="254">
        <f>N(AJ106)</f>
        <v/>
      </c>
      <c r="AK148" s="254">
        <f>N(AK106)</f>
        <v/>
      </c>
      <c r="AL148" s="254">
        <f>N(AL106)</f>
        <v/>
      </c>
      <c r="AM148" s="19" t="n"/>
    </row>
    <row r="149" collapsed="1" ht="15" customHeight="1" s="251">
      <c r="B149" s="16" t="inlineStr">
        <is>
          <t xml:space="preserve">  Total adjusting items</t>
        </is>
      </c>
      <c r="C149" s="268">
        <f>IF(ISNUMBER(C146),N(C147)+N(C148),"")</f>
        <v/>
      </c>
      <c r="D149" s="268">
        <f>IF(ISNUMBER(D146),N(D147)+N(D148),"")</f>
        <v/>
      </c>
      <c r="E149" s="268">
        <f>IF(ISNUMBER(E146),N(E147)+N(E148),"")</f>
        <v/>
      </c>
      <c r="F149" s="268">
        <f>IF(ISNUMBER(F146),N(F147)+N(F148),"")</f>
        <v/>
      </c>
      <c r="G149" s="268">
        <f>IF(ISNUMBER(G146),N(G147)+N(G148),"")</f>
        <v/>
      </c>
      <c r="H149" s="268">
        <f>IF(ISNUMBER(H146),N(H147)+N(H148),"")</f>
        <v/>
      </c>
      <c r="I149" s="268">
        <f>IF(ISNUMBER(I146),N(I147)+N(I148),"")</f>
        <v/>
      </c>
      <c r="J149" s="268">
        <f>IF(ISNUMBER(J146),N(J147)+N(J148),"")</f>
        <v/>
      </c>
      <c r="K149" s="268">
        <f>IF(ISNUMBER(K146),N(K147)+N(K148),"")</f>
        <v/>
      </c>
      <c r="L149" s="268">
        <f>IF(ISNUMBER(L146),N(L147)+N(L148),"")</f>
        <v/>
      </c>
      <c r="M149" s="268">
        <f>IF(ISNUMBER(M146),N(M147)+N(M148),"")</f>
        <v/>
      </c>
      <c r="N149" s="268">
        <f>IF(ISNUMBER(N146),N(N147)+N(N148),"")</f>
        <v/>
      </c>
      <c r="O149" s="268">
        <f>IF(ISNUMBER(O146),N(O147)+N(O148),"")</f>
        <v/>
      </c>
      <c r="P149" s="268">
        <f>IF(ISNUMBER(P146),N(P147)+N(P148),"")</f>
        <v/>
      </c>
      <c r="Q149" s="268">
        <f>IF(ISNUMBER(Q146),N(Q147)+N(Q148),"")</f>
        <v/>
      </c>
      <c r="R149" s="268">
        <f>IF(ISNUMBER(R146),N(R147)+N(R148),"")</f>
        <v/>
      </c>
      <c r="S149" s="268">
        <f>IF(ISNUMBER(S146),N(S147)+N(S148),"")</f>
        <v/>
      </c>
      <c r="T149" s="268">
        <f>IF(ISNUMBER(T146),N(T147)+N(T148),"")</f>
        <v/>
      </c>
      <c r="U149" s="268">
        <f>IF(ISNUMBER(U146),N(U147)+N(U148),"")</f>
        <v/>
      </c>
      <c r="V149" s="268">
        <f>IF(ISNUMBER(V146),N(V147)+N(V148),"")</f>
        <v/>
      </c>
      <c r="W149" s="268">
        <f>IF(ISNUMBER(W146),N(W147)+N(W148),"")</f>
        <v/>
      </c>
      <c r="X149" s="268">
        <f>IF(ISNUMBER(X146),N(X147)+N(X148),"")</f>
        <v/>
      </c>
      <c r="Y149" s="268">
        <f>IF(ISNUMBER(Y146),N(Y147)+N(Y148),"")</f>
        <v/>
      </c>
      <c r="Z149" s="268">
        <f>IF(ISNUMBER(Z146),N(Z147)+N(Z148),"")</f>
        <v/>
      </c>
      <c r="AA149" s="268">
        <f>IF(ISNUMBER(AA146),N(AA147)+N(AA148),"")</f>
        <v/>
      </c>
      <c r="AB149" s="268">
        <f>IF(ISNUMBER(AB146),N(AB147)+N(AB148),"")</f>
        <v/>
      </c>
      <c r="AC149" s="268">
        <f>IF(ISNUMBER(AC146),N(AC147)+N(AC148),"")</f>
        <v/>
      </c>
      <c r="AD149" s="268">
        <f>IF(ISNUMBER(AD146),N(AD147)+N(AD148),"")</f>
        <v/>
      </c>
      <c r="AE149" s="268">
        <f>IF(ISNUMBER(AE146),N(AE147)+N(AE148),"")</f>
        <v/>
      </c>
      <c r="AF149" s="269">
        <f>IF(ISNUMBER(AF146),N(AF147)+N(AF148),"")</f>
        <v/>
      </c>
      <c r="AG149" s="269">
        <f>IF(ISNUMBER(AG146),N(AG147)+N(AG148),"")</f>
        <v/>
      </c>
      <c r="AH149" s="269">
        <f>IF(ISNUMBER(AH146),N(AH147)+N(AH148),"")</f>
        <v/>
      </c>
      <c r="AI149" s="269">
        <f>IF(ISNUMBER(AI146),N(AI147)+N(AI148),"")</f>
        <v/>
      </c>
      <c r="AJ149" s="269">
        <f>IF(ISNUMBER(AJ146),N(AJ147)+N(AJ148),"")</f>
        <v/>
      </c>
      <c r="AK149" s="269">
        <f>IF(ISNUMBER(AK146),N(AK147)+N(AK148),"")</f>
        <v/>
      </c>
      <c r="AL149" s="269">
        <f>IF(ISNUMBER(AL146),N(AL147)+N(AL148),"")</f>
        <v/>
      </c>
      <c r="AM149" s="153" t="n"/>
    </row>
    <row r="150" ht="15" customHeight="1" s="251">
      <c r="B150" s="55" t="inlineStr">
        <is>
          <t xml:space="preserve">  = Adjusted EBITDA (model bridge)</t>
        </is>
      </c>
      <c r="C150" s="263">
        <f>IF(ISNUMBER(C146),C146+C149,"")</f>
        <v/>
      </c>
      <c r="D150" s="263">
        <f>IF(ISNUMBER(D146),D146+D149,"")</f>
        <v/>
      </c>
      <c r="E150" s="263">
        <f>IF(ISNUMBER(E146),E146+E149,"")</f>
        <v/>
      </c>
      <c r="F150" s="263">
        <f>IF(ISNUMBER(F146),F146+F149,"")</f>
        <v/>
      </c>
      <c r="G150" s="263">
        <f>IF(ISNUMBER(G146),G146+G149,"")</f>
        <v/>
      </c>
      <c r="H150" s="263">
        <f>IF(ISNUMBER(H146),H146+H149,"")</f>
        <v/>
      </c>
      <c r="I150" s="263">
        <f>IF(ISNUMBER(I146),I146+I149,"")</f>
        <v/>
      </c>
      <c r="J150" s="263">
        <f>IF(ISNUMBER(J146),J146+J149,"")</f>
        <v/>
      </c>
      <c r="K150" s="263">
        <f>IF(ISNUMBER(K146),K146+K149,"")</f>
        <v/>
      </c>
      <c r="L150" s="263">
        <f>IF(ISNUMBER(L146),L146+L149,"")</f>
        <v/>
      </c>
      <c r="M150" s="263">
        <f>IF(ISNUMBER(M146),M146+M149,"")</f>
        <v/>
      </c>
      <c r="N150" s="263">
        <f>IF(ISNUMBER(N146),N146+N149,"")</f>
        <v/>
      </c>
      <c r="O150" s="263">
        <f>IF(ISNUMBER(O146),O146+O149,"")</f>
        <v/>
      </c>
      <c r="P150" s="263">
        <f>IF(ISNUMBER(P146),P146+P149,"")</f>
        <v/>
      </c>
      <c r="Q150" s="263">
        <f>IF(ISNUMBER(Q146),Q146+Q149,"")</f>
        <v/>
      </c>
      <c r="R150" s="263">
        <f>IF(ISNUMBER(R146),R146+R149,"")</f>
        <v/>
      </c>
      <c r="S150" s="263">
        <f>IF(ISNUMBER(S146),S146+S149,"")</f>
        <v/>
      </c>
      <c r="T150" s="263">
        <f>IF(ISNUMBER(T146),T146+T149,"")</f>
        <v/>
      </c>
      <c r="U150" s="263">
        <f>IF(ISNUMBER(U146),U146+U149,"")</f>
        <v/>
      </c>
      <c r="V150" s="263">
        <f>IF(ISNUMBER(V146),V146+V149,"")</f>
        <v/>
      </c>
      <c r="W150" s="263">
        <f>IF(ISNUMBER(W146),W146+W149,"")</f>
        <v/>
      </c>
      <c r="X150" s="263">
        <f>IF(ISNUMBER(X146),X146+X149,"")</f>
        <v/>
      </c>
      <c r="Y150" s="263">
        <f>IF(ISNUMBER(Y146),Y146+Y149,"")</f>
        <v/>
      </c>
      <c r="Z150" s="263">
        <f>IF(ISNUMBER(Z146),Z146+Z149,"")</f>
        <v/>
      </c>
      <c r="AA150" s="263">
        <f>IF(ISNUMBER(AA146),AA146+AA149,"")</f>
        <v/>
      </c>
      <c r="AB150" s="263">
        <f>IF(ISNUMBER(AB146),AB146+AB149,"")</f>
        <v/>
      </c>
      <c r="AC150" s="263">
        <f>IF(ISNUMBER(AC146),AC146+AC149,"")</f>
        <v/>
      </c>
      <c r="AD150" s="263">
        <f>IF(ISNUMBER(AD146),AD146+AD149,"")</f>
        <v/>
      </c>
      <c r="AE150" s="263">
        <f>IF(ISNUMBER(AE146),AE146+AE149,"")</f>
        <v/>
      </c>
      <c r="AF150" s="263">
        <f>IF(ISNUMBER(AF146),AF146+AF149,"")</f>
        <v/>
      </c>
      <c r="AG150" s="263">
        <f>IF(ISNUMBER(AG146),AG146+AG149,"")</f>
        <v/>
      </c>
      <c r="AH150" s="263">
        <f>IF(ISNUMBER(AH146),AH146+AH149,"")</f>
        <v/>
      </c>
      <c r="AI150" s="263">
        <f>IF(ISNUMBER(AI146),AI146+AI149,"")</f>
        <v/>
      </c>
      <c r="AJ150" s="263">
        <f>IF(ISNUMBER(AJ146),AJ146+AJ149,"")</f>
        <v/>
      </c>
      <c r="AK150" s="263">
        <f>IF(ISNUMBER(AK146),AK146+AK149,"")</f>
        <v/>
      </c>
      <c r="AL150" s="263">
        <f>IF(ISNUMBER(AL146),AL146+AL149,"")</f>
        <v/>
      </c>
      <c r="AM150" s="153" t="inlineStr">
        <is>
          <t>Rebuilt from the published reconciliation lines; forecast = EBITDA + SBC (equals the margin build — check in the Group block).</t>
        </is>
      </c>
      <c r="AO150" s="20">
        <f>IFERROR((AL150/AC150)^(1/5)-1,"n/m")</f>
        <v/>
      </c>
      <c r="AP150" s="20">
        <f>IFERROR((AC150/D150)^(1/5)-1,"n/m")</f>
        <v/>
      </c>
      <c r="AQ150" s="20">
        <f>IFERROR((AC150/N150)^(1/3)-1,"n/m")</f>
        <v/>
      </c>
      <c r="AR150" s="20">
        <f>IFERROR((AC150/C150)^(1/6)-1,"n/m")</f>
        <v/>
      </c>
    </row>
    <row r="151" ht="15" customHeight="1" s="251">
      <c r="B151" s="25" t="inlineStr">
        <is>
          <t xml:space="preserve">  Adjusted EBITDA margin %</t>
        </is>
      </c>
      <c r="C151" s="215">
        <f>IF(AND(ISNUMBER(C150),ISNUMBER(C109)),IFERROR(C150/C109,""),"")</f>
        <v/>
      </c>
      <c r="D151" s="215">
        <f>IF(AND(ISNUMBER(D150),ISNUMBER(D109)),IFERROR(D150/D109,""),"")</f>
        <v/>
      </c>
      <c r="E151" s="215">
        <f>IF(AND(ISNUMBER(E150),ISNUMBER(E109)),IFERROR(E150/E109,""),"")</f>
        <v/>
      </c>
      <c r="F151" s="215">
        <f>IF(AND(ISNUMBER(F150),ISNUMBER(F109)),IFERROR(F150/F109,""),"")</f>
        <v/>
      </c>
      <c r="G151" s="215">
        <f>IF(AND(ISNUMBER(G150),ISNUMBER(G109)),IFERROR(G150/G109,""),"")</f>
        <v/>
      </c>
      <c r="H151" s="215">
        <f>IF(AND(ISNUMBER(H150),ISNUMBER(H109)),IFERROR(H150/H109,""),"")</f>
        <v/>
      </c>
      <c r="I151" s="215">
        <f>IF(AND(ISNUMBER(I150),ISNUMBER(I109)),IFERROR(I150/I109,""),"")</f>
        <v/>
      </c>
      <c r="J151" s="215">
        <f>IF(AND(ISNUMBER(J150),ISNUMBER(J109)),IFERROR(J150/J109,""),"")</f>
        <v/>
      </c>
      <c r="K151" s="215">
        <f>IF(AND(ISNUMBER(K150),ISNUMBER(K109)),IFERROR(K150/K109,""),"")</f>
        <v/>
      </c>
      <c r="L151" s="215">
        <f>IF(AND(ISNUMBER(L150),ISNUMBER(L109)),IFERROR(L150/L109,""),"")</f>
        <v/>
      </c>
      <c r="M151" s="215">
        <f>IF(AND(ISNUMBER(M150),ISNUMBER(M109)),IFERROR(M150/M109,""),"")</f>
        <v/>
      </c>
      <c r="N151" s="215">
        <f>IF(AND(ISNUMBER(N150),ISNUMBER(N109)),IFERROR(N150/N109,""),"")</f>
        <v/>
      </c>
      <c r="O151" s="215">
        <f>IF(AND(ISNUMBER(O150),ISNUMBER(O109)),IFERROR(O150/O109,""),"")</f>
        <v/>
      </c>
      <c r="P151" s="215">
        <f>IF(AND(ISNUMBER(P150),ISNUMBER(P109)),IFERROR(P150/P109,""),"")</f>
        <v/>
      </c>
      <c r="Q151" s="215">
        <f>IF(AND(ISNUMBER(Q150),ISNUMBER(Q109)),IFERROR(Q150/Q109,""),"")</f>
        <v/>
      </c>
      <c r="R151" s="215">
        <f>IF(AND(ISNUMBER(R150),ISNUMBER(R109)),IFERROR(R150/R109,""),"")</f>
        <v/>
      </c>
      <c r="S151" s="215">
        <f>IF(AND(ISNUMBER(S150),ISNUMBER(S109)),IFERROR(S150/S109,""),"")</f>
        <v/>
      </c>
      <c r="T151" s="215">
        <f>IF(AND(ISNUMBER(T150),ISNUMBER(T109)),IFERROR(T150/T109,""),"")</f>
        <v/>
      </c>
      <c r="U151" s="215">
        <f>IF(AND(ISNUMBER(U150),ISNUMBER(U109)),IFERROR(U150/U109,""),"")</f>
        <v/>
      </c>
      <c r="V151" s="215">
        <f>IF(AND(ISNUMBER(V150),ISNUMBER(V109)),IFERROR(V150/V109,""),"")</f>
        <v/>
      </c>
      <c r="W151" s="215">
        <f>IF(AND(ISNUMBER(W150),ISNUMBER(W109)),IFERROR(W150/W109,""),"")</f>
        <v/>
      </c>
      <c r="X151" s="215">
        <f>IF(AND(ISNUMBER(X150),ISNUMBER(X109)),IFERROR(X150/X109,""),"")</f>
        <v/>
      </c>
      <c r="Y151" s="215">
        <f>IF(AND(ISNUMBER(Y150),ISNUMBER(Y109)),IFERROR(Y150/Y109,""),"")</f>
        <v/>
      </c>
      <c r="Z151" s="215">
        <f>IF(AND(ISNUMBER(Z150),ISNUMBER(Z109)),IFERROR(Z150/Z109,""),"")</f>
        <v/>
      </c>
      <c r="AA151" s="215">
        <f>IF(AND(ISNUMBER(AA150),ISNUMBER(AA109)),IFERROR(AA150/AA109,""),"")</f>
        <v/>
      </c>
      <c r="AB151" s="215">
        <f>IF(AND(ISNUMBER(AB150),ISNUMBER(AB109)),IFERROR(AB150/AB109,""),"")</f>
        <v/>
      </c>
      <c r="AC151" s="215">
        <f>IF(AND(ISNUMBER(AC150),ISNUMBER(AC109)),IFERROR(AC150/AC109,""),"")</f>
        <v/>
      </c>
      <c r="AD151" s="215">
        <f>IF(AND(ISNUMBER(AD150),ISNUMBER(AD109)),IFERROR(AD150/AD109,""),"")</f>
        <v/>
      </c>
      <c r="AE151" s="215">
        <f>IF(AND(ISNUMBER(AE150),ISNUMBER(AE109)),IFERROR(AE150/AE109,""),"")</f>
        <v/>
      </c>
      <c r="AF151" s="256">
        <f>IF(AND(ISNUMBER(AF150),ISNUMBER(AF109)),IFERROR(AF150/AF109,""),"")</f>
        <v/>
      </c>
      <c r="AG151" s="256">
        <f>IF(AND(ISNUMBER(AG150),ISNUMBER(AG109)),IFERROR(AG150/AG109,""),"")</f>
        <v/>
      </c>
      <c r="AH151" s="256">
        <f>IF(AND(ISNUMBER(AH150),ISNUMBER(AH109)),IFERROR(AH150/AH109,""),"")</f>
        <v/>
      </c>
      <c r="AI151" s="256">
        <f>IF(AND(ISNUMBER(AI150),ISNUMBER(AI109)),IFERROR(AI150/AI109,""),"")</f>
        <v/>
      </c>
      <c r="AJ151" s="256">
        <f>IF(AND(ISNUMBER(AJ150),ISNUMBER(AJ109)),IFERROR(AJ150/AJ109,""),"")</f>
        <v/>
      </c>
      <c r="AK151" s="256">
        <f>IF(AND(ISNUMBER(AK150),ISNUMBER(AK109)),IFERROR(AK150/AK109,""),"")</f>
        <v/>
      </c>
      <c r="AL151" s="256">
        <f>IF(AND(ISNUMBER(AL150),ISNUMBER(AL109)),IFERROR(AL150/AL109,""),"")</f>
        <v/>
      </c>
      <c r="AM151" s="153" t="n"/>
      <c r="AO151" s="37">
        <f>IFERROR(AVERAGE(AH151,AI151,AJ151,AK151,AL151),"n/m")</f>
        <v/>
      </c>
      <c r="AP151" s="37">
        <f>IFERROR(AVERAGE(I151,N151,S151,X151,AC151),"n/m")</f>
        <v/>
      </c>
      <c r="AQ151" s="37">
        <f>IFERROR(AVERAGE(S151,X151,AC151),"n/m")</f>
        <v/>
      </c>
      <c r="AR151" s="37">
        <f>IFERROR(AVERAGE(C151,D151,I151,N151,S151,X151,AC151),"n/m")</f>
        <v/>
      </c>
    </row>
    <row r="152" ht="15" customHeight="1" s="251">
      <c r="B152" s="156" t="inlineStr">
        <is>
          <t xml:space="preserve">  Company-published Adjusted EBITDA</t>
        </is>
      </c>
      <c r="C152" s="253" t="n">
        <v>29.869</v>
      </c>
      <c r="D152" s="253" t="n">
        <v>49.762</v>
      </c>
      <c r="E152" s="253" t="n">
        <v>19.906</v>
      </c>
      <c r="F152" s="253" t="n">
        <v>27.394</v>
      </c>
      <c r="G152" s="253" t="n">
        <v>37.931</v>
      </c>
      <c r="H152" s="253" t="n">
        <v>11.198</v>
      </c>
      <c r="I152" s="253" t="n">
        <v>96.428</v>
      </c>
      <c r="J152" s="253" t="n">
        <v>15.71</v>
      </c>
      <c r="K152" s="253" t="n">
        <v>31.422</v>
      </c>
      <c r="L152" s="253" t="n">
        <v>56.339</v>
      </c>
      <c r="M152" s="253" t="n">
        <v>61.8</v>
      </c>
      <c r="N152" s="253" t="n">
        <v>165.3</v>
      </c>
      <c r="O152" s="253" t="n">
        <v>61</v>
      </c>
      <c r="P152" s="253" t="n">
        <v>62.7</v>
      </c>
      <c r="Q152" s="253" t="n">
        <v>81.3</v>
      </c>
      <c r="R152" s="253" t="n">
        <v>71.90000000000001</v>
      </c>
      <c r="S152" s="253" t="n">
        <v>276.9</v>
      </c>
      <c r="T152" s="253" t="n">
        <v>77.40000000000001</v>
      </c>
      <c r="U152" s="253" t="n">
        <v>90.8</v>
      </c>
      <c r="V152" s="253" t="n">
        <v>120.1</v>
      </c>
      <c r="W152" s="253" t="n">
        <v>99.40000000000001</v>
      </c>
      <c r="X152" s="253" t="n">
        <v>387.6</v>
      </c>
      <c r="Y152" s="253" t="n">
        <v>119.9</v>
      </c>
      <c r="Z152" s="253" t="n">
        <v>136.1</v>
      </c>
      <c r="AA152" s="253" t="n">
        <v>179.9</v>
      </c>
      <c r="AB152" s="253" t="n">
        <v>131</v>
      </c>
      <c r="AC152" s="253" t="n">
        <v>567</v>
      </c>
      <c r="AD152" s="253" t="n">
        <v>174.3</v>
      </c>
      <c r="AE152" s="253" t="n">
        <v>168.1</v>
      </c>
      <c r="AF152" s="153" t="n"/>
      <c r="AG152" s="153" t="n"/>
      <c r="AH152" s="153" t="n"/>
      <c r="AI152" s="153" t="n"/>
      <c r="AJ152" s="153" t="n"/>
      <c r="AK152" s="153" t="n"/>
      <c r="AL152" s="153" t="n"/>
      <c r="AM152" s="153" t="n"/>
    </row>
    <row r="153" ht="15" customHeight="1" s="251">
      <c r="B153" s="57" t="inlineStr">
        <is>
          <t xml:space="preserve">  Check: model bridge vs company-published (should be 0; ±0.15 rounding)</t>
        </is>
      </c>
      <c r="C153" s="261">
        <f>IF(ISNUMBER(C152),IF(ABS(C150-C152)&lt;=0.15,0,ROUND(C150-C152,2)),"n/p")</f>
        <v/>
      </c>
      <c r="D153" s="261">
        <f>IF(ISNUMBER(D152),IF(ABS(D150-D152)&lt;=0.15,0,ROUND(D150-D152,2)),"n/p")</f>
        <v/>
      </c>
      <c r="E153" s="261">
        <f>IF(ISNUMBER(E152),IF(ABS(E150-E152)&lt;=0.15,0,ROUND(E150-E152,2)),"n/p")</f>
        <v/>
      </c>
      <c r="F153" s="261">
        <f>IF(ISNUMBER(F152),IF(ABS(F150-F152)&lt;=0.15,0,ROUND(F150-F152,2)),"n/p")</f>
        <v/>
      </c>
      <c r="G153" s="261">
        <f>IF(ISNUMBER(G152),IF(ABS(G150-G152)&lt;=0.15,0,ROUND(G150-G152,2)),"n/p")</f>
        <v/>
      </c>
      <c r="H153" s="261">
        <f>IF(ISNUMBER(H152),IF(ABS(H150-H152)&lt;=0.15,0,ROUND(H150-H152,2)),"n/p")</f>
        <v/>
      </c>
      <c r="I153" s="261">
        <f>IF(ISNUMBER(I152),IF(ABS(I150-I152)&lt;=0.15,0,ROUND(I150-I152,2)),"n/p")</f>
        <v/>
      </c>
      <c r="J153" s="261">
        <f>IF(ISNUMBER(J152),IF(ABS(J150-J152)&lt;=0.15,0,ROUND(J150-J152,2)),"n/p")</f>
        <v/>
      </c>
      <c r="K153" s="261">
        <f>IF(ISNUMBER(K152),IF(ABS(K150-K152)&lt;=0.15,0,ROUND(K150-K152,2)),"n/p")</f>
        <v/>
      </c>
      <c r="L153" s="261">
        <f>IF(ISNUMBER(L152),IF(ABS(L150-L152)&lt;=0.15,0,ROUND(L150-L152,2)),"n/p")</f>
        <v/>
      </c>
      <c r="M153" s="261">
        <f>IF(ISNUMBER(M152),IF(ABS(M150-M152)&lt;=0.15,0,ROUND(M150-M152,2)),"n/p")</f>
        <v/>
      </c>
      <c r="N153" s="261">
        <f>IF(ISNUMBER(N152),IF(ABS(N150-N152)&lt;=0.15,0,ROUND(N150-N152,2)),"n/p")</f>
        <v/>
      </c>
      <c r="O153" s="261">
        <f>IF(ISNUMBER(O152),IF(ABS(O150-O152)&lt;=0.15,0,ROUND(O150-O152,2)),"n/p")</f>
        <v/>
      </c>
      <c r="P153" s="261">
        <f>IF(ISNUMBER(P152),IF(ABS(P150-P152)&lt;=0.15,0,ROUND(P150-P152,2)),"n/p")</f>
        <v/>
      </c>
      <c r="Q153" s="261">
        <f>IF(ISNUMBER(Q152),IF(ABS(Q150-Q152)&lt;=0.15,0,ROUND(Q150-Q152,2)),"n/p")</f>
        <v/>
      </c>
      <c r="R153" s="261">
        <f>IF(ISNUMBER(R152),IF(ABS(R150-R152)&lt;=0.15,0,ROUND(R150-R152,2)),"n/p")</f>
        <v/>
      </c>
      <c r="S153" s="261">
        <f>IF(ISNUMBER(S152),IF(ABS(S150-S152)&lt;=0.15,0,ROUND(S150-S152,2)),"n/p")</f>
        <v/>
      </c>
      <c r="T153" s="261">
        <f>IF(ISNUMBER(T152),IF(ABS(T150-T152)&lt;=0.15,0,ROUND(T150-T152,2)),"n/p")</f>
        <v/>
      </c>
      <c r="U153" s="261">
        <f>IF(ISNUMBER(U152),IF(ABS(U150-U152)&lt;=0.15,0,ROUND(U150-U152,2)),"n/p")</f>
        <v/>
      </c>
      <c r="V153" s="261">
        <f>IF(ISNUMBER(V152),IF(ABS(V150-V152)&lt;=0.15,0,ROUND(V150-V152,2)),"n/p")</f>
        <v/>
      </c>
      <c r="W153" s="261">
        <f>IF(ISNUMBER(W152),IF(ABS(W150-W152)&lt;=0.15,0,ROUND(W150-W152,2)),"n/p")</f>
        <v/>
      </c>
      <c r="X153" s="261">
        <f>IF(ISNUMBER(X152),IF(ABS(X150-X152)&lt;=0.15,0,ROUND(X150-X152,2)),"n/p")</f>
        <v/>
      </c>
      <c r="Y153" s="261">
        <f>IF(ISNUMBER(Y152),IF(ABS(Y150-Y152)&lt;=0.15,0,ROUND(Y150-Y152,2)),"n/p")</f>
        <v/>
      </c>
      <c r="Z153" s="261">
        <f>IF(ISNUMBER(Z152),IF(ABS(Z150-Z152)&lt;=0.15,0,ROUND(Z150-Z152,2)),"n/p")</f>
        <v/>
      </c>
      <c r="AA153" s="261">
        <f>IF(ISNUMBER(AA152),IF(ABS(AA150-AA152)&lt;=0.15,0,ROUND(AA150-AA152,2)),"n/p")</f>
        <v/>
      </c>
      <c r="AB153" s="261">
        <f>IF(ISNUMBER(AB152),IF(ABS(AB150-AB152)&lt;=0.15,0,ROUND(AB150-AB152,2)),"n/p")</f>
        <v/>
      </c>
      <c r="AC153" s="261">
        <f>IF(ISNUMBER(AC152),IF(ABS(AC150-AC152)&lt;=0.15,0,ROUND(AC150-AC152,2)),"n/p")</f>
        <v/>
      </c>
      <c r="AD153" s="261">
        <f>IF(ISNUMBER(AD152),IF(ABS(AD150-AD152)&lt;=0.15,0,ROUND(AD150-AD152,2)),"n/p")</f>
        <v/>
      </c>
      <c r="AE153" s="261">
        <f>IF(ISNUMBER(AE152),IF(ABS(AE150-AE152)&lt;=0.15,0,ROUND(AE150-AE152,2)),"n/p")</f>
        <v/>
      </c>
      <c r="AF153" s="153" t="n"/>
      <c r="AG153" s="153" t="n"/>
      <c r="AH153" s="153" t="n"/>
      <c r="AI153" s="153" t="n"/>
      <c r="AJ153" s="153" t="n"/>
      <c r="AK153" s="153" t="n"/>
      <c r="AL153" s="153" t="n"/>
      <c r="AM153" s="153" t="n"/>
    </row>
    <row r="154" ht="15" customHeight="1" s="251">
      <c r="B154" s="158" t="inlineStr">
        <is>
          <t xml:space="preserve">  Definition basis (company Adjusted EBITDA definition in force)</t>
        </is>
      </c>
      <c r="C154" s="275" t="inlineStr">
        <is>
          <t>FY2019–20: prospectus reconciliation (NI + taxes − financial income + financial expenses − FX result + D&amp;A + SBC)</t>
        </is>
      </c>
      <c r="F154" s="275" t="inlineStr">
        <is>
          <t>2021 – Q4-21: + IPO / equity transaction costs (CHF 7.6m in FY2021)</t>
        </is>
      </c>
      <c r="J154" s="275" t="inlineStr">
        <is>
          <t>2022+: NI + taxes − financial income + financial expenses − FX result + D&amp;A + SBC (unchanged since)</t>
        </is>
      </c>
      <c r="AF154" s="276" t="inlineStr">
        <is>
          <t>Q3-26E: tariff refund (CHF ~53m) in reported gross profit and Adjusted EBITDA; FY26 guidance excludes it</t>
        </is>
      </c>
      <c r="AG154" s="153" t="n"/>
      <c r="AH154" s="153" t="n"/>
      <c r="AI154" s="153" t="n"/>
      <c r="AJ154" s="153" t="n"/>
      <c r="AK154" s="153" t="n"/>
      <c r="AL154" s="153" t="n"/>
      <c r="AM154" s="19" t="inlineStr">
        <is>
          <t>Definition changes are flagged in the column where they take effect (cell comment gives the detail).</t>
        </is>
      </c>
    </row>
    <row r="155" ht="15" customHeight="1" s="251">
      <c r="B155" s="156" t="inlineStr">
        <is>
          <t xml:space="preserve">  Memo: Adjusted EBITDA excl. tariff refund (guidance basis)</t>
        </is>
      </c>
      <c r="C155" s="261">
        <f>IF(ISNUMBER(C150),C150-N(C53),"")</f>
        <v/>
      </c>
      <c r="D155" s="261">
        <f>IF(ISNUMBER(D150),D150-N(D53),"")</f>
        <v/>
      </c>
      <c r="E155" s="261">
        <f>IF(ISNUMBER(E150),E150-N(E53),"")</f>
        <v/>
      </c>
      <c r="F155" s="261">
        <f>IF(ISNUMBER(F150),F150-N(F53),"")</f>
        <v/>
      </c>
      <c r="G155" s="261">
        <f>IF(ISNUMBER(G150),G150-N(G53),"")</f>
        <v/>
      </c>
      <c r="H155" s="261">
        <f>IF(ISNUMBER(H150),H150-N(H53),"")</f>
        <v/>
      </c>
      <c r="I155" s="261">
        <f>IF(ISNUMBER(I150),I150-N(I53),"")</f>
        <v/>
      </c>
      <c r="J155" s="261">
        <f>IF(ISNUMBER(J150),J150-N(J53),"")</f>
        <v/>
      </c>
      <c r="K155" s="261">
        <f>IF(ISNUMBER(K150),K150-N(K53),"")</f>
        <v/>
      </c>
      <c r="L155" s="261">
        <f>IF(ISNUMBER(L150),L150-N(L53),"")</f>
        <v/>
      </c>
      <c r="M155" s="261">
        <f>IF(ISNUMBER(M150),M150-N(M53),"")</f>
        <v/>
      </c>
      <c r="N155" s="261">
        <f>IF(ISNUMBER(N150),N150-N(N53),"")</f>
        <v/>
      </c>
      <c r="O155" s="261">
        <f>IF(ISNUMBER(O150),O150-N(O53),"")</f>
        <v/>
      </c>
      <c r="P155" s="261">
        <f>IF(ISNUMBER(P150),P150-N(P53),"")</f>
        <v/>
      </c>
      <c r="Q155" s="261">
        <f>IF(ISNUMBER(Q150),Q150-N(Q53),"")</f>
        <v/>
      </c>
      <c r="R155" s="261">
        <f>IF(ISNUMBER(R150),R150-N(R53),"")</f>
        <v/>
      </c>
      <c r="S155" s="261">
        <f>IF(ISNUMBER(S150),S150-N(S53),"")</f>
        <v/>
      </c>
      <c r="T155" s="261">
        <f>IF(ISNUMBER(T150),T150-N(T53),"")</f>
        <v/>
      </c>
      <c r="U155" s="261">
        <f>IF(ISNUMBER(U150),U150-N(U53),"")</f>
        <v/>
      </c>
      <c r="V155" s="261">
        <f>IF(ISNUMBER(V150),V150-N(V53),"")</f>
        <v/>
      </c>
      <c r="W155" s="261">
        <f>IF(ISNUMBER(W150),W150-N(W53),"")</f>
        <v/>
      </c>
      <c r="X155" s="261">
        <f>IF(ISNUMBER(X150),X150-N(X53),"")</f>
        <v/>
      </c>
      <c r="Y155" s="261">
        <f>IF(ISNUMBER(Y150),Y150-N(Y53),"")</f>
        <v/>
      </c>
      <c r="Z155" s="261">
        <f>IF(ISNUMBER(Z150),Z150-N(Z53),"")</f>
        <v/>
      </c>
      <c r="AA155" s="261">
        <f>IF(ISNUMBER(AA150),AA150-N(AA53),"")</f>
        <v/>
      </c>
      <c r="AB155" s="261">
        <f>IF(ISNUMBER(AB150),AB150-N(AB53),"")</f>
        <v/>
      </c>
      <c r="AC155" s="261">
        <f>IF(ISNUMBER(AC150),AC150-N(AC53),"")</f>
        <v/>
      </c>
      <c r="AD155" s="261">
        <f>IF(ISNUMBER(AD150),AD150-N(AD53),"")</f>
        <v/>
      </c>
      <c r="AE155" s="261">
        <f>IF(ISNUMBER(AE150),AE150-N(AE53),"")</f>
        <v/>
      </c>
      <c r="AF155" s="254">
        <f>IF(ISNUMBER(AF150),AF150-N(AF53),"")</f>
        <v/>
      </c>
      <c r="AG155" s="254">
        <f>IF(ISNUMBER(AG150),AG150-N(AG53),"")</f>
        <v/>
      </c>
      <c r="AH155" s="254">
        <f>IF(ISNUMBER(AH150),AH150-N(AH53),"")</f>
        <v/>
      </c>
      <c r="AI155" s="254">
        <f>IF(ISNUMBER(AI150),AI150-N(AI53),"")</f>
        <v/>
      </c>
      <c r="AJ155" s="254">
        <f>IF(ISNUMBER(AJ150),AJ150-N(AJ53),"")</f>
        <v/>
      </c>
      <c r="AK155" s="254">
        <f>IF(ISNUMBER(AK150),AK150-N(AK53),"")</f>
        <v/>
      </c>
      <c r="AL155" s="254">
        <f>IF(ISNUMBER(AL150),AL150-N(AL53),"")</f>
        <v/>
      </c>
      <c r="AM155" s="153" t="n"/>
    </row>
    <row r="156" collapsed="1" ht="15" customHeight="1" s="251">
      <c r="B156" s="25" t="inlineStr">
        <is>
          <t xml:space="preserve">  Memo: Adjusted EBITDA margin excl. tariff refund %</t>
        </is>
      </c>
      <c r="C156" s="215">
        <f>IF(AND(ISNUMBER(C155),ISNUMBER(C109)),IFERROR(C155/C109,""),"")</f>
        <v/>
      </c>
      <c r="D156" s="215">
        <f>IF(AND(ISNUMBER(D155),ISNUMBER(D109)),IFERROR(D155/D109,""),"")</f>
        <v/>
      </c>
      <c r="E156" s="215">
        <f>IF(AND(ISNUMBER(E155),ISNUMBER(E109)),IFERROR(E155/E109,""),"")</f>
        <v/>
      </c>
      <c r="F156" s="215">
        <f>IF(AND(ISNUMBER(F155),ISNUMBER(F109)),IFERROR(F155/F109,""),"")</f>
        <v/>
      </c>
      <c r="G156" s="215">
        <f>IF(AND(ISNUMBER(G155),ISNUMBER(G109)),IFERROR(G155/G109,""),"")</f>
        <v/>
      </c>
      <c r="H156" s="215">
        <f>IF(AND(ISNUMBER(H155),ISNUMBER(H109)),IFERROR(H155/H109,""),"")</f>
        <v/>
      </c>
      <c r="I156" s="215">
        <f>IF(AND(ISNUMBER(I155),ISNUMBER(I109)),IFERROR(I155/I109,""),"")</f>
        <v/>
      </c>
      <c r="J156" s="215">
        <f>IF(AND(ISNUMBER(J155),ISNUMBER(J109)),IFERROR(J155/J109,""),"")</f>
        <v/>
      </c>
      <c r="K156" s="215">
        <f>IF(AND(ISNUMBER(K155),ISNUMBER(K109)),IFERROR(K155/K109,""),"")</f>
        <v/>
      </c>
      <c r="L156" s="215">
        <f>IF(AND(ISNUMBER(L155),ISNUMBER(L109)),IFERROR(L155/L109,""),"")</f>
        <v/>
      </c>
      <c r="M156" s="215">
        <f>IF(AND(ISNUMBER(M155),ISNUMBER(M109)),IFERROR(M155/M109,""),"")</f>
        <v/>
      </c>
      <c r="N156" s="215">
        <f>IF(AND(ISNUMBER(N155),ISNUMBER(N109)),IFERROR(N155/N109,""),"")</f>
        <v/>
      </c>
      <c r="O156" s="215">
        <f>IF(AND(ISNUMBER(O155),ISNUMBER(O109)),IFERROR(O155/O109,""),"")</f>
        <v/>
      </c>
      <c r="P156" s="215">
        <f>IF(AND(ISNUMBER(P155),ISNUMBER(P109)),IFERROR(P155/P109,""),"")</f>
        <v/>
      </c>
      <c r="Q156" s="215">
        <f>IF(AND(ISNUMBER(Q155),ISNUMBER(Q109)),IFERROR(Q155/Q109,""),"")</f>
        <v/>
      </c>
      <c r="R156" s="215">
        <f>IF(AND(ISNUMBER(R155),ISNUMBER(R109)),IFERROR(R155/R109,""),"")</f>
        <v/>
      </c>
      <c r="S156" s="215">
        <f>IF(AND(ISNUMBER(S155),ISNUMBER(S109)),IFERROR(S155/S109,""),"")</f>
        <v/>
      </c>
      <c r="T156" s="215">
        <f>IF(AND(ISNUMBER(T155),ISNUMBER(T109)),IFERROR(T155/T109,""),"")</f>
        <v/>
      </c>
      <c r="U156" s="215">
        <f>IF(AND(ISNUMBER(U155),ISNUMBER(U109)),IFERROR(U155/U109,""),"")</f>
        <v/>
      </c>
      <c r="V156" s="215">
        <f>IF(AND(ISNUMBER(V155),ISNUMBER(V109)),IFERROR(V155/V109,""),"")</f>
        <v/>
      </c>
      <c r="W156" s="215">
        <f>IF(AND(ISNUMBER(W155),ISNUMBER(W109)),IFERROR(W155/W109,""),"")</f>
        <v/>
      </c>
      <c r="X156" s="215">
        <f>IF(AND(ISNUMBER(X155),ISNUMBER(X109)),IFERROR(X155/X109,""),"")</f>
        <v/>
      </c>
      <c r="Y156" s="215">
        <f>IF(AND(ISNUMBER(Y155),ISNUMBER(Y109)),IFERROR(Y155/Y109,""),"")</f>
        <v/>
      </c>
      <c r="Z156" s="215">
        <f>IF(AND(ISNUMBER(Z155),ISNUMBER(Z109)),IFERROR(Z155/Z109,""),"")</f>
        <v/>
      </c>
      <c r="AA156" s="215">
        <f>IF(AND(ISNUMBER(AA155),ISNUMBER(AA109)),IFERROR(AA155/AA109,""),"")</f>
        <v/>
      </c>
      <c r="AB156" s="215">
        <f>IF(AND(ISNUMBER(AB155),ISNUMBER(AB109)),IFERROR(AB155/AB109,""),"")</f>
        <v/>
      </c>
      <c r="AC156" s="215">
        <f>IF(AND(ISNUMBER(AC155),ISNUMBER(AC109)),IFERROR(AC155/AC109,""),"")</f>
        <v/>
      </c>
      <c r="AD156" s="215">
        <f>IF(AND(ISNUMBER(AD155),ISNUMBER(AD109)),IFERROR(AD155/AD109,""),"")</f>
        <v/>
      </c>
      <c r="AE156" s="215">
        <f>IF(AND(ISNUMBER(AE155),ISNUMBER(AE109)),IFERROR(AE155/AE109,""),"")</f>
        <v/>
      </c>
      <c r="AF156" s="256">
        <f>IF(AND(ISNUMBER(AF155),ISNUMBER(AF109)),IFERROR(AF155/AF109,""),"")</f>
        <v/>
      </c>
      <c r="AG156" s="256">
        <f>IF(AND(ISNUMBER(AG155),ISNUMBER(AG109)),IFERROR(AG155/AG109,""),"")</f>
        <v/>
      </c>
      <c r="AH156" s="256">
        <f>IF(AND(ISNUMBER(AH155),ISNUMBER(AH109)),IFERROR(AH155/AH109,""),"")</f>
        <v/>
      </c>
      <c r="AI156" s="256">
        <f>IF(AND(ISNUMBER(AI155),ISNUMBER(AI109)),IFERROR(AI155/AI109,""),"")</f>
        <v/>
      </c>
      <c r="AJ156" s="256">
        <f>IF(AND(ISNUMBER(AJ155),ISNUMBER(AJ109)),IFERROR(AJ155/AJ109,""),"")</f>
        <v/>
      </c>
      <c r="AK156" s="256">
        <f>IF(AND(ISNUMBER(AK155),ISNUMBER(AK109)),IFERROR(AK155/AK109,""),"")</f>
        <v/>
      </c>
      <c r="AL156" s="256">
        <f>IF(AND(ISNUMBER(AL155),ISNUMBER(AL109)),IFERROR(AL155/AL109,""),"")</f>
        <v/>
      </c>
      <c r="AM156" s="153" t="n"/>
    </row>
    <row r="157" ht="15" customHeight="1" s="251">
      <c r="B157" s="156" t="inlineStr">
        <is>
          <t xml:space="preserve">  Memo: Adjusted EBITDA after lease payments (pre-IFRS 16 proxy: − lease principal &amp; interest paid)</t>
        </is>
      </c>
      <c r="C157" s="261">
        <f>IF(AND(ISNUMBER(C150),ISNUMBER(C220)),C150+C220+C223,"")</f>
        <v/>
      </c>
      <c r="D157" s="261">
        <f>IF(AND(ISNUMBER(D150),ISNUMBER(D220)),D150+D220+D223,"")</f>
        <v/>
      </c>
      <c r="E157" s="261">
        <f>IF(AND(ISNUMBER(E150),ISNUMBER(E220)),E150+E220+E223,"")</f>
        <v/>
      </c>
      <c r="F157" s="261">
        <f>IF(AND(ISNUMBER(F150),ISNUMBER(F220)),F150+F220+F223,"")</f>
        <v/>
      </c>
      <c r="G157" s="261">
        <f>IF(AND(ISNUMBER(G150),ISNUMBER(G220)),G150+G220+G223,"")</f>
        <v/>
      </c>
      <c r="H157" s="261">
        <f>IF(AND(ISNUMBER(H150),ISNUMBER(H220)),H150+H220+H223,"")</f>
        <v/>
      </c>
      <c r="I157" s="261">
        <f>IF(AND(ISNUMBER(I150),ISNUMBER(I220)),I150+I220+I223,"")</f>
        <v/>
      </c>
      <c r="J157" s="261">
        <f>IF(AND(ISNUMBER(J150),ISNUMBER(J220)),J150+J220+J223,"")</f>
        <v/>
      </c>
      <c r="K157" s="261">
        <f>IF(AND(ISNUMBER(K150),ISNUMBER(K220)),K150+K220+K223,"")</f>
        <v/>
      </c>
      <c r="L157" s="261">
        <f>IF(AND(ISNUMBER(L150),ISNUMBER(L220)),L150+L220+L223,"")</f>
        <v/>
      </c>
      <c r="M157" s="261">
        <f>IF(AND(ISNUMBER(M150),ISNUMBER(M220)),M150+M220+M223,"")</f>
        <v/>
      </c>
      <c r="N157" s="261">
        <f>IF(AND(ISNUMBER(N150),ISNUMBER(N220)),N150+N220+N223,"")</f>
        <v/>
      </c>
      <c r="O157" s="261">
        <f>IF(AND(ISNUMBER(O150),ISNUMBER(O220)),O150+O220+O223,"")</f>
        <v/>
      </c>
      <c r="P157" s="261">
        <f>IF(AND(ISNUMBER(P150),ISNUMBER(P220)),P150+P220+P223,"")</f>
        <v/>
      </c>
      <c r="Q157" s="261">
        <f>IF(AND(ISNUMBER(Q150),ISNUMBER(Q220)),Q150+Q220+Q223,"")</f>
        <v/>
      </c>
      <c r="R157" s="261">
        <f>IF(AND(ISNUMBER(R150),ISNUMBER(R220)),R150+R220+R223,"")</f>
        <v/>
      </c>
      <c r="S157" s="261">
        <f>IF(AND(ISNUMBER(S150),ISNUMBER(S220)),S150+S220+S223,"")</f>
        <v/>
      </c>
      <c r="T157" s="261">
        <f>IF(AND(ISNUMBER(T150),ISNUMBER(T220)),T150+T220+T223,"")</f>
        <v/>
      </c>
      <c r="U157" s="261">
        <f>IF(AND(ISNUMBER(U150),ISNUMBER(U220)),U150+U220+U223,"")</f>
        <v/>
      </c>
      <c r="V157" s="261">
        <f>IF(AND(ISNUMBER(V150),ISNUMBER(V220)),V150+V220+V223,"")</f>
        <v/>
      </c>
      <c r="W157" s="261">
        <f>IF(AND(ISNUMBER(W150),ISNUMBER(W220)),W150+W220+W223,"")</f>
        <v/>
      </c>
      <c r="X157" s="261">
        <f>IF(AND(ISNUMBER(X150),ISNUMBER(X220)),X150+X220+X223,"")</f>
        <v/>
      </c>
      <c r="Y157" s="261">
        <f>IF(AND(ISNUMBER(Y150),ISNUMBER(Y220)),Y150+Y220+Y223,"")</f>
        <v/>
      </c>
      <c r="Z157" s="261">
        <f>IF(AND(ISNUMBER(Z150),ISNUMBER(Z220)),Z150+Z220+Z223,"")</f>
        <v/>
      </c>
      <c r="AA157" s="261">
        <f>IF(AND(ISNUMBER(AA150),ISNUMBER(AA220)),AA150+AA220+AA223,"")</f>
        <v/>
      </c>
      <c r="AB157" s="261">
        <f>IF(AND(ISNUMBER(AB150),ISNUMBER(AB220)),AB150+AB220+AB223,"")</f>
        <v/>
      </c>
      <c r="AC157" s="261">
        <f>IF(AND(ISNUMBER(AC150),ISNUMBER(AC220)),AC150+AC220+AC223,"")</f>
        <v/>
      </c>
      <c r="AD157" s="261">
        <f>IF(AND(ISNUMBER(AD150),ISNUMBER(AD220)),AD150+AD220+AD223,"")</f>
        <v/>
      </c>
      <c r="AE157" s="261">
        <f>IF(AND(ISNUMBER(AE150),ISNUMBER(AE220)),AE150+AE220+AE223,"")</f>
        <v/>
      </c>
      <c r="AF157" s="254">
        <f>IF(AND(ISNUMBER(AF150),ISNUMBER(AF220)),AF150+AF220+AF223,"")</f>
        <v/>
      </c>
      <c r="AG157" s="254">
        <f>IF(AND(ISNUMBER(AG150),ISNUMBER(AG220)),AG150+AG220+AG223,"")</f>
        <v/>
      </c>
      <c r="AH157" s="254">
        <f>IF(AND(ISNUMBER(AH150),ISNUMBER(AH220)),AH150+AH220+AH223,"")</f>
        <v/>
      </c>
      <c r="AI157" s="254">
        <f>IF(AND(ISNUMBER(AI150),ISNUMBER(AI220)),AI150+AI220+AI223,"")</f>
        <v/>
      </c>
      <c r="AJ157" s="254">
        <f>IF(AND(ISNUMBER(AJ150),ISNUMBER(AJ220)),AJ150+AJ220+AJ223,"")</f>
        <v/>
      </c>
      <c r="AK157" s="254">
        <f>IF(AND(ISNUMBER(AK150),ISNUMBER(AK220)),AK150+AK220+AK223,"")</f>
        <v/>
      </c>
      <c r="AL157" s="254">
        <f>IF(AND(ISNUMBER(AL150),ISNUMBER(AL220)),AL150+AL220+AL223,"")</f>
        <v/>
      </c>
      <c r="AM157" s="153" t="n"/>
    </row>
    <row r="158" ht="15" customHeight="1" s="251">
      <c r="B158" s="25" t="inlineStr">
        <is>
          <t>To adjusted EBIT:</t>
        </is>
      </c>
      <c r="AM158" s="153" t="n"/>
    </row>
    <row r="159" ht="15" customHeight="1" s="251">
      <c r="B159" s="25" t="inlineStr">
        <is>
          <t xml:space="preserve">  (−) Depreciation &amp; amortization</t>
        </is>
      </c>
      <c r="C159" s="261">
        <f>IF(ISNUMBER(C145),-C145,"")</f>
        <v/>
      </c>
      <c r="D159" s="261">
        <f>IF(ISNUMBER(D145),-D145,"")</f>
        <v/>
      </c>
      <c r="E159" s="261">
        <f>IF(ISNUMBER(E145),-E145,"")</f>
        <v/>
      </c>
      <c r="F159" s="261">
        <f>IF(ISNUMBER(F145),-F145,"")</f>
        <v/>
      </c>
      <c r="G159" s="261">
        <f>IF(ISNUMBER(G145),-G145,"")</f>
        <v/>
      </c>
      <c r="H159" s="261">
        <f>IF(ISNUMBER(H145),-H145,"")</f>
        <v/>
      </c>
      <c r="I159" s="261">
        <f>IF(ISNUMBER(I145),-I145,"")</f>
        <v/>
      </c>
      <c r="J159" s="261">
        <f>IF(ISNUMBER(J145),-J145,"")</f>
        <v/>
      </c>
      <c r="K159" s="261">
        <f>IF(ISNUMBER(K145),-K145,"")</f>
        <v/>
      </c>
      <c r="L159" s="261">
        <f>IF(ISNUMBER(L145),-L145,"")</f>
        <v/>
      </c>
      <c r="M159" s="261">
        <f>IF(ISNUMBER(M145),-M145,"")</f>
        <v/>
      </c>
      <c r="N159" s="261">
        <f>IF(ISNUMBER(N145),-N145,"")</f>
        <v/>
      </c>
      <c r="O159" s="261">
        <f>IF(ISNUMBER(O145),-O145,"")</f>
        <v/>
      </c>
      <c r="P159" s="261">
        <f>IF(ISNUMBER(P145),-P145,"")</f>
        <v/>
      </c>
      <c r="Q159" s="261">
        <f>IF(ISNUMBER(Q145),-Q145,"")</f>
        <v/>
      </c>
      <c r="R159" s="261">
        <f>IF(ISNUMBER(R145),-R145,"")</f>
        <v/>
      </c>
      <c r="S159" s="261">
        <f>IF(ISNUMBER(S145),-S145,"")</f>
        <v/>
      </c>
      <c r="T159" s="261">
        <f>IF(ISNUMBER(T145),-T145,"")</f>
        <v/>
      </c>
      <c r="U159" s="261">
        <f>IF(ISNUMBER(U145),-U145,"")</f>
        <v/>
      </c>
      <c r="V159" s="261">
        <f>IF(ISNUMBER(V145),-V145,"")</f>
        <v/>
      </c>
      <c r="W159" s="261">
        <f>IF(ISNUMBER(W145),-W145,"")</f>
        <v/>
      </c>
      <c r="X159" s="261">
        <f>IF(ISNUMBER(X145),-X145,"")</f>
        <v/>
      </c>
      <c r="Y159" s="261">
        <f>IF(ISNUMBER(Y145),-Y145,"")</f>
        <v/>
      </c>
      <c r="Z159" s="261">
        <f>IF(ISNUMBER(Z145),-Z145,"")</f>
        <v/>
      </c>
      <c r="AA159" s="261">
        <f>IF(ISNUMBER(AA145),-AA145,"")</f>
        <v/>
      </c>
      <c r="AB159" s="261">
        <f>IF(ISNUMBER(AB145),-AB145,"")</f>
        <v/>
      </c>
      <c r="AC159" s="261">
        <f>IF(ISNUMBER(AC145),-AC145,"")</f>
        <v/>
      </c>
      <c r="AD159" s="261">
        <f>IF(ISNUMBER(AD145),-AD145,"")</f>
        <v/>
      </c>
      <c r="AE159" s="261">
        <f>IF(ISNUMBER(AE145),-AE145,"")</f>
        <v/>
      </c>
      <c r="AF159" s="254">
        <f>IF(ISNUMBER(AF145),-AF145,"")</f>
        <v/>
      </c>
      <c r="AG159" s="254">
        <f>IF(ISNUMBER(AG145),-AG145,"")</f>
        <v/>
      </c>
      <c r="AH159" s="254">
        <f>IF(ISNUMBER(AH145),-AH145,"")</f>
        <v/>
      </c>
      <c r="AI159" s="254">
        <f>IF(ISNUMBER(AI145),-AI145,"")</f>
        <v/>
      </c>
      <c r="AJ159" s="254">
        <f>IF(ISNUMBER(AJ145),-AJ145,"")</f>
        <v/>
      </c>
      <c r="AK159" s="254">
        <f>IF(ISNUMBER(AK145),-AK145,"")</f>
        <v/>
      </c>
      <c r="AL159" s="254">
        <f>IF(ISNUMBER(AL145),-AL145,"")</f>
        <v/>
      </c>
      <c r="AM159" s="19" t="n"/>
    </row>
    <row r="160" ht="15" customHeight="1" s="251">
      <c r="B160" s="55" t="inlineStr">
        <is>
          <t xml:space="preserve">  = Adjusted EBIT (Adjusted EBITDA − D&amp;A = operating result + SBC + equity transaction costs)</t>
        </is>
      </c>
      <c r="C160" s="263">
        <f>IF(ISNUMBER(C150),C150+C159,"")</f>
        <v/>
      </c>
      <c r="D160" s="263">
        <f>IF(ISNUMBER(D150),D150+D159,"")</f>
        <v/>
      </c>
      <c r="E160" s="263">
        <f>IF(ISNUMBER(E150),E150+E159,"")</f>
        <v/>
      </c>
      <c r="F160" s="263">
        <f>IF(ISNUMBER(F150),F150+F159,"")</f>
        <v/>
      </c>
      <c r="G160" s="263">
        <f>IF(ISNUMBER(G150),G150+G159,"")</f>
        <v/>
      </c>
      <c r="H160" s="263">
        <f>IF(ISNUMBER(H150),H150+H159,"")</f>
        <v/>
      </c>
      <c r="I160" s="263">
        <f>IF(ISNUMBER(I150),I150+I159,"")</f>
        <v/>
      </c>
      <c r="J160" s="263">
        <f>IF(ISNUMBER(J150),J150+J159,"")</f>
        <v/>
      </c>
      <c r="K160" s="263">
        <f>IF(ISNUMBER(K150),K150+K159,"")</f>
        <v/>
      </c>
      <c r="L160" s="263">
        <f>IF(ISNUMBER(L150),L150+L159,"")</f>
        <v/>
      </c>
      <c r="M160" s="263">
        <f>IF(ISNUMBER(M150),M150+M159,"")</f>
        <v/>
      </c>
      <c r="N160" s="263">
        <f>IF(ISNUMBER(N150),N150+N159,"")</f>
        <v/>
      </c>
      <c r="O160" s="263">
        <f>IF(ISNUMBER(O150),O150+O159,"")</f>
        <v/>
      </c>
      <c r="P160" s="263">
        <f>IF(ISNUMBER(P150),P150+P159,"")</f>
        <v/>
      </c>
      <c r="Q160" s="263">
        <f>IF(ISNUMBER(Q150),Q150+Q159,"")</f>
        <v/>
      </c>
      <c r="R160" s="263">
        <f>IF(ISNUMBER(R150),R150+R159,"")</f>
        <v/>
      </c>
      <c r="S160" s="263">
        <f>IF(ISNUMBER(S150),S150+S159,"")</f>
        <v/>
      </c>
      <c r="T160" s="263">
        <f>IF(ISNUMBER(T150),T150+T159,"")</f>
        <v/>
      </c>
      <c r="U160" s="263">
        <f>IF(ISNUMBER(U150),U150+U159,"")</f>
        <v/>
      </c>
      <c r="V160" s="263">
        <f>IF(ISNUMBER(V150),V150+V159,"")</f>
        <v/>
      </c>
      <c r="W160" s="263">
        <f>IF(ISNUMBER(W150),W150+W159,"")</f>
        <v/>
      </c>
      <c r="X160" s="263">
        <f>IF(ISNUMBER(X150),X150+X159,"")</f>
        <v/>
      </c>
      <c r="Y160" s="263">
        <f>IF(ISNUMBER(Y150),Y150+Y159,"")</f>
        <v/>
      </c>
      <c r="Z160" s="263">
        <f>IF(ISNUMBER(Z150),Z150+Z159,"")</f>
        <v/>
      </c>
      <c r="AA160" s="263">
        <f>IF(ISNUMBER(AA150),AA150+AA159,"")</f>
        <v/>
      </c>
      <c r="AB160" s="263">
        <f>IF(ISNUMBER(AB150),AB150+AB159,"")</f>
        <v/>
      </c>
      <c r="AC160" s="263">
        <f>IF(ISNUMBER(AC150),AC150+AC159,"")</f>
        <v/>
      </c>
      <c r="AD160" s="263">
        <f>IF(ISNUMBER(AD150),AD150+AD159,"")</f>
        <v/>
      </c>
      <c r="AE160" s="263">
        <f>IF(ISNUMBER(AE150),AE150+AE159,"")</f>
        <v/>
      </c>
      <c r="AF160" s="263">
        <f>IF(ISNUMBER(AF150),AF150+AF159,"")</f>
        <v/>
      </c>
      <c r="AG160" s="263">
        <f>IF(ISNUMBER(AG150),AG150+AG159,"")</f>
        <v/>
      </c>
      <c r="AH160" s="263">
        <f>IF(ISNUMBER(AH150),AH150+AH159,"")</f>
        <v/>
      </c>
      <c r="AI160" s="263">
        <f>IF(ISNUMBER(AI150),AI150+AI159,"")</f>
        <v/>
      </c>
      <c r="AJ160" s="263">
        <f>IF(ISNUMBER(AJ150),AJ150+AJ159,"")</f>
        <v/>
      </c>
      <c r="AK160" s="263">
        <f>IF(ISNUMBER(AK150),AK150+AK159,"")</f>
        <v/>
      </c>
      <c r="AL160" s="263">
        <f>IF(ISNUMBER(AL150),AL150+AL159,"")</f>
        <v/>
      </c>
      <c r="AM160" s="153" t="inlineStr">
        <is>
          <t>Used for NOPAT / ROIC; the DCF deducts SBC again (a real cost).</t>
        </is>
      </c>
    </row>
    <row r="161" ht="15" customHeight="1" s="251">
      <c r="B161" s="25" t="inlineStr">
        <is>
          <t xml:space="preserve">  Adjusted EBIT margin %</t>
        </is>
      </c>
      <c r="C161" s="215">
        <f>IF(AND(ISNUMBER(C160),ISNUMBER(C109)),IFERROR(C160/C109,""),"")</f>
        <v/>
      </c>
      <c r="D161" s="215">
        <f>IF(AND(ISNUMBER(D160),ISNUMBER(D109)),IFERROR(D160/D109,""),"")</f>
        <v/>
      </c>
      <c r="E161" s="215">
        <f>IF(AND(ISNUMBER(E160),ISNUMBER(E109)),IFERROR(E160/E109,""),"")</f>
        <v/>
      </c>
      <c r="F161" s="215">
        <f>IF(AND(ISNUMBER(F160),ISNUMBER(F109)),IFERROR(F160/F109,""),"")</f>
        <v/>
      </c>
      <c r="G161" s="215">
        <f>IF(AND(ISNUMBER(G160),ISNUMBER(G109)),IFERROR(G160/G109,""),"")</f>
        <v/>
      </c>
      <c r="H161" s="215">
        <f>IF(AND(ISNUMBER(H160),ISNUMBER(H109)),IFERROR(H160/H109,""),"")</f>
        <v/>
      </c>
      <c r="I161" s="215">
        <f>IF(AND(ISNUMBER(I160),ISNUMBER(I109)),IFERROR(I160/I109,""),"")</f>
        <v/>
      </c>
      <c r="J161" s="215">
        <f>IF(AND(ISNUMBER(J160),ISNUMBER(J109)),IFERROR(J160/J109,""),"")</f>
        <v/>
      </c>
      <c r="K161" s="215">
        <f>IF(AND(ISNUMBER(K160),ISNUMBER(K109)),IFERROR(K160/K109,""),"")</f>
        <v/>
      </c>
      <c r="L161" s="215">
        <f>IF(AND(ISNUMBER(L160),ISNUMBER(L109)),IFERROR(L160/L109,""),"")</f>
        <v/>
      </c>
      <c r="M161" s="215">
        <f>IF(AND(ISNUMBER(M160),ISNUMBER(M109)),IFERROR(M160/M109,""),"")</f>
        <v/>
      </c>
      <c r="N161" s="215">
        <f>IF(AND(ISNUMBER(N160),ISNUMBER(N109)),IFERROR(N160/N109,""),"")</f>
        <v/>
      </c>
      <c r="O161" s="215">
        <f>IF(AND(ISNUMBER(O160),ISNUMBER(O109)),IFERROR(O160/O109,""),"")</f>
        <v/>
      </c>
      <c r="P161" s="215">
        <f>IF(AND(ISNUMBER(P160),ISNUMBER(P109)),IFERROR(P160/P109,""),"")</f>
        <v/>
      </c>
      <c r="Q161" s="215">
        <f>IF(AND(ISNUMBER(Q160),ISNUMBER(Q109)),IFERROR(Q160/Q109,""),"")</f>
        <v/>
      </c>
      <c r="R161" s="215">
        <f>IF(AND(ISNUMBER(R160),ISNUMBER(R109)),IFERROR(R160/R109,""),"")</f>
        <v/>
      </c>
      <c r="S161" s="215">
        <f>IF(AND(ISNUMBER(S160),ISNUMBER(S109)),IFERROR(S160/S109,""),"")</f>
        <v/>
      </c>
      <c r="T161" s="215">
        <f>IF(AND(ISNUMBER(T160),ISNUMBER(T109)),IFERROR(T160/T109,""),"")</f>
        <v/>
      </c>
      <c r="U161" s="215">
        <f>IF(AND(ISNUMBER(U160),ISNUMBER(U109)),IFERROR(U160/U109,""),"")</f>
        <v/>
      </c>
      <c r="V161" s="215">
        <f>IF(AND(ISNUMBER(V160),ISNUMBER(V109)),IFERROR(V160/V109,""),"")</f>
        <v/>
      </c>
      <c r="W161" s="215">
        <f>IF(AND(ISNUMBER(W160),ISNUMBER(W109)),IFERROR(W160/W109,""),"")</f>
        <v/>
      </c>
      <c r="X161" s="215">
        <f>IF(AND(ISNUMBER(X160),ISNUMBER(X109)),IFERROR(X160/X109,""),"")</f>
        <v/>
      </c>
      <c r="Y161" s="215">
        <f>IF(AND(ISNUMBER(Y160),ISNUMBER(Y109)),IFERROR(Y160/Y109,""),"")</f>
        <v/>
      </c>
      <c r="Z161" s="215">
        <f>IF(AND(ISNUMBER(Z160),ISNUMBER(Z109)),IFERROR(Z160/Z109,""),"")</f>
        <v/>
      </c>
      <c r="AA161" s="215">
        <f>IF(AND(ISNUMBER(AA160),ISNUMBER(AA109)),IFERROR(AA160/AA109,""),"")</f>
        <v/>
      </c>
      <c r="AB161" s="215">
        <f>IF(AND(ISNUMBER(AB160),ISNUMBER(AB109)),IFERROR(AB160/AB109,""),"")</f>
        <v/>
      </c>
      <c r="AC161" s="215">
        <f>IF(AND(ISNUMBER(AC160),ISNUMBER(AC109)),IFERROR(AC160/AC109,""),"")</f>
        <v/>
      </c>
      <c r="AD161" s="215">
        <f>IF(AND(ISNUMBER(AD160),ISNUMBER(AD109)),IFERROR(AD160/AD109,""),"")</f>
        <v/>
      </c>
      <c r="AE161" s="215">
        <f>IF(AND(ISNUMBER(AE160),ISNUMBER(AE109)),IFERROR(AE160/AE109,""),"")</f>
        <v/>
      </c>
      <c r="AF161" s="256">
        <f>IF(AND(ISNUMBER(AF160),ISNUMBER(AF109)),IFERROR(AF160/AF109,""),"")</f>
        <v/>
      </c>
      <c r="AG161" s="256">
        <f>IF(AND(ISNUMBER(AG160),ISNUMBER(AG109)),IFERROR(AG160/AG109,""),"")</f>
        <v/>
      </c>
      <c r="AH161" s="256">
        <f>IF(AND(ISNUMBER(AH160),ISNUMBER(AH109)),IFERROR(AH160/AH109,""),"")</f>
        <v/>
      </c>
      <c r="AI161" s="256">
        <f>IF(AND(ISNUMBER(AI160),ISNUMBER(AI109)),IFERROR(AI160/AI109,""),"")</f>
        <v/>
      </c>
      <c r="AJ161" s="256">
        <f>IF(AND(ISNUMBER(AJ160),ISNUMBER(AJ109)),IFERROR(AJ160/AJ109,""),"")</f>
        <v/>
      </c>
      <c r="AK161" s="256">
        <f>IF(AND(ISNUMBER(AK160),ISNUMBER(AK109)),IFERROR(AK160/AK109,""),"")</f>
        <v/>
      </c>
      <c r="AL161" s="256">
        <f>IF(AND(ISNUMBER(AL160),ISNUMBER(AL109)),IFERROR(AL160/AL109,""),"")</f>
        <v/>
      </c>
      <c r="AM161" s="153" t="n"/>
      <c r="AO161" s="37">
        <f>IFERROR(AVERAGE(AH161,AI161,AJ161,AK161,AL161),"n/m")</f>
        <v/>
      </c>
      <c r="AP161" s="37">
        <f>IFERROR(AVERAGE(I161,N161,S161,X161,AC161),"n/m")</f>
        <v/>
      </c>
      <c r="AQ161" s="37">
        <f>IFERROR(AVERAGE(S161,X161,AC161),"n/m")</f>
        <v/>
      </c>
      <c r="AR161" s="37">
        <f>IFERROR(AVERAGE(C161,D161,I161,N161,S161,X161,AC161),"n/m")</f>
        <v/>
      </c>
    </row>
    <row r="162" ht="15" customHeight="1" s="251">
      <c r="AU162" s="11" t="n"/>
      <c r="AV162" s="12" t="n"/>
      <c r="AW162" s="12" t="n"/>
      <c r="AX162" s="12" t="n"/>
      <c r="AY162" s="13" t="n"/>
    </row>
    <row r="163" ht="15" customHeight="1" s="251">
      <c r="B163" s="10" t="inlineStr">
        <is>
          <t>RECONCILIATION: IFRS OPERATING RESULT → ADJUSTED OPERATING RESULT (model definition)</t>
        </is>
      </c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inlineStr">
        <is>
          <t>ADJUSTED OPERATING RESULT — model bridge on the company items: IFRS operating result + SBC + equity transaction costs (On does not publish an adjusted operating result)</t>
        </is>
      </c>
    </row>
    <row r="164" ht="15" customHeight="1" s="251">
      <c r="B164" s="16" t="inlineStr">
        <is>
          <t>Operating result (IFRS)</t>
        </is>
      </c>
      <c r="C164" s="268">
        <f>C114</f>
        <v/>
      </c>
      <c r="D164" s="268">
        <f>D114</f>
        <v/>
      </c>
      <c r="E164" s="268">
        <f>E114</f>
        <v/>
      </c>
      <c r="F164" s="268">
        <f>F114</f>
        <v/>
      </c>
      <c r="G164" s="268">
        <f>G114</f>
        <v/>
      </c>
      <c r="H164" s="268">
        <f>H114</f>
        <v/>
      </c>
      <c r="I164" s="268">
        <f>I114</f>
        <v/>
      </c>
      <c r="J164" s="268">
        <f>J114</f>
        <v/>
      </c>
      <c r="K164" s="268">
        <f>K114</f>
        <v/>
      </c>
      <c r="L164" s="268">
        <f>L114</f>
        <v/>
      </c>
      <c r="M164" s="268">
        <f>M114</f>
        <v/>
      </c>
      <c r="N164" s="268">
        <f>N114</f>
        <v/>
      </c>
      <c r="O164" s="268">
        <f>O114</f>
        <v/>
      </c>
      <c r="P164" s="268">
        <f>P114</f>
        <v/>
      </c>
      <c r="Q164" s="268">
        <f>Q114</f>
        <v/>
      </c>
      <c r="R164" s="268">
        <f>R114</f>
        <v/>
      </c>
      <c r="S164" s="268">
        <f>S114</f>
        <v/>
      </c>
      <c r="T164" s="268">
        <f>T114</f>
        <v/>
      </c>
      <c r="U164" s="268">
        <f>U114</f>
        <v/>
      </c>
      <c r="V164" s="268">
        <f>V114</f>
        <v/>
      </c>
      <c r="W164" s="268">
        <f>W114</f>
        <v/>
      </c>
      <c r="X164" s="268">
        <f>X114</f>
        <v/>
      </c>
      <c r="Y164" s="268">
        <f>Y114</f>
        <v/>
      </c>
      <c r="Z164" s="268">
        <f>Z114</f>
        <v/>
      </c>
      <c r="AA164" s="268">
        <f>AA114</f>
        <v/>
      </c>
      <c r="AB164" s="268">
        <f>AB114</f>
        <v/>
      </c>
      <c r="AC164" s="268">
        <f>AC114</f>
        <v/>
      </c>
      <c r="AD164" s="268">
        <f>AD114</f>
        <v/>
      </c>
      <c r="AE164" s="268">
        <f>AE114</f>
        <v/>
      </c>
      <c r="AF164" s="269">
        <f>AF114</f>
        <v/>
      </c>
      <c r="AG164" s="269">
        <f>AG114</f>
        <v/>
      </c>
      <c r="AH164" s="269">
        <f>AH114</f>
        <v/>
      </c>
      <c r="AI164" s="269">
        <f>AI114</f>
        <v/>
      </c>
      <c r="AJ164" s="269">
        <f>AJ114</f>
        <v/>
      </c>
      <c r="AK164" s="269">
        <f>AK114</f>
        <v/>
      </c>
      <c r="AL164" s="269">
        <f>AL114</f>
        <v/>
      </c>
      <c r="AM164" s="153" t="n"/>
    </row>
    <row r="165" ht="15" customHeight="1" s="251">
      <c r="B165" s="25" t="inlineStr">
        <is>
          <t xml:space="preserve">  (+) Share-based compensation</t>
        </is>
      </c>
      <c r="C165" s="261">
        <f>C104</f>
        <v/>
      </c>
      <c r="D165" s="261">
        <f>D104</f>
        <v/>
      </c>
      <c r="E165" s="261">
        <f>E104</f>
        <v/>
      </c>
      <c r="F165" s="261">
        <f>F104</f>
        <v/>
      </c>
      <c r="G165" s="261">
        <f>G104</f>
        <v/>
      </c>
      <c r="H165" s="261">
        <f>H104</f>
        <v/>
      </c>
      <c r="I165" s="261">
        <f>I104</f>
        <v/>
      </c>
      <c r="J165" s="261">
        <f>J104</f>
        <v/>
      </c>
      <c r="K165" s="261">
        <f>K104</f>
        <v/>
      </c>
      <c r="L165" s="261">
        <f>L104</f>
        <v/>
      </c>
      <c r="M165" s="261">
        <f>M104</f>
        <v/>
      </c>
      <c r="N165" s="261">
        <f>N104</f>
        <v/>
      </c>
      <c r="O165" s="261">
        <f>O104</f>
        <v/>
      </c>
      <c r="P165" s="261">
        <f>P104</f>
        <v/>
      </c>
      <c r="Q165" s="261">
        <f>Q104</f>
        <v/>
      </c>
      <c r="R165" s="261">
        <f>R104</f>
        <v/>
      </c>
      <c r="S165" s="261">
        <f>S104</f>
        <v/>
      </c>
      <c r="T165" s="261">
        <f>T104</f>
        <v/>
      </c>
      <c r="U165" s="261">
        <f>U104</f>
        <v/>
      </c>
      <c r="V165" s="261">
        <f>V104</f>
        <v/>
      </c>
      <c r="W165" s="261">
        <f>W104</f>
        <v/>
      </c>
      <c r="X165" s="261">
        <f>X104</f>
        <v/>
      </c>
      <c r="Y165" s="261">
        <f>Y104</f>
        <v/>
      </c>
      <c r="Z165" s="261">
        <f>Z104</f>
        <v/>
      </c>
      <c r="AA165" s="261">
        <f>AA104</f>
        <v/>
      </c>
      <c r="AB165" s="261">
        <f>AB104</f>
        <v/>
      </c>
      <c r="AC165" s="261">
        <f>AC104</f>
        <v/>
      </c>
      <c r="AD165" s="261">
        <f>AD104</f>
        <v/>
      </c>
      <c r="AE165" s="261">
        <f>AE104</f>
        <v/>
      </c>
      <c r="AF165" s="254">
        <f>AF104</f>
        <v/>
      </c>
      <c r="AG165" s="254">
        <f>AG104</f>
        <v/>
      </c>
      <c r="AH165" s="254">
        <f>AH104</f>
        <v/>
      </c>
      <c r="AI165" s="254">
        <f>AI104</f>
        <v/>
      </c>
      <c r="AJ165" s="254">
        <f>AJ104</f>
        <v/>
      </c>
      <c r="AK165" s="254">
        <f>AK104</f>
        <v/>
      </c>
      <c r="AL165" s="254">
        <f>AL104</f>
        <v/>
      </c>
      <c r="AM165" s="19" t="n"/>
    </row>
    <row r="166" ht="15" customHeight="1" s="251">
      <c r="B166" s="25" t="inlineStr">
        <is>
          <t xml:space="preserve">  (+) Equity transaction costs</t>
        </is>
      </c>
      <c r="C166" s="261">
        <f>N(C106)</f>
        <v/>
      </c>
      <c r="D166" s="261">
        <f>N(D106)</f>
        <v/>
      </c>
      <c r="E166" s="261">
        <f>N(E106)</f>
        <v/>
      </c>
      <c r="F166" s="261">
        <f>N(F106)</f>
        <v/>
      </c>
      <c r="G166" s="261">
        <f>N(G106)</f>
        <v/>
      </c>
      <c r="H166" s="261">
        <f>N(H106)</f>
        <v/>
      </c>
      <c r="I166" s="261">
        <f>N(I106)</f>
        <v/>
      </c>
      <c r="J166" s="261">
        <f>N(J106)</f>
        <v/>
      </c>
      <c r="K166" s="261">
        <f>N(K106)</f>
        <v/>
      </c>
      <c r="L166" s="261">
        <f>N(L106)</f>
        <v/>
      </c>
      <c r="M166" s="261">
        <f>N(M106)</f>
        <v/>
      </c>
      <c r="N166" s="261">
        <f>N(N106)</f>
        <v/>
      </c>
      <c r="O166" s="261">
        <f>N(O106)</f>
        <v/>
      </c>
      <c r="P166" s="261">
        <f>N(P106)</f>
        <v/>
      </c>
      <c r="Q166" s="261">
        <f>N(Q106)</f>
        <v/>
      </c>
      <c r="R166" s="261">
        <f>N(R106)</f>
        <v/>
      </c>
      <c r="S166" s="261">
        <f>N(S106)</f>
        <v/>
      </c>
      <c r="T166" s="261">
        <f>N(T106)</f>
        <v/>
      </c>
      <c r="U166" s="261">
        <f>N(U106)</f>
        <v/>
      </c>
      <c r="V166" s="261">
        <f>N(V106)</f>
        <v/>
      </c>
      <c r="W166" s="261">
        <f>N(W106)</f>
        <v/>
      </c>
      <c r="X166" s="261">
        <f>N(X106)</f>
        <v/>
      </c>
      <c r="Y166" s="261">
        <f>N(Y106)</f>
        <v/>
      </c>
      <c r="Z166" s="261">
        <f>N(Z106)</f>
        <v/>
      </c>
      <c r="AA166" s="261">
        <f>N(AA106)</f>
        <v/>
      </c>
      <c r="AB166" s="261">
        <f>N(AB106)</f>
        <v/>
      </c>
      <c r="AC166" s="261">
        <f>N(AC106)</f>
        <v/>
      </c>
      <c r="AD166" s="261">
        <f>N(AD106)</f>
        <v/>
      </c>
      <c r="AE166" s="261">
        <f>N(AE106)</f>
        <v/>
      </c>
      <c r="AF166" s="254">
        <f>N(AF106)</f>
        <v/>
      </c>
      <c r="AG166" s="254">
        <f>N(AG106)</f>
        <v/>
      </c>
      <c r="AH166" s="254">
        <f>N(AH106)</f>
        <v/>
      </c>
      <c r="AI166" s="254">
        <f>N(AI106)</f>
        <v/>
      </c>
      <c r="AJ166" s="254">
        <f>N(AJ106)</f>
        <v/>
      </c>
      <c r="AK166" s="254">
        <f>N(AK106)</f>
        <v/>
      </c>
      <c r="AL166" s="254">
        <f>N(AL106)</f>
        <v/>
      </c>
      <c r="AM166" s="19" t="n"/>
    </row>
    <row r="167" ht="15" customHeight="1" s="251">
      <c r="B167" s="55" t="inlineStr">
        <is>
          <t xml:space="preserve">  = Adjusted operating result (model)</t>
        </is>
      </c>
      <c r="C167" s="263">
        <f>IF(ISNUMBER(C164),C164+C165+C166,"")</f>
        <v/>
      </c>
      <c r="D167" s="263">
        <f>IF(ISNUMBER(D164),D164+D165+D166,"")</f>
        <v/>
      </c>
      <c r="E167" s="263">
        <f>IF(ISNUMBER(E164),E164+E165+E166,"")</f>
        <v/>
      </c>
      <c r="F167" s="263">
        <f>IF(ISNUMBER(F164),F164+F165+F166,"")</f>
        <v/>
      </c>
      <c r="G167" s="263">
        <f>IF(ISNUMBER(G164),G164+G165+G166,"")</f>
        <v/>
      </c>
      <c r="H167" s="263">
        <f>IF(ISNUMBER(H164),H164+H165+H166,"")</f>
        <v/>
      </c>
      <c r="I167" s="263">
        <f>IF(ISNUMBER(I164),I164+I165+I166,"")</f>
        <v/>
      </c>
      <c r="J167" s="263">
        <f>IF(ISNUMBER(J164),J164+J165+J166,"")</f>
        <v/>
      </c>
      <c r="K167" s="263">
        <f>IF(ISNUMBER(K164),K164+K165+K166,"")</f>
        <v/>
      </c>
      <c r="L167" s="263">
        <f>IF(ISNUMBER(L164),L164+L165+L166,"")</f>
        <v/>
      </c>
      <c r="M167" s="263">
        <f>IF(ISNUMBER(M164),M164+M165+M166,"")</f>
        <v/>
      </c>
      <c r="N167" s="263">
        <f>IF(ISNUMBER(N164),N164+N165+N166,"")</f>
        <v/>
      </c>
      <c r="O167" s="263">
        <f>IF(ISNUMBER(O164),O164+O165+O166,"")</f>
        <v/>
      </c>
      <c r="P167" s="263">
        <f>IF(ISNUMBER(P164),P164+P165+P166,"")</f>
        <v/>
      </c>
      <c r="Q167" s="263">
        <f>IF(ISNUMBER(Q164),Q164+Q165+Q166,"")</f>
        <v/>
      </c>
      <c r="R167" s="263">
        <f>IF(ISNUMBER(R164),R164+R165+R166,"")</f>
        <v/>
      </c>
      <c r="S167" s="263">
        <f>IF(ISNUMBER(S164),S164+S165+S166,"")</f>
        <v/>
      </c>
      <c r="T167" s="263">
        <f>IF(ISNUMBER(T164),T164+T165+T166,"")</f>
        <v/>
      </c>
      <c r="U167" s="263">
        <f>IF(ISNUMBER(U164),U164+U165+U166,"")</f>
        <v/>
      </c>
      <c r="V167" s="263">
        <f>IF(ISNUMBER(V164),V164+V165+V166,"")</f>
        <v/>
      </c>
      <c r="W167" s="263">
        <f>IF(ISNUMBER(W164),W164+W165+W166,"")</f>
        <v/>
      </c>
      <c r="X167" s="263">
        <f>IF(ISNUMBER(X164),X164+X165+X166,"")</f>
        <v/>
      </c>
      <c r="Y167" s="263">
        <f>IF(ISNUMBER(Y164),Y164+Y165+Y166,"")</f>
        <v/>
      </c>
      <c r="Z167" s="263">
        <f>IF(ISNUMBER(Z164),Z164+Z165+Z166,"")</f>
        <v/>
      </c>
      <c r="AA167" s="263">
        <f>IF(ISNUMBER(AA164),AA164+AA165+AA166,"")</f>
        <v/>
      </c>
      <c r="AB167" s="263">
        <f>IF(ISNUMBER(AB164),AB164+AB165+AB166,"")</f>
        <v/>
      </c>
      <c r="AC167" s="263">
        <f>IF(ISNUMBER(AC164),AC164+AC165+AC166,"")</f>
        <v/>
      </c>
      <c r="AD167" s="263">
        <f>IF(ISNUMBER(AD164),AD164+AD165+AD166,"")</f>
        <v/>
      </c>
      <c r="AE167" s="263">
        <f>IF(ISNUMBER(AE164),AE164+AE165+AE166,"")</f>
        <v/>
      </c>
      <c r="AF167" s="263">
        <f>IF(ISNUMBER(AF164),AF164+AF165+AF166,"")</f>
        <v/>
      </c>
      <c r="AG167" s="263">
        <f>IF(ISNUMBER(AG164),AG164+AG165+AG166,"")</f>
        <v/>
      </c>
      <c r="AH167" s="263">
        <f>IF(ISNUMBER(AH164),AH164+AH165+AH166,"")</f>
        <v/>
      </c>
      <c r="AI167" s="263">
        <f>IF(ISNUMBER(AI164),AI164+AI165+AI166,"")</f>
        <v/>
      </c>
      <c r="AJ167" s="263">
        <f>IF(ISNUMBER(AJ164),AJ164+AJ165+AJ166,"")</f>
        <v/>
      </c>
      <c r="AK167" s="263">
        <f>IF(ISNUMBER(AK164),AK164+AK165+AK166,"")</f>
        <v/>
      </c>
      <c r="AL167" s="263">
        <f>IF(ISNUMBER(AL164),AL164+AL165+AL166,"")</f>
        <v/>
      </c>
      <c r="AM167" s="153" t="n"/>
      <c r="AO167" s="20">
        <f>IFERROR((AL167/AC167)^(1/5)-1,"n/m")</f>
        <v/>
      </c>
      <c r="AP167" s="20">
        <f>IFERROR((AC167/D167)^(1/5)-1,"n/m")</f>
        <v/>
      </c>
      <c r="AQ167" s="20">
        <f>IFERROR((AC167/N167)^(1/3)-1,"n/m")</f>
        <v/>
      </c>
      <c r="AR167" s="20">
        <f>IFERROR((AC167/C167)^(1/6)-1,"n/m")</f>
        <v/>
      </c>
    </row>
    <row r="168" ht="15" customHeight="1" s="251">
      <c r="B168" s="25" t="inlineStr">
        <is>
          <t xml:space="preserve">  Adjusted operating margin %</t>
        </is>
      </c>
      <c r="C168" s="215">
        <f>IF(AND(ISNUMBER(C167),ISNUMBER(C109)),IFERROR(C167/C109,""),"")</f>
        <v/>
      </c>
      <c r="D168" s="215">
        <f>IF(AND(ISNUMBER(D167),ISNUMBER(D109)),IFERROR(D167/D109,""),"")</f>
        <v/>
      </c>
      <c r="E168" s="215">
        <f>IF(AND(ISNUMBER(E167),ISNUMBER(E109)),IFERROR(E167/E109,""),"")</f>
        <v/>
      </c>
      <c r="F168" s="215">
        <f>IF(AND(ISNUMBER(F167),ISNUMBER(F109)),IFERROR(F167/F109,""),"")</f>
        <v/>
      </c>
      <c r="G168" s="215">
        <f>IF(AND(ISNUMBER(G167),ISNUMBER(G109)),IFERROR(G167/G109,""),"")</f>
        <v/>
      </c>
      <c r="H168" s="215">
        <f>IF(AND(ISNUMBER(H167),ISNUMBER(H109)),IFERROR(H167/H109,""),"")</f>
        <v/>
      </c>
      <c r="I168" s="215">
        <f>IF(AND(ISNUMBER(I167),ISNUMBER(I109)),IFERROR(I167/I109,""),"")</f>
        <v/>
      </c>
      <c r="J168" s="215">
        <f>IF(AND(ISNUMBER(J167),ISNUMBER(J109)),IFERROR(J167/J109,""),"")</f>
        <v/>
      </c>
      <c r="K168" s="215">
        <f>IF(AND(ISNUMBER(K167),ISNUMBER(K109)),IFERROR(K167/K109,""),"")</f>
        <v/>
      </c>
      <c r="L168" s="215">
        <f>IF(AND(ISNUMBER(L167),ISNUMBER(L109)),IFERROR(L167/L109,""),"")</f>
        <v/>
      </c>
      <c r="M168" s="215">
        <f>IF(AND(ISNUMBER(M167),ISNUMBER(M109)),IFERROR(M167/M109,""),"")</f>
        <v/>
      </c>
      <c r="N168" s="215">
        <f>IF(AND(ISNUMBER(N167),ISNUMBER(N109)),IFERROR(N167/N109,""),"")</f>
        <v/>
      </c>
      <c r="O168" s="215">
        <f>IF(AND(ISNUMBER(O167),ISNUMBER(O109)),IFERROR(O167/O109,""),"")</f>
        <v/>
      </c>
      <c r="P168" s="215">
        <f>IF(AND(ISNUMBER(P167),ISNUMBER(P109)),IFERROR(P167/P109,""),"")</f>
        <v/>
      </c>
      <c r="Q168" s="215">
        <f>IF(AND(ISNUMBER(Q167),ISNUMBER(Q109)),IFERROR(Q167/Q109,""),"")</f>
        <v/>
      </c>
      <c r="R168" s="215">
        <f>IF(AND(ISNUMBER(R167),ISNUMBER(R109)),IFERROR(R167/R109,""),"")</f>
        <v/>
      </c>
      <c r="S168" s="215">
        <f>IF(AND(ISNUMBER(S167),ISNUMBER(S109)),IFERROR(S167/S109,""),"")</f>
        <v/>
      </c>
      <c r="T168" s="215">
        <f>IF(AND(ISNUMBER(T167),ISNUMBER(T109)),IFERROR(T167/T109,""),"")</f>
        <v/>
      </c>
      <c r="U168" s="215">
        <f>IF(AND(ISNUMBER(U167),ISNUMBER(U109)),IFERROR(U167/U109,""),"")</f>
        <v/>
      </c>
      <c r="V168" s="215">
        <f>IF(AND(ISNUMBER(V167),ISNUMBER(V109)),IFERROR(V167/V109,""),"")</f>
        <v/>
      </c>
      <c r="W168" s="215">
        <f>IF(AND(ISNUMBER(W167),ISNUMBER(W109)),IFERROR(W167/W109,""),"")</f>
        <v/>
      </c>
      <c r="X168" s="215">
        <f>IF(AND(ISNUMBER(X167),ISNUMBER(X109)),IFERROR(X167/X109,""),"")</f>
        <v/>
      </c>
      <c r="Y168" s="215">
        <f>IF(AND(ISNUMBER(Y167),ISNUMBER(Y109)),IFERROR(Y167/Y109,""),"")</f>
        <v/>
      </c>
      <c r="Z168" s="215">
        <f>IF(AND(ISNUMBER(Z167),ISNUMBER(Z109)),IFERROR(Z167/Z109,""),"")</f>
        <v/>
      </c>
      <c r="AA168" s="215">
        <f>IF(AND(ISNUMBER(AA167),ISNUMBER(AA109)),IFERROR(AA167/AA109,""),"")</f>
        <v/>
      </c>
      <c r="AB168" s="215">
        <f>IF(AND(ISNUMBER(AB167),ISNUMBER(AB109)),IFERROR(AB167/AB109,""),"")</f>
        <v/>
      </c>
      <c r="AC168" s="215">
        <f>IF(AND(ISNUMBER(AC167),ISNUMBER(AC109)),IFERROR(AC167/AC109,""),"")</f>
        <v/>
      </c>
      <c r="AD168" s="215">
        <f>IF(AND(ISNUMBER(AD167),ISNUMBER(AD109)),IFERROR(AD167/AD109,""),"")</f>
        <v/>
      </c>
      <c r="AE168" s="215">
        <f>IF(AND(ISNUMBER(AE167),ISNUMBER(AE109)),IFERROR(AE167/AE109,""),"")</f>
        <v/>
      </c>
      <c r="AF168" s="256">
        <f>IF(AND(ISNUMBER(AF167),ISNUMBER(AF109)),IFERROR(AF167/AF109,""),"")</f>
        <v/>
      </c>
      <c r="AG168" s="256">
        <f>IF(AND(ISNUMBER(AG167),ISNUMBER(AG109)),IFERROR(AG167/AG109,""),"")</f>
        <v/>
      </c>
      <c r="AH168" s="256">
        <f>IF(AND(ISNUMBER(AH167),ISNUMBER(AH109)),IFERROR(AH167/AH109,""),"")</f>
        <v/>
      </c>
      <c r="AI168" s="256">
        <f>IF(AND(ISNUMBER(AI167),ISNUMBER(AI109)),IFERROR(AI167/AI109,""),"")</f>
        <v/>
      </c>
      <c r="AJ168" s="256">
        <f>IF(AND(ISNUMBER(AJ167),ISNUMBER(AJ109)),IFERROR(AJ167/AJ109,""),"")</f>
        <v/>
      </c>
      <c r="AK168" s="256">
        <f>IF(AND(ISNUMBER(AK167),ISNUMBER(AK109)),IFERROR(AK167/AK109,""),"")</f>
        <v/>
      </c>
      <c r="AL168" s="256">
        <f>IF(AND(ISNUMBER(AL167),ISNUMBER(AL109)),IFERROR(AL167/AL109,""),"")</f>
        <v/>
      </c>
      <c r="AM168" s="153" t="n"/>
      <c r="AO168" s="37">
        <f>IFERROR(AVERAGE(AH168,AI168,AJ168,AK168,AL168),"n/m")</f>
        <v/>
      </c>
      <c r="AP168" s="37">
        <f>IFERROR(AVERAGE(I168,N168,S168,X168,AC168),"n/m")</f>
        <v/>
      </c>
      <c r="AQ168" s="37">
        <f>IFERROR(AVERAGE(S168,X168,AC168),"n/m")</f>
        <v/>
      </c>
      <c r="AR168" s="37">
        <f>IFERROR(AVERAGE(C168,D168,I168,N168,S168,X168,AC168),"n/m")</f>
        <v/>
      </c>
    </row>
    <row r="169" ht="15" customHeight="1" s="251">
      <c r="B169" s="57" t="inlineStr">
        <is>
          <t xml:space="preserve">  Check: adjusted operating result + D&amp;A vs company-published Adjusted EBITDA (should be 0)</t>
        </is>
      </c>
      <c r="C169" s="261">
        <f>IF(AND(ISNUMBER(C152),ISNUMBER(C167)),IF(ABS(C167+C102-C152)&lt;=0.15,0,ROUND(C167+C102-C152,2)),"n/p")</f>
        <v/>
      </c>
      <c r="D169" s="261">
        <f>IF(AND(ISNUMBER(D152),ISNUMBER(D167)),IF(ABS(D167+D102-D152)&lt;=0.15,0,ROUND(D167+D102-D152,2)),"n/p")</f>
        <v/>
      </c>
      <c r="E169" s="261">
        <f>IF(AND(ISNUMBER(E152),ISNUMBER(E167)),IF(ABS(E167+E102-E152)&lt;=0.15,0,ROUND(E167+E102-E152,2)),"n/p")</f>
        <v/>
      </c>
      <c r="F169" s="261">
        <f>IF(AND(ISNUMBER(F152),ISNUMBER(F167)),IF(ABS(F167+F102-F152)&lt;=0.15,0,ROUND(F167+F102-F152,2)),"n/p")</f>
        <v/>
      </c>
      <c r="G169" s="261">
        <f>IF(AND(ISNUMBER(G152),ISNUMBER(G167)),IF(ABS(G167+G102-G152)&lt;=0.15,0,ROUND(G167+G102-G152,2)),"n/p")</f>
        <v/>
      </c>
      <c r="H169" s="261">
        <f>IF(AND(ISNUMBER(H152),ISNUMBER(H167)),IF(ABS(H167+H102-H152)&lt;=0.15,0,ROUND(H167+H102-H152,2)),"n/p")</f>
        <v/>
      </c>
      <c r="I169" s="261">
        <f>IF(AND(ISNUMBER(I152),ISNUMBER(I167)),IF(ABS(I167+I102-I152)&lt;=0.15,0,ROUND(I167+I102-I152,2)),"n/p")</f>
        <v/>
      </c>
      <c r="J169" s="261">
        <f>IF(AND(ISNUMBER(J152),ISNUMBER(J167)),IF(ABS(J167+J102-J152)&lt;=0.15,0,ROUND(J167+J102-J152,2)),"n/p")</f>
        <v/>
      </c>
      <c r="K169" s="261">
        <f>IF(AND(ISNUMBER(K152),ISNUMBER(K167)),IF(ABS(K167+K102-K152)&lt;=0.15,0,ROUND(K167+K102-K152,2)),"n/p")</f>
        <v/>
      </c>
      <c r="L169" s="261">
        <f>IF(AND(ISNUMBER(L152),ISNUMBER(L167)),IF(ABS(L167+L102-L152)&lt;=0.15,0,ROUND(L167+L102-L152,2)),"n/p")</f>
        <v/>
      </c>
      <c r="M169" s="261">
        <f>IF(AND(ISNUMBER(M152),ISNUMBER(M167)),IF(ABS(M167+M102-M152)&lt;=0.15,0,ROUND(M167+M102-M152,2)),"n/p")</f>
        <v/>
      </c>
      <c r="N169" s="261">
        <f>IF(AND(ISNUMBER(N152),ISNUMBER(N167)),IF(ABS(N167+N102-N152)&lt;=0.15,0,ROUND(N167+N102-N152,2)),"n/p")</f>
        <v/>
      </c>
      <c r="O169" s="261">
        <f>IF(AND(ISNUMBER(O152),ISNUMBER(O167)),IF(ABS(O167+O102-O152)&lt;=0.15,0,ROUND(O167+O102-O152,2)),"n/p")</f>
        <v/>
      </c>
      <c r="P169" s="261">
        <f>IF(AND(ISNUMBER(P152),ISNUMBER(P167)),IF(ABS(P167+P102-P152)&lt;=0.15,0,ROUND(P167+P102-P152,2)),"n/p")</f>
        <v/>
      </c>
      <c r="Q169" s="261">
        <f>IF(AND(ISNUMBER(Q152),ISNUMBER(Q167)),IF(ABS(Q167+Q102-Q152)&lt;=0.15,0,ROUND(Q167+Q102-Q152,2)),"n/p")</f>
        <v/>
      </c>
      <c r="R169" s="261">
        <f>IF(AND(ISNUMBER(R152),ISNUMBER(R167)),IF(ABS(R167+R102-R152)&lt;=0.15,0,ROUND(R167+R102-R152,2)),"n/p")</f>
        <v/>
      </c>
      <c r="S169" s="261">
        <f>IF(AND(ISNUMBER(S152),ISNUMBER(S167)),IF(ABS(S167+S102-S152)&lt;=0.15,0,ROUND(S167+S102-S152,2)),"n/p")</f>
        <v/>
      </c>
      <c r="T169" s="261">
        <f>IF(AND(ISNUMBER(T152),ISNUMBER(T167)),IF(ABS(T167+T102-T152)&lt;=0.15,0,ROUND(T167+T102-T152,2)),"n/p")</f>
        <v/>
      </c>
      <c r="U169" s="261">
        <f>IF(AND(ISNUMBER(U152),ISNUMBER(U167)),IF(ABS(U167+U102-U152)&lt;=0.15,0,ROUND(U167+U102-U152,2)),"n/p")</f>
        <v/>
      </c>
      <c r="V169" s="261">
        <f>IF(AND(ISNUMBER(V152),ISNUMBER(V167)),IF(ABS(V167+V102-V152)&lt;=0.15,0,ROUND(V167+V102-V152,2)),"n/p")</f>
        <v/>
      </c>
      <c r="W169" s="261">
        <f>IF(AND(ISNUMBER(W152),ISNUMBER(W167)),IF(ABS(W167+W102-W152)&lt;=0.15,0,ROUND(W167+W102-W152,2)),"n/p")</f>
        <v/>
      </c>
      <c r="X169" s="261">
        <f>IF(AND(ISNUMBER(X152),ISNUMBER(X167)),IF(ABS(X167+X102-X152)&lt;=0.15,0,ROUND(X167+X102-X152,2)),"n/p")</f>
        <v/>
      </c>
      <c r="Y169" s="261">
        <f>IF(AND(ISNUMBER(Y152),ISNUMBER(Y167)),IF(ABS(Y167+Y102-Y152)&lt;=0.15,0,ROUND(Y167+Y102-Y152,2)),"n/p")</f>
        <v/>
      </c>
      <c r="Z169" s="261">
        <f>IF(AND(ISNUMBER(Z152),ISNUMBER(Z167)),IF(ABS(Z167+Z102-Z152)&lt;=0.15,0,ROUND(Z167+Z102-Z152,2)),"n/p")</f>
        <v/>
      </c>
      <c r="AA169" s="261">
        <f>IF(AND(ISNUMBER(AA152),ISNUMBER(AA167)),IF(ABS(AA167+AA102-AA152)&lt;=0.15,0,ROUND(AA167+AA102-AA152,2)),"n/p")</f>
        <v/>
      </c>
      <c r="AB169" s="261">
        <f>IF(AND(ISNUMBER(AB152),ISNUMBER(AB167)),IF(ABS(AB167+AB102-AB152)&lt;=0.15,0,ROUND(AB167+AB102-AB152,2)),"n/p")</f>
        <v/>
      </c>
      <c r="AC169" s="261">
        <f>IF(AND(ISNUMBER(AC152),ISNUMBER(AC167)),IF(ABS(AC167+AC102-AC152)&lt;=0.15,0,ROUND(AC167+AC102-AC152,2)),"n/p")</f>
        <v/>
      </c>
      <c r="AD169" s="261">
        <f>IF(AND(ISNUMBER(AD152),ISNUMBER(AD167)),IF(ABS(AD167+AD102-AD152)&lt;=0.15,0,ROUND(AD167+AD102-AD152,2)),"n/p")</f>
        <v/>
      </c>
      <c r="AE169" s="261">
        <f>IF(AND(ISNUMBER(AE152),ISNUMBER(AE167)),IF(ABS(AE167+AE102-AE152)&lt;=0.15,0,ROUND(AE167+AE102-AE152,2)),"n/p")</f>
        <v/>
      </c>
      <c r="AF169" s="153" t="n"/>
      <c r="AG169" s="153" t="n"/>
      <c r="AH169" s="153" t="n"/>
      <c r="AI169" s="153" t="n"/>
      <c r="AJ169" s="153" t="n"/>
      <c r="AK169" s="153" t="n"/>
      <c r="AL169" s="153" t="n"/>
      <c r="AM169" s="153" t="n"/>
    </row>
    <row r="170" ht="15" customHeight="1" s="251">
      <c r="B170" s="22" t="inlineStr">
        <is>
          <t xml:space="preserve">  Adjusted operating result y/y %</t>
        </is>
      </c>
      <c r="C170" s="23" t="n"/>
      <c r="D170" s="255">
        <f>IF(AND(ISNUMBER(D167),ISNUMBER(C167)),IFERROR(D167/C167-1,""),"")</f>
        <v/>
      </c>
      <c r="E170" s="23" t="n"/>
      <c r="F170" s="23" t="n"/>
      <c r="G170" s="23" t="n"/>
      <c r="H170" s="23" t="n"/>
      <c r="I170" s="255">
        <f>IF(AND(ISNUMBER(I167),ISNUMBER(D167)),IFERROR(I167/D167-1,""),"")</f>
        <v/>
      </c>
      <c r="J170" s="255">
        <f>IF(AND(ISNUMBER(J167),ISNUMBER(E167)),IFERROR(J167/E167-1,""),"")</f>
        <v/>
      </c>
      <c r="K170" s="255">
        <f>IF(AND(ISNUMBER(K167),ISNUMBER(F167)),IFERROR(K167/F167-1,""),"")</f>
        <v/>
      </c>
      <c r="L170" s="255">
        <f>IF(AND(ISNUMBER(L167),ISNUMBER(G167)),IFERROR(L167/G167-1,""),"")</f>
        <v/>
      </c>
      <c r="M170" s="255">
        <f>IF(AND(ISNUMBER(M167),ISNUMBER(H167)),IFERROR(M167/H167-1,""),"")</f>
        <v/>
      </c>
      <c r="N170" s="255">
        <f>IF(AND(ISNUMBER(N167),ISNUMBER(I167)),IFERROR(N167/I167-1,""),"")</f>
        <v/>
      </c>
      <c r="O170" s="255">
        <f>IF(AND(ISNUMBER(O167),ISNUMBER(J167)),IFERROR(O167/J167-1,""),"")</f>
        <v/>
      </c>
      <c r="P170" s="255">
        <f>IF(AND(ISNUMBER(P167),ISNUMBER(K167)),IFERROR(P167/K167-1,""),"")</f>
        <v/>
      </c>
      <c r="Q170" s="255">
        <f>IF(AND(ISNUMBER(Q167),ISNUMBER(L167)),IFERROR(Q167/L167-1,""),"")</f>
        <v/>
      </c>
      <c r="R170" s="255">
        <f>IF(AND(ISNUMBER(R167),ISNUMBER(M167)),IFERROR(R167/M167-1,""),"")</f>
        <v/>
      </c>
      <c r="S170" s="255">
        <f>IF(AND(ISNUMBER(S167),ISNUMBER(N167)),IFERROR(S167/N167-1,""),"")</f>
        <v/>
      </c>
      <c r="T170" s="255">
        <f>IF(AND(ISNUMBER(T167),ISNUMBER(O167)),IFERROR(T167/O167-1,""),"")</f>
        <v/>
      </c>
      <c r="U170" s="255">
        <f>IF(AND(ISNUMBER(U167),ISNUMBER(P167)),IFERROR(U167/P167-1,""),"")</f>
        <v/>
      </c>
      <c r="V170" s="255">
        <f>IF(AND(ISNUMBER(V167),ISNUMBER(Q167)),IFERROR(V167/Q167-1,""),"")</f>
        <v/>
      </c>
      <c r="W170" s="255">
        <f>IF(AND(ISNUMBER(W167),ISNUMBER(R167)),IFERROR(W167/R167-1,""),"")</f>
        <v/>
      </c>
      <c r="X170" s="255">
        <f>IF(AND(ISNUMBER(X167),ISNUMBER(S167)),IFERROR(X167/S167-1,""),"")</f>
        <v/>
      </c>
      <c r="Y170" s="255">
        <f>IF(AND(ISNUMBER(Y167),ISNUMBER(T167)),IFERROR(Y167/T167-1,""),"")</f>
        <v/>
      </c>
      <c r="Z170" s="255">
        <f>IF(AND(ISNUMBER(Z167),ISNUMBER(U167)),IFERROR(Z167/U167-1,""),"")</f>
        <v/>
      </c>
      <c r="AA170" s="255">
        <f>IF(AND(ISNUMBER(AA167),ISNUMBER(V167)),IFERROR(AA167/V167-1,""),"")</f>
        <v/>
      </c>
      <c r="AB170" s="255">
        <f>IF(AND(ISNUMBER(AB167),ISNUMBER(W167)),IFERROR(AB167/W167-1,""),"")</f>
        <v/>
      </c>
      <c r="AC170" s="255">
        <f>IF(AND(ISNUMBER(AC167),ISNUMBER(X167)),IFERROR(AC167/X167-1,""),"")</f>
        <v/>
      </c>
      <c r="AD170" s="255">
        <f>IF(AND(ISNUMBER(AD167),ISNUMBER(Y167)),IFERROR(AD167/Y167-1,""),"")</f>
        <v/>
      </c>
      <c r="AE170" s="255">
        <f>IF(AND(ISNUMBER(AE167),ISNUMBER(Z167)),IFERROR(AE167/Z167-1,""),"")</f>
        <v/>
      </c>
      <c r="AF170" s="256">
        <f>IF(AND(ISNUMBER(AF167),ISNUMBER(AA167)),IFERROR(AF167/AA167-1,""),"")</f>
        <v/>
      </c>
      <c r="AG170" s="256">
        <f>IF(AND(ISNUMBER(AG167),ISNUMBER(AB167)),IFERROR(AG167/AB167-1,""),"")</f>
        <v/>
      </c>
      <c r="AH170" s="256">
        <f>IF(AND(ISNUMBER(AH167),ISNUMBER(AC167)),IFERROR(AH167/AC167-1,""),"")</f>
        <v/>
      </c>
      <c r="AI170" s="256">
        <f>IF(AND(ISNUMBER(AI167),ISNUMBER(AH167)),IFERROR(AI167/AH167-1,""),"")</f>
        <v/>
      </c>
      <c r="AJ170" s="256">
        <f>IF(AND(ISNUMBER(AJ167),ISNUMBER(AI167)),IFERROR(AJ167/AI167-1,""),"")</f>
        <v/>
      </c>
      <c r="AK170" s="256">
        <f>IF(AND(ISNUMBER(AK167),ISNUMBER(AJ167)),IFERROR(AK167/AJ167-1,""),"")</f>
        <v/>
      </c>
      <c r="AL170" s="256">
        <f>IF(AND(ISNUMBER(AL167),ISNUMBER(AK167)),IFERROR(AL167/AK167-1,""),"")</f>
        <v/>
      </c>
      <c r="AM170" s="153" t="n"/>
    </row>
    <row r="171" ht="15" customHeight="1" s="251">
      <c r="B171" s="25" t="inlineStr">
        <is>
          <t xml:space="preserve">  Incremental adjusted operating margin (Δ adjusted operating result / Δ net sales)</t>
        </is>
      </c>
      <c r="C171" s="36" t="n"/>
      <c r="D171" s="215">
        <f>IFERROR((D167-C167)/(D109-C109),"")</f>
        <v/>
      </c>
      <c r="E171" s="36" t="n"/>
      <c r="F171" s="36" t="n"/>
      <c r="G171" s="36" t="n"/>
      <c r="H171" s="36" t="n"/>
      <c r="I171" s="215">
        <f>IFERROR((I167-D167)/(I109-D109),"")</f>
        <v/>
      </c>
      <c r="J171" s="215">
        <f>IFERROR((J167-E167)/(J109-E109),"")</f>
        <v/>
      </c>
      <c r="K171" s="215">
        <f>IFERROR((K167-F167)/(K109-F109),"")</f>
        <v/>
      </c>
      <c r="L171" s="215">
        <f>IFERROR((L167-G167)/(L109-G109),"")</f>
        <v/>
      </c>
      <c r="M171" s="215">
        <f>IFERROR((M167-H167)/(M109-H109),"")</f>
        <v/>
      </c>
      <c r="N171" s="215">
        <f>IFERROR((N167-I167)/(N109-I109),"")</f>
        <v/>
      </c>
      <c r="O171" s="215">
        <f>IFERROR((O167-J167)/(O109-J109),"")</f>
        <v/>
      </c>
      <c r="P171" s="215">
        <f>IFERROR((P167-K167)/(P109-K109),"")</f>
        <v/>
      </c>
      <c r="Q171" s="215">
        <f>IFERROR((Q167-L167)/(Q109-L109),"")</f>
        <v/>
      </c>
      <c r="R171" s="215">
        <f>IFERROR((R167-M167)/(R109-M109),"")</f>
        <v/>
      </c>
      <c r="S171" s="215">
        <f>IFERROR((S167-N167)/(S109-N109),"")</f>
        <v/>
      </c>
      <c r="T171" s="215">
        <f>IFERROR((T167-O167)/(T109-O109),"")</f>
        <v/>
      </c>
      <c r="U171" s="215">
        <f>IFERROR((U167-P167)/(U109-P109),"")</f>
        <v/>
      </c>
      <c r="V171" s="215">
        <f>IFERROR((V167-Q167)/(V109-Q109),"")</f>
        <v/>
      </c>
      <c r="W171" s="215">
        <f>IFERROR((W167-R167)/(W109-R109),"")</f>
        <v/>
      </c>
      <c r="X171" s="215">
        <f>IFERROR((X167-S167)/(X109-S109),"")</f>
        <v/>
      </c>
      <c r="Y171" s="215">
        <f>IFERROR((Y167-T167)/(Y109-T109),"")</f>
        <v/>
      </c>
      <c r="Z171" s="215">
        <f>IFERROR((Z167-U167)/(Z109-U109),"")</f>
        <v/>
      </c>
      <c r="AA171" s="215">
        <f>IFERROR((AA167-V167)/(AA109-V109),"")</f>
        <v/>
      </c>
      <c r="AB171" s="215">
        <f>IFERROR((AB167-W167)/(AB109-W109),"")</f>
        <v/>
      </c>
      <c r="AC171" s="215">
        <f>IFERROR((AC167-X167)/(AC109-X109),"")</f>
        <v/>
      </c>
      <c r="AD171" s="215">
        <f>IFERROR((AD167-Y167)/(AD109-Y109),"")</f>
        <v/>
      </c>
      <c r="AE171" s="215">
        <f>IFERROR((AE167-Z167)/(AE109-Z109),"")</f>
        <v/>
      </c>
      <c r="AF171" s="256">
        <f>IFERROR((AF167-AA167)/(AF109-AA109),"")</f>
        <v/>
      </c>
      <c r="AG171" s="256">
        <f>IFERROR((AG167-AB167)/(AG109-AB109),"")</f>
        <v/>
      </c>
      <c r="AH171" s="256">
        <f>IFERROR((AH167-AC167)/(AH109-AC109),"")</f>
        <v/>
      </c>
      <c r="AI171" s="256">
        <f>IFERROR((AI167-AH167)/(AI109-AH109),"")</f>
        <v/>
      </c>
      <c r="AJ171" s="256">
        <f>IFERROR((AJ167-AI167)/(AJ109-AI109),"")</f>
        <v/>
      </c>
      <c r="AK171" s="256">
        <f>IFERROR((AK167-AJ167)/(AK109-AJ109),"")</f>
        <v/>
      </c>
      <c r="AL171" s="256">
        <f>IFERROR((AL167-AK167)/(AL109-AK109),"")</f>
        <v/>
      </c>
      <c r="AM171" s="153" t="n"/>
    </row>
    <row r="172" ht="15" customHeight="1" s="251">
      <c r="AU172" s="11" t="n"/>
      <c r="AV172" s="12" t="n"/>
      <c r="AW172" s="12" t="n"/>
      <c r="AX172" s="12" t="n"/>
      <c r="AY172" s="13" t="n"/>
    </row>
    <row r="173" ht="15" customHeight="1" s="251">
      <c r="B173" s="10" t="inlineStr">
        <is>
          <t>RECONCILIATION: IFRS NET INCOME → ADJUSTED NET INCOME → ADJUSTED EPS (company definition, Class A)</t>
        </is>
      </c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inlineStr">
        <is>
          <t>ADJUSTED EPS — company: net income + SBC (+ equity transaction costs) + tax effect on the tax-deductible portion; Class A + Class B combined, ÷ Class A-equivalent shares</t>
        </is>
      </c>
    </row>
    <row r="174" ht="15" customHeight="1" s="251">
      <c r="B174" s="16" t="inlineStr">
        <is>
          <t>Net income (IFRS)</t>
        </is>
      </c>
      <c r="C174" s="268">
        <f>IF(ISNUMBER(C181),C122,"")</f>
        <v/>
      </c>
      <c r="D174" s="268">
        <f>IF(ISNUMBER(D181),D122,"")</f>
        <v/>
      </c>
      <c r="E174" s="268">
        <f>IF(ISNUMBER(E181),E122,"")</f>
        <v/>
      </c>
      <c r="F174" s="268">
        <f>IF(ISNUMBER(F181),F122,"")</f>
        <v/>
      </c>
      <c r="G174" s="268">
        <f>IF(ISNUMBER(G181),G122,"")</f>
        <v/>
      </c>
      <c r="H174" s="268">
        <f>IF(ISNUMBER(H181),H122,"")</f>
        <v/>
      </c>
      <c r="I174" s="268">
        <f>IF(ISNUMBER(I181),I122,"")</f>
        <v/>
      </c>
      <c r="J174" s="268">
        <f>IF(ISNUMBER(J181),J122,"")</f>
        <v/>
      </c>
      <c r="K174" s="268">
        <f>IF(ISNUMBER(K181),K122,"")</f>
        <v/>
      </c>
      <c r="L174" s="268">
        <f>IF(ISNUMBER(L181),L122,"")</f>
        <v/>
      </c>
      <c r="M174" s="268">
        <f>IF(ISNUMBER(M181),M122,"")</f>
        <v/>
      </c>
      <c r="N174" s="268">
        <f>IF(ISNUMBER(N181),N122,"")</f>
        <v/>
      </c>
      <c r="O174" s="268">
        <f>IF(ISNUMBER(O181),O122,"")</f>
        <v/>
      </c>
      <c r="P174" s="268">
        <f>IF(ISNUMBER(P181),P122,"")</f>
        <v/>
      </c>
      <c r="Q174" s="268">
        <f>IF(ISNUMBER(Q181),Q122,"")</f>
        <v/>
      </c>
      <c r="R174" s="268">
        <f>IF(ISNUMBER(R181),R122,"")</f>
        <v/>
      </c>
      <c r="S174" s="268">
        <f>IF(ISNUMBER(S181),S122,"")</f>
        <v/>
      </c>
      <c r="T174" s="268">
        <f>IF(ISNUMBER(T181),T122,"")</f>
        <v/>
      </c>
      <c r="U174" s="268">
        <f>IF(ISNUMBER(U181),U122,"")</f>
        <v/>
      </c>
      <c r="V174" s="268">
        <f>IF(ISNUMBER(V181),V122,"")</f>
        <v/>
      </c>
      <c r="W174" s="268">
        <f>IF(ISNUMBER(W181),W122,"")</f>
        <v/>
      </c>
      <c r="X174" s="268">
        <f>IF(ISNUMBER(X181),X122,"")</f>
        <v/>
      </c>
      <c r="Y174" s="268">
        <f>IF(ISNUMBER(Y181),Y122,"")</f>
        <v/>
      </c>
      <c r="Z174" s="268">
        <f>IF(ISNUMBER(Z181),Z122,"")</f>
        <v/>
      </c>
      <c r="AA174" s="268">
        <f>IF(ISNUMBER(AA181),AA122,"")</f>
        <v/>
      </c>
      <c r="AB174" s="268">
        <f>IF(ISNUMBER(AB181),AB122,"")</f>
        <v/>
      </c>
      <c r="AC174" s="268">
        <f>IF(ISNUMBER(AC181),AC122,"")</f>
        <v/>
      </c>
      <c r="AD174" s="268">
        <f>IF(ISNUMBER(AD181),AD122,"")</f>
        <v/>
      </c>
      <c r="AE174" s="268">
        <f>IF(ISNUMBER(AE181),AE122,"")</f>
        <v/>
      </c>
      <c r="AF174" s="269">
        <f>IF(ISNUMBER(AF181),AF122,"")</f>
        <v/>
      </c>
      <c r="AG174" s="269">
        <f>IF(ISNUMBER(AG181),AG122,"")</f>
        <v/>
      </c>
      <c r="AH174" s="269">
        <f>IF(ISNUMBER(AH181),AH122,"")</f>
        <v/>
      </c>
      <c r="AI174" s="269">
        <f>IF(ISNUMBER(AI181),AI122,"")</f>
        <v/>
      </c>
      <c r="AJ174" s="269">
        <f>IF(ISNUMBER(AJ181),AJ122,"")</f>
        <v/>
      </c>
      <c r="AK174" s="269">
        <f>IF(ISNUMBER(AK181),AK122,"")</f>
        <v/>
      </c>
      <c r="AL174" s="269">
        <f>IF(ISNUMBER(AL181),AL122,"")</f>
        <v/>
      </c>
      <c r="AM174" s="153" t="n"/>
    </row>
    <row r="175" ht="15" customHeight="1" s="251">
      <c r="B175" s="25" t="inlineStr">
        <is>
          <t xml:space="preserve">  (+) Share-based compensation (adjusted net income table)</t>
        </is>
      </c>
      <c r="C175" s="253" t="n">
        <v>18.838</v>
      </c>
      <c r="D175" s="253" t="n">
        <v>54.765</v>
      </c>
      <c r="E175" s="253" t="n">
        <v>25.482</v>
      </c>
      <c r="F175" s="253" t="n">
        <v>-5.591</v>
      </c>
      <c r="G175" s="253" t="n">
        <v>2.36</v>
      </c>
      <c r="H175" s="253" t="n">
        <v>176.2</v>
      </c>
      <c r="I175" s="253" t="n">
        <v>198.4</v>
      </c>
      <c r="J175" s="253" t="n">
        <v>3.031</v>
      </c>
      <c r="K175" s="253" t="n">
        <v>-5.566</v>
      </c>
      <c r="L175" s="253" t="n">
        <v>1.93</v>
      </c>
      <c r="M175" s="253" t="n">
        <v>34.3</v>
      </c>
      <c r="N175" s="253" t="n">
        <v>33.8</v>
      </c>
      <c r="O175" s="253" t="n">
        <v>4.9</v>
      </c>
      <c r="P175" s="253" t="n">
        <v>9.1</v>
      </c>
      <c r="Q175" s="253" t="n">
        <v>7</v>
      </c>
      <c r="R175" s="253" t="n">
        <v>10.8</v>
      </c>
      <c r="S175" s="253" t="n">
        <v>31.8</v>
      </c>
      <c r="T175" s="253" t="n">
        <v>16.8</v>
      </c>
      <c r="U175" s="253" t="n">
        <v>17.1</v>
      </c>
      <c r="V175" s="253" t="n">
        <v>19.9</v>
      </c>
      <c r="W175" s="253" t="n">
        <v>17.6</v>
      </c>
      <c r="X175" s="253" t="n">
        <v>71.5</v>
      </c>
      <c r="Y175" s="253" t="n">
        <v>14.5</v>
      </c>
      <c r="Z175" s="253" t="n">
        <v>10.9</v>
      </c>
      <c r="AA175" s="253" t="n">
        <v>23</v>
      </c>
      <c r="AB175" s="253" t="n">
        <v>14</v>
      </c>
      <c r="AC175" s="253" t="n">
        <v>62.5</v>
      </c>
      <c r="AD175" s="253" t="n">
        <v>21.3</v>
      </c>
      <c r="AE175" s="253" t="n">
        <v>12.1</v>
      </c>
      <c r="AF175" s="254">
        <f>AF104</f>
        <v/>
      </c>
      <c r="AG175" s="254">
        <f>AG104</f>
        <v/>
      </c>
      <c r="AH175" s="254">
        <f>SUM(AD175,AE175,AF175,AG175)</f>
        <v/>
      </c>
      <c r="AI175" s="254">
        <f>AI104</f>
        <v/>
      </c>
      <c r="AJ175" s="254">
        <f>AJ104</f>
        <v/>
      </c>
      <c r="AK175" s="254">
        <f>AK104</f>
        <v/>
      </c>
      <c r="AL175" s="254">
        <f>AL104</f>
        <v/>
      </c>
      <c r="AM175" s="19" t="inlineStr">
        <is>
          <t>As published (Class A + Class B); may differ by ±0.1 from the Adjusted EBITDA table through class rounding.</t>
        </is>
      </c>
    </row>
    <row r="176" ht="15" customHeight="1" s="251">
      <c r="B176" s="25" t="inlineStr">
        <is>
          <t xml:space="preserve">  (+) Equity transaction costs</t>
        </is>
      </c>
      <c r="C176" s="253" t="n">
        <v>0</v>
      </c>
      <c r="D176" s="253" t="n">
        <v>0</v>
      </c>
      <c r="E176" s="253" t="n">
        <v>0</v>
      </c>
      <c r="F176" s="253" t="n">
        <v>3.251</v>
      </c>
      <c r="G176" s="253" t="n">
        <v>3.974</v>
      </c>
      <c r="H176" s="253" t="n">
        <v>0.4</v>
      </c>
      <c r="I176" s="253" t="n">
        <v>7.6</v>
      </c>
      <c r="J176" s="253" t="n">
        <v>0</v>
      </c>
      <c r="K176" s="253" t="n">
        <v>0</v>
      </c>
      <c r="L176" s="253" t="n">
        <v>0</v>
      </c>
      <c r="M176" s="253" t="n">
        <v>0</v>
      </c>
      <c r="N176" s="253" t="n">
        <v>0</v>
      </c>
      <c r="O176" s="253" t="n">
        <v>0</v>
      </c>
      <c r="P176" s="253" t="n">
        <v>0</v>
      </c>
      <c r="Q176" s="253" t="n">
        <v>0</v>
      </c>
      <c r="R176" s="253" t="n">
        <v>0</v>
      </c>
      <c r="S176" s="253" t="n">
        <v>0</v>
      </c>
      <c r="T176" s="253" t="n">
        <v>0</v>
      </c>
      <c r="U176" s="253" t="n">
        <v>0</v>
      </c>
      <c r="V176" s="253" t="n">
        <v>0</v>
      </c>
      <c r="W176" s="253" t="n">
        <v>0</v>
      </c>
      <c r="X176" s="253" t="n">
        <v>0</v>
      </c>
      <c r="Y176" s="253" t="n">
        <v>0</v>
      </c>
      <c r="Z176" s="253" t="n">
        <v>0</v>
      </c>
      <c r="AA176" s="253" t="n">
        <v>0</v>
      </c>
      <c r="AB176" s="253" t="n">
        <v>0</v>
      </c>
      <c r="AC176" s="253" t="n">
        <v>0</v>
      </c>
      <c r="AD176" s="253" t="n">
        <v>0</v>
      </c>
      <c r="AE176" s="253" t="n">
        <v>0</v>
      </c>
      <c r="AF176" s="254">
        <f>0</f>
        <v/>
      </c>
      <c r="AG176" s="254">
        <f>0</f>
        <v/>
      </c>
      <c r="AH176" s="254">
        <f>SUM(AD176,AE176,AF176,AG176)</f>
        <v/>
      </c>
      <c r="AI176" s="254">
        <f>0</f>
        <v/>
      </c>
      <c r="AJ176" s="254">
        <f>0</f>
        <v/>
      </c>
      <c r="AK176" s="254">
        <f>0</f>
        <v/>
      </c>
      <c r="AL176" s="254">
        <f>0</f>
        <v/>
      </c>
      <c r="AM176" s="19" t="n"/>
    </row>
    <row r="177" ht="15" customHeight="1" s="251">
      <c r="B177" s="25" t="inlineStr">
        <is>
          <t xml:space="preserve">  (+/−) Tax effect of adjustments (tax-deductible portion only)</t>
        </is>
      </c>
      <c r="C177" s="253" t="n">
        <v>-0.594</v>
      </c>
      <c r="D177" s="253" t="n">
        <v>-4.413</v>
      </c>
      <c r="E177" s="253" t="n">
        <v>-1.329</v>
      </c>
      <c r="F177" s="253" t="n">
        <v>2.11</v>
      </c>
      <c r="G177" s="253" t="n">
        <v>-0.828</v>
      </c>
      <c r="H177" s="253" t="n">
        <v>-3.5</v>
      </c>
      <c r="I177" s="253" t="n">
        <v>-4.800000000000001</v>
      </c>
      <c r="J177" s="253" t="n">
        <v>-0.388</v>
      </c>
      <c r="K177" s="253" t="n">
        <v>1.215</v>
      </c>
      <c r="L177" s="253" t="n">
        <v>-0.282</v>
      </c>
      <c r="M177" s="253" t="n">
        <v>-0.4</v>
      </c>
      <c r="N177" s="253" t="n">
        <v>-0.9</v>
      </c>
      <c r="O177" s="253" t="n">
        <v>-0.6</v>
      </c>
      <c r="P177" s="253" t="n">
        <v>-0.7</v>
      </c>
      <c r="Q177" s="253" t="n">
        <v>-0.1</v>
      </c>
      <c r="R177" s="253" t="n">
        <v>-0.3</v>
      </c>
      <c r="S177" s="253" t="n">
        <v>1</v>
      </c>
      <c r="T177" s="253" t="n">
        <v>-1.7</v>
      </c>
      <c r="U177" s="253" t="n">
        <v>-1</v>
      </c>
      <c r="V177" s="253" t="n">
        <v>-0.2</v>
      </c>
      <c r="W177" s="253" t="n">
        <v>0.6</v>
      </c>
      <c r="X177" s="253" t="n">
        <v>3.6</v>
      </c>
      <c r="Y177" s="253" t="n">
        <v>-0.7999999999999999</v>
      </c>
      <c r="Z177" s="253" t="n">
        <v>0.3</v>
      </c>
      <c r="AA177" s="253" t="n">
        <v>0.1</v>
      </c>
      <c r="AB177" s="253" t="n">
        <v>0.4</v>
      </c>
      <c r="AC177" s="253" t="n">
        <v>0.1</v>
      </c>
      <c r="AD177" s="253" t="n">
        <v>-1</v>
      </c>
      <c r="AE177" s="253" t="n">
        <v>0.4</v>
      </c>
      <c r="AF177" s="254">
        <f>-AF175*AF188</f>
        <v/>
      </c>
      <c r="AG177" s="254">
        <f>-AG175*AG188</f>
        <v/>
      </c>
      <c r="AH177" s="254">
        <f>SUM(AD177,AE177,AF177,AG177)</f>
        <v/>
      </c>
      <c r="AI177" s="254">
        <f>-AI175*AI188</f>
        <v/>
      </c>
      <c r="AJ177" s="254">
        <f>-AJ175*AJ188</f>
        <v/>
      </c>
      <c r="AK177" s="254">
        <f>-AK175*AK188</f>
        <v/>
      </c>
      <c r="AL177" s="254">
        <f>-AL175*AL188</f>
        <v/>
      </c>
      <c r="AM177" s="19" t="n"/>
    </row>
    <row r="178" ht="15" customHeight="1" s="251">
      <c r="B178" s="55" t="inlineStr">
        <is>
          <t xml:space="preserve">  = Adjusted net income (model bridge)</t>
        </is>
      </c>
      <c r="C178" s="263">
        <f>IF(ISNUMBER(C181),C174+N(C175)+N(C176)+N(C177),"")</f>
        <v/>
      </c>
      <c r="D178" s="263">
        <f>IF(ISNUMBER(D181),D174+N(D175)+N(D176)+N(D177),"")</f>
        <v/>
      </c>
      <c r="E178" s="263">
        <f>IF(ISNUMBER(E181),E174+N(E175)+N(E176)+N(E177),"")</f>
        <v/>
      </c>
      <c r="F178" s="263">
        <f>IF(ISNUMBER(F181),F174+N(F175)+N(F176)+N(F177),"")</f>
        <v/>
      </c>
      <c r="G178" s="263">
        <f>IF(ISNUMBER(G181),G174+N(G175)+N(G176)+N(G177),"")</f>
        <v/>
      </c>
      <c r="H178" s="263">
        <f>IF(ISNUMBER(H181),H174+N(H175)+N(H176)+N(H177),"")</f>
        <v/>
      </c>
      <c r="I178" s="263">
        <f>IF(ISNUMBER(I181),I174+N(I175)+N(I176)+N(I177),"")</f>
        <v/>
      </c>
      <c r="J178" s="263">
        <f>IF(ISNUMBER(J181),J174+N(J175)+N(J176)+N(J177),"")</f>
        <v/>
      </c>
      <c r="K178" s="263">
        <f>IF(ISNUMBER(K181),K174+N(K175)+N(K176)+N(K177),"")</f>
        <v/>
      </c>
      <c r="L178" s="263">
        <f>IF(ISNUMBER(L181),L174+N(L175)+N(L176)+N(L177),"")</f>
        <v/>
      </c>
      <c r="M178" s="263">
        <f>IF(ISNUMBER(M181),M174+N(M175)+N(M176)+N(M177),"")</f>
        <v/>
      </c>
      <c r="N178" s="263">
        <f>IF(ISNUMBER(N181),N174+N(N175)+N(N176)+N(N177),"")</f>
        <v/>
      </c>
      <c r="O178" s="263">
        <f>IF(ISNUMBER(O181),O174+N(O175)+N(O176)+N(O177),"")</f>
        <v/>
      </c>
      <c r="P178" s="263">
        <f>IF(ISNUMBER(P181),P174+N(P175)+N(P176)+N(P177),"")</f>
        <v/>
      </c>
      <c r="Q178" s="263">
        <f>IF(ISNUMBER(Q181),Q174+N(Q175)+N(Q176)+N(Q177),"")</f>
        <v/>
      </c>
      <c r="R178" s="263">
        <f>IF(ISNUMBER(R181),R174+N(R175)+N(R176)+N(R177),"")</f>
        <v/>
      </c>
      <c r="S178" s="263">
        <f>IF(ISNUMBER(S181),S174+N(S175)+N(S176)+N(S177),"")</f>
        <v/>
      </c>
      <c r="T178" s="263">
        <f>IF(ISNUMBER(T181),T174+N(T175)+N(T176)+N(T177),"")</f>
        <v/>
      </c>
      <c r="U178" s="263">
        <f>IF(ISNUMBER(U181),U174+N(U175)+N(U176)+N(U177),"")</f>
        <v/>
      </c>
      <c r="V178" s="263">
        <f>IF(ISNUMBER(V181),V174+N(V175)+N(V176)+N(V177),"")</f>
        <v/>
      </c>
      <c r="W178" s="263">
        <f>IF(ISNUMBER(W181),W174+N(W175)+N(W176)+N(W177),"")</f>
        <v/>
      </c>
      <c r="X178" s="263">
        <f>IF(ISNUMBER(X181),X174+N(X175)+N(X176)+N(X177),"")</f>
        <v/>
      </c>
      <c r="Y178" s="263">
        <f>IF(ISNUMBER(Y181),Y174+N(Y175)+N(Y176)+N(Y177),"")</f>
        <v/>
      </c>
      <c r="Z178" s="263">
        <f>IF(ISNUMBER(Z181),Z174+N(Z175)+N(Z176)+N(Z177),"")</f>
        <v/>
      </c>
      <c r="AA178" s="263">
        <f>IF(ISNUMBER(AA181),AA174+N(AA175)+N(AA176)+N(AA177),"")</f>
        <v/>
      </c>
      <c r="AB178" s="263">
        <f>IF(ISNUMBER(AB181),AB174+N(AB175)+N(AB176)+N(AB177),"")</f>
        <v/>
      </c>
      <c r="AC178" s="263">
        <f>IF(ISNUMBER(AC181),AC174+N(AC175)+N(AC176)+N(AC177),"")</f>
        <v/>
      </c>
      <c r="AD178" s="263">
        <f>IF(ISNUMBER(AD181),AD174+N(AD175)+N(AD176)+N(AD177),"")</f>
        <v/>
      </c>
      <c r="AE178" s="263">
        <f>IF(ISNUMBER(AE181),AE174+N(AE175)+N(AE176)+N(AE177),"")</f>
        <v/>
      </c>
      <c r="AF178" s="263">
        <f>IF(ISNUMBER(AF181),AF174+N(AF175)+N(AF176)+N(AF177),"")</f>
        <v/>
      </c>
      <c r="AG178" s="263">
        <f>IF(ISNUMBER(AG181),AG174+N(AG175)+N(AG176)+N(AG177),"")</f>
        <v/>
      </c>
      <c r="AH178" s="263">
        <f>IF(ISNUMBER(AH181),AH174+N(AH175)+N(AH176)+N(AH177),"")</f>
        <v/>
      </c>
      <c r="AI178" s="263">
        <f>IF(ISNUMBER(AI181),AI174+N(AI175)+N(AI176)+N(AI177),"")</f>
        <v/>
      </c>
      <c r="AJ178" s="263">
        <f>IF(ISNUMBER(AJ181),AJ174+N(AJ175)+N(AJ176)+N(AJ177),"")</f>
        <v/>
      </c>
      <c r="AK178" s="263">
        <f>IF(ISNUMBER(AK181),AK174+N(AK175)+N(AK176)+N(AK177),"")</f>
        <v/>
      </c>
      <c r="AL178" s="263">
        <f>IF(ISNUMBER(AL181),AL174+N(AL175)+N(AL176)+N(AL177),"")</f>
        <v/>
      </c>
      <c r="AM178" s="153" t="inlineStr">
        <is>
          <t>Annual columns use the components of the full-year table (the company computes the tax effect on a full-year basis, so quarters do not sum exactly to the year).</t>
        </is>
      </c>
      <c r="AO178" s="20">
        <f>IFERROR((AL178/AC178)^(1/5)-1,"n/m")</f>
        <v/>
      </c>
      <c r="AP178" s="20">
        <f>IFERROR((AC178/D178)^(1/5)-1,"n/m")</f>
        <v/>
      </c>
      <c r="AQ178" s="20">
        <f>IFERROR((AC178/N178)^(1/3)-1,"n/m")</f>
        <v/>
      </c>
      <c r="AR178" s="20">
        <f>IFERROR((AC178/C178)^(1/6)-1,"n/m")</f>
        <v/>
      </c>
    </row>
    <row r="179" ht="15" customHeight="1" s="251">
      <c r="B179" s="156" t="inlineStr">
        <is>
          <t xml:space="preserve">  Company-published adjusted net income (Class A + Class B)</t>
        </is>
      </c>
      <c r="C179" s="253" t="n">
        <v>16.771</v>
      </c>
      <c r="D179" s="253" t="n">
        <v>22.828</v>
      </c>
      <c r="E179" s="253" t="n">
        <v>13.701</v>
      </c>
      <c r="F179" s="253" t="n">
        <v>13.98</v>
      </c>
      <c r="G179" s="253" t="n">
        <v>18.498</v>
      </c>
      <c r="H179" s="253" t="n">
        <v>-13.8</v>
      </c>
      <c r="I179" s="253" t="n">
        <v>31.1</v>
      </c>
      <c r="J179" s="253" t="n">
        <v>16.987</v>
      </c>
      <c r="K179" s="253" t="n">
        <v>44.797</v>
      </c>
      <c r="L179" s="253" t="n">
        <v>22.279</v>
      </c>
      <c r="M179" s="253" t="n">
        <v>7.5</v>
      </c>
      <c r="N179" s="253" t="n">
        <v>90.60000000000001</v>
      </c>
      <c r="O179" s="253" t="n">
        <v>48.8</v>
      </c>
      <c r="P179" s="253" t="n">
        <v>11.8</v>
      </c>
      <c r="Q179" s="253" t="n">
        <v>65.5</v>
      </c>
      <c r="R179" s="253" t="n">
        <v>-16.3</v>
      </c>
      <c r="S179" s="253" t="n">
        <v>112.4</v>
      </c>
      <c r="T179" s="253" t="n">
        <v>106.5</v>
      </c>
      <c r="U179" s="253" t="n">
        <v>46.9</v>
      </c>
      <c r="V179" s="253" t="n">
        <v>50.2</v>
      </c>
      <c r="W179" s="253" t="n">
        <v>107.7</v>
      </c>
      <c r="X179" s="253" t="n">
        <v>317.3</v>
      </c>
      <c r="Y179" s="253" t="n">
        <v>70.5</v>
      </c>
      <c r="Z179" s="253" t="n">
        <v>-29.7</v>
      </c>
      <c r="AA179" s="253" t="n">
        <v>142</v>
      </c>
      <c r="AB179" s="253" t="n">
        <v>83.5</v>
      </c>
      <c r="AC179" s="253" t="n">
        <v>266.5</v>
      </c>
      <c r="AD179" s="253" t="n">
        <v>123.5</v>
      </c>
      <c r="AE179" s="253" t="n">
        <v>117.6</v>
      </c>
      <c r="AF179" s="153" t="n"/>
      <c r="AG179" s="153" t="n"/>
      <c r="AH179" s="153" t="n"/>
      <c r="AI179" s="153" t="n"/>
      <c r="AJ179" s="153" t="n"/>
      <c r="AK179" s="153" t="n"/>
      <c r="AL179" s="153" t="n"/>
      <c r="AM179" s="153" t="n"/>
    </row>
    <row r="180" ht="15" customHeight="1" s="251">
      <c r="B180" s="57" t="inlineStr">
        <is>
          <t xml:space="preserve">  Check: model vs published adjusted net income (should be 0; ±0.35 class rounding)</t>
        </is>
      </c>
      <c r="C180" s="261">
        <f>IF(ISNUMBER(C179),IF(ABS(C178-C179)&lt;=0.35,0,ROUND(C178-C179,2)),"n/p")</f>
        <v/>
      </c>
      <c r="D180" s="261">
        <f>IF(ISNUMBER(D179),IF(ABS(D178-D179)&lt;=0.35,0,ROUND(D178-D179,2)),"n/p")</f>
        <v/>
      </c>
      <c r="E180" s="261">
        <f>IF(ISNUMBER(E179),IF(ABS(E178-E179)&lt;=0.35,0,ROUND(E178-E179,2)),"n/p")</f>
        <v/>
      </c>
      <c r="F180" s="261">
        <f>IF(ISNUMBER(F179),IF(ABS(F178-F179)&lt;=0.35,0,ROUND(F178-F179,2)),"n/p")</f>
        <v/>
      </c>
      <c r="G180" s="261">
        <f>IF(ISNUMBER(G179),IF(ABS(G178-G179)&lt;=0.35,0,ROUND(G178-G179,2)),"n/p")</f>
        <v/>
      </c>
      <c r="H180" s="261">
        <f>IF(ISNUMBER(H179),IF(ABS(H178-H179)&lt;=0.35,0,ROUND(H178-H179,2)),"n/p")</f>
        <v/>
      </c>
      <c r="I180" s="261">
        <f>IF(ISNUMBER(I179),IF(ABS(I178-I179)&lt;=0.35,0,ROUND(I178-I179,2)),"n/p")</f>
        <v/>
      </c>
      <c r="J180" s="261">
        <f>IF(ISNUMBER(J179),IF(ABS(J178-J179)&lt;=0.35,0,ROUND(J178-J179,2)),"n/p")</f>
        <v/>
      </c>
      <c r="K180" s="261">
        <f>IF(ISNUMBER(K179),IF(ABS(K178-K179)&lt;=0.35,0,ROUND(K178-K179,2)),"n/p")</f>
        <v/>
      </c>
      <c r="L180" s="261">
        <f>IF(ISNUMBER(L179),IF(ABS(L178-L179)&lt;=0.35,0,ROUND(L178-L179,2)),"n/p")</f>
        <v/>
      </c>
      <c r="M180" s="261">
        <f>IF(ISNUMBER(M179),IF(ABS(M178-M179)&lt;=0.35,0,ROUND(M178-M179,2)),"n/p")</f>
        <v/>
      </c>
      <c r="N180" s="261">
        <f>IF(ISNUMBER(N179),IF(ABS(N178-N179)&lt;=0.35,0,ROUND(N178-N179,2)),"n/p")</f>
        <v/>
      </c>
      <c r="O180" s="261">
        <f>IF(ISNUMBER(O179),IF(ABS(O178-O179)&lt;=0.35,0,ROUND(O178-O179,2)),"n/p")</f>
        <v/>
      </c>
      <c r="P180" s="261">
        <f>IF(ISNUMBER(P179),IF(ABS(P178-P179)&lt;=0.35,0,ROUND(P178-P179,2)),"n/p")</f>
        <v/>
      </c>
      <c r="Q180" s="261">
        <f>IF(ISNUMBER(Q179),IF(ABS(Q178-Q179)&lt;=0.35,0,ROUND(Q178-Q179,2)),"n/p")</f>
        <v/>
      </c>
      <c r="R180" s="261">
        <f>IF(ISNUMBER(R179),IF(ABS(R178-R179)&lt;=0.35,0,ROUND(R178-R179,2)),"n/p")</f>
        <v/>
      </c>
      <c r="S180" s="261">
        <f>IF(ISNUMBER(S179),IF(ABS(S178-S179)&lt;=0.35,0,ROUND(S178-S179,2)),"n/p")</f>
        <v/>
      </c>
      <c r="T180" s="261">
        <f>IF(ISNUMBER(T179),IF(ABS(T178-T179)&lt;=0.35,0,ROUND(T178-T179,2)),"n/p")</f>
        <v/>
      </c>
      <c r="U180" s="261">
        <f>IF(ISNUMBER(U179),IF(ABS(U178-U179)&lt;=0.35,0,ROUND(U178-U179,2)),"n/p")</f>
        <v/>
      </c>
      <c r="V180" s="261">
        <f>IF(ISNUMBER(V179),IF(ABS(V178-V179)&lt;=0.35,0,ROUND(V178-V179,2)),"n/p")</f>
        <v/>
      </c>
      <c r="W180" s="261">
        <f>IF(ISNUMBER(W179),IF(ABS(W178-W179)&lt;=0.35,0,ROUND(W178-W179,2)),"n/p")</f>
        <v/>
      </c>
      <c r="X180" s="261">
        <f>IF(ISNUMBER(X179),IF(ABS(X178-X179)&lt;=0.35,0,ROUND(X178-X179,2)),"n/p")</f>
        <v/>
      </c>
      <c r="Y180" s="261">
        <f>IF(ISNUMBER(Y179),IF(ABS(Y178-Y179)&lt;=0.35,0,ROUND(Y178-Y179,2)),"n/p")</f>
        <v/>
      </c>
      <c r="Z180" s="261">
        <f>IF(ISNUMBER(Z179),IF(ABS(Z178-Z179)&lt;=0.35,0,ROUND(Z178-Z179,2)),"n/p")</f>
        <v/>
      </c>
      <c r="AA180" s="261">
        <f>IF(ISNUMBER(AA179),IF(ABS(AA178-AA179)&lt;=0.35,0,ROUND(AA178-AA179,2)),"n/p")</f>
        <v/>
      </c>
      <c r="AB180" s="261">
        <f>IF(ISNUMBER(AB179),IF(ABS(AB178-AB179)&lt;=0.35,0,ROUND(AB178-AB179,2)),"n/p")</f>
        <v/>
      </c>
      <c r="AC180" s="261">
        <f>IF(ISNUMBER(AC179),IF(ABS(AC178-AC179)&lt;=0.35,0,ROUND(AC178-AC179,2)),"n/p")</f>
        <v/>
      </c>
      <c r="AD180" s="261">
        <f>IF(ISNUMBER(AD179),IF(ABS(AD178-AD179)&lt;=0.35,0,ROUND(AD178-AD179,2)),"n/p")</f>
        <v/>
      </c>
      <c r="AE180" s="261">
        <f>IF(ISNUMBER(AE179),IF(ABS(AE178-AE179)&lt;=0.35,0,ROUND(AE178-AE179,2)),"n/p")</f>
        <v/>
      </c>
      <c r="AF180" s="153" t="n"/>
      <c r="AG180" s="153" t="n"/>
      <c r="AH180" s="153" t="n"/>
      <c r="AI180" s="153" t="n"/>
      <c r="AJ180" s="153" t="n"/>
      <c r="AK180" s="153" t="n"/>
      <c r="AL180" s="153" t="n"/>
      <c r="AM180" s="153" t="n"/>
    </row>
    <row r="181" ht="15" customHeight="1" s="251">
      <c r="B181" s="25" t="inlineStr">
        <is>
          <t xml:space="preserve">  Weighted-average diluted shares, Class A-equivalent (m)</t>
        </is>
      </c>
      <c r="C181" s="261">
        <f>IF(ISNUMBER(C129),C129,"")</f>
        <v/>
      </c>
      <c r="D181" s="261">
        <f>IF(ISNUMBER(D129),D129,"")</f>
        <v/>
      </c>
      <c r="E181" s="261">
        <f>IF(ISNUMBER(E129),E129,"")</f>
        <v/>
      </c>
      <c r="F181" s="261">
        <f>IF(ISNUMBER(F129),F129,"")</f>
        <v/>
      </c>
      <c r="G181" s="261">
        <f>IF(ISNUMBER(G129),G129,"")</f>
        <v/>
      </c>
      <c r="H181" s="261">
        <f>IF(ISNUMBER(H129),H129,"")</f>
        <v/>
      </c>
      <c r="I181" s="261">
        <f>IF(ISNUMBER(I129),I129,"")</f>
        <v/>
      </c>
      <c r="J181" s="261">
        <f>IF(ISNUMBER(J129),J129,"")</f>
        <v/>
      </c>
      <c r="K181" s="261">
        <f>IF(ISNUMBER(K129),K129,"")</f>
        <v/>
      </c>
      <c r="L181" s="261">
        <f>IF(ISNUMBER(L129),L129,"")</f>
        <v/>
      </c>
      <c r="M181" s="261">
        <f>IF(ISNUMBER(M129),M129,"")</f>
        <v/>
      </c>
      <c r="N181" s="261">
        <f>IF(ISNUMBER(N129),N129,"")</f>
        <v/>
      </c>
      <c r="O181" s="261">
        <f>IF(ISNUMBER(O129),O129,"")</f>
        <v/>
      </c>
      <c r="P181" s="261">
        <f>IF(ISNUMBER(P129),P129,"")</f>
        <v/>
      </c>
      <c r="Q181" s="261">
        <f>IF(ISNUMBER(Q129),Q129,"")</f>
        <v/>
      </c>
      <c r="R181" s="261">
        <f>IF(ISNUMBER(R129),R129,"")</f>
        <v/>
      </c>
      <c r="S181" s="261">
        <f>IF(ISNUMBER(S129),S129,"")</f>
        <v/>
      </c>
      <c r="T181" s="261">
        <f>IF(ISNUMBER(T129),T129,"")</f>
        <v/>
      </c>
      <c r="U181" s="261">
        <f>IF(ISNUMBER(U129),U129,"")</f>
        <v/>
      </c>
      <c r="V181" s="261">
        <f>IF(ISNUMBER(V129),V129,"")</f>
        <v/>
      </c>
      <c r="W181" s="261">
        <f>IF(ISNUMBER(W129),W129,"")</f>
        <v/>
      </c>
      <c r="X181" s="261">
        <f>IF(ISNUMBER(X129),X129,"")</f>
        <v/>
      </c>
      <c r="Y181" s="261">
        <f>IF(ISNUMBER(Y129),Y129,"")</f>
        <v/>
      </c>
      <c r="Z181" s="261">
        <f>IF(ISNUMBER(Z129),Z129,"")</f>
        <v/>
      </c>
      <c r="AA181" s="261">
        <f>IF(ISNUMBER(AA129),AA129,"")</f>
        <v/>
      </c>
      <c r="AB181" s="261">
        <f>IF(ISNUMBER(AB129),AB129,"")</f>
        <v/>
      </c>
      <c r="AC181" s="261">
        <f>IF(ISNUMBER(AC129),AC129,"")</f>
        <v/>
      </c>
      <c r="AD181" s="261">
        <f>IF(ISNUMBER(AD129),AD129,"")</f>
        <v/>
      </c>
      <c r="AE181" s="261">
        <f>IF(ISNUMBER(AE129),AE129,"")</f>
        <v/>
      </c>
      <c r="AF181" s="254">
        <f>IF(ISNUMBER(AF129),AF129,"")</f>
        <v/>
      </c>
      <c r="AG181" s="254">
        <f>IF(ISNUMBER(AG129),AG129,"")</f>
        <v/>
      </c>
      <c r="AH181" s="254">
        <f>IF(ISNUMBER(AH129),AH129,"")</f>
        <v/>
      </c>
      <c r="AI181" s="254">
        <f>IF(ISNUMBER(AI129),AI129,"")</f>
        <v/>
      </c>
      <c r="AJ181" s="254">
        <f>IF(ISNUMBER(AJ129),AJ129,"")</f>
        <v/>
      </c>
      <c r="AK181" s="254">
        <f>IF(ISNUMBER(AK129),AK129,"")</f>
        <v/>
      </c>
      <c r="AL181" s="254">
        <f>IF(ISNUMBER(AL129),AL129,"")</f>
        <v/>
      </c>
      <c r="AM181" s="19" t="n"/>
    </row>
    <row r="182" ht="15" customHeight="1" s="251">
      <c r="B182" s="55" t="inlineStr">
        <is>
          <t>Adjusted EPS – diluted, Class A (CHF) (model bridge)</t>
        </is>
      </c>
      <c r="C182" s="272">
        <f>IF(AND(ISNUMBER(C178),ISNUMBER(C181)),IFERROR(C178/C181,""),"")</f>
        <v/>
      </c>
      <c r="D182" s="272">
        <f>IF(AND(ISNUMBER(D178),ISNUMBER(D181)),IFERROR(D178/D181,""),"")</f>
        <v/>
      </c>
      <c r="E182" s="272">
        <f>IF(AND(ISNUMBER(E178),ISNUMBER(E181)),IFERROR(E178/E181,""),"")</f>
        <v/>
      </c>
      <c r="F182" s="272">
        <f>IF(AND(ISNUMBER(F178),ISNUMBER(F181)),IFERROR(F178/F181,""),"")</f>
        <v/>
      </c>
      <c r="G182" s="272">
        <f>IF(AND(ISNUMBER(G178),ISNUMBER(G181)),IFERROR(G178/G181,""),"")</f>
        <v/>
      </c>
      <c r="H182" s="272">
        <f>IF(AND(ISNUMBER(H178),ISNUMBER(H181)),IFERROR(H178/H181,""),"")</f>
        <v/>
      </c>
      <c r="I182" s="272">
        <f>IF(AND(ISNUMBER(I178),ISNUMBER(I181)),IFERROR(I178/I181,""),"")</f>
        <v/>
      </c>
      <c r="J182" s="272">
        <f>IF(AND(ISNUMBER(J178),ISNUMBER(J181)),IFERROR(J178/J181,""),"")</f>
        <v/>
      </c>
      <c r="K182" s="272">
        <f>IF(AND(ISNUMBER(K178),ISNUMBER(K181)),IFERROR(K178/K181,""),"")</f>
        <v/>
      </c>
      <c r="L182" s="272">
        <f>IF(AND(ISNUMBER(L178),ISNUMBER(L181)),IFERROR(L178/L181,""),"")</f>
        <v/>
      </c>
      <c r="M182" s="272">
        <f>IF(AND(ISNUMBER(M178),ISNUMBER(M181)),IFERROR(M178/M181,""),"")</f>
        <v/>
      </c>
      <c r="N182" s="272">
        <f>IF(AND(ISNUMBER(N178),ISNUMBER(N181)),IFERROR(N178/N181,""),"")</f>
        <v/>
      </c>
      <c r="O182" s="272">
        <f>IF(AND(ISNUMBER(O178),ISNUMBER(O181)),IFERROR(O178/O181,""),"")</f>
        <v/>
      </c>
      <c r="P182" s="272">
        <f>IF(AND(ISNUMBER(P178),ISNUMBER(P181)),IFERROR(P178/P181,""),"")</f>
        <v/>
      </c>
      <c r="Q182" s="272">
        <f>IF(AND(ISNUMBER(Q178),ISNUMBER(Q181)),IFERROR(Q178/Q181,""),"")</f>
        <v/>
      </c>
      <c r="R182" s="272">
        <f>IF(AND(ISNUMBER(R178),ISNUMBER(R181)),IFERROR(R178/R181,""),"")</f>
        <v/>
      </c>
      <c r="S182" s="272">
        <f>IF(AND(ISNUMBER(S178),ISNUMBER(S181)),IFERROR(S178/S181,""),"")</f>
        <v/>
      </c>
      <c r="T182" s="272">
        <f>IF(AND(ISNUMBER(T178),ISNUMBER(T181)),IFERROR(T178/T181,""),"")</f>
        <v/>
      </c>
      <c r="U182" s="272">
        <f>IF(AND(ISNUMBER(U178),ISNUMBER(U181)),IFERROR(U178/U181,""),"")</f>
        <v/>
      </c>
      <c r="V182" s="272">
        <f>IF(AND(ISNUMBER(V178),ISNUMBER(V181)),IFERROR(V178/V181,""),"")</f>
        <v/>
      </c>
      <c r="W182" s="272">
        <f>IF(AND(ISNUMBER(W178),ISNUMBER(W181)),IFERROR(W178/W181,""),"")</f>
        <v/>
      </c>
      <c r="X182" s="272">
        <f>IF(AND(ISNUMBER(X178),ISNUMBER(X181)),IFERROR(X178/X181,""),"")</f>
        <v/>
      </c>
      <c r="Y182" s="272">
        <f>IF(AND(ISNUMBER(Y178),ISNUMBER(Y181)),IFERROR(Y178/Y181,""),"")</f>
        <v/>
      </c>
      <c r="Z182" s="272">
        <f>IF(AND(ISNUMBER(Z178),ISNUMBER(Z181)),IFERROR(Z178/Z181,""),"")</f>
        <v/>
      </c>
      <c r="AA182" s="272">
        <f>IF(AND(ISNUMBER(AA178),ISNUMBER(AA181)),IFERROR(AA178/AA181,""),"")</f>
        <v/>
      </c>
      <c r="AB182" s="272">
        <f>IF(AND(ISNUMBER(AB178),ISNUMBER(AB181)),IFERROR(AB178/AB181,""),"")</f>
        <v/>
      </c>
      <c r="AC182" s="272">
        <f>IF(AND(ISNUMBER(AC178),ISNUMBER(AC181)),IFERROR(AC178/AC181,""),"")</f>
        <v/>
      </c>
      <c r="AD182" s="272">
        <f>IF(AND(ISNUMBER(AD178),ISNUMBER(AD181)),IFERROR(AD178/AD181,""),"")</f>
        <v/>
      </c>
      <c r="AE182" s="272">
        <f>IF(AND(ISNUMBER(AE178),ISNUMBER(AE181)),IFERROR(AE178/AE181,""),"")</f>
        <v/>
      </c>
      <c r="AF182" s="272">
        <f>IF(AND(ISNUMBER(AF178),ISNUMBER(AF181)),IFERROR(AF178/AF181,""),"")</f>
        <v/>
      </c>
      <c r="AG182" s="272">
        <f>IF(AND(ISNUMBER(AG178),ISNUMBER(AG181)),IFERROR(AG178/AG181,""),"")</f>
        <v/>
      </c>
      <c r="AH182" s="272">
        <f>IF(AND(ISNUMBER(AH178),ISNUMBER(AH181)),IFERROR(AH178/AH181,""),"")</f>
        <v/>
      </c>
      <c r="AI182" s="272">
        <f>IF(AND(ISNUMBER(AI178),ISNUMBER(AI181)),IFERROR(AI178/AI181,""),"")</f>
        <v/>
      </c>
      <c r="AJ182" s="272">
        <f>IF(AND(ISNUMBER(AJ178),ISNUMBER(AJ181)),IFERROR(AJ178/AJ181,""),"")</f>
        <v/>
      </c>
      <c r="AK182" s="272">
        <f>IF(AND(ISNUMBER(AK178),ISNUMBER(AK181)),IFERROR(AK178/AK181,""),"")</f>
        <v/>
      </c>
      <c r="AL182" s="272">
        <f>IF(AND(ISNUMBER(AL178),ISNUMBER(AL181)),IFERROR(AL178/AL181,""),"")</f>
        <v/>
      </c>
      <c r="AM182" s="19" t="n"/>
      <c r="AO182" s="20">
        <f>IFERROR((AL182/AC182)^(1/5)-1,"n/m")</f>
        <v/>
      </c>
      <c r="AP182" s="20">
        <f>IFERROR((AC182/D182)^(1/5)-1,"n/m")</f>
        <v/>
      </c>
      <c r="AQ182" s="20">
        <f>IFERROR((AC182/N182)^(1/3)-1,"n/m")</f>
        <v/>
      </c>
      <c r="AR182" s="20">
        <f>IFERROR((AC182/C182)^(1/6)-1,"n/m")</f>
        <v/>
      </c>
    </row>
    <row r="183" ht="15" customHeight="1" s="251">
      <c r="B183" s="156" t="inlineStr">
        <is>
          <t xml:space="preserve">  Company-published adjusted diluted EPS, Class A (CHF)</t>
        </is>
      </c>
      <c r="C183" s="273" t="n">
        <v>0.070544</v>
      </c>
      <c r="D183" s="273" t="n">
        <v>0.083176</v>
      </c>
      <c r="E183" s="273" t="n">
        <v>0.05</v>
      </c>
      <c r="F183" s="273" t="n">
        <v>0.05</v>
      </c>
      <c r="G183" s="273" t="n">
        <v>0.06</v>
      </c>
      <c r="H183" s="273" t="n">
        <v>-0.04</v>
      </c>
      <c r="I183" s="273" t="n">
        <v>0.11</v>
      </c>
      <c r="J183" s="273" t="n">
        <v>0.05</v>
      </c>
      <c r="K183" s="273" t="n">
        <v>0.14</v>
      </c>
      <c r="L183" s="273" t="n">
        <v>0.07000000000000001</v>
      </c>
      <c r="M183" s="273" t="n">
        <v>0.02</v>
      </c>
      <c r="N183" s="273" t="n">
        <v>0.28</v>
      </c>
      <c r="O183" s="273" t="n">
        <v>0.15</v>
      </c>
      <c r="P183" s="273" t="n">
        <v>0.04</v>
      </c>
      <c r="Q183" s="273" t="n">
        <v>0.2</v>
      </c>
      <c r="R183" s="273" t="n">
        <v>-0.05</v>
      </c>
      <c r="S183" s="273" t="n">
        <v>0.35</v>
      </c>
      <c r="T183" s="273" t="n">
        <v>0.33</v>
      </c>
      <c r="U183" s="273" t="n">
        <v>0.14</v>
      </c>
      <c r="V183" s="273" t="n">
        <v>0.15</v>
      </c>
      <c r="W183" s="273" t="n">
        <v>0.33</v>
      </c>
      <c r="X183" s="273" t="n">
        <v>0.97</v>
      </c>
      <c r="Y183" s="273" t="n">
        <v>0.21</v>
      </c>
      <c r="Z183" s="273" t="n">
        <v>-0.09</v>
      </c>
      <c r="AA183" s="273" t="n">
        <v>0.43</v>
      </c>
      <c r="AB183" s="273" t="n">
        <v>0.25</v>
      </c>
      <c r="AC183" s="273" t="n">
        <v>0.8</v>
      </c>
      <c r="AD183" s="273" t="n">
        <v>0.37</v>
      </c>
      <c r="AE183" s="273" t="n">
        <v>0.35</v>
      </c>
      <c r="AF183" s="153" t="n"/>
      <c r="AG183" s="153" t="n"/>
      <c r="AH183" s="153" t="n"/>
      <c r="AI183" s="153" t="n"/>
      <c r="AJ183" s="153" t="n"/>
      <c r="AK183" s="153" t="n"/>
      <c r="AL183" s="153" t="n"/>
      <c r="AM183" s="153" t="n"/>
    </row>
    <row r="184" ht="15" customHeight="1" s="251">
      <c r="B184" s="57" t="inlineStr">
        <is>
          <t xml:space="preserve">  Check: model vs company-published (should be 0.00; ±0.01 rounding)</t>
        </is>
      </c>
      <c r="C184" s="270">
        <f>IF(ISNUMBER(C183),IF(ABS(C182-C183)&lt;=0.0101,0,ROUND(C182-C183,2)),"n/p")</f>
        <v/>
      </c>
      <c r="D184" s="270">
        <f>IF(ISNUMBER(D183),IF(ABS(D182-D183)&lt;=0.0101,0,ROUND(D182-D183,2)),"n/p")</f>
        <v/>
      </c>
      <c r="E184" s="270">
        <f>IF(ISNUMBER(E183),IF(ABS(E182-E183)&lt;=0.0101,0,ROUND(E182-E183,2)),"n/p")</f>
        <v/>
      </c>
      <c r="F184" s="270">
        <f>IF(ISNUMBER(F183),IF(ABS(F182-F183)&lt;=0.0101,0,ROUND(F182-F183,2)),"n/p")</f>
        <v/>
      </c>
      <c r="G184" s="270">
        <f>IF(ISNUMBER(G183),IF(ABS(G182-G183)&lt;=0.0101,0,ROUND(G182-G183,2)),"n/p")</f>
        <v/>
      </c>
      <c r="H184" s="270">
        <f>IF(ISNUMBER(H183),IF(ABS(H182-H183)&lt;=0.0101,0,ROUND(H182-H183,2)),"n/p")</f>
        <v/>
      </c>
      <c r="I184" s="270">
        <f>IF(ISNUMBER(I183),IF(ABS(I182-I183)&lt;=0.0101,0,ROUND(I182-I183,2)),"n/p")</f>
        <v/>
      </c>
      <c r="J184" s="270">
        <f>IF(ISNUMBER(J183),IF(ABS(J182-J183)&lt;=0.0101,0,ROUND(J182-J183,2)),"n/p")</f>
        <v/>
      </c>
      <c r="K184" s="270">
        <f>IF(ISNUMBER(K183),IF(ABS(K182-K183)&lt;=0.0101,0,ROUND(K182-K183,2)),"n/p")</f>
        <v/>
      </c>
      <c r="L184" s="270">
        <f>IF(ISNUMBER(L183),IF(ABS(L182-L183)&lt;=0.0101,0,ROUND(L182-L183,2)),"n/p")</f>
        <v/>
      </c>
      <c r="M184" s="270">
        <f>IF(ISNUMBER(M183),IF(ABS(M182-M183)&lt;=0.0101,0,ROUND(M182-M183,2)),"n/p")</f>
        <v/>
      </c>
      <c r="N184" s="270">
        <f>IF(ISNUMBER(N183),IF(ABS(N182-N183)&lt;=0.0101,0,ROUND(N182-N183,2)),"n/p")</f>
        <v/>
      </c>
      <c r="O184" s="270">
        <f>IF(ISNUMBER(O183),IF(ABS(O182-O183)&lt;=0.0101,0,ROUND(O182-O183,2)),"n/p")</f>
        <v/>
      </c>
      <c r="P184" s="270">
        <f>IF(ISNUMBER(P183),IF(ABS(P182-P183)&lt;=0.0101,0,ROUND(P182-P183,2)),"n/p")</f>
        <v/>
      </c>
      <c r="Q184" s="270">
        <f>IF(ISNUMBER(Q183),IF(ABS(Q182-Q183)&lt;=0.0101,0,ROUND(Q182-Q183,2)),"n/p")</f>
        <v/>
      </c>
      <c r="R184" s="270">
        <f>IF(ISNUMBER(R183),IF(ABS(R182-R183)&lt;=0.0101,0,ROUND(R182-R183,2)),"n/p")</f>
        <v/>
      </c>
      <c r="S184" s="270">
        <f>IF(ISNUMBER(S183),IF(ABS(S182-S183)&lt;=0.0101,0,ROUND(S182-S183,2)),"n/p")</f>
        <v/>
      </c>
      <c r="T184" s="270">
        <f>IF(ISNUMBER(T183),IF(ABS(T182-T183)&lt;=0.0101,0,ROUND(T182-T183,2)),"n/p")</f>
        <v/>
      </c>
      <c r="U184" s="270">
        <f>IF(ISNUMBER(U183),IF(ABS(U182-U183)&lt;=0.0101,0,ROUND(U182-U183,2)),"n/p")</f>
        <v/>
      </c>
      <c r="V184" s="270">
        <f>IF(ISNUMBER(V183),IF(ABS(V182-V183)&lt;=0.0101,0,ROUND(V182-V183,2)),"n/p")</f>
        <v/>
      </c>
      <c r="W184" s="270">
        <f>IF(ISNUMBER(W183),IF(ABS(W182-W183)&lt;=0.0101,0,ROUND(W182-W183,2)),"n/p")</f>
        <v/>
      </c>
      <c r="X184" s="270">
        <f>IF(ISNUMBER(X183),IF(ABS(X182-X183)&lt;=0.0101,0,ROUND(X182-X183,2)),"n/p")</f>
        <v/>
      </c>
      <c r="Y184" s="270">
        <f>IF(ISNUMBER(Y183),IF(ABS(Y182-Y183)&lt;=0.0101,0,ROUND(Y182-Y183,2)),"n/p")</f>
        <v/>
      </c>
      <c r="Z184" s="270">
        <f>IF(ISNUMBER(Z183),IF(ABS(Z182-Z183)&lt;=0.0101,0,ROUND(Z182-Z183,2)),"n/p")</f>
        <v/>
      </c>
      <c r="AA184" s="270">
        <f>IF(ISNUMBER(AA183),IF(ABS(AA182-AA183)&lt;=0.0101,0,ROUND(AA182-AA183,2)),"n/p")</f>
        <v/>
      </c>
      <c r="AB184" s="270">
        <f>IF(ISNUMBER(AB183),IF(ABS(AB182-AB183)&lt;=0.0101,0,ROUND(AB182-AB183,2)),"n/p")</f>
        <v/>
      </c>
      <c r="AC184" s="270">
        <f>IF(ISNUMBER(AC183),IF(ABS(AC182-AC183)&lt;=0.0101,0,ROUND(AC182-AC183,2)),"n/p")</f>
        <v/>
      </c>
      <c r="AD184" s="270">
        <f>IF(ISNUMBER(AD183),IF(ABS(AD182-AD183)&lt;=0.0101,0,ROUND(AD182-AD183,2)),"n/p")</f>
        <v/>
      </c>
      <c r="AE184" s="270">
        <f>IF(ISNUMBER(AE183),IF(ABS(AE182-AE183)&lt;=0.0101,0,ROUND(AE182-AE183,2)),"n/p")</f>
        <v/>
      </c>
      <c r="AF184" s="153" t="n"/>
      <c r="AG184" s="153" t="n"/>
      <c r="AH184" s="153" t="n"/>
      <c r="AI184" s="153" t="n"/>
      <c r="AJ184" s="153" t="n"/>
      <c r="AK184" s="153" t="n"/>
      <c r="AL184" s="153" t="n"/>
      <c r="AM184" s="153" t="n"/>
    </row>
    <row r="185" ht="15" customHeight="1" s="251">
      <c r="B185" s="156" t="inlineStr">
        <is>
          <t xml:space="preserve">  Adjusted EPS – basic, Class A (CHF) (model)</t>
        </is>
      </c>
      <c r="C185" s="270">
        <f>IF(AND(ISNUMBER(C178),ISNUMBER(C128)),IFERROR(C178/C128,""),"")</f>
        <v/>
      </c>
      <c r="D185" s="270">
        <f>IF(AND(ISNUMBER(D178),ISNUMBER(D128)),IFERROR(D178/D128,""),"")</f>
        <v/>
      </c>
      <c r="E185" s="270">
        <f>IF(AND(ISNUMBER(E178),ISNUMBER(E128)),IFERROR(E178/E128,""),"")</f>
        <v/>
      </c>
      <c r="F185" s="270">
        <f>IF(AND(ISNUMBER(F178),ISNUMBER(F128)),IFERROR(F178/F128,""),"")</f>
        <v/>
      </c>
      <c r="G185" s="270">
        <f>IF(AND(ISNUMBER(G178),ISNUMBER(G128)),IFERROR(G178/G128,""),"")</f>
        <v/>
      </c>
      <c r="H185" s="270">
        <f>IF(AND(ISNUMBER(H178),ISNUMBER(H128)),IFERROR(H178/H128,""),"")</f>
        <v/>
      </c>
      <c r="I185" s="270">
        <f>IF(AND(ISNUMBER(I178),ISNUMBER(I128)),IFERROR(I178/I128,""),"")</f>
        <v/>
      </c>
      <c r="J185" s="270">
        <f>IF(AND(ISNUMBER(J178),ISNUMBER(J128)),IFERROR(J178/J128,""),"")</f>
        <v/>
      </c>
      <c r="K185" s="270">
        <f>IF(AND(ISNUMBER(K178),ISNUMBER(K128)),IFERROR(K178/K128,""),"")</f>
        <v/>
      </c>
      <c r="L185" s="270">
        <f>IF(AND(ISNUMBER(L178),ISNUMBER(L128)),IFERROR(L178/L128,""),"")</f>
        <v/>
      </c>
      <c r="M185" s="270">
        <f>IF(AND(ISNUMBER(M178),ISNUMBER(M128)),IFERROR(M178/M128,""),"")</f>
        <v/>
      </c>
      <c r="N185" s="270">
        <f>IF(AND(ISNUMBER(N178),ISNUMBER(N128)),IFERROR(N178/N128,""),"")</f>
        <v/>
      </c>
      <c r="O185" s="270">
        <f>IF(AND(ISNUMBER(O178),ISNUMBER(O128)),IFERROR(O178/O128,""),"")</f>
        <v/>
      </c>
      <c r="P185" s="270">
        <f>IF(AND(ISNUMBER(P178),ISNUMBER(P128)),IFERROR(P178/P128,""),"")</f>
        <v/>
      </c>
      <c r="Q185" s="270">
        <f>IF(AND(ISNUMBER(Q178),ISNUMBER(Q128)),IFERROR(Q178/Q128,""),"")</f>
        <v/>
      </c>
      <c r="R185" s="270">
        <f>IF(AND(ISNUMBER(R178),ISNUMBER(R128)),IFERROR(R178/R128,""),"")</f>
        <v/>
      </c>
      <c r="S185" s="270">
        <f>IF(AND(ISNUMBER(S178),ISNUMBER(S128)),IFERROR(S178/S128,""),"")</f>
        <v/>
      </c>
      <c r="T185" s="270">
        <f>IF(AND(ISNUMBER(T178),ISNUMBER(T128)),IFERROR(T178/T128,""),"")</f>
        <v/>
      </c>
      <c r="U185" s="270">
        <f>IF(AND(ISNUMBER(U178),ISNUMBER(U128)),IFERROR(U178/U128,""),"")</f>
        <v/>
      </c>
      <c r="V185" s="270">
        <f>IF(AND(ISNUMBER(V178),ISNUMBER(V128)),IFERROR(V178/V128,""),"")</f>
        <v/>
      </c>
      <c r="W185" s="270">
        <f>IF(AND(ISNUMBER(W178),ISNUMBER(W128)),IFERROR(W178/W128,""),"")</f>
        <v/>
      </c>
      <c r="X185" s="270">
        <f>IF(AND(ISNUMBER(X178),ISNUMBER(X128)),IFERROR(X178/X128,""),"")</f>
        <v/>
      </c>
      <c r="Y185" s="270">
        <f>IF(AND(ISNUMBER(Y178),ISNUMBER(Y128)),IFERROR(Y178/Y128,""),"")</f>
        <v/>
      </c>
      <c r="Z185" s="270">
        <f>IF(AND(ISNUMBER(Z178),ISNUMBER(Z128)),IFERROR(Z178/Z128,""),"")</f>
        <v/>
      </c>
      <c r="AA185" s="270">
        <f>IF(AND(ISNUMBER(AA178),ISNUMBER(AA128)),IFERROR(AA178/AA128,""),"")</f>
        <v/>
      </c>
      <c r="AB185" s="270">
        <f>IF(AND(ISNUMBER(AB178),ISNUMBER(AB128)),IFERROR(AB178/AB128,""),"")</f>
        <v/>
      </c>
      <c r="AC185" s="270">
        <f>IF(AND(ISNUMBER(AC178),ISNUMBER(AC128)),IFERROR(AC178/AC128,""),"")</f>
        <v/>
      </c>
      <c r="AD185" s="270">
        <f>IF(AND(ISNUMBER(AD178),ISNUMBER(AD128)),IFERROR(AD178/AD128,""),"")</f>
        <v/>
      </c>
      <c r="AE185" s="270">
        <f>IF(AND(ISNUMBER(AE178),ISNUMBER(AE128)),IFERROR(AE178/AE128,""),"")</f>
        <v/>
      </c>
      <c r="AF185" s="277">
        <f>IF(AND(ISNUMBER(AF178),ISNUMBER(AF128)),IFERROR(AF178/AF128,""),"")</f>
        <v/>
      </c>
      <c r="AG185" s="277">
        <f>IF(AND(ISNUMBER(AG178),ISNUMBER(AG128)),IFERROR(AG178/AG128,""),"")</f>
        <v/>
      </c>
      <c r="AH185" s="277">
        <f>IF(AND(ISNUMBER(AH178),ISNUMBER(AH128)),IFERROR(AH178/AH128,""),"")</f>
        <v/>
      </c>
      <c r="AI185" s="277">
        <f>IF(AND(ISNUMBER(AI178),ISNUMBER(AI128)),IFERROR(AI178/AI128,""),"")</f>
        <v/>
      </c>
      <c r="AJ185" s="277">
        <f>IF(AND(ISNUMBER(AJ178),ISNUMBER(AJ128)),IFERROR(AJ178/AJ128,""),"")</f>
        <v/>
      </c>
      <c r="AK185" s="277">
        <f>IF(AND(ISNUMBER(AK178),ISNUMBER(AK128)),IFERROR(AK178/AK128,""),"")</f>
        <v/>
      </c>
      <c r="AL185" s="277">
        <f>IF(AND(ISNUMBER(AL178),ISNUMBER(AL128)),IFERROR(AL178/AL128,""),"")</f>
        <v/>
      </c>
      <c r="AM185" s="153" t="n"/>
    </row>
    <row r="186" ht="15" customHeight="1" s="251">
      <c r="B186" s="156" t="inlineStr">
        <is>
          <t xml:space="preserve">  Company-published adjusted basic EPS, Class A (CHF)</t>
        </is>
      </c>
      <c r="C186" s="273" t="n">
        <v>0.07167999999999999</v>
      </c>
      <c r="D186" s="273" t="n">
        <v>0.08592</v>
      </c>
      <c r="E186" s="273" t="n">
        <v>0.05</v>
      </c>
      <c r="F186" s="273" t="n">
        <v>0.05</v>
      </c>
      <c r="G186" s="273" t="n">
        <v>0.06</v>
      </c>
      <c r="H186" s="273" t="n">
        <v>-0.04</v>
      </c>
      <c r="I186" s="273" t="n">
        <v>0.11</v>
      </c>
      <c r="J186" s="273" t="n">
        <v>0.05</v>
      </c>
      <c r="K186" s="273" t="n">
        <v>0.14</v>
      </c>
      <c r="L186" s="273" t="n">
        <v>0.07000000000000001</v>
      </c>
      <c r="M186" s="273" t="n">
        <v>0.02</v>
      </c>
      <c r="N186" s="273" t="n">
        <v>0.29</v>
      </c>
      <c r="O186" s="273" t="n">
        <v>0.15</v>
      </c>
      <c r="P186" s="273" t="n">
        <v>0.04</v>
      </c>
      <c r="Q186" s="273" t="n">
        <v>0.21</v>
      </c>
      <c r="R186" s="273" t="n">
        <v>-0.05</v>
      </c>
      <c r="S186" s="273" t="n">
        <v>0.35</v>
      </c>
      <c r="T186" s="273" t="n">
        <v>0.33</v>
      </c>
      <c r="U186" s="273" t="n">
        <v>0.15</v>
      </c>
      <c r="V186" s="273" t="n">
        <v>0.16</v>
      </c>
      <c r="W186" s="273" t="n">
        <v>0.33</v>
      </c>
      <c r="X186" s="273" t="n">
        <v>0.98</v>
      </c>
      <c r="Y186" s="273" t="n">
        <v>0.22</v>
      </c>
      <c r="Z186" s="273" t="n">
        <v>-0.09</v>
      </c>
      <c r="AA186" s="273" t="n">
        <v>0.43</v>
      </c>
      <c r="AB186" s="273" t="n">
        <v>0.25</v>
      </c>
      <c r="AC186" s="273" t="n">
        <v>0.8100000000000001</v>
      </c>
      <c r="AD186" s="273" t="n">
        <v>0.37</v>
      </c>
      <c r="AE186" s="273" t="n">
        <v>0.35</v>
      </c>
      <c r="AF186" s="153" t="n"/>
      <c r="AG186" s="153" t="n"/>
      <c r="AH186" s="153" t="n"/>
      <c r="AI186" s="153" t="n"/>
      <c r="AJ186" s="153" t="n"/>
      <c r="AK186" s="153" t="n"/>
      <c r="AL186" s="153" t="n"/>
      <c r="AM186" s="153" t="n"/>
    </row>
    <row r="187" ht="15" customHeight="1" s="251">
      <c r="B187" s="57" t="inlineStr">
        <is>
          <t xml:space="preserve">  Check: model vs published basic (should be 0.00; ±0.01 rounding)</t>
        </is>
      </c>
      <c r="C187" s="270">
        <f>IF(ISNUMBER(C186),IF(ABS(C185-C186)&lt;=0.0101,0,ROUND(C185-C186,2)),"n/p")</f>
        <v/>
      </c>
      <c r="D187" s="270">
        <f>IF(ISNUMBER(D186),IF(ABS(D185-D186)&lt;=0.0101,0,ROUND(D185-D186,2)),"n/p")</f>
        <v/>
      </c>
      <c r="E187" s="270">
        <f>IF(ISNUMBER(E186),IF(ABS(E185-E186)&lt;=0.0101,0,ROUND(E185-E186,2)),"n/p")</f>
        <v/>
      </c>
      <c r="F187" s="270">
        <f>IF(ISNUMBER(F186),IF(ABS(F185-F186)&lt;=0.0101,0,ROUND(F185-F186,2)),"n/p")</f>
        <v/>
      </c>
      <c r="G187" s="270">
        <f>IF(ISNUMBER(G186),IF(ABS(G185-G186)&lt;=0.0101,0,ROUND(G185-G186,2)),"n/p")</f>
        <v/>
      </c>
      <c r="H187" s="270">
        <f>IF(ISNUMBER(H186),IF(ABS(H185-H186)&lt;=0.0101,0,ROUND(H185-H186,2)),"n/p")</f>
        <v/>
      </c>
      <c r="I187" s="270">
        <f>IF(ISNUMBER(I186),IF(ABS(I185-I186)&lt;=0.0101,0,ROUND(I185-I186,2)),"n/p")</f>
        <v/>
      </c>
      <c r="J187" s="270">
        <f>IF(ISNUMBER(J186),IF(ABS(J185-J186)&lt;=0.0101,0,ROUND(J185-J186,2)),"n/p")</f>
        <v/>
      </c>
      <c r="K187" s="270">
        <f>IF(ISNUMBER(K186),IF(ABS(K185-K186)&lt;=0.0101,0,ROUND(K185-K186,2)),"n/p")</f>
        <v/>
      </c>
      <c r="L187" s="270">
        <f>IF(ISNUMBER(L186),IF(ABS(L185-L186)&lt;=0.0101,0,ROUND(L185-L186,2)),"n/p")</f>
        <v/>
      </c>
      <c r="M187" s="270">
        <f>IF(ISNUMBER(M186),IF(ABS(M185-M186)&lt;=0.0101,0,ROUND(M185-M186,2)),"n/p")</f>
        <v/>
      </c>
      <c r="N187" s="270">
        <f>IF(ISNUMBER(N186),IF(ABS(N185-N186)&lt;=0.0101,0,ROUND(N185-N186,2)),"n/p")</f>
        <v/>
      </c>
      <c r="O187" s="270">
        <f>IF(ISNUMBER(O186),IF(ABS(O185-O186)&lt;=0.0101,0,ROUND(O185-O186,2)),"n/p")</f>
        <v/>
      </c>
      <c r="P187" s="270">
        <f>IF(ISNUMBER(P186),IF(ABS(P185-P186)&lt;=0.0101,0,ROUND(P185-P186,2)),"n/p")</f>
        <v/>
      </c>
      <c r="Q187" s="270">
        <f>IF(ISNUMBER(Q186),IF(ABS(Q185-Q186)&lt;=0.0101,0,ROUND(Q185-Q186,2)),"n/p")</f>
        <v/>
      </c>
      <c r="R187" s="270">
        <f>IF(ISNUMBER(R186),IF(ABS(R185-R186)&lt;=0.0101,0,ROUND(R185-R186,2)),"n/p")</f>
        <v/>
      </c>
      <c r="S187" s="270">
        <f>IF(ISNUMBER(S186),IF(ABS(S185-S186)&lt;=0.0101,0,ROUND(S185-S186,2)),"n/p")</f>
        <v/>
      </c>
      <c r="T187" s="270">
        <f>IF(ISNUMBER(T186),IF(ABS(T185-T186)&lt;=0.0101,0,ROUND(T185-T186,2)),"n/p")</f>
        <v/>
      </c>
      <c r="U187" s="270">
        <f>IF(ISNUMBER(U186),IF(ABS(U185-U186)&lt;=0.0101,0,ROUND(U185-U186,2)),"n/p")</f>
        <v/>
      </c>
      <c r="V187" s="270">
        <f>IF(ISNUMBER(V186),IF(ABS(V185-V186)&lt;=0.0101,0,ROUND(V185-V186,2)),"n/p")</f>
        <v/>
      </c>
      <c r="W187" s="270">
        <f>IF(ISNUMBER(W186),IF(ABS(W185-W186)&lt;=0.0101,0,ROUND(W185-W186,2)),"n/p")</f>
        <v/>
      </c>
      <c r="X187" s="270">
        <f>IF(ISNUMBER(X186),IF(ABS(X185-X186)&lt;=0.0101,0,ROUND(X185-X186,2)),"n/p")</f>
        <v/>
      </c>
      <c r="Y187" s="270">
        <f>IF(ISNUMBER(Y186),IF(ABS(Y185-Y186)&lt;=0.0101,0,ROUND(Y185-Y186,2)),"n/p")</f>
        <v/>
      </c>
      <c r="Z187" s="270">
        <f>IF(ISNUMBER(Z186),IF(ABS(Z185-Z186)&lt;=0.0101,0,ROUND(Z185-Z186,2)),"n/p")</f>
        <v/>
      </c>
      <c r="AA187" s="270">
        <f>IF(ISNUMBER(AA186),IF(ABS(AA185-AA186)&lt;=0.0101,0,ROUND(AA185-AA186,2)),"n/p")</f>
        <v/>
      </c>
      <c r="AB187" s="270">
        <f>IF(ISNUMBER(AB186),IF(ABS(AB185-AB186)&lt;=0.0101,0,ROUND(AB185-AB186,2)),"n/p")</f>
        <v/>
      </c>
      <c r="AC187" s="270">
        <f>IF(ISNUMBER(AC186),IF(ABS(AC185-AC186)&lt;=0.0101,0,ROUND(AC185-AC186,2)),"n/p")</f>
        <v/>
      </c>
      <c r="AD187" s="270">
        <f>IF(ISNUMBER(AD186),IF(ABS(AD185-AD186)&lt;=0.0101,0,ROUND(AD185-AD186,2)),"n/p")</f>
        <v/>
      </c>
      <c r="AE187" s="270">
        <f>IF(ISNUMBER(AE186),IF(ABS(AE185-AE186)&lt;=0.0101,0,ROUND(AE185-AE186,2)),"n/p")</f>
        <v/>
      </c>
      <c r="AF187" s="153" t="n"/>
      <c r="AG187" s="153" t="n"/>
      <c r="AH187" s="153" t="n"/>
      <c r="AI187" s="153" t="n"/>
      <c r="AJ187" s="153" t="n"/>
      <c r="AK187" s="153" t="n"/>
      <c r="AL187" s="153" t="n"/>
      <c r="AM187" s="153" t="n"/>
    </row>
    <row r="188" ht="15" customHeight="1" s="251">
      <c r="B188" s="25" t="inlineStr">
        <is>
          <t xml:space="preserve">  Tax effect as % of share-based compensation (− = tax charge)</t>
        </is>
      </c>
      <c r="C188" s="215">
        <f>IF(AND(ISNUMBER(C177),ISNUMBER(C175)),IFERROR(-C177/C175,""),"")</f>
        <v/>
      </c>
      <c r="D188" s="215">
        <f>IF(AND(ISNUMBER(D177),ISNUMBER(D175)),IFERROR(-D177/D175,""),"")</f>
        <v/>
      </c>
      <c r="E188" s="215">
        <f>IF(AND(ISNUMBER(E177),ISNUMBER(E175)),IFERROR(-E177/E175,""),"")</f>
        <v/>
      </c>
      <c r="F188" s="215">
        <f>IF(AND(ISNUMBER(F177),ISNUMBER(F175)),IFERROR(-F177/F175,""),"")</f>
        <v/>
      </c>
      <c r="G188" s="215">
        <f>IF(AND(ISNUMBER(G177),ISNUMBER(G175)),IFERROR(-G177/G175,""),"")</f>
        <v/>
      </c>
      <c r="H188" s="215">
        <f>IF(AND(ISNUMBER(H177),ISNUMBER(H175)),IFERROR(-H177/H175,""),"")</f>
        <v/>
      </c>
      <c r="I188" s="215">
        <f>IF(AND(ISNUMBER(I177),ISNUMBER(I175)),IFERROR(-I177/I175,""),"")</f>
        <v/>
      </c>
      <c r="J188" s="215">
        <f>IF(AND(ISNUMBER(J177),ISNUMBER(J175)),IFERROR(-J177/J175,""),"")</f>
        <v/>
      </c>
      <c r="K188" s="215">
        <f>IF(AND(ISNUMBER(K177),ISNUMBER(K175)),IFERROR(-K177/K175,""),"")</f>
        <v/>
      </c>
      <c r="L188" s="215">
        <f>IF(AND(ISNUMBER(L177),ISNUMBER(L175)),IFERROR(-L177/L175,""),"")</f>
        <v/>
      </c>
      <c r="M188" s="215">
        <f>IF(AND(ISNUMBER(M177),ISNUMBER(M175)),IFERROR(-M177/M175,""),"")</f>
        <v/>
      </c>
      <c r="N188" s="215">
        <f>IF(AND(ISNUMBER(N177),ISNUMBER(N175)),IFERROR(-N177/N175,""),"")</f>
        <v/>
      </c>
      <c r="O188" s="215">
        <f>IF(AND(ISNUMBER(O177),ISNUMBER(O175)),IFERROR(-O177/O175,""),"")</f>
        <v/>
      </c>
      <c r="P188" s="215">
        <f>IF(AND(ISNUMBER(P177),ISNUMBER(P175)),IFERROR(-P177/P175,""),"")</f>
        <v/>
      </c>
      <c r="Q188" s="215">
        <f>IF(AND(ISNUMBER(Q177),ISNUMBER(Q175)),IFERROR(-Q177/Q175,""),"")</f>
        <v/>
      </c>
      <c r="R188" s="215">
        <f>IF(AND(ISNUMBER(R177),ISNUMBER(R175)),IFERROR(-R177/R175,""),"")</f>
        <v/>
      </c>
      <c r="S188" s="215">
        <f>IF(AND(ISNUMBER(S177),ISNUMBER(S175)),IFERROR(-S177/S175,""),"")</f>
        <v/>
      </c>
      <c r="T188" s="215">
        <f>IF(AND(ISNUMBER(T177),ISNUMBER(T175)),IFERROR(-T177/T175,""),"")</f>
        <v/>
      </c>
      <c r="U188" s="215">
        <f>IF(AND(ISNUMBER(U177),ISNUMBER(U175)),IFERROR(-U177/U175,""),"")</f>
        <v/>
      </c>
      <c r="V188" s="215">
        <f>IF(AND(ISNUMBER(V177),ISNUMBER(V175)),IFERROR(-V177/V175,""),"")</f>
        <v/>
      </c>
      <c r="W188" s="215">
        <f>IF(AND(ISNUMBER(W177),ISNUMBER(W175)),IFERROR(-W177/W175,""),"")</f>
        <v/>
      </c>
      <c r="X188" s="215">
        <f>IF(AND(ISNUMBER(X177),ISNUMBER(X175)),IFERROR(-X177/X175,""),"")</f>
        <v/>
      </c>
      <c r="Y188" s="215">
        <f>IF(AND(ISNUMBER(Y177),ISNUMBER(Y175)),IFERROR(-Y177/Y175,""),"")</f>
        <v/>
      </c>
      <c r="Z188" s="215">
        <f>IF(AND(ISNUMBER(Z177),ISNUMBER(Z175)),IFERROR(-Z177/Z175,""),"")</f>
        <v/>
      </c>
      <c r="AA188" s="215">
        <f>IF(AND(ISNUMBER(AA177),ISNUMBER(AA175)),IFERROR(-AA177/AA175,""),"")</f>
        <v/>
      </c>
      <c r="AB188" s="215">
        <f>IF(AND(ISNUMBER(AB177),ISNUMBER(AB175)),IFERROR(-AB177/AB175,""),"")</f>
        <v/>
      </c>
      <c r="AC188" s="215">
        <f>IF(AND(ISNUMBER(AC177),ISNUMBER(AC175)),IFERROR(-AC177/AC175,""),"")</f>
        <v/>
      </c>
      <c r="AD188" s="215">
        <f>IF(AND(ISNUMBER(AD177),ISNUMBER(AD175)),IFERROR(-AD177/AD175,""),"")</f>
        <v/>
      </c>
      <c r="AE188" s="215">
        <f>IF(AND(ISNUMBER(AE177),ISNUMBER(AE175)),IFERROR(-AE177/AE175,""),"")</f>
        <v/>
      </c>
      <c r="AF188" s="260" t="n">
        <v>0</v>
      </c>
      <c r="AG188" s="260" t="n">
        <v>0</v>
      </c>
      <c r="AH188" s="24" t="n"/>
      <c r="AI188" s="260" t="n">
        <v>0</v>
      </c>
      <c r="AJ188" s="260" t="n">
        <v>0</v>
      </c>
      <c r="AK188" s="260" t="n">
        <v>0</v>
      </c>
      <c r="AL188" s="260" t="n">
        <v>0</v>
      </c>
      <c r="AM188" s="153" t="inlineStr">
        <is>
          <t>Only a small part of SBC is tax-deductible (local rate on the deductible portion); FY25 ≈ 1–2% of SBC.</t>
        </is>
      </c>
    </row>
    <row r="189" ht="15" customHeight="1" s="251">
      <c r="B189" s="158" t="inlineStr">
        <is>
          <t xml:space="preserve">  Definition basis (company adjusted EPS definition in force when published)</t>
        </is>
      </c>
      <c r="C189" s="275" t="inlineStr">
        <is>
          <t>FY2019–20: prospectus (Class A only; ×1,250 share reorganisation); + SBC + tax effect</t>
        </is>
      </c>
      <c r="E189" s="275" t="inlineStr">
        <is>
          <t>2021: + SBC + equity transaction costs + tax effect; Class B shares from the Sep-2021 IPO reorganisation</t>
        </is>
      </c>
      <c r="J189" s="275" t="inlineStr">
        <is>
          <t>2022+: + SBC + tax effect on the deductible portion; Class A + Class B ÷ Class A-equivalent shares</t>
        </is>
      </c>
      <c r="AF189" s="153" t="n"/>
      <c r="AG189" s="153" t="n"/>
      <c r="AH189" s="153" t="n"/>
      <c r="AI189" s="153" t="n"/>
      <c r="AJ189" s="153" t="n"/>
      <c r="AK189" s="153" t="n"/>
      <c r="AL189" s="153" t="n"/>
      <c r="AM189" s="19" t="n"/>
    </row>
    <row r="190" ht="15" customHeight="1" s="251">
      <c r="B190" s="22" t="inlineStr">
        <is>
          <t xml:space="preserve">  Adjusted EPS y/y %</t>
        </is>
      </c>
      <c r="C190" s="23" t="n"/>
      <c r="D190" s="255">
        <f>IF(AND(ISNUMBER(D182),ISNUMBER(C182)),IFERROR(D182/C182-1,""),"")</f>
        <v/>
      </c>
      <c r="E190" s="23" t="n"/>
      <c r="F190" s="23" t="n"/>
      <c r="G190" s="23" t="n"/>
      <c r="H190" s="23" t="n"/>
      <c r="I190" s="255">
        <f>IF(AND(ISNUMBER(I182),ISNUMBER(D182)),IFERROR(I182/D182-1,""),"")</f>
        <v/>
      </c>
      <c r="J190" s="255">
        <f>IF(AND(ISNUMBER(J182),ISNUMBER(E182)),IFERROR(J182/E182-1,""),"")</f>
        <v/>
      </c>
      <c r="K190" s="255">
        <f>IF(AND(ISNUMBER(K182),ISNUMBER(F182)),IFERROR(K182/F182-1,""),"")</f>
        <v/>
      </c>
      <c r="L190" s="255">
        <f>IF(AND(ISNUMBER(L182),ISNUMBER(G182)),IFERROR(L182/G182-1,""),"")</f>
        <v/>
      </c>
      <c r="M190" s="255">
        <f>IF(AND(ISNUMBER(M182),ISNUMBER(H182)),IFERROR(M182/H182-1,""),"")</f>
        <v/>
      </c>
      <c r="N190" s="255">
        <f>IF(AND(ISNUMBER(N182),ISNUMBER(I182)),IFERROR(N182/I182-1,""),"")</f>
        <v/>
      </c>
      <c r="O190" s="255">
        <f>IF(AND(ISNUMBER(O182),ISNUMBER(J182)),IFERROR(O182/J182-1,""),"")</f>
        <v/>
      </c>
      <c r="P190" s="255">
        <f>IF(AND(ISNUMBER(P182),ISNUMBER(K182)),IFERROR(P182/K182-1,""),"")</f>
        <v/>
      </c>
      <c r="Q190" s="255">
        <f>IF(AND(ISNUMBER(Q182),ISNUMBER(L182)),IFERROR(Q182/L182-1,""),"")</f>
        <v/>
      </c>
      <c r="R190" s="255">
        <f>IF(AND(ISNUMBER(R182),ISNUMBER(M182)),IFERROR(R182/M182-1,""),"")</f>
        <v/>
      </c>
      <c r="S190" s="255">
        <f>IF(AND(ISNUMBER(S182),ISNUMBER(N182)),IFERROR(S182/N182-1,""),"")</f>
        <v/>
      </c>
      <c r="T190" s="255">
        <f>IF(AND(ISNUMBER(T182),ISNUMBER(O182)),IFERROR(T182/O182-1,""),"")</f>
        <v/>
      </c>
      <c r="U190" s="255">
        <f>IF(AND(ISNUMBER(U182),ISNUMBER(P182)),IFERROR(U182/P182-1,""),"")</f>
        <v/>
      </c>
      <c r="V190" s="255">
        <f>IF(AND(ISNUMBER(V182),ISNUMBER(Q182)),IFERROR(V182/Q182-1,""),"")</f>
        <v/>
      </c>
      <c r="W190" s="255">
        <f>IF(AND(ISNUMBER(W182),ISNUMBER(R182)),IFERROR(W182/R182-1,""),"")</f>
        <v/>
      </c>
      <c r="X190" s="255">
        <f>IF(AND(ISNUMBER(X182),ISNUMBER(S182)),IFERROR(X182/S182-1,""),"")</f>
        <v/>
      </c>
      <c r="Y190" s="255">
        <f>IF(AND(ISNUMBER(Y182),ISNUMBER(T182)),IFERROR(Y182/T182-1,""),"")</f>
        <v/>
      </c>
      <c r="Z190" s="255">
        <f>IF(AND(ISNUMBER(Z182),ISNUMBER(U182)),IFERROR(Z182/U182-1,""),"")</f>
        <v/>
      </c>
      <c r="AA190" s="255">
        <f>IF(AND(ISNUMBER(AA182),ISNUMBER(V182)),IFERROR(AA182/V182-1,""),"")</f>
        <v/>
      </c>
      <c r="AB190" s="255">
        <f>IF(AND(ISNUMBER(AB182),ISNUMBER(W182)),IFERROR(AB182/W182-1,""),"")</f>
        <v/>
      </c>
      <c r="AC190" s="255">
        <f>IF(AND(ISNUMBER(AC182),ISNUMBER(X182)),IFERROR(AC182/X182-1,""),"")</f>
        <v/>
      </c>
      <c r="AD190" s="255">
        <f>IF(AND(ISNUMBER(AD182),ISNUMBER(Y182)),IFERROR(AD182/Y182-1,""),"")</f>
        <v/>
      </c>
      <c r="AE190" s="255">
        <f>IF(AND(ISNUMBER(AE182),ISNUMBER(Z182)),IFERROR(AE182/Z182-1,""),"")</f>
        <v/>
      </c>
      <c r="AF190" s="256">
        <f>IF(AND(ISNUMBER(AF182),ISNUMBER(AA182)),IFERROR(AF182/AA182-1,""),"")</f>
        <v/>
      </c>
      <c r="AG190" s="256">
        <f>IF(AND(ISNUMBER(AG182),ISNUMBER(AB182)),IFERROR(AG182/AB182-1,""),"")</f>
        <v/>
      </c>
      <c r="AH190" s="256">
        <f>IF(AND(ISNUMBER(AH182),ISNUMBER(AC182)),IFERROR(AH182/AC182-1,""),"")</f>
        <v/>
      </c>
      <c r="AI190" s="256">
        <f>IF(AND(ISNUMBER(AI182),ISNUMBER(AH182)),IFERROR(AI182/AH182-1,""),"")</f>
        <v/>
      </c>
      <c r="AJ190" s="256">
        <f>IF(AND(ISNUMBER(AJ182),ISNUMBER(AI182)),IFERROR(AJ182/AI182-1,""),"")</f>
        <v/>
      </c>
      <c r="AK190" s="256">
        <f>IF(AND(ISNUMBER(AK182),ISNUMBER(AJ182)),IFERROR(AK182/AJ182-1,""),"")</f>
        <v/>
      </c>
      <c r="AL190" s="256">
        <f>IF(AND(ISNUMBER(AL182),ISNUMBER(AK182)),IFERROR(AL182/AK182-1,""),"")</f>
        <v/>
      </c>
      <c r="AM190" s="153" t="n"/>
    </row>
    <row r="191" ht="15" customHeight="1" s="251">
      <c r="AU191" s="11" t="n"/>
      <c r="AV191" s="12" t="n"/>
      <c r="AW191" s="12" t="n"/>
      <c r="AX191" s="12" t="n"/>
      <c r="AY191" s="13" t="n"/>
    </row>
    <row r="192" ht="15" customHeight="1" s="251">
      <c r="B192" s="10" t="inlineStr">
        <is>
          <t>GROWTH &amp; MARGINS</t>
        </is>
      </c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inlineStr">
        <is>
          <t>GROWTH &amp; MARGINS (consolidated) — forecast outputs</t>
        </is>
      </c>
    </row>
    <row r="193" ht="15" customHeight="1" s="251">
      <c r="B193" s="22" t="inlineStr">
        <is>
          <t xml:space="preserve">  Net sales y/y % (reported, CHF)</t>
        </is>
      </c>
      <c r="C193" s="23" t="n"/>
      <c r="D193" s="255">
        <f>IF(AND(ISNUMBER(D109),ISNUMBER(C109)),IFERROR(D109/C109-1,""),"")</f>
        <v/>
      </c>
      <c r="E193" s="23" t="n"/>
      <c r="F193" s="23" t="n"/>
      <c r="G193" s="23" t="n"/>
      <c r="H193" s="23" t="n"/>
      <c r="I193" s="255">
        <f>IF(AND(ISNUMBER(I109),ISNUMBER(D109)),IFERROR(I109/D109-1,""),"")</f>
        <v/>
      </c>
      <c r="J193" s="255">
        <f>IF(AND(ISNUMBER(J109),ISNUMBER(E109)),IFERROR(J109/E109-1,""),"")</f>
        <v/>
      </c>
      <c r="K193" s="255">
        <f>IF(AND(ISNUMBER(K109),ISNUMBER(F109)),IFERROR(K109/F109-1,""),"")</f>
        <v/>
      </c>
      <c r="L193" s="255">
        <f>IF(AND(ISNUMBER(L109),ISNUMBER(G109)),IFERROR(L109/G109-1,""),"")</f>
        <v/>
      </c>
      <c r="M193" s="255">
        <f>IF(AND(ISNUMBER(M109),ISNUMBER(H109)),IFERROR(M109/H109-1,""),"")</f>
        <v/>
      </c>
      <c r="N193" s="255">
        <f>IF(AND(ISNUMBER(N109),ISNUMBER(I109)),IFERROR(N109/I109-1,""),"")</f>
        <v/>
      </c>
      <c r="O193" s="255">
        <f>IF(AND(ISNUMBER(O109),ISNUMBER(J109)),IFERROR(O109/J109-1,""),"")</f>
        <v/>
      </c>
      <c r="P193" s="255">
        <f>IF(AND(ISNUMBER(P109),ISNUMBER(K109)),IFERROR(P109/K109-1,""),"")</f>
        <v/>
      </c>
      <c r="Q193" s="255">
        <f>IF(AND(ISNUMBER(Q109),ISNUMBER(L109)),IFERROR(Q109/L109-1,""),"")</f>
        <v/>
      </c>
      <c r="R193" s="255">
        <f>IF(AND(ISNUMBER(R109),ISNUMBER(M109)),IFERROR(R109/M109-1,""),"")</f>
        <v/>
      </c>
      <c r="S193" s="255">
        <f>IF(AND(ISNUMBER(S109),ISNUMBER(N109)),IFERROR(S109/N109-1,""),"")</f>
        <v/>
      </c>
      <c r="T193" s="255">
        <f>IF(AND(ISNUMBER(T109),ISNUMBER(O109)),IFERROR(T109/O109-1,""),"")</f>
        <v/>
      </c>
      <c r="U193" s="255">
        <f>IF(AND(ISNUMBER(U109),ISNUMBER(P109)),IFERROR(U109/P109-1,""),"")</f>
        <v/>
      </c>
      <c r="V193" s="255">
        <f>IF(AND(ISNUMBER(V109),ISNUMBER(Q109)),IFERROR(V109/Q109-1,""),"")</f>
        <v/>
      </c>
      <c r="W193" s="255">
        <f>IF(AND(ISNUMBER(W109),ISNUMBER(R109)),IFERROR(W109/R109-1,""),"")</f>
        <v/>
      </c>
      <c r="X193" s="255">
        <f>IF(AND(ISNUMBER(X109),ISNUMBER(S109)),IFERROR(X109/S109-1,""),"")</f>
        <v/>
      </c>
      <c r="Y193" s="255">
        <f>IF(AND(ISNUMBER(Y109),ISNUMBER(T109)),IFERROR(Y109/T109-1,""),"")</f>
        <v/>
      </c>
      <c r="Z193" s="255">
        <f>IF(AND(ISNUMBER(Z109),ISNUMBER(U109)),IFERROR(Z109/U109-1,""),"")</f>
        <v/>
      </c>
      <c r="AA193" s="255">
        <f>IF(AND(ISNUMBER(AA109),ISNUMBER(V109)),IFERROR(AA109/V109-1,""),"")</f>
        <v/>
      </c>
      <c r="AB193" s="255">
        <f>IF(AND(ISNUMBER(AB109),ISNUMBER(W109)),IFERROR(AB109/W109-1,""),"")</f>
        <v/>
      </c>
      <c r="AC193" s="255">
        <f>IF(AND(ISNUMBER(AC109),ISNUMBER(X109)),IFERROR(AC109/X109-1,""),"")</f>
        <v/>
      </c>
      <c r="AD193" s="255">
        <f>IF(AND(ISNUMBER(AD109),ISNUMBER(Y109)),IFERROR(AD109/Y109-1,""),"")</f>
        <v/>
      </c>
      <c r="AE193" s="255">
        <f>IF(AND(ISNUMBER(AE109),ISNUMBER(Z109)),IFERROR(AE109/Z109-1,""),"")</f>
        <v/>
      </c>
      <c r="AF193" s="256">
        <f>IF(AND(ISNUMBER(AF109),ISNUMBER(AA109)),IFERROR(AF109/AA109-1,""),"")</f>
        <v/>
      </c>
      <c r="AG193" s="256">
        <f>IF(AND(ISNUMBER(AG109),ISNUMBER(AB109)),IFERROR(AG109/AB109-1,""),"")</f>
        <v/>
      </c>
      <c r="AH193" s="256">
        <f>IF(AND(ISNUMBER(AH109),ISNUMBER(AC109)),IFERROR(AH109/AC109-1,""),"")</f>
        <v/>
      </c>
      <c r="AI193" s="256">
        <f>IF(AND(ISNUMBER(AI109),ISNUMBER(AH109)),IFERROR(AI109/AH109-1,""),"")</f>
        <v/>
      </c>
      <c r="AJ193" s="256">
        <f>IF(AND(ISNUMBER(AJ109),ISNUMBER(AI109)),IFERROR(AJ109/AI109-1,""),"")</f>
        <v/>
      </c>
      <c r="AK193" s="256">
        <f>IF(AND(ISNUMBER(AK109),ISNUMBER(AJ109)),IFERROR(AK109/AJ109-1,""),"")</f>
        <v/>
      </c>
      <c r="AL193" s="256">
        <f>IF(AND(ISNUMBER(AL109),ISNUMBER(AK109)),IFERROR(AL109/AK109-1,""),"")</f>
        <v/>
      </c>
      <c r="AM193" s="153" t="n"/>
      <c r="AO193" s="37">
        <f>IFERROR(AVERAGE(AH193,AI193,AJ193,AK193,AL193),"n/m")</f>
        <v/>
      </c>
      <c r="AP193" s="37">
        <f>IFERROR(AVERAGE(I193,N193,S193,X193,AC193),"n/m")</f>
        <v/>
      </c>
      <c r="AQ193" s="37">
        <f>IFERROR(AVERAGE(S193,X193,AC193),"n/m")</f>
        <v/>
      </c>
      <c r="AR193" s="37">
        <f>IFERROR(AVERAGE(C193,D193,I193,N193,S193,X193,AC193),"n/m")</f>
        <v/>
      </c>
    </row>
    <row r="194" ht="15" customHeight="1" s="251">
      <c r="B194" s="22" t="inlineStr">
        <is>
          <t xml:space="preserve">  Net sales y/y % constant currency</t>
        </is>
      </c>
      <c r="C194" s="23" t="n"/>
      <c r="D194" s="255">
        <f>IF(ISNUMBER(D42),D42,"")</f>
        <v/>
      </c>
      <c r="E194" s="23" t="n"/>
      <c r="F194" s="23" t="n"/>
      <c r="G194" s="23" t="n"/>
      <c r="H194" s="23" t="n"/>
      <c r="I194" s="255">
        <f>IF(ISNUMBER(I42),I42,"")</f>
        <v/>
      </c>
      <c r="J194" s="255">
        <f>IF(ISNUMBER(J42),J42,"")</f>
        <v/>
      </c>
      <c r="K194" s="255">
        <f>IF(ISNUMBER(K42),K42,"")</f>
        <v/>
      </c>
      <c r="L194" s="255">
        <f>IF(ISNUMBER(L42),L42,"")</f>
        <v/>
      </c>
      <c r="M194" s="255">
        <f>IF(ISNUMBER(M42),M42,"")</f>
        <v/>
      </c>
      <c r="N194" s="255">
        <f>IF(ISNUMBER(N42),N42,"")</f>
        <v/>
      </c>
      <c r="O194" s="255">
        <f>IF(ISNUMBER(O42),O42,"")</f>
        <v/>
      </c>
      <c r="P194" s="255">
        <f>IF(ISNUMBER(P42),P42,"")</f>
        <v/>
      </c>
      <c r="Q194" s="255">
        <f>IF(ISNUMBER(Q42),Q42,"")</f>
        <v/>
      </c>
      <c r="R194" s="255">
        <f>IF(ISNUMBER(R42),R42,"")</f>
        <v/>
      </c>
      <c r="S194" s="255">
        <f>IF(ISNUMBER(S42),S42,"")</f>
        <v/>
      </c>
      <c r="T194" s="255">
        <f>IF(ISNUMBER(T42),T42,"")</f>
        <v/>
      </c>
      <c r="U194" s="255">
        <f>IF(ISNUMBER(U42),U42,"")</f>
        <v/>
      </c>
      <c r="V194" s="255">
        <f>IF(ISNUMBER(V42),V42,"")</f>
        <v/>
      </c>
      <c r="W194" s="255">
        <f>IF(ISNUMBER(W42),W42,"")</f>
        <v/>
      </c>
      <c r="X194" s="255">
        <f>IF(ISNUMBER(X42),X42,"")</f>
        <v/>
      </c>
      <c r="Y194" s="255">
        <f>IF(ISNUMBER(Y42),Y42,"")</f>
        <v/>
      </c>
      <c r="Z194" s="255">
        <f>IF(ISNUMBER(Z42),Z42,"")</f>
        <v/>
      </c>
      <c r="AA194" s="255">
        <f>IF(ISNUMBER(AA42),AA42,"")</f>
        <v/>
      </c>
      <c r="AB194" s="255">
        <f>IF(ISNUMBER(AB42),AB42,"")</f>
        <v/>
      </c>
      <c r="AC194" s="255">
        <f>IF(ISNUMBER(AC42),AC42,"")</f>
        <v/>
      </c>
      <c r="AD194" s="255">
        <f>IF(ISNUMBER(AD42),AD42,"")</f>
        <v/>
      </c>
      <c r="AE194" s="255">
        <f>IF(ISNUMBER(AE42),AE42,"")</f>
        <v/>
      </c>
      <c r="AF194" s="256">
        <f>IF(ISNUMBER(AF42),AF42,"")</f>
        <v/>
      </c>
      <c r="AG194" s="256">
        <f>IF(ISNUMBER(AG42),AG42,"")</f>
        <v/>
      </c>
      <c r="AH194" s="256">
        <f>IF(ISNUMBER(AH42),AH42,"")</f>
        <v/>
      </c>
      <c r="AI194" s="256">
        <f>IF(ISNUMBER(AI42),AI42,"")</f>
        <v/>
      </c>
      <c r="AJ194" s="256">
        <f>IF(ISNUMBER(AJ42),AJ42,"")</f>
        <v/>
      </c>
      <c r="AK194" s="256">
        <f>IF(ISNUMBER(AK42),AK42,"")</f>
        <v/>
      </c>
      <c r="AL194" s="256">
        <f>IF(ISNUMBER(AL42),AL42,"")</f>
        <v/>
      </c>
      <c r="AM194" s="153" t="n"/>
      <c r="AO194" s="37">
        <f>IFERROR(AVERAGE(AH194,AI194,AJ194,AK194,AL194),"n/m")</f>
        <v/>
      </c>
      <c r="AP194" s="37">
        <f>IFERROR(AVERAGE(I194,N194,S194,X194,AC194),"n/m")</f>
        <v/>
      </c>
      <c r="AQ194" s="37">
        <f>IFERROR(AVERAGE(S194,X194,AC194),"n/m")</f>
        <v/>
      </c>
      <c r="AR194" s="37">
        <f>IFERROR(AVERAGE(C194,D194,I194,N194,S194,X194,AC194),"n/m")</f>
        <v/>
      </c>
    </row>
    <row r="195" ht="15" customHeight="1" s="251">
      <c r="B195" s="22" t="inlineStr">
        <is>
          <t xml:space="preserve">  DTC net sales y/y %</t>
        </is>
      </c>
      <c r="C195" s="23" t="n"/>
      <c r="D195" s="255">
        <f>IF(AND(ISNUMBER(D57),ISNUMBER(C57)),IFERROR(D57/C57-1,""),"")</f>
        <v/>
      </c>
      <c r="E195" s="23" t="n"/>
      <c r="F195" s="23" t="n"/>
      <c r="G195" s="23" t="n"/>
      <c r="H195" s="23" t="n"/>
      <c r="I195" s="255">
        <f>IF(AND(ISNUMBER(I57),ISNUMBER(D57)),IFERROR(I57/D57-1,""),"")</f>
        <v/>
      </c>
      <c r="J195" s="255">
        <f>IF(AND(ISNUMBER(J57),ISNUMBER(E57)),IFERROR(J57/E57-1,""),"")</f>
        <v/>
      </c>
      <c r="K195" s="255">
        <f>IF(AND(ISNUMBER(K57),ISNUMBER(F57)),IFERROR(K57/F57-1,""),"")</f>
        <v/>
      </c>
      <c r="L195" s="255">
        <f>IF(AND(ISNUMBER(L57),ISNUMBER(G57)),IFERROR(L57/G57-1,""),"")</f>
        <v/>
      </c>
      <c r="M195" s="255">
        <f>IF(AND(ISNUMBER(M57),ISNUMBER(H57)),IFERROR(M57/H57-1,""),"")</f>
        <v/>
      </c>
      <c r="N195" s="255">
        <f>IF(AND(ISNUMBER(N57),ISNUMBER(I57)),IFERROR(N57/I57-1,""),"")</f>
        <v/>
      </c>
      <c r="O195" s="255">
        <f>IF(AND(ISNUMBER(O57),ISNUMBER(J57)),IFERROR(O57/J57-1,""),"")</f>
        <v/>
      </c>
      <c r="P195" s="255">
        <f>IF(AND(ISNUMBER(P57),ISNUMBER(K57)),IFERROR(P57/K57-1,""),"")</f>
        <v/>
      </c>
      <c r="Q195" s="255">
        <f>IF(AND(ISNUMBER(Q57),ISNUMBER(L57)),IFERROR(Q57/L57-1,""),"")</f>
        <v/>
      </c>
      <c r="R195" s="255">
        <f>IF(AND(ISNUMBER(R57),ISNUMBER(M57)),IFERROR(R57/M57-1,""),"")</f>
        <v/>
      </c>
      <c r="S195" s="255">
        <f>IF(AND(ISNUMBER(S57),ISNUMBER(N57)),IFERROR(S57/N57-1,""),"")</f>
        <v/>
      </c>
      <c r="T195" s="255">
        <f>IF(AND(ISNUMBER(T57),ISNUMBER(O57)),IFERROR(T57/O57-1,""),"")</f>
        <v/>
      </c>
      <c r="U195" s="255">
        <f>IF(AND(ISNUMBER(U57),ISNUMBER(P57)),IFERROR(U57/P57-1,""),"")</f>
        <v/>
      </c>
      <c r="V195" s="255">
        <f>IF(AND(ISNUMBER(V57),ISNUMBER(Q57)),IFERROR(V57/Q57-1,""),"")</f>
        <v/>
      </c>
      <c r="W195" s="255">
        <f>IF(AND(ISNUMBER(W57),ISNUMBER(R57)),IFERROR(W57/R57-1,""),"")</f>
        <v/>
      </c>
      <c r="X195" s="255">
        <f>IF(AND(ISNUMBER(X57),ISNUMBER(S57)),IFERROR(X57/S57-1,""),"")</f>
        <v/>
      </c>
      <c r="Y195" s="255">
        <f>IF(AND(ISNUMBER(Y57),ISNUMBER(T57)),IFERROR(Y57/T57-1,""),"")</f>
        <v/>
      </c>
      <c r="Z195" s="255">
        <f>IF(AND(ISNUMBER(Z57),ISNUMBER(U57)),IFERROR(Z57/U57-1,""),"")</f>
        <v/>
      </c>
      <c r="AA195" s="255">
        <f>IF(AND(ISNUMBER(AA57),ISNUMBER(V57)),IFERROR(AA57/V57-1,""),"")</f>
        <v/>
      </c>
      <c r="AB195" s="255">
        <f>IF(AND(ISNUMBER(AB57),ISNUMBER(W57)),IFERROR(AB57/W57-1,""),"")</f>
        <v/>
      </c>
      <c r="AC195" s="255">
        <f>IF(AND(ISNUMBER(AC57),ISNUMBER(X57)),IFERROR(AC57/X57-1,""),"")</f>
        <v/>
      </c>
      <c r="AD195" s="255">
        <f>IF(AND(ISNUMBER(AD57),ISNUMBER(Y57)),IFERROR(AD57/Y57-1,""),"")</f>
        <v/>
      </c>
      <c r="AE195" s="255">
        <f>IF(AND(ISNUMBER(AE57),ISNUMBER(Z57)),IFERROR(AE57/Z57-1,""),"")</f>
        <v/>
      </c>
      <c r="AF195" s="256">
        <f>IF(AND(ISNUMBER(AF57),ISNUMBER(AA57)),IFERROR(AF57/AA57-1,""),"")</f>
        <v/>
      </c>
      <c r="AG195" s="256">
        <f>IF(AND(ISNUMBER(AG57),ISNUMBER(AB57)),IFERROR(AG57/AB57-1,""),"")</f>
        <v/>
      </c>
      <c r="AH195" s="256">
        <f>IF(AND(ISNUMBER(AH57),ISNUMBER(AC57)),IFERROR(AH57/AC57-1,""),"")</f>
        <v/>
      </c>
      <c r="AI195" s="256">
        <f>IF(AND(ISNUMBER(AI57),ISNUMBER(AH57)),IFERROR(AI57/AH57-1,""),"")</f>
        <v/>
      </c>
      <c r="AJ195" s="256">
        <f>IF(AND(ISNUMBER(AJ57),ISNUMBER(AI57)),IFERROR(AJ57/AI57-1,""),"")</f>
        <v/>
      </c>
      <c r="AK195" s="256">
        <f>IF(AND(ISNUMBER(AK57),ISNUMBER(AJ57)),IFERROR(AK57/AJ57-1,""),"")</f>
        <v/>
      </c>
      <c r="AL195" s="256">
        <f>IF(AND(ISNUMBER(AL57),ISNUMBER(AK57)),IFERROR(AL57/AK57-1,""),"")</f>
        <v/>
      </c>
      <c r="AM195" s="153" t="n"/>
    </row>
    <row r="196" ht="15" customHeight="1" s="251">
      <c r="B196" s="22" t="inlineStr">
        <is>
          <t xml:space="preserve">  Adjusted EBITDA y/y %</t>
        </is>
      </c>
      <c r="C196" s="23" t="n"/>
      <c r="D196" s="255">
        <f>IF(AND(ISNUMBER(D150),ISNUMBER(C150)),IFERROR(D150/C150-1,""),"")</f>
        <v/>
      </c>
      <c r="E196" s="23" t="n"/>
      <c r="F196" s="23" t="n"/>
      <c r="G196" s="23" t="n"/>
      <c r="H196" s="23" t="n"/>
      <c r="I196" s="255">
        <f>IF(AND(ISNUMBER(I150),ISNUMBER(D150)),IFERROR(I150/D150-1,""),"")</f>
        <v/>
      </c>
      <c r="J196" s="255">
        <f>IF(AND(ISNUMBER(J150),ISNUMBER(E150)),IFERROR(J150/E150-1,""),"")</f>
        <v/>
      </c>
      <c r="K196" s="255">
        <f>IF(AND(ISNUMBER(K150),ISNUMBER(F150)),IFERROR(K150/F150-1,""),"")</f>
        <v/>
      </c>
      <c r="L196" s="255">
        <f>IF(AND(ISNUMBER(L150),ISNUMBER(G150)),IFERROR(L150/G150-1,""),"")</f>
        <v/>
      </c>
      <c r="M196" s="255">
        <f>IF(AND(ISNUMBER(M150),ISNUMBER(H150)),IFERROR(M150/H150-1,""),"")</f>
        <v/>
      </c>
      <c r="N196" s="255">
        <f>IF(AND(ISNUMBER(N150),ISNUMBER(I150)),IFERROR(N150/I150-1,""),"")</f>
        <v/>
      </c>
      <c r="O196" s="255">
        <f>IF(AND(ISNUMBER(O150),ISNUMBER(J150)),IFERROR(O150/J150-1,""),"")</f>
        <v/>
      </c>
      <c r="P196" s="255">
        <f>IF(AND(ISNUMBER(P150),ISNUMBER(K150)),IFERROR(P150/K150-1,""),"")</f>
        <v/>
      </c>
      <c r="Q196" s="255">
        <f>IF(AND(ISNUMBER(Q150),ISNUMBER(L150)),IFERROR(Q150/L150-1,""),"")</f>
        <v/>
      </c>
      <c r="R196" s="255">
        <f>IF(AND(ISNUMBER(R150),ISNUMBER(M150)),IFERROR(R150/M150-1,""),"")</f>
        <v/>
      </c>
      <c r="S196" s="255">
        <f>IF(AND(ISNUMBER(S150),ISNUMBER(N150)),IFERROR(S150/N150-1,""),"")</f>
        <v/>
      </c>
      <c r="T196" s="255">
        <f>IF(AND(ISNUMBER(T150),ISNUMBER(O150)),IFERROR(T150/O150-1,""),"")</f>
        <v/>
      </c>
      <c r="U196" s="255">
        <f>IF(AND(ISNUMBER(U150),ISNUMBER(P150)),IFERROR(U150/P150-1,""),"")</f>
        <v/>
      </c>
      <c r="V196" s="255">
        <f>IF(AND(ISNUMBER(V150),ISNUMBER(Q150)),IFERROR(V150/Q150-1,""),"")</f>
        <v/>
      </c>
      <c r="W196" s="255">
        <f>IF(AND(ISNUMBER(W150),ISNUMBER(R150)),IFERROR(W150/R150-1,""),"")</f>
        <v/>
      </c>
      <c r="X196" s="255">
        <f>IF(AND(ISNUMBER(X150),ISNUMBER(S150)),IFERROR(X150/S150-1,""),"")</f>
        <v/>
      </c>
      <c r="Y196" s="255">
        <f>IF(AND(ISNUMBER(Y150),ISNUMBER(T150)),IFERROR(Y150/T150-1,""),"")</f>
        <v/>
      </c>
      <c r="Z196" s="255">
        <f>IF(AND(ISNUMBER(Z150),ISNUMBER(U150)),IFERROR(Z150/U150-1,""),"")</f>
        <v/>
      </c>
      <c r="AA196" s="255">
        <f>IF(AND(ISNUMBER(AA150),ISNUMBER(V150)),IFERROR(AA150/V150-1,""),"")</f>
        <v/>
      </c>
      <c r="AB196" s="255">
        <f>IF(AND(ISNUMBER(AB150),ISNUMBER(W150)),IFERROR(AB150/W150-1,""),"")</f>
        <v/>
      </c>
      <c r="AC196" s="255">
        <f>IF(AND(ISNUMBER(AC150),ISNUMBER(X150)),IFERROR(AC150/X150-1,""),"")</f>
        <v/>
      </c>
      <c r="AD196" s="255">
        <f>IF(AND(ISNUMBER(AD150),ISNUMBER(Y150)),IFERROR(AD150/Y150-1,""),"")</f>
        <v/>
      </c>
      <c r="AE196" s="255">
        <f>IF(AND(ISNUMBER(AE150),ISNUMBER(Z150)),IFERROR(AE150/Z150-1,""),"")</f>
        <v/>
      </c>
      <c r="AF196" s="256">
        <f>IF(AND(ISNUMBER(AF150),ISNUMBER(AA150)),IFERROR(AF150/AA150-1,""),"")</f>
        <v/>
      </c>
      <c r="AG196" s="256">
        <f>IF(AND(ISNUMBER(AG150),ISNUMBER(AB150)),IFERROR(AG150/AB150-1,""),"")</f>
        <v/>
      </c>
      <c r="AH196" s="256">
        <f>IF(AND(ISNUMBER(AH150),ISNUMBER(AC150)),IFERROR(AH150/AC150-1,""),"")</f>
        <v/>
      </c>
      <c r="AI196" s="256">
        <f>IF(AND(ISNUMBER(AI150),ISNUMBER(AH150)),IFERROR(AI150/AH150-1,""),"")</f>
        <v/>
      </c>
      <c r="AJ196" s="256">
        <f>IF(AND(ISNUMBER(AJ150),ISNUMBER(AI150)),IFERROR(AJ150/AI150-1,""),"")</f>
        <v/>
      </c>
      <c r="AK196" s="256">
        <f>IF(AND(ISNUMBER(AK150),ISNUMBER(AJ150)),IFERROR(AK150/AJ150-1,""),"")</f>
        <v/>
      </c>
      <c r="AL196" s="256">
        <f>IF(AND(ISNUMBER(AL150),ISNUMBER(AK150)),IFERROR(AL150/AK150-1,""),"")</f>
        <v/>
      </c>
      <c r="AM196" s="153" t="n"/>
    </row>
    <row r="197" ht="15" customHeight="1" s="251">
      <c r="B197" s="22" t="inlineStr">
        <is>
          <t xml:space="preserve">  Operating result (IFRS) y/y %</t>
        </is>
      </c>
      <c r="C197" s="23" t="n"/>
      <c r="D197" s="255">
        <f>IF(AND(ISNUMBER(D114),ISNUMBER(C114)),IFERROR(D114/C114-1,""),"")</f>
        <v/>
      </c>
      <c r="E197" s="23" t="n"/>
      <c r="F197" s="23" t="n"/>
      <c r="G197" s="23" t="n"/>
      <c r="H197" s="23" t="n"/>
      <c r="I197" s="255">
        <f>IF(AND(ISNUMBER(I114),ISNUMBER(D114)),IFERROR(I114/D114-1,""),"")</f>
        <v/>
      </c>
      <c r="J197" s="255">
        <f>IF(AND(ISNUMBER(J114),ISNUMBER(E114)),IFERROR(J114/E114-1,""),"")</f>
        <v/>
      </c>
      <c r="K197" s="255">
        <f>IF(AND(ISNUMBER(K114),ISNUMBER(F114)),IFERROR(K114/F114-1,""),"")</f>
        <v/>
      </c>
      <c r="L197" s="255">
        <f>IF(AND(ISNUMBER(L114),ISNUMBER(G114)),IFERROR(L114/G114-1,""),"")</f>
        <v/>
      </c>
      <c r="M197" s="255">
        <f>IF(AND(ISNUMBER(M114),ISNUMBER(H114)),IFERROR(M114/H114-1,""),"")</f>
        <v/>
      </c>
      <c r="N197" s="255">
        <f>IF(AND(ISNUMBER(N114),ISNUMBER(I114)),IFERROR(N114/I114-1,""),"")</f>
        <v/>
      </c>
      <c r="O197" s="255">
        <f>IF(AND(ISNUMBER(O114),ISNUMBER(J114)),IFERROR(O114/J114-1,""),"")</f>
        <v/>
      </c>
      <c r="P197" s="255">
        <f>IF(AND(ISNUMBER(P114),ISNUMBER(K114)),IFERROR(P114/K114-1,""),"")</f>
        <v/>
      </c>
      <c r="Q197" s="255">
        <f>IF(AND(ISNUMBER(Q114),ISNUMBER(L114)),IFERROR(Q114/L114-1,""),"")</f>
        <v/>
      </c>
      <c r="R197" s="255">
        <f>IF(AND(ISNUMBER(R114),ISNUMBER(M114)),IFERROR(R114/M114-1,""),"")</f>
        <v/>
      </c>
      <c r="S197" s="255">
        <f>IF(AND(ISNUMBER(S114),ISNUMBER(N114)),IFERROR(S114/N114-1,""),"")</f>
        <v/>
      </c>
      <c r="T197" s="255">
        <f>IF(AND(ISNUMBER(T114),ISNUMBER(O114)),IFERROR(T114/O114-1,""),"")</f>
        <v/>
      </c>
      <c r="U197" s="255">
        <f>IF(AND(ISNUMBER(U114),ISNUMBER(P114)),IFERROR(U114/P114-1,""),"")</f>
        <v/>
      </c>
      <c r="V197" s="255">
        <f>IF(AND(ISNUMBER(V114),ISNUMBER(Q114)),IFERROR(V114/Q114-1,""),"")</f>
        <v/>
      </c>
      <c r="W197" s="255">
        <f>IF(AND(ISNUMBER(W114),ISNUMBER(R114)),IFERROR(W114/R114-1,""),"")</f>
        <v/>
      </c>
      <c r="X197" s="255">
        <f>IF(AND(ISNUMBER(X114),ISNUMBER(S114)),IFERROR(X114/S114-1,""),"")</f>
        <v/>
      </c>
      <c r="Y197" s="255">
        <f>IF(AND(ISNUMBER(Y114),ISNUMBER(T114)),IFERROR(Y114/T114-1,""),"")</f>
        <v/>
      </c>
      <c r="Z197" s="255">
        <f>IF(AND(ISNUMBER(Z114),ISNUMBER(U114)),IFERROR(Z114/U114-1,""),"")</f>
        <v/>
      </c>
      <c r="AA197" s="255">
        <f>IF(AND(ISNUMBER(AA114),ISNUMBER(V114)),IFERROR(AA114/V114-1,""),"")</f>
        <v/>
      </c>
      <c r="AB197" s="255">
        <f>IF(AND(ISNUMBER(AB114),ISNUMBER(W114)),IFERROR(AB114/W114-1,""),"")</f>
        <v/>
      </c>
      <c r="AC197" s="255">
        <f>IF(AND(ISNUMBER(AC114),ISNUMBER(X114)),IFERROR(AC114/X114-1,""),"")</f>
        <v/>
      </c>
      <c r="AD197" s="255">
        <f>IF(AND(ISNUMBER(AD114),ISNUMBER(Y114)),IFERROR(AD114/Y114-1,""),"")</f>
        <v/>
      </c>
      <c r="AE197" s="255">
        <f>IF(AND(ISNUMBER(AE114),ISNUMBER(Z114)),IFERROR(AE114/Z114-1,""),"")</f>
        <v/>
      </c>
      <c r="AF197" s="256">
        <f>IF(AND(ISNUMBER(AF114),ISNUMBER(AA114)),IFERROR(AF114/AA114-1,""),"")</f>
        <v/>
      </c>
      <c r="AG197" s="256">
        <f>IF(AND(ISNUMBER(AG114),ISNUMBER(AB114)),IFERROR(AG114/AB114-1,""),"")</f>
        <v/>
      </c>
      <c r="AH197" s="256">
        <f>IF(AND(ISNUMBER(AH114),ISNUMBER(AC114)),IFERROR(AH114/AC114-1,""),"")</f>
        <v/>
      </c>
      <c r="AI197" s="256">
        <f>IF(AND(ISNUMBER(AI114),ISNUMBER(AH114)),IFERROR(AI114/AH114-1,""),"")</f>
        <v/>
      </c>
      <c r="AJ197" s="256">
        <f>IF(AND(ISNUMBER(AJ114),ISNUMBER(AI114)),IFERROR(AJ114/AI114-1,""),"")</f>
        <v/>
      </c>
      <c r="AK197" s="256">
        <f>IF(AND(ISNUMBER(AK114),ISNUMBER(AJ114)),IFERROR(AK114/AJ114-1,""),"")</f>
        <v/>
      </c>
      <c r="AL197" s="256">
        <f>IF(AND(ISNUMBER(AL114),ISNUMBER(AK114)),IFERROR(AL114/AK114-1,""),"")</f>
        <v/>
      </c>
      <c r="AM197" s="153" t="n"/>
    </row>
    <row r="198" ht="15" customHeight="1" s="251">
      <c r="B198" s="22" t="inlineStr">
        <is>
          <t xml:space="preserve">  Net income y/y %</t>
        </is>
      </c>
      <c r="C198" s="23" t="n"/>
      <c r="D198" s="255">
        <f>IF(AND(ISNUMBER(D122),ISNUMBER(C122)),IFERROR(D122/C122-1,""),"")</f>
        <v/>
      </c>
      <c r="E198" s="23" t="n"/>
      <c r="F198" s="23" t="n"/>
      <c r="G198" s="23" t="n"/>
      <c r="H198" s="23" t="n"/>
      <c r="I198" s="255">
        <f>IF(AND(ISNUMBER(I122),ISNUMBER(D122)),IFERROR(I122/D122-1,""),"")</f>
        <v/>
      </c>
      <c r="J198" s="255">
        <f>IF(AND(ISNUMBER(J122),ISNUMBER(E122)),IFERROR(J122/E122-1,""),"")</f>
        <v/>
      </c>
      <c r="K198" s="255">
        <f>IF(AND(ISNUMBER(K122),ISNUMBER(F122)),IFERROR(K122/F122-1,""),"")</f>
        <v/>
      </c>
      <c r="L198" s="255">
        <f>IF(AND(ISNUMBER(L122),ISNUMBER(G122)),IFERROR(L122/G122-1,""),"")</f>
        <v/>
      </c>
      <c r="M198" s="255">
        <f>IF(AND(ISNUMBER(M122),ISNUMBER(H122)),IFERROR(M122/H122-1,""),"")</f>
        <v/>
      </c>
      <c r="N198" s="255">
        <f>IF(AND(ISNUMBER(N122),ISNUMBER(I122)),IFERROR(N122/I122-1,""),"")</f>
        <v/>
      </c>
      <c r="O198" s="255">
        <f>IF(AND(ISNUMBER(O122),ISNUMBER(J122)),IFERROR(O122/J122-1,""),"")</f>
        <v/>
      </c>
      <c r="P198" s="255">
        <f>IF(AND(ISNUMBER(P122),ISNUMBER(K122)),IFERROR(P122/K122-1,""),"")</f>
        <v/>
      </c>
      <c r="Q198" s="255">
        <f>IF(AND(ISNUMBER(Q122),ISNUMBER(L122)),IFERROR(Q122/L122-1,""),"")</f>
        <v/>
      </c>
      <c r="R198" s="255">
        <f>IF(AND(ISNUMBER(R122),ISNUMBER(M122)),IFERROR(R122/M122-1,""),"")</f>
        <v/>
      </c>
      <c r="S198" s="255">
        <f>IF(AND(ISNUMBER(S122),ISNUMBER(N122)),IFERROR(S122/N122-1,""),"")</f>
        <v/>
      </c>
      <c r="T198" s="255">
        <f>IF(AND(ISNUMBER(T122),ISNUMBER(O122)),IFERROR(T122/O122-1,""),"")</f>
        <v/>
      </c>
      <c r="U198" s="255">
        <f>IF(AND(ISNUMBER(U122),ISNUMBER(P122)),IFERROR(U122/P122-1,""),"")</f>
        <v/>
      </c>
      <c r="V198" s="255">
        <f>IF(AND(ISNUMBER(V122),ISNUMBER(Q122)),IFERROR(V122/Q122-1,""),"")</f>
        <v/>
      </c>
      <c r="W198" s="255">
        <f>IF(AND(ISNUMBER(W122),ISNUMBER(R122)),IFERROR(W122/R122-1,""),"")</f>
        <v/>
      </c>
      <c r="X198" s="255">
        <f>IF(AND(ISNUMBER(X122),ISNUMBER(S122)),IFERROR(X122/S122-1,""),"")</f>
        <v/>
      </c>
      <c r="Y198" s="255">
        <f>IF(AND(ISNUMBER(Y122),ISNUMBER(T122)),IFERROR(Y122/T122-1,""),"")</f>
        <v/>
      </c>
      <c r="Z198" s="255">
        <f>IF(AND(ISNUMBER(Z122),ISNUMBER(U122)),IFERROR(Z122/U122-1,""),"")</f>
        <v/>
      </c>
      <c r="AA198" s="255">
        <f>IF(AND(ISNUMBER(AA122),ISNUMBER(V122)),IFERROR(AA122/V122-1,""),"")</f>
        <v/>
      </c>
      <c r="AB198" s="255">
        <f>IF(AND(ISNUMBER(AB122),ISNUMBER(W122)),IFERROR(AB122/W122-1,""),"")</f>
        <v/>
      </c>
      <c r="AC198" s="255">
        <f>IF(AND(ISNUMBER(AC122),ISNUMBER(X122)),IFERROR(AC122/X122-1,""),"")</f>
        <v/>
      </c>
      <c r="AD198" s="255">
        <f>IF(AND(ISNUMBER(AD122),ISNUMBER(Y122)),IFERROR(AD122/Y122-1,""),"")</f>
        <v/>
      </c>
      <c r="AE198" s="255">
        <f>IF(AND(ISNUMBER(AE122),ISNUMBER(Z122)),IFERROR(AE122/Z122-1,""),"")</f>
        <v/>
      </c>
      <c r="AF198" s="256">
        <f>IF(AND(ISNUMBER(AF122),ISNUMBER(AA122)),IFERROR(AF122/AA122-1,""),"")</f>
        <v/>
      </c>
      <c r="AG198" s="256">
        <f>IF(AND(ISNUMBER(AG122),ISNUMBER(AB122)),IFERROR(AG122/AB122-1,""),"")</f>
        <v/>
      </c>
      <c r="AH198" s="256">
        <f>IF(AND(ISNUMBER(AH122),ISNUMBER(AC122)),IFERROR(AH122/AC122-1,""),"")</f>
        <v/>
      </c>
      <c r="AI198" s="256">
        <f>IF(AND(ISNUMBER(AI122),ISNUMBER(AH122)),IFERROR(AI122/AH122-1,""),"")</f>
        <v/>
      </c>
      <c r="AJ198" s="256">
        <f>IF(AND(ISNUMBER(AJ122),ISNUMBER(AI122)),IFERROR(AJ122/AI122-1,""),"")</f>
        <v/>
      </c>
      <c r="AK198" s="256">
        <f>IF(AND(ISNUMBER(AK122),ISNUMBER(AJ122)),IFERROR(AK122/AJ122-1,""),"")</f>
        <v/>
      </c>
      <c r="AL198" s="256">
        <f>IF(AND(ISNUMBER(AL122),ISNUMBER(AK122)),IFERROR(AL122/AK122-1,""),"")</f>
        <v/>
      </c>
      <c r="AM198" s="153" t="n"/>
    </row>
    <row r="199" ht="15" customHeight="1" s="251">
      <c r="B199" s="22" t="inlineStr">
        <is>
          <t xml:space="preserve">  Adjusted EPS y/y %</t>
        </is>
      </c>
      <c r="C199" s="23" t="n"/>
      <c r="D199" s="255">
        <f>IF(AND(ISNUMBER(D182),ISNUMBER(C182)),IFERROR(D182/C182-1,""),"")</f>
        <v/>
      </c>
      <c r="E199" s="23" t="n"/>
      <c r="F199" s="23" t="n"/>
      <c r="G199" s="23" t="n"/>
      <c r="H199" s="23" t="n"/>
      <c r="I199" s="255">
        <f>IF(AND(ISNUMBER(I182),ISNUMBER(D182)),IFERROR(I182/D182-1,""),"")</f>
        <v/>
      </c>
      <c r="J199" s="255">
        <f>IF(AND(ISNUMBER(J182),ISNUMBER(E182)),IFERROR(J182/E182-1,""),"")</f>
        <v/>
      </c>
      <c r="K199" s="255">
        <f>IF(AND(ISNUMBER(K182),ISNUMBER(F182)),IFERROR(K182/F182-1,""),"")</f>
        <v/>
      </c>
      <c r="L199" s="255">
        <f>IF(AND(ISNUMBER(L182),ISNUMBER(G182)),IFERROR(L182/G182-1,""),"")</f>
        <v/>
      </c>
      <c r="M199" s="255">
        <f>IF(AND(ISNUMBER(M182),ISNUMBER(H182)),IFERROR(M182/H182-1,""),"")</f>
        <v/>
      </c>
      <c r="N199" s="255">
        <f>IF(AND(ISNUMBER(N182),ISNUMBER(I182)),IFERROR(N182/I182-1,""),"")</f>
        <v/>
      </c>
      <c r="O199" s="255">
        <f>IF(AND(ISNUMBER(O182),ISNUMBER(J182)),IFERROR(O182/J182-1,""),"")</f>
        <v/>
      </c>
      <c r="P199" s="255">
        <f>IF(AND(ISNUMBER(P182),ISNUMBER(K182)),IFERROR(P182/K182-1,""),"")</f>
        <v/>
      </c>
      <c r="Q199" s="255">
        <f>IF(AND(ISNUMBER(Q182),ISNUMBER(L182)),IFERROR(Q182/L182-1,""),"")</f>
        <v/>
      </c>
      <c r="R199" s="255">
        <f>IF(AND(ISNUMBER(R182),ISNUMBER(M182)),IFERROR(R182/M182-1,""),"")</f>
        <v/>
      </c>
      <c r="S199" s="255">
        <f>IF(AND(ISNUMBER(S182),ISNUMBER(N182)),IFERROR(S182/N182-1,""),"")</f>
        <v/>
      </c>
      <c r="T199" s="255">
        <f>IF(AND(ISNUMBER(T182),ISNUMBER(O182)),IFERROR(T182/O182-1,""),"")</f>
        <v/>
      </c>
      <c r="U199" s="255">
        <f>IF(AND(ISNUMBER(U182),ISNUMBER(P182)),IFERROR(U182/P182-1,""),"")</f>
        <v/>
      </c>
      <c r="V199" s="255">
        <f>IF(AND(ISNUMBER(V182),ISNUMBER(Q182)),IFERROR(V182/Q182-1,""),"")</f>
        <v/>
      </c>
      <c r="W199" s="255">
        <f>IF(AND(ISNUMBER(W182),ISNUMBER(R182)),IFERROR(W182/R182-1,""),"")</f>
        <v/>
      </c>
      <c r="X199" s="255">
        <f>IF(AND(ISNUMBER(X182),ISNUMBER(S182)),IFERROR(X182/S182-1,""),"")</f>
        <v/>
      </c>
      <c r="Y199" s="255">
        <f>IF(AND(ISNUMBER(Y182),ISNUMBER(T182)),IFERROR(Y182/T182-1,""),"")</f>
        <v/>
      </c>
      <c r="Z199" s="255">
        <f>IF(AND(ISNUMBER(Z182),ISNUMBER(U182)),IFERROR(Z182/U182-1,""),"")</f>
        <v/>
      </c>
      <c r="AA199" s="255">
        <f>IF(AND(ISNUMBER(AA182),ISNUMBER(V182)),IFERROR(AA182/V182-1,""),"")</f>
        <v/>
      </c>
      <c r="AB199" s="255">
        <f>IF(AND(ISNUMBER(AB182),ISNUMBER(W182)),IFERROR(AB182/W182-1,""),"")</f>
        <v/>
      </c>
      <c r="AC199" s="255">
        <f>IF(AND(ISNUMBER(AC182),ISNUMBER(X182)),IFERROR(AC182/X182-1,""),"")</f>
        <v/>
      </c>
      <c r="AD199" s="255">
        <f>IF(AND(ISNUMBER(AD182),ISNUMBER(Y182)),IFERROR(AD182/Y182-1,""),"")</f>
        <v/>
      </c>
      <c r="AE199" s="255">
        <f>IF(AND(ISNUMBER(AE182),ISNUMBER(Z182)),IFERROR(AE182/Z182-1,""),"")</f>
        <v/>
      </c>
      <c r="AF199" s="256">
        <f>IF(AND(ISNUMBER(AF182),ISNUMBER(AA182)),IFERROR(AF182/AA182-1,""),"")</f>
        <v/>
      </c>
      <c r="AG199" s="256">
        <f>IF(AND(ISNUMBER(AG182),ISNUMBER(AB182)),IFERROR(AG182/AB182-1,""),"")</f>
        <v/>
      </c>
      <c r="AH199" s="256">
        <f>IF(AND(ISNUMBER(AH182),ISNUMBER(AC182)),IFERROR(AH182/AC182-1,""),"")</f>
        <v/>
      </c>
      <c r="AI199" s="256">
        <f>IF(AND(ISNUMBER(AI182),ISNUMBER(AH182)),IFERROR(AI182/AH182-1,""),"")</f>
        <v/>
      </c>
      <c r="AJ199" s="256">
        <f>IF(AND(ISNUMBER(AJ182),ISNUMBER(AI182)),IFERROR(AJ182/AI182-1,""),"")</f>
        <v/>
      </c>
      <c r="AK199" s="256">
        <f>IF(AND(ISNUMBER(AK182),ISNUMBER(AJ182)),IFERROR(AK182/AJ182-1,""),"")</f>
        <v/>
      </c>
      <c r="AL199" s="256">
        <f>IF(AND(ISNUMBER(AL182),ISNUMBER(AK182)),IFERROR(AL182/AK182-1,""),"")</f>
        <v/>
      </c>
      <c r="AM199" s="153" t="n"/>
    </row>
    <row r="200" ht="15" customHeight="1" s="251">
      <c r="B200" s="25" t="inlineStr">
        <is>
          <t xml:space="preserve">  Gross margin %</t>
        </is>
      </c>
      <c r="C200" s="215">
        <f>IF(AND(ISNUMBER(C111),ISNUMBER(C109)),IFERROR(C111/C109,""),"")</f>
        <v/>
      </c>
      <c r="D200" s="215">
        <f>IF(AND(ISNUMBER(D111),ISNUMBER(D109)),IFERROR(D111/D109,""),"")</f>
        <v/>
      </c>
      <c r="E200" s="215">
        <f>IF(AND(ISNUMBER(E111),ISNUMBER(E109)),IFERROR(E111/E109,""),"")</f>
        <v/>
      </c>
      <c r="F200" s="215">
        <f>IF(AND(ISNUMBER(F111),ISNUMBER(F109)),IFERROR(F111/F109,""),"")</f>
        <v/>
      </c>
      <c r="G200" s="215">
        <f>IF(AND(ISNUMBER(G111),ISNUMBER(G109)),IFERROR(G111/G109,""),"")</f>
        <v/>
      </c>
      <c r="H200" s="215">
        <f>IF(AND(ISNUMBER(H111),ISNUMBER(H109)),IFERROR(H111/H109,""),"")</f>
        <v/>
      </c>
      <c r="I200" s="215">
        <f>IF(AND(ISNUMBER(I111),ISNUMBER(I109)),IFERROR(I111/I109,""),"")</f>
        <v/>
      </c>
      <c r="J200" s="215">
        <f>IF(AND(ISNUMBER(J111),ISNUMBER(J109)),IFERROR(J111/J109,""),"")</f>
        <v/>
      </c>
      <c r="K200" s="215">
        <f>IF(AND(ISNUMBER(K111),ISNUMBER(K109)),IFERROR(K111/K109,""),"")</f>
        <v/>
      </c>
      <c r="L200" s="215">
        <f>IF(AND(ISNUMBER(L111),ISNUMBER(L109)),IFERROR(L111/L109,""),"")</f>
        <v/>
      </c>
      <c r="M200" s="215">
        <f>IF(AND(ISNUMBER(M111),ISNUMBER(M109)),IFERROR(M111/M109,""),"")</f>
        <v/>
      </c>
      <c r="N200" s="215">
        <f>IF(AND(ISNUMBER(N111),ISNUMBER(N109)),IFERROR(N111/N109,""),"")</f>
        <v/>
      </c>
      <c r="O200" s="215">
        <f>IF(AND(ISNUMBER(O111),ISNUMBER(O109)),IFERROR(O111/O109,""),"")</f>
        <v/>
      </c>
      <c r="P200" s="215">
        <f>IF(AND(ISNUMBER(P111),ISNUMBER(P109)),IFERROR(P111/P109,""),"")</f>
        <v/>
      </c>
      <c r="Q200" s="215">
        <f>IF(AND(ISNUMBER(Q111),ISNUMBER(Q109)),IFERROR(Q111/Q109,""),"")</f>
        <v/>
      </c>
      <c r="R200" s="215">
        <f>IF(AND(ISNUMBER(R111),ISNUMBER(R109)),IFERROR(R111/R109,""),"")</f>
        <v/>
      </c>
      <c r="S200" s="215">
        <f>IF(AND(ISNUMBER(S111),ISNUMBER(S109)),IFERROR(S111/S109,""),"")</f>
        <v/>
      </c>
      <c r="T200" s="215">
        <f>IF(AND(ISNUMBER(T111),ISNUMBER(T109)),IFERROR(T111/T109,""),"")</f>
        <v/>
      </c>
      <c r="U200" s="215">
        <f>IF(AND(ISNUMBER(U111),ISNUMBER(U109)),IFERROR(U111/U109,""),"")</f>
        <v/>
      </c>
      <c r="V200" s="215">
        <f>IF(AND(ISNUMBER(V111),ISNUMBER(V109)),IFERROR(V111/V109,""),"")</f>
        <v/>
      </c>
      <c r="W200" s="215">
        <f>IF(AND(ISNUMBER(W111),ISNUMBER(W109)),IFERROR(W111/W109,""),"")</f>
        <v/>
      </c>
      <c r="X200" s="215">
        <f>IF(AND(ISNUMBER(X111),ISNUMBER(X109)),IFERROR(X111/X109,""),"")</f>
        <v/>
      </c>
      <c r="Y200" s="215">
        <f>IF(AND(ISNUMBER(Y111),ISNUMBER(Y109)),IFERROR(Y111/Y109,""),"")</f>
        <v/>
      </c>
      <c r="Z200" s="215">
        <f>IF(AND(ISNUMBER(Z111),ISNUMBER(Z109)),IFERROR(Z111/Z109,""),"")</f>
        <v/>
      </c>
      <c r="AA200" s="215">
        <f>IF(AND(ISNUMBER(AA111),ISNUMBER(AA109)),IFERROR(AA111/AA109,""),"")</f>
        <v/>
      </c>
      <c r="AB200" s="215">
        <f>IF(AND(ISNUMBER(AB111),ISNUMBER(AB109)),IFERROR(AB111/AB109,""),"")</f>
        <v/>
      </c>
      <c r="AC200" s="215">
        <f>IF(AND(ISNUMBER(AC111),ISNUMBER(AC109)),IFERROR(AC111/AC109,""),"")</f>
        <v/>
      </c>
      <c r="AD200" s="215">
        <f>IF(AND(ISNUMBER(AD111),ISNUMBER(AD109)),IFERROR(AD111/AD109,""),"")</f>
        <v/>
      </c>
      <c r="AE200" s="215">
        <f>IF(AND(ISNUMBER(AE111),ISNUMBER(AE109)),IFERROR(AE111/AE109,""),"")</f>
        <v/>
      </c>
      <c r="AF200" s="256">
        <f>IF(AND(ISNUMBER(AF111),ISNUMBER(AF109)),IFERROR(AF111/AF109,""),"")</f>
        <v/>
      </c>
      <c r="AG200" s="256">
        <f>IF(AND(ISNUMBER(AG111),ISNUMBER(AG109)),IFERROR(AG111/AG109,""),"")</f>
        <v/>
      </c>
      <c r="AH200" s="256">
        <f>IF(AND(ISNUMBER(AH111),ISNUMBER(AH109)),IFERROR(AH111/AH109,""),"")</f>
        <v/>
      </c>
      <c r="AI200" s="256">
        <f>IF(AND(ISNUMBER(AI111),ISNUMBER(AI109)),IFERROR(AI111/AI109,""),"")</f>
        <v/>
      </c>
      <c r="AJ200" s="256">
        <f>IF(AND(ISNUMBER(AJ111),ISNUMBER(AJ109)),IFERROR(AJ111/AJ109,""),"")</f>
        <v/>
      </c>
      <c r="AK200" s="256">
        <f>IF(AND(ISNUMBER(AK111),ISNUMBER(AK109)),IFERROR(AK111/AK109,""),"")</f>
        <v/>
      </c>
      <c r="AL200" s="256">
        <f>IF(AND(ISNUMBER(AL111),ISNUMBER(AL109)),IFERROR(AL111/AL109,""),"")</f>
        <v/>
      </c>
      <c r="AM200" s="153" t="n"/>
      <c r="AO200" s="37">
        <f>IFERROR(AVERAGE(AH200,AI200,AJ200,AK200,AL200),"n/m")</f>
        <v/>
      </c>
      <c r="AP200" s="37">
        <f>IFERROR(AVERAGE(I200,N200,S200,X200,AC200),"n/m")</f>
        <v/>
      </c>
      <c r="AQ200" s="37">
        <f>IFERROR(AVERAGE(S200,X200,AC200),"n/m")</f>
        <v/>
      </c>
      <c r="AR200" s="37">
        <f>IFERROR(AVERAGE(C200,D200,I200,N200,S200,X200,AC200),"n/m")</f>
        <v/>
      </c>
    </row>
    <row r="201" ht="15" customHeight="1" s="251">
      <c r="B201" s="25" t="inlineStr">
        <is>
          <t xml:space="preserve">  Adjusted EBITDA margin %</t>
        </is>
      </c>
      <c r="C201" s="215">
        <f>IF(AND(ISNUMBER(C150),ISNUMBER(C109)),IFERROR(C150/C109,""),"")</f>
        <v/>
      </c>
      <c r="D201" s="215">
        <f>IF(AND(ISNUMBER(D150),ISNUMBER(D109)),IFERROR(D150/D109,""),"")</f>
        <v/>
      </c>
      <c r="E201" s="215">
        <f>IF(AND(ISNUMBER(E150),ISNUMBER(E109)),IFERROR(E150/E109,""),"")</f>
        <v/>
      </c>
      <c r="F201" s="215">
        <f>IF(AND(ISNUMBER(F150),ISNUMBER(F109)),IFERROR(F150/F109,""),"")</f>
        <v/>
      </c>
      <c r="G201" s="215">
        <f>IF(AND(ISNUMBER(G150),ISNUMBER(G109)),IFERROR(G150/G109,""),"")</f>
        <v/>
      </c>
      <c r="H201" s="215">
        <f>IF(AND(ISNUMBER(H150),ISNUMBER(H109)),IFERROR(H150/H109,""),"")</f>
        <v/>
      </c>
      <c r="I201" s="215">
        <f>IF(AND(ISNUMBER(I150),ISNUMBER(I109)),IFERROR(I150/I109,""),"")</f>
        <v/>
      </c>
      <c r="J201" s="215">
        <f>IF(AND(ISNUMBER(J150),ISNUMBER(J109)),IFERROR(J150/J109,""),"")</f>
        <v/>
      </c>
      <c r="K201" s="215">
        <f>IF(AND(ISNUMBER(K150),ISNUMBER(K109)),IFERROR(K150/K109,""),"")</f>
        <v/>
      </c>
      <c r="L201" s="215">
        <f>IF(AND(ISNUMBER(L150),ISNUMBER(L109)),IFERROR(L150/L109,""),"")</f>
        <v/>
      </c>
      <c r="M201" s="215">
        <f>IF(AND(ISNUMBER(M150),ISNUMBER(M109)),IFERROR(M150/M109,""),"")</f>
        <v/>
      </c>
      <c r="N201" s="215">
        <f>IF(AND(ISNUMBER(N150),ISNUMBER(N109)),IFERROR(N150/N109,""),"")</f>
        <v/>
      </c>
      <c r="O201" s="215">
        <f>IF(AND(ISNUMBER(O150),ISNUMBER(O109)),IFERROR(O150/O109,""),"")</f>
        <v/>
      </c>
      <c r="P201" s="215">
        <f>IF(AND(ISNUMBER(P150),ISNUMBER(P109)),IFERROR(P150/P109,""),"")</f>
        <v/>
      </c>
      <c r="Q201" s="215">
        <f>IF(AND(ISNUMBER(Q150),ISNUMBER(Q109)),IFERROR(Q150/Q109,""),"")</f>
        <v/>
      </c>
      <c r="R201" s="215">
        <f>IF(AND(ISNUMBER(R150),ISNUMBER(R109)),IFERROR(R150/R109,""),"")</f>
        <v/>
      </c>
      <c r="S201" s="215">
        <f>IF(AND(ISNUMBER(S150),ISNUMBER(S109)),IFERROR(S150/S109,""),"")</f>
        <v/>
      </c>
      <c r="T201" s="215">
        <f>IF(AND(ISNUMBER(T150),ISNUMBER(T109)),IFERROR(T150/T109,""),"")</f>
        <v/>
      </c>
      <c r="U201" s="215">
        <f>IF(AND(ISNUMBER(U150),ISNUMBER(U109)),IFERROR(U150/U109,""),"")</f>
        <v/>
      </c>
      <c r="V201" s="215">
        <f>IF(AND(ISNUMBER(V150),ISNUMBER(V109)),IFERROR(V150/V109,""),"")</f>
        <v/>
      </c>
      <c r="W201" s="215">
        <f>IF(AND(ISNUMBER(W150),ISNUMBER(W109)),IFERROR(W150/W109,""),"")</f>
        <v/>
      </c>
      <c r="X201" s="215">
        <f>IF(AND(ISNUMBER(X150),ISNUMBER(X109)),IFERROR(X150/X109,""),"")</f>
        <v/>
      </c>
      <c r="Y201" s="215">
        <f>IF(AND(ISNUMBER(Y150),ISNUMBER(Y109)),IFERROR(Y150/Y109,""),"")</f>
        <v/>
      </c>
      <c r="Z201" s="215">
        <f>IF(AND(ISNUMBER(Z150),ISNUMBER(Z109)),IFERROR(Z150/Z109,""),"")</f>
        <v/>
      </c>
      <c r="AA201" s="215">
        <f>IF(AND(ISNUMBER(AA150),ISNUMBER(AA109)),IFERROR(AA150/AA109,""),"")</f>
        <v/>
      </c>
      <c r="AB201" s="215">
        <f>IF(AND(ISNUMBER(AB150),ISNUMBER(AB109)),IFERROR(AB150/AB109,""),"")</f>
        <v/>
      </c>
      <c r="AC201" s="215">
        <f>IF(AND(ISNUMBER(AC150),ISNUMBER(AC109)),IFERROR(AC150/AC109,""),"")</f>
        <v/>
      </c>
      <c r="AD201" s="215">
        <f>IF(AND(ISNUMBER(AD150),ISNUMBER(AD109)),IFERROR(AD150/AD109,""),"")</f>
        <v/>
      </c>
      <c r="AE201" s="215">
        <f>IF(AND(ISNUMBER(AE150),ISNUMBER(AE109)),IFERROR(AE150/AE109,""),"")</f>
        <v/>
      </c>
      <c r="AF201" s="256">
        <f>IF(AND(ISNUMBER(AF150),ISNUMBER(AF109)),IFERROR(AF150/AF109,""),"")</f>
        <v/>
      </c>
      <c r="AG201" s="256">
        <f>IF(AND(ISNUMBER(AG150),ISNUMBER(AG109)),IFERROR(AG150/AG109,""),"")</f>
        <v/>
      </c>
      <c r="AH201" s="256">
        <f>IF(AND(ISNUMBER(AH150),ISNUMBER(AH109)),IFERROR(AH150/AH109,""),"")</f>
        <v/>
      </c>
      <c r="AI201" s="256">
        <f>IF(AND(ISNUMBER(AI150),ISNUMBER(AI109)),IFERROR(AI150/AI109,""),"")</f>
        <v/>
      </c>
      <c r="AJ201" s="256">
        <f>IF(AND(ISNUMBER(AJ150),ISNUMBER(AJ109)),IFERROR(AJ150/AJ109,""),"")</f>
        <v/>
      </c>
      <c r="AK201" s="256">
        <f>IF(AND(ISNUMBER(AK150),ISNUMBER(AK109)),IFERROR(AK150/AK109,""),"")</f>
        <v/>
      </c>
      <c r="AL201" s="256">
        <f>IF(AND(ISNUMBER(AL150),ISNUMBER(AL109)),IFERROR(AL150/AL109,""),"")</f>
        <v/>
      </c>
      <c r="AM201" s="153" t="n"/>
      <c r="AO201" s="37">
        <f>IFERROR(AVERAGE(AH201,AI201,AJ201,AK201,AL201),"n/m")</f>
        <v/>
      </c>
      <c r="AP201" s="37">
        <f>IFERROR(AVERAGE(I201,N201,S201,X201,AC201),"n/m")</f>
        <v/>
      </c>
      <c r="AQ201" s="37">
        <f>IFERROR(AVERAGE(S201,X201,AC201),"n/m")</f>
        <v/>
      </c>
      <c r="AR201" s="37">
        <f>IFERROR(AVERAGE(C201,D201,I201,N201,S201,X201,AC201),"n/m")</f>
        <v/>
      </c>
    </row>
    <row r="202" ht="15" customHeight="1" s="251">
      <c r="B202" s="25" t="inlineStr">
        <is>
          <t xml:space="preserve">  Incremental Adjusted EBITDA margin (ΔEBITDA / ΔNet sales)</t>
        </is>
      </c>
      <c r="C202" s="36" t="n"/>
      <c r="D202" s="215">
        <f>IFERROR((D150-C150)/(D109-C109),"")</f>
        <v/>
      </c>
      <c r="E202" s="36" t="n"/>
      <c r="F202" s="36" t="n"/>
      <c r="G202" s="36" t="n"/>
      <c r="H202" s="36" t="n"/>
      <c r="I202" s="215">
        <f>IFERROR((I150-D150)/(I109-D109),"")</f>
        <v/>
      </c>
      <c r="J202" s="215">
        <f>IFERROR((J150-E150)/(J109-E109),"")</f>
        <v/>
      </c>
      <c r="K202" s="215">
        <f>IFERROR((K150-F150)/(K109-F109),"")</f>
        <v/>
      </c>
      <c r="L202" s="215">
        <f>IFERROR((L150-G150)/(L109-G109),"")</f>
        <v/>
      </c>
      <c r="M202" s="215">
        <f>IFERROR((M150-H150)/(M109-H109),"")</f>
        <v/>
      </c>
      <c r="N202" s="215">
        <f>IFERROR((N150-I150)/(N109-I109),"")</f>
        <v/>
      </c>
      <c r="O202" s="215">
        <f>IFERROR((O150-J150)/(O109-J109),"")</f>
        <v/>
      </c>
      <c r="P202" s="215">
        <f>IFERROR((P150-K150)/(P109-K109),"")</f>
        <v/>
      </c>
      <c r="Q202" s="215">
        <f>IFERROR((Q150-L150)/(Q109-L109),"")</f>
        <v/>
      </c>
      <c r="R202" s="215">
        <f>IFERROR((R150-M150)/(R109-M109),"")</f>
        <v/>
      </c>
      <c r="S202" s="215">
        <f>IFERROR((S150-N150)/(S109-N109),"")</f>
        <v/>
      </c>
      <c r="T202" s="215">
        <f>IFERROR((T150-O150)/(T109-O109),"")</f>
        <v/>
      </c>
      <c r="U202" s="215">
        <f>IFERROR((U150-P150)/(U109-P109),"")</f>
        <v/>
      </c>
      <c r="V202" s="215">
        <f>IFERROR((V150-Q150)/(V109-Q109),"")</f>
        <v/>
      </c>
      <c r="W202" s="215">
        <f>IFERROR((W150-R150)/(W109-R109),"")</f>
        <v/>
      </c>
      <c r="X202" s="215">
        <f>IFERROR((X150-S150)/(X109-S109),"")</f>
        <v/>
      </c>
      <c r="Y202" s="215">
        <f>IFERROR((Y150-T150)/(Y109-T109),"")</f>
        <v/>
      </c>
      <c r="Z202" s="215">
        <f>IFERROR((Z150-U150)/(Z109-U109),"")</f>
        <v/>
      </c>
      <c r="AA202" s="215">
        <f>IFERROR((AA150-V150)/(AA109-V109),"")</f>
        <v/>
      </c>
      <c r="AB202" s="215">
        <f>IFERROR((AB150-W150)/(AB109-W109),"")</f>
        <v/>
      </c>
      <c r="AC202" s="215">
        <f>IFERROR((AC150-X150)/(AC109-X109),"")</f>
        <v/>
      </c>
      <c r="AD202" s="215">
        <f>IFERROR((AD150-Y150)/(AD109-Y109),"")</f>
        <v/>
      </c>
      <c r="AE202" s="215">
        <f>IFERROR((AE150-Z150)/(AE109-Z109),"")</f>
        <v/>
      </c>
      <c r="AF202" s="256">
        <f>IFERROR((AF150-AA150)/(AF109-AA109),"")</f>
        <v/>
      </c>
      <c r="AG202" s="256">
        <f>IFERROR((AG150-AB150)/(AG109-AB109),"")</f>
        <v/>
      </c>
      <c r="AH202" s="256">
        <f>IFERROR((AH150-AC150)/(AH109-AC109),"")</f>
        <v/>
      </c>
      <c r="AI202" s="256">
        <f>IFERROR((AI150-AH150)/(AI109-AH109),"")</f>
        <v/>
      </c>
      <c r="AJ202" s="256">
        <f>IFERROR((AJ150-AI150)/(AJ109-AI109),"")</f>
        <v/>
      </c>
      <c r="AK202" s="256">
        <f>IFERROR((AK150-AJ150)/(AK109-AJ109),"")</f>
        <v/>
      </c>
      <c r="AL202" s="256">
        <f>IFERROR((AL150-AK150)/(AL109-AK109),"")</f>
        <v/>
      </c>
      <c r="AM202" s="153" t="n"/>
    </row>
    <row r="203" ht="15" customHeight="1" s="251">
      <c r="B203" s="25" t="inlineStr">
        <is>
          <t xml:space="preserve">  Adjusted operating margin %</t>
        </is>
      </c>
      <c r="C203" s="215">
        <f>IF(AND(ISNUMBER(C167),ISNUMBER(C109)),IFERROR(C167/C109,""),"")</f>
        <v/>
      </c>
      <c r="D203" s="215">
        <f>IF(AND(ISNUMBER(D167),ISNUMBER(D109)),IFERROR(D167/D109,""),"")</f>
        <v/>
      </c>
      <c r="E203" s="215">
        <f>IF(AND(ISNUMBER(E167),ISNUMBER(E109)),IFERROR(E167/E109,""),"")</f>
        <v/>
      </c>
      <c r="F203" s="215">
        <f>IF(AND(ISNUMBER(F167),ISNUMBER(F109)),IFERROR(F167/F109,""),"")</f>
        <v/>
      </c>
      <c r="G203" s="215">
        <f>IF(AND(ISNUMBER(G167),ISNUMBER(G109)),IFERROR(G167/G109,""),"")</f>
        <v/>
      </c>
      <c r="H203" s="215">
        <f>IF(AND(ISNUMBER(H167),ISNUMBER(H109)),IFERROR(H167/H109,""),"")</f>
        <v/>
      </c>
      <c r="I203" s="215">
        <f>IF(AND(ISNUMBER(I167),ISNUMBER(I109)),IFERROR(I167/I109,""),"")</f>
        <v/>
      </c>
      <c r="J203" s="215">
        <f>IF(AND(ISNUMBER(J167),ISNUMBER(J109)),IFERROR(J167/J109,""),"")</f>
        <v/>
      </c>
      <c r="K203" s="215">
        <f>IF(AND(ISNUMBER(K167),ISNUMBER(K109)),IFERROR(K167/K109,""),"")</f>
        <v/>
      </c>
      <c r="L203" s="215">
        <f>IF(AND(ISNUMBER(L167),ISNUMBER(L109)),IFERROR(L167/L109,""),"")</f>
        <v/>
      </c>
      <c r="M203" s="215">
        <f>IF(AND(ISNUMBER(M167),ISNUMBER(M109)),IFERROR(M167/M109,""),"")</f>
        <v/>
      </c>
      <c r="N203" s="215">
        <f>IF(AND(ISNUMBER(N167),ISNUMBER(N109)),IFERROR(N167/N109,""),"")</f>
        <v/>
      </c>
      <c r="O203" s="215">
        <f>IF(AND(ISNUMBER(O167),ISNUMBER(O109)),IFERROR(O167/O109,""),"")</f>
        <v/>
      </c>
      <c r="P203" s="215">
        <f>IF(AND(ISNUMBER(P167),ISNUMBER(P109)),IFERROR(P167/P109,""),"")</f>
        <v/>
      </c>
      <c r="Q203" s="215">
        <f>IF(AND(ISNUMBER(Q167),ISNUMBER(Q109)),IFERROR(Q167/Q109,""),"")</f>
        <v/>
      </c>
      <c r="R203" s="215">
        <f>IF(AND(ISNUMBER(R167),ISNUMBER(R109)),IFERROR(R167/R109,""),"")</f>
        <v/>
      </c>
      <c r="S203" s="215">
        <f>IF(AND(ISNUMBER(S167),ISNUMBER(S109)),IFERROR(S167/S109,""),"")</f>
        <v/>
      </c>
      <c r="T203" s="215">
        <f>IF(AND(ISNUMBER(T167),ISNUMBER(T109)),IFERROR(T167/T109,""),"")</f>
        <v/>
      </c>
      <c r="U203" s="215">
        <f>IF(AND(ISNUMBER(U167),ISNUMBER(U109)),IFERROR(U167/U109,""),"")</f>
        <v/>
      </c>
      <c r="V203" s="215">
        <f>IF(AND(ISNUMBER(V167),ISNUMBER(V109)),IFERROR(V167/V109,""),"")</f>
        <v/>
      </c>
      <c r="W203" s="215">
        <f>IF(AND(ISNUMBER(W167),ISNUMBER(W109)),IFERROR(W167/W109,""),"")</f>
        <v/>
      </c>
      <c r="X203" s="215">
        <f>IF(AND(ISNUMBER(X167),ISNUMBER(X109)),IFERROR(X167/X109,""),"")</f>
        <v/>
      </c>
      <c r="Y203" s="215">
        <f>IF(AND(ISNUMBER(Y167),ISNUMBER(Y109)),IFERROR(Y167/Y109,""),"")</f>
        <v/>
      </c>
      <c r="Z203" s="215">
        <f>IF(AND(ISNUMBER(Z167),ISNUMBER(Z109)),IFERROR(Z167/Z109,""),"")</f>
        <v/>
      </c>
      <c r="AA203" s="215">
        <f>IF(AND(ISNUMBER(AA167),ISNUMBER(AA109)),IFERROR(AA167/AA109,""),"")</f>
        <v/>
      </c>
      <c r="AB203" s="215">
        <f>IF(AND(ISNUMBER(AB167),ISNUMBER(AB109)),IFERROR(AB167/AB109,""),"")</f>
        <v/>
      </c>
      <c r="AC203" s="215">
        <f>IF(AND(ISNUMBER(AC167),ISNUMBER(AC109)),IFERROR(AC167/AC109,""),"")</f>
        <v/>
      </c>
      <c r="AD203" s="215">
        <f>IF(AND(ISNUMBER(AD167),ISNUMBER(AD109)),IFERROR(AD167/AD109,""),"")</f>
        <v/>
      </c>
      <c r="AE203" s="215">
        <f>IF(AND(ISNUMBER(AE167),ISNUMBER(AE109)),IFERROR(AE167/AE109,""),"")</f>
        <v/>
      </c>
      <c r="AF203" s="256">
        <f>IF(AND(ISNUMBER(AF167),ISNUMBER(AF109)),IFERROR(AF167/AF109,""),"")</f>
        <v/>
      </c>
      <c r="AG203" s="256">
        <f>IF(AND(ISNUMBER(AG167),ISNUMBER(AG109)),IFERROR(AG167/AG109,""),"")</f>
        <v/>
      </c>
      <c r="AH203" s="256">
        <f>IF(AND(ISNUMBER(AH167),ISNUMBER(AH109)),IFERROR(AH167/AH109,""),"")</f>
        <v/>
      </c>
      <c r="AI203" s="256">
        <f>IF(AND(ISNUMBER(AI167),ISNUMBER(AI109)),IFERROR(AI167/AI109,""),"")</f>
        <v/>
      </c>
      <c r="AJ203" s="256">
        <f>IF(AND(ISNUMBER(AJ167),ISNUMBER(AJ109)),IFERROR(AJ167/AJ109,""),"")</f>
        <v/>
      </c>
      <c r="AK203" s="256">
        <f>IF(AND(ISNUMBER(AK167),ISNUMBER(AK109)),IFERROR(AK167/AK109,""),"")</f>
        <v/>
      </c>
      <c r="AL203" s="256">
        <f>IF(AND(ISNUMBER(AL167),ISNUMBER(AL109)),IFERROR(AL167/AL109,""),"")</f>
        <v/>
      </c>
      <c r="AM203" s="153" t="n"/>
      <c r="AO203" s="37">
        <f>IFERROR(AVERAGE(AH203,AI203,AJ203,AK203,AL203),"n/m")</f>
        <v/>
      </c>
      <c r="AP203" s="37">
        <f>IFERROR(AVERAGE(I203,N203,S203,X203,AC203),"n/m")</f>
        <v/>
      </c>
      <c r="AQ203" s="37">
        <f>IFERROR(AVERAGE(S203,X203,AC203),"n/m")</f>
        <v/>
      </c>
      <c r="AR203" s="37">
        <f>IFERROR(AVERAGE(C203,D203,I203,N203,S203,X203,AC203),"n/m")</f>
        <v/>
      </c>
    </row>
    <row r="204" ht="15" customHeight="1" s="251">
      <c r="B204" s="25" t="inlineStr">
        <is>
          <t xml:space="preserve">  Operating margin (IFRS) %</t>
        </is>
      </c>
      <c r="C204" s="215">
        <f>IF(AND(ISNUMBER(C114),ISNUMBER(C109)),IFERROR(C114/C109,""),"")</f>
        <v/>
      </c>
      <c r="D204" s="215">
        <f>IF(AND(ISNUMBER(D114),ISNUMBER(D109)),IFERROR(D114/D109,""),"")</f>
        <v/>
      </c>
      <c r="E204" s="215">
        <f>IF(AND(ISNUMBER(E114),ISNUMBER(E109)),IFERROR(E114/E109,""),"")</f>
        <v/>
      </c>
      <c r="F204" s="215">
        <f>IF(AND(ISNUMBER(F114),ISNUMBER(F109)),IFERROR(F114/F109,""),"")</f>
        <v/>
      </c>
      <c r="G204" s="215">
        <f>IF(AND(ISNUMBER(G114),ISNUMBER(G109)),IFERROR(G114/G109,""),"")</f>
        <v/>
      </c>
      <c r="H204" s="215">
        <f>IF(AND(ISNUMBER(H114),ISNUMBER(H109)),IFERROR(H114/H109,""),"")</f>
        <v/>
      </c>
      <c r="I204" s="215">
        <f>IF(AND(ISNUMBER(I114),ISNUMBER(I109)),IFERROR(I114/I109,""),"")</f>
        <v/>
      </c>
      <c r="J204" s="215">
        <f>IF(AND(ISNUMBER(J114),ISNUMBER(J109)),IFERROR(J114/J109,""),"")</f>
        <v/>
      </c>
      <c r="K204" s="215">
        <f>IF(AND(ISNUMBER(K114),ISNUMBER(K109)),IFERROR(K114/K109,""),"")</f>
        <v/>
      </c>
      <c r="L204" s="215">
        <f>IF(AND(ISNUMBER(L114),ISNUMBER(L109)),IFERROR(L114/L109,""),"")</f>
        <v/>
      </c>
      <c r="M204" s="215">
        <f>IF(AND(ISNUMBER(M114),ISNUMBER(M109)),IFERROR(M114/M109,""),"")</f>
        <v/>
      </c>
      <c r="N204" s="215">
        <f>IF(AND(ISNUMBER(N114),ISNUMBER(N109)),IFERROR(N114/N109,""),"")</f>
        <v/>
      </c>
      <c r="O204" s="215">
        <f>IF(AND(ISNUMBER(O114),ISNUMBER(O109)),IFERROR(O114/O109,""),"")</f>
        <v/>
      </c>
      <c r="P204" s="215">
        <f>IF(AND(ISNUMBER(P114),ISNUMBER(P109)),IFERROR(P114/P109,""),"")</f>
        <v/>
      </c>
      <c r="Q204" s="215">
        <f>IF(AND(ISNUMBER(Q114),ISNUMBER(Q109)),IFERROR(Q114/Q109,""),"")</f>
        <v/>
      </c>
      <c r="R204" s="215">
        <f>IF(AND(ISNUMBER(R114),ISNUMBER(R109)),IFERROR(R114/R109,""),"")</f>
        <v/>
      </c>
      <c r="S204" s="215">
        <f>IF(AND(ISNUMBER(S114),ISNUMBER(S109)),IFERROR(S114/S109,""),"")</f>
        <v/>
      </c>
      <c r="T204" s="215">
        <f>IF(AND(ISNUMBER(T114),ISNUMBER(T109)),IFERROR(T114/T109,""),"")</f>
        <v/>
      </c>
      <c r="U204" s="215">
        <f>IF(AND(ISNUMBER(U114),ISNUMBER(U109)),IFERROR(U114/U109,""),"")</f>
        <v/>
      </c>
      <c r="V204" s="215">
        <f>IF(AND(ISNUMBER(V114),ISNUMBER(V109)),IFERROR(V114/V109,""),"")</f>
        <v/>
      </c>
      <c r="W204" s="215">
        <f>IF(AND(ISNUMBER(W114),ISNUMBER(W109)),IFERROR(W114/W109,""),"")</f>
        <v/>
      </c>
      <c r="X204" s="215">
        <f>IF(AND(ISNUMBER(X114),ISNUMBER(X109)),IFERROR(X114/X109,""),"")</f>
        <v/>
      </c>
      <c r="Y204" s="215">
        <f>IF(AND(ISNUMBER(Y114),ISNUMBER(Y109)),IFERROR(Y114/Y109,""),"")</f>
        <v/>
      </c>
      <c r="Z204" s="215">
        <f>IF(AND(ISNUMBER(Z114),ISNUMBER(Z109)),IFERROR(Z114/Z109,""),"")</f>
        <v/>
      </c>
      <c r="AA204" s="215">
        <f>IF(AND(ISNUMBER(AA114),ISNUMBER(AA109)),IFERROR(AA114/AA109,""),"")</f>
        <v/>
      </c>
      <c r="AB204" s="215">
        <f>IF(AND(ISNUMBER(AB114),ISNUMBER(AB109)),IFERROR(AB114/AB109,""),"")</f>
        <v/>
      </c>
      <c r="AC204" s="215">
        <f>IF(AND(ISNUMBER(AC114),ISNUMBER(AC109)),IFERROR(AC114/AC109,""),"")</f>
        <v/>
      </c>
      <c r="AD204" s="215">
        <f>IF(AND(ISNUMBER(AD114),ISNUMBER(AD109)),IFERROR(AD114/AD109,""),"")</f>
        <v/>
      </c>
      <c r="AE204" s="215">
        <f>IF(AND(ISNUMBER(AE114),ISNUMBER(AE109)),IFERROR(AE114/AE109,""),"")</f>
        <v/>
      </c>
      <c r="AF204" s="256">
        <f>IF(AND(ISNUMBER(AF114),ISNUMBER(AF109)),IFERROR(AF114/AF109,""),"")</f>
        <v/>
      </c>
      <c r="AG204" s="256">
        <f>IF(AND(ISNUMBER(AG114),ISNUMBER(AG109)),IFERROR(AG114/AG109,""),"")</f>
        <v/>
      </c>
      <c r="AH204" s="256">
        <f>IF(AND(ISNUMBER(AH114),ISNUMBER(AH109)),IFERROR(AH114/AH109,""),"")</f>
        <v/>
      </c>
      <c r="AI204" s="256">
        <f>IF(AND(ISNUMBER(AI114),ISNUMBER(AI109)),IFERROR(AI114/AI109,""),"")</f>
        <v/>
      </c>
      <c r="AJ204" s="256">
        <f>IF(AND(ISNUMBER(AJ114),ISNUMBER(AJ109)),IFERROR(AJ114/AJ109,""),"")</f>
        <v/>
      </c>
      <c r="AK204" s="256">
        <f>IF(AND(ISNUMBER(AK114),ISNUMBER(AK109)),IFERROR(AK114/AK109,""),"")</f>
        <v/>
      </c>
      <c r="AL204" s="256">
        <f>IF(AND(ISNUMBER(AL114),ISNUMBER(AL109)),IFERROR(AL114/AL109,""),"")</f>
        <v/>
      </c>
      <c r="AM204" s="153" t="n"/>
      <c r="AO204" s="37">
        <f>IFERROR(AVERAGE(AH204,AI204,AJ204,AK204,AL204),"n/m")</f>
        <v/>
      </c>
      <c r="AP204" s="37">
        <f>IFERROR(AVERAGE(I204,N204,S204,X204,AC204),"n/m")</f>
        <v/>
      </c>
      <c r="AQ204" s="37">
        <f>IFERROR(AVERAGE(S204,X204,AC204),"n/m")</f>
        <v/>
      </c>
      <c r="AR204" s="37">
        <f>IFERROR(AVERAGE(C204,D204,I204,N204,S204,X204,AC204),"n/m")</f>
        <v/>
      </c>
    </row>
    <row r="205" ht="15" customHeight="1" s="251">
      <c r="B205" s="25" t="inlineStr">
        <is>
          <t xml:space="preserve">  Net margin %</t>
        </is>
      </c>
      <c r="C205" s="215">
        <f>IF(AND(ISNUMBER(C122),ISNUMBER(C109)),IFERROR(C122/C109,""),"")</f>
        <v/>
      </c>
      <c r="D205" s="215">
        <f>IF(AND(ISNUMBER(D122),ISNUMBER(D109)),IFERROR(D122/D109,""),"")</f>
        <v/>
      </c>
      <c r="E205" s="215">
        <f>IF(AND(ISNUMBER(E122),ISNUMBER(E109)),IFERROR(E122/E109,""),"")</f>
        <v/>
      </c>
      <c r="F205" s="215">
        <f>IF(AND(ISNUMBER(F122),ISNUMBER(F109)),IFERROR(F122/F109,""),"")</f>
        <v/>
      </c>
      <c r="G205" s="215">
        <f>IF(AND(ISNUMBER(G122),ISNUMBER(G109)),IFERROR(G122/G109,""),"")</f>
        <v/>
      </c>
      <c r="H205" s="215">
        <f>IF(AND(ISNUMBER(H122),ISNUMBER(H109)),IFERROR(H122/H109,""),"")</f>
        <v/>
      </c>
      <c r="I205" s="215">
        <f>IF(AND(ISNUMBER(I122),ISNUMBER(I109)),IFERROR(I122/I109,""),"")</f>
        <v/>
      </c>
      <c r="J205" s="215">
        <f>IF(AND(ISNUMBER(J122),ISNUMBER(J109)),IFERROR(J122/J109,""),"")</f>
        <v/>
      </c>
      <c r="K205" s="215">
        <f>IF(AND(ISNUMBER(K122),ISNUMBER(K109)),IFERROR(K122/K109,""),"")</f>
        <v/>
      </c>
      <c r="L205" s="215">
        <f>IF(AND(ISNUMBER(L122),ISNUMBER(L109)),IFERROR(L122/L109,""),"")</f>
        <v/>
      </c>
      <c r="M205" s="215">
        <f>IF(AND(ISNUMBER(M122),ISNUMBER(M109)),IFERROR(M122/M109,""),"")</f>
        <v/>
      </c>
      <c r="N205" s="215">
        <f>IF(AND(ISNUMBER(N122),ISNUMBER(N109)),IFERROR(N122/N109,""),"")</f>
        <v/>
      </c>
      <c r="O205" s="215">
        <f>IF(AND(ISNUMBER(O122),ISNUMBER(O109)),IFERROR(O122/O109,""),"")</f>
        <v/>
      </c>
      <c r="P205" s="215">
        <f>IF(AND(ISNUMBER(P122),ISNUMBER(P109)),IFERROR(P122/P109,""),"")</f>
        <v/>
      </c>
      <c r="Q205" s="215">
        <f>IF(AND(ISNUMBER(Q122),ISNUMBER(Q109)),IFERROR(Q122/Q109,""),"")</f>
        <v/>
      </c>
      <c r="R205" s="215">
        <f>IF(AND(ISNUMBER(R122),ISNUMBER(R109)),IFERROR(R122/R109,""),"")</f>
        <v/>
      </c>
      <c r="S205" s="215">
        <f>IF(AND(ISNUMBER(S122),ISNUMBER(S109)),IFERROR(S122/S109,""),"")</f>
        <v/>
      </c>
      <c r="T205" s="215">
        <f>IF(AND(ISNUMBER(T122),ISNUMBER(T109)),IFERROR(T122/T109,""),"")</f>
        <v/>
      </c>
      <c r="U205" s="215">
        <f>IF(AND(ISNUMBER(U122),ISNUMBER(U109)),IFERROR(U122/U109,""),"")</f>
        <v/>
      </c>
      <c r="V205" s="215">
        <f>IF(AND(ISNUMBER(V122),ISNUMBER(V109)),IFERROR(V122/V109,""),"")</f>
        <v/>
      </c>
      <c r="W205" s="215">
        <f>IF(AND(ISNUMBER(W122),ISNUMBER(W109)),IFERROR(W122/W109,""),"")</f>
        <v/>
      </c>
      <c r="X205" s="215">
        <f>IF(AND(ISNUMBER(X122),ISNUMBER(X109)),IFERROR(X122/X109,""),"")</f>
        <v/>
      </c>
      <c r="Y205" s="215">
        <f>IF(AND(ISNUMBER(Y122),ISNUMBER(Y109)),IFERROR(Y122/Y109,""),"")</f>
        <v/>
      </c>
      <c r="Z205" s="215">
        <f>IF(AND(ISNUMBER(Z122),ISNUMBER(Z109)),IFERROR(Z122/Z109,""),"")</f>
        <v/>
      </c>
      <c r="AA205" s="215">
        <f>IF(AND(ISNUMBER(AA122),ISNUMBER(AA109)),IFERROR(AA122/AA109,""),"")</f>
        <v/>
      </c>
      <c r="AB205" s="215">
        <f>IF(AND(ISNUMBER(AB122),ISNUMBER(AB109)),IFERROR(AB122/AB109,""),"")</f>
        <v/>
      </c>
      <c r="AC205" s="215">
        <f>IF(AND(ISNUMBER(AC122),ISNUMBER(AC109)),IFERROR(AC122/AC109,""),"")</f>
        <v/>
      </c>
      <c r="AD205" s="215">
        <f>IF(AND(ISNUMBER(AD122),ISNUMBER(AD109)),IFERROR(AD122/AD109,""),"")</f>
        <v/>
      </c>
      <c r="AE205" s="215">
        <f>IF(AND(ISNUMBER(AE122),ISNUMBER(AE109)),IFERROR(AE122/AE109,""),"")</f>
        <v/>
      </c>
      <c r="AF205" s="256">
        <f>IF(AND(ISNUMBER(AF122),ISNUMBER(AF109)),IFERROR(AF122/AF109,""),"")</f>
        <v/>
      </c>
      <c r="AG205" s="256">
        <f>IF(AND(ISNUMBER(AG122),ISNUMBER(AG109)),IFERROR(AG122/AG109,""),"")</f>
        <v/>
      </c>
      <c r="AH205" s="256">
        <f>IF(AND(ISNUMBER(AH122),ISNUMBER(AH109)),IFERROR(AH122/AH109,""),"")</f>
        <v/>
      </c>
      <c r="AI205" s="256">
        <f>IF(AND(ISNUMBER(AI122),ISNUMBER(AI109)),IFERROR(AI122/AI109,""),"")</f>
        <v/>
      </c>
      <c r="AJ205" s="256">
        <f>IF(AND(ISNUMBER(AJ122),ISNUMBER(AJ109)),IFERROR(AJ122/AJ109,""),"")</f>
        <v/>
      </c>
      <c r="AK205" s="256">
        <f>IF(AND(ISNUMBER(AK122),ISNUMBER(AK109)),IFERROR(AK122/AK109,""),"")</f>
        <v/>
      </c>
      <c r="AL205" s="256">
        <f>IF(AND(ISNUMBER(AL122),ISNUMBER(AL109)),IFERROR(AL122/AL109,""),"")</f>
        <v/>
      </c>
      <c r="AM205" s="153" t="n"/>
      <c r="AO205" s="37">
        <f>IFERROR(AVERAGE(AH205,AI205,AJ205,AK205,AL205),"n/m")</f>
        <v/>
      </c>
      <c r="AP205" s="37">
        <f>IFERROR(AVERAGE(I205,N205,S205,X205,AC205),"n/m")</f>
        <v/>
      </c>
      <c r="AQ205" s="37">
        <f>IFERROR(AVERAGE(S205,X205,AC205),"n/m")</f>
        <v/>
      </c>
      <c r="AR205" s="37">
        <f>IFERROR(AVERAGE(C205,D205,I205,N205,S205,X205,AC205),"n/m")</f>
        <v/>
      </c>
    </row>
    <row r="206" ht="15" customHeight="1" s="251">
      <c r="B206" s="25" t="inlineStr">
        <is>
          <t xml:space="preserve">  SG&amp;A % of net sales</t>
        </is>
      </c>
      <c r="C206" s="215">
        <f>IF(AND(ISNUMBER(C113),ISNUMBER(C109)),IFERROR(C113/C109,""),"")</f>
        <v/>
      </c>
      <c r="D206" s="215">
        <f>IF(AND(ISNUMBER(D113),ISNUMBER(D109)),IFERROR(D113/D109,""),"")</f>
        <v/>
      </c>
      <c r="E206" s="215">
        <f>IF(AND(ISNUMBER(E113),ISNUMBER(E109)),IFERROR(E113/E109,""),"")</f>
        <v/>
      </c>
      <c r="F206" s="215">
        <f>IF(AND(ISNUMBER(F113),ISNUMBER(F109)),IFERROR(F113/F109,""),"")</f>
        <v/>
      </c>
      <c r="G206" s="215">
        <f>IF(AND(ISNUMBER(G113),ISNUMBER(G109)),IFERROR(G113/G109,""),"")</f>
        <v/>
      </c>
      <c r="H206" s="215">
        <f>IF(AND(ISNUMBER(H113),ISNUMBER(H109)),IFERROR(H113/H109,""),"")</f>
        <v/>
      </c>
      <c r="I206" s="215">
        <f>IF(AND(ISNUMBER(I113),ISNUMBER(I109)),IFERROR(I113/I109,""),"")</f>
        <v/>
      </c>
      <c r="J206" s="215">
        <f>IF(AND(ISNUMBER(J113),ISNUMBER(J109)),IFERROR(J113/J109,""),"")</f>
        <v/>
      </c>
      <c r="K206" s="215">
        <f>IF(AND(ISNUMBER(K113),ISNUMBER(K109)),IFERROR(K113/K109,""),"")</f>
        <v/>
      </c>
      <c r="L206" s="215">
        <f>IF(AND(ISNUMBER(L113),ISNUMBER(L109)),IFERROR(L113/L109,""),"")</f>
        <v/>
      </c>
      <c r="M206" s="215">
        <f>IF(AND(ISNUMBER(M113),ISNUMBER(M109)),IFERROR(M113/M109,""),"")</f>
        <v/>
      </c>
      <c r="N206" s="215">
        <f>IF(AND(ISNUMBER(N113),ISNUMBER(N109)),IFERROR(N113/N109,""),"")</f>
        <v/>
      </c>
      <c r="O206" s="215">
        <f>IF(AND(ISNUMBER(O113),ISNUMBER(O109)),IFERROR(O113/O109,""),"")</f>
        <v/>
      </c>
      <c r="P206" s="215">
        <f>IF(AND(ISNUMBER(P113),ISNUMBER(P109)),IFERROR(P113/P109,""),"")</f>
        <v/>
      </c>
      <c r="Q206" s="215">
        <f>IF(AND(ISNUMBER(Q113),ISNUMBER(Q109)),IFERROR(Q113/Q109,""),"")</f>
        <v/>
      </c>
      <c r="R206" s="215">
        <f>IF(AND(ISNUMBER(R113),ISNUMBER(R109)),IFERROR(R113/R109,""),"")</f>
        <v/>
      </c>
      <c r="S206" s="215">
        <f>IF(AND(ISNUMBER(S113),ISNUMBER(S109)),IFERROR(S113/S109,""),"")</f>
        <v/>
      </c>
      <c r="T206" s="215">
        <f>IF(AND(ISNUMBER(T113),ISNUMBER(T109)),IFERROR(T113/T109,""),"")</f>
        <v/>
      </c>
      <c r="U206" s="215">
        <f>IF(AND(ISNUMBER(U113),ISNUMBER(U109)),IFERROR(U113/U109,""),"")</f>
        <v/>
      </c>
      <c r="V206" s="215">
        <f>IF(AND(ISNUMBER(V113),ISNUMBER(V109)),IFERROR(V113/V109,""),"")</f>
        <v/>
      </c>
      <c r="W206" s="215">
        <f>IF(AND(ISNUMBER(W113),ISNUMBER(W109)),IFERROR(W113/W109,""),"")</f>
        <v/>
      </c>
      <c r="X206" s="215">
        <f>IF(AND(ISNUMBER(X113),ISNUMBER(X109)),IFERROR(X113/X109,""),"")</f>
        <v/>
      </c>
      <c r="Y206" s="215">
        <f>IF(AND(ISNUMBER(Y113),ISNUMBER(Y109)),IFERROR(Y113/Y109,""),"")</f>
        <v/>
      </c>
      <c r="Z206" s="215">
        <f>IF(AND(ISNUMBER(Z113),ISNUMBER(Z109)),IFERROR(Z113/Z109,""),"")</f>
        <v/>
      </c>
      <c r="AA206" s="215">
        <f>IF(AND(ISNUMBER(AA113),ISNUMBER(AA109)),IFERROR(AA113/AA109,""),"")</f>
        <v/>
      </c>
      <c r="AB206" s="215">
        <f>IF(AND(ISNUMBER(AB113),ISNUMBER(AB109)),IFERROR(AB113/AB109,""),"")</f>
        <v/>
      </c>
      <c r="AC206" s="215">
        <f>IF(AND(ISNUMBER(AC113),ISNUMBER(AC109)),IFERROR(AC113/AC109,""),"")</f>
        <v/>
      </c>
      <c r="AD206" s="215">
        <f>IF(AND(ISNUMBER(AD113),ISNUMBER(AD109)),IFERROR(AD113/AD109,""),"")</f>
        <v/>
      </c>
      <c r="AE206" s="215">
        <f>IF(AND(ISNUMBER(AE113),ISNUMBER(AE109)),IFERROR(AE113/AE109,""),"")</f>
        <v/>
      </c>
      <c r="AF206" s="256">
        <f>IF(AND(ISNUMBER(AF113),ISNUMBER(AF109)),IFERROR(AF113/AF109,""),"")</f>
        <v/>
      </c>
      <c r="AG206" s="256">
        <f>IF(AND(ISNUMBER(AG113),ISNUMBER(AG109)),IFERROR(AG113/AG109,""),"")</f>
        <v/>
      </c>
      <c r="AH206" s="256">
        <f>IF(AND(ISNUMBER(AH113),ISNUMBER(AH109)),IFERROR(AH113/AH109,""),"")</f>
        <v/>
      </c>
      <c r="AI206" s="256">
        <f>IF(AND(ISNUMBER(AI113),ISNUMBER(AI109)),IFERROR(AI113/AI109,""),"")</f>
        <v/>
      </c>
      <c r="AJ206" s="256">
        <f>IF(AND(ISNUMBER(AJ113),ISNUMBER(AJ109)),IFERROR(AJ113/AJ109,""),"")</f>
        <v/>
      </c>
      <c r="AK206" s="256">
        <f>IF(AND(ISNUMBER(AK113),ISNUMBER(AK109)),IFERROR(AK113/AK109,""),"")</f>
        <v/>
      </c>
      <c r="AL206" s="256">
        <f>IF(AND(ISNUMBER(AL113),ISNUMBER(AL109)),IFERROR(AL113/AL109,""),"")</f>
        <v/>
      </c>
      <c r="AM206" s="153" t="n"/>
      <c r="AO206" s="37">
        <f>IFERROR(AVERAGE(AH206,AI206,AJ206,AK206,AL206),"n/m")</f>
        <v/>
      </c>
      <c r="AP206" s="37">
        <f>IFERROR(AVERAGE(I206,N206,S206,X206,AC206),"n/m")</f>
        <v/>
      </c>
      <c r="AQ206" s="37">
        <f>IFERROR(AVERAGE(S206,X206,AC206),"n/m")</f>
        <v/>
      </c>
      <c r="AR206" s="37">
        <f>IFERROR(AVERAGE(C206,D206,I206,N206,S206,X206,AC206),"n/m")</f>
        <v/>
      </c>
    </row>
    <row r="207" ht="15" customHeight="1" s="251">
      <c r="AU207" s="11" t="n"/>
      <c r="AV207" s="12" t="n"/>
      <c r="AW207" s="12" t="n"/>
      <c r="AX207" s="12" t="n"/>
      <c r="AY207" s="13" t="n"/>
    </row>
    <row r="208" ht="15" customHeight="1" s="251">
      <c r="B208" s="10" t="inlineStr">
        <is>
          <t>CONSOLIDATED STATEMENT OF CASH FLOWS</t>
        </is>
      </c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0" t="n"/>
      <c r="AL208" s="10" t="n"/>
      <c r="AM208" s="10" t="inlineStr">
        <is>
          <t>CASH FLOW — forecast logic (annual; 2026E = 1H/26 actual + 2H estimate; quarters = discrete, derived from year-to-date statements)</t>
        </is>
      </c>
    </row>
    <row r="209" ht="15" customHeight="1" s="251">
      <c r="B209" s="25" t="inlineStr">
        <is>
          <t>Net income (loss)</t>
        </is>
      </c>
      <c r="C209" s="34" t="n"/>
      <c r="D209" s="253" t="n">
        <v>-27.524</v>
      </c>
      <c r="E209" s="253" t="n">
        <v>-10.452</v>
      </c>
      <c r="F209" s="253" t="n">
        <v>14.21</v>
      </c>
      <c r="G209" s="253" t="n">
        <v>12.993</v>
      </c>
      <c r="H209" s="253" t="n">
        <v>-186.979</v>
      </c>
      <c r="I209" s="253" t="n">
        <v>-170.228</v>
      </c>
      <c r="J209" s="253" t="n">
        <v>14.344</v>
      </c>
      <c r="K209" s="253" t="n">
        <v>49.148</v>
      </c>
      <c r="L209" s="253" t="n">
        <v>20.63100000000001</v>
      </c>
      <c r="M209" s="253" t="n">
        <v>-26.423</v>
      </c>
      <c r="N209" s="253" t="n">
        <v>57.7</v>
      </c>
      <c r="O209" s="253" t="n">
        <v>44.4</v>
      </c>
      <c r="P209" s="253" t="n">
        <v>3.300000000000004</v>
      </c>
      <c r="Q209" s="253" t="n">
        <v>58.59999999999999</v>
      </c>
      <c r="R209" s="253" t="n">
        <v>-26.7</v>
      </c>
      <c r="S209" s="253" t="n">
        <v>79.59999999999999</v>
      </c>
      <c r="T209" s="253" t="n">
        <v>91.40000000000001</v>
      </c>
      <c r="U209" s="253" t="n">
        <v>30.8</v>
      </c>
      <c r="V209" s="253" t="n">
        <v>30.49999999999999</v>
      </c>
      <c r="W209" s="253" t="n">
        <v>89.60000000000002</v>
      </c>
      <c r="X209" s="253" t="n">
        <v>242.3</v>
      </c>
      <c r="Y209" s="253" t="n">
        <v>56.7</v>
      </c>
      <c r="Z209" s="253" t="n">
        <v>-40.90000000000001</v>
      </c>
      <c r="AA209" s="253" t="n">
        <v>118.8</v>
      </c>
      <c r="AB209" s="253" t="n">
        <v>69.09999999999999</v>
      </c>
      <c r="AC209" s="253" t="n">
        <v>203.7</v>
      </c>
      <c r="AD209" s="253" t="n">
        <v>103.3</v>
      </c>
      <c r="AE209" s="253" t="n">
        <v>105</v>
      </c>
      <c r="AF209" s="35" t="n"/>
      <c r="AG209" s="35" t="n"/>
      <c r="AH209" s="254">
        <f>(AD209+AE209)+(AF122+AG122)</f>
        <v/>
      </c>
      <c r="AI209" s="254">
        <f>AI122</f>
        <v/>
      </c>
      <c r="AJ209" s="254">
        <f>AJ122</f>
        <v/>
      </c>
      <c r="AK209" s="254">
        <f>AK122</f>
        <v/>
      </c>
      <c r="AL209" s="254">
        <f>AL122</f>
        <v/>
      </c>
      <c r="AM209" s="19" t="n"/>
    </row>
    <row r="210" ht="15" customHeight="1" s="251">
      <c r="B210" s="25" t="inlineStr">
        <is>
          <t>Adjustments:</t>
        </is>
      </c>
      <c r="AM210" s="153" t="n"/>
    </row>
    <row r="211" ht="15" customHeight="1" s="251">
      <c r="B211" s="25" t="inlineStr">
        <is>
          <t xml:space="preserve">  Depreciation &amp; amortization</t>
        </is>
      </c>
      <c r="C211" s="34" t="n"/>
      <c r="D211" s="253" t="n">
        <v>12.091</v>
      </c>
      <c r="E211" s="253" t="n">
        <v>5.325</v>
      </c>
      <c r="F211" s="253" t="n">
        <v>6.351</v>
      </c>
      <c r="G211" s="253" t="n">
        <v>7.714999999999998</v>
      </c>
      <c r="H211" s="253" t="n">
        <v>12.022</v>
      </c>
      <c r="I211" s="253" t="n">
        <v>31.413</v>
      </c>
      <c r="J211" s="253" t="n">
        <v>9.308</v>
      </c>
      <c r="K211" s="253" t="n">
        <v>10.647</v>
      </c>
      <c r="L211" s="253" t="n">
        <v>13.722</v>
      </c>
      <c r="M211" s="253" t="n">
        <v>12.723</v>
      </c>
      <c r="N211" s="253" t="n">
        <v>46.4</v>
      </c>
      <c r="O211" s="253" t="n">
        <v>13.8</v>
      </c>
      <c r="P211" s="253" t="n">
        <v>14.2</v>
      </c>
      <c r="Q211" s="253" t="n">
        <v>16.5</v>
      </c>
      <c r="R211" s="253" t="n">
        <v>20.40000000000001</v>
      </c>
      <c r="S211" s="253" t="n">
        <v>64.90000000000001</v>
      </c>
      <c r="T211" s="253" t="n">
        <v>22.1</v>
      </c>
      <c r="U211" s="253" t="n">
        <v>26.4</v>
      </c>
      <c r="V211" s="253" t="n">
        <v>27.40000000000001</v>
      </c>
      <c r="W211" s="253" t="n">
        <v>28.69999999999999</v>
      </c>
      <c r="X211" s="253" t="n">
        <v>104.6</v>
      </c>
      <c r="Y211" s="253" t="n">
        <v>28.3</v>
      </c>
      <c r="Z211" s="253" t="n">
        <v>32.40000000000001</v>
      </c>
      <c r="AA211" s="253" t="n">
        <v>32.2</v>
      </c>
      <c r="AB211" s="253" t="n">
        <v>34.5</v>
      </c>
      <c r="AC211" s="253" t="n">
        <v>127.4</v>
      </c>
      <c r="AD211" s="253" t="n">
        <v>35.6</v>
      </c>
      <c r="AE211" s="253" t="n">
        <v>36.49999999999999</v>
      </c>
      <c r="AF211" s="35" t="n"/>
      <c r="AG211" s="35" t="n"/>
      <c r="AH211" s="254">
        <f>(AD211+AE211)+(AF125+AG125)</f>
        <v/>
      </c>
      <c r="AI211" s="254">
        <f>AI125</f>
        <v/>
      </c>
      <c r="AJ211" s="254">
        <f>AJ125</f>
        <v/>
      </c>
      <c r="AK211" s="254">
        <f>AK125</f>
        <v/>
      </c>
      <c r="AL211" s="254">
        <f>AL125</f>
        <v/>
      </c>
      <c r="AM211" s="19" t="n"/>
    </row>
    <row r="212" ht="15" customHeight="1" s="251">
      <c r="B212" s="25" t="inlineStr">
        <is>
          <t xml:space="preserve">  Share-based compensation</t>
        </is>
      </c>
      <c r="C212" s="34" t="n"/>
      <c r="D212" s="253" t="n">
        <v>48.631</v>
      </c>
      <c r="E212" s="253" t="n">
        <v>25.482</v>
      </c>
      <c r="F212" s="253" t="n">
        <v>-5.591000000000001</v>
      </c>
      <c r="G212" s="253" t="n">
        <v>2.127000000000002</v>
      </c>
      <c r="H212" s="253" t="n">
        <v>170.418</v>
      </c>
      <c r="I212" s="253" t="n">
        <v>192.436</v>
      </c>
      <c r="J212" s="253" t="n">
        <v>1.219</v>
      </c>
      <c r="K212" s="253" t="n">
        <v>0.587</v>
      </c>
      <c r="L212" s="253" t="n">
        <v>0.8759999999999999</v>
      </c>
      <c r="M212" s="253" t="n">
        <v>35.61799999999999</v>
      </c>
      <c r="N212" s="253" t="n">
        <v>38.3</v>
      </c>
      <c r="O212" s="253" t="n">
        <v>2.3</v>
      </c>
      <c r="P212" s="253" t="n">
        <v>6.2</v>
      </c>
      <c r="Q212" s="253" t="n">
        <v>6.300000000000001</v>
      </c>
      <c r="R212" s="253" t="n">
        <v>12.5</v>
      </c>
      <c r="S212" s="253" t="n">
        <v>27.3</v>
      </c>
      <c r="T212" s="253" t="n">
        <v>9.800000000000001</v>
      </c>
      <c r="U212" s="253" t="n">
        <v>13.1</v>
      </c>
      <c r="V212" s="253" t="n">
        <v>19.5</v>
      </c>
      <c r="W212" s="253" t="n">
        <v>15.1</v>
      </c>
      <c r="X212" s="253" t="n">
        <v>57.5</v>
      </c>
      <c r="Y212" s="253" t="n">
        <v>11.6</v>
      </c>
      <c r="Z212" s="253" t="n">
        <v>13.6</v>
      </c>
      <c r="AA212" s="253" t="n">
        <v>24.5</v>
      </c>
      <c r="AB212" s="253" t="n">
        <v>16.89999999999999</v>
      </c>
      <c r="AC212" s="253" t="n">
        <v>66.59999999999999</v>
      </c>
      <c r="AD212" s="253" t="n">
        <v>16.2</v>
      </c>
      <c r="AE212" s="253" t="n">
        <v>14.7</v>
      </c>
      <c r="AF212" s="35" t="n"/>
      <c r="AG212" s="35" t="n"/>
      <c r="AH212" s="254">
        <f>(AD212+AE212)+(AF126+AG126)</f>
        <v/>
      </c>
      <c r="AI212" s="254">
        <f>AI126</f>
        <v/>
      </c>
      <c r="AJ212" s="254">
        <f>AJ126</f>
        <v/>
      </c>
      <c r="AK212" s="254">
        <f>AK126</f>
        <v/>
      </c>
      <c r="AL212" s="254">
        <f>AL126</f>
        <v/>
      </c>
      <c r="AM212" s="19" t="n"/>
    </row>
    <row r="213" ht="15" customHeight="1" s="251">
      <c r="B213" s="25" t="inlineStr">
        <is>
          <t xml:space="preserve">  Income taxes, net interest, exchange differences, provisions &amp; other non-cash items (derived)</t>
        </is>
      </c>
      <c r="C213" s="34" t="n"/>
      <c r="D213" s="253" t="n">
        <v>12.98200000000001</v>
      </c>
      <c r="E213" s="253" t="n">
        <v>5.392999999999994</v>
      </c>
      <c r="F213" s="253" t="n">
        <v>6.837000000000003</v>
      </c>
      <c r="G213" s="253" t="n">
        <v>6.076000000000008</v>
      </c>
      <c r="H213" s="253" t="n">
        <v>15.76800000000002</v>
      </c>
      <c r="I213" s="253" t="n">
        <v>34.074</v>
      </c>
      <c r="J213" s="253" t="n">
        <v>-8.664999999999974</v>
      </c>
      <c r="K213" s="253" t="n">
        <v>-44.43699999999998</v>
      </c>
      <c r="L213" s="253" t="n">
        <v>20.42199999999999</v>
      </c>
      <c r="M213" s="253" t="n">
        <v>42.08000000000004</v>
      </c>
      <c r="N213" s="253" t="n">
        <v>9.399999999999999</v>
      </c>
      <c r="O213" s="253" t="n">
        <v>-2.69999999999999</v>
      </c>
      <c r="P213" s="253" t="n">
        <v>34.69999999999998</v>
      </c>
      <c r="Q213" s="253" t="n">
        <v>-5.099999999999984</v>
      </c>
      <c r="R213" s="253" t="n">
        <v>58.79999999999998</v>
      </c>
      <c r="S213" s="253" t="n">
        <v>85.69999999999999</v>
      </c>
      <c r="T213" s="253" t="n">
        <v>-41.90000000000001</v>
      </c>
      <c r="U213" s="253" t="n">
        <v>24.59999999999999</v>
      </c>
      <c r="V213" s="253" t="n">
        <v>32.90000000000001</v>
      </c>
      <c r="W213" s="253" t="n">
        <v>-32.49999999999999</v>
      </c>
      <c r="X213" s="253" t="n">
        <v>-16.89999999999999</v>
      </c>
      <c r="Y213" s="253" t="n">
        <v>31.40000000000001</v>
      </c>
      <c r="Z213" s="253" t="n">
        <v>121.4</v>
      </c>
      <c r="AA213" s="253" t="n">
        <v>1.400000000000009</v>
      </c>
      <c r="AB213" s="253" t="n">
        <v>4.200000000000003</v>
      </c>
      <c r="AC213" s="253" t="n">
        <v>158.4</v>
      </c>
      <c r="AD213" s="253" t="n">
        <v>12.30000000000002</v>
      </c>
      <c r="AE213" s="253" t="n">
        <v>13.39999999999999</v>
      </c>
      <c r="AF213" s="35" t="n"/>
      <c r="AG213" s="35" t="n"/>
      <c r="AH213" s="254">
        <f>(AD213+AE213)+(AF120+AG120)+(AF117+AG117)-(AF116+AG116)</f>
        <v/>
      </c>
      <c r="AI213" s="254">
        <f>AI120+AI117-AI116</f>
        <v/>
      </c>
      <c r="AJ213" s="254">
        <f>AJ120+AJ117-AJ116</f>
        <v/>
      </c>
      <c r="AK213" s="254">
        <f>AK120+AK117-AK116</f>
        <v/>
      </c>
      <c r="AL213" s="254">
        <f>AL120+AL117-AL116</f>
        <v/>
      </c>
      <c r="AM213" s="19" t="inlineStr">
        <is>
          <t>Add-back of P&amp;L tax and net interest (paid / received below); forecast FX result treated as cash.</t>
        </is>
      </c>
    </row>
    <row r="214" ht="15" customHeight="1" s="251">
      <c r="B214" s="25" t="inlineStr">
        <is>
          <t xml:space="preserve">  Change in working capital (trade receivables, inventories, trade payables, other current items)</t>
        </is>
      </c>
      <c r="C214" s="34" t="n"/>
      <c r="D214" s="253" t="n">
        <v>-55.73400000000001</v>
      </c>
      <c r="E214" s="253" t="n">
        <v>-42.61199999999999</v>
      </c>
      <c r="F214" s="253" t="n">
        <v>25.584</v>
      </c>
      <c r="G214" s="253" t="n">
        <v>-65.69300000000001</v>
      </c>
      <c r="H214" s="253" t="n">
        <v>16.379</v>
      </c>
      <c r="I214" s="253" t="n">
        <v>-66.34200000000001</v>
      </c>
      <c r="J214" s="253" t="n">
        <v>-76.60300000000001</v>
      </c>
      <c r="K214" s="253" t="n">
        <v>-77.11800000000001</v>
      </c>
      <c r="L214" s="253" t="n">
        <v>-66.928</v>
      </c>
      <c r="M214" s="253" t="n">
        <v>-132.751</v>
      </c>
      <c r="N214" s="253" t="n">
        <v>-353.4</v>
      </c>
      <c r="O214" s="253" t="n">
        <v>-58.3</v>
      </c>
      <c r="P214" s="253" t="n">
        <v>-49.09999999999999</v>
      </c>
      <c r="Q214" s="253" t="n">
        <v>45.09999999999999</v>
      </c>
      <c r="R214" s="253" t="n">
        <v>54.50000000000001</v>
      </c>
      <c r="S214" s="253" t="n">
        <v>-7.799999999999983</v>
      </c>
      <c r="T214" s="253" t="n">
        <v>9.099999999999994</v>
      </c>
      <c r="U214" s="253" t="n">
        <v>16.10000000000001</v>
      </c>
      <c r="V214" s="253" t="n">
        <v>50.50000000000001</v>
      </c>
      <c r="W214" s="253" t="n">
        <v>66.09999999999999</v>
      </c>
      <c r="X214" s="253" t="n">
        <v>141.8</v>
      </c>
      <c r="Y214" s="253" t="n">
        <v>-123.8</v>
      </c>
      <c r="Z214" s="253" t="n">
        <v>-9.600000000000001</v>
      </c>
      <c r="AA214" s="253" t="n">
        <v>-8</v>
      </c>
      <c r="AB214" s="253" t="n">
        <v>-21.3</v>
      </c>
      <c r="AC214" s="253" t="n">
        <v>-162.7</v>
      </c>
      <c r="AD214" s="253" t="n">
        <v>-119.4</v>
      </c>
      <c r="AE214" s="253" t="n">
        <v>60.20000000000002</v>
      </c>
      <c r="AF214" s="35" t="n"/>
      <c r="AG214" s="35" t="n"/>
      <c r="AH214" s="254">
        <f>(AD214+AE214)-(AH259-AE259)-(AH260-AE260)-(AH261-AE261)+(AH268-AE268)+(AH270-AE270)</f>
        <v/>
      </c>
      <c r="AI214" s="254">
        <f>-(AI259-AH259)-(AI260-AH260)-(AI261-AH261)+(AI268-AH268)+(AI270-AH270)</f>
        <v/>
      </c>
      <c r="AJ214" s="254">
        <f>-(AJ259-AI259)-(AJ260-AI260)-(AJ261-AI261)+(AJ268-AI268)+(AJ270-AI270)</f>
        <v/>
      </c>
      <c r="AK214" s="254">
        <f>-(AK259-AJ259)-(AK260-AJ260)-(AK261-AJ261)+(AK268-AJ268)+(AK270-AJ270)</f>
        <v/>
      </c>
      <c r="AL214" s="254">
        <f>-(AL259-AK259)-(AL260-AK260)-(AL261-AK261)+(AL268-AK268)+(AL270-AK270)</f>
        <v/>
      </c>
      <c r="AM214" s="19" t="inlineStr">
        <is>
          <t>Linked to the balance sheet. 2026E = 1H/26 actual + 2H change from 30-Jun-26.</t>
        </is>
      </c>
    </row>
    <row r="215" ht="15" customHeight="1" s="251">
      <c r="B215" s="25" t="inlineStr">
        <is>
          <t xml:space="preserve">  Interest received and income taxes paid</t>
        </is>
      </c>
      <c r="C215" s="34" t="n"/>
      <c r="D215" s="253" t="n">
        <v>-5.174</v>
      </c>
      <c r="E215" s="253" t="n">
        <v>-0.61</v>
      </c>
      <c r="F215" s="253" t="n">
        <v>-0.16</v>
      </c>
      <c r="G215" s="253" t="n">
        <v>-1.448</v>
      </c>
      <c r="H215" s="253" t="n">
        <v>-2.189</v>
      </c>
      <c r="I215" s="253" t="n">
        <v>-4.407</v>
      </c>
      <c r="J215" s="253" t="n">
        <v>-2.782</v>
      </c>
      <c r="K215" s="253" t="n">
        <v>-1.929</v>
      </c>
      <c r="L215" s="253" t="n">
        <v>-19.542</v>
      </c>
      <c r="M215" s="253" t="n">
        <v>-1.147000000000002</v>
      </c>
      <c r="N215" s="253" t="n">
        <v>-25.4</v>
      </c>
      <c r="O215" s="253" t="n">
        <v>-0.1000000000000001</v>
      </c>
      <c r="P215" s="253" t="n">
        <v>-5.4</v>
      </c>
      <c r="Q215" s="253" t="n">
        <v>-14</v>
      </c>
      <c r="R215" s="253" t="n">
        <v>1.899999999999999</v>
      </c>
      <c r="S215" s="253" t="n">
        <v>-17.6</v>
      </c>
      <c r="T215" s="253" t="n">
        <v>-9.5</v>
      </c>
      <c r="U215" s="253" t="n">
        <v>-8.5</v>
      </c>
      <c r="V215" s="253" t="n">
        <v>-2.500000000000002</v>
      </c>
      <c r="W215" s="253" t="n">
        <v>1.799999999999997</v>
      </c>
      <c r="X215" s="253" t="n">
        <v>-18.7</v>
      </c>
      <c r="Y215" s="253" t="n">
        <v>-16.3</v>
      </c>
      <c r="Z215" s="253" t="n">
        <v>-15.7</v>
      </c>
      <c r="AA215" s="253" t="n">
        <v>-11.6</v>
      </c>
      <c r="AB215" s="253" t="n">
        <v>9.700000000000003</v>
      </c>
      <c r="AC215" s="253" t="n">
        <v>-33.9</v>
      </c>
      <c r="AD215" s="253" t="n">
        <v>-18.9</v>
      </c>
      <c r="AE215" s="253" t="n">
        <v>-3.9</v>
      </c>
      <c r="AF215" s="35" t="n"/>
      <c r="AG215" s="35" t="n"/>
      <c r="AH215" s="254">
        <f>(AD215+AE215)-(AF120+AG120)+(AF116+AG116)</f>
        <v/>
      </c>
      <c r="AI215" s="254">
        <f>-AI120+AI116</f>
        <v/>
      </c>
      <c r="AJ215" s="254">
        <f>-AJ120+AJ116</f>
        <v/>
      </c>
      <c r="AK215" s="254">
        <f>-AK120+AK116</f>
        <v/>
      </c>
      <c r="AL215" s="254">
        <f>-AL120+AL116</f>
        <v/>
      </c>
      <c r="AM215" s="19" t="n"/>
    </row>
    <row r="216" ht="15" customHeight="1" s="251">
      <c r="B216" s="16" t="inlineStr">
        <is>
          <t>Cash flow from operating activities</t>
        </is>
      </c>
      <c r="C216" s="43" t="n"/>
      <c r="D216" s="278" t="n">
        <v>-14.728</v>
      </c>
      <c r="E216" s="278" t="n">
        <v>-17.474</v>
      </c>
      <c r="F216" s="278" t="n">
        <v>47.231</v>
      </c>
      <c r="G216" s="278" t="n">
        <v>-38.23</v>
      </c>
      <c r="H216" s="278" t="n">
        <v>25.419</v>
      </c>
      <c r="I216" s="278" t="n">
        <v>16.946</v>
      </c>
      <c r="J216" s="278" t="n">
        <v>-63.179</v>
      </c>
      <c r="K216" s="278" t="n">
        <v>-63.102</v>
      </c>
      <c r="L216" s="278" t="n">
        <v>-30.81899999999999</v>
      </c>
      <c r="M216" s="278" t="n">
        <v>-69.90000000000001</v>
      </c>
      <c r="N216" s="278" t="n">
        <v>-227</v>
      </c>
      <c r="O216" s="278" t="n">
        <v>-0.6</v>
      </c>
      <c r="P216" s="278" t="n">
        <v>3.9</v>
      </c>
      <c r="Q216" s="278" t="n">
        <v>107.4</v>
      </c>
      <c r="R216" s="278" t="n">
        <v>121.4</v>
      </c>
      <c r="S216" s="278" t="n">
        <v>232.1</v>
      </c>
      <c r="T216" s="278" t="n">
        <v>81</v>
      </c>
      <c r="U216" s="278" t="n">
        <v>102.5</v>
      </c>
      <c r="V216" s="278" t="n">
        <v>158.3</v>
      </c>
      <c r="W216" s="278" t="n">
        <v>168.8</v>
      </c>
      <c r="X216" s="278" t="n">
        <v>510.6</v>
      </c>
      <c r="Y216" s="278" t="n">
        <v>-12.1</v>
      </c>
      <c r="Z216" s="278" t="n">
        <v>101.2</v>
      </c>
      <c r="AA216" s="278" t="n">
        <v>157.3</v>
      </c>
      <c r="AB216" s="278" t="n">
        <v>113.1</v>
      </c>
      <c r="AC216" s="278" t="n">
        <v>359.5</v>
      </c>
      <c r="AD216" s="278" t="n">
        <v>29.1</v>
      </c>
      <c r="AE216" s="278" t="n">
        <v>225.9</v>
      </c>
      <c r="AF216" s="32" t="n"/>
      <c r="AG216" s="32" t="n"/>
      <c r="AH216" s="269">
        <f>SUM(AH209:AH215)</f>
        <v/>
      </c>
      <c r="AI216" s="269">
        <f>SUM(AI209:AI215)</f>
        <v/>
      </c>
      <c r="AJ216" s="269">
        <f>SUM(AJ209:AJ215)</f>
        <v/>
      </c>
      <c r="AK216" s="269">
        <f>SUM(AK209:AK215)</f>
        <v/>
      </c>
      <c r="AL216" s="269">
        <f>SUM(AL209:AL215)</f>
        <v/>
      </c>
      <c r="AM216" s="153" t="n"/>
      <c r="AO216" s="20">
        <f>IFERROR((AL216/AC216)^(1/5)-1,"n/m")</f>
        <v/>
      </c>
      <c r="AP216" s="20">
        <f>IFERROR((AC216/D216)^(1/5)-1,"n/m")</f>
        <v/>
      </c>
      <c r="AQ216" s="20">
        <f>IFERROR((AC216/N216)^(1/3)-1,"n/m")</f>
        <v/>
      </c>
      <c r="AR216" s="20">
        <f>IFERROR((AC216/C216)^(1/6)-1,"n/m")</f>
        <v/>
      </c>
    </row>
    <row r="217" ht="15" customHeight="1" s="251">
      <c r="B217" s="25" t="inlineStr">
        <is>
          <t>Purchase of property, plant &amp; equipment and intangible assets</t>
        </is>
      </c>
      <c r="C217" s="34" t="n"/>
      <c r="D217" s="253" t="n">
        <v>-18.598</v>
      </c>
      <c r="E217" s="253" t="n">
        <v>-5.319</v>
      </c>
      <c r="F217" s="253" t="n">
        <v>-4.273999999999999</v>
      </c>
      <c r="G217" s="253" t="n">
        <v>-10.562</v>
      </c>
      <c r="H217" s="253" t="n">
        <v>-16.088</v>
      </c>
      <c r="I217" s="253" t="n">
        <v>-36.24299999999999</v>
      </c>
      <c r="J217" s="253" t="n">
        <v>-16.328</v>
      </c>
      <c r="K217" s="253" t="n">
        <v>-10.956</v>
      </c>
      <c r="L217" s="253" t="n">
        <v>-22.005</v>
      </c>
      <c r="M217" s="253" t="n">
        <v>-33.711</v>
      </c>
      <c r="N217" s="253" t="n">
        <v>-83</v>
      </c>
      <c r="O217" s="253" t="n">
        <v>-9.799999999999999</v>
      </c>
      <c r="P217" s="253" t="n">
        <v>-11.2</v>
      </c>
      <c r="Q217" s="253" t="n">
        <v>-8.1</v>
      </c>
      <c r="R217" s="253" t="n">
        <v>-18.1</v>
      </c>
      <c r="S217" s="253" t="n">
        <v>-47.2</v>
      </c>
      <c r="T217" s="253" t="n">
        <v>-9.1</v>
      </c>
      <c r="U217" s="253" t="n">
        <v>-16.9</v>
      </c>
      <c r="V217" s="253" t="n">
        <v>-19.2</v>
      </c>
      <c r="W217" s="253" t="n">
        <v>-19.8</v>
      </c>
      <c r="X217" s="253" t="n">
        <v>-65</v>
      </c>
      <c r="Y217" s="253" t="n">
        <v>-12.1</v>
      </c>
      <c r="Z217" s="253" t="n">
        <v>-17.4</v>
      </c>
      <c r="AA217" s="253" t="n">
        <v>-20.5</v>
      </c>
      <c r="AB217" s="253" t="n">
        <v>-28.6</v>
      </c>
      <c r="AC217" s="253" t="n">
        <v>-78.60000000000001</v>
      </c>
      <c r="AD217" s="253" t="n">
        <v>-18.7</v>
      </c>
      <c r="AE217" s="253" t="n">
        <v>-28.5</v>
      </c>
      <c r="AF217" s="35" t="n"/>
      <c r="AG217" s="35" t="n"/>
      <c r="AH217" s="254">
        <f>-$AW$26</f>
        <v/>
      </c>
      <c r="AI217" s="254">
        <f>-AI109*AI240</f>
        <v/>
      </c>
      <c r="AJ217" s="254">
        <f>-AJ109*AJ240</f>
        <v/>
      </c>
      <c r="AK217" s="254">
        <f>-AK109*AK240</f>
        <v/>
      </c>
      <c r="AL217" s="254">
        <f>-AL109*AL240</f>
        <v/>
      </c>
      <c r="AM217" s="19" t="inlineStr">
        <is>
          <t>2026E: FY26 point estimate. 2027E+: net sales × capex % (stores, distribution centres, IT, LightSpray capacity).</t>
        </is>
      </c>
    </row>
    <row r="218" ht="15" customHeight="1" s="251">
      <c r="B218" s="25" t="inlineStr">
        <is>
          <t>Other investing activities (disposals, contingent consideration, acquisitions)</t>
        </is>
      </c>
      <c r="C218" s="34" t="n"/>
      <c r="D218" s="253" t="n">
        <v>-0.0259999999999998</v>
      </c>
      <c r="E218" s="253" t="n">
        <v>-0.2000000000000002</v>
      </c>
      <c r="F218" s="253" t="n">
        <v>0.003000000000000114</v>
      </c>
      <c r="G218" s="253" t="n">
        <v>-0.003000000000000114</v>
      </c>
      <c r="H218" s="253" t="n">
        <v>0</v>
      </c>
      <c r="I218" s="253" t="n">
        <v>-0.2000000000000028</v>
      </c>
      <c r="J218" s="253" t="n">
        <v>0</v>
      </c>
      <c r="K218" s="253" t="n">
        <v>0</v>
      </c>
      <c r="L218" s="253" t="n">
        <v>-0.001000000000001222</v>
      </c>
      <c r="M218" s="253" t="n">
        <v>0.100999999999992</v>
      </c>
      <c r="N218" s="253" t="n">
        <v>0.09999999999999432</v>
      </c>
      <c r="O218" s="253" t="n">
        <v>0.09999999999999964</v>
      </c>
      <c r="P218" s="253" t="n">
        <v>-0.09999999999999964</v>
      </c>
      <c r="Q218" s="253" t="n">
        <v>-1.77635683940025e-15</v>
      </c>
      <c r="R218" s="253" t="n">
        <v>0.09999999999999787</v>
      </c>
      <c r="S218" s="253" t="n">
        <v>0.09999999999999432</v>
      </c>
      <c r="T218" s="253" t="n">
        <v>0</v>
      </c>
      <c r="U218" s="253" t="n">
        <v>0</v>
      </c>
      <c r="V218" s="253" t="n">
        <v>0</v>
      </c>
      <c r="W218" s="253" t="n">
        <v>0.09999999999999787</v>
      </c>
      <c r="X218" s="253" t="n">
        <v>0.09999999999999432</v>
      </c>
      <c r="Y218" s="253" t="n">
        <v>1.77635683940025e-15</v>
      </c>
      <c r="Z218" s="253" t="n">
        <v>0.1000000000000014</v>
      </c>
      <c r="AA218" s="253" t="n">
        <v>-0.1000000000000014</v>
      </c>
      <c r="AB218" s="253" t="n">
        <v>7.105427357601002e-15</v>
      </c>
      <c r="AC218" s="253" t="n">
        <v>1.4210854715202e-14</v>
      </c>
      <c r="AD218" s="253" t="n">
        <v>0</v>
      </c>
      <c r="AE218" s="253" t="n">
        <v>-3.552713678800501e-15</v>
      </c>
      <c r="AF218" s="35" t="n"/>
      <c r="AG218" s="35" t="n"/>
      <c r="AH218" s="254">
        <f>(AD218+AE218)</f>
        <v/>
      </c>
      <c r="AI218" s="266" t="n">
        <v>0</v>
      </c>
      <c r="AJ218" s="266" t="n">
        <v>0</v>
      </c>
      <c r="AK218" s="266" t="n">
        <v>0</v>
      </c>
      <c r="AL218" s="266" t="n">
        <v>0</v>
      </c>
      <c r="AM218" s="19" t="n"/>
    </row>
    <row r="219" ht="15" customHeight="1" s="251">
      <c r="B219" s="16" t="inlineStr">
        <is>
          <t>Cash flow from investing activities</t>
        </is>
      </c>
      <c r="C219" s="43" t="n"/>
      <c r="D219" s="278" t="n">
        <v>-18.624</v>
      </c>
      <c r="E219" s="278" t="n">
        <v>-5.519</v>
      </c>
      <c r="F219" s="278" t="n">
        <v>-4.270999999999999</v>
      </c>
      <c r="G219" s="278" t="n">
        <v>-10.565</v>
      </c>
      <c r="H219" s="278" t="n">
        <v>-16.088</v>
      </c>
      <c r="I219" s="278" t="n">
        <v>-36.443</v>
      </c>
      <c r="J219" s="278" t="n">
        <v>-16.328</v>
      </c>
      <c r="K219" s="278" t="n">
        <v>-10.956</v>
      </c>
      <c r="L219" s="278" t="n">
        <v>-22.006</v>
      </c>
      <c r="M219" s="278" t="n">
        <v>-33.61000000000001</v>
      </c>
      <c r="N219" s="278" t="n">
        <v>-82.90000000000001</v>
      </c>
      <c r="O219" s="278" t="n">
        <v>-9.699999999999999</v>
      </c>
      <c r="P219" s="278" t="n">
        <v>-11.3</v>
      </c>
      <c r="Q219" s="278" t="n">
        <v>-8.100000000000001</v>
      </c>
      <c r="R219" s="278" t="n">
        <v>-18</v>
      </c>
      <c r="S219" s="278" t="n">
        <v>-47.1</v>
      </c>
      <c r="T219" s="278" t="n">
        <v>-9.1</v>
      </c>
      <c r="U219" s="278" t="n">
        <v>-16.9</v>
      </c>
      <c r="V219" s="278" t="n">
        <v>-19.2</v>
      </c>
      <c r="W219" s="278" t="n">
        <v>-19.7</v>
      </c>
      <c r="X219" s="278" t="n">
        <v>-64.90000000000001</v>
      </c>
      <c r="Y219" s="278" t="n">
        <v>-12.1</v>
      </c>
      <c r="Z219" s="278" t="n">
        <v>-17.3</v>
      </c>
      <c r="AA219" s="278" t="n">
        <v>-20.6</v>
      </c>
      <c r="AB219" s="278" t="n">
        <v>-28.59999999999999</v>
      </c>
      <c r="AC219" s="278" t="n">
        <v>-78.59999999999999</v>
      </c>
      <c r="AD219" s="278" t="n">
        <v>-18.7</v>
      </c>
      <c r="AE219" s="278" t="n">
        <v>-28.5</v>
      </c>
      <c r="AF219" s="32" t="n"/>
      <c r="AG219" s="32" t="n"/>
      <c r="AH219" s="269">
        <f>SUM(AH217:AH218)</f>
        <v/>
      </c>
      <c r="AI219" s="269">
        <f>SUM(AI217:AI218)</f>
        <v/>
      </c>
      <c r="AJ219" s="269">
        <f>SUM(AJ217:AJ218)</f>
        <v/>
      </c>
      <c r="AK219" s="269">
        <f>SUM(AK217:AK218)</f>
        <v/>
      </c>
      <c r="AL219" s="269">
        <f>SUM(AL217:AL218)</f>
        <v/>
      </c>
      <c r="AM219" s="153" t="n"/>
    </row>
    <row r="220" ht="15" customHeight="1" s="251">
      <c r="B220" s="25" t="inlineStr">
        <is>
          <t>Payments of lease liabilities (principal)</t>
        </is>
      </c>
      <c r="C220" s="34" t="n"/>
      <c r="D220" s="253" t="n">
        <v>-3.399</v>
      </c>
      <c r="E220" s="253" t="n">
        <v>-1.551</v>
      </c>
      <c r="F220" s="253" t="n">
        <v>-2.017</v>
      </c>
      <c r="G220" s="253" t="n">
        <v>-3.306</v>
      </c>
      <c r="H220" s="253" t="n">
        <v>-6.437</v>
      </c>
      <c r="I220" s="253" t="n">
        <v>-13.311</v>
      </c>
      <c r="J220" s="253" t="n">
        <v>-4.387</v>
      </c>
      <c r="K220" s="253" t="n">
        <v>-2.386</v>
      </c>
      <c r="L220" s="253" t="n">
        <v>-3.612</v>
      </c>
      <c r="M220" s="253" t="n">
        <v>-5.015000000000001</v>
      </c>
      <c r="N220" s="253" t="n">
        <v>-15.4</v>
      </c>
      <c r="O220" s="253" t="n">
        <v>-4.9</v>
      </c>
      <c r="P220" s="253" t="n">
        <v>-5.299999999999999</v>
      </c>
      <c r="Q220" s="253" t="n">
        <v>-6</v>
      </c>
      <c r="R220" s="253" t="n">
        <v>-9.300000000000001</v>
      </c>
      <c r="S220" s="253" t="n">
        <v>-25.5</v>
      </c>
      <c r="T220" s="253" t="n">
        <v>-11.7</v>
      </c>
      <c r="U220" s="253" t="n">
        <v>-12</v>
      </c>
      <c r="V220" s="253" t="n">
        <v>-13.7</v>
      </c>
      <c r="W220" s="253" t="n">
        <v>-13.9</v>
      </c>
      <c r="X220" s="253" t="n">
        <v>-51.3</v>
      </c>
      <c r="Y220" s="253" t="n">
        <v>-14</v>
      </c>
      <c r="Z220" s="253" t="n">
        <v>-20.7</v>
      </c>
      <c r="AA220" s="253" t="n">
        <v>-16.59999999999999</v>
      </c>
      <c r="AB220" s="253" t="n">
        <v>-18.60000000000001</v>
      </c>
      <c r="AC220" s="253" t="n">
        <v>-69.90000000000001</v>
      </c>
      <c r="AD220" s="253" t="n">
        <v>-15.7</v>
      </c>
      <c r="AE220" s="253" t="n">
        <v>-20.1</v>
      </c>
      <c r="AF220" s="35" t="n"/>
      <c r="AG220" s="35" t="n"/>
      <c r="AH220" s="254">
        <f>-$AW$27</f>
        <v/>
      </c>
      <c r="AI220" s="254">
        <f>-AI303</f>
        <v/>
      </c>
      <c r="AJ220" s="254">
        <f>-AJ303</f>
        <v/>
      </c>
      <c r="AK220" s="254">
        <f>-AK303</f>
        <v/>
      </c>
      <c r="AL220" s="254">
        <f>-AL303</f>
        <v/>
      </c>
      <c r="AM220" s="19" t="inlineStr">
        <is>
          <t>2026E: FY26 point estimate. 2027E+: ≈ right-of-use depreciation (steady state; lease schedule below).</t>
        </is>
      </c>
    </row>
    <row r="221" ht="15" customHeight="1" s="251">
      <c r="B221" s="25" t="inlineStr">
        <is>
          <t>Proceeds from share issues / sale of treasury shares (equity plans; IPO 2021)</t>
        </is>
      </c>
      <c r="C221" s="34" t="n"/>
      <c r="D221" s="253" t="n">
        <v>131.79</v>
      </c>
      <c r="E221" s="253" t="n">
        <v>0.07099999999999999</v>
      </c>
      <c r="F221" s="253" t="n">
        <v>-0.363</v>
      </c>
      <c r="G221" s="253" t="n">
        <v>618.1909999999999</v>
      </c>
      <c r="H221" s="253" t="n">
        <v>-624.1639999999999</v>
      </c>
      <c r="I221" s="253" t="n">
        <v>-6.265000000000001</v>
      </c>
      <c r="J221" s="253" t="n">
        <v>16.821</v>
      </c>
      <c r="K221" s="253" t="n">
        <v>3.645</v>
      </c>
      <c r="L221" s="253" t="n">
        <v>4.244</v>
      </c>
      <c r="M221" s="253" t="n">
        <v>1.689999999999998</v>
      </c>
      <c r="N221" s="253" t="n">
        <v>26.4</v>
      </c>
      <c r="O221" s="253" t="n">
        <v>2.2</v>
      </c>
      <c r="P221" s="253" t="n">
        <v>3.5</v>
      </c>
      <c r="Q221" s="253" t="n">
        <v>0.7000000000000002</v>
      </c>
      <c r="R221" s="253" t="n">
        <v>3.699999999999999</v>
      </c>
      <c r="S221" s="253" t="n">
        <v>10.1</v>
      </c>
      <c r="T221" s="253" t="n">
        <v>1.7</v>
      </c>
      <c r="U221" s="253" t="n">
        <v>3.5</v>
      </c>
      <c r="V221" s="253" t="n">
        <v>3.6</v>
      </c>
      <c r="W221" s="253" t="n">
        <v>2.300000000000001</v>
      </c>
      <c r="X221" s="253" t="n">
        <v>11.1</v>
      </c>
      <c r="Y221" s="253" t="n">
        <v>6.1</v>
      </c>
      <c r="Z221" s="253" t="n">
        <v>1.600000000000001</v>
      </c>
      <c r="AA221" s="253" t="n">
        <v>0.9000000000000006</v>
      </c>
      <c r="AB221" s="253" t="n">
        <v>4.299999999999999</v>
      </c>
      <c r="AC221" s="253" t="n">
        <v>12.9</v>
      </c>
      <c r="AD221" s="253" t="n">
        <v>0.8</v>
      </c>
      <c r="AE221" s="253" t="n">
        <v>4.2</v>
      </c>
      <c r="AF221" s="35" t="n"/>
      <c r="AG221" s="35" t="n"/>
      <c r="AH221" s="254">
        <f>(AD221+AE221)</f>
        <v/>
      </c>
      <c r="AI221" s="266" t="n">
        <v>5</v>
      </c>
      <c r="AJ221" s="266" t="n">
        <v>5</v>
      </c>
      <c r="AK221" s="266" t="n">
        <v>5</v>
      </c>
      <c r="AL221" s="266" t="n">
        <v>5</v>
      </c>
      <c r="AM221" s="19" t="inlineStr">
        <is>
          <t>IPO Sep-2021 (net ~CHF 0.6bn); thereafter sale of treasury shares to employees.</t>
        </is>
      </c>
    </row>
    <row r="222" collapsed="1" ht="15" customHeight="1" s="251">
      <c r="B222" s="25" t="inlineStr">
        <is>
          <t>Repurchase of Class A shares</t>
        </is>
      </c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  <c r="AA222" s="34" t="n"/>
      <c r="AB222" s="34" t="n"/>
      <c r="AC222" s="34" t="n"/>
      <c r="AD222" s="34" t="n"/>
      <c r="AE222" s="34" t="n"/>
      <c r="AF222" s="35" t="n"/>
      <c r="AG222" s="35" t="n"/>
      <c r="AH222" s="254">
        <f>-AH247</f>
        <v/>
      </c>
      <c r="AI222" s="254">
        <f>-AI247</f>
        <v/>
      </c>
      <c r="AJ222" s="254">
        <f>-AJ247</f>
        <v/>
      </c>
      <c r="AK222" s="254">
        <f>-AK247</f>
        <v/>
      </c>
      <c r="AL222" s="254">
        <f>-AL247</f>
        <v/>
      </c>
      <c r="AM222" s="19" t="inlineStr">
        <is>
          <t>USD 1bn authorization (22-Sep-2026, to Dec-2029); CHF = USD × USD/CHF (buyback schedule).</t>
        </is>
      </c>
    </row>
    <row r="223" ht="15" customHeight="1" s="251">
      <c r="B223" s="25" t="inlineStr">
        <is>
          <t>Interest paid</t>
        </is>
      </c>
      <c r="C223" s="34" t="n"/>
      <c r="D223" s="253" t="n">
        <v>-0.595</v>
      </c>
      <c r="E223" s="253" t="n">
        <v>-0.414</v>
      </c>
      <c r="F223" s="253" t="n">
        <v>-0.6740000000000002</v>
      </c>
      <c r="G223" s="253" t="n">
        <v>-0.51</v>
      </c>
      <c r="H223" s="253" t="n">
        <v>-1.166</v>
      </c>
      <c r="I223" s="253" t="n">
        <v>-2.764</v>
      </c>
      <c r="J223" s="253" t="n">
        <v>-1.26</v>
      </c>
      <c r="K223" s="253" t="n">
        <v>-1.267</v>
      </c>
      <c r="L223" s="253" t="n">
        <v>-1.787</v>
      </c>
      <c r="M223" s="253" t="n">
        <v>-0.3860000000000001</v>
      </c>
      <c r="N223" s="253" t="n">
        <v>-4.7</v>
      </c>
      <c r="O223" s="253" t="n">
        <v>-1</v>
      </c>
      <c r="P223" s="253" t="n">
        <v>-1.3</v>
      </c>
      <c r="Q223" s="253" t="n">
        <v>-1.5</v>
      </c>
      <c r="R223" s="253" t="n">
        <v>-2.7</v>
      </c>
      <c r="S223" s="253" t="n">
        <v>-6.5</v>
      </c>
      <c r="T223" s="253" t="n">
        <v>-3.1</v>
      </c>
      <c r="U223" s="253" t="n">
        <v>-4.199999999999999</v>
      </c>
      <c r="V223" s="253" t="n">
        <v>-4.000000000000001</v>
      </c>
      <c r="W223" s="253" t="n">
        <v>-4</v>
      </c>
      <c r="X223" s="253" t="n">
        <v>-15.3</v>
      </c>
      <c r="Y223" s="253" t="n">
        <v>-4</v>
      </c>
      <c r="Z223" s="253" t="n">
        <v>-5.9</v>
      </c>
      <c r="AA223" s="253" t="n">
        <v>-5.699999999999999</v>
      </c>
      <c r="AB223" s="253" t="n">
        <v>-5.9</v>
      </c>
      <c r="AC223" s="253" t="n">
        <v>-21.5</v>
      </c>
      <c r="AD223" s="253" t="n">
        <v>-6</v>
      </c>
      <c r="AE223" s="253" t="n">
        <v>-6.5</v>
      </c>
      <c r="AF223" s="35" t="n"/>
      <c r="AG223" s="35" t="n"/>
      <c r="AH223" s="254">
        <f>(AD223+AE223)-(AF117+AG117)</f>
        <v/>
      </c>
      <c r="AI223" s="254">
        <f>-AI117</f>
        <v/>
      </c>
      <c r="AJ223" s="254">
        <f>-AJ117</f>
        <v/>
      </c>
      <c r="AK223" s="254">
        <f>-AK117</f>
        <v/>
      </c>
      <c r="AL223" s="254">
        <f>-AL117</f>
        <v/>
      </c>
      <c r="AM223" s="19" t="n"/>
    </row>
    <row r="224" ht="15" customHeight="1" s="251">
      <c r="B224" s="25" t="inlineStr">
        <is>
          <t>Other financing (financial liabilities, equity transaction costs) (derived)</t>
        </is>
      </c>
      <c r="C224" s="34" t="n"/>
      <c r="D224" s="253" t="n">
        <v>-2.999999999999999</v>
      </c>
      <c r="E224" s="253" t="n">
        <v>0</v>
      </c>
      <c r="F224" s="253" t="n">
        <v>2.220446049250313e-16</v>
      </c>
      <c r="G224" s="253" t="n">
        <v>1.227906665235423e-13</v>
      </c>
      <c r="H224" s="253" t="n">
        <v>618.1909999999999</v>
      </c>
      <c r="I224" s="253" t="n">
        <v>618.191</v>
      </c>
      <c r="J224" s="253" t="n">
        <v>-1.554312234475219e-15</v>
      </c>
      <c r="K224" s="253" t="n">
        <v>1.394000000000002</v>
      </c>
      <c r="L224" s="253" t="n">
        <v>-1.395</v>
      </c>
      <c r="M224" s="253" t="n">
        <v>0.001000000000002998</v>
      </c>
      <c r="N224" s="253" t="n">
        <v>8.881784197001252e-16</v>
      </c>
      <c r="O224" s="253" t="n">
        <v>-0.09999999999999964</v>
      </c>
      <c r="P224" s="253" t="n">
        <v>0.1999999999999984</v>
      </c>
      <c r="Q224" s="253" t="n">
        <v>-0.09999999999999964</v>
      </c>
      <c r="R224" s="253" t="n">
        <v>0.1000000000000005</v>
      </c>
      <c r="S224" s="253" t="n">
        <v>0.09999999999999964</v>
      </c>
      <c r="T224" s="253" t="n">
        <v>-4.440892098500626e-16</v>
      </c>
      <c r="U224" s="253" t="n">
        <v>-1.77635683940025e-15</v>
      </c>
      <c r="V224" s="253" t="n">
        <v>0.1000000000000041</v>
      </c>
      <c r="W224" s="253" t="n">
        <v>-3.552713678800501e-15</v>
      </c>
      <c r="X224" s="253" t="n">
        <v>0.09999999999999964</v>
      </c>
      <c r="Y224" s="253" t="n">
        <v>-0.09999999999999964</v>
      </c>
      <c r="Z224" s="253" t="n">
        <v>2.664535259100376e-15</v>
      </c>
      <c r="AA224" s="253" t="n">
        <v>0.09999999999999609</v>
      </c>
      <c r="AB224" s="253" t="n">
        <v>7.105427357601002e-15</v>
      </c>
      <c r="AC224" s="253" t="n">
        <v>7.105427357601002e-15</v>
      </c>
      <c r="AD224" s="253" t="n">
        <v>8.881784197001252e-16</v>
      </c>
      <c r="AE224" s="253" t="n">
        <v>-8.881784197001252e-16</v>
      </c>
      <c r="AF224" s="35" t="n"/>
      <c r="AG224" s="35" t="n"/>
      <c r="AH224" s="254">
        <f>(AD224+AE224)</f>
        <v/>
      </c>
      <c r="AI224" s="266" t="n">
        <v>0</v>
      </c>
      <c r="AJ224" s="266" t="n">
        <v>0</v>
      </c>
      <c r="AK224" s="266" t="n">
        <v>0</v>
      </c>
      <c r="AL224" s="266" t="n">
        <v>0</v>
      </c>
      <c r="AM224" s="19" t="n"/>
    </row>
    <row r="225" ht="15" customHeight="1" s="251">
      <c r="B225" s="16" t="inlineStr">
        <is>
          <t>Cash flow from financing activities</t>
        </is>
      </c>
      <c r="C225" s="43" t="n"/>
      <c r="D225" s="278" t="n">
        <v>124.796</v>
      </c>
      <c r="E225" s="278" t="n">
        <v>-1.894</v>
      </c>
      <c r="F225" s="278" t="n">
        <v>-3.054</v>
      </c>
      <c r="G225" s="278" t="n">
        <v>614.375</v>
      </c>
      <c r="H225" s="278" t="n">
        <v>-13.57600000000002</v>
      </c>
      <c r="I225" s="278" t="n">
        <v>595.851</v>
      </c>
      <c r="J225" s="278" t="n">
        <v>11.174</v>
      </c>
      <c r="K225" s="278" t="n">
        <v>1.386000000000001</v>
      </c>
      <c r="L225" s="278" t="n">
        <v>-2.550000000000001</v>
      </c>
      <c r="M225" s="278" t="n">
        <v>-3.71</v>
      </c>
      <c r="N225" s="278" t="n">
        <v>6.3</v>
      </c>
      <c r="O225" s="278" t="n">
        <v>-3.8</v>
      </c>
      <c r="P225" s="278" t="n">
        <v>-2.9</v>
      </c>
      <c r="Q225" s="278" t="n">
        <v>-6.899999999999999</v>
      </c>
      <c r="R225" s="278" t="n">
        <v>-8.200000000000001</v>
      </c>
      <c r="S225" s="278" t="n">
        <v>-21.8</v>
      </c>
      <c r="T225" s="278" t="n">
        <v>-13.1</v>
      </c>
      <c r="U225" s="278" t="n">
        <v>-12.7</v>
      </c>
      <c r="V225" s="278" t="n">
        <v>-14</v>
      </c>
      <c r="W225" s="278" t="n">
        <v>-15.6</v>
      </c>
      <c r="X225" s="278" t="n">
        <v>-55.4</v>
      </c>
      <c r="Y225" s="278" t="n">
        <v>-12</v>
      </c>
      <c r="Z225" s="278" t="n">
        <v>-25</v>
      </c>
      <c r="AA225" s="278" t="n">
        <v>-21.3</v>
      </c>
      <c r="AB225" s="278" t="n">
        <v>-20.2</v>
      </c>
      <c r="AC225" s="278" t="n">
        <v>-78.5</v>
      </c>
      <c r="AD225" s="278" t="n">
        <v>-20.9</v>
      </c>
      <c r="AE225" s="278" t="n">
        <v>-22.4</v>
      </c>
      <c r="AF225" s="32" t="n"/>
      <c r="AG225" s="32" t="n"/>
      <c r="AH225" s="269">
        <f>SUM(AH220:AH224)</f>
        <v/>
      </c>
      <c r="AI225" s="269">
        <f>SUM(AI220:AI224)</f>
        <v/>
      </c>
      <c r="AJ225" s="269">
        <f>SUM(AJ220:AJ224)</f>
        <v/>
      </c>
      <c r="AK225" s="269">
        <f>SUM(AK220:AK224)</f>
        <v/>
      </c>
      <c r="AL225" s="269">
        <f>SUM(AL220:AL224)</f>
        <v/>
      </c>
      <c r="AM225" s="153" t="n"/>
    </row>
    <row r="226" ht="15" customHeight="1" s="251">
      <c r="B226" s="25" t="inlineStr">
        <is>
          <t>Net impact of foreign exchange rate differences on cash</t>
        </is>
      </c>
      <c r="C226" s="34" t="n"/>
      <c r="D226" s="253" t="n">
        <v>-0.969</v>
      </c>
      <c r="E226" s="253" t="n">
        <v>1.36</v>
      </c>
      <c r="F226" s="253" t="n">
        <v>-0.424</v>
      </c>
      <c r="G226" s="253" t="n">
        <v>-0.009000000000000008</v>
      </c>
      <c r="H226" s="253" t="n">
        <v>-14.795</v>
      </c>
      <c r="I226" s="253" t="n">
        <v>-13.868</v>
      </c>
      <c r="J226" s="253" t="n">
        <v>15.663</v>
      </c>
      <c r="K226" s="253" t="n">
        <v>29.932</v>
      </c>
      <c r="L226" s="253" t="n">
        <v>-9.313000000000002</v>
      </c>
      <c r="M226" s="253" t="n">
        <v>-14.782</v>
      </c>
      <c r="N226" s="253" t="n">
        <v>21.5</v>
      </c>
      <c r="O226" s="253" t="n">
        <v>4.4</v>
      </c>
      <c r="P226" s="253" t="n">
        <v>-14</v>
      </c>
      <c r="Q226" s="253" t="n">
        <v>2.6</v>
      </c>
      <c r="R226" s="253" t="n">
        <v>-32.6</v>
      </c>
      <c r="S226" s="253" t="n">
        <v>-39.6</v>
      </c>
      <c r="T226" s="253" t="n">
        <v>31.1</v>
      </c>
      <c r="U226" s="253" t="n">
        <v>-4.900000000000002</v>
      </c>
      <c r="V226" s="253" t="n">
        <v>-28.6</v>
      </c>
      <c r="W226" s="253" t="n">
        <v>41.8</v>
      </c>
      <c r="X226" s="253" t="n">
        <v>39.4</v>
      </c>
      <c r="Y226" s="253" t="n">
        <v>-16.1</v>
      </c>
      <c r="Z226" s="253" t="n">
        <v>-84.19999999999999</v>
      </c>
      <c r="AA226" s="253" t="n">
        <v>-0.2000000000000028</v>
      </c>
      <c r="AB226" s="253" t="n">
        <v>-6.200000000000003</v>
      </c>
      <c r="AC226" s="253" t="n">
        <v>-106.7</v>
      </c>
      <c r="AD226" s="253" t="n">
        <v>10.8</v>
      </c>
      <c r="AE226" s="253" t="n">
        <v>10.3</v>
      </c>
      <c r="AF226" s="35" t="n"/>
      <c r="AG226" s="35" t="n"/>
      <c r="AH226" s="254">
        <f>(AD226+AE226)</f>
        <v/>
      </c>
      <c r="AI226" s="266" t="n">
        <v>0</v>
      </c>
      <c r="AJ226" s="266" t="n">
        <v>0</v>
      </c>
      <c r="AK226" s="266" t="n">
        <v>0</v>
      </c>
      <c r="AL226" s="266" t="n">
        <v>0</v>
      </c>
      <c r="AM226" s="19" t="n"/>
    </row>
    <row r="227" ht="15" customHeight="1" s="251">
      <c r="B227" s="25" t="inlineStr">
        <is>
          <t>Change in net cash and cash equivalents (excl. FX)</t>
        </is>
      </c>
      <c r="C227" s="261">
        <f>IF(ISNUMBER(C216),C216+C219+C225,"")</f>
        <v/>
      </c>
      <c r="D227" s="253" t="n">
        <v>91.44400000000002</v>
      </c>
      <c r="E227" s="253" t="n">
        <v>-24.887</v>
      </c>
      <c r="F227" s="253" t="n">
        <v>39.906</v>
      </c>
      <c r="G227" s="253" t="n">
        <v>565.58</v>
      </c>
      <c r="H227" s="253" t="n">
        <v>-4.245000000000015</v>
      </c>
      <c r="I227" s="253" t="n">
        <v>576.354</v>
      </c>
      <c r="J227" s="253" t="n">
        <v>-68.333</v>
      </c>
      <c r="K227" s="253" t="n">
        <v>-72.67200000000001</v>
      </c>
      <c r="L227" s="253" t="n">
        <v>-55.37499999999999</v>
      </c>
      <c r="M227" s="253" t="n">
        <v>-107.22</v>
      </c>
      <c r="N227" s="253" t="n">
        <v>-303.6</v>
      </c>
      <c r="O227" s="253" t="n">
        <v>-14.1</v>
      </c>
      <c r="P227" s="253" t="n">
        <v>-10.3</v>
      </c>
      <c r="Q227" s="253" t="n">
        <v>92.40000000000001</v>
      </c>
      <c r="R227" s="253" t="n">
        <v>95.19999999999999</v>
      </c>
      <c r="S227" s="253" t="n">
        <v>163.2</v>
      </c>
      <c r="T227" s="253" t="n">
        <v>58.8</v>
      </c>
      <c r="U227" s="253" t="n">
        <v>72.89999999999999</v>
      </c>
      <c r="V227" s="253" t="n">
        <v>125.1</v>
      </c>
      <c r="W227" s="253" t="n">
        <v>133.5</v>
      </c>
      <c r="X227" s="253" t="n">
        <v>390.3000000000001</v>
      </c>
      <c r="Y227" s="253" t="n">
        <v>-36.2</v>
      </c>
      <c r="Z227" s="253" t="n">
        <v>58.89999999999999</v>
      </c>
      <c r="AA227" s="253" t="n">
        <v>115.4</v>
      </c>
      <c r="AB227" s="253" t="n">
        <v>64.3</v>
      </c>
      <c r="AC227" s="253" t="n">
        <v>202.4</v>
      </c>
      <c r="AD227" s="253" t="n">
        <v>-10.5</v>
      </c>
      <c r="AE227" s="253" t="n">
        <v>175</v>
      </c>
      <c r="AF227" s="35" t="n"/>
      <c r="AG227" s="35" t="n"/>
      <c r="AH227" s="254">
        <f>AH216+AH219+AH225</f>
        <v/>
      </c>
      <c r="AI227" s="254">
        <f>AI216+AI219+AI225</f>
        <v/>
      </c>
      <c r="AJ227" s="254">
        <f>AJ216+AJ219+AJ225</f>
        <v/>
      </c>
      <c r="AK227" s="254">
        <f>AK216+AK219+AK225</f>
        <v/>
      </c>
      <c r="AL227" s="254">
        <f>AL216+AL219+AL225</f>
        <v/>
      </c>
      <c r="AM227" s="19" t="n"/>
    </row>
    <row r="228" ht="15" customHeight="1" s="251">
      <c r="B228" s="25" t="inlineStr">
        <is>
          <t>Net cash — beginning of period</t>
        </is>
      </c>
      <c r="C228" s="34" t="n"/>
      <c r="D228" s="253" t="n">
        <v>0.12</v>
      </c>
      <c r="E228" s="253" t="n">
        <v>90.595</v>
      </c>
      <c r="F228" s="253" t="n">
        <v>67.068</v>
      </c>
      <c r="G228" s="253" t="n">
        <v>106.55</v>
      </c>
      <c r="H228" s="253" t="n">
        <v>672.122</v>
      </c>
      <c r="I228" s="253" t="n">
        <v>90.595</v>
      </c>
      <c r="J228" s="253" t="n">
        <v>653.081</v>
      </c>
      <c r="K228" s="253" t="n">
        <v>600.4109999999999</v>
      </c>
      <c r="L228" s="253" t="n">
        <v>557.671</v>
      </c>
      <c r="M228" s="253" t="n">
        <v>492.984</v>
      </c>
      <c r="N228" s="253" t="n">
        <v>653.1</v>
      </c>
      <c r="O228" s="253" t="n">
        <v>371</v>
      </c>
      <c r="P228" s="253" t="n">
        <v>361.3</v>
      </c>
      <c r="Q228" s="253" t="n">
        <v>337.1</v>
      </c>
      <c r="R228" s="253" t="n">
        <v>432</v>
      </c>
      <c r="S228" s="253" t="n">
        <v>371</v>
      </c>
      <c r="T228" s="253" t="n">
        <v>494.6</v>
      </c>
      <c r="U228" s="253" t="n">
        <v>584.6</v>
      </c>
      <c r="V228" s="253" t="n">
        <v>652.4</v>
      </c>
      <c r="W228" s="253" t="n">
        <v>749</v>
      </c>
      <c r="X228" s="253" t="n">
        <v>494.6</v>
      </c>
      <c r="Y228" s="253" t="n">
        <v>924.3</v>
      </c>
      <c r="Z228" s="253" t="n">
        <v>871.8</v>
      </c>
      <c r="AA228" s="253" t="n">
        <v>846.6</v>
      </c>
      <c r="AB228" s="253" t="n">
        <v>961.8</v>
      </c>
      <c r="AC228" s="253" t="n">
        <v>924.3</v>
      </c>
      <c r="AD228" s="253" t="n">
        <v>1019.9</v>
      </c>
      <c r="AE228" s="253" t="n">
        <v>1020.4</v>
      </c>
      <c r="AF228" s="35" t="n"/>
      <c r="AG228" s="35" t="n"/>
      <c r="AH228" s="254">
        <f>AC229</f>
        <v/>
      </c>
      <c r="AI228" s="254">
        <f>AH229</f>
        <v/>
      </c>
      <c r="AJ228" s="254">
        <f>AI229</f>
        <v/>
      </c>
      <c r="AK228" s="254">
        <f>AJ229</f>
        <v/>
      </c>
      <c r="AL228" s="254">
        <f>AK229</f>
        <v/>
      </c>
      <c r="AM228" s="19" t="n"/>
    </row>
    <row r="229" ht="15" customHeight="1" s="251">
      <c r="B229" s="16" t="inlineStr">
        <is>
          <t>Net cash — end of period (net of bank overdrafts)</t>
        </is>
      </c>
      <c r="C229" s="43" t="n"/>
      <c r="D229" s="278" t="n">
        <v>90.595</v>
      </c>
      <c r="E229" s="278" t="n">
        <v>67.068</v>
      </c>
      <c r="F229" s="278" t="n">
        <v>106.55</v>
      </c>
      <c r="G229" s="278" t="n">
        <v>672.122</v>
      </c>
      <c r="H229" s="278" t="n">
        <v>653.081</v>
      </c>
      <c r="I229" s="278" t="n">
        <v>653.081</v>
      </c>
      <c r="J229" s="278" t="n">
        <v>600.4109999999999</v>
      </c>
      <c r="K229" s="278" t="n">
        <v>557.671</v>
      </c>
      <c r="L229" s="278" t="n">
        <v>492.984</v>
      </c>
      <c r="M229" s="278" t="n">
        <v>371</v>
      </c>
      <c r="N229" s="278" t="n">
        <v>371</v>
      </c>
      <c r="O229" s="278" t="n">
        <v>361.3</v>
      </c>
      <c r="P229" s="278" t="n">
        <v>337.1</v>
      </c>
      <c r="Q229" s="278" t="n">
        <v>432</v>
      </c>
      <c r="R229" s="278" t="n">
        <v>494.6</v>
      </c>
      <c r="S229" s="278" t="n">
        <v>494.6</v>
      </c>
      <c r="T229" s="278" t="n">
        <v>584.6</v>
      </c>
      <c r="U229" s="278" t="n">
        <v>652.4</v>
      </c>
      <c r="V229" s="278" t="n">
        <v>749</v>
      </c>
      <c r="W229" s="278" t="n">
        <v>924.3</v>
      </c>
      <c r="X229" s="278" t="n">
        <v>924.3</v>
      </c>
      <c r="Y229" s="278" t="n">
        <v>871.8</v>
      </c>
      <c r="Z229" s="278" t="n">
        <v>846.6</v>
      </c>
      <c r="AA229" s="278" t="n">
        <v>961.8</v>
      </c>
      <c r="AB229" s="278" t="n">
        <v>1019.9</v>
      </c>
      <c r="AC229" s="278" t="n">
        <v>1019.9</v>
      </c>
      <c r="AD229" s="278" t="n">
        <v>1020.4</v>
      </c>
      <c r="AE229" s="278" t="n">
        <v>1205.6</v>
      </c>
      <c r="AF229" s="32" t="n"/>
      <c r="AG229" s="32" t="n"/>
      <c r="AH229" s="269">
        <f>AH228+AH227+AH226</f>
        <v/>
      </c>
      <c r="AI229" s="269">
        <f>AI228+AI227+AI226</f>
        <v/>
      </c>
      <c r="AJ229" s="269">
        <f>AJ228+AJ227+AJ226</f>
        <v/>
      </c>
      <c r="AK229" s="269">
        <f>AK228+AK227+AK226</f>
        <v/>
      </c>
      <c r="AL229" s="269">
        <f>AL228+AL227+AL226</f>
        <v/>
      </c>
      <c r="AM229" s="153" t="n"/>
    </row>
    <row r="230" ht="15" customHeight="1" s="251">
      <c r="B230" s="57" t="inlineStr">
        <is>
          <t xml:space="preserve">  Check: beginning + CFO + CFI + CFF + FX = ending cash (should be 0)</t>
        </is>
      </c>
      <c r="C230" s="261">
        <f>IF(AND(ISNUMBER(C228),ISNUMBER(C216)),IF(ABS(C228+C227+C226-C229)&lt;=0.25,0,ROUND(C228+C227+C226-C229,2)),"")</f>
        <v/>
      </c>
      <c r="D230" s="261">
        <f>IF(AND(ISNUMBER(D228),ISNUMBER(D216)),IF(ABS(D228+D227+D226-D229)&lt;=0.25,0,ROUND(D228+D227+D226-D229,2)),"")</f>
        <v/>
      </c>
      <c r="E230" s="261">
        <f>IF(AND(ISNUMBER(E228),ISNUMBER(E216)),IF(ABS(E228+E227+E226-E229)&lt;=0.25,0,ROUND(E228+E227+E226-E229,2)),"")</f>
        <v/>
      </c>
      <c r="F230" s="261">
        <f>IF(AND(ISNUMBER(F228),ISNUMBER(F216)),IF(ABS(F228+F227+F226-F229)&lt;=0.25,0,ROUND(F228+F227+F226-F229,2)),"")</f>
        <v/>
      </c>
      <c r="G230" s="261">
        <f>IF(AND(ISNUMBER(G228),ISNUMBER(G216)),IF(ABS(G228+G227+G226-G229)&lt;=0.25,0,ROUND(G228+G227+G226-G229,2)),"")</f>
        <v/>
      </c>
      <c r="H230" s="261">
        <f>IF(AND(ISNUMBER(H228),ISNUMBER(H216)),IF(ABS(H228+H227+H226-H229)&lt;=0.25,0,ROUND(H228+H227+H226-H229,2)),"")</f>
        <v/>
      </c>
      <c r="I230" s="261">
        <f>IF(AND(ISNUMBER(I228),ISNUMBER(I216)),IF(ABS(I228+I227+I226-I229)&lt;=0.25,0,ROUND(I228+I227+I226-I229,2)),"")</f>
        <v/>
      </c>
      <c r="J230" s="261">
        <f>IF(AND(ISNUMBER(J228),ISNUMBER(J216)),IF(ABS(J228+J227+J226-J229)&lt;=0.25,0,ROUND(J228+J227+J226-J229,2)),"")</f>
        <v/>
      </c>
      <c r="K230" s="261">
        <f>IF(AND(ISNUMBER(K228),ISNUMBER(K216)),IF(ABS(K228+K227+K226-K229)&lt;=0.25,0,ROUND(K228+K227+K226-K229,2)),"")</f>
        <v/>
      </c>
      <c r="L230" s="261">
        <f>IF(AND(ISNUMBER(L228),ISNUMBER(L216)),IF(ABS(L228+L227+L226-L229)&lt;=0.25,0,ROUND(L228+L227+L226-L229,2)),"")</f>
        <v/>
      </c>
      <c r="M230" s="261">
        <f>IF(AND(ISNUMBER(M228),ISNUMBER(M216)),IF(ABS(M228+M227+M226-M229)&lt;=0.25,0,ROUND(M228+M227+M226-M229,2)),"")</f>
        <v/>
      </c>
      <c r="N230" s="261">
        <f>IF(AND(ISNUMBER(N228),ISNUMBER(N216)),IF(ABS(N228+N227+N226-N229)&lt;=0.25,0,ROUND(N228+N227+N226-N229,2)),"")</f>
        <v/>
      </c>
      <c r="O230" s="261">
        <f>IF(AND(ISNUMBER(O228),ISNUMBER(O216)),IF(ABS(O228+O227+O226-O229)&lt;=0.25,0,ROUND(O228+O227+O226-O229,2)),"")</f>
        <v/>
      </c>
      <c r="P230" s="261">
        <f>IF(AND(ISNUMBER(P228),ISNUMBER(P216)),IF(ABS(P228+P227+P226-P229)&lt;=0.25,0,ROUND(P228+P227+P226-P229,2)),"")</f>
        <v/>
      </c>
      <c r="Q230" s="261">
        <f>IF(AND(ISNUMBER(Q228),ISNUMBER(Q216)),IF(ABS(Q228+Q227+Q226-Q229)&lt;=0.25,0,ROUND(Q228+Q227+Q226-Q229,2)),"")</f>
        <v/>
      </c>
      <c r="R230" s="261">
        <f>IF(AND(ISNUMBER(R228),ISNUMBER(R216)),IF(ABS(R228+R227+R226-R229)&lt;=0.25,0,ROUND(R228+R227+R226-R229,2)),"")</f>
        <v/>
      </c>
      <c r="S230" s="261">
        <f>IF(AND(ISNUMBER(S228),ISNUMBER(S216)),IF(ABS(S228+S227+S226-S229)&lt;=0.25,0,ROUND(S228+S227+S226-S229,2)),"")</f>
        <v/>
      </c>
      <c r="T230" s="261">
        <f>IF(AND(ISNUMBER(T228),ISNUMBER(T216)),IF(ABS(T228+T227+T226-T229)&lt;=0.25,0,ROUND(T228+T227+T226-T229,2)),"")</f>
        <v/>
      </c>
      <c r="U230" s="261">
        <f>IF(AND(ISNUMBER(U228),ISNUMBER(U216)),IF(ABS(U228+U227+U226-U229)&lt;=0.25,0,ROUND(U228+U227+U226-U229,2)),"")</f>
        <v/>
      </c>
      <c r="V230" s="261">
        <f>IF(AND(ISNUMBER(V228),ISNUMBER(V216)),IF(ABS(V228+V227+V226-V229)&lt;=0.25,0,ROUND(V228+V227+V226-V229,2)),"")</f>
        <v/>
      </c>
      <c r="W230" s="261">
        <f>IF(AND(ISNUMBER(W228),ISNUMBER(W216)),IF(ABS(W228+W227+W226-W229)&lt;=0.25,0,ROUND(W228+W227+W226-W229,2)),"")</f>
        <v/>
      </c>
      <c r="X230" s="261">
        <f>IF(AND(ISNUMBER(X228),ISNUMBER(X216)),IF(ABS(X228+X227+X226-X229)&lt;=0.25,0,ROUND(X228+X227+X226-X229,2)),"")</f>
        <v/>
      </c>
      <c r="Y230" s="261">
        <f>IF(AND(ISNUMBER(Y228),ISNUMBER(Y216)),IF(ABS(Y228+Y227+Y226-Y229)&lt;=0.25,0,ROUND(Y228+Y227+Y226-Y229,2)),"")</f>
        <v/>
      </c>
      <c r="Z230" s="261">
        <f>IF(AND(ISNUMBER(Z228),ISNUMBER(Z216)),IF(ABS(Z228+Z227+Z226-Z229)&lt;=0.25,0,ROUND(Z228+Z227+Z226-Z229,2)),"")</f>
        <v/>
      </c>
      <c r="AA230" s="261">
        <f>IF(AND(ISNUMBER(AA228),ISNUMBER(AA216)),IF(ABS(AA228+AA227+AA226-AA229)&lt;=0.25,0,ROUND(AA228+AA227+AA226-AA229,2)),"")</f>
        <v/>
      </c>
      <c r="AB230" s="261">
        <f>IF(AND(ISNUMBER(AB228),ISNUMBER(AB216)),IF(ABS(AB228+AB227+AB226-AB229)&lt;=0.25,0,ROUND(AB228+AB227+AB226-AB229,2)),"")</f>
        <v/>
      </c>
      <c r="AC230" s="261">
        <f>IF(AND(ISNUMBER(AC228),ISNUMBER(AC216)),IF(ABS(AC228+AC227+AC226-AC229)&lt;=0.25,0,ROUND(AC228+AC227+AC226-AC229,2)),"")</f>
        <v/>
      </c>
      <c r="AD230" s="261">
        <f>IF(AND(ISNUMBER(AD228),ISNUMBER(AD216)),IF(ABS(AD228+AD227+AD226-AD229)&lt;=0.25,0,ROUND(AD228+AD227+AD226-AD229,2)),"")</f>
        <v/>
      </c>
      <c r="AE230" s="261">
        <f>IF(AND(ISNUMBER(AE228),ISNUMBER(AE216)),IF(ABS(AE228+AE227+AE226-AE229)&lt;=0.25,0,ROUND(AE228+AE227+AE226-AE229,2)),"")</f>
        <v/>
      </c>
      <c r="AF230" s="153" t="n"/>
      <c r="AG230" s="153" t="n"/>
      <c r="AH230" s="264">
        <f>IF(AND(ISNUMBER(AH228),ISNUMBER(AH216)),IF(ABS(AH228+AH227+AH226-AH229)&lt;=0.25,0,ROUND(AH228+AH227+AH226-AH229,2)),"")</f>
        <v/>
      </c>
      <c r="AI230" s="264">
        <f>IF(AND(ISNUMBER(AI228),ISNUMBER(AI216)),IF(ABS(AI228+AI227+AI226-AI229)&lt;=0.25,0,ROUND(AI228+AI227+AI226-AI229,2)),"")</f>
        <v/>
      </c>
      <c r="AJ230" s="264">
        <f>IF(AND(ISNUMBER(AJ228),ISNUMBER(AJ216)),IF(ABS(AJ228+AJ227+AJ226-AJ229)&lt;=0.25,0,ROUND(AJ228+AJ227+AJ226-AJ229,2)),"")</f>
        <v/>
      </c>
      <c r="AK230" s="264">
        <f>IF(AND(ISNUMBER(AK228),ISNUMBER(AK216)),IF(ABS(AK228+AK227+AK226-AK229)&lt;=0.25,0,ROUND(AK228+AK227+AK226-AK229,2)),"")</f>
        <v/>
      </c>
      <c r="AL230" s="264">
        <f>IF(AND(ISNUMBER(AL228),ISNUMBER(AL216)),IF(ABS(AL228+AL227+AL226-AL229)&lt;=0.25,0,ROUND(AL228+AL227+AL226-AL229,2)),"")</f>
        <v/>
      </c>
      <c r="AM230" s="153" t="n"/>
    </row>
    <row r="231" ht="15" customHeight="1" s="251">
      <c r="B231" s="57" t="inlineStr">
        <is>
          <t xml:space="preserve">  Check: CFO = sum of operating lines (should be 0)</t>
        </is>
      </c>
      <c r="C231" s="261">
        <f>IF(ISNUMBER(C209),IF(ABS(SUM(C209:C215)-C216)&lt;=0.015,0,ROUND(SUM(C209:C215)-C216,2)),"")</f>
        <v/>
      </c>
      <c r="D231" s="261">
        <f>IF(ISNUMBER(D209),IF(ABS(SUM(D209:D215)-D216)&lt;=0.015,0,ROUND(SUM(D209:D215)-D216,2)),"")</f>
        <v/>
      </c>
      <c r="E231" s="261">
        <f>IF(ISNUMBER(E209),IF(ABS(SUM(E209:E215)-E216)&lt;=0.015,0,ROUND(SUM(E209:E215)-E216,2)),"")</f>
        <v/>
      </c>
      <c r="F231" s="261">
        <f>IF(ISNUMBER(F209),IF(ABS(SUM(F209:F215)-F216)&lt;=0.015,0,ROUND(SUM(F209:F215)-F216,2)),"")</f>
        <v/>
      </c>
      <c r="G231" s="261">
        <f>IF(ISNUMBER(G209),IF(ABS(SUM(G209:G215)-G216)&lt;=0.015,0,ROUND(SUM(G209:G215)-G216,2)),"")</f>
        <v/>
      </c>
      <c r="H231" s="261">
        <f>IF(ISNUMBER(H209),IF(ABS(SUM(H209:H215)-H216)&lt;=0.015,0,ROUND(SUM(H209:H215)-H216,2)),"")</f>
        <v/>
      </c>
      <c r="I231" s="261">
        <f>IF(ISNUMBER(I209),IF(ABS(SUM(I209:I215)-I216)&lt;=0.015,0,ROUND(SUM(I209:I215)-I216,2)),"")</f>
        <v/>
      </c>
      <c r="J231" s="261">
        <f>IF(ISNUMBER(J209),IF(ABS(SUM(J209:J215)-J216)&lt;=0.015,0,ROUND(SUM(J209:J215)-J216,2)),"")</f>
        <v/>
      </c>
      <c r="K231" s="261">
        <f>IF(ISNUMBER(K209),IF(ABS(SUM(K209:K215)-K216)&lt;=0.015,0,ROUND(SUM(K209:K215)-K216,2)),"")</f>
        <v/>
      </c>
      <c r="L231" s="261">
        <f>IF(ISNUMBER(L209),IF(ABS(SUM(L209:L215)-L216)&lt;=0.015,0,ROUND(SUM(L209:L215)-L216,2)),"")</f>
        <v/>
      </c>
      <c r="M231" s="261">
        <f>IF(ISNUMBER(M209),IF(ABS(SUM(M209:M215)-M216)&lt;=0.015,0,ROUND(SUM(M209:M215)-M216,2)),"")</f>
        <v/>
      </c>
      <c r="N231" s="261">
        <f>IF(ISNUMBER(N209),IF(ABS(SUM(N209:N215)-N216)&lt;=0.015,0,ROUND(SUM(N209:N215)-N216,2)),"")</f>
        <v/>
      </c>
      <c r="O231" s="261">
        <f>IF(ISNUMBER(O209),IF(ABS(SUM(O209:O215)-O216)&lt;=0.015,0,ROUND(SUM(O209:O215)-O216,2)),"")</f>
        <v/>
      </c>
      <c r="P231" s="261">
        <f>IF(ISNUMBER(P209),IF(ABS(SUM(P209:P215)-P216)&lt;=0.015,0,ROUND(SUM(P209:P215)-P216,2)),"")</f>
        <v/>
      </c>
      <c r="Q231" s="261">
        <f>IF(ISNUMBER(Q209),IF(ABS(SUM(Q209:Q215)-Q216)&lt;=0.015,0,ROUND(SUM(Q209:Q215)-Q216,2)),"")</f>
        <v/>
      </c>
      <c r="R231" s="261">
        <f>IF(ISNUMBER(R209),IF(ABS(SUM(R209:R215)-R216)&lt;=0.015,0,ROUND(SUM(R209:R215)-R216,2)),"")</f>
        <v/>
      </c>
      <c r="S231" s="261">
        <f>IF(ISNUMBER(S209),IF(ABS(SUM(S209:S215)-S216)&lt;=0.015,0,ROUND(SUM(S209:S215)-S216,2)),"")</f>
        <v/>
      </c>
      <c r="T231" s="261">
        <f>IF(ISNUMBER(T209),IF(ABS(SUM(T209:T215)-T216)&lt;=0.015,0,ROUND(SUM(T209:T215)-T216,2)),"")</f>
        <v/>
      </c>
      <c r="U231" s="261">
        <f>IF(ISNUMBER(U209),IF(ABS(SUM(U209:U215)-U216)&lt;=0.015,0,ROUND(SUM(U209:U215)-U216,2)),"")</f>
        <v/>
      </c>
      <c r="V231" s="261">
        <f>IF(ISNUMBER(V209),IF(ABS(SUM(V209:V215)-V216)&lt;=0.015,0,ROUND(SUM(V209:V215)-V216,2)),"")</f>
        <v/>
      </c>
      <c r="W231" s="261">
        <f>IF(ISNUMBER(W209),IF(ABS(SUM(W209:W215)-W216)&lt;=0.015,0,ROUND(SUM(W209:W215)-W216,2)),"")</f>
        <v/>
      </c>
      <c r="X231" s="261">
        <f>IF(ISNUMBER(X209),IF(ABS(SUM(X209:X215)-X216)&lt;=0.015,0,ROUND(SUM(X209:X215)-X216,2)),"")</f>
        <v/>
      </c>
      <c r="Y231" s="261">
        <f>IF(ISNUMBER(Y209),IF(ABS(SUM(Y209:Y215)-Y216)&lt;=0.015,0,ROUND(SUM(Y209:Y215)-Y216,2)),"")</f>
        <v/>
      </c>
      <c r="Z231" s="261">
        <f>IF(ISNUMBER(Z209),IF(ABS(SUM(Z209:Z215)-Z216)&lt;=0.015,0,ROUND(SUM(Z209:Z215)-Z216,2)),"")</f>
        <v/>
      </c>
      <c r="AA231" s="261">
        <f>IF(ISNUMBER(AA209),IF(ABS(SUM(AA209:AA215)-AA216)&lt;=0.015,0,ROUND(SUM(AA209:AA215)-AA216,2)),"")</f>
        <v/>
      </c>
      <c r="AB231" s="261">
        <f>IF(ISNUMBER(AB209),IF(ABS(SUM(AB209:AB215)-AB216)&lt;=0.015,0,ROUND(SUM(AB209:AB215)-AB216,2)),"")</f>
        <v/>
      </c>
      <c r="AC231" s="261">
        <f>IF(ISNUMBER(AC209),IF(ABS(SUM(AC209:AC215)-AC216)&lt;=0.015,0,ROUND(SUM(AC209:AC215)-AC216,2)),"")</f>
        <v/>
      </c>
      <c r="AD231" s="261">
        <f>IF(ISNUMBER(AD209),IF(ABS(SUM(AD209:AD215)-AD216)&lt;=0.015,0,ROUND(SUM(AD209:AD215)-AD216,2)),"")</f>
        <v/>
      </c>
      <c r="AE231" s="261">
        <f>IF(ISNUMBER(AE209),IF(ABS(SUM(AE209:AE215)-AE216)&lt;=0.015,0,ROUND(SUM(AE209:AE215)-AE216,2)),"")</f>
        <v/>
      </c>
      <c r="AF231" s="153" t="n"/>
      <c r="AG231" s="153" t="n"/>
      <c r="AH231" s="264">
        <f>IF(ISNUMBER(AH209),IF(ABS(SUM(AH209:AH215)-AH216)&lt;=0.015,0,ROUND(SUM(AH209:AH215)-AH216,2)),"")</f>
        <v/>
      </c>
      <c r="AI231" s="264">
        <f>IF(ISNUMBER(AI209),IF(ABS(SUM(AI209:AI215)-AI216)&lt;=0.015,0,ROUND(SUM(AI209:AI215)-AI216,2)),"")</f>
        <v/>
      </c>
      <c r="AJ231" s="264">
        <f>IF(ISNUMBER(AJ209),IF(ABS(SUM(AJ209:AJ215)-AJ216)&lt;=0.015,0,ROUND(SUM(AJ209:AJ215)-AJ216,2)),"")</f>
        <v/>
      </c>
      <c r="AK231" s="264">
        <f>IF(ISNUMBER(AK209),IF(ABS(SUM(AK209:AK215)-AK216)&lt;=0.015,0,ROUND(SUM(AK209:AK215)-AK216,2)),"")</f>
        <v/>
      </c>
      <c r="AL231" s="264">
        <f>IF(ISNUMBER(AL209),IF(ABS(SUM(AL209:AL215)-AL216)&lt;=0.015,0,ROUND(SUM(AL209:AL215)-AL216,2)),"")</f>
        <v/>
      </c>
      <c r="AM231" s="153" t="n"/>
    </row>
    <row r="232" ht="15" customHeight="1" s="251">
      <c r="B232" s="25" t="inlineStr">
        <is>
          <t>(Memo)</t>
        </is>
      </c>
      <c r="AM232" s="153" t="n"/>
    </row>
    <row r="233" ht="15" customHeight="1" s="251">
      <c r="B233" s="55" t="inlineStr">
        <is>
          <t>Free cash flow (CFO − capex − lease principal payments)</t>
        </is>
      </c>
      <c r="C233" s="263">
        <f>IF(AND(ISNUMBER(C216),ISNUMBER(C217)),C216+C217+C220,"")</f>
        <v/>
      </c>
      <c r="D233" s="263">
        <f>IF(AND(ISNUMBER(D216),ISNUMBER(D217)),D216+D217+D220,"")</f>
        <v/>
      </c>
      <c r="E233" s="263">
        <f>IF(AND(ISNUMBER(E216),ISNUMBER(E217)),E216+E217+E220,"")</f>
        <v/>
      </c>
      <c r="F233" s="263">
        <f>IF(AND(ISNUMBER(F216),ISNUMBER(F217)),F216+F217+F220,"")</f>
        <v/>
      </c>
      <c r="G233" s="263">
        <f>IF(AND(ISNUMBER(G216),ISNUMBER(G217)),G216+G217+G220,"")</f>
        <v/>
      </c>
      <c r="H233" s="263">
        <f>IF(AND(ISNUMBER(H216),ISNUMBER(H217)),H216+H217+H220,"")</f>
        <v/>
      </c>
      <c r="I233" s="263">
        <f>IF(AND(ISNUMBER(I216),ISNUMBER(I217)),I216+I217+I220,"")</f>
        <v/>
      </c>
      <c r="J233" s="263">
        <f>IF(AND(ISNUMBER(J216),ISNUMBER(J217)),J216+J217+J220,"")</f>
        <v/>
      </c>
      <c r="K233" s="263">
        <f>IF(AND(ISNUMBER(K216),ISNUMBER(K217)),K216+K217+K220,"")</f>
        <v/>
      </c>
      <c r="L233" s="263">
        <f>IF(AND(ISNUMBER(L216),ISNUMBER(L217)),L216+L217+L220,"")</f>
        <v/>
      </c>
      <c r="M233" s="263">
        <f>IF(AND(ISNUMBER(M216),ISNUMBER(M217)),M216+M217+M220,"")</f>
        <v/>
      </c>
      <c r="N233" s="263">
        <f>IF(AND(ISNUMBER(N216),ISNUMBER(N217)),N216+N217+N220,"")</f>
        <v/>
      </c>
      <c r="O233" s="263">
        <f>IF(AND(ISNUMBER(O216),ISNUMBER(O217)),O216+O217+O220,"")</f>
        <v/>
      </c>
      <c r="P233" s="263">
        <f>IF(AND(ISNUMBER(P216),ISNUMBER(P217)),P216+P217+P220,"")</f>
        <v/>
      </c>
      <c r="Q233" s="263">
        <f>IF(AND(ISNUMBER(Q216),ISNUMBER(Q217)),Q216+Q217+Q220,"")</f>
        <v/>
      </c>
      <c r="R233" s="263">
        <f>IF(AND(ISNUMBER(R216),ISNUMBER(R217)),R216+R217+R220,"")</f>
        <v/>
      </c>
      <c r="S233" s="263">
        <f>IF(AND(ISNUMBER(S216),ISNUMBER(S217)),S216+S217+S220,"")</f>
        <v/>
      </c>
      <c r="T233" s="263">
        <f>IF(AND(ISNUMBER(T216),ISNUMBER(T217)),T216+T217+T220,"")</f>
        <v/>
      </c>
      <c r="U233" s="263">
        <f>IF(AND(ISNUMBER(U216),ISNUMBER(U217)),U216+U217+U220,"")</f>
        <v/>
      </c>
      <c r="V233" s="263">
        <f>IF(AND(ISNUMBER(V216),ISNUMBER(V217)),V216+V217+V220,"")</f>
        <v/>
      </c>
      <c r="W233" s="263">
        <f>IF(AND(ISNUMBER(W216),ISNUMBER(W217)),W216+W217+W220,"")</f>
        <v/>
      </c>
      <c r="X233" s="263">
        <f>IF(AND(ISNUMBER(X216),ISNUMBER(X217)),X216+X217+X220,"")</f>
        <v/>
      </c>
      <c r="Y233" s="263">
        <f>IF(AND(ISNUMBER(Y216),ISNUMBER(Y217)),Y216+Y217+Y220,"")</f>
        <v/>
      </c>
      <c r="Z233" s="263">
        <f>IF(AND(ISNUMBER(Z216),ISNUMBER(Z217)),Z216+Z217+Z220,"")</f>
        <v/>
      </c>
      <c r="AA233" s="263">
        <f>IF(AND(ISNUMBER(AA216),ISNUMBER(AA217)),AA216+AA217+AA220,"")</f>
        <v/>
      </c>
      <c r="AB233" s="263">
        <f>IF(AND(ISNUMBER(AB216),ISNUMBER(AB217)),AB216+AB217+AB220,"")</f>
        <v/>
      </c>
      <c r="AC233" s="263">
        <f>IF(AND(ISNUMBER(AC216),ISNUMBER(AC217)),AC216+AC217+AC220,"")</f>
        <v/>
      </c>
      <c r="AD233" s="263">
        <f>IF(AND(ISNUMBER(AD216),ISNUMBER(AD217)),AD216+AD217+AD220,"")</f>
        <v/>
      </c>
      <c r="AE233" s="263">
        <f>IF(AND(ISNUMBER(AE216),ISNUMBER(AE217)),AE216+AE217+AE220,"")</f>
        <v/>
      </c>
      <c r="AF233" s="56" t="n"/>
      <c r="AG233" s="56" t="n"/>
      <c r="AH233" s="263">
        <f>IF(AND(ISNUMBER(AH216),ISNUMBER(AH217)),AH216+AH217+AH220,"")</f>
        <v/>
      </c>
      <c r="AI233" s="263">
        <f>IF(AND(ISNUMBER(AI216),ISNUMBER(AI217)),AI216+AI217+AI220,"")</f>
        <v/>
      </c>
      <c r="AJ233" s="263">
        <f>IF(AND(ISNUMBER(AJ216),ISNUMBER(AJ217)),AJ216+AJ217+AJ220,"")</f>
        <v/>
      </c>
      <c r="AK233" s="263">
        <f>IF(AND(ISNUMBER(AK216),ISNUMBER(AK217)),AK216+AK217+AK220,"")</f>
        <v/>
      </c>
      <c r="AL233" s="263">
        <f>IF(AND(ISNUMBER(AL216),ISNUMBER(AL217)),AL216+AL217+AL220,"")</f>
        <v/>
      </c>
      <c r="AM233" s="153" t="inlineStr">
        <is>
          <t>Model definition (rent-adjusted under IFRS 16). On lists "Free Cash Flow" among its Investor Day non-IFRS measures but does not reconcile it in the quarterly releases.</t>
        </is>
      </c>
      <c r="AO233" s="20">
        <f>IFERROR((AL233/AC233)^(1/5)-1,"n/m")</f>
        <v/>
      </c>
      <c r="AP233" s="20">
        <f>IFERROR((AC233/D233)^(1/5)-1,"n/m")</f>
        <v/>
      </c>
      <c r="AQ233" s="20">
        <f>IFERROR((AC233/N233)^(1/3)-1,"n/m")</f>
        <v/>
      </c>
      <c r="AR233" s="20">
        <f>IFERROR((AC233/C233)^(1/6)-1,"n/m")</f>
        <v/>
      </c>
    </row>
    <row r="234" ht="15" customHeight="1" s="251">
      <c r="B234" s="22" t="inlineStr">
        <is>
          <t xml:space="preserve">  FCF y/y %</t>
        </is>
      </c>
      <c r="C234" s="23" t="n"/>
      <c r="D234" s="255">
        <f>IF(AND(ISNUMBER(D233),ISNUMBER(C233)),IFERROR(D233/C233-1,""),"")</f>
        <v/>
      </c>
      <c r="E234" s="23" t="n"/>
      <c r="F234" s="23" t="n"/>
      <c r="G234" s="23" t="n"/>
      <c r="H234" s="23" t="n"/>
      <c r="I234" s="255">
        <f>IF(AND(ISNUMBER(I233),ISNUMBER(D233)),IFERROR(I233/D233-1,""),"")</f>
        <v/>
      </c>
      <c r="J234" s="255">
        <f>IF(AND(ISNUMBER(J233),ISNUMBER(E233)),IFERROR(J233/E233-1,""),"")</f>
        <v/>
      </c>
      <c r="K234" s="255">
        <f>IF(AND(ISNUMBER(K233),ISNUMBER(F233)),IFERROR(K233/F233-1,""),"")</f>
        <v/>
      </c>
      <c r="L234" s="255">
        <f>IF(AND(ISNUMBER(L233),ISNUMBER(G233)),IFERROR(L233/G233-1,""),"")</f>
        <v/>
      </c>
      <c r="M234" s="255">
        <f>IF(AND(ISNUMBER(M233),ISNUMBER(H233)),IFERROR(M233/H233-1,""),"")</f>
        <v/>
      </c>
      <c r="N234" s="255">
        <f>IF(AND(ISNUMBER(N233),ISNUMBER(I233)),IFERROR(N233/I233-1,""),"")</f>
        <v/>
      </c>
      <c r="O234" s="255">
        <f>IF(AND(ISNUMBER(O233),ISNUMBER(J233)),IFERROR(O233/J233-1,""),"")</f>
        <v/>
      </c>
      <c r="P234" s="255">
        <f>IF(AND(ISNUMBER(P233),ISNUMBER(K233)),IFERROR(P233/K233-1,""),"")</f>
        <v/>
      </c>
      <c r="Q234" s="255">
        <f>IF(AND(ISNUMBER(Q233),ISNUMBER(L233)),IFERROR(Q233/L233-1,""),"")</f>
        <v/>
      </c>
      <c r="R234" s="255">
        <f>IF(AND(ISNUMBER(R233),ISNUMBER(M233)),IFERROR(R233/M233-1,""),"")</f>
        <v/>
      </c>
      <c r="S234" s="255">
        <f>IF(AND(ISNUMBER(S233),ISNUMBER(N233)),IFERROR(S233/N233-1,""),"")</f>
        <v/>
      </c>
      <c r="T234" s="255">
        <f>IF(AND(ISNUMBER(T233),ISNUMBER(O233)),IFERROR(T233/O233-1,""),"")</f>
        <v/>
      </c>
      <c r="U234" s="255">
        <f>IF(AND(ISNUMBER(U233),ISNUMBER(P233)),IFERROR(U233/P233-1,""),"")</f>
        <v/>
      </c>
      <c r="V234" s="255">
        <f>IF(AND(ISNUMBER(V233),ISNUMBER(Q233)),IFERROR(V233/Q233-1,""),"")</f>
        <v/>
      </c>
      <c r="W234" s="255">
        <f>IF(AND(ISNUMBER(W233),ISNUMBER(R233)),IFERROR(W233/R233-1,""),"")</f>
        <v/>
      </c>
      <c r="X234" s="255">
        <f>IF(AND(ISNUMBER(X233),ISNUMBER(S233)),IFERROR(X233/S233-1,""),"")</f>
        <v/>
      </c>
      <c r="Y234" s="255">
        <f>IF(AND(ISNUMBER(Y233),ISNUMBER(T233)),IFERROR(Y233/T233-1,""),"")</f>
        <v/>
      </c>
      <c r="Z234" s="255">
        <f>IF(AND(ISNUMBER(Z233),ISNUMBER(U233)),IFERROR(Z233/U233-1,""),"")</f>
        <v/>
      </c>
      <c r="AA234" s="255">
        <f>IF(AND(ISNUMBER(AA233),ISNUMBER(V233)),IFERROR(AA233/V233-1,""),"")</f>
        <v/>
      </c>
      <c r="AB234" s="255">
        <f>IF(AND(ISNUMBER(AB233),ISNUMBER(W233)),IFERROR(AB233/W233-1,""),"")</f>
        <v/>
      </c>
      <c r="AC234" s="255">
        <f>IF(AND(ISNUMBER(AC233),ISNUMBER(X233)),IFERROR(AC233/X233-1,""),"")</f>
        <v/>
      </c>
      <c r="AD234" s="255">
        <f>IF(AND(ISNUMBER(AD233),ISNUMBER(Y233)),IFERROR(AD233/Y233-1,""),"")</f>
        <v/>
      </c>
      <c r="AE234" s="255">
        <f>IF(AND(ISNUMBER(AE233),ISNUMBER(Z233)),IFERROR(AE233/Z233-1,""),"")</f>
        <v/>
      </c>
      <c r="AF234" s="24" t="n"/>
      <c r="AG234" s="24" t="n"/>
      <c r="AH234" s="256">
        <f>IF(AND(ISNUMBER(AH233),ISNUMBER(AC233)),IFERROR(AH233/AC233-1,""),"")</f>
        <v/>
      </c>
      <c r="AI234" s="256">
        <f>IF(AND(ISNUMBER(AI233),ISNUMBER(AH233)),IFERROR(AI233/AH233-1,""),"")</f>
        <v/>
      </c>
      <c r="AJ234" s="256">
        <f>IF(AND(ISNUMBER(AJ233),ISNUMBER(AI233)),IFERROR(AJ233/AI233-1,""),"")</f>
        <v/>
      </c>
      <c r="AK234" s="256">
        <f>IF(AND(ISNUMBER(AK233),ISNUMBER(AJ233)),IFERROR(AK233/AJ233-1,""),"")</f>
        <v/>
      </c>
      <c r="AL234" s="256">
        <f>IF(AND(ISNUMBER(AL233),ISNUMBER(AK233)),IFERROR(AL233/AK233-1,""),"")</f>
        <v/>
      </c>
      <c r="AM234" s="153" t="n"/>
    </row>
    <row r="235" ht="15" customHeight="1" s="251">
      <c r="B235" s="25" t="inlineStr">
        <is>
          <t xml:space="preserve">  FCF % of net sales</t>
        </is>
      </c>
      <c r="C235" s="215">
        <f>IF(AND(ISNUMBER(C233),ISNUMBER(C109)),IFERROR(C233/C109,""),"")</f>
        <v/>
      </c>
      <c r="D235" s="215">
        <f>IF(AND(ISNUMBER(D233),ISNUMBER(D109)),IFERROR(D233/D109,""),"")</f>
        <v/>
      </c>
      <c r="E235" s="215">
        <f>IF(AND(ISNUMBER(E233),ISNUMBER(E109)),IFERROR(E233/E109,""),"")</f>
        <v/>
      </c>
      <c r="F235" s="215">
        <f>IF(AND(ISNUMBER(F233),ISNUMBER(F109)),IFERROR(F233/F109,""),"")</f>
        <v/>
      </c>
      <c r="G235" s="215">
        <f>IF(AND(ISNUMBER(G233),ISNUMBER(G109)),IFERROR(G233/G109,""),"")</f>
        <v/>
      </c>
      <c r="H235" s="215">
        <f>IF(AND(ISNUMBER(H233),ISNUMBER(H109)),IFERROR(H233/H109,""),"")</f>
        <v/>
      </c>
      <c r="I235" s="215">
        <f>IF(AND(ISNUMBER(I233),ISNUMBER(I109)),IFERROR(I233/I109,""),"")</f>
        <v/>
      </c>
      <c r="J235" s="215">
        <f>IF(AND(ISNUMBER(J233),ISNUMBER(J109)),IFERROR(J233/J109,""),"")</f>
        <v/>
      </c>
      <c r="K235" s="215">
        <f>IF(AND(ISNUMBER(K233),ISNUMBER(K109)),IFERROR(K233/K109,""),"")</f>
        <v/>
      </c>
      <c r="L235" s="215">
        <f>IF(AND(ISNUMBER(L233),ISNUMBER(L109)),IFERROR(L233/L109,""),"")</f>
        <v/>
      </c>
      <c r="M235" s="215">
        <f>IF(AND(ISNUMBER(M233),ISNUMBER(M109)),IFERROR(M233/M109,""),"")</f>
        <v/>
      </c>
      <c r="N235" s="215">
        <f>IF(AND(ISNUMBER(N233),ISNUMBER(N109)),IFERROR(N233/N109,""),"")</f>
        <v/>
      </c>
      <c r="O235" s="215">
        <f>IF(AND(ISNUMBER(O233),ISNUMBER(O109)),IFERROR(O233/O109,""),"")</f>
        <v/>
      </c>
      <c r="P235" s="215">
        <f>IF(AND(ISNUMBER(P233),ISNUMBER(P109)),IFERROR(P233/P109,""),"")</f>
        <v/>
      </c>
      <c r="Q235" s="215">
        <f>IF(AND(ISNUMBER(Q233),ISNUMBER(Q109)),IFERROR(Q233/Q109,""),"")</f>
        <v/>
      </c>
      <c r="R235" s="215">
        <f>IF(AND(ISNUMBER(R233),ISNUMBER(R109)),IFERROR(R233/R109,""),"")</f>
        <v/>
      </c>
      <c r="S235" s="215">
        <f>IF(AND(ISNUMBER(S233),ISNUMBER(S109)),IFERROR(S233/S109,""),"")</f>
        <v/>
      </c>
      <c r="T235" s="215">
        <f>IF(AND(ISNUMBER(T233),ISNUMBER(T109)),IFERROR(T233/T109,""),"")</f>
        <v/>
      </c>
      <c r="U235" s="215">
        <f>IF(AND(ISNUMBER(U233),ISNUMBER(U109)),IFERROR(U233/U109,""),"")</f>
        <v/>
      </c>
      <c r="V235" s="215">
        <f>IF(AND(ISNUMBER(V233),ISNUMBER(V109)),IFERROR(V233/V109,""),"")</f>
        <v/>
      </c>
      <c r="W235" s="215">
        <f>IF(AND(ISNUMBER(W233),ISNUMBER(W109)),IFERROR(W233/W109,""),"")</f>
        <v/>
      </c>
      <c r="X235" s="215">
        <f>IF(AND(ISNUMBER(X233),ISNUMBER(X109)),IFERROR(X233/X109,""),"")</f>
        <v/>
      </c>
      <c r="Y235" s="215">
        <f>IF(AND(ISNUMBER(Y233),ISNUMBER(Y109)),IFERROR(Y233/Y109,""),"")</f>
        <v/>
      </c>
      <c r="Z235" s="215">
        <f>IF(AND(ISNUMBER(Z233),ISNUMBER(Z109)),IFERROR(Z233/Z109,""),"")</f>
        <v/>
      </c>
      <c r="AA235" s="215">
        <f>IF(AND(ISNUMBER(AA233),ISNUMBER(AA109)),IFERROR(AA233/AA109,""),"")</f>
        <v/>
      </c>
      <c r="AB235" s="215">
        <f>IF(AND(ISNUMBER(AB233),ISNUMBER(AB109)),IFERROR(AB233/AB109,""),"")</f>
        <v/>
      </c>
      <c r="AC235" s="215">
        <f>IF(AND(ISNUMBER(AC233),ISNUMBER(AC109)),IFERROR(AC233/AC109,""),"")</f>
        <v/>
      </c>
      <c r="AD235" s="215">
        <f>IF(AND(ISNUMBER(AD233),ISNUMBER(AD109)),IFERROR(AD233/AD109,""),"")</f>
        <v/>
      </c>
      <c r="AE235" s="215">
        <f>IF(AND(ISNUMBER(AE233),ISNUMBER(AE109)),IFERROR(AE233/AE109,""),"")</f>
        <v/>
      </c>
      <c r="AF235" s="24" t="n"/>
      <c r="AG235" s="24" t="n"/>
      <c r="AH235" s="256">
        <f>IF(AND(ISNUMBER(AH233),ISNUMBER(AH109)),IFERROR(AH233/AH109,""),"")</f>
        <v/>
      </c>
      <c r="AI235" s="256">
        <f>IF(AND(ISNUMBER(AI233),ISNUMBER(AI109)),IFERROR(AI233/AI109,""),"")</f>
        <v/>
      </c>
      <c r="AJ235" s="256">
        <f>IF(AND(ISNUMBER(AJ233),ISNUMBER(AJ109)),IFERROR(AJ233/AJ109,""),"")</f>
        <v/>
      </c>
      <c r="AK235" s="256">
        <f>IF(AND(ISNUMBER(AK233),ISNUMBER(AK109)),IFERROR(AK233/AK109,""),"")</f>
        <v/>
      </c>
      <c r="AL235" s="256">
        <f>IF(AND(ISNUMBER(AL233),ISNUMBER(AL109)),IFERROR(AL233/AL109,""),"")</f>
        <v/>
      </c>
      <c r="AM235" s="153" t="n"/>
      <c r="AO235" s="37">
        <f>IFERROR(AVERAGE(AH235,AI235,AJ235,AK235,AL235),"n/m")</f>
        <v/>
      </c>
      <c r="AP235" s="37">
        <f>IFERROR(AVERAGE(I235,N235,S235,X235,AC235),"n/m")</f>
        <v/>
      </c>
      <c r="AQ235" s="37">
        <f>IFERROR(AVERAGE(S235,X235,AC235),"n/m")</f>
        <v/>
      </c>
      <c r="AR235" s="37">
        <f>IFERROR(AVERAGE(C235,D235,I235,N235,S235,X235,AC235),"n/m")</f>
        <v/>
      </c>
    </row>
    <row r="236" ht="15" customHeight="1" s="251">
      <c r="B236" s="25" t="inlineStr">
        <is>
          <t xml:space="preserve">  FCF / adjusted net income conversion %</t>
        </is>
      </c>
      <c r="C236" s="215">
        <f>IF(AND(ISNUMBER(C233),ISNUMBER(C178)),IFERROR(C233/C178,""),"")</f>
        <v/>
      </c>
      <c r="D236" s="215">
        <f>IF(AND(ISNUMBER(D233),ISNUMBER(D178)),IFERROR(D233/D178,""),"")</f>
        <v/>
      </c>
      <c r="E236" s="215">
        <f>IF(AND(ISNUMBER(E233),ISNUMBER(E178)),IFERROR(E233/E178,""),"")</f>
        <v/>
      </c>
      <c r="F236" s="215">
        <f>IF(AND(ISNUMBER(F233),ISNUMBER(F178)),IFERROR(F233/F178,""),"")</f>
        <v/>
      </c>
      <c r="G236" s="215">
        <f>IF(AND(ISNUMBER(G233),ISNUMBER(G178)),IFERROR(G233/G178,""),"")</f>
        <v/>
      </c>
      <c r="H236" s="215">
        <f>IF(AND(ISNUMBER(H233),ISNUMBER(H178)),IFERROR(H233/H178,""),"")</f>
        <v/>
      </c>
      <c r="I236" s="215">
        <f>IF(AND(ISNUMBER(I233),ISNUMBER(I178)),IFERROR(I233/I178,""),"")</f>
        <v/>
      </c>
      <c r="J236" s="215">
        <f>IF(AND(ISNUMBER(J233),ISNUMBER(J178)),IFERROR(J233/J178,""),"")</f>
        <v/>
      </c>
      <c r="K236" s="215">
        <f>IF(AND(ISNUMBER(K233),ISNUMBER(K178)),IFERROR(K233/K178,""),"")</f>
        <v/>
      </c>
      <c r="L236" s="215">
        <f>IF(AND(ISNUMBER(L233),ISNUMBER(L178)),IFERROR(L233/L178,""),"")</f>
        <v/>
      </c>
      <c r="M236" s="215">
        <f>IF(AND(ISNUMBER(M233),ISNUMBER(M178)),IFERROR(M233/M178,""),"")</f>
        <v/>
      </c>
      <c r="N236" s="215">
        <f>IF(AND(ISNUMBER(N233),ISNUMBER(N178)),IFERROR(N233/N178,""),"")</f>
        <v/>
      </c>
      <c r="O236" s="215">
        <f>IF(AND(ISNUMBER(O233),ISNUMBER(O178)),IFERROR(O233/O178,""),"")</f>
        <v/>
      </c>
      <c r="P236" s="215">
        <f>IF(AND(ISNUMBER(P233),ISNUMBER(P178)),IFERROR(P233/P178,""),"")</f>
        <v/>
      </c>
      <c r="Q236" s="215">
        <f>IF(AND(ISNUMBER(Q233),ISNUMBER(Q178)),IFERROR(Q233/Q178,""),"")</f>
        <v/>
      </c>
      <c r="R236" s="215">
        <f>IF(AND(ISNUMBER(R233),ISNUMBER(R178)),IFERROR(R233/R178,""),"")</f>
        <v/>
      </c>
      <c r="S236" s="215">
        <f>IF(AND(ISNUMBER(S233),ISNUMBER(S178)),IFERROR(S233/S178,""),"")</f>
        <v/>
      </c>
      <c r="T236" s="215">
        <f>IF(AND(ISNUMBER(T233),ISNUMBER(T178)),IFERROR(T233/T178,""),"")</f>
        <v/>
      </c>
      <c r="U236" s="215">
        <f>IF(AND(ISNUMBER(U233),ISNUMBER(U178)),IFERROR(U233/U178,""),"")</f>
        <v/>
      </c>
      <c r="V236" s="215">
        <f>IF(AND(ISNUMBER(V233),ISNUMBER(V178)),IFERROR(V233/V178,""),"")</f>
        <v/>
      </c>
      <c r="W236" s="215">
        <f>IF(AND(ISNUMBER(W233),ISNUMBER(W178)),IFERROR(W233/W178,""),"")</f>
        <v/>
      </c>
      <c r="X236" s="215">
        <f>IF(AND(ISNUMBER(X233),ISNUMBER(X178)),IFERROR(X233/X178,""),"")</f>
        <v/>
      </c>
      <c r="Y236" s="215">
        <f>IF(AND(ISNUMBER(Y233),ISNUMBER(Y178)),IFERROR(Y233/Y178,""),"")</f>
        <v/>
      </c>
      <c r="Z236" s="215">
        <f>IF(AND(ISNUMBER(Z233),ISNUMBER(Z178)),IFERROR(Z233/Z178,""),"")</f>
        <v/>
      </c>
      <c r="AA236" s="215">
        <f>IF(AND(ISNUMBER(AA233),ISNUMBER(AA178)),IFERROR(AA233/AA178,""),"")</f>
        <v/>
      </c>
      <c r="AB236" s="215">
        <f>IF(AND(ISNUMBER(AB233),ISNUMBER(AB178)),IFERROR(AB233/AB178,""),"")</f>
        <v/>
      </c>
      <c r="AC236" s="215">
        <f>IF(AND(ISNUMBER(AC233),ISNUMBER(AC178)),IFERROR(AC233/AC178,""),"")</f>
        <v/>
      </c>
      <c r="AD236" s="215">
        <f>IF(AND(ISNUMBER(AD233),ISNUMBER(AD178)),IFERROR(AD233/AD178,""),"")</f>
        <v/>
      </c>
      <c r="AE236" s="215">
        <f>IF(AND(ISNUMBER(AE233),ISNUMBER(AE178)),IFERROR(AE233/AE178,""),"")</f>
        <v/>
      </c>
      <c r="AF236" s="24" t="n"/>
      <c r="AG236" s="24" t="n"/>
      <c r="AH236" s="256">
        <f>IF(AND(ISNUMBER(AH233),ISNUMBER(AH178)),IFERROR(AH233/AH178,""),"")</f>
        <v/>
      </c>
      <c r="AI236" s="256">
        <f>IF(AND(ISNUMBER(AI233),ISNUMBER(AI178)),IFERROR(AI233/AI178,""),"")</f>
        <v/>
      </c>
      <c r="AJ236" s="256">
        <f>IF(AND(ISNUMBER(AJ233),ISNUMBER(AJ178)),IFERROR(AJ233/AJ178,""),"")</f>
        <v/>
      </c>
      <c r="AK236" s="256">
        <f>IF(AND(ISNUMBER(AK233),ISNUMBER(AK178)),IFERROR(AK233/AK178,""),"")</f>
        <v/>
      </c>
      <c r="AL236" s="256">
        <f>IF(AND(ISNUMBER(AL233),ISNUMBER(AL178)),IFERROR(AL233/AL178,""),"")</f>
        <v/>
      </c>
      <c r="AM236" s="153" t="n"/>
      <c r="AO236" s="37">
        <f>IFERROR(AVERAGE(AH236,AI236,AJ236,AK236,AL236),"n/m")</f>
        <v/>
      </c>
      <c r="AP236" s="37">
        <f>IFERROR(AVERAGE(I236,N236,S236,X236,AC236),"n/m")</f>
        <v/>
      </c>
      <c r="AQ236" s="37">
        <f>IFERROR(AVERAGE(S236,X236,AC236),"n/m")</f>
        <v/>
      </c>
      <c r="AR236" s="37">
        <f>IFERROR(AVERAGE(C236,D236,I236,N236,S236,X236,AC236),"n/m")</f>
        <v/>
      </c>
    </row>
    <row r="237" ht="15" customHeight="1" s="251">
      <c r="B237" s="25" t="inlineStr">
        <is>
          <t xml:space="preserve">  FCF per diluted Class A share (CHF)</t>
        </is>
      </c>
      <c r="C237" s="270">
        <f>IF(AND(ISNUMBER(C233),ISNUMBER(C129)),IFERROR(C233/C129,""),"")</f>
        <v/>
      </c>
      <c r="D237" s="270">
        <f>IF(AND(ISNUMBER(D233),ISNUMBER(D129)),IFERROR(D233/D129,""),"")</f>
        <v/>
      </c>
      <c r="E237" s="270">
        <f>IF(AND(ISNUMBER(E233),ISNUMBER(E129)),IFERROR(E233/E129,""),"")</f>
        <v/>
      </c>
      <c r="F237" s="270">
        <f>IF(AND(ISNUMBER(F233),ISNUMBER(F129)),IFERROR(F233/F129,""),"")</f>
        <v/>
      </c>
      <c r="G237" s="270">
        <f>IF(AND(ISNUMBER(G233),ISNUMBER(G129)),IFERROR(G233/G129,""),"")</f>
        <v/>
      </c>
      <c r="H237" s="270">
        <f>IF(AND(ISNUMBER(H233),ISNUMBER(H129)),IFERROR(H233/H129,""),"")</f>
        <v/>
      </c>
      <c r="I237" s="270">
        <f>IF(AND(ISNUMBER(I233),ISNUMBER(I129)),IFERROR(I233/I129,""),"")</f>
        <v/>
      </c>
      <c r="J237" s="270">
        <f>IF(AND(ISNUMBER(J233),ISNUMBER(J129)),IFERROR(J233/J129,""),"")</f>
        <v/>
      </c>
      <c r="K237" s="270">
        <f>IF(AND(ISNUMBER(K233),ISNUMBER(K129)),IFERROR(K233/K129,""),"")</f>
        <v/>
      </c>
      <c r="L237" s="270">
        <f>IF(AND(ISNUMBER(L233),ISNUMBER(L129)),IFERROR(L233/L129,""),"")</f>
        <v/>
      </c>
      <c r="M237" s="270">
        <f>IF(AND(ISNUMBER(M233),ISNUMBER(M129)),IFERROR(M233/M129,""),"")</f>
        <v/>
      </c>
      <c r="N237" s="270">
        <f>IF(AND(ISNUMBER(N233),ISNUMBER(N129)),IFERROR(N233/N129,""),"")</f>
        <v/>
      </c>
      <c r="O237" s="270">
        <f>IF(AND(ISNUMBER(O233),ISNUMBER(O129)),IFERROR(O233/O129,""),"")</f>
        <v/>
      </c>
      <c r="P237" s="270">
        <f>IF(AND(ISNUMBER(P233),ISNUMBER(P129)),IFERROR(P233/P129,""),"")</f>
        <v/>
      </c>
      <c r="Q237" s="270">
        <f>IF(AND(ISNUMBER(Q233),ISNUMBER(Q129)),IFERROR(Q233/Q129,""),"")</f>
        <v/>
      </c>
      <c r="R237" s="270">
        <f>IF(AND(ISNUMBER(R233),ISNUMBER(R129)),IFERROR(R233/R129,""),"")</f>
        <v/>
      </c>
      <c r="S237" s="270">
        <f>IF(AND(ISNUMBER(S233),ISNUMBER(S129)),IFERROR(S233/S129,""),"")</f>
        <v/>
      </c>
      <c r="T237" s="270">
        <f>IF(AND(ISNUMBER(T233),ISNUMBER(T129)),IFERROR(T233/T129,""),"")</f>
        <v/>
      </c>
      <c r="U237" s="270">
        <f>IF(AND(ISNUMBER(U233),ISNUMBER(U129)),IFERROR(U233/U129,""),"")</f>
        <v/>
      </c>
      <c r="V237" s="270">
        <f>IF(AND(ISNUMBER(V233),ISNUMBER(V129)),IFERROR(V233/V129,""),"")</f>
        <v/>
      </c>
      <c r="W237" s="270">
        <f>IF(AND(ISNUMBER(W233),ISNUMBER(W129)),IFERROR(W233/W129,""),"")</f>
        <v/>
      </c>
      <c r="X237" s="270">
        <f>IF(AND(ISNUMBER(X233),ISNUMBER(X129)),IFERROR(X233/X129,""),"")</f>
        <v/>
      </c>
      <c r="Y237" s="270">
        <f>IF(AND(ISNUMBER(Y233),ISNUMBER(Y129)),IFERROR(Y233/Y129,""),"")</f>
        <v/>
      </c>
      <c r="Z237" s="270">
        <f>IF(AND(ISNUMBER(Z233),ISNUMBER(Z129)),IFERROR(Z233/Z129,""),"")</f>
        <v/>
      </c>
      <c r="AA237" s="270">
        <f>IF(AND(ISNUMBER(AA233),ISNUMBER(AA129)),IFERROR(AA233/AA129,""),"")</f>
        <v/>
      </c>
      <c r="AB237" s="270">
        <f>IF(AND(ISNUMBER(AB233),ISNUMBER(AB129)),IFERROR(AB233/AB129,""),"")</f>
        <v/>
      </c>
      <c r="AC237" s="270">
        <f>IF(AND(ISNUMBER(AC233),ISNUMBER(AC129)),IFERROR(AC233/AC129,""),"")</f>
        <v/>
      </c>
      <c r="AD237" s="270">
        <f>IF(AND(ISNUMBER(AD233),ISNUMBER(AD129)),IFERROR(AD233/AD129,""),"")</f>
        <v/>
      </c>
      <c r="AE237" s="270">
        <f>IF(AND(ISNUMBER(AE233),ISNUMBER(AE129)),IFERROR(AE233/AE129,""),"")</f>
        <v/>
      </c>
      <c r="AF237" s="35" t="n"/>
      <c r="AG237" s="35" t="n"/>
      <c r="AH237" s="271">
        <f>IF(AND(ISNUMBER(AH233),ISNUMBER(AH129)),IFERROR(AH233/AH129,""),"")</f>
        <v/>
      </c>
      <c r="AI237" s="271">
        <f>IF(AND(ISNUMBER(AI233),ISNUMBER(AI129)),IFERROR(AI233/AI129,""),"")</f>
        <v/>
      </c>
      <c r="AJ237" s="271">
        <f>IF(AND(ISNUMBER(AJ233),ISNUMBER(AJ129)),IFERROR(AJ233/AJ129,""),"")</f>
        <v/>
      </c>
      <c r="AK237" s="271">
        <f>IF(AND(ISNUMBER(AK233),ISNUMBER(AK129)),IFERROR(AK233/AK129,""),"")</f>
        <v/>
      </c>
      <c r="AL237" s="271">
        <f>IF(AND(ISNUMBER(AL233),ISNUMBER(AL129)),IFERROR(AL233/AL129,""),"")</f>
        <v/>
      </c>
      <c r="AM237" s="19" t="n"/>
    </row>
    <row r="238" ht="15" customHeight="1" s="251">
      <c r="B238" s="25" t="inlineStr">
        <is>
          <t xml:space="preserve">  FCF / Adjusted EBITDA %</t>
        </is>
      </c>
      <c r="C238" s="215">
        <f>IF(AND(ISNUMBER(C233),ISNUMBER(C150)),IFERROR(C233/C150,""),"")</f>
        <v/>
      </c>
      <c r="D238" s="215">
        <f>IF(AND(ISNUMBER(D233),ISNUMBER(D150)),IFERROR(D233/D150,""),"")</f>
        <v/>
      </c>
      <c r="E238" s="215">
        <f>IF(AND(ISNUMBER(E233),ISNUMBER(E150)),IFERROR(E233/E150,""),"")</f>
        <v/>
      </c>
      <c r="F238" s="215">
        <f>IF(AND(ISNUMBER(F233),ISNUMBER(F150)),IFERROR(F233/F150,""),"")</f>
        <v/>
      </c>
      <c r="G238" s="215">
        <f>IF(AND(ISNUMBER(G233),ISNUMBER(G150)),IFERROR(G233/G150,""),"")</f>
        <v/>
      </c>
      <c r="H238" s="215">
        <f>IF(AND(ISNUMBER(H233),ISNUMBER(H150)),IFERROR(H233/H150,""),"")</f>
        <v/>
      </c>
      <c r="I238" s="215">
        <f>IF(AND(ISNUMBER(I233),ISNUMBER(I150)),IFERROR(I233/I150,""),"")</f>
        <v/>
      </c>
      <c r="J238" s="215">
        <f>IF(AND(ISNUMBER(J233),ISNUMBER(J150)),IFERROR(J233/J150,""),"")</f>
        <v/>
      </c>
      <c r="K238" s="215">
        <f>IF(AND(ISNUMBER(K233),ISNUMBER(K150)),IFERROR(K233/K150,""),"")</f>
        <v/>
      </c>
      <c r="L238" s="215">
        <f>IF(AND(ISNUMBER(L233),ISNUMBER(L150)),IFERROR(L233/L150,""),"")</f>
        <v/>
      </c>
      <c r="M238" s="215">
        <f>IF(AND(ISNUMBER(M233),ISNUMBER(M150)),IFERROR(M233/M150,""),"")</f>
        <v/>
      </c>
      <c r="N238" s="215">
        <f>IF(AND(ISNUMBER(N233),ISNUMBER(N150)),IFERROR(N233/N150,""),"")</f>
        <v/>
      </c>
      <c r="O238" s="215">
        <f>IF(AND(ISNUMBER(O233),ISNUMBER(O150)),IFERROR(O233/O150,""),"")</f>
        <v/>
      </c>
      <c r="P238" s="215">
        <f>IF(AND(ISNUMBER(P233),ISNUMBER(P150)),IFERROR(P233/P150,""),"")</f>
        <v/>
      </c>
      <c r="Q238" s="215">
        <f>IF(AND(ISNUMBER(Q233),ISNUMBER(Q150)),IFERROR(Q233/Q150,""),"")</f>
        <v/>
      </c>
      <c r="R238" s="215">
        <f>IF(AND(ISNUMBER(R233),ISNUMBER(R150)),IFERROR(R233/R150,""),"")</f>
        <v/>
      </c>
      <c r="S238" s="215">
        <f>IF(AND(ISNUMBER(S233),ISNUMBER(S150)),IFERROR(S233/S150,""),"")</f>
        <v/>
      </c>
      <c r="T238" s="215">
        <f>IF(AND(ISNUMBER(T233),ISNUMBER(T150)),IFERROR(T233/T150,""),"")</f>
        <v/>
      </c>
      <c r="U238" s="215">
        <f>IF(AND(ISNUMBER(U233),ISNUMBER(U150)),IFERROR(U233/U150,""),"")</f>
        <v/>
      </c>
      <c r="V238" s="215">
        <f>IF(AND(ISNUMBER(V233),ISNUMBER(V150)),IFERROR(V233/V150,""),"")</f>
        <v/>
      </c>
      <c r="W238" s="215">
        <f>IF(AND(ISNUMBER(W233),ISNUMBER(W150)),IFERROR(W233/W150,""),"")</f>
        <v/>
      </c>
      <c r="X238" s="215">
        <f>IF(AND(ISNUMBER(X233),ISNUMBER(X150)),IFERROR(X233/X150,""),"")</f>
        <v/>
      </c>
      <c r="Y238" s="215">
        <f>IF(AND(ISNUMBER(Y233),ISNUMBER(Y150)),IFERROR(Y233/Y150,""),"")</f>
        <v/>
      </c>
      <c r="Z238" s="215">
        <f>IF(AND(ISNUMBER(Z233),ISNUMBER(Z150)),IFERROR(Z233/Z150,""),"")</f>
        <v/>
      </c>
      <c r="AA238" s="215">
        <f>IF(AND(ISNUMBER(AA233),ISNUMBER(AA150)),IFERROR(AA233/AA150,""),"")</f>
        <v/>
      </c>
      <c r="AB238" s="215">
        <f>IF(AND(ISNUMBER(AB233),ISNUMBER(AB150)),IFERROR(AB233/AB150,""),"")</f>
        <v/>
      </c>
      <c r="AC238" s="215">
        <f>IF(AND(ISNUMBER(AC233),ISNUMBER(AC150)),IFERROR(AC233/AC150,""),"")</f>
        <v/>
      </c>
      <c r="AD238" s="215">
        <f>IF(AND(ISNUMBER(AD233),ISNUMBER(AD150)),IFERROR(AD233/AD150,""),"")</f>
        <v/>
      </c>
      <c r="AE238" s="215">
        <f>IF(AND(ISNUMBER(AE233),ISNUMBER(AE150)),IFERROR(AE233/AE150,""),"")</f>
        <v/>
      </c>
      <c r="AF238" s="24" t="n"/>
      <c r="AG238" s="24" t="n"/>
      <c r="AH238" s="256">
        <f>IF(AND(ISNUMBER(AH233),ISNUMBER(AH150)),IFERROR(AH233/AH150,""),"")</f>
        <v/>
      </c>
      <c r="AI238" s="256">
        <f>IF(AND(ISNUMBER(AI233),ISNUMBER(AI150)),IFERROR(AI233/AI150,""),"")</f>
        <v/>
      </c>
      <c r="AJ238" s="256">
        <f>IF(AND(ISNUMBER(AJ233),ISNUMBER(AJ150)),IFERROR(AJ233/AJ150,""),"")</f>
        <v/>
      </c>
      <c r="AK238" s="256">
        <f>IF(AND(ISNUMBER(AK233),ISNUMBER(AK150)),IFERROR(AK233/AK150,""),"")</f>
        <v/>
      </c>
      <c r="AL238" s="256">
        <f>IF(AND(ISNUMBER(AL233),ISNUMBER(AL150)),IFERROR(AL233/AL150,""),"")</f>
        <v/>
      </c>
      <c r="AM238" s="153" t="n"/>
      <c r="AO238" s="37">
        <f>IFERROR(AVERAGE(AH238,AI238,AJ238,AK238,AL238),"n/m")</f>
        <v/>
      </c>
      <c r="AP238" s="37">
        <f>IFERROR(AVERAGE(I238,N238,S238,X238,AC238),"n/m")</f>
        <v/>
      </c>
      <c r="AQ238" s="37">
        <f>IFERROR(AVERAGE(S238,X238,AC238),"n/m")</f>
        <v/>
      </c>
      <c r="AR238" s="37">
        <f>IFERROR(AVERAGE(C238,D238,I238,N238,S238,X238,AC238),"n/m")</f>
        <v/>
      </c>
    </row>
    <row r="239" ht="15" customHeight="1" s="251">
      <c r="B239" s="25" t="inlineStr">
        <is>
          <t>Capex ratios</t>
        </is>
      </c>
      <c r="AM239" s="153" t="n"/>
    </row>
    <row r="240" ht="15" customHeight="1" s="251">
      <c r="B240" s="25" t="inlineStr">
        <is>
          <t xml:space="preserve">  Capex % of net sales</t>
        </is>
      </c>
      <c r="C240" s="215">
        <f>IF(ISNUMBER(C217),IFERROR(-C217/C109,""),"")</f>
        <v/>
      </c>
      <c r="D240" s="215">
        <f>IF(ISNUMBER(D217),IFERROR(-D217/D109,""),"")</f>
        <v/>
      </c>
      <c r="E240" s="215">
        <f>IF(ISNUMBER(E217),IFERROR(-E217/E109,""),"")</f>
        <v/>
      </c>
      <c r="F240" s="215">
        <f>IF(ISNUMBER(F217),IFERROR(-F217/F109,""),"")</f>
        <v/>
      </c>
      <c r="G240" s="215">
        <f>IF(ISNUMBER(G217),IFERROR(-G217/G109,""),"")</f>
        <v/>
      </c>
      <c r="H240" s="215">
        <f>IF(ISNUMBER(H217),IFERROR(-H217/H109,""),"")</f>
        <v/>
      </c>
      <c r="I240" s="215">
        <f>IF(ISNUMBER(I217),IFERROR(-I217/I109,""),"")</f>
        <v/>
      </c>
      <c r="J240" s="215">
        <f>IF(ISNUMBER(J217),IFERROR(-J217/J109,""),"")</f>
        <v/>
      </c>
      <c r="K240" s="215">
        <f>IF(ISNUMBER(K217),IFERROR(-K217/K109,""),"")</f>
        <v/>
      </c>
      <c r="L240" s="215">
        <f>IF(ISNUMBER(L217),IFERROR(-L217/L109,""),"")</f>
        <v/>
      </c>
      <c r="M240" s="215">
        <f>IF(ISNUMBER(M217),IFERROR(-M217/M109,""),"")</f>
        <v/>
      </c>
      <c r="N240" s="215">
        <f>IF(ISNUMBER(N217),IFERROR(-N217/N109,""),"")</f>
        <v/>
      </c>
      <c r="O240" s="215">
        <f>IF(ISNUMBER(O217),IFERROR(-O217/O109,""),"")</f>
        <v/>
      </c>
      <c r="P240" s="215">
        <f>IF(ISNUMBER(P217),IFERROR(-P217/P109,""),"")</f>
        <v/>
      </c>
      <c r="Q240" s="215">
        <f>IF(ISNUMBER(Q217),IFERROR(-Q217/Q109,""),"")</f>
        <v/>
      </c>
      <c r="R240" s="215">
        <f>IF(ISNUMBER(R217),IFERROR(-R217/R109,""),"")</f>
        <v/>
      </c>
      <c r="S240" s="215">
        <f>IF(ISNUMBER(S217),IFERROR(-S217/S109,""),"")</f>
        <v/>
      </c>
      <c r="T240" s="215">
        <f>IF(ISNUMBER(T217),IFERROR(-T217/T109,""),"")</f>
        <v/>
      </c>
      <c r="U240" s="215">
        <f>IF(ISNUMBER(U217),IFERROR(-U217/U109,""),"")</f>
        <v/>
      </c>
      <c r="V240" s="215">
        <f>IF(ISNUMBER(V217),IFERROR(-V217/V109,""),"")</f>
        <v/>
      </c>
      <c r="W240" s="215">
        <f>IF(ISNUMBER(W217),IFERROR(-W217/W109,""),"")</f>
        <v/>
      </c>
      <c r="X240" s="215">
        <f>IF(ISNUMBER(X217),IFERROR(-X217/X109,""),"")</f>
        <v/>
      </c>
      <c r="Y240" s="215">
        <f>IF(ISNUMBER(Y217),IFERROR(-Y217/Y109,""),"")</f>
        <v/>
      </c>
      <c r="Z240" s="215">
        <f>IF(ISNUMBER(Z217),IFERROR(-Z217/Z109,""),"")</f>
        <v/>
      </c>
      <c r="AA240" s="215">
        <f>IF(ISNUMBER(AA217),IFERROR(-AA217/AA109,""),"")</f>
        <v/>
      </c>
      <c r="AB240" s="215">
        <f>IF(ISNUMBER(AB217),IFERROR(-AB217/AB109,""),"")</f>
        <v/>
      </c>
      <c r="AC240" s="215">
        <f>IF(ISNUMBER(AC217),IFERROR(-AC217/AC109,""),"")</f>
        <v/>
      </c>
      <c r="AD240" s="215">
        <f>IF(ISNUMBER(AD217),IFERROR(-AD217/AD109,""),"")</f>
        <v/>
      </c>
      <c r="AE240" s="215">
        <f>IF(ISNUMBER(AE217),IFERROR(-AE217/AE109,""),"")</f>
        <v/>
      </c>
      <c r="AF240" s="24" t="n"/>
      <c r="AG240" s="24" t="n"/>
      <c r="AH240" s="256">
        <f>IF(ISNUMBER(AH217),IFERROR(-AH217/AH109,""),"")</f>
        <v/>
      </c>
      <c r="AI240" s="260" t="n">
        <v>0.029</v>
      </c>
      <c r="AJ240" s="260" t="n">
        <v>0.029</v>
      </c>
      <c r="AK240" s="260" t="n">
        <v>0.029</v>
      </c>
      <c r="AL240" s="260" t="n">
        <v>0.029</v>
      </c>
      <c r="AM240" s="153" t="inlineStr">
        <is>
          <t>2027E+ input (2023–25: 2.6–2.8% of net sales; 1H/26 2.8%).</t>
        </is>
      </c>
      <c r="AO240" s="37">
        <f>IFERROR(AVERAGE(AH240,AI240,AJ240,AK240,AL240),"n/m")</f>
        <v/>
      </c>
      <c r="AP240" s="37">
        <f>IFERROR(AVERAGE(I240,N240,S240,X240,AC240),"n/m")</f>
        <v/>
      </c>
      <c r="AQ240" s="37">
        <f>IFERROR(AVERAGE(S240,X240,AC240),"n/m")</f>
        <v/>
      </c>
      <c r="AR240" s="37">
        <f>IFERROR(AVERAGE(C240,D240,I240,N240,S240,X240,AC240),"n/m")</f>
        <v/>
      </c>
    </row>
    <row r="241" ht="15" customHeight="1" s="251">
      <c r="B241" s="25" t="inlineStr">
        <is>
          <t xml:space="preserve">  Capex / non-lease depreciation &amp; amortization (x)</t>
        </is>
      </c>
      <c r="C241" s="279">
        <f>IF(AND(ISNUMBER(C217),ISNUMBER(C304)),IFERROR(-C217/C304,""),"")</f>
        <v/>
      </c>
      <c r="D241" s="279">
        <f>IF(AND(ISNUMBER(D217),ISNUMBER(D304)),IFERROR(-D217/D304,""),"")</f>
        <v/>
      </c>
      <c r="E241" s="279">
        <f>IF(AND(ISNUMBER(E217),ISNUMBER(E304)),IFERROR(-E217/E304,""),"")</f>
        <v/>
      </c>
      <c r="F241" s="279">
        <f>IF(AND(ISNUMBER(F217),ISNUMBER(F304)),IFERROR(-F217/F304,""),"")</f>
        <v/>
      </c>
      <c r="G241" s="279">
        <f>IF(AND(ISNUMBER(G217),ISNUMBER(G304)),IFERROR(-G217/G304,""),"")</f>
        <v/>
      </c>
      <c r="H241" s="279">
        <f>IF(AND(ISNUMBER(H217),ISNUMBER(H304)),IFERROR(-H217/H304,""),"")</f>
        <v/>
      </c>
      <c r="I241" s="279">
        <f>IF(AND(ISNUMBER(I217),ISNUMBER(I304)),IFERROR(-I217/I304,""),"")</f>
        <v/>
      </c>
      <c r="J241" s="279">
        <f>IF(AND(ISNUMBER(J217),ISNUMBER(J304)),IFERROR(-J217/J304,""),"")</f>
        <v/>
      </c>
      <c r="K241" s="279">
        <f>IF(AND(ISNUMBER(K217),ISNUMBER(K304)),IFERROR(-K217/K304,""),"")</f>
        <v/>
      </c>
      <c r="L241" s="279">
        <f>IF(AND(ISNUMBER(L217),ISNUMBER(L304)),IFERROR(-L217/L304,""),"")</f>
        <v/>
      </c>
      <c r="M241" s="279">
        <f>IF(AND(ISNUMBER(M217),ISNUMBER(M304)),IFERROR(-M217/M304,""),"")</f>
        <v/>
      </c>
      <c r="N241" s="279">
        <f>IF(AND(ISNUMBER(N217),ISNUMBER(N304)),IFERROR(-N217/N304,""),"")</f>
        <v/>
      </c>
      <c r="O241" s="279">
        <f>IF(AND(ISNUMBER(O217),ISNUMBER(O304)),IFERROR(-O217/O304,""),"")</f>
        <v/>
      </c>
      <c r="P241" s="279">
        <f>IF(AND(ISNUMBER(P217),ISNUMBER(P304)),IFERROR(-P217/P304,""),"")</f>
        <v/>
      </c>
      <c r="Q241" s="279">
        <f>IF(AND(ISNUMBER(Q217),ISNUMBER(Q304)),IFERROR(-Q217/Q304,""),"")</f>
        <v/>
      </c>
      <c r="R241" s="279">
        <f>IF(AND(ISNUMBER(R217),ISNUMBER(R304)),IFERROR(-R217/R304,""),"")</f>
        <v/>
      </c>
      <c r="S241" s="279">
        <f>IF(AND(ISNUMBER(S217),ISNUMBER(S304)),IFERROR(-S217/S304,""),"")</f>
        <v/>
      </c>
      <c r="T241" s="279">
        <f>IF(AND(ISNUMBER(T217),ISNUMBER(T304)),IFERROR(-T217/T304,""),"")</f>
        <v/>
      </c>
      <c r="U241" s="279">
        <f>IF(AND(ISNUMBER(U217),ISNUMBER(U304)),IFERROR(-U217/U304,""),"")</f>
        <v/>
      </c>
      <c r="V241" s="279">
        <f>IF(AND(ISNUMBER(V217),ISNUMBER(V304)),IFERROR(-V217/V304,""),"")</f>
        <v/>
      </c>
      <c r="W241" s="279">
        <f>IF(AND(ISNUMBER(W217),ISNUMBER(W304)),IFERROR(-W217/W304,""),"")</f>
        <v/>
      </c>
      <c r="X241" s="279">
        <f>IF(AND(ISNUMBER(X217),ISNUMBER(X304)),IFERROR(-X217/X304,""),"")</f>
        <v/>
      </c>
      <c r="Y241" s="279">
        <f>IF(AND(ISNUMBER(Y217),ISNUMBER(Y304)),IFERROR(-Y217/Y304,""),"")</f>
        <v/>
      </c>
      <c r="Z241" s="279">
        <f>IF(AND(ISNUMBER(Z217),ISNUMBER(Z304)),IFERROR(-Z217/Z304,""),"")</f>
        <v/>
      </c>
      <c r="AA241" s="279">
        <f>IF(AND(ISNUMBER(AA217),ISNUMBER(AA304)),IFERROR(-AA217/AA304,""),"")</f>
        <v/>
      </c>
      <c r="AB241" s="279">
        <f>IF(AND(ISNUMBER(AB217),ISNUMBER(AB304)),IFERROR(-AB217/AB304,""),"")</f>
        <v/>
      </c>
      <c r="AC241" s="279">
        <f>IF(AND(ISNUMBER(AC217),ISNUMBER(AC304)),IFERROR(-AC217/AC304,""),"")</f>
        <v/>
      </c>
      <c r="AD241" s="279">
        <f>IF(AND(ISNUMBER(AD217),ISNUMBER(AD304)),IFERROR(-AD217/AD304,""),"")</f>
        <v/>
      </c>
      <c r="AE241" s="279">
        <f>IF(AND(ISNUMBER(AE217),ISNUMBER(AE304)),IFERROR(-AE217/AE304,""),"")</f>
        <v/>
      </c>
      <c r="AF241" s="35" t="n"/>
      <c r="AG241" s="35" t="n"/>
      <c r="AH241" s="280">
        <f>IF(AND(ISNUMBER(AH217),ISNUMBER(AH304)),IFERROR(-AH217/AH304,""),"")</f>
        <v/>
      </c>
      <c r="AI241" s="280">
        <f>IF(AND(ISNUMBER(AI217),ISNUMBER(AI304)),IFERROR(-AI217/AI304,""),"")</f>
        <v/>
      </c>
      <c r="AJ241" s="280">
        <f>IF(AND(ISNUMBER(AJ217),ISNUMBER(AJ304)),IFERROR(-AJ217/AJ304,""),"")</f>
        <v/>
      </c>
      <c r="AK241" s="280">
        <f>IF(AND(ISNUMBER(AK217),ISNUMBER(AK304)),IFERROR(-AK217/AK304,""),"")</f>
        <v/>
      </c>
      <c r="AL241" s="280">
        <f>IF(AND(ISNUMBER(AL217),ISNUMBER(AL304)),IFERROR(-AL217/AL304,""),"")</f>
        <v/>
      </c>
      <c r="AM241" s="19" t="n"/>
    </row>
    <row r="242" ht="15" customHeight="1" s="251">
      <c r="AU242" s="11" t="n"/>
      <c r="AV242" s="12" t="n"/>
      <c r="AW242" s="12" t="n"/>
      <c r="AX242" s="12" t="n"/>
      <c r="AY242" s="13" t="n"/>
    </row>
    <row r="243" ht="15" customHeight="1" s="251">
      <c r="B243" s="10" t="inlineStr">
        <is>
          <t>SHARE BUYBACK SCHEDULE (USD 1bn Class A authorization, Sep-2026 to Dec-2029)</t>
        </is>
      </c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  <c r="AH243" s="10" t="n"/>
      <c r="AI243" s="10" t="n"/>
      <c r="AJ243" s="10" t="n"/>
      <c r="AK243" s="10" t="n"/>
      <c r="AL243" s="10" t="n"/>
      <c r="AM243" s="10" t="inlineStr">
        <is>
          <t>SHARES — Class A-equivalent shares; buybacks in USD (scenario table) converted at the USD/CHF input; 2030E assumes a renewed programme</t>
        </is>
      </c>
    </row>
    <row r="244" ht="15" customHeight="1" s="251">
      <c r="B244" s="25" t="inlineStr">
        <is>
          <t xml:space="preserve">  Buyback cash deployed (USD m)</t>
        </is>
      </c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  <c r="AA244" s="34" t="n"/>
      <c r="AB244" s="34" t="n"/>
      <c r="AC244" s="34" t="n"/>
      <c r="AD244" s="34" t="n"/>
      <c r="AE244" s="34" t="n"/>
      <c r="AF244" s="35" t="n"/>
      <c r="AG244" s="35" t="n"/>
      <c r="AH244" s="281">
        <f>CHOOSE(MATCH($AM$2,{"Bull","Base","Bear"},0),$AV$18,$AW$18,$AX$18)</f>
        <v/>
      </c>
      <c r="AI244" s="281">
        <f>CHOOSE(MATCH($AM$2,{"Bull","Base","Bear"},0),$AV$55,$AW$55,$AX$55)</f>
        <v/>
      </c>
      <c r="AJ244" s="281">
        <f>CHOOSE(MATCH($AM$2,{"Bull","Base","Bear"},0),$AV$56,$AW$56,$AX$56)</f>
        <v/>
      </c>
      <c r="AK244" s="281">
        <f>CHOOSE(MATCH($AM$2,{"Bull","Base","Bear"},0),$AV$57,$AW$57,$AX$57)</f>
        <v/>
      </c>
      <c r="AL244" s="281">
        <f>CHOOSE(MATCH($AM$2,{"Bull","Base","Bear"},0),$AV$58,$AW$58,$AX$58)</f>
        <v/>
      </c>
      <c r="AM244" s="19" t="inlineStr">
        <is>
          <t>Base: authorization executed evenly over Q4-26–2029 (≈USD 77m in Q4-26, ≈USD 308m p.a.); Bull faster, Bear slower (scenario table).</t>
        </is>
      </c>
    </row>
    <row r="245" ht="15" customHeight="1" s="251">
      <c r="B245" s="156" t="inlineStr">
        <is>
          <t xml:space="preserve">  Memo: remaining USD 1bn authorization (USD m, year end)</t>
        </is>
      </c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  <c r="AE245" s="44" t="n"/>
      <c r="AF245" s="35" t="n"/>
      <c r="AG245" s="35" t="n"/>
      <c r="AH245" s="281">
        <f>1000.0-AH244</f>
        <v/>
      </c>
      <c r="AI245" s="281">
        <f>AH245-AI244</f>
        <v/>
      </c>
      <c r="AJ245" s="281">
        <f>AI245-AJ244</f>
        <v/>
      </c>
      <c r="AK245" s="281">
        <f>AJ245-AK244</f>
        <v/>
      </c>
      <c r="AL245" s="35" t="n"/>
      <c r="AM245" s="153" t="inlineStr">
        <is>
          <t>Negative = spend beyond the current authorization (requires a new board authorization).</t>
        </is>
      </c>
    </row>
    <row r="246" ht="15" customHeight="1" s="251">
      <c r="B246" s="25" t="inlineStr">
        <is>
          <t xml:space="preserve">  USD/CHF (CHF per USD)</t>
        </is>
      </c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  <c r="AA246" s="34" t="n"/>
      <c r="AB246" s="34" t="n"/>
      <c r="AC246" s="34" t="n"/>
      <c r="AD246" s="34" t="n"/>
      <c r="AE246" s="34" t="n"/>
      <c r="AF246" s="35" t="n"/>
      <c r="AG246" s="35" t="n"/>
      <c r="AH246" s="282">
        <f>AH349</f>
        <v/>
      </c>
      <c r="AI246" s="282">
        <f>AH246</f>
        <v/>
      </c>
      <c r="AJ246" s="282">
        <f>AI246</f>
        <v/>
      </c>
      <c r="AK246" s="282">
        <f>AJ246</f>
        <v/>
      </c>
      <c r="AL246" s="282">
        <f>AK246</f>
        <v/>
      </c>
      <c r="AM246" s="19" t="n"/>
    </row>
    <row r="247" ht="15" customHeight="1" s="251">
      <c r="B247" s="25" t="inlineStr">
        <is>
          <t xml:space="preserve">  Buyback cash deployed (CHF m)</t>
        </is>
      </c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  <c r="AA247" s="34" t="n"/>
      <c r="AB247" s="34" t="n"/>
      <c r="AC247" s="34" t="n"/>
      <c r="AD247" s="34" t="n"/>
      <c r="AE247" s="34" t="n"/>
      <c r="AF247" s="35" t="n"/>
      <c r="AG247" s="35" t="n"/>
      <c r="AH247" s="281">
        <f>AH244*AH246</f>
        <v/>
      </c>
      <c r="AI247" s="281">
        <f>AI244*AI246</f>
        <v/>
      </c>
      <c r="AJ247" s="281">
        <f>AJ244*AJ246</f>
        <v/>
      </c>
      <c r="AK247" s="281">
        <f>AK244*AK246</f>
        <v/>
      </c>
      <c r="AL247" s="281">
        <f>AL244*AL246</f>
        <v/>
      </c>
      <c r="AM247" s="19" t="n"/>
    </row>
    <row r="248" ht="15" customHeight="1" s="251">
      <c r="B248" s="25" t="inlineStr">
        <is>
          <t xml:space="preserve">  Avg buyback price (USD)</t>
        </is>
      </c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  <c r="AA248" s="34" t="n"/>
      <c r="AB248" s="34" t="n"/>
      <c r="AC248" s="34" t="n"/>
      <c r="AD248" s="34" t="n"/>
      <c r="AE248" s="34" t="n"/>
      <c r="AF248" s="35" t="n"/>
      <c r="AG248" s="35" t="n"/>
      <c r="AH248" s="282">
        <f>AH348</f>
        <v/>
      </c>
      <c r="AI248" s="282">
        <f>AH248*(1+AI313)</f>
        <v/>
      </c>
      <c r="AJ248" s="282">
        <f>AI248*(1+AJ313)</f>
        <v/>
      </c>
      <c r="AK248" s="282">
        <f>AJ248*(1+AK313)</f>
        <v/>
      </c>
      <c r="AL248" s="282">
        <f>AK248*(1+AL313)</f>
        <v/>
      </c>
      <c r="AM248" s="19" t="n"/>
    </row>
    <row r="249" ht="15" customHeight="1" s="251">
      <c r="B249" s="25" t="inlineStr">
        <is>
          <t xml:space="preserve">  Implied Class A shares repurchased (m)</t>
        </is>
      </c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  <c r="AA249" s="34" t="n"/>
      <c r="AB249" s="34" t="n"/>
      <c r="AC249" s="34" t="n"/>
      <c r="AD249" s="34" t="n"/>
      <c r="AE249" s="34" t="n"/>
      <c r="AF249" s="35" t="n"/>
      <c r="AG249" s="35" t="n"/>
      <c r="AH249" s="282">
        <f>IFERROR(AH244/AH248,0)</f>
        <v/>
      </c>
      <c r="AI249" s="282">
        <f>IFERROR(AI244/AI248,0)</f>
        <v/>
      </c>
      <c r="AJ249" s="282">
        <f>IFERROR(AJ244/AJ248,0)</f>
        <v/>
      </c>
      <c r="AK249" s="282">
        <f>IFERROR(AK244/AK248,0)</f>
        <v/>
      </c>
      <c r="AL249" s="282">
        <f>IFERROR(AL244/AL248,0)</f>
        <v/>
      </c>
      <c r="AM249" s="19" t="n"/>
    </row>
    <row r="250" ht="15" customHeight="1" s="251">
      <c r="B250" s="25" t="inlineStr">
        <is>
          <t xml:space="preserve">  Shares issued / delivered under equity plans (m)</t>
        </is>
      </c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24" t="n"/>
      <c r="AG250" s="24" t="n"/>
      <c r="AH250" s="283" t="n">
        <v>0.6</v>
      </c>
      <c r="AI250" s="283" t="n">
        <v>1.2</v>
      </c>
      <c r="AJ250" s="283" t="n">
        <v>1.2</v>
      </c>
      <c r="AK250" s="283" t="n">
        <v>1.2</v>
      </c>
      <c r="AL250" s="283" t="n">
        <v>1.2</v>
      </c>
      <c r="AM250" s="19" t="inlineStr">
        <is>
          <t>Treasury shares delivered to employees (~1–2m Class A-equivalent shares p.a. 2023–25).</t>
        </is>
      </c>
    </row>
    <row r="251" ht="15" customHeight="1" s="251">
      <c r="B251" s="25" t="inlineStr">
        <is>
          <t xml:space="preserve">  Beginning Class A-equivalent shares outstanding (m)</t>
        </is>
      </c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  <c r="AA251" s="34" t="n"/>
      <c r="AB251" s="34" t="n"/>
      <c r="AC251" s="34" t="n"/>
      <c r="AD251" s="34" t="n"/>
      <c r="AE251" s="34" t="n"/>
      <c r="AF251" s="35" t="n"/>
      <c r="AG251" s="35" t="n"/>
      <c r="AH251" s="254">
        <f>AE128</f>
        <v/>
      </c>
      <c r="AI251" s="254">
        <f>AH252</f>
        <v/>
      </c>
      <c r="AJ251" s="254">
        <f>AI252</f>
        <v/>
      </c>
      <c r="AK251" s="254">
        <f>AJ252</f>
        <v/>
      </c>
      <c r="AL251" s="254">
        <f>AK252</f>
        <v/>
      </c>
      <c r="AM251" s="19" t="inlineStr">
        <is>
          <t>2026E begins from the Q2-26 weighted basic Class A-equivalent shares (300.4m Class A + 335.3m Class B ÷ 10) as the 30-Jun-2026 proxy.</t>
        </is>
      </c>
    </row>
    <row r="252" ht="15" customHeight="1" s="251">
      <c r="B252" s="25" t="inlineStr">
        <is>
          <t xml:space="preserve">  Ending Class A-equivalent shares outstanding (m)</t>
        </is>
      </c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  <c r="AA252" s="34" t="n"/>
      <c r="AB252" s="34" t="n"/>
      <c r="AC252" s="34" t="n"/>
      <c r="AD252" s="34" t="n"/>
      <c r="AE252" s="34" t="n"/>
      <c r="AF252" s="35" t="n"/>
      <c r="AG252" s="35" t="n"/>
      <c r="AH252" s="254">
        <f>AH251-AH249+AH250</f>
        <v/>
      </c>
      <c r="AI252" s="254">
        <f>AI251-AI249+AI250</f>
        <v/>
      </c>
      <c r="AJ252" s="254">
        <f>AJ251-AJ249+AJ250</f>
        <v/>
      </c>
      <c r="AK252" s="254">
        <f>AK251-AK249+AK250</f>
        <v/>
      </c>
      <c r="AL252" s="254">
        <f>AL251-AL249+AL250</f>
        <v/>
      </c>
      <c r="AM252" s="19" t="n"/>
    </row>
    <row r="253" ht="15" customHeight="1" s="251">
      <c r="B253" s="25" t="inlineStr">
        <is>
          <t xml:space="preserve">  % of shares repurchased</t>
        </is>
      </c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24" t="n"/>
      <c r="AG253" s="24" t="n"/>
      <c r="AH253" s="256">
        <f>IF(AND(ISNUMBER(AH249),ISNUMBER(AH251)),IFERROR(AH249/AH251,""),"")</f>
        <v/>
      </c>
      <c r="AI253" s="256">
        <f>IF(AND(ISNUMBER(AI249),ISNUMBER(AI251)),IFERROR(AI249/AI251,""),"")</f>
        <v/>
      </c>
      <c r="AJ253" s="256">
        <f>IF(AND(ISNUMBER(AJ249),ISNUMBER(AJ251)),IFERROR(AJ249/AJ251,""),"")</f>
        <v/>
      </c>
      <c r="AK253" s="256">
        <f>IF(AND(ISNUMBER(AK249),ISNUMBER(AK251)),IFERROR(AK249/AK251,""),"")</f>
        <v/>
      </c>
      <c r="AL253" s="256">
        <f>IF(AND(ISNUMBER(AL249),ISNUMBER(AL251)),IFERROR(AL249/AL251,""),"")</f>
        <v/>
      </c>
      <c r="AM253" s="153" t="n"/>
    </row>
    <row r="254" ht="15" customHeight="1" s="251">
      <c r="B254" s="156" t="inlineStr">
        <is>
          <t xml:space="preserve">  Memo: cumulative shares repurchased since Q4-26 (m)</t>
        </is>
      </c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  <c r="AA254" s="34" t="n"/>
      <c r="AB254" s="34" t="n"/>
      <c r="AC254" s="34" t="n"/>
      <c r="AD254" s="34" t="n"/>
      <c r="AE254" s="34" t="n"/>
      <c r="AF254" s="153" t="n"/>
      <c r="AG254" s="153" t="n"/>
      <c r="AH254" s="264">
        <f>AH249</f>
        <v/>
      </c>
      <c r="AI254" s="264">
        <f>AH254+AI249</f>
        <v/>
      </c>
      <c r="AJ254" s="264">
        <f>AI254+AJ249</f>
        <v/>
      </c>
      <c r="AK254" s="264">
        <f>AJ254+AK249</f>
        <v/>
      </c>
      <c r="AL254" s="264">
        <f>AK254+AL249</f>
        <v/>
      </c>
      <c r="AM254" s="153" t="n"/>
    </row>
    <row r="255" ht="15" customHeight="1" s="251">
      <c r="AU255" s="11" t="n"/>
      <c r="AV255" s="12" t="n"/>
      <c r="AW255" s="12" t="n"/>
      <c r="AX255" s="12" t="n"/>
      <c r="AY255" s="13" t="n"/>
    </row>
    <row r="256" ht="15" customHeight="1" s="251">
      <c r="B256" s="10" t="inlineStr">
        <is>
          <t>CONSOLIDATED BALANCE SHEET</t>
        </is>
      </c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0" t="n"/>
      <c r="AL256" s="10" t="n"/>
      <c r="AM256" s="10" t="inlineStr">
        <is>
          <t>BS FORECAST — 2026E rolled forward from the 30-Jun-2026 balance sheet + 2H flows; 2027E+ from prior year end. Quarter-end balance sheets from Q3-21 (FY2020 from the FY2021 release).</t>
        </is>
      </c>
    </row>
    <row r="257" ht="15" customHeight="1" s="251">
      <c r="B257" s="25" t="inlineStr">
        <is>
          <t>ASSETS</t>
        </is>
      </c>
      <c r="AM257" s="153" t="n"/>
    </row>
    <row r="258" ht="15" customHeight="1" s="251">
      <c r="B258" s="25" t="inlineStr">
        <is>
          <t xml:space="preserve">  Cash and cash equivalents</t>
        </is>
      </c>
      <c r="C258" s="34" t="n"/>
      <c r="D258" s="253" t="n">
        <v>90.642</v>
      </c>
      <c r="E258" s="34" t="n"/>
      <c r="F258" s="34" t="n"/>
      <c r="G258" s="253" t="n">
        <v>672.221</v>
      </c>
      <c r="H258" s="253" t="n">
        <v>653.081</v>
      </c>
      <c r="I258" s="253" t="n">
        <v>653.081</v>
      </c>
      <c r="J258" s="253" t="n">
        <v>626.254</v>
      </c>
      <c r="K258" s="253" t="n">
        <v>557.671</v>
      </c>
      <c r="L258" s="253" t="n">
        <v>492.984</v>
      </c>
      <c r="M258" s="253" t="n">
        <v>371</v>
      </c>
      <c r="N258" s="253" t="n">
        <v>371</v>
      </c>
      <c r="O258" s="253" t="n">
        <v>361.3</v>
      </c>
      <c r="P258" s="253" t="n">
        <v>337.1</v>
      </c>
      <c r="Q258" s="253" t="n">
        <v>432</v>
      </c>
      <c r="R258" s="253" t="n">
        <v>494.6</v>
      </c>
      <c r="S258" s="253" t="n">
        <v>494.6</v>
      </c>
      <c r="T258" s="253" t="n">
        <v>584.6</v>
      </c>
      <c r="U258" s="253" t="n">
        <v>652.4</v>
      </c>
      <c r="V258" s="253" t="n">
        <v>749</v>
      </c>
      <c r="W258" s="253" t="n">
        <v>924.3</v>
      </c>
      <c r="X258" s="253" t="n">
        <v>924.3</v>
      </c>
      <c r="Y258" s="253" t="n">
        <v>871.8</v>
      </c>
      <c r="Z258" s="253" t="n">
        <v>846.6</v>
      </c>
      <c r="AA258" s="253" t="n">
        <v>961.8</v>
      </c>
      <c r="AB258" s="253" t="n">
        <v>1019.9</v>
      </c>
      <c r="AC258" s="253" t="n">
        <v>1019.9</v>
      </c>
      <c r="AD258" s="253" t="n">
        <v>1020.4</v>
      </c>
      <c r="AE258" s="253" t="n">
        <v>1205.6</v>
      </c>
      <c r="AF258" s="35" t="n"/>
      <c r="AG258" s="35" t="n"/>
      <c r="AH258" s="254">
        <f>AH229</f>
        <v/>
      </c>
      <c r="AI258" s="254">
        <f>AI229</f>
        <v/>
      </c>
      <c r="AJ258" s="254">
        <f>AJ229</f>
        <v/>
      </c>
      <c r="AK258" s="254">
        <f>AK229</f>
        <v/>
      </c>
      <c r="AL258" s="254">
        <f>AL229</f>
        <v/>
      </c>
      <c r="AM258" s="19" t="n"/>
    </row>
    <row r="259" ht="15" customHeight="1" s="251">
      <c r="B259" s="25" t="inlineStr">
        <is>
          <t xml:space="preserve">  Trade receivables</t>
        </is>
      </c>
      <c r="C259" s="34" t="n"/>
      <c r="D259" s="253" t="n">
        <v>51.631</v>
      </c>
      <c r="E259" s="34" t="n"/>
      <c r="F259" s="34" t="n"/>
      <c r="G259" s="253" t="n">
        <v>105.19</v>
      </c>
      <c r="H259" s="253" t="n">
        <v>99.264</v>
      </c>
      <c r="I259" s="253" t="n">
        <v>99.264</v>
      </c>
      <c r="J259" s="253" t="n">
        <v>130.556</v>
      </c>
      <c r="K259" s="253" t="n">
        <v>158.528</v>
      </c>
      <c r="L259" s="253" t="n">
        <v>178.241</v>
      </c>
      <c r="M259" s="253" t="n">
        <v>174.6</v>
      </c>
      <c r="N259" s="253" t="n">
        <v>174.6</v>
      </c>
      <c r="O259" s="253" t="n">
        <v>238.5</v>
      </c>
      <c r="P259" s="253" t="n">
        <v>252.7</v>
      </c>
      <c r="Q259" s="253" t="n">
        <v>256.9</v>
      </c>
      <c r="R259" s="253" t="n">
        <v>204.8</v>
      </c>
      <c r="S259" s="253" t="n">
        <v>204.8</v>
      </c>
      <c r="T259" s="253" t="n">
        <v>290.1</v>
      </c>
      <c r="U259" s="253" t="n">
        <v>314</v>
      </c>
      <c r="V259" s="253" t="n">
        <v>320.5</v>
      </c>
      <c r="W259" s="253" t="n">
        <v>246.1</v>
      </c>
      <c r="X259" s="253" t="n">
        <v>246.1</v>
      </c>
      <c r="Y259" s="253" t="n">
        <v>362.7</v>
      </c>
      <c r="Z259" s="253" t="n">
        <v>333.8</v>
      </c>
      <c r="AA259" s="253" t="n">
        <v>340.9</v>
      </c>
      <c r="AB259" s="253" t="n">
        <v>305.4</v>
      </c>
      <c r="AC259" s="253" t="n">
        <v>305.4</v>
      </c>
      <c r="AD259" s="253" t="n">
        <v>402.6</v>
      </c>
      <c r="AE259" s="253" t="n">
        <v>374</v>
      </c>
      <c r="AF259" s="35" t="n"/>
      <c r="AG259" s="35" t="n"/>
      <c r="AH259" s="254">
        <f>AH289*AH291/365</f>
        <v/>
      </c>
      <c r="AI259" s="254">
        <f>AI289*AI291/365</f>
        <v/>
      </c>
      <c r="AJ259" s="254">
        <f>AJ289*AJ291/365</f>
        <v/>
      </c>
      <c r="AK259" s="254">
        <f>AK289*AK291/365</f>
        <v/>
      </c>
      <c r="AL259" s="254">
        <f>AL289*AL291/365</f>
        <v/>
      </c>
      <c r="AM259" s="19" t="inlineStr">
        <is>
          <t>Receivables = net sales × DSO / 365.</t>
        </is>
      </c>
    </row>
    <row r="260" ht="15" customHeight="1" s="251">
      <c r="B260" s="25" t="inlineStr">
        <is>
          <t xml:space="preserve">  Inventories</t>
        </is>
      </c>
      <c r="C260" s="34" t="n"/>
      <c r="D260" s="253" t="n">
        <v>102.878</v>
      </c>
      <c r="E260" s="34" t="n"/>
      <c r="F260" s="34" t="n"/>
      <c r="G260" s="253" t="n">
        <v>145.285</v>
      </c>
      <c r="H260" s="253" t="n">
        <v>134.178</v>
      </c>
      <c r="I260" s="253" t="n">
        <v>134.178</v>
      </c>
      <c r="J260" s="253" t="n">
        <v>162.451</v>
      </c>
      <c r="K260" s="253" t="n">
        <v>216.713</v>
      </c>
      <c r="L260" s="253" t="n">
        <v>262.451</v>
      </c>
      <c r="M260" s="253" t="n">
        <v>395.6</v>
      </c>
      <c r="N260" s="253" t="n">
        <v>395.6</v>
      </c>
      <c r="O260" s="253" t="n">
        <v>465.2</v>
      </c>
      <c r="P260" s="253" t="n">
        <v>435.9</v>
      </c>
      <c r="Q260" s="253" t="n">
        <v>424.5</v>
      </c>
      <c r="R260" s="253" t="n">
        <v>356.5</v>
      </c>
      <c r="S260" s="253" t="n">
        <v>356.5</v>
      </c>
      <c r="T260" s="253" t="n">
        <v>365.3</v>
      </c>
      <c r="U260" s="253" t="n">
        <v>401.3</v>
      </c>
      <c r="V260" s="253" t="n">
        <v>348.9</v>
      </c>
      <c r="W260" s="253" t="n">
        <v>419.2</v>
      </c>
      <c r="X260" s="253" t="n">
        <v>419.2</v>
      </c>
      <c r="Y260" s="253" t="n">
        <v>399.3</v>
      </c>
      <c r="Z260" s="253" t="n">
        <v>360.4</v>
      </c>
      <c r="AA260" s="253" t="n">
        <v>380.6</v>
      </c>
      <c r="AB260" s="253" t="n">
        <v>419.8</v>
      </c>
      <c r="AC260" s="253" t="n">
        <v>419.8</v>
      </c>
      <c r="AD260" s="253" t="n">
        <v>406</v>
      </c>
      <c r="AE260" s="253" t="n">
        <v>472.9</v>
      </c>
      <c r="AF260" s="35" t="n"/>
      <c r="AG260" s="35" t="n"/>
      <c r="AH260" s="254">
        <f>AH290*AH292/365</f>
        <v/>
      </c>
      <c r="AI260" s="254">
        <f>AI290*AI292/365</f>
        <v/>
      </c>
      <c r="AJ260" s="254">
        <f>AJ290*AJ292/365</f>
        <v/>
      </c>
      <c r="AK260" s="254">
        <f>AK290*AK292/365</f>
        <v/>
      </c>
      <c r="AL260" s="254">
        <f>AL290*AL292/365</f>
        <v/>
      </c>
      <c r="AM260" s="19" t="n"/>
    </row>
    <row r="261" ht="15" customHeight="1" s="251">
      <c r="B261" s="25" t="inlineStr">
        <is>
          <t xml:space="preserve">  Other current financial &amp; operating assets</t>
        </is>
      </c>
      <c r="C261" s="34" t="n"/>
      <c r="D261" s="253" t="n">
        <v>37.114</v>
      </c>
      <c r="E261" s="34" t="n"/>
      <c r="F261" s="34" t="n"/>
      <c r="G261" s="253" t="n">
        <v>81.485</v>
      </c>
      <c r="H261" s="253" t="n">
        <v>78.078</v>
      </c>
      <c r="I261" s="253" t="n">
        <v>78.078</v>
      </c>
      <c r="J261" s="253" t="n">
        <v>95.67699999999999</v>
      </c>
      <c r="K261" s="253" t="n">
        <v>127.276</v>
      </c>
      <c r="L261" s="253" t="n">
        <v>102.897</v>
      </c>
      <c r="M261" s="253" t="n">
        <v>110.2</v>
      </c>
      <c r="N261" s="253" t="n">
        <v>110.2</v>
      </c>
      <c r="O261" s="253" t="n">
        <v>127.3</v>
      </c>
      <c r="P261" s="253" t="n">
        <v>129.9</v>
      </c>
      <c r="Q261" s="253" t="n">
        <v>135.8</v>
      </c>
      <c r="R261" s="253" t="n">
        <v>95.40000000000001</v>
      </c>
      <c r="S261" s="253" t="n">
        <v>95.40000000000001</v>
      </c>
      <c r="T261" s="253" t="n">
        <v>120.1</v>
      </c>
      <c r="U261" s="253" t="n">
        <v>133.7</v>
      </c>
      <c r="V261" s="253" t="n">
        <v>136.2</v>
      </c>
      <c r="W261" s="253" t="n">
        <v>170.1</v>
      </c>
      <c r="X261" s="253" t="n">
        <v>170.1</v>
      </c>
      <c r="Y261" s="253" t="n">
        <v>166.4</v>
      </c>
      <c r="Z261" s="253" t="n">
        <v>191.1</v>
      </c>
      <c r="AA261" s="253" t="n">
        <v>228.4</v>
      </c>
      <c r="AB261" s="253" t="n">
        <v>217.4</v>
      </c>
      <c r="AC261" s="253" t="n">
        <v>217.4</v>
      </c>
      <c r="AD261" s="253" t="n">
        <v>224.3</v>
      </c>
      <c r="AE261" s="253" t="n">
        <v>240.5</v>
      </c>
      <c r="AF261" s="35" t="n"/>
      <c r="AG261" s="35" t="n"/>
      <c r="AH261" s="254">
        <f>AH289*AH294</f>
        <v/>
      </c>
      <c r="AI261" s="254">
        <f>AI289*AI294</f>
        <v/>
      </c>
      <c r="AJ261" s="254">
        <f>AJ289*AJ294</f>
        <v/>
      </c>
      <c r="AK261" s="254">
        <f>AK289*AK294</f>
        <v/>
      </c>
      <c r="AL261" s="254">
        <f>AL289*AL294</f>
        <v/>
      </c>
      <c r="AM261" s="19" t="n"/>
    </row>
    <row r="262" ht="15" customHeight="1" s="251">
      <c r="B262" s="16" t="inlineStr">
        <is>
          <t>Total current assets</t>
        </is>
      </c>
      <c r="C262" s="268">
        <f>IF(ISNUMBER(C258),SUM(C258:C261),"")</f>
        <v/>
      </c>
      <c r="D262" s="268">
        <f>IF(ISNUMBER(D258),SUM(D258:D261),"")</f>
        <v/>
      </c>
      <c r="E262" s="268">
        <f>IF(ISNUMBER(E258),SUM(E258:E261),"")</f>
        <v/>
      </c>
      <c r="F262" s="268">
        <f>IF(ISNUMBER(F258),SUM(F258:F261),"")</f>
        <v/>
      </c>
      <c r="G262" s="268">
        <f>IF(ISNUMBER(G258),SUM(G258:G261),"")</f>
        <v/>
      </c>
      <c r="H262" s="268">
        <f>IF(ISNUMBER(H258),SUM(H258:H261),"")</f>
        <v/>
      </c>
      <c r="I262" s="268">
        <f>IF(ISNUMBER(I258),SUM(I258:I261),"")</f>
        <v/>
      </c>
      <c r="J262" s="268">
        <f>IF(ISNUMBER(J258),SUM(J258:J261),"")</f>
        <v/>
      </c>
      <c r="K262" s="268">
        <f>IF(ISNUMBER(K258),SUM(K258:K261),"")</f>
        <v/>
      </c>
      <c r="L262" s="268">
        <f>IF(ISNUMBER(L258),SUM(L258:L261),"")</f>
        <v/>
      </c>
      <c r="M262" s="268">
        <f>IF(ISNUMBER(M258),SUM(M258:M261),"")</f>
        <v/>
      </c>
      <c r="N262" s="268">
        <f>IF(ISNUMBER(N258),SUM(N258:N261),"")</f>
        <v/>
      </c>
      <c r="O262" s="268">
        <f>IF(ISNUMBER(O258),SUM(O258:O261),"")</f>
        <v/>
      </c>
      <c r="P262" s="268">
        <f>IF(ISNUMBER(P258),SUM(P258:P261),"")</f>
        <v/>
      </c>
      <c r="Q262" s="268">
        <f>IF(ISNUMBER(Q258),SUM(Q258:Q261),"")</f>
        <v/>
      </c>
      <c r="R262" s="268">
        <f>IF(ISNUMBER(R258),SUM(R258:R261),"")</f>
        <v/>
      </c>
      <c r="S262" s="268">
        <f>IF(ISNUMBER(S258),SUM(S258:S261),"")</f>
        <v/>
      </c>
      <c r="T262" s="268">
        <f>IF(ISNUMBER(T258),SUM(T258:T261),"")</f>
        <v/>
      </c>
      <c r="U262" s="268">
        <f>IF(ISNUMBER(U258),SUM(U258:U261),"")</f>
        <v/>
      </c>
      <c r="V262" s="268">
        <f>IF(ISNUMBER(V258),SUM(V258:V261),"")</f>
        <v/>
      </c>
      <c r="W262" s="268">
        <f>IF(ISNUMBER(W258),SUM(W258:W261),"")</f>
        <v/>
      </c>
      <c r="X262" s="268">
        <f>IF(ISNUMBER(X258),SUM(X258:X261),"")</f>
        <v/>
      </c>
      <c r="Y262" s="268">
        <f>IF(ISNUMBER(Y258),SUM(Y258:Y261),"")</f>
        <v/>
      </c>
      <c r="Z262" s="268">
        <f>IF(ISNUMBER(Z258),SUM(Z258:Z261),"")</f>
        <v/>
      </c>
      <c r="AA262" s="268">
        <f>IF(ISNUMBER(AA258),SUM(AA258:AA261),"")</f>
        <v/>
      </c>
      <c r="AB262" s="268">
        <f>IF(ISNUMBER(AB258),SUM(AB258:AB261),"")</f>
        <v/>
      </c>
      <c r="AC262" s="268">
        <f>IF(ISNUMBER(AC258),SUM(AC258:AC261),"")</f>
        <v/>
      </c>
      <c r="AD262" s="268">
        <f>IF(ISNUMBER(AD258),SUM(AD258:AD261),"")</f>
        <v/>
      </c>
      <c r="AE262" s="268">
        <f>IF(ISNUMBER(AE258),SUM(AE258:AE261),"")</f>
        <v/>
      </c>
      <c r="AF262" s="32" t="n"/>
      <c r="AG262" s="32" t="n"/>
      <c r="AH262" s="269">
        <f>IF(ISNUMBER(AH258),SUM(AH258:AH261),"")</f>
        <v/>
      </c>
      <c r="AI262" s="269">
        <f>IF(ISNUMBER(AI258),SUM(AI258:AI261),"")</f>
        <v/>
      </c>
      <c r="AJ262" s="269">
        <f>IF(ISNUMBER(AJ258),SUM(AJ258:AJ261),"")</f>
        <v/>
      </c>
      <c r="AK262" s="269">
        <f>IF(ISNUMBER(AK258),SUM(AK258:AK261),"")</f>
        <v/>
      </c>
      <c r="AL262" s="269">
        <f>IF(ISNUMBER(AL258),SUM(AL258:AL261),"")</f>
        <v/>
      </c>
      <c r="AM262" s="153" t="n"/>
    </row>
    <row r="263" ht="15" customHeight="1" s="251">
      <c r="B263" s="25" t="inlineStr">
        <is>
          <t xml:space="preserve">  Property, plant &amp; equipment and intangible assets</t>
        </is>
      </c>
      <c r="C263" s="34" t="n"/>
      <c r="D263" s="253" t="n">
        <v>71.67100000000001</v>
      </c>
      <c r="E263" s="34" t="n"/>
      <c r="F263" s="34" t="n"/>
      <c r="G263" s="253" t="n">
        <v>83.12</v>
      </c>
      <c r="H263" s="253" t="n">
        <v>91.863</v>
      </c>
      <c r="I263" s="253" t="n">
        <v>91.863</v>
      </c>
      <c r="J263" s="253" t="n">
        <v>104.485</v>
      </c>
      <c r="K263" s="253" t="n">
        <v>108.975</v>
      </c>
      <c r="L263" s="253" t="n">
        <v>123.256</v>
      </c>
      <c r="M263" s="253" t="n">
        <v>147.5</v>
      </c>
      <c r="N263" s="253" t="n">
        <v>147.5</v>
      </c>
      <c r="O263" s="253" t="n">
        <v>150.2</v>
      </c>
      <c r="P263" s="253" t="n">
        <v>151.7</v>
      </c>
      <c r="Q263" s="253" t="n">
        <v>152.2</v>
      </c>
      <c r="R263" s="253" t="n">
        <v>158.2</v>
      </c>
      <c r="S263" s="253" t="n">
        <v>158.2</v>
      </c>
      <c r="T263" s="253" t="n">
        <v>160.8</v>
      </c>
      <c r="U263" s="253" t="n">
        <v>173.4</v>
      </c>
      <c r="V263" s="253" t="n">
        <v>177.5</v>
      </c>
      <c r="W263" s="253" t="n">
        <v>185.5</v>
      </c>
      <c r="X263" s="253" t="n">
        <v>185.5</v>
      </c>
      <c r="Y263" s="253" t="n">
        <v>183.8</v>
      </c>
      <c r="Z263" s="253" t="n">
        <v>182.5</v>
      </c>
      <c r="AA263" s="253" t="n">
        <v>189.8</v>
      </c>
      <c r="AB263" s="253" t="n">
        <v>203</v>
      </c>
      <c r="AC263" s="253" t="n">
        <v>203</v>
      </c>
      <c r="AD263" s="253" t="n">
        <v>215.2</v>
      </c>
      <c r="AE263" s="253" t="n">
        <v>231.3</v>
      </c>
      <c r="AF263" s="35" t="n"/>
      <c r="AG263" s="35" t="n"/>
      <c r="AH263" s="254">
        <f>AE263-(AH217-(AD217+AE217))-(AF102+AG102)*(1-AH302)</f>
        <v/>
      </c>
      <c r="AI263" s="254">
        <f>AH263-AI217-AI304</f>
        <v/>
      </c>
      <c r="AJ263" s="254">
        <f>AI263-AJ217-AJ304</f>
        <v/>
      </c>
      <c r="AK263" s="254">
        <f>AJ263-AK217-AK304</f>
        <v/>
      </c>
      <c r="AL263" s="254">
        <f>AK263-AL217-AL304</f>
        <v/>
      </c>
      <c r="AM263" s="19" t="inlineStr">
        <is>
          <t>Roll-forward: prior + capex − non-lease D&amp;A.</t>
        </is>
      </c>
    </row>
    <row r="264" ht="15" customHeight="1" s="251">
      <c r="B264" s="25" t="inlineStr">
        <is>
          <t xml:space="preserve">  Right-of-use assets (IFRS 16)</t>
        </is>
      </c>
      <c r="C264" s="34" t="n"/>
      <c r="D264" s="253" t="n">
        <v>22.719</v>
      </c>
      <c r="E264" s="34" t="n"/>
      <c r="F264" s="34" t="n"/>
      <c r="G264" s="253" t="n">
        <v>168.638</v>
      </c>
      <c r="H264" s="253" t="n">
        <v>177.89</v>
      </c>
      <c r="I264" s="253" t="n">
        <v>177.89</v>
      </c>
      <c r="J264" s="253" t="n">
        <v>180.172</v>
      </c>
      <c r="K264" s="253" t="n">
        <v>186.605</v>
      </c>
      <c r="L264" s="253" t="n">
        <v>349.223</v>
      </c>
      <c r="M264" s="253" t="n">
        <v>151.6</v>
      </c>
      <c r="N264" s="253" t="n">
        <v>151.6</v>
      </c>
      <c r="O264" s="253" t="n">
        <v>161.8</v>
      </c>
      <c r="P264" s="253" t="n">
        <v>152.9</v>
      </c>
      <c r="Q264" s="253" t="n">
        <v>233.1</v>
      </c>
      <c r="R264" s="253" t="n">
        <v>214</v>
      </c>
      <c r="S264" s="253" t="n">
        <v>214</v>
      </c>
      <c r="T264" s="253" t="n">
        <v>311</v>
      </c>
      <c r="U264" s="253" t="n">
        <v>319.1</v>
      </c>
      <c r="V264" s="253" t="n">
        <v>313.7</v>
      </c>
      <c r="W264" s="253" t="n">
        <v>323.6</v>
      </c>
      <c r="X264" s="253" t="n">
        <v>323.6</v>
      </c>
      <c r="Y264" s="253" t="n">
        <v>313.7</v>
      </c>
      <c r="Z264" s="253" t="n">
        <v>476.6</v>
      </c>
      <c r="AA264" s="253" t="n">
        <v>479.9</v>
      </c>
      <c r="AB264" s="253" t="n">
        <v>494.1</v>
      </c>
      <c r="AC264" s="253" t="n">
        <v>494.1</v>
      </c>
      <c r="AD264" s="253" t="n">
        <v>511.1</v>
      </c>
      <c r="AE264" s="253" t="n">
        <v>530.7</v>
      </c>
      <c r="AF264" s="35" t="n"/>
      <c r="AG264" s="35" t="n"/>
      <c r="AH264" s="254">
        <f>AH289*AH305</f>
        <v/>
      </c>
      <c r="AI264" s="254">
        <f>AI289*AI305</f>
        <v/>
      </c>
      <c r="AJ264" s="254">
        <f>AJ289*AJ305</f>
        <v/>
      </c>
      <c r="AK264" s="254">
        <f>AK289*AK305</f>
        <v/>
      </c>
      <c r="AL264" s="254">
        <f>AL289*AL305</f>
        <v/>
      </c>
      <c r="AM264" s="19" t="inlineStr">
        <is>
          <t>Store, office and warehouse leases; forecast at a % of net sales (new leases = plug in the lease schedule).</t>
        </is>
      </c>
    </row>
    <row r="265" ht="15" customHeight="1" s="251">
      <c r="B265" s="25" t="inlineStr">
        <is>
          <t xml:space="preserve">  Deferred tax assets</t>
        </is>
      </c>
      <c r="C265" s="34" t="n"/>
      <c r="D265" s="253" t="n">
        <v>5.915</v>
      </c>
      <c r="E265" s="34" t="n"/>
      <c r="F265" s="34" t="n"/>
      <c r="G265" s="253" t="n">
        <v>3.586</v>
      </c>
      <c r="H265" s="253" t="n">
        <v>2.171</v>
      </c>
      <c r="I265" s="253" t="n">
        <v>2.171</v>
      </c>
      <c r="J265" s="253" t="n">
        <v>3.859</v>
      </c>
      <c r="K265" s="253" t="n">
        <v>16.475</v>
      </c>
      <c r="L265" s="253" t="n">
        <v>22.162</v>
      </c>
      <c r="M265" s="253" t="n">
        <v>31.7</v>
      </c>
      <c r="N265" s="253" t="n">
        <v>31.7</v>
      </c>
      <c r="O265" s="253" t="n">
        <v>40.1</v>
      </c>
      <c r="P265" s="253" t="n">
        <v>76.90000000000001</v>
      </c>
      <c r="Q265" s="253" t="n">
        <v>70.90000000000001</v>
      </c>
      <c r="R265" s="253" t="n">
        <v>69.5</v>
      </c>
      <c r="S265" s="253" t="n">
        <v>69.5</v>
      </c>
      <c r="T265" s="253" t="n">
        <v>55.1</v>
      </c>
      <c r="U265" s="253" t="n">
        <v>51.7</v>
      </c>
      <c r="V265" s="253" t="n">
        <v>59.2</v>
      </c>
      <c r="W265" s="253" t="n">
        <v>107.8</v>
      </c>
      <c r="X265" s="253" t="n">
        <v>107.8</v>
      </c>
      <c r="Y265" s="253" t="n">
        <v>121</v>
      </c>
      <c r="Z265" s="253" t="n">
        <v>152.5</v>
      </c>
      <c r="AA265" s="253" t="n">
        <v>170.3</v>
      </c>
      <c r="AB265" s="253" t="n">
        <v>175.9</v>
      </c>
      <c r="AC265" s="253" t="n">
        <v>175.9</v>
      </c>
      <c r="AD265" s="253" t="n">
        <v>184.1</v>
      </c>
      <c r="AE265" s="253" t="n">
        <v>187.8</v>
      </c>
      <c r="AF265" s="35" t="n"/>
      <c r="AG265" s="35" t="n"/>
      <c r="AH265" s="254">
        <f>AE265</f>
        <v/>
      </c>
      <c r="AI265" s="254">
        <f>AH265</f>
        <v/>
      </c>
      <c r="AJ265" s="254">
        <f>AI265</f>
        <v/>
      </c>
      <c r="AK265" s="254">
        <f>AJ265</f>
        <v/>
      </c>
      <c r="AL265" s="254">
        <f>AK265</f>
        <v/>
      </c>
      <c r="AM265" s="19" t="n"/>
    </row>
    <row r="266" ht="15" customHeight="1" s="251">
      <c r="B266" s="55" t="inlineStr">
        <is>
          <t>TOTAL ASSETS</t>
        </is>
      </c>
      <c r="C266" s="263">
        <f>IF(ISNUMBER(C258),C262+SUM(C263:C265),"")</f>
        <v/>
      </c>
      <c r="D266" s="263">
        <f>IF(ISNUMBER(D258),D262+SUM(D263:D265),"")</f>
        <v/>
      </c>
      <c r="E266" s="263">
        <f>IF(ISNUMBER(E258),E262+SUM(E263:E265),"")</f>
        <v/>
      </c>
      <c r="F266" s="263">
        <f>IF(ISNUMBER(F258),F262+SUM(F263:F265),"")</f>
        <v/>
      </c>
      <c r="G266" s="263">
        <f>IF(ISNUMBER(G258),G262+SUM(G263:G265),"")</f>
        <v/>
      </c>
      <c r="H266" s="263">
        <f>IF(ISNUMBER(H258),H262+SUM(H263:H265),"")</f>
        <v/>
      </c>
      <c r="I266" s="263">
        <f>IF(ISNUMBER(I258),I262+SUM(I263:I265),"")</f>
        <v/>
      </c>
      <c r="J266" s="263">
        <f>IF(ISNUMBER(J258),J262+SUM(J263:J265),"")</f>
        <v/>
      </c>
      <c r="K266" s="263">
        <f>IF(ISNUMBER(K258),K262+SUM(K263:K265),"")</f>
        <v/>
      </c>
      <c r="L266" s="263">
        <f>IF(ISNUMBER(L258),L262+SUM(L263:L265),"")</f>
        <v/>
      </c>
      <c r="M266" s="263">
        <f>IF(ISNUMBER(M258),M262+SUM(M263:M265),"")</f>
        <v/>
      </c>
      <c r="N266" s="263">
        <f>IF(ISNUMBER(N258),N262+SUM(N263:N265),"")</f>
        <v/>
      </c>
      <c r="O266" s="263">
        <f>IF(ISNUMBER(O258),O262+SUM(O263:O265),"")</f>
        <v/>
      </c>
      <c r="P266" s="263">
        <f>IF(ISNUMBER(P258),P262+SUM(P263:P265),"")</f>
        <v/>
      </c>
      <c r="Q266" s="263">
        <f>IF(ISNUMBER(Q258),Q262+SUM(Q263:Q265),"")</f>
        <v/>
      </c>
      <c r="R266" s="263">
        <f>IF(ISNUMBER(R258),R262+SUM(R263:R265),"")</f>
        <v/>
      </c>
      <c r="S266" s="263">
        <f>IF(ISNUMBER(S258),S262+SUM(S263:S265),"")</f>
        <v/>
      </c>
      <c r="T266" s="263">
        <f>IF(ISNUMBER(T258),T262+SUM(T263:T265),"")</f>
        <v/>
      </c>
      <c r="U266" s="263">
        <f>IF(ISNUMBER(U258),U262+SUM(U263:U265),"")</f>
        <v/>
      </c>
      <c r="V266" s="263">
        <f>IF(ISNUMBER(V258),V262+SUM(V263:V265),"")</f>
        <v/>
      </c>
      <c r="W266" s="263">
        <f>IF(ISNUMBER(W258),W262+SUM(W263:W265),"")</f>
        <v/>
      </c>
      <c r="X266" s="263">
        <f>IF(ISNUMBER(X258),X262+SUM(X263:X265),"")</f>
        <v/>
      </c>
      <c r="Y266" s="263">
        <f>IF(ISNUMBER(Y258),Y262+SUM(Y263:Y265),"")</f>
        <v/>
      </c>
      <c r="Z266" s="263">
        <f>IF(ISNUMBER(Z258),Z262+SUM(Z263:Z265),"")</f>
        <v/>
      </c>
      <c r="AA266" s="263">
        <f>IF(ISNUMBER(AA258),AA262+SUM(AA263:AA265),"")</f>
        <v/>
      </c>
      <c r="AB266" s="263">
        <f>IF(ISNUMBER(AB258),AB262+SUM(AB263:AB265),"")</f>
        <v/>
      </c>
      <c r="AC266" s="263">
        <f>IF(ISNUMBER(AC258),AC262+SUM(AC263:AC265),"")</f>
        <v/>
      </c>
      <c r="AD266" s="263">
        <f>IF(ISNUMBER(AD258),AD262+SUM(AD263:AD265),"")</f>
        <v/>
      </c>
      <c r="AE266" s="263">
        <f>IF(ISNUMBER(AE258),AE262+SUM(AE263:AE265),"")</f>
        <v/>
      </c>
      <c r="AF266" s="56" t="n"/>
      <c r="AG266" s="56" t="n"/>
      <c r="AH266" s="263">
        <f>IF(ISNUMBER(AH258),AH262+SUM(AH263:AH265),"")</f>
        <v/>
      </c>
      <c r="AI266" s="263">
        <f>IF(ISNUMBER(AI258),AI262+SUM(AI263:AI265),"")</f>
        <v/>
      </c>
      <c r="AJ266" s="263">
        <f>IF(ISNUMBER(AJ258),AJ262+SUM(AJ263:AJ265),"")</f>
        <v/>
      </c>
      <c r="AK266" s="263">
        <f>IF(ISNUMBER(AK258),AK262+SUM(AK263:AK265),"")</f>
        <v/>
      </c>
      <c r="AL266" s="263">
        <f>IF(ISNUMBER(AL258),AL262+SUM(AL263:AL265),"")</f>
        <v/>
      </c>
      <c r="AM266" s="153" t="n"/>
      <c r="AO266" s="20">
        <f>IFERROR((AL266/AC266)^(1/5)-1,"n/m")</f>
        <v/>
      </c>
      <c r="AP266" s="20">
        <f>IFERROR((AC266/D266)^(1/5)-1,"n/m")</f>
        <v/>
      </c>
      <c r="AQ266" s="20">
        <f>IFERROR((AC266/N266)^(1/3)-1,"n/m")</f>
        <v/>
      </c>
      <c r="AR266" s="20">
        <f>IFERROR((AC266/C266)^(1/6)-1,"n/m")</f>
        <v/>
      </c>
    </row>
    <row r="267" ht="15" customHeight="1" s="251">
      <c r="B267" s="25" t="inlineStr">
        <is>
          <t>LIABILITIES AND EQUITY</t>
        </is>
      </c>
      <c r="AM267" s="153" t="n"/>
    </row>
    <row r="268" ht="15" customHeight="1" s="251">
      <c r="B268" s="25" t="inlineStr">
        <is>
          <t xml:space="preserve">  Trade payables</t>
        </is>
      </c>
      <c r="C268" s="34" t="n"/>
      <c r="D268" s="253" t="n">
        <v>41.543</v>
      </c>
      <c r="E268" s="34" t="n"/>
      <c r="F268" s="34" t="n"/>
      <c r="G268" s="253" t="n">
        <v>50.131</v>
      </c>
      <c r="H268" s="253" t="n">
        <v>45.939</v>
      </c>
      <c r="I268" s="253" t="n">
        <v>45.939</v>
      </c>
      <c r="J268" s="253" t="n">
        <v>42.713</v>
      </c>
      <c r="K268" s="253" t="n">
        <v>44.443</v>
      </c>
      <c r="L268" s="253" t="n">
        <v>58.141</v>
      </c>
      <c r="M268" s="253" t="n">
        <v>111</v>
      </c>
      <c r="N268" s="253" t="n">
        <v>111</v>
      </c>
      <c r="O268" s="253" t="n">
        <v>130.7</v>
      </c>
      <c r="P268" s="253" t="n">
        <v>90</v>
      </c>
      <c r="Q268" s="253" t="n">
        <v>99.8</v>
      </c>
      <c r="R268" s="253" t="n">
        <v>65.09999999999999</v>
      </c>
      <c r="S268" s="253" t="n">
        <v>65.09999999999999</v>
      </c>
      <c r="T268" s="253" t="n">
        <v>92.5</v>
      </c>
      <c r="U268" s="253" t="n">
        <v>148.2</v>
      </c>
      <c r="V268" s="253" t="n">
        <v>129.3</v>
      </c>
      <c r="W268" s="253" t="n">
        <v>166.5</v>
      </c>
      <c r="X268" s="253" t="n">
        <v>166.5</v>
      </c>
      <c r="Y268" s="253" t="n">
        <v>162</v>
      </c>
      <c r="Z268" s="253" t="n">
        <v>160.7</v>
      </c>
      <c r="AA268" s="253" t="n">
        <v>155.6</v>
      </c>
      <c r="AB268" s="253" t="n">
        <v>154.8</v>
      </c>
      <c r="AC268" s="253" t="n">
        <v>154.8</v>
      </c>
      <c r="AD268" s="253" t="n">
        <v>157.8</v>
      </c>
      <c r="AE268" s="253" t="n">
        <v>211</v>
      </c>
      <c r="AF268" s="35" t="n"/>
      <c r="AG268" s="35" t="n"/>
      <c r="AH268" s="254">
        <f>AH290*AH293/365</f>
        <v/>
      </c>
      <c r="AI268" s="254">
        <f>AI290*AI293/365</f>
        <v/>
      </c>
      <c r="AJ268" s="254">
        <f>AJ290*AJ293/365</f>
        <v/>
      </c>
      <c r="AK268" s="254">
        <f>AK290*AK293/365</f>
        <v/>
      </c>
      <c r="AL268" s="254">
        <f>AL290*AL293/365</f>
        <v/>
      </c>
      <c r="AM268" s="19" t="n"/>
    </row>
    <row r="269" ht="15" customHeight="1" s="251">
      <c r="B269" s="25" t="inlineStr">
        <is>
          <t xml:space="preserve">  Current lease liabilities &amp; other current financial liabilities</t>
        </is>
      </c>
      <c r="C269" s="34" t="n"/>
      <c r="D269" s="253" t="n">
        <v>7.276</v>
      </c>
      <c r="E269" s="34" t="n"/>
      <c r="F269" s="34" t="n"/>
      <c r="G269" s="253" t="n">
        <v>19.787</v>
      </c>
      <c r="H269" s="253" t="n">
        <v>20.097</v>
      </c>
      <c r="I269" s="253" t="n">
        <v>20.097</v>
      </c>
      <c r="J269" s="253" t="n">
        <v>55.723</v>
      </c>
      <c r="K269" s="253" t="n">
        <v>26.323</v>
      </c>
      <c r="L269" s="253" t="n">
        <v>20.326</v>
      </c>
      <c r="M269" s="253" t="n">
        <v>31.2</v>
      </c>
      <c r="N269" s="253" t="n">
        <v>31.2</v>
      </c>
      <c r="O269" s="253" t="n">
        <v>35.4</v>
      </c>
      <c r="P269" s="253" t="n">
        <v>33.7</v>
      </c>
      <c r="Q269" s="253" t="n">
        <v>47.8</v>
      </c>
      <c r="R269" s="253" t="n">
        <v>53.4</v>
      </c>
      <c r="S269" s="253" t="n">
        <v>53.4</v>
      </c>
      <c r="T269" s="253" t="n">
        <v>73.8</v>
      </c>
      <c r="U269" s="253" t="n">
        <v>76.40000000000001</v>
      </c>
      <c r="V269" s="253" t="n">
        <v>85.8</v>
      </c>
      <c r="W269" s="253" t="n">
        <v>110.4</v>
      </c>
      <c r="X269" s="253" t="n">
        <v>110.4</v>
      </c>
      <c r="Y269" s="253" t="n">
        <v>110.5</v>
      </c>
      <c r="Z269" s="253" t="n">
        <v>123.7</v>
      </c>
      <c r="AA269" s="253" t="n">
        <v>131.6</v>
      </c>
      <c r="AB269" s="253" t="n">
        <v>137.9</v>
      </c>
      <c r="AC269" s="253" t="n">
        <v>137.9</v>
      </c>
      <c r="AD269" s="253" t="n">
        <v>137</v>
      </c>
      <c r="AE269" s="253" t="n">
        <v>134.2</v>
      </c>
      <c r="AF269" s="35" t="n"/>
      <c r="AG269" s="35" t="n"/>
      <c r="AH269" s="254">
        <f>AH307*AH308</f>
        <v/>
      </c>
      <c r="AI269" s="254">
        <f>AI307*AI308</f>
        <v/>
      </c>
      <c r="AJ269" s="254">
        <f>AJ307*AJ308</f>
        <v/>
      </c>
      <c r="AK269" s="254">
        <f>AK307*AK308</f>
        <v/>
      </c>
      <c r="AL269" s="254">
        <f>AL307*AL308</f>
        <v/>
      </c>
      <c r="AM269" s="19" t="inlineStr">
        <is>
          <t>Lease liabilities shown separately from Q1-25; before, inside other financial liabilities (incl. Q1-22 bank overdraft CHF 25.8m).</t>
        </is>
      </c>
    </row>
    <row r="270" ht="15" customHeight="1" s="251">
      <c r="B270" s="25" t="inlineStr">
        <is>
          <t xml:space="preserve">  Other current operating liabilities, provisions &amp; income tax liabilities</t>
        </is>
      </c>
      <c r="C270" s="34" t="n"/>
      <c r="D270" s="253" t="n">
        <v>37.543</v>
      </c>
      <c r="E270" s="34" t="n"/>
      <c r="F270" s="34" t="n"/>
      <c r="G270" s="253" t="n">
        <v>119.22</v>
      </c>
      <c r="H270" s="253" t="n">
        <v>138.976</v>
      </c>
      <c r="I270" s="253" t="n">
        <v>138.976</v>
      </c>
      <c r="J270" s="253" t="n">
        <v>139.211</v>
      </c>
      <c r="K270" s="253" t="n">
        <v>165.288</v>
      </c>
      <c r="L270" s="253" t="n">
        <v>118.234</v>
      </c>
      <c r="M270" s="253" t="n">
        <v>100.6</v>
      </c>
      <c r="N270" s="253" t="n">
        <v>100.6</v>
      </c>
      <c r="O270" s="253" t="n">
        <v>181.9</v>
      </c>
      <c r="P270" s="253" t="n">
        <v>205.4</v>
      </c>
      <c r="Q270" s="253" t="n">
        <v>225.1</v>
      </c>
      <c r="R270" s="253" t="n">
        <v>187</v>
      </c>
      <c r="S270" s="253" t="n">
        <v>187</v>
      </c>
      <c r="T270" s="253" t="n">
        <v>242.8</v>
      </c>
      <c r="U270" s="253" t="n">
        <v>279.6</v>
      </c>
      <c r="V270" s="253" t="n">
        <v>319.9</v>
      </c>
      <c r="W270" s="253" t="n">
        <v>383.5</v>
      </c>
      <c r="X270" s="253" t="n">
        <v>383.5</v>
      </c>
      <c r="Y270" s="253" t="n">
        <v>371</v>
      </c>
      <c r="Z270" s="253" t="n">
        <v>401.4</v>
      </c>
      <c r="AA270" s="253" t="n">
        <v>461.3</v>
      </c>
      <c r="AB270" s="253" t="n">
        <v>431.6</v>
      </c>
      <c r="AC270" s="253" t="n">
        <v>431.6</v>
      </c>
      <c r="AD270" s="253" t="n">
        <v>393.9</v>
      </c>
      <c r="AE270" s="253" t="n">
        <v>464.7</v>
      </c>
      <c r="AF270" s="35" t="n"/>
      <c r="AG270" s="35" t="n"/>
      <c r="AH270" s="254">
        <f>AH289*AH295</f>
        <v/>
      </c>
      <c r="AI270" s="254">
        <f>AI289*AI295</f>
        <v/>
      </c>
      <c r="AJ270" s="254">
        <f>AJ289*AJ295</f>
        <v/>
      </c>
      <c r="AK270" s="254">
        <f>AK289*AK295</f>
        <v/>
      </c>
      <c r="AL270" s="254">
        <f>AL289*AL295</f>
        <v/>
      </c>
      <c r="AM270" s="19" t="n"/>
    </row>
    <row r="271" ht="15" customHeight="1" s="251">
      <c r="B271" s="16" t="inlineStr">
        <is>
          <t>Total current liabilities</t>
        </is>
      </c>
      <c r="C271" s="268">
        <f>IF(ISNUMBER(C268),SUM(C268:C270),"")</f>
        <v/>
      </c>
      <c r="D271" s="268">
        <f>IF(ISNUMBER(D268),SUM(D268:D270),"")</f>
        <v/>
      </c>
      <c r="E271" s="268">
        <f>IF(ISNUMBER(E268),SUM(E268:E270),"")</f>
        <v/>
      </c>
      <c r="F271" s="268">
        <f>IF(ISNUMBER(F268),SUM(F268:F270),"")</f>
        <v/>
      </c>
      <c r="G271" s="268">
        <f>IF(ISNUMBER(G268),SUM(G268:G270),"")</f>
        <v/>
      </c>
      <c r="H271" s="268">
        <f>IF(ISNUMBER(H268),SUM(H268:H270),"")</f>
        <v/>
      </c>
      <c r="I271" s="268">
        <f>IF(ISNUMBER(I268),SUM(I268:I270),"")</f>
        <v/>
      </c>
      <c r="J271" s="268">
        <f>IF(ISNUMBER(J268),SUM(J268:J270),"")</f>
        <v/>
      </c>
      <c r="K271" s="268">
        <f>IF(ISNUMBER(K268),SUM(K268:K270),"")</f>
        <v/>
      </c>
      <c r="L271" s="268">
        <f>IF(ISNUMBER(L268),SUM(L268:L270),"")</f>
        <v/>
      </c>
      <c r="M271" s="268">
        <f>IF(ISNUMBER(M268),SUM(M268:M270),"")</f>
        <v/>
      </c>
      <c r="N271" s="268">
        <f>IF(ISNUMBER(N268),SUM(N268:N270),"")</f>
        <v/>
      </c>
      <c r="O271" s="268">
        <f>IF(ISNUMBER(O268),SUM(O268:O270),"")</f>
        <v/>
      </c>
      <c r="P271" s="268">
        <f>IF(ISNUMBER(P268),SUM(P268:P270),"")</f>
        <v/>
      </c>
      <c r="Q271" s="268">
        <f>IF(ISNUMBER(Q268),SUM(Q268:Q270),"")</f>
        <v/>
      </c>
      <c r="R271" s="268">
        <f>IF(ISNUMBER(R268),SUM(R268:R270),"")</f>
        <v/>
      </c>
      <c r="S271" s="268">
        <f>IF(ISNUMBER(S268),SUM(S268:S270),"")</f>
        <v/>
      </c>
      <c r="T271" s="268">
        <f>IF(ISNUMBER(T268),SUM(T268:T270),"")</f>
        <v/>
      </c>
      <c r="U271" s="268">
        <f>IF(ISNUMBER(U268),SUM(U268:U270),"")</f>
        <v/>
      </c>
      <c r="V271" s="268">
        <f>IF(ISNUMBER(V268),SUM(V268:V270),"")</f>
        <v/>
      </c>
      <c r="W271" s="268">
        <f>IF(ISNUMBER(W268),SUM(W268:W270),"")</f>
        <v/>
      </c>
      <c r="X271" s="268">
        <f>IF(ISNUMBER(X268),SUM(X268:X270),"")</f>
        <v/>
      </c>
      <c r="Y271" s="268">
        <f>IF(ISNUMBER(Y268),SUM(Y268:Y270),"")</f>
        <v/>
      </c>
      <c r="Z271" s="268">
        <f>IF(ISNUMBER(Z268),SUM(Z268:Z270),"")</f>
        <v/>
      </c>
      <c r="AA271" s="268">
        <f>IF(ISNUMBER(AA268),SUM(AA268:AA270),"")</f>
        <v/>
      </c>
      <c r="AB271" s="268">
        <f>IF(ISNUMBER(AB268),SUM(AB268:AB270),"")</f>
        <v/>
      </c>
      <c r="AC271" s="268">
        <f>IF(ISNUMBER(AC268),SUM(AC268:AC270),"")</f>
        <v/>
      </c>
      <c r="AD271" s="268">
        <f>IF(ISNUMBER(AD268),SUM(AD268:AD270),"")</f>
        <v/>
      </c>
      <c r="AE271" s="268">
        <f>IF(ISNUMBER(AE268),SUM(AE268:AE270),"")</f>
        <v/>
      </c>
      <c r="AF271" s="32" t="n"/>
      <c r="AG271" s="32" t="n"/>
      <c r="AH271" s="269">
        <f>IF(ISNUMBER(AH268),SUM(AH268:AH270),"")</f>
        <v/>
      </c>
      <c r="AI271" s="269">
        <f>IF(ISNUMBER(AI268),SUM(AI268:AI270),"")</f>
        <v/>
      </c>
      <c r="AJ271" s="269">
        <f>IF(ISNUMBER(AJ268),SUM(AJ268:AJ270),"")</f>
        <v/>
      </c>
      <c r="AK271" s="269">
        <f>IF(ISNUMBER(AK268),SUM(AK268:AK270),"")</f>
        <v/>
      </c>
      <c r="AL271" s="269">
        <f>IF(ISNUMBER(AL268),SUM(AL268:AL270),"")</f>
        <v/>
      </c>
      <c r="AM271" s="153" t="n"/>
    </row>
    <row r="272" ht="15" customHeight="1" s="251">
      <c r="B272" s="25" t="inlineStr">
        <is>
          <t xml:space="preserve">  Non-current lease liabilities &amp; other non-current financial liabilities</t>
        </is>
      </c>
      <c r="C272" s="34" t="n"/>
      <c r="D272" s="253" t="n">
        <v>19.174</v>
      </c>
      <c r="E272" s="34" t="n"/>
      <c r="F272" s="34" t="n"/>
      <c r="G272" s="253" t="n">
        <v>160.831</v>
      </c>
      <c r="H272" s="253" t="n">
        <v>167.228</v>
      </c>
      <c r="I272" s="253" t="n">
        <v>167.228</v>
      </c>
      <c r="J272" s="253" t="n">
        <v>169.111</v>
      </c>
      <c r="K272" s="253" t="n">
        <v>176.331</v>
      </c>
      <c r="L272" s="253" t="n">
        <v>345.993</v>
      </c>
      <c r="M272" s="253" t="n">
        <v>138.8</v>
      </c>
      <c r="N272" s="253" t="n">
        <v>138.8</v>
      </c>
      <c r="O272" s="253" t="n">
        <v>149</v>
      </c>
      <c r="P272" s="253" t="n">
        <v>140.9</v>
      </c>
      <c r="Q272" s="253" t="n">
        <v>207.8</v>
      </c>
      <c r="R272" s="253" t="n">
        <v>190.3</v>
      </c>
      <c r="S272" s="253" t="n">
        <v>190.3</v>
      </c>
      <c r="T272" s="253" t="n">
        <v>272.9</v>
      </c>
      <c r="U272" s="253" t="n">
        <v>288.1</v>
      </c>
      <c r="V272" s="253" t="n">
        <v>281.8</v>
      </c>
      <c r="W272" s="253" t="n">
        <v>290.2</v>
      </c>
      <c r="X272" s="253" t="n">
        <v>290.2</v>
      </c>
      <c r="Y272" s="253" t="n">
        <v>281.5</v>
      </c>
      <c r="Z272" s="253" t="n">
        <v>427.6</v>
      </c>
      <c r="AA272" s="253" t="n">
        <v>428.5</v>
      </c>
      <c r="AB272" s="253" t="n">
        <v>443.1</v>
      </c>
      <c r="AC272" s="253" t="n">
        <v>443.1</v>
      </c>
      <c r="AD272" s="253" t="n">
        <v>462.9</v>
      </c>
      <c r="AE272" s="253" t="n">
        <v>480.2</v>
      </c>
      <c r="AF272" s="35" t="n"/>
      <c r="AG272" s="35" t="n"/>
      <c r="AH272" s="254">
        <f>AH307-AH269</f>
        <v/>
      </c>
      <c r="AI272" s="254">
        <f>AI307-AI269</f>
        <v/>
      </c>
      <c r="AJ272" s="254">
        <f>AJ307-AJ269</f>
        <v/>
      </c>
      <c r="AK272" s="254">
        <f>AK307-AK269</f>
        <v/>
      </c>
      <c r="AL272" s="254">
        <f>AL307-AL269</f>
        <v/>
      </c>
      <c r="AM272" s="19" t="n"/>
    </row>
    <row r="273" ht="15" customHeight="1" s="251">
      <c r="B273" s="25" t="inlineStr">
        <is>
          <t xml:space="preserve">  Employee benefit obligations, provisions &amp; deferred tax liabilities</t>
        </is>
      </c>
      <c r="C273" s="34" t="n"/>
      <c r="D273" s="253" t="n">
        <v>31.939</v>
      </c>
      <c r="E273" s="34" t="n"/>
      <c r="F273" s="34" t="n"/>
      <c r="G273" s="253" t="n">
        <v>12.973</v>
      </c>
      <c r="H273" s="253" t="n">
        <v>15.906</v>
      </c>
      <c r="I273" s="253" t="n">
        <v>15.906</v>
      </c>
      <c r="J273" s="253" t="n">
        <v>18.341</v>
      </c>
      <c r="K273" s="253" t="n">
        <v>23.971</v>
      </c>
      <c r="L273" s="253" t="n">
        <v>27.59</v>
      </c>
      <c r="M273" s="253" t="n">
        <v>31.4</v>
      </c>
      <c r="N273" s="253" t="n">
        <v>31.4</v>
      </c>
      <c r="O273" s="253" t="n">
        <v>28.6</v>
      </c>
      <c r="P273" s="253" t="n">
        <v>40.5</v>
      </c>
      <c r="Q273" s="253" t="n">
        <v>31.4</v>
      </c>
      <c r="R273" s="253" t="n">
        <v>22.7</v>
      </c>
      <c r="S273" s="253" t="n">
        <v>22.7</v>
      </c>
      <c r="T273" s="253" t="n">
        <v>22.2</v>
      </c>
      <c r="U273" s="253" t="n">
        <v>22.7</v>
      </c>
      <c r="V273" s="253" t="n">
        <v>23</v>
      </c>
      <c r="W273" s="253" t="n">
        <v>34.3</v>
      </c>
      <c r="X273" s="253" t="n">
        <v>34.3</v>
      </c>
      <c r="Y273" s="253" t="n">
        <v>36.5</v>
      </c>
      <c r="Z273" s="253" t="n">
        <v>33.2</v>
      </c>
      <c r="AA273" s="253" t="n">
        <v>33.2</v>
      </c>
      <c r="AB273" s="253" t="n">
        <v>35.5</v>
      </c>
      <c r="AC273" s="253" t="n">
        <v>35.5</v>
      </c>
      <c r="AD273" s="253" t="n">
        <v>40.40000000000001</v>
      </c>
      <c r="AE273" s="253" t="n">
        <v>41.2</v>
      </c>
      <c r="AF273" s="35" t="n"/>
      <c r="AG273" s="35" t="n"/>
      <c r="AH273" s="254">
        <f>AE273</f>
        <v/>
      </c>
      <c r="AI273" s="254">
        <f>AH273</f>
        <v/>
      </c>
      <c r="AJ273" s="254">
        <f>AI273</f>
        <v/>
      </c>
      <c r="AK273" s="254">
        <f>AJ273</f>
        <v/>
      </c>
      <c r="AL273" s="254">
        <f>AK273</f>
        <v/>
      </c>
      <c r="AM273" s="19" t="n"/>
    </row>
    <row r="274" ht="15" customHeight="1" s="251">
      <c r="B274" s="16" t="inlineStr">
        <is>
          <t>Total liabilities</t>
        </is>
      </c>
      <c r="C274" s="268">
        <f>IF(ISNUMBER(C268),C271+SUM(C272:C273),"")</f>
        <v/>
      </c>
      <c r="D274" s="268">
        <f>IF(ISNUMBER(D268),D271+SUM(D272:D273),"")</f>
        <v/>
      </c>
      <c r="E274" s="268">
        <f>IF(ISNUMBER(E268),E271+SUM(E272:E273),"")</f>
        <v/>
      </c>
      <c r="F274" s="268">
        <f>IF(ISNUMBER(F268),F271+SUM(F272:F273),"")</f>
        <v/>
      </c>
      <c r="G274" s="268">
        <f>IF(ISNUMBER(G268),G271+SUM(G272:G273),"")</f>
        <v/>
      </c>
      <c r="H274" s="268">
        <f>IF(ISNUMBER(H268),H271+SUM(H272:H273),"")</f>
        <v/>
      </c>
      <c r="I274" s="268">
        <f>IF(ISNUMBER(I268),I271+SUM(I272:I273),"")</f>
        <v/>
      </c>
      <c r="J274" s="268">
        <f>IF(ISNUMBER(J268),J271+SUM(J272:J273),"")</f>
        <v/>
      </c>
      <c r="K274" s="268">
        <f>IF(ISNUMBER(K268),K271+SUM(K272:K273),"")</f>
        <v/>
      </c>
      <c r="L274" s="268">
        <f>IF(ISNUMBER(L268),L271+SUM(L272:L273),"")</f>
        <v/>
      </c>
      <c r="M274" s="268">
        <f>IF(ISNUMBER(M268),M271+SUM(M272:M273),"")</f>
        <v/>
      </c>
      <c r="N274" s="268">
        <f>IF(ISNUMBER(N268),N271+SUM(N272:N273),"")</f>
        <v/>
      </c>
      <c r="O274" s="268">
        <f>IF(ISNUMBER(O268),O271+SUM(O272:O273),"")</f>
        <v/>
      </c>
      <c r="P274" s="268">
        <f>IF(ISNUMBER(P268),P271+SUM(P272:P273),"")</f>
        <v/>
      </c>
      <c r="Q274" s="268">
        <f>IF(ISNUMBER(Q268),Q271+SUM(Q272:Q273),"")</f>
        <v/>
      </c>
      <c r="R274" s="268">
        <f>IF(ISNUMBER(R268),R271+SUM(R272:R273),"")</f>
        <v/>
      </c>
      <c r="S274" s="268">
        <f>IF(ISNUMBER(S268),S271+SUM(S272:S273),"")</f>
        <v/>
      </c>
      <c r="T274" s="268">
        <f>IF(ISNUMBER(T268),T271+SUM(T272:T273),"")</f>
        <v/>
      </c>
      <c r="U274" s="268">
        <f>IF(ISNUMBER(U268),U271+SUM(U272:U273),"")</f>
        <v/>
      </c>
      <c r="V274" s="268">
        <f>IF(ISNUMBER(V268),V271+SUM(V272:V273),"")</f>
        <v/>
      </c>
      <c r="W274" s="268">
        <f>IF(ISNUMBER(W268),W271+SUM(W272:W273),"")</f>
        <v/>
      </c>
      <c r="X274" s="268">
        <f>IF(ISNUMBER(X268),X271+SUM(X272:X273),"")</f>
        <v/>
      </c>
      <c r="Y274" s="268">
        <f>IF(ISNUMBER(Y268),Y271+SUM(Y272:Y273),"")</f>
        <v/>
      </c>
      <c r="Z274" s="268">
        <f>IF(ISNUMBER(Z268),Z271+SUM(Z272:Z273),"")</f>
        <v/>
      </c>
      <c r="AA274" s="268">
        <f>IF(ISNUMBER(AA268),AA271+SUM(AA272:AA273),"")</f>
        <v/>
      </c>
      <c r="AB274" s="268">
        <f>IF(ISNUMBER(AB268),AB271+SUM(AB272:AB273),"")</f>
        <v/>
      </c>
      <c r="AC274" s="268">
        <f>IF(ISNUMBER(AC268),AC271+SUM(AC272:AC273),"")</f>
        <v/>
      </c>
      <c r="AD274" s="268">
        <f>IF(ISNUMBER(AD268),AD271+SUM(AD272:AD273),"")</f>
        <v/>
      </c>
      <c r="AE274" s="268">
        <f>IF(ISNUMBER(AE268),AE271+SUM(AE272:AE273),"")</f>
        <v/>
      </c>
      <c r="AF274" s="32" t="n"/>
      <c r="AG274" s="32" t="n"/>
      <c r="AH274" s="269">
        <f>IF(ISNUMBER(AH268),AH271+SUM(AH272:AH273),"")</f>
        <v/>
      </c>
      <c r="AI274" s="269">
        <f>IF(ISNUMBER(AI268),AI271+SUM(AI272:AI273),"")</f>
        <v/>
      </c>
      <c r="AJ274" s="269">
        <f>IF(ISNUMBER(AJ268),AJ271+SUM(AJ272:AJ273),"")</f>
        <v/>
      </c>
      <c r="AK274" s="269">
        <f>IF(ISNUMBER(AK268),AK271+SUM(AK272:AK273),"")</f>
        <v/>
      </c>
      <c r="AL274" s="269">
        <f>IF(ISNUMBER(AL268),AL271+SUM(AL272:AL273),"")</f>
        <v/>
      </c>
      <c r="AM274" s="153" t="n"/>
    </row>
    <row r="275" ht="15" customHeight="1" s="251">
      <c r="B275" s="25" t="inlineStr">
        <is>
          <t>Equity:</t>
        </is>
      </c>
      <c r="AM275" s="153" t="n"/>
    </row>
    <row r="276" ht="15" customHeight="1" s="251">
      <c r="B276" s="25" t="inlineStr">
        <is>
          <t xml:space="preserve">  Share capital, capital reserves &amp; treasury shares</t>
        </is>
      </c>
      <c r="C276" s="34" t="n"/>
      <c r="D276" s="253" t="n">
        <v>278.58</v>
      </c>
      <c r="E276" s="34" t="n"/>
      <c r="F276" s="34" t="n"/>
      <c r="G276" s="253" t="n">
        <v>912.828</v>
      </c>
      <c r="H276" s="253" t="n">
        <v>1052.406</v>
      </c>
      <c r="I276" s="253" t="n">
        <v>1052.406</v>
      </c>
      <c r="J276" s="253" t="n">
        <v>1067.805</v>
      </c>
      <c r="K276" s="253" t="n">
        <v>1071.153</v>
      </c>
      <c r="L276" s="253" t="n">
        <v>1075.441</v>
      </c>
      <c r="M276" s="253" t="n">
        <v>1112.5</v>
      </c>
      <c r="N276" s="253" t="n">
        <v>1112.5</v>
      </c>
      <c r="O276" s="253" t="n">
        <v>1117</v>
      </c>
      <c r="P276" s="253" t="n">
        <v>1125.7</v>
      </c>
      <c r="Q276" s="253" t="n">
        <v>1132.5</v>
      </c>
      <c r="R276" s="253" t="n">
        <v>1147.6</v>
      </c>
      <c r="S276" s="253" t="n">
        <v>1147.6</v>
      </c>
      <c r="T276" s="253" t="n">
        <v>1159.7</v>
      </c>
      <c r="U276" s="253" t="n">
        <v>1176.5</v>
      </c>
      <c r="V276" s="253" t="n">
        <v>1199.5</v>
      </c>
      <c r="W276" s="253" t="n">
        <v>1216.9</v>
      </c>
      <c r="X276" s="253" t="n">
        <v>1216.9</v>
      </c>
      <c r="Y276" s="253" t="n">
        <v>1234.7</v>
      </c>
      <c r="Z276" s="253" t="n">
        <v>1249.9</v>
      </c>
      <c r="AA276" s="253" t="n">
        <v>1275.2</v>
      </c>
      <c r="AB276" s="253" t="n">
        <v>1296.4</v>
      </c>
      <c r="AC276" s="253" t="n">
        <v>1296.4</v>
      </c>
      <c r="AD276" s="253" t="n">
        <v>1313.6</v>
      </c>
      <c r="AE276" s="253" t="n">
        <v>1332.4</v>
      </c>
      <c r="AF276" s="35" t="n"/>
      <c r="AG276" s="35" t="n"/>
      <c r="AH276" s="254">
        <f>AE276+(AH212-(AD212+AE212))+(AH221-(AD221+AE221))+AH222</f>
        <v/>
      </c>
      <c r="AI276" s="254">
        <f>AH276+AI212+AI221+AI222</f>
        <v/>
      </c>
      <c r="AJ276" s="254">
        <f>AI276+AJ212+AJ221+AJ222</f>
        <v/>
      </c>
      <c r="AK276" s="254">
        <f>AJ276+AK212+AK221+AK222</f>
        <v/>
      </c>
      <c r="AL276" s="254">
        <f>AK276+AL212+AL221+AL222</f>
        <v/>
      </c>
      <c r="AM276" s="19" t="inlineStr">
        <is>
          <t>+ share-based compensation + treasury-share sales − repurchases (held as treasury shares).</t>
        </is>
      </c>
    </row>
    <row r="277" ht="15" customHeight="1" s="251">
      <c r="B277" s="25" t="inlineStr">
        <is>
          <t xml:space="preserve">  Other reserves (translation, actuarial)</t>
        </is>
      </c>
      <c r="C277" s="34" t="n"/>
      <c r="D277" s="253" t="n">
        <v>-3.11</v>
      </c>
      <c r="E277" s="34" t="n"/>
      <c r="F277" s="34" t="n"/>
      <c r="G277" s="253" t="n">
        <v>-2.619</v>
      </c>
      <c r="H277" s="253" t="n">
        <v>-3.422</v>
      </c>
      <c r="I277" s="253" t="n">
        <v>-3.422</v>
      </c>
      <c r="J277" s="253" t="n">
        <v>-3.227</v>
      </c>
      <c r="K277" s="253" t="n">
        <v>1.847</v>
      </c>
      <c r="L277" s="253" t="n">
        <v>1.97</v>
      </c>
      <c r="M277" s="253" t="n">
        <v>0</v>
      </c>
      <c r="N277" s="253" t="n">
        <v>0</v>
      </c>
      <c r="O277" s="253" t="n">
        <v>0.4</v>
      </c>
      <c r="P277" s="253" t="n">
        <v>-3.7</v>
      </c>
      <c r="Q277" s="253" t="n">
        <v>-2.3</v>
      </c>
      <c r="R277" s="253" t="n">
        <v>-9.800000000000001</v>
      </c>
      <c r="S277" s="253" t="n">
        <v>-9.800000000000001</v>
      </c>
      <c r="T277" s="253" t="n">
        <v>-4.9</v>
      </c>
      <c r="U277" s="253" t="n">
        <v>-4.4</v>
      </c>
      <c r="V277" s="253" t="n">
        <v>-23.6</v>
      </c>
      <c r="W277" s="253" t="n">
        <v>-4</v>
      </c>
      <c r="X277" s="253" t="n">
        <v>-4</v>
      </c>
      <c r="Y277" s="253" t="n">
        <v>-12.9</v>
      </c>
      <c r="Z277" s="253" t="n">
        <v>-47.6</v>
      </c>
      <c r="AA277" s="253" t="n">
        <v>-47.6</v>
      </c>
      <c r="AB277" s="253" t="n">
        <v>-46.6</v>
      </c>
      <c r="AC277" s="253" t="n">
        <v>-46.6</v>
      </c>
      <c r="AD277" s="253" t="n">
        <v>-27.7</v>
      </c>
      <c r="AE277" s="253" t="n">
        <v>-12</v>
      </c>
      <c r="AF277" s="35" t="n"/>
      <c r="AG277" s="35" t="n"/>
      <c r="AH277" s="254">
        <f>AE277+(AH226-(AD226+AE226))</f>
        <v/>
      </c>
      <c r="AI277" s="254">
        <f>AH277+AI226</f>
        <v/>
      </c>
      <c r="AJ277" s="254">
        <f>AI277+AJ226</f>
        <v/>
      </c>
      <c r="AK277" s="254">
        <f>AJ277+AK226</f>
        <v/>
      </c>
      <c r="AL277" s="254">
        <f>AK277+AL226</f>
        <v/>
      </c>
      <c r="AM277" s="19" t="n"/>
    </row>
    <row r="278" ht="15" customHeight="1" s="251">
      <c r="B278" s="25" t="inlineStr">
        <is>
          <t xml:space="preserve">  Retained earnings (accumulated losses)</t>
        </is>
      </c>
      <c r="C278" s="34" t="n"/>
      <c r="D278" s="253" t="n">
        <v>-30.377</v>
      </c>
      <c r="E278" s="34" t="n"/>
      <c r="F278" s="34" t="n"/>
      <c r="G278" s="253" t="n">
        <v>-13.626</v>
      </c>
      <c r="H278" s="253" t="n">
        <v>-200.604</v>
      </c>
      <c r="I278" s="253" t="n">
        <v>-200.604</v>
      </c>
      <c r="J278" s="253" t="n">
        <v>-186.261</v>
      </c>
      <c r="K278" s="253" t="n">
        <v>-137.113</v>
      </c>
      <c r="L278" s="253" t="n">
        <v>-116.482</v>
      </c>
      <c r="M278" s="253" t="n">
        <v>-142.9</v>
      </c>
      <c r="N278" s="253" t="n">
        <v>-142.9</v>
      </c>
      <c r="O278" s="253" t="n">
        <v>-98.5</v>
      </c>
      <c r="P278" s="253" t="n">
        <v>-95.2</v>
      </c>
      <c r="Q278" s="253" t="n">
        <v>-36.6</v>
      </c>
      <c r="R278" s="253" t="n">
        <v>-63.3</v>
      </c>
      <c r="S278" s="253" t="n">
        <v>-63.3</v>
      </c>
      <c r="T278" s="253" t="n">
        <v>28</v>
      </c>
      <c r="U278" s="253" t="n">
        <v>58.9</v>
      </c>
      <c r="V278" s="253" t="n">
        <v>89.40000000000001</v>
      </c>
      <c r="W278" s="253" t="n">
        <v>178.9</v>
      </c>
      <c r="X278" s="253" t="n">
        <v>178.9</v>
      </c>
      <c r="Y278" s="253" t="n">
        <v>235.6</v>
      </c>
      <c r="Z278" s="253" t="n">
        <v>194.7</v>
      </c>
      <c r="AA278" s="253" t="n">
        <v>313.6</v>
      </c>
      <c r="AB278" s="253" t="n">
        <v>382.6</v>
      </c>
      <c r="AC278" s="253" t="n">
        <v>382.6</v>
      </c>
      <c r="AD278" s="253" t="n">
        <v>485.9</v>
      </c>
      <c r="AE278" s="253" t="n">
        <v>590.9</v>
      </c>
      <c r="AF278" s="35" t="n"/>
      <c r="AG278" s="35" t="n"/>
      <c r="AH278" s="254">
        <f>AE278+(AF122+AG122)</f>
        <v/>
      </c>
      <c r="AI278" s="254">
        <f>AH278+AI122</f>
        <v/>
      </c>
      <c r="AJ278" s="254">
        <f>AI278+AJ122</f>
        <v/>
      </c>
      <c r="AK278" s="254">
        <f>AJ278+AK122</f>
        <v/>
      </c>
      <c r="AL278" s="254">
        <f>AK278+AL122</f>
        <v/>
      </c>
      <c r="AM278" s="19" t="inlineStr">
        <is>
          <t>+ net income (no dividends).</t>
        </is>
      </c>
    </row>
    <row r="279" ht="15" customHeight="1" s="251">
      <c r="B279" s="16" t="inlineStr">
        <is>
          <t>Total equity</t>
        </is>
      </c>
      <c r="C279" s="268">
        <f>IF(ISNUMBER(C276),SUM(C276:C278),"")</f>
        <v/>
      </c>
      <c r="D279" s="268">
        <f>IF(ISNUMBER(D276),SUM(D276:D278),"")</f>
        <v/>
      </c>
      <c r="E279" s="268">
        <f>IF(ISNUMBER(E276),SUM(E276:E278),"")</f>
        <v/>
      </c>
      <c r="F279" s="268">
        <f>IF(ISNUMBER(F276),SUM(F276:F278),"")</f>
        <v/>
      </c>
      <c r="G279" s="268">
        <f>IF(ISNUMBER(G276),SUM(G276:G278),"")</f>
        <v/>
      </c>
      <c r="H279" s="268">
        <f>IF(ISNUMBER(H276),SUM(H276:H278),"")</f>
        <v/>
      </c>
      <c r="I279" s="268">
        <f>IF(ISNUMBER(I276),SUM(I276:I278),"")</f>
        <v/>
      </c>
      <c r="J279" s="268">
        <f>IF(ISNUMBER(J276),SUM(J276:J278),"")</f>
        <v/>
      </c>
      <c r="K279" s="268">
        <f>IF(ISNUMBER(K276),SUM(K276:K278),"")</f>
        <v/>
      </c>
      <c r="L279" s="268">
        <f>IF(ISNUMBER(L276),SUM(L276:L278),"")</f>
        <v/>
      </c>
      <c r="M279" s="268">
        <f>IF(ISNUMBER(M276),SUM(M276:M278),"")</f>
        <v/>
      </c>
      <c r="N279" s="268">
        <f>IF(ISNUMBER(N276),SUM(N276:N278),"")</f>
        <v/>
      </c>
      <c r="O279" s="268">
        <f>IF(ISNUMBER(O276),SUM(O276:O278),"")</f>
        <v/>
      </c>
      <c r="P279" s="268">
        <f>IF(ISNUMBER(P276),SUM(P276:P278),"")</f>
        <v/>
      </c>
      <c r="Q279" s="268">
        <f>IF(ISNUMBER(Q276),SUM(Q276:Q278),"")</f>
        <v/>
      </c>
      <c r="R279" s="268">
        <f>IF(ISNUMBER(R276),SUM(R276:R278),"")</f>
        <v/>
      </c>
      <c r="S279" s="268">
        <f>IF(ISNUMBER(S276),SUM(S276:S278),"")</f>
        <v/>
      </c>
      <c r="T279" s="268">
        <f>IF(ISNUMBER(T276),SUM(T276:T278),"")</f>
        <v/>
      </c>
      <c r="U279" s="268">
        <f>IF(ISNUMBER(U276),SUM(U276:U278),"")</f>
        <v/>
      </c>
      <c r="V279" s="268">
        <f>IF(ISNUMBER(V276),SUM(V276:V278),"")</f>
        <v/>
      </c>
      <c r="W279" s="268">
        <f>IF(ISNUMBER(W276),SUM(W276:W278),"")</f>
        <v/>
      </c>
      <c r="X279" s="268">
        <f>IF(ISNUMBER(X276),SUM(X276:X278),"")</f>
        <v/>
      </c>
      <c r="Y279" s="268">
        <f>IF(ISNUMBER(Y276),SUM(Y276:Y278),"")</f>
        <v/>
      </c>
      <c r="Z279" s="268">
        <f>IF(ISNUMBER(Z276),SUM(Z276:Z278),"")</f>
        <v/>
      </c>
      <c r="AA279" s="268">
        <f>IF(ISNUMBER(AA276),SUM(AA276:AA278),"")</f>
        <v/>
      </c>
      <c r="AB279" s="268">
        <f>IF(ISNUMBER(AB276),SUM(AB276:AB278),"")</f>
        <v/>
      </c>
      <c r="AC279" s="268">
        <f>IF(ISNUMBER(AC276),SUM(AC276:AC278),"")</f>
        <v/>
      </c>
      <c r="AD279" s="268">
        <f>IF(ISNUMBER(AD276),SUM(AD276:AD278),"")</f>
        <v/>
      </c>
      <c r="AE279" s="268">
        <f>IF(ISNUMBER(AE276),SUM(AE276:AE278),"")</f>
        <v/>
      </c>
      <c r="AF279" s="32" t="n"/>
      <c r="AG279" s="32" t="n"/>
      <c r="AH279" s="269">
        <f>IF(ISNUMBER(AH276),SUM(AH276:AH278),"")</f>
        <v/>
      </c>
      <c r="AI279" s="269">
        <f>IF(ISNUMBER(AI276),SUM(AI276:AI278),"")</f>
        <v/>
      </c>
      <c r="AJ279" s="269">
        <f>IF(ISNUMBER(AJ276),SUM(AJ276:AJ278),"")</f>
        <v/>
      </c>
      <c r="AK279" s="269">
        <f>IF(ISNUMBER(AK276),SUM(AK276:AK278),"")</f>
        <v/>
      </c>
      <c r="AL279" s="269">
        <f>IF(ISNUMBER(AL276),SUM(AL276:AL278),"")</f>
        <v/>
      </c>
      <c r="AM279" s="153" t="n"/>
      <c r="AO279" s="20">
        <f>IFERROR((AL279/AC279)^(1/5)-1,"n/m")</f>
        <v/>
      </c>
      <c r="AP279" s="20">
        <f>IFERROR((AC279/D279)^(1/5)-1,"n/m")</f>
        <v/>
      </c>
      <c r="AQ279" s="20">
        <f>IFERROR((AC279/N279)^(1/3)-1,"n/m")</f>
        <v/>
      </c>
      <c r="AR279" s="20">
        <f>IFERROR((AC279/C279)^(1/6)-1,"n/m")</f>
        <v/>
      </c>
    </row>
    <row r="280" ht="15" customHeight="1" s="251">
      <c r="B280" s="55" t="inlineStr">
        <is>
          <t>TOTAL LIABILITIES AND EQUITY</t>
        </is>
      </c>
      <c r="C280" s="263">
        <f>IF(ISNUMBER(C274),C274+C279,"")</f>
        <v/>
      </c>
      <c r="D280" s="263">
        <f>IF(ISNUMBER(D274),D274+D279,"")</f>
        <v/>
      </c>
      <c r="E280" s="263">
        <f>IF(ISNUMBER(E274),E274+E279,"")</f>
        <v/>
      </c>
      <c r="F280" s="263">
        <f>IF(ISNUMBER(F274),F274+F279,"")</f>
        <v/>
      </c>
      <c r="G280" s="263">
        <f>IF(ISNUMBER(G274),G274+G279,"")</f>
        <v/>
      </c>
      <c r="H280" s="263">
        <f>IF(ISNUMBER(H274),H274+H279,"")</f>
        <v/>
      </c>
      <c r="I280" s="263">
        <f>IF(ISNUMBER(I274),I274+I279,"")</f>
        <v/>
      </c>
      <c r="J280" s="263">
        <f>IF(ISNUMBER(J274),J274+J279,"")</f>
        <v/>
      </c>
      <c r="K280" s="263">
        <f>IF(ISNUMBER(K274),K274+K279,"")</f>
        <v/>
      </c>
      <c r="L280" s="263">
        <f>IF(ISNUMBER(L274),L274+L279,"")</f>
        <v/>
      </c>
      <c r="M280" s="263">
        <f>IF(ISNUMBER(M274),M274+M279,"")</f>
        <v/>
      </c>
      <c r="N280" s="263">
        <f>IF(ISNUMBER(N274),N274+N279,"")</f>
        <v/>
      </c>
      <c r="O280" s="263">
        <f>IF(ISNUMBER(O274),O274+O279,"")</f>
        <v/>
      </c>
      <c r="P280" s="263">
        <f>IF(ISNUMBER(P274),P274+P279,"")</f>
        <v/>
      </c>
      <c r="Q280" s="263">
        <f>IF(ISNUMBER(Q274),Q274+Q279,"")</f>
        <v/>
      </c>
      <c r="R280" s="263">
        <f>IF(ISNUMBER(R274),R274+R279,"")</f>
        <v/>
      </c>
      <c r="S280" s="263">
        <f>IF(ISNUMBER(S274),S274+S279,"")</f>
        <v/>
      </c>
      <c r="T280" s="263">
        <f>IF(ISNUMBER(T274),T274+T279,"")</f>
        <v/>
      </c>
      <c r="U280" s="263">
        <f>IF(ISNUMBER(U274),U274+U279,"")</f>
        <v/>
      </c>
      <c r="V280" s="263">
        <f>IF(ISNUMBER(V274),V274+V279,"")</f>
        <v/>
      </c>
      <c r="W280" s="263">
        <f>IF(ISNUMBER(W274),W274+W279,"")</f>
        <v/>
      </c>
      <c r="X280" s="263">
        <f>IF(ISNUMBER(X274),X274+X279,"")</f>
        <v/>
      </c>
      <c r="Y280" s="263">
        <f>IF(ISNUMBER(Y274),Y274+Y279,"")</f>
        <v/>
      </c>
      <c r="Z280" s="263">
        <f>IF(ISNUMBER(Z274),Z274+Z279,"")</f>
        <v/>
      </c>
      <c r="AA280" s="263">
        <f>IF(ISNUMBER(AA274),AA274+AA279,"")</f>
        <v/>
      </c>
      <c r="AB280" s="263">
        <f>IF(ISNUMBER(AB274),AB274+AB279,"")</f>
        <v/>
      </c>
      <c r="AC280" s="263">
        <f>IF(ISNUMBER(AC274),AC274+AC279,"")</f>
        <v/>
      </c>
      <c r="AD280" s="263">
        <f>IF(ISNUMBER(AD274),AD274+AD279,"")</f>
        <v/>
      </c>
      <c r="AE280" s="263">
        <f>IF(ISNUMBER(AE274),AE274+AE279,"")</f>
        <v/>
      </c>
      <c r="AF280" s="56" t="n"/>
      <c r="AG280" s="56" t="n"/>
      <c r="AH280" s="263">
        <f>IF(ISNUMBER(AH274),AH274+AH279,"")</f>
        <v/>
      </c>
      <c r="AI280" s="263">
        <f>IF(ISNUMBER(AI274),AI274+AI279,"")</f>
        <v/>
      </c>
      <c r="AJ280" s="263">
        <f>IF(ISNUMBER(AJ274),AJ274+AJ279,"")</f>
        <v/>
      </c>
      <c r="AK280" s="263">
        <f>IF(ISNUMBER(AK274),AK274+AK279,"")</f>
        <v/>
      </c>
      <c r="AL280" s="263">
        <f>IF(ISNUMBER(AL274),AL274+AL279,"")</f>
        <v/>
      </c>
      <c r="AM280" s="153" t="n"/>
    </row>
    <row r="281" ht="15" customHeight="1" s="251">
      <c r="B281" s="57" t="inlineStr">
        <is>
          <t>BS tie-out check (TA − TL&amp;E; ±0.4 rounding of one-decimal lines)</t>
        </is>
      </c>
      <c r="C281" s="261">
        <f>IF(ISNUMBER(C266),IF(ABS(C266-C280)&lt;=0.45,0,ROUND(C266-C280,2)),"")</f>
        <v/>
      </c>
      <c r="D281" s="261">
        <f>IF(ISNUMBER(D266),IF(ABS(D266-D280)&lt;=0.45,0,ROUND(D266-D280,2)),"")</f>
        <v/>
      </c>
      <c r="E281" s="261">
        <f>IF(ISNUMBER(E266),IF(ABS(E266-E280)&lt;=0.45,0,ROUND(E266-E280,2)),"")</f>
        <v/>
      </c>
      <c r="F281" s="261">
        <f>IF(ISNUMBER(F266),IF(ABS(F266-F280)&lt;=0.45,0,ROUND(F266-F280,2)),"")</f>
        <v/>
      </c>
      <c r="G281" s="261">
        <f>IF(ISNUMBER(G266),IF(ABS(G266-G280)&lt;=0.45,0,ROUND(G266-G280,2)),"")</f>
        <v/>
      </c>
      <c r="H281" s="261">
        <f>IF(ISNUMBER(H266),IF(ABS(H266-H280)&lt;=0.45,0,ROUND(H266-H280,2)),"")</f>
        <v/>
      </c>
      <c r="I281" s="261">
        <f>IF(ISNUMBER(I266),IF(ABS(I266-I280)&lt;=0.45,0,ROUND(I266-I280,2)),"")</f>
        <v/>
      </c>
      <c r="J281" s="261">
        <f>IF(ISNUMBER(J266),IF(ABS(J266-J280)&lt;=0.45,0,ROUND(J266-J280,2)),"")</f>
        <v/>
      </c>
      <c r="K281" s="261">
        <f>IF(ISNUMBER(K266),IF(ABS(K266-K280)&lt;=0.45,0,ROUND(K266-K280,2)),"")</f>
        <v/>
      </c>
      <c r="L281" s="261">
        <f>IF(ISNUMBER(L266),IF(ABS(L266-L280)&lt;=0.45,0,ROUND(L266-L280,2)),"")</f>
        <v/>
      </c>
      <c r="M281" s="261">
        <f>IF(ISNUMBER(M266),IF(ABS(M266-M280)&lt;=0.45,0,ROUND(M266-M280,2)),"")</f>
        <v/>
      </c>
      <c r="N281" s="261">
        <f>IF(ISNUMBER(N266),IF(ABS(N266-N280)&lt;=0.45,0,ROUND(N266-N280,2)),"")</f>
        <v/>
      </c>
      <c r="O281" s="261">
        <f>IF(ISNUMBER(O266),IF(ABS(O266-O280)&lt;=0.45,0,ROUND(O266-O280,2)),"")</f>
        <v/>
      </c>
      <c r="P281" s="261">
        <f>IF(ISNUMBER(P266),IF(ABS(P266-P280)&lt;=0.45,0,ROUND(P266-P280,2)),"")</f>
        <v/>
      </c>
      <c r="Q281" s="261">
        <f>IF(ISNUMBER(Q266),IF(ABS(Q266-Q280)&lt;=0.45,0,ROUND(Q266-Q280,2)),"")</f>
        <v/>
      </c>
      <c r="R281" s="261">
        <f>IF(ISNUMBER(R266),IF(ABS(R266-R280)&lt;=0.45,0,ROUND(R266-R280,2)),"")</f>
        <v/>
      </c>
      <c r="S281" s="261">
        <f>IF(ISNUMBER(S266),IF(ABS(S266-S280)&lt;=0.45,0,ROUND(S266-S280,2)),"")</f>
        <v/>
      </c>
      <c r="T281" s="261">
        <f>IF(ISNUMBER(T266),IF(ABS(T266-T280)&lt;=0.45,0,ROUND(T266-T280,2)),"")</f>
        <v/>
      </c>
      <c r="U281" s="261">
        <f>IF(ISNUMBER(U266),IF(ABS(U266-U280)&lt;=0.45,0,ROUND(U266-U280,2)),"")</f>
        <v/>
      </c>
      <c r="V281" s="261">
        <f>IF(ISNUMBER(V266),IF(ABS(V266-V280)&lt;=0.45,0,ROUND(V266-V280,2)),"")</f>
        <v/>
      </c>
      <c r="W281" s="261">
        <f>IF(ISNUMBER(W266),IF(ABS(W266-W280)&lt;=0.45,0,ROUND(W266-W280,2)),"")</f>
        <v/>
      </c>
      <c r="X281" s="261">
        <f>IF(ISNUMBER(X266),IF(ABS(X266-X280)&lt;=0.45,0,ROUND(X266-X280,2)),"")</f>
        <v/>
      </c>
      <c r="Y281" s="261">
        <f>IF(ISNUMBER(Y266),IF(ABS(Y266-Y280)&lt;=0.45,0,ROUND(Y266-Y280,2)),"")</f>
        <v/>
      </c>
      <c r="Z281" s="261">
        <f>IF(ISNUMBER(Z266),IF(ABS(Z266-Z280)&lt;=0.45,0,ROUND(Z266-Z280,2)),"")</f>
        <v/>
      </c>
      <c r="AA281" s="261">
        <f>IF(ISNUMBER(AA266),IF(ABS(AA266-AA280)&lt;=0.45,0,ROUND(AA266-AA280,2)),"")</f>
        <v/>
      </c>
      <c r="AB281" s="261">
        <f>IF(ISNUMBER(AB266),IF(ABS(AB266-AB280)&lt;=0.45,0,ROUND(AB266-AB280,2)),"")</f>
        <v/>
      </c>
      <c r="AC281" s="261">
        <f>IF(ISNUMBER(AC266),IF(ABS(AC266-AC280)&lt;=0.45,0,ROUND(AC266-AC280,2)),"")</f>
        <v/>
      </c>
      <c r="AD281" s="261">
        <f>IF(ISNUMBER(AD266),IF(ABS(AD266-AD280)&lt;=0.45,0,ROUND(AD266-AD280,2)),"")</f>
        <v/>
      </c>
      <c r="AE281" s="261">
        <f>IF(ISNUMBER(AE266),IF(ABS(AE266-AE280)&lt;=0.45,0,ROUND(AE266-AE280,2)),"")</f>
        <v/>
      </c>
      <c r="AF281" s="153" t="n"/>
      <c r="AG281" s="153" t="n"/>
      <c r="AH281" s="264">
        <f>IF(ISNUMBER(AH266),IF(ABS(AH266-AH280)&lt;=0.45,0,ROUND(AH266-AH280,2)),"")</f>
        <v/>
      </c>
      <c r="AI281" s="264">
        <f>IF(ISNUMBER(AI266),IF(ABS(AI266-AI280)&lt;=0.45,0,ROUND(AI266-AI280,2)),"")</f>
        <v/>
      </c>
      <c r="AJ281" s="264">
        <f>IF(ISNUMBER(AJ266),IF(ABS(AJ266-AJ280)&lt;=0.45,0,ROUND(AJ266-AJ280,2)),"")</f>
        <v/>
      </c>
      <c r="AK281" s="264">
        <f>IF(ISNUMBER(AK266),IF(ABS(AK266-AK280)&lt;=0.45,0,ROUND(AK266-AK280,2)),"")</f>
        <v/>
      </c>
      <c r="AL281" s="264">
        <f>IF(ISNUMBER(AL266),IF(ABS(AL266-AL280)&lt;=0.45,0,ROUND(AL266-AL280,2)),"")</f>
        <v/>
      </c>
      <c r="AM281" s="153" t="n"/>
    </row>
    <row r="282" ht="15" customHeight="1" s="251">
      <c r="B282" s="57" t="inlineStr">
        <is>
          <t xml:space="preserve">  Check: model total assets vs reported (should be 0; ±0.3 rounding)</t>
        </is>
      </c>
      <c r="C282" s="261">
        <f>IF(ISNUMBER(C283),IF(ABS(C266-C283)&lt;=0.35,0,ROUND(C266-C283,2)),"")</f>
        <v/>
      </c>
      <c r="D282" s="261">
        <f>IF(ISNUMBER(D283),IF(ABS(D266-D283)&lt;=0.35,0,ROUND(D266-D283,2)),"")</f>
        <v/>
      </c>
      <c r="E282" s="261">
        <f>IF(ISNUMBER(E283),IF(ABS(E266-E283)&lt;=0.35,0,ROUND(E266-E283,2)),"")</f>
        <v/>
      </c>
      <c r="F282" s="261">
        <f>IF(ISNUMBER(F283),IF(ABS(F266-F283)&lt;=0.35,0,ROUND(F266-F283,2)),"")</f>
        <v/>
      </c>
      <c r="G282" s="261">
        <f>IF(ISNUMBER(G283),IF(ABS(G266-G283)&lt;=0.35,0,ROUND(G266-G283,2)),"")</f>
        <v/>
      </c>
      <c r="H282" s="261">
        <f>IF(ISNUMBER(H283),IF(ABS(H266-H283)&lt;=0.35,0,ROUND(H266-H283,2)),"")</f>
        <v/>
      </c>
      <c r="I282" s="261">
        <f>IF(ISNUMBER(I283),IF(ABS(I266-I283)&lt;=0.35,0,ROUND(I266-I283,2)),"")</f>
        <v/>
      </c>
      <c r="J282" s="261">
        <f>IF(ISNUMBER(J283),IF(ABS(J266-J283)&lt;=0.35,0,ROUND(J266-J283,2)),"")</f>
        <v/>
      </c>
      <c r="K282" s="261">
        <f>IF(ISNUMBER(K283),IF(ABS(K266-K283)&lt;=0.35,0,ROUND(K266-K283,2)),"")</f>
        <v/>
      </c>
      <c r="L282" s="261">
        <f>IF(ISNUMBER(L283),IF(ABS(L266-L283)&lt;=0.35,0,ROUND(L266-L283,2)),"")</f>
        <v/>
      </c>
      <c r="M282" s="261">
        <f>IF(ISNUMBER(M283),IF(ABS(M266-M283)&lt;=0.35,0,ROUND(M266-M283,2)),"")</f>
        <v/>
      </c>
      <c r="N282" s="261">
        <f>IF(ISNUMBER(N283),IF(ABS(N266-N283)&lt;=0.35,0,ROUND(N266-N283,2)),"")</f>
        <v/>
      </c>
      <c r="O282" s="261">
        <f>IF(ISNUMBER(O283),IF(ABS(O266-O283)&lt;=0.35,0,ROUND(O266-O283,2)),"")</f>
        <v/>
      </c>
      <c r="P282" s="261">
        <f>IF(ISNUMBER(P283),IF(ABS(P266-P283)&lt;=0.35,0,ROUND(P266-P283,2)),"")</f>
        <v/>
      </c>
      <c r="Q282" s="261">
        <f>IF(ISNUMBER(Q283),IF(ABS(Q266-Q283)&lt;=0.35,0,ROUND(Q266-Q283,2)),"")</f>
        <v/>
      </c>
      <c r="R282" s="261">
        <f>IF(ISNUMBER(R283),IF(ABS(R266-R283)&lt;=0.35,0,ROUND(R266-R283,2)),"")</f>
        <v/>
      </c>
      <c r="S282" s="261">
        <f>IF(ISNUMBER(S283),IF(ABS(S266-S283)&lt;=0.35,0,ROUND(S266-S283,2)),"")</f>
        <v/>
      </c>
      <c r="T282" s="261">
        <f>IF(ISNUMBER(T283),IF(ABS(T266-T283)&lt;=0.35,0,ROUND(T266-T283,2)),"")</f>
        <v/>
      </c>
      <c r="U282" s="261">
        <f>IF(ISNUMBER(U283),IF(ABS(U266-U283)&lt;=0.35,0,ROUND(U266-U283,2)),"")</f>
        <v/>
      </c>
      <c r="V282" s="261">
        <f>IF(ISNUMBER(V283),IF(ABS(V266-V283)&lt;=0.35,0,ROUND(V266-V283,2)),"")</f>
        <v/>
      </c>
      <c r="W282" s="261">
        <f>IF(ISNUMBER(W283),IF(ABS(W266-W283)&lt;=0.35,0,ROUND(W266-W283,2)),"")</f>
        <v/>
      </c>
      <c r="X282" s="261">
        <f>IF(ISNUMBER(X283),IF(ABS(X266-X283)&lt;=0.35,0,ROUND(X266-X283,2)),"")</f>
        <v/>
      </c>
      <c r="Y282" s="261">
        <f>IF(ISNUMBER(Y283),IF(ABS(Y266-Y283)&lt;=0.35,0,ROUND(Y266-Y283,2)),"")</f>
        <v/>
      </c>
      <c r="Z282" s="261">
        <f>IF(ISNUMBER(Z283),IF(ABS(Z266-Z283)&lt;=0.35,0,ROUND(Z266-Z283,2)),"")</f>
        <v/>
      </c>
      <c r="AA282" s="261">
        <f>IF(ISNUMBER(AA283),IF(ABS(AA266-AA283)&lt;=0.35,0,ROUND(AA266-AA283,2)),"")</f>
        <v/>
      </c>
      <c r="AB282" s="261">
        <f>IF(ISNUMBER(AB283),IF(ABS(AB266-AB283)&lt;=0.35,0,ROUND(AB266-AB283,2)),"")</f>
        <v/>
      </c>
      <c r="AC282" s="261">
        <f>IF(ISNUMBER(AC283),IF(ABS(AC266-AC283)&lt;=0.35,0,ROUND(AC266-AC283,2)),"")</f>
        <v/>
      </c>
      <c r="AD282" s="261">
        <f>IF(ISNUMBER(AD283),IF(ABS(AD266-AD283)&lt;=0.35,0,ROUND(AD266-AD283,2)),"")</f>
        <v/>
      </c>
      <c r="AE282" s="261">
        <f>IF(ISNUMBER(AE283),IF(ABS(AE266-AE283)&lt;=0.35,0,ROUND(AE266-AE283,2)),"")</f>
        <v/>
      </c>
      <c r="AF282" s="153" t="n"/>
      <c r="AG282" s="153" t="n"/>
      <c r="AH282" s="153" t="n"/>
      <c r="AI282" s="153" t="n"/>
      <c r="AJ282" s="153" t="n"/>
      <c r="AK282" s="153" t="n"/>
      <c r="AL282" s="153" t="n"/>
      <c r="AM282" s="153" t="n"/>
    </row>
    <row r="283" ht="15" customHeight="1" s="251">
      <c r="B283" s="156" t="inlineStr">
        <is>
          <t xml:space="preserve">  Memo: total assets as reported</t>
        </is>
      </c>
      <c r="C283" s="34" t="n"/>
      <c r="D283" s="253" t="n">
        <v>382.569</v>
      </c>
      <c r="E283" s="34" t="n"/>
      <c r="F283" s="34" t="n"/>
      <c r="G283" s="253" t="n">
        <v>1259.525</v>
      </c>
      <c r="H283" s="253" t="n">
        <v>1236.524</v>
      </c>
      <c r="I283" s="253" t="n">
        <v>1236.524</v>
      </c>
      <c r="J283" s="253" t="n">
        <v>1303.454</v>
      </c>
      <c r="K283" s="253" t="n">
        <v>1372.243</v>
      </c>
      <c r="L283" s="253" t="n">
        <v>1531.214</v>
      </c>
      <c r="M283" s="253" t="n">
        <v>1382.4</v>
      </c>
      <c r="N283" s="253" t="n">
        <v>1382.4</v>
      </c>
      <c r="O283" s="253" t="n">
        <v>1544.3</v>
      </c>
      <c r="P283" s="253" t="n">
        <v>1537.1</v>
      </c>
      <c r="Q283" s="253" t="n">
        <v>1705.4</v>
      </c>
      <c r="R283" s="253" t="n">
        <v>1593</v>
      </c>
      <c r="S283" s="253" t="n">
        <v>1593</v>
      </c>
      <c r="T283" s="253" t="n">
        <v>1886.9</v>
      </c>
      <c r="U283" s="253" t="n">
        <v>2045.8</v>
      </c>
      <c r="V283" s="253" t="n">
        <v>2105.1</v>
      </c>
      <c r="W283" s="253" t="n">
        <v>2376.7</v>
      </c>
      <c r="X283" s="253" t="n">
        <v>2376.7</v>
      </c>
      <c r="Y283" s="253" t="n">
        <v>2418.8</v>
      </c>
      <c r="Z283" s="253" t="n">
        <v>2543.6</v>
      </c>
      <c r="AA283" s="253" t="n">
        <v>2751.6</v>
      </c>
      <c r="AB283" s="253" t="n">
        <v>2835.4</v>
      </c>
      <c r="AC283" s="253" t="n">
        <v>2835.4</v>
      </c>
      <c r="AD283" s="253" t="n">
        <v>2963.7</v>
      </c>
      <c r="AE283" s="253" t="n">
        <v>3242.9</v>
      </c>
      <c r="AF283" s="153" t="n"/>
      <c r="AG283" s="153" t="n"/>
      <c r="AH283" s="153" t="n"/>
      <c r="AI283" s="153" t="n"/>
      <c r="AJ283" s="153" t="n"/>
      <c r="AK283" s="153" t="n"/>
      <c r="AL283" s="153" t="n"/>
      <c r="AM283" s="153" t="n"/>
    </row>
    <row r="284" ht="15" customHeight="1" s="251">
      <c r="B284" s="156" t="inlineStr">
        <is>
          <t xml:space="preserve">  Memo: bank overdraft netted in cash-flow cash (Q1-22)</t>
        </is>
      </c>
      <c r="C284" s="34" t="n"/>
      <c r="D284" s="34" t="n"/>
      <c r="E284" s="34" t="n"/>
      <c r="F284" s="34" t="n"/>
      <c r="G284" s="34" t="n"/>
      <c r="H284" s="34" t="n"/>
      <c r="I284" s="34" t="n"/>
      <c r="J284" s="253" t="n">
        <v>25.843</v>
      </c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  <c r="AA284" s="34" t="n"/>
      <c r="AB284" s="34" t="n"/>
      <c r="AC284" s="34" t="n"/>
      <c r="AD284" s="34" t="n"/>
      <c r="AE284" s="34" t="n"/>
      <c r="AF284" s="153" t="n"/>
      <c r="AG284" s="153" t="n"/>
      <c r="AH284" s="153" t="n"/>
      <c r="AI284" s="153" t="n"/>
      <c r="AJ284" s="153" t="n"/>
      <c r="AK284" s="153" t="n"/>
      <c r="AL284" s="153" t="n"/>
      <c r="AM284" s="153" t="n"/>
    </row>
    <row r="285" ht="15" customHeight="1" s="251">
      <c r="B285" s="57" t="inlineStr">
        <is>
          <t xml:space="preserve">  Check: BS cash − overdraft vs cash-flow ending net cash (should be 0)</t>
        </is>
      </c>
      <c r="C285" s="261">
        <f>IF(AND(ISNUMBER(C258),ISNUMBER(C229)),IF(ABS(C258-N(C284)-C229)&lt;=0.15,0,ROUND(C258-N(C284)-C229,2)),"")</f>
        <v/>
      </c>
      <c r="D285" s="261">
        <f>IF(AND(ISNUMBER(D258),ISNUMBER(D229)),IF(ABS(D258-N(D284)-D229)&lt;=0.15,0,ROUND(D258-N(D284)-D229,2)),"")</f>
        <v/>
      </c>
      <c r="E285" s="261">
        <f>IF(AND(ISNUMBER(E258),ISNUMBER(E229)),IF(ABS(E258-N(E284)-E229)&lt;=0.15,0,ROUND(E258-N(E284)-E229,2)),"")</f>
        <v/>
      </c>
      <c r="F285" s="261">
        <f>IF(AND(ISNUMBER(F258),ISNUMBER(F229)),IF(ABS(F258-N(F284)-F229)&lt;=0.15,0,ROUND(F258-N(F284)-F229,2)),"")</f>
        <v/>
      </c>
      <c r="G285" s="261">
        <f>IF(AND(ISNUMBER(G258),ISNUMBER(G229)),IF(ABS(G258-N(G284)-G229)&lt;=0.15,0,ROUND(G258-N(G284)-G229,2)),"")</f>
        <v/>
      </c>
      <c r="H285" s="261">
        <f>IF(AND(ISNUMBER(H258),ISNUMBER(H229)),IF(ABS(H258-N(H284)-H229)&lt;=0.15,0,ROUND(H258-N(H284)-H229,2)),"")</f>
        <v/>
      </c>
      <c r="I285" s="261">
        <f>IF(AND(ISNUMBER(I258),ISNUMBER(I229)),IF(ABS(I258-N(I284)-I229)&lt;=0.15,0,ROUND(I258-N(I284)-I229,2)),"")</f>
        <v/>
      </c>
      <c r="J285" s="261">
        <f>IF(AND(ISNUMBER(J258),ISNUMBER(J229)),IF(ABS(J258-N(J284)-J229)&lt;=0.15,0,ROUND(J258-N(J284)-J229,2)),"")</f>
        <v/>
      </c>
      <c r="K285" s="261">
        <f>IF(AND(ISNUMBER(K258),ISNUMBER(K229)),IF(ABS(K258-N(K284)-K229)&lt;=0.15,0,ROUND(K258-N(K284)-K229,2)),"")</f>
        <v/>
      </c>
      <c r="L285" s="261">
        <f>IF(AND(ISNUMBER(L258),ISNUMBER(L229)),IF(ABS(L258-N(L284)-L229)&lt;=0.15,0,ROUND(L258-N(L284)-L229,2)),"")</f>
        <v/>
      </c>
      <c r="M285" s="261">
        <f>IF(AND(ISNUMBER(M258),ISNUMBER(M229)),IF(ABS(M258-N(M284)-M229)&lt;=0.15,0,ROUND(M258-N(M284)-M229,2)),"")</f>
        <v/>
      </c>
      <c r="N285" s="261">
        <f>IF(AND(ISNUMBER(N258),ISNUMBER(N229)),IF(ABS(N258-N(N284)-N229)&lt;=0.15,0,ROUND(N258-N(N284)-N229,2)),"")</f>
        <v/>
      </c>
      <c r="O285" s="261">
        <f>IF(AND(ISNUMBER(O258),ISNUMBER(O229)),IF(ABS(O258-N(O284)-O229)&lt;=0.15,0,ROUND(O258-N(O284)-O229,2)),"")</f>
        <v/>
      </c>
      <c r="P285" s="261">
        <f>IF(AND(ISNUMBER(P258),ISNUMBER(P229)),IF(ABS(P258-N(P284)-P229)&lt;=0.15,0,ROUND(P258-N(P284)-P229,2)),"")</f>
        <v/>
      </c>
      <c r="Q285" s="261">
        <f>IF(AND(ISNUMBER(Q258),ISNUMBER(Q229)),IF(ABS(Q258-N(Q284)-Q229)&lt;=0.15,0,ROUND(Q258-N(Q284)-Q229,2)),"")</f>
        <v/>
      </c>
      <c r="R285" s="261">
        <f>IF(AND(ISNUMBER(R258),ISNUMBER(R229)),IF(ABS(R258-N(R284)-R229)&lt;=0.15,0,ROUND(R258-N(R284)-R229,2)),"")</f>
        <v/>
      </c>
      <c r="S285" s="261">
        <f>IF(AND(ISNUMBER(S258),ISNUMBER(S229)),IF(ABS(S258-N(S284)-S229)&lt;=0.15,0,ROUND(S258-N(S284)-S229,2)),"")</f>
        <v/>
      </c>
      <c r="T285" s="261">
        <f>IF(AND(ISNUMBER(T258),ISNUMBER(T229)),IF(ABS(T258-N(T284)-T229)&lt;=0.15,0,ROUND(T258-N(T284)-T229,2)),"")</f>
        <v/>
      </c>
      <c r="U285" s="261">
        <f>IF(AND(ISNUMBER(U258),ISNUMBER(U229)),IF(ABS(U258-N(U284)-U229)&lt;=0.15,0,ROUND(U258-N(U284)-U229,2)),"")</f>
        <v/>
      </c>
      <c r="V285" s="261">
        <f>IF(AND(ISNUMBER(V258),ISNUMBER(V229)),IF(ABS(V258-N(V284)-V229)&lt;=0.15,0,ROUND(V258-N(V284)-V229,2)),"")</f>
        <v/>
      </c>
      <c r="W285" s="261">
        <f>IF(AND(ISNUMBER(W258),ISNUMBER(W229)),IF(ABS(W258-N(W284)-W229)&lt;=0.15,0,ROUND(W258-N(W284)-W229,2)),"")</f>
        <v/>
      </c>
      <c r="X285" s="261">
        <f>IF(AND(ISNUMBER(X258),ISNUMBER(X229)),IF(ABS(X258-N(X284)-X229)&lt;=0.15,0,ROUND(X258-N(X284)-X229,2)),"")</f>
        <v/>
      </c>
      <c r="Y285" s="261">
        <f>IF(AND(ISNUMBER(Y258),ISNUMBER(Y229)),IF(ABS(Y258-N(Y284)-Y229)&lt;=0.15,0,ROUND(Y258-N(Y284)-Y229,2)),"")</f>
        <v/>
      </c>
      <c r="Z285" s="261">
        <f>IF(AND(ISNUMBER(Z258),ISNUMBER(Z229)),IF(ABS(Z258-N(Z284)-Z229)&lt;=0.15,0,ROUND(Z258-N(Z284)-Z229,2)),"")</f>
        <v/>
      </c>
      <c r="AA285" s="261">
        <f>IF(AND(ISNUMBER(AA258),ISNUMBER(AA229)),IF(ABS(AA258-N(AA284)-AA229)&lt;=0.15,0,ROUND(AA258-N(AA284)-AA229,2)),"")</f>
        <v/>
      </c>
      <c r="AB285" s="261">
        <f>IF(AND(ISNUMBER(AB258),ISNUMBER(AB229)),IF(ABS(AB258-N(AB284)-AB229)&lt;=0.15,0,ROUND(AB258-N(AB284)-AB229,2)),"")</f>
        <v/>
      </c>
      <c r="AC285" s="261">
        <f>IF(AND(ISNUMBER(AC258),ISNUMBER(AC229)),IF(ABS(AC258-N(AC284)-AC229)&lt;=0.15,0,ROUND(AC258-N(AC284)-AC229,2)),"")</f>
        <v/>
      </c>
      <c r="AD285" s="261">
        <f>IF(AND(ISNUMBER(AD258),ISNUMBER(AD229)),IF(ABS(AD258-N(AD284)-AD229)&lt;=0.15,0,ROUND(AD258-N(AD284)-AD229,2)),"")</f>
        <v/>
      </c>
      <c r="AE285" s="261">
        <f>IF(AND(ISNUMBER(AE258),ISNUMBER(AE229)),IF(ABS(AE258-N(AE284)-AE229)&lt;=0.15,0,ROUND(AE258-N(AE284)-AE229,2)),"")</f>
        <v/>
      </c>
      <c r="AF285" s="153" t="n"/>
      <c r="AG285" s="153" t="n"/>
      <c r="AH285" s="264">
        <f>IF(AND(ISNUMBER(AH258),ISNUMBER(AH229)),IF(ABS(AH258-N(AH284)-AH229)&lt;=0.15,0,ROUND(AH258-N(AH284)-AH229,2)),"")</f>
        <v/>
      </c>
      <c r="AI285" s="264">
        <f>IF(AND(ISNUMBER(AI258),ISNUMBER(AI229)),IF(ABS(AI258-N(AI284)-AI229)&lt;=0.15,0,ROUND(AI258-N(AI284)-AI229,2)),"")</f>
        <v/>
      </c>
      <c r="AJ285" s="264">
        <f>IF(AND(ISNUMBER(AJ258),ISNUMBER(AJ229)),IF(ABS(AJ258-N(AJ284)-AJ229)&lt;=0.15,0,ROUND(AJ258-N(AJ284)-AJ229,2)),"")</f>
        <v/>
      </c>
      <c r="AK285" s="264">
        <f>IF(AND(ISNUMBER(AK258),ISNUMBER(AK229)),IF(ABS(AK258-N(AK284)-AK229)&lt;=0.15,0,ROUND(AK258-N(AK284)-AK229,2)),"")</f>
        <v/>
      </c>
      <c r="AL285" s="264">
        <f>IF(AND(ISNUMBER(AL258),ISNUMBER(AL229)),IF(ABS(AL258-N(AL284)-AL229)&lt;=0.15,0,ROUND(AL258-N(AL284)-AL229,2)),"")</f>
        <v/>
      </c>
      <c r="AM285" s="153" t="n"/>
    </row>
    <row r="286" ht="15" customHeight="1" s="251">
      <c r="B286" s="156" t="inlineStr">
        <is>
          <t xml:space="preserve">  Memo: Class A-equivalent shares outstanding at period end (m; forecast)</t>
        </is>
      </c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  <c r="AA286" s="34" t="n"/>
      <c r="AB286" s="34" t="n"/>
      <c r="AC286" s="34" t="n"/>
      <c r="AD286" s="34" t="n"/>
      <c r="AE286" s="34" t="n"/>
      <c r="AF286" s="153" t="n"/>
      <c r="AG286" s="153" t="n"/>
      <c r="AH286" s="264">
        <f>AH252</f>
        <v/>
      </c>
      <c r="AI286" s="264">
        <f>AI252</f>
        <v/>
      </c>
      <c r="AJ286" s="264">
        <f>AJ252</f>
        <v/>
      </c>
      <c r="AK286" s="264">
        <f>AK252</f>
        <v/>
      </c>
      <c r="AL286" s="264">
        <f>AL252</f>
        <v/>
      </c>
      <c r="AM286" s="153" t="n"/>
    </row>
    <row r="287" ht="15" customHeight="1" s="251">
      <c r="AU287" s="11" t="n"/>
      <c r="AV287" s="12" t="n"/>
      <c r="AW287" s="12" t="n"/>
      <c r="AX287" s="12" t="n"/>
      <c r="AY287" s="13" t="n"/>
    </row>
    <row r="288" ht="15" customHeight="1" s="251">
      <c r="B288" s="10" t="inlineStr">
        <is>
          <t>WORKING CAPITAL &amp; CASH CONVERSION</t>
        </is>
      </c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  <c r="AD288" s="10" t="n"/>
      <c r="AE288" s="10" t="n"/>
      <c r="AF288" s="10" t="n"/>
      <c r="AG288" s="10" t="n"/>
      <c r="AH288" s="10" t="n"/>
      <c r="AI288" s="10" t="n"/>
      <c r="AJ288" s="10" t="n"/>
      <c r="AK288" s="10" t="n"/>
      <c r="AL288" s="10" t="n"/>
      <c r="AM288" s="10" t="inlineStr">
        <is>
          <t>WORKING CAPITAL — forecast drivers (blue = input)</t>
        </is>
      </c>
    </row>
    <row r="289" ht="15" customHeight="1" s="251">
      <c r="B289" s="25" t="inlineStr">
        <is>
          <t xml:space="preserve">  Net sales — annualised (quarters × 4)</t>
        </is>
      </c>
      <c r="C289" s="261">
        <f>IF(ISNUMBER(C109),C109*1,"")</f>
        <v/>
      </c>
      <c r="D289" s="261">
        <f>IF(ISNUMBER(D109),D109*1,"")</f>
        <v/>
      </c>
      <c r="E289" s="261">
        <f>IF(ISNUMBER(E109),E109*4,"")</f>
        <v/>
      </c>
      <c r="F289" s="261">
        <f>IF(ISNUMBER(F109),F109*4,"")</f>
        <v/>
      </c>
      <c r="G289" s="261">
        <f>IF(ISNUMBER(G109),G109*4,"")</f>
        <v/>
      </c>
      <c r="H289" s="261">
        <f>IF(ISNUMBER(H109),H109*4,"")</f>
        <v/>
      </c>
      <c r="I289" s="261">
        <f>IF(ISNUMBER(I109),I109*1,"")</f>
        <v/>
      </c>
      <c r="J289" s="261">
        <f>IF(ISNUMBER(J109),J109*4,"")</f>
        <v/>
      </c>
      <c r="K289" s="261">
        <f>IF(ISNUMBER(K109),K109*4,"")</f>
        <v/>
      </c>
      <c r="L289" s="261">
        <f>IF(ISNUMBER(L109),L109*4,"")</f>
        <v/>
      </c>
      <c r="M289" s="261">
        <f>IF(ISNUMBER(M109),M109*4,"")</f>
        <v/>
      </c>
      <c r="N289" s="261">
        <f>IF(ISNUMBER(N109),N109*1,"")</f>
        <v/>
      </c>
      <c r="O289" s="261">
        <f>IF(ISNUMBER(O109),O109*4,"")</f>
        <v/>
      </c>
      <c r="P289" s="261">
        <f>IF(ISNUMBER(P109),P109*4,"")</f>
        <v/>
      </c>
      <c r="Q289" s="261">
        <f>IF(ISNUMBER(Q109),Q109*4,"")</f>
        <v/>
      </c>
      <c r="R289" s="261">
        <f>IF(ISNUMBER(R109),R109*4,"")</f>
        <v/>
      </c>
      <c r="S289" s="261">
        <f>IF(ISNUMBER(S109),S109*1,"")</f>
        <v/>
      </c>
      <c r="T289" s="261">
        <f>IF(ISNUMBER(T109),T109*4,"")</f>
        <v/>
      </c>
      <c r="U289" s="261">
        <f>IF(ISNUMBER(U109),U109*4,"")</f>
        <v/>
      </c>
      <c r="V289" s="261">
        <f>IF(ISNUMBER(V109),V109*4,"")</f>
        <v/>
      </c>
      <c r="W289" s="261">
        <f>IF(ISNUMBER(W109),W109*4,"")</f>
        <v/>
      </c>
      <c r="X289" s="261">
        <f>IF(ISNUMBER(X109),X109*1,"")</f>
        <v/>
      </c>
      <c r="Y289" s="261">
        <f>IF(ISNUMBER(Y109),Y109*4,"")</f>
        <v/>
      </c>
      <c r="Z289" s="261">
        <f>IF(ISNUMBER(Z109),Z109*4,"")</f>
        <v/>
      </c>
      <c r="AA289" s="261">
        <f>IF(ISNUMBER(AA109),AA109*4,"")</f>
        <v/>
      </c>
      <c r="AB289" s="261">
        <f>IF(ISNUMBER(AB109),AB109*4,"")</f>
        <v/>
      </c>
      <c r="AC289" s="261">
        <f>IF(ISNUMBER(AC109),AC109*1,"")</f>
        <v/>
      </c>
      <c r="AD289" s="261">
        <f>IF(ISNUMBER(AD109),AD109*4,"")</f>
        <v/>
      </c>
      <c r="AE289" s="261">
        <f>IF(ISNUMBER(AE109),AE109*4,"")</f>
        <v/>
      </c>
      <c r="AF289" s="35" t="n"/>
      <c r="AG289" s="35" t="n"/>
      <c r="AH289" s="254">
        <f>IF(ISNUMBER(AH109),AH109*1,"")</f>
        <v/>
      </c>
      <c r="AI289" s="254">
        <f>IF(ISNUMBER(AI109),AI109*1,"")</f>
        <v/>
      </c>
      <c r="AJ289" s="254">
        <f>IF(ISNUMBER(AJ109),AJ109*1,"")</f>
        <v/>
      </c>
      <c r="AK289" s="254">
        <f>IF(ISNUMBER(AK109),AK109*1,"")</f>
        <v/>
      </c>
      <c r="AL289" s="254">
        <f>IF(ISNUMBER(AL109),AL109*1,"")</f>
        <v/>
      </c>
      <c r="AM289" s="19" t="n"/>
    </row>
    <row r="290" ht="15" customHeight="1" s="251">
      <c r="B290" s="25" t="inlineStr">
        <is>
          <t xml:space="preserve">  Cost of sales — annualised</t>
        </is>
      </c>
      <c r="C290" s="261">
        <f>IF(ISNUMBER(C110),C110*1,"")</f>
        <v/>
      </c>
      <c r="D290" s="261">
        <f>IF(ISNUMBER(D110),D110*1,"")</f>
        <v/>
      </c>
      <c r="E290" s="261">
        <f>IF(ISNUMBER(E110),E110*4,"")</f>
        <v/>
      </c>
      <c r="F290" s="261">
        <f>IF(ISNUMBER(F110),F110*4,"")</f>
        <v/>
      </c>
      <c r="G290" s="261">
        <f>IF(ISNUMBER(G110),G110*4,"")</f>
        <v/>
      </c>
      <c r="H290" s="261">
        <f>IF(ISNUMBER(H110),H110*4,"")</f>
        <v/>
      </c>
      <c r="I290" s="261">
        <f>IF(ISNUMBER(I110),I110*1,"")</f>
        <v/>
      </c>
      <c r="J290" s="261">
        <f>IF(ISNUMBER(J110),J110*4,"")</f>
        <v/>
      </c>
      <c r="K290" s="261">
        <f>IF(ISNUMBER(K110),K110*4,"")</f>
        <v/>
      </c>
      <c r="L290" s="261">
        <f>IF(ISNUMBER(L110),L110*4,"")</f>
        <v/>
      </c>
      <c r="M290" s="261">
        <f>IF(ISNUMBER(M110),M110*4,"")</f>
        <v/>
      </c>
      <c r="N290" s="261">
        <f>IF(ISNUMBER(N110),N110*1,"")</f>
        <v/>
      </c>
      <c r="O290" s="261">
        <f>IF(ISNUMBER(O110),O110*4,"")</f>
        <v/>
      </c>
      <c r="P290" s="261">
        <f>IF(ISNUMBER(P110),P110*4,"")</f>
        <v/>
      </c>
      <c r="Q290" s="261">
        <f>IF(ISNUMBER(Q110),Q110*4,"")</f>
        <v/>
      </c>
      <c r="R290" s="261">
        <f>IF(ISNUMBER(R110),R110*4,"")</f>
        <v/>
      </c>
      <c r="S290" s="261">
        <f>IF(ISNUMBER(S110),S110*1,"")</f>
        <v/>
      </c>
      <c r="T290" s="261">
        <f>IF(ISNUMBER(T110),T110*4,"")</f>
        <v/>
      </c>
      <c r="U290" s="261">
        <f>IF(ISNUMBER(U110),U110*4,"")</f>
        <v/>
      </c>
      <c r="V290" s="261">
        <f>IF(ISNUMBER(V110),V110*4,"")</f>
        <v/>
      </c>
      <c r="W290" s="261">
        <f>IF(ISNUMBER(W110),W110*4,"")</f>
        <v/>
      </c>
      <c r="X290" s="261">
        <f>IF(ISNUMBER(X110),X110*1,"")</f>
        <v/>
      </c>
      <c r="Y290" s="261">
        <f>IF(ISNUMBER(Y110),Y110*4,"")</f>
        <v/>
      </c>
      <c r="Z290" s="261">
        <f>IF(ISNUMBER(Z110),Z110*4,"")</f>
        <v/>
      </c>
      <c r="AA290" s="261">
        <f>IF(ISNUMBER(AA110),AA110*4,"")</f>
        <v/>
      </c>
      <c r="AB290" s="261">
        <f>IF(ISNUMBER(AB110),AB110*4,"")</f>
        <v/>
      </c>
      <c r="AC290" s="261">
        <f>IF(ISNUMBER(AC110),AC110*1,"")</f>
        <v/>
      </c>
      <c r="AD290" s="261">
        <f>IF(ISNUMBER(AD110),AD110*4,"")</f>
        <v/>
      </c>
      <c r="AE290" s="261">
        <f>IF(ISNUMBER(AE110),AE110*4,"")</f>
        <v/>
      </c>
      <c r="AF290" s="35" t="n"/>
      <c r="AG290" s="35" t="n"/>
      <c r="AH290" s="254">
        <f>IF(ISNUMBER(AH110),AH110*1,"")</f>
        <v/>
      </c>
      <c r="AI290" s="254">
        <f>IF(ISNUMBER(AI110),AI110*1,"")</f>
        <v/>
      </c>
      <c r="AJ290" s="254">
        <f>IF(ISNUMBER(AJ110),AJ110*1,"")</f>
        <v/>
      </c>
      <c r="AK290" s="254">
        <f>IF(ISNUMBER(AK110),AK110*1,"")</f>
        <v/>
      </c>
      <c r="AL290" s="254">
        <f>IF(ISNUMBER(AL110),AL110*1,"")</f>
        <v/>
      </c>
      <c r="AM290" s="19" t="n"/>
    </row>
    <row r="291" ht="15" customHeight="1" s="251">
      <c r="B291" s="25" t="inlineStr">
        <is>
          <t xml:space="preserve">  DSO — trade receivables / net sales × 365</t>
        </is>
      </c>
      <c r="C291" s="284">
        <f>IFERROR(C259/C289*365,"")</f>
        <v/>
      </c>
      <c r="D291" s="284">
        <f>IFERROR(D259/D289*365,"")</f>
        <v/>
      </c>
      <c r="E291" s="284">
        <f>IFERROR(E259/E289*365,"")</f>
        <v/>
      </c>
      <c r="F291" s="284">
        <f>IFERROR(F259/F289*365,"")</f>
        <v/>
      </c>
      <c r="G291" s="284">
        <f>IFERROR(G259/G289*365,"")</f>
        <v/>
      </c>
      <c r="H291" s="284">
        <f>IFERROR(H259/H289*365,"")</f>
        <v/>
      </c>
      <c r="I291" s="284">
        <f>IFERROR(I259/I289*365,"")</f>
        <v/>
      </c>
      <c r="J291" s="284">
        <f>IFERROR(J259/J289*365,"")</f>
        <v/>
      </c>
      <c r="K291" s="284">
        <f>IFERROR(K259/K289*365,"")</f>
        <v/>
      </c>
      <c r="L291" s="284">
        <f>IFERROR(L259/L289*365,"")</f>
        <v/>
      </c>
      <c r="M291" s="284">
        <f>IFERROR(M259/M289*365,"")</f>
        <v/>
      </c>
      <c r="N291" s="284">
        <f>IFERROR(N259/N289*365,"")</f>
        <v/>
      </c>
      <c r="O291" s="284">
        <f>IFERROR(O259/O289*365,"")</f>
        <v/>
      </c>
      <c r="P291" s="284">
        <f>IFERROR(P259/P289*365,"")</f>
        <v/>
      </c>
      <c r="Q291" s="284">
        <f>IFERROR(Q259/Q289*365,"")</f>
        <v/>
      </c>
      <c r="R291" s="284">
        <f>IFERROR(R259/R289*365,"")</f>
        <v/>
      </c>
      <c r="S291" s="284">
        <f>IFERROR(S259/S289*365,"")</f>
        <v/>
      </c>
      <c r="T291" s="284">
        <f>IFERROR(T259/T289*365,"")</f>
        <v/>
      </c>
      <c r="U291" s="284">
        <f>IFERROR(U259/U289*365,"")</f>
        <v/>
      </c>
      <c r="V291" s="284">
        <f>IFERROR(V259/V289*365,"")</f>
        <v/>
      </c>
      <c r="W291" s="284">
        <f>IFERROR(W259/W289*365,"")</f>
        <v/>
      </c>
      <c r="X291" s="284">
        <f>IFERROR(X259/X289*365,"")</f>
        <v/>
      </c>
      <c r="Y291" s="284">
        <f>IFERROR(Y259/Y289*365,"")</f>
        <v/>
      </c>
      <c r="Z291" s="284">
        <f>IFERROR(Z259/Z289*365,"")</f>
        <v/>
      </c>
      <c r="AA291" s="284">
        <f>IFERROR(AA259/AA289*365,"")</f>
        <v/>
      </c>
      <c r="AB291" s="284">
        <f>IFERROR(AB259/AB289*365,"")</f>
        <v/>
      </c>
      <c r="AC291" s="284">
        <f>IFERROR(AC259/AC289*365,"")</f>
        <v/>
      </c>
      <c r="AD291" s="284">
        <f>IFERROR(AD259/AD289*365,"")</f>
        <v/>
      </c>
      <c r="AE291" s="284">
        <f>IFERROR(AE259/AE289*365,"")</f>
        <v/>
      </c>
      <c r="AF291" s="35" t="n"/>
      <c r="AG291" s="35" t="n"/>
      <c r="AH291" s="285" t="n">
        <v>41</v>
      </c>
      <c r="AI291" s="285" t="n">
        <v>41</v>
      </c>
      <c r="AJ291" s="285" t="n">
        <v>41</v>
      </c>
      <c r="AK291" s="285" t="n">
        <v>41</v>
      </c>
      <c r="AL291" s="285" t="n">
        <v>41</v>
      </c>
      <c r="AM291" s="19" t="n"/>
    </row>
    <row r="292" ht="15" customHeight="1" s="251">
      <c r="B292" s="25" t="inlineStr">
        <is>
          <t xml:space="preserve">  Inventory days — inventories / cost of sales × 365</t>
        </is>
      </c>
      <c r="C292" s="284">
        <f>IFERROR(C260/C290*365,"")</f>
        <v/>
      </c>
      <c r="D292" s="284">
        <f>IFERROR(D260/D290*365,"")</f>
        <v/>
      </c>
      <c r="E292" s="284">
        <f>IFERROR(E260/E290*365,"")</f>
        <v/>
      </c>
      <c r="F292" s="284">
        <f>IFERROR(F260/F290*365,"")</f>
        <v/>
      </c>
      <c r="G292" s="284">
        <f>IFERROR(G260/G290*365,"")</f>
        <v/>
      </c>
      <c r="H292" s="284">
        <f>IFERROR(H260/H290*365,"")</f>
        <v/>
      </c>
      <c r="I292" s="284">
        <f>IFERROR(I260/I290*365,"")</f>
        <v/>
      </c>
      <c r="J292" s="284">
        <f>IFERROR(J260/J290*365,"")</f>
        <v/>
      </c>
      <c r="K292" s="284">
        <f>IFERROR(K260/K290*365,"")</f>
        <v/>
      </c>
      <c r="L292" s="284">
        <f>IFERROR(L260/L290*365,"")</f>
        <v/>
      </c>
      <c r="M292" s="284">
        <f>IFERROR(M260/M290*365,"")</f>
        <v/>
      </c>
      <c r="N292" s="284">
        <f>IFERROR(N260/N290*365,"")</f>
        <v/>
      </c>
      <c r="O292" s="284">
        <f>IFERROR(O260/O290*365,"")</f>
        <v/>
      </c>
      <c r="P292" s="284">
        <f>IFERROR(P260/P290*365,"")</f>
        <v/>
      </c>
      <c r="Q292" s="284">
        <f>IFERROR(Q260/Q290*365,"")</f>
        <v/>
      </c>
      <c r="R292" s="284">
        <f>IFERROR(R260/R290*365,"")</f>
        <v/>
      </c>
      <c r="S292" s="284">
        <f>IFERROR(S260/S290*365,"")</f>
        <v/>
      </c>
      <c r="T292" s="284">
        <f>IFERROR(T260/T290*365,"")</f>
        <v/>
      </c>
      <c r="U292" s="284">
        <f>IFERROR(U260/U290*365,"")</f>
        <v/>
      </c>
      <c r="V292" s="284">
        <f>IFERROR(V260/V290*365,"")</f>
        <v/>
      </c>
      <c r="W292" s="284">
        <f>IFERROR(W260/W290*365,"")</f>
        <v/>
      </c>
      <c r="X292" s="284">
        <f>IFERROR(X260/X290*365,"")</f>
        <v/>
      </c>
      <c r="Y292" s="284">
        <f>IFERROR(Y260/Y290*365,"")</f>
        <v/>
      </c>
      <c r="Z292" s="284">
        <f>IFERROR(Z260/Z290*365,"")</f>
        <v/>
      </c>
      <c r="AA292" s="284">
        <f>IFERROR(AA260/AA290*365,"")</f>
        <v/>
      </c>
      <c r="AB292" s="284">
        <f>IFERROR(AB260/AB290*365,"")</f>
        <v/>
      </c>
      <c r="AC292" s="284">
        <f>IFERROR(AC260/AC290*365,"")</f>
        <v/>
      </c>
      <c r="AD292" s="284">
        <f>IFERROR(AD260/AD290*365,"")</f>
        <v/>
      </c>
      <c r="AE292" s="284">
        <f>IFERROR(AE260/AE290*365,"")</f>
        <v/>
      </c>
      <c r="AF292" s="35" t="n"/>
      <c r="AG292" s="35" t="n"/>
      <c r="AH292" s="285" t="n">
        <v>146</v>
      </c>
      <c r="AI292" s="285" t="n">
        <v>146</v>
      </c>
      <c r="AJ292" s="285" t="n">
        <v>146</v>
      </c>
      <c r="AK292" s="285" t="n">
        <v>146</v>
      </c>
      <c r="AL292" s="285" t="n">
        <v>146</v>
      </c>
      <c r="AM292" s="19" t="n"/>
    </row>
    <row r="293" ht="15" customHeight="1" s="251">
      <c r="B293" s="25" t="inlineStr">
        <is>
          <t xml:space="preserve">  Payable days — trade payables / cost of sales × 365</t>
        </is>
      </c>
      <c r="C293" s="284">
        <f>IFERROR(C268/C290*365,"")</f>
        <v/>
      </c>
      <c r="D293" s="284">
        <f>IFERROR(D268/D290*365,"")</f>
        <v/>
      </c>
      <c r="E293" s="284">
        <f>IFERROR(E268/E290*365,"")</f>
        <v/>
      </c>
      <c r="F293" s="284">
        <f>IFERROR(F268/F290*365,"")</f>
        <v/>
      </c>
      <c r="G293" s="284">
        <f>IFERROR(G268/G290*365,"")</f>
        <v/>
      </c>
      <c r="H293" s="284">
        <f>IFERROR(H268/H290*365,"")</f>
        <v/>
      </c>
      <c r="I293" s="284">
        <f>IFERROR(I268/I290*365,"")</f>
        <v/>
      </c>
      <c r="J293" s="284">
        <f>IFERROR(J268/J290*365,"")</f>
        <v/>
      </c>
      <c r="K293" s="284">
        <f>IFERROR(K268/K290*365,"")</f>
        <v/>
      </c>
      <c r="L293" s="284">
        <f>IFERROR(L268/L290*365,"")</f>
        <v/>
      </c>
      <c r="M293" s="284">
        <f>IFERROR(M268/M290*365,"")</f>
        <v/>
      </c>
      <c r="N293" s="284">
        <f>IFERROR(N268/N290*365,"")</f>
        <v/>
      </c>
      <c r="O293" s="284">
        <f>IFERROR(O268/O290*365,"")</f>
        <v/>
      </c>
      <c r="P293" s="284">
        <f>IFERROR(P268/P290*365,"")</f>
        <v/>
      </c>
      <c r="Q293" s="284">
        <f>IFERROR(Q268/Q290*365,"")</f>
        <v/>
      </c>
      <c r="R293" s="284">
        <f>IFERROR(R268/R290*365,"")</f>
        <v/>
      </c>
      <c r="S293" s="284">
        <f>IFERROR(S268/S290*365,"")</f>
        <v/>
      </c>
      <c r="T293" s="284">
        <f>IFERROR(T268/T290*365,"")</f>
        <v/>
      </c>
      <c r="U293" s="284">
        <f>IFERROR(U268/U290*365,"")</f>
        <v/>
      </c>
      <c r="V293" s="284">
        <f>IFERROR(V268/V290*365,"")</f>
        <v/>
      </c>
      <c r="W293" s="284">
        <f>IFERROR(W268/W290*365,"")</f>
        <v/>
      </c>
      <c r="X293" s="284">
        <f>IFERROR(X268/X290*365,"")</f>
        <v/>
      </c>
      <c r="Y293" s="284">
        <f>IFERROR(Y268/Y290*365,"")</f>
        <v/>
      </c>
      <c r="Z293" s="284">
        <f>IFERROR(Z268/Z290*365,"")</f>
        <v/>
      </c>
      <c r="AA293" s="284">
        <f>IFERROR(AA268/AA290*365,"")</f>
        <v/>
      </c>
      <c r="AB293" s="284">
        <f>IFERROR(AB268/AB290*365,"")</f>
        <v/>
      </c>
      <c r="AC293" s="284">
        <f>IFERROR(AC268/AC290*365,"")</f>
        <v/>
      </c>
      <c r="AD293" s="284">
        <f>IFERROR(AD268/AD290*365,"")</f>
        <v/>
      </c>
      <c r="AE293" s="284">
        <f>IFERROR(AE268/AE290*365,"")</f>
        <v/>
      </c>
      <c r="AF293" s="35" t="n"/>
      <c r="AG293" s="35" t="n"/>
      <c r="AH293" s="285" t="n">
        <v>65</v>
      </c>
      <c r="AI293" s="285" t="n">
        <v>65</v>
      </c>
      <c r="AJ293" s="285" t="n">
        <v>65</v>
      </c>
      <c r="AK293" s="285" t="n">
        <v>65</v>
      </c>
      <c r="AL293" s="285" t="n">
        <v>65</v>
      </c>
      <c r="AM293" s="19" t="n"/>
    </row>
    <row r="294" ht="15" customHeight="1" s="251">
      <c r="B294" s="25" t="inlineStr">
        <is>
          <t xml:space="preserve">  Other current assets % of net sales</t>
        </is>
      </c>
      <c r="C294" s="215">
        <f>IFERROR(C261/C289,"")</f>
        <v/>
      </c>
      <c r="D294" s="215">
        <f>IFERROR(D261/D289,"")</f>
        <v/>
      </c>
      <c r="E294" s="215">
        <f>IFERROR(E261/E289,"")</f>
        <v/>
      </c>
      <c r="F294" s="215">
        <f>IFERROR(F261/F289,"")</f>
        <v/>
      </c>
      <c r="G294" s="215">
        <f>IFERROR(G261/G289,"")</f>
        <v/>
      </c>
      <c r="H294" s="215">
        <f>IFERROR(H261/H289,"")</f>
        <v/>
      </c>
      <c r="I294" s="215">
        <f>IFERROR(I261/I289,"")</f>
        <v/>
      </c>
      <c r="J294" s="215">
        <f>IFERROR(J261/J289,"")</f>
        <v/>
      </c>
      <c r="K294" s="215">
        <f>IFERROR(K261/K289,"")</f>
        <v/>
      </c>
      <c r="L294" s="215">
        <f>IFERROR(L261/L289,"")</f>
        <v/>
      </c>
      <c r="M294" s="215">
        <f>IFERROR(M261/M289,"")</f>
        <v/>
      </c>
      <c r="N294" s="215">
        <f>IFERROR(N261/N289,"")</f>
        <v/>
      </c>
      <c r="O294" s="215">
        <f>IFERROR(O261/O289,"")</f>
        <v/>
      </c>
      <c r="P294" s="215">
        <f>IFERROR(P261/P289,"")</f>
        <v/>
      </c>
      <c r="Q294" s="215">
        <f>IFERROR(Q261/Q289,"")</f>
        <v/>
      </c>
      <c r="R294" s="215">
        <f>IFERROR(R261/R289,"")</f>
        <v/>
      </c>
      <c r="S294" s="215">
        <f>IFERROR(S261/S289,"")</f>
        <v/>
      </c>
      <c r="T294" s="215">
        <f>IFERROR(T261/T289,"")</f>
        <v/>
      </c>
      <c r="U294" s="215">
        <f>IFERROR(U261/U289,"")</f>
        <v/>
      </c>
      <c r="V294" s="215">
        <f>IFERROR(V261/V289,"")</f>
        <v/>
      </c>
      <c r="W294" s="215">
        <f>IFERROR(W261/W289,"")</f>
        <v/>
      </c>
      <c r="X294" s="215">
        <f>IFERROR(X261/X289,"")</f>
        <v/>
      </c>
      <c r="Y294" s="215">
        <f>IFERROR(Y261/Y289,"")</f>
        <v/>
      </c>
      <c r="Z294" s="215">
        <f>IFERROR(Z261/Z289,"")</f>
        <v/>
      </c>
      <c r="AA294" s="215">
        <f>IFERROR(AA261/AA289,"")</f>
        <v/>
      </c>
      <c r="AB294" s="215">
        <f>IFERROR(AB261/AB289,"")</f>
        <v/>
      </c>
      <c r="AC294" s="215">
        <f>IFERROR(AC261/AC289,"")</f>
        <v/>
      </c>
      <c r="AD294" s="215">
        <f>IFERROR(AD261/AD289,"")</f>
        <v/>
      </c>
      <c r="AE294" s="215">
        <f>IFERROR(AE261/AE289,"")</f>
        <v/>
      </c>
      <c r="AF294" s="24" t="n"/>
      <c r="AG294" s="24" t="n"/>
      <c r="AH294" s="260" t="n">
        <v>0.07099999999999999</v>
      </c>
      <c r="AI294" s="260" t="n">
        <v>0.07099999999999999</v>
      </c>
      <c r="AJ294" s="260" t="n">
        <v>0.07099999999999999</v>
      </c>
      <c r="AK294" s="260" t="n">
        <v>0.07099999999999999</v>
      </c>
      <c r="AL294" s="260" t="n">
        <v>0.07099999999999999</v>
      </c>
      <c r="AM294" s="153" t="n"/>
    </row>
    <row r="295" ht="15" customHeight="1" s="251">
      <c r="B295" s="25" t="inlineStr">
        <is>
          <t xml:space="preserve">  Other current operating liabilities % of net sales</t>
        </is>
      </c>
      <c r="C295" s="215">
        <f>IFERROR(C270/C289,"")</f>
        <v/>
      </c>
      <c r="D295" s="215">
        <f>IFERROR(D270/D289,"")</f>
        <v/>
      </c>
      <c r="E295" s="215">
        <f>IFERROR(E270/E289,"")</f>
        <v/>
      </c>
      <c r="F295" s="215">
        <f>IFERROR(F270/F289,"")</f>
        <v/>
      </c>
      <c r="G295" s="215">
        <f>IFERROR(G270/G289,"")</f>
        <v/>
      </c>
      <c r="H295" s="215">
        <f>IFERROR(H270/H289,"")</f>
        <v/>
      </c>
      <c r="I295" s="215">
        <f>IFERROR(I270/I289,"")</f>
        <v/>
      </c>
      <c r="J295" s="215">
        <f>IFERROR(J270/J289,"")</f>
        <v/>
      </c>
      <c r="K295" s="215">
        <f>IFERROR(K270/K289,"")</f>
        <v/>
      </c>
      <c r="L295" s="215">
        <f>IFERROR(L270/L289,"")</f>
        <v/>
      </c>
      <c r="M295" s="215">
        <f>IFERROR(M270/M289,"")</f>
        <v/>
      </c>
      <c r="N295" s="215">
        <f>IFERROR(N270/N289,"")</f>
        <v/>
      </c>
      <c r="O295" s="215">
        <f>IFERROR(O270/O289,"")</f>
        <v/>
      </c>
      <c r="P295" s="215">
        <f>IFERROR(P270/P289,"")</f>
        <v/>
      </c>
      <c r="Q295" s="215">
        <f>IFERROR(Q270/Q289,"")</f>
        <v/>
      </c>
      <c r="R295" s="215">
        <f>IFERROR(R270/R289,"")</f>
        <v/>
      </c>
      <c r="S295" s="215">
        <f>IFERROR(S270/S289,"")</f>
        <v/>
      </c>
      <c r="T295" s="215">
        <f>IFERROR(T270/T289,"")</f>
        <v/>
      </c>
      <c r="U295" s="215">
        <f>IFERROR(U270/U289,"")</f>
        <v/>
      </c>
      <c r="V295" s="215">
        <f>IFERROR(V270/V289,"")</f>
        <v/>
      </c>
      <c r="W295" s="215">
        <f>IFERROR(W270/W289,"")</f>
        <v/>
      </c>
      <c r="X295" s="215">
        <f>IFERROR(X270/X289,"")</f>
        <v/>
      </c>
      <c r="Y295" s="215">
        <f>IFERROR(Y270/Y289,"")</f>
        <v/>
      </c>
      <c r="Z295" s="215">
        <f>IFERROR(Z270/Z289,"")</f>
        <v/>
      </c>
      <c r="AA295" s="215">
        <f>IFERROR(AA270/AA289,"")</f>
        <v/>
      </c>
      <c r="AB295" s="215">
        <f>IFERROR(AB270/AB289,"")</f>
        <v/>
      </c>
      <c r="AC295" s="215">
        <f>IFERROR(AC270/AC289,"")</f>
        <v/>
      </c>
      <c r="AD295" s="215">
        <f>IFERROR(AD270/AD289,"")</f>
        <v/>
      </c>
      <c r="AE295" s="215">
        <f>IFERROR(AE270/AE289,"")</f>
        <v/>
      </c>
      <c r="AF295" s="24" t="n"/>
      <c r="AG295" s="24" t="n"/>
      <c r="AH295" s="260" t="n">
        <v>0.138</v>
      </c>
      <c r="AI295" s="260" t="n">
        <v>0.138</v>
      </c>
      <c r="AJ295" s="260" t="n">
        <v>0.138</v>
      </c>
      <c r="AK295" s="260" t="n">
        <v>0.138</v>
      </c>
      <c r="AL295" s="260" t="n">
        <v>0.138</v>
      </c>
      <c r="AM295" s="153" t="inlineStr">
        <is>
          <t>Forecast inputs at 30-Jun-2026 levels on annualised 1H/26 net sales / cost of sales (DSO 41d, inventory 146d, payables 65d, other current assets 7.1% and other current operating liabilities 13.8% of sales). Year-end receivables are seasonally lower than at 30-Jun (FY25 DSO 37d).</t>
        </is>
      </c>
    </row>
    <row r="296" ht="15" customHeight="1" s="251">
      <c r="B296" s="25" t="inlineStr">
        <is>
          <t xml:space="preserve">  Net working capital (company definition: trade receivables + inventories − trade payables)</t>
        </is>
      </c>
      <c r="C296" s="261">
        <f>IF(ISNUMBER(C259),C259+C260-C268,"")</f>
        <v/>
      </c>
      <c r="D296" s="261">
        <f>IF(ISNUMBER(D259),D259+D260-D268,"")</f>
        <v/>
      </c>
      <c r="E296" s="261">
        <f>IF(ISNUMBER(E259),E259+E260-E268,"")</f>
        <v/>
      </c>
      <c r="F296" s="261">
        <f>IF(ISNUMBER(F259),F259+F260-F268,"")</f>
        <v/>
      </c>
      <c r="G296" s="261">
        <f>IF(ISNUMBER(G259),G259+G260-G268,"")</f>
        <v/>
      </c>
      <c r="H296" s="261">
        <f>IF(ISNUMBER(H259),H259+H260-H268,"")</f>
        <v/>
      </c>
      <c r="I296" s="261">
        <f>IF(ISNUMBER(I259),I259+I260-I268,"")</f>
        <v/>
      </c>
      <c r="J296" s="261">
        <f>IF(ISNUMBER(J259),J259+J260-J268,"")</f>
        <v/>
      </c>
      <c r="K296" s="261">
        <f>IF(ISNUMBER(K259),K259+K260-K268,"")</f>
        <v/>
      </c>
      <c r="L296" s="261">
        <f>IF(ISNUMBER(L259),L259+L260-L268,"")</f>
        <v/>
      </c>
      <c r="M296" s="261">
        <f>IF(ISNUMBER(M259),M259+M260-M268,"")</f>
        <v/>
      </c>
      <c r="N296" s="261">
        <f>IF(ISNUMBER(N259),N259+N260-N268,"")</f>
        <v/>
      </c>
      <c r="O296" s="261">
        <f>IF(ISNUMBER(O259),O259+O260-O268,"")</f>
        <v/>
      </c>
      <c r="P296" s="261">
        <f>IF(ISNUMBER(P259),P259+P260-P268,"")</f>
        <v/>
      </c>
      <c r="Q296" s="261">
        <f>IF(ISNUMBER(Q259),Q259+Q260-Q268,"")</f>
        <v/>
      </c>
      <c r="R296" s="261">
        <f>IF(ISNUMBER(R259),R259+R260-R268,"")</f>
        <v/>
      </c>
      <c r="S296" s="261">
        <f>IF(ISNUMBER(S259),S259+S260-S268,"")</f>
        <v/>
      </c>
      <c r="T296" s="261">
        <f>IF(ISNUMBER(T259),T259+T260-T268,"")</f>
        <v/>
      </c>
      <c r="U296" s="261">
        <f>IF(ISNUMBER(U259),U259+U260-U268,"")</f>
        <v/>
      </c>
      <c r="V296" s="261">
        <f>IF(ISNUMBER(V259),V259+V260-V268,"")</f>
        <v/>
      </c>
      <c r="W296" s="261">
        <f>IF(ISNUMBER(W259),W259+W260-W268,"")</f>
        <v/>
      </c>
      <c r="X296" s="261">
        <f>IF(ISNUMBER(X259),X259+X260-X268,"")</f>
        <v/>
      </c>
      <c r="Y296" s="261">
        <f>IF(ISNUMBER(Y259),Y259+Y260-Y268,"")</f>
        <v/>
      </c>
      <c r="Z296" s="261">
        <f>IF(ISNUMBER(Z259),Z259+Z260-Z268,"")</f>
        <v/>
      </c>
      <c r="AA296" s="261">
        <f>IF(ISNUMBER(AA259),AA259+AA260-AA268,"")</f>
        <v/>
      </c>
      <c r="AB296" s="261">
        <f>IF(ISNUMBER(AB259),AB259+AB260-AB268,"")</f>
        <v/>
      </c>
      <c r="AC296" s="261">
        <f>IF(ISNUMBER(AC259),AC259+AC260-AC268,"")</f>
        <v/>
      </c>
      <c r="AD296" s="261">
        <f>IF(ISNUMBER(AD259),AD259+AD260-AD268,"")</f>
        <v/>
      </c>
      <c r="AE296" s="261">
        <f>IF(ISNUMBER(AE259),AE259+AE260-AE268,"")</f>
        <v/>
      </c>
      <c r="AF296" s="35" t="n"/>
      <c r="AG296" s="35" t="n"/>
      <c r="AH296" s="254">
        <f>IF(ISNUMBER(AH259),AH259+AH260-AH268,"")</f>
        <v/>
      </c>
      <c r="AI296" s="254">
        <f>IF(ISNUMBER(AI259),AI259+AI260-AI268,"")</f>
        <v/>
      </c>
      <c r="AJ296" s="254">
        <f>IF(ISNUMBER(AJ259),AJ259+AJ260-AJ268,"")</f>
        <v/>
      </c>
      <c r="AK296" s="254">
        <f>IF(ISNUMBER(AK259),AK259+AK260-AK268,"")</f>
        <v/>
      </c>
      <c r="AL296" s="254">
        <f>IF(ISNUMBER(AL259),AL259+AL260-AL268,"")</f>
        <v/>
      </c>
      <c r="AM296" s="19" t="n"/>
    </row>
    <row r="297" ht="15" customHeight="1" s="251">
      <c r="B297" s="25" t="inlineStr">
        <is>
          <t xml:space="preserve">  NWC % of net sales (annualised)</t>
        </is>
      </c>
      <c r="C297" s="215">
        <f>IF(ISNUMBER(C296),IFERROR(C296/C289,""),"")</f>
        <v/>
      </c>
      <c r="D297" s="215">
        <f>IF(ISNUMBER(D296),IFERROR(D296/D289,""),"")</f>
        <v/>
      </c>
      <c r="E297" s="215">
        <f>IF(ISNUMBER(E296),IFERROR(E296/E289,""),"")</f>
        <v/>
      </c>
      <c r="F297" s="215">
        <f>IF(ISNUMBER(F296),IFERROR(F296/F289,""),"")</f>
        <v/>
      </c>
      <c r="G297" s="215">
        <f>IF(ISNUMBER(G296),IFERROR(G296/G289,""),"")</f>
        <v/>
      </c>
      <c r="H297" s="215">
        <f>IF(ISNUMBER(H296),IFERROR(H296/H289,""),"")</f>
        <v/>
      </c>
      <c r="I297" s="215">
        <f>IF(ISNUMBER(I296),IFERROR(I296/I289,""),"")</f>
        <v/>
      </c>
      <c r="J297" s="215">
        <f>IF(ISNUMBER(J296),IFERROR(J296/J289,""),"")</f>
        <v/>
      </c>
      <c r="K297" s="215">
        <f>IF(ISNUMBER(K296),IFERROR(K296/K289,""),"")</f>
        <v/>
      </c>
      <c r="L297" s="215">
        <f>IF(ISNUMBER(L296),IFERROR(L296/L289,""),"")</f>
        <v/>
      </c>
      <c r="M297" s="215">
        <f>IF(ISNUMBER(M296),IFERROR(M296/M289,""),"")</f>
        <v/>
      </c>
      <c r="N297" s="215">
        <f>IF(ISNUMBER(N296),IFERROR(N296/N289,""),"")</f>
        <v/>
      </c>
      <c r="O297" s="215">
        <f>IF(ISNUMBER(O296),IFERROR(O296/O289,""),"")</f>
        <v/>
      </c>
      <c r="P297" s="215">
        <f>IF(ISNUMBER(P296),IFERROR(P296/P289,""),"")</f>
        <v/>
      </c>
      <c r="Q297" s="215">
        <f>IF(ISNUMBER(Q296),IFERROR(Q296/Q289,""),"")</f>
        <v/>
      </c>
      <c r="R297" s="215">
        <f>IF(ISNUMBER(R296),IFERROR(R296/R289,""),"")</f>
        <v/>
      </c>
      <c r="S297" s="215">
        <f>IF(ISNUMBER(S296),IFERROR(S296/S289,""),"")</f>
        <v/>
      </c>
      <c r="T297" s="215">
        <f>IF(ISNUMBER(T296),IFERROR(T296/T289,""),"")</f>
        <v/>
      </c>
      <c r="U297" s="215">
        <f>IF(ISNUMBER(U296),IFERROR(U296/U289,""),"")</f>
        <v/>
      </c>
      <c r="V297" s="215">
        <f>IF(ISNUMBER(V296),IFERROR(V296/V289,""),"")</f>
        <v/>
      </c>
      <c r="W297" s="215">
        <f>IF(ISNUMBER(W296),IFERROR(W296/W289,""),"")</f>
        <v/>
      </c>
      <c r="X297" s="215">
        <f>IF(ISNUMBER(X296),IFERROR(X296/X289,""),"")</f>
        <v/>
      </c>
      <c r="Y297" s="215">
        <f>IF(ISNUMBER(Y296),IFERROR(Y296/Y289,""),"")</f>
        <v/>
      </c>
      <c r="Z297" s="215">
        <f>IF(ISNUMBER(Z296),IFERROR(Z296/Z289,""),"")</f>
        <v/>
      </c>
      <c r="AA297" s="215">
        <f>IF(ISNUMBER(AA296),IFERROR(AA296/AA289,""),"")</f>
        <v/>
      </c>
      <c r="AB297" s="215">
        <f>IF(ISNUMBER(AB296),IFERROR(AB296/AB289,""),"")</f>
        <v/>
      </c>
      <c r="AC297" s="215">
        <f>IF(ISNUMBER(AC296),IFERROR(AC296/AC289,""),"")</f>
        <v/>
      </c>
      <c r="AD297" s="215">
        <f>IF(ISNUMBER(AD296),IFERROR(AD296/AD289,""),"")</f>
        <v/>
      </c>
      <c r="AE297" s="215">
        <f>IF(ISNUMBER(AE296),IFERROR(AE296/AE289,""),"")</f>
        <v/>
      </c>
      <c r="AF297" s="24" t="n"/>
      <c r="AG297" s="24" t="n"/>
      <c r="AH297" s="256">
        <f>IF(ISNUMBER(AH296),IFERROR(AH296/AH289,""),"")</f>
        <v/>
      </c>
      <c r="AI297" s="256">
        <f>IF(ISNUMBER(AI296),IFERROR(AI296/AI289,""),"")</f>
        <v/>
      </c>
      <c r="AJ297" s="256">
        <f>IF(ISNUMBER(AJ296),IFERROR(AJ296/AJ289,""),"")</f>
        <v/>
      </c>
      <c r="AK297" s="256">
        <f>IF(ISNUMBER(AK296),IFERROR(AK296/AK289,""),"")</f>
        <v/>
      </c>
      <c r="AL297" s="256">
        <f>IF(ISNUMBER(AL296),IFERROR(AL296/AL289,""),"")</f>
        <v/>
      </c>
      <c r="AM297" s="153" t="n"/>
      <c r="AO297" s="37">
        <f>IFERROR(AVERAGE(AH297,AI297,AJ297,AK297,AL297),"n/m")</f>
        <v/>
      </c>
      <c r="AP297" s="37">
        <f>IFERROR(AVERAGE(I297,N297,S297,X297,AC297),"n/m")</f>
        <v/>
      </c>
      <c r="AQ297" s="37">
        <f>IFERROR(AVERAGE(S297,X297,AC297),"n/m")</f>
        <v/>
      </c>
      <c r="AR297" s="37">
        <f>IFERROR(AVERAGE(C297,D297,I297,N297,S297,X297,AC297),"n/m")</f>
        <v/>
      </c>
    </row>
    <row r="298" ht="15" customHeight="1" s="251">
      <c r="B298" s="25" t="inlineStr">
        <is>
          <t xml:space="preserve">  ΔNWC (y/y)</t>
        </is>
      </c>
      <c r="C298" s="34" t="n"/>
      <c r="D298" s="261">
        <f>IF(AND(ISNUMBER(D296),ISNUMBER(C296)),D296-C296,"")</f>
        <v/>
      </c>
      <c r="E298" s="34" t="n"/>
      <c r="F298" s="34" t="n"/>
      <c r="G298" s="34" t="n"/>
      <c r="H298" s="34" t="n"/>
      <c r="I298" s="261">
        <f>IF(AND(ISNUMBER(I296),ISNUMBER(D296)),I296-D296,"")</f>
        <v/>
      </c>
      <c r="J298" s="261">
        <f>IF(AND(ISNUMBER(J296),ISNUMBER(E296)),J296-E296,"")</f>
        <v/>
      </c>
      <c r="K298" s="261">
        <f>IF(AND(ISNUMBER(K296),ISNUMBER(F296)),K296-F296,"")</f>
        <v/>
      </c>
      <c r="L298" s="261">
        <f>IF(AND(ISNUMBER(L296),ISNUMBER(G296)),L296-G296,"")</f>
        <v/>
      </c>
      <c r="M298" s="261">
        <f>IF(AND(ISNUMBER(M296),ISNUMBER(H296)),M296-H296,"")</f>
        <v/>
      </c>
      <c r="N298" s="261">
        <f>IF(AND(ISNUMBER(N296),ISNUMBER(I296)),N296-I296,"")</f>
        <v/>
      </c>
      <c r="O298" s="261">
        <f>IF(AND(ISNUMBER(O296),ISNUMBER(J296)),O296-J296,"")</f>
        <v/>
      </c>
      <c r="P298" s="261">
        <f>IF(AND(ISNUMBER(P296),ISNUMBER(K296)),P296-K296,"")</f>
        <v/>
      </c>
      <c r="Q298" s="261">
        <f>IF(AND(ISNUMBER(Q296),ISNUMBER(L296)),Q296-L296,"")</f>
        <v/>
      </c>
      <c r="R298" s="261">
        <f>IF(AND(ISNUMBER(R296),ISNUMBER(M296)),R296-M296,"")</f>
        <v/>
      </c>
      <c r="S298" s="261">
        <f>IF(AND(ISNUMBER(S296),ISNUMBER(N296)),S296-N296,"")</f>
        <v/>
      </c>
      <c r="T298" s="261">
        <f>IF(AND(ISNUMBER(T296),ISNUMBER(O296)),T296-O296,"")</f>
        <v/>
      </c>
      <c r="U298" s="261">
        <f>IF(AND(ISNUMBER(U296),ISNUMBER(P296)),U296-P296,"")</f>
        <v/>
      </c>
      <c r="V298" s="261">
        <f>IF(AND(ISNUMBER(V296),ISNUMBER(Q296)),V296-Q296,"")</f>
        <v/>
      </c>
      <c r="W298" s="261">
        <f>IF(AND(ISNUMBER(W296),ISNUMBER(R296)),W296-R296,"")</f>
        <v/>
      </c>
      <c r="X298" s="261">
        <f>IF(AND(ISNUMBER(X296),ISNUMBER(S296)),X296-S296,"")</f>
        <v/>
      </c>
      <c r="Y298" s="261">
        <f>IF(AND(ISNUMBER(Y296),ISNUMBER(T296)),Y296-T296,"")</f>
        <v/>
      </c>
      <c r="Z298" s="261">
        <f>IF(AND(ISNUMBER(Z296),ISNUMBER(U296)),Z296-U296,"")</f>
        <v/>
      </c>
      <c r="AA298" s="261">
        <f>IF(AND(ISNUMBER(AA296),ISNUMBER(V296)),AA296-V296,"")</f>
        <v/>
      </c>
      <c r="AB298" s="261">
        <f>IF(AND(ISNUMBER(AB296),ISNUMBER(W296)),AB296-W296,"")</f>
        <v/>
      </c>
      <c r="AC298" s="261">
        <f>IF(AND(ISNUMBER(AC296),ISNUMBER(X296)),AC296-X296,"")</f>
        <v/>
      </c>
      <c r="AD298" s="261">
        <f>IF(AND(ISNUMBER(AD296),ISNUMBER(Y296)),AD296-Y296,"")</f>
        <v/>
      </c>
      <c r="AE298" s="261">
        <f>IF(AND(ISNUMBER(AE296),ISNUMBER(Z296)),AE296-Z296,"")</f>
        <v/>
      </c>
      <c r="AF298" s="35" t="n"/>
      <c r="AG298" s="35" t="n"/>
      <c r="AH298" s="254">
        <f>IF(AND(ISNUMBER(AH296),ISNUMBER(AC296)),AH296-AC296,"")</f>
        <v/>
      </c>
      <c r="AI298" s="254">
        <f>IF(AND(ISNUMBER(AI296),ISNUMBER(AH296)),AI296-AH296,"")</f>
        <v/>
      </c>
      <c r="AJ298" s="254">
        <f>IF(AND(ISNUMBER(AJ296),ISNUMBER(AI296)),AJ296-AI296,"")</f>
        <v/>
      </c>
      <c r="AK298" s="254">
        <f>IF(AND(ISNUMBER(AK296),ISNUMBER(AJ296)),AK296-AJ296,"")</f>
        <v/>
      </c>
      <c r="AL298" s="254">
        <f>IF(AND(ISNUMBER(AL296),ISNUMBER(AK296)),AL296-AK296,"")</f>
        <v/>
      </c>
      <c r="AM298" s="19" t="n"/>
    </row>
    <row r="299" ht="15" customHeight="1" s="251">
      <c r="AU299" s="11" t="n"/>
      <c r="AV299" s="12" t="n"/>
      <c r="AW299" s="12" t="n"/>
      <c r="AX299" s="12" t="n"/>
      <c r="AY299" s="13" t="n"/>
    </row>
    <row r="300" ht="15" customHeight="1" s="251">
      <c r="B300" s="10" t="inlineStr">
        <is>
          <t>BALANCE SHEET FORECAST SCHEDULES</t>
        </is>
      </c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  <c r="AH300" s="10" t="n"/>
      <c r="AI300" s="10" t="n"/>
      <c r="AJ300" s="10" t="n"/>
      <c r="AK300" s="10" t="n"/>
      <c r="AL300" s="10" t="n"/>
      <c r="AM300" s="10" t="inlineStr">
        <is>
          <t>BS FORECAST SCHEDULES — explicit driver assumptions</t>
        </is>
      </c>
    </row>
    <row r="301" ht="15" customHeight="1" s="251">
      <c r="B301" s="25" t="inlineStr">
        <is>
          <t>Leases (IFRS 16) — right-of-use assets and lease liabilities</t>
        </is>
      </c>
      <c r="AM301" s="153" t="n"/>
    </row>
    <row r="302" ht="15" customHeight="1" s="251">
      <c r="B302" s="69" t="inlineStr">
        <is>
          <t xml:space="preserve">  Right-of-use depreciation % of total D&amp;A</t>
        </is>
      </c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  <c r="AC302" s="44" t="n"/>
      <c r="AD302" s="44" t="n"/>
      <c r="AE302" s="44" t="n"/>
      <c r="AF302" s="153" t="n"/>
      <c r="AG302" s="153" t="n"/>
      <c r="AH302" s="260" t="n">
        <v>0.62</v>
      </c>
      <c r="AI302" s="260" t="n">
        <v>0.62</v>
      </c>
      <c r="AJ302" s="260" t="n">
        <v>0.62</v>
      </c>
      <c r="AK302" s="260" t="n">
        <v>0.62</v>
      </c>
      <c r="AL302" s="260" t="n">
        <v>0.62</v>
      </c>
      <c r="AM302" s="19" t="inlineStr">
        <is>
          <t>FY25 20-F: right-of-use depreciation CHF 79.4m of CHF 127.4m D&amp;A (62%); PP&amp;E 38.2m; intangibles ~9.8m.</t>
        </is>
      </c>
    </row>
    <row r="303" ht="15" customHeight="1" s="251">
      <c r="B303" s="69" t="inlineStr">
        <is>
          <t xml:space="preserve">  Right-of-use depreciation</t>
        </is>
      </c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  <c r="Y303" s="44" t="n"/>
      <c r="Z303" s="44" t="n"/>
      <c r="AA303" s="44" t="n"/>
      <c r="AB303" s="44" t="n"/>
      <c r="AC303" s="44" t="n"/>
      <c r="AD303" s="44" t="n"/>
      <c r="AE303" s="44" t="n"/>
      <c r="AF303" s="153" t="n"/>
      <c r="AG303" s="153" t="n"/>
      <c r="AH303" s="254">
        <f>AH102*AH302</f>
        <v/>
      </c>
      <c r="AI303" s="254">
        <f>AI102*AI302</f>
        <v/>
      </c>
      <c r="AJ303" s="254">
        <f>AJ102*AJ302</f>
        <v/>
      </c>
      <c r="AK303" s="254">
        <f>AK102*AK302</f>
        <v/>
      </c>
      <c r="AL303" s="254">
        <f>AL102*AL302</f>
        <v/>
      </c>
      <c r="AM303" s="19" t="n"/>
    </row>
    <row r="304" ht="15" customHeight="1" s="251">
      <c r="B304" s="69" t="inlineStr">
        <is>
          <t xml:space="preserve">  Depreciation &amp; amortization of PP&amp;E and intangibles</t>
        </is>
      </c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  <c r="AC304" s="44" t="n"/>
      <c r="AD304" s="44" t="n"/>
      <c r="AE304" s="44" t="n"/>
      <c r="AF304" s="153" t="n"/>
      <c r="AG304" s="153" t="n"/>
      <c r="AH304" s="254">
        <f>AH102-AH303</f>
        <v/>
      </c>
      <c r="AI304" s="254">
        <f>AI102-AI303</f>
        <v/>
      </c>
      <c r="AJ304" s="254">
        <f>AJ102-AJ303</f>
        <v/>
      </c>
      <c r="AK304" s="254">
        <f>AK102-AK303</f>
        <v/>
      </c>
      <c r="AL304" s="254">
        <f>AL102-AL303</f>
        <v/>
      </c>
      <c r="AM304" s="19" t="n"/>
    </row>
    <row r="305" ht="15" customHeight="1" s="251">
      <c r="B305" s="69" t="inlineStr">
        <is>
          <t xml:space="preserve">  Right-of-use assets % of net sales</t>
        </is>
      </c>
      <c r="C305" s="215">
        <f>IFERROR(C264/C289,"")</f>
        <v/>
      </c>
      <c r="D305" s="215">
        <f>IFERROR(D264/D289,"")</f>
        <v/>
      </c>
      <c r="E305" s="215">
        <f>IFERROR(E264/E289,"")</f>
        <v/>
      </c>
      <c r="F305" s="215">
        <f>IFERROR(F264/F289,"")</f>
        <v/>
      </c>
      <c r="G305" s="215">
        <f>IFERROR(G264/G289,"")</f>
        <v/>
      </c>
      <c r="H305" s="215">
        <f>IFERROR(H264/H289,"")</f>
        <v/>
      </c>
      <c r="I305" s="215">
        <f>IFERROR(I264/I289,"")</f>
        <v/>
      </c>
      <c r="J305" s="215">
        <f>IFERROR(J264/J289,"")</f>
        <v/>
      </c>
      <c r="K305" s="215">
        <f>IFERROR(K264/K289,"")</f>
        <v/>
      </c>
      <c r="L305" s="215">
        <f>IFERROR(L264/L289,"")</f>
        <v/>
      </c>
      <c r="M305" s="215">
        <f>IFERROR(M264/M289,"")</f>
        <v/>
      </c>
      <c r="N305" s="215">
        <f>IFERROR(N264/N289,"")</f>
        <v/>
      </c>
      <c r="O305" s="215">
        <f>IFERROR(O264/O289,"")</f>
        <v/>
      </c>
      <c r="P305" s="215">
        <f>IFERROR(P264/P289,"")</f>
        <v/>
      </c>
      <c r="Q305" s="215">
        <f>IFERROR(Q264/Q289,"")</f>
        <v/>
      </c>
      <c r="R305" s="215">
        <f>IFERROR(R264/R289,"")</f>
        <v/>
      </c>
      <c r="S305" s="215">
        <f>IFERROR(S264/S289,"")</f>
        <v/>
      </c>
      <c r="T305" s="215">
        <f>IFERROR(T264/T289,"")</f>
        <v/>
      </c>
      <c r="U305" s="215">
        <f>IFERROR(U264/U289,"")</f>
        <v/>
      </c>
      <c r="V305" s="215">
        <f>IFERROR(V264/V289,"")</f>
        <v/>
      </c>
      <c r="W305" s="215">
        <f>IFERROR(W264/W289,"")</f>
        <v/>
      </c>
      <c r="X305" s="215">
        <f>IFERROR(X264/X289,"")</f>
        <v/>
      </c>
      <c r="Y305" s="215">
        <f>IFERROR(Y264/Y289,"")</f>
        <v/>
      </c>
      <c r="Z305" s="215">
        <f>IFERROR(Z264/Z289,"")</f>
        <v/>
      </c>
      <c r="AA305" s="215">
        <f>IFERROR(AA264/AA289,"")</f>
        <v/>
      </c>
      <c r="AB305" s="215">
        <f>IFERROR(AB264/AB289,"")</f>
        <v/>
      </c>
      <c r="AC305" s="215">
        <f>IFERROR(AC264/AC289,"")</f>
        <v/>
      </c>
      <c r="AD305" s="215">
        <f>IFERROR(AD264/AD289,"")</f>
        <v/>
      </c>
      <c r="AE305" s="215">
        <f>IFERROR(AE264/AE289,"")</f>
        <v/>
      </c>
      <c r="AF305" s="153" t="n"/>
      <c r="AG305" s="153" t="n"/>
      <c r="AH305" s="260" t="n">
        <v>0.155</v>
      </c>
      <c r="AI305" s="260" t="n">
        <v>0.155</v>
      </c>
      <c r="AJ305" s="260" t="n">
        <v>0.155</v>
      </c>
      <c r="AK305" s="260" t="n">
        <v>0.155</v>
      </c>
      <c r="AL305" s="260" t="n">
        <v>0.155</v>
      </c>
      <c r="AM305" s="19" t="inlineStr">
        <is>
          <t>30-Jun-26: 15.8% of annualised 1H/26 sales (DTC store roll-out).</t>
        </is>
      </c>
    </row>
    <row r="306" ht="15" customHeight="1" s="251">
      <c r="B306" s="69" t="inlineStr">
        <is>
          <t xml:space="preserve">  New leases (non-cash additions; plug = Δ right-of-use + RoU depreciation)</t>
        </is>
      </c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  <c r="AC306" s="44" t="n"/>
      <c r="AD306" s="44" t="n"/>
      <c r="AE306" s="44" t="n"/>
      <c r="AF306" s="153" t="n"/>
      <c r="AG306" s="153" t="n"/>
      <c r="AH306" s="254">
        <f>AH264-AE264+(AF102+AG102)*AH302</f>
        <v/>
      </c>
      <c r="AI306" s="254">
        <f>AI264-AH264+AI303</f>
        <v/>
      </c>
      <c r="AJ306" s="254">
        <f>AJ264-AI264+AJ303</f>
        <v/>
      </c>
      <c r="AK306" s="254">
        <f>AK264-AJ264+AK303</f>
        <v/>
      </c>
      <c r="AL306" s="254">
        <f>AL264-AK264+AL303</f>
        <v/>
      </c>
      <c r="AM306" s="19" t="n"/>
    </row>
    <row r="307" ht="15" customHeight="1" s="251">
      <c r="B307" s="69" t="inlineStr">
        <is>
          <t xml:space="preserve">  Lease &amp; other financial liabilities (current + non-current)</t>
        </is>
      </c>
      <c r="C307" s="261">
        <f>IF(ISNUMBER(C269),C269+C272,"")</f>
        <v/>
      </c>
      <c r="D307" s="261">
        <f>IF(ISNUMBER(D269),D269+D272,"")</f>
        <v/>
      </c>
      <c r="E307" s="261">
        <f>IF(ISNUMBER(E269),E269+E272,"")</f>
        <v/>
      </c>
      <c r="F307" s="261">
        <f>IF(ISNUMBER(F269),F269+F272,"")</f>
        <v/>
      </c>
      <c r="G307" s="261">
        <f>IF(ISNUMBER(G269),G269+G272,"")</f>
        <v/>
      </c>
      <c r="H307" s="261">
        <f>IF(ISNUMBER(H269),H269+H272,"")</f>
        <v/>
      </c>
      <c r="I307" s="261">
        <f>IF(ISNUMBER(I269),I269+I272,"")</f>
        <v/>
      </c>
      <c r="J307" s="261">
        <f>IF(ISNUMBER(J269),J269+J272,"")</f>
        <v/>
      </c>
      <c r="K307" s="261">
        <f>IF(ISNUMBER(K269),K269+K272,"")</f>
        <v/>
      </c>
      <c r="L307" s="261">
        <f>IF(ISNUMBER(L269),L269+L272,"")</f>
        <v/>
      </c>
      <c r="M307" s="261">
        <f>IF(ISNUMBER(M269),M269+M272,"")</f>
        <v/>
      </c>
      <c r="N307" s="261">
        <f>IF(ISNUMBER(N269),N269+N272,"")</f>
        <v/>
      </c>
      <c r="O307" s="261">
        <f>IF(ISNUMBER(O269),O269+O272,"")</f>
        <v/>
      </c>
      <c r="P307" s="261">
        <f>IF(ISNUMBER(P269),P269+P272,"")</f>
        <v/>
      </c>
      <c r="Q307" s="261">
        <f>IF(ISNUMBER(Q269),Q269+Q272,"")</f>
        <v/>
      </c>
      <c r="R307" s="261">
        <f>IF(ISNUMBER(R269),R269+R272,"")</f>
        <v/>
      </c>
      <c r="S307" s="261">
        <f>IF(ISNUMBER(S269),S269+S272,"")</f>
        <v/>
      </c>
      <c r="T307" s="261">
        <f>IF(ISNUMBER(T269),T269+T272,"")</f>
        <v/>
      </c>
      <c r="U307" s="261">
        <f>IF(ISNUMBER(U269),U269+U272,"")</f>
        <v/>
      </c>
      <c r="V307" s="261">
        <f>IF(ISNUMBER(V269),V269+V272,"")</f>
        <v/>
      </c>
      <c r="W307" s="261">
        <f>IF(ISNUMBER(W269),W269+W272,"")</f>
        <v/>
      </c>
      <c r="X307" s="261">
        <f>IF(ISNUMBER(X269),X269+X272,"")</f>
        <v/>
      </c>
      <c r="Y307" s="261">
        <f>IF(ISNUMBER(Y269),Y269+Y272,"")</f>
        <v/>
      </c>
      <c r="Z307" s="261">
        <f>IF(ISNUMBER(Z269),Z269+Z272,"")</f>
        <v/>
      </c>
      <c r="AA307" s="261">
        <f>IF(ISNUMBER(AA269),AA269+AA272,"")</f>
        <v/>
      </c>
      <c r="AB307" s="261">
        <f>IF(ISNUMBER(AB269),AB269+AB272,"")</f>
        <v/>
      </c>
      <c r="AC307" s="261">
        <f>IF(ISNUMBER(AC269),AC269+AC272,"")</f>
        <v/>
      </c>
      <c r="AD307" s="261">
        <f>IF(ISNUMBER(AD269),AD269+AD272,"")</f>
        <v/>
      </c>
      <c r="AE307" s="261">
        <f>IF(ISNUMBER(AE269),AE269+AE272,"")</f>
        <v/>
      </c>
      <c r="AF307" s="153" t="n"/>
      <c r="AG307" s="153" t="n"/>
      <c r="AH307" s="254">
        <f>AE307+AH306+(AH220-(AD220+AE220))</f>
        <v/>
      </c>
      <c r="AI307" s="254">
        <f>AH307+AI306+AI220</f>
        <v/>
      </c>
      <c r="AJ307" s="254">
        <f>AI307+AJ306+AJ220</f>
        <v/>
      </c>
      <c r="AK307" s="254">
        <f>AJ307+AK306+AK220</f>
        <v/>
      </c>
      <c r="AL307" s="254">
        <f>AK307+AL306+AL220</f>
        <v/>
      </c>
      <c r="AM307" s="19" t="inlineStr">
        <is>
          <t>Roll-forward: prior + new leases − principal payments. No bank debt (CHF 700m revolving facility, undrawn).</t>
        </is>
      </c>
    </row>
    <row r="308" ht="15" customHeight="1" s="251">
      <c r="B308" s="69" t="inlineStr">
        <is>
          <t xml:space="preserve">  Current portion %</t>
        </is>
      </c>
      <c r="C308" s="215">
        <f>IFERROR(C269/C307,"")</f>
        <v/>
      </c>
      <c r="D308" s="215">
        <f>IFERROR(D269/D307,"")</f>
        <v/>
      </c>
      <c r="E308" s="215">
        <f>IFERROR(E269/E307,"")</f>
        <v/>
      </c>
      <c r="F308" s="215">
        <f>IFERROR(F269/F307,"")</f>
        <v/>
      </c>
      <c r="G308" s="215">
        <f>IFERROR(G269/G307,"")</f>
        <v/>
      </c>
      <c r="H308" s="215">
        <f>IFERROR(H269/H307,"")</f>
        <v/>
      </c>
      <c r="I308" s="215">
        <f>IFERROR(I269/I307,"")</f>
        <v/>
      </c>
      <c r="J308" s="215">
        <f>IFERROR(J269/J307,"")</f>
        <v/>
      </c>
      <c r="K308" s="215">
        <f>IFERROR(K269/K307,"")</f>
        <v/>
      </c>
      <c r="L308" s="215">
        <f>IFERROR(L269/L307,"")</f>
        <v/>
      </c>
      <c r="M308" s="215">
        <f>IFERROR(M269/M307,"")</f>
        <v/>
      </c>
      <c r="N308" s="215">
        <f>IFERROR(N269/N307,"")</f>
        <v/>
      </c>
      <c r="O308" s="215">
        <f>IFERROR(O269/O307,"")</f>
        <v/>
      </c>
      <c r="P308" s="215">
        <f>IFERROR(P269/P307,"")</f>
        <v/>
      </c>
      <c r="Q308" s="215">
        <f>IFERROR(Q269/Q307,"")</f>
        <v/>
      </c>
      <c r="R308" s="215">
        <f>IFERROR(R269/R307,"")</f>
        <v/>
      </c>
      <c r="S308" s="215">
        <f>IFERROR(S269/S307,"")</f>
        <v/>
      </c>
      <c r="T308" s="215">
        <f>IFERROR(T269/T307,"")</f>
        <v/>
      </c>
      <c r="U308" s="215">
        <f>IFERROR(U269/U307,"")</f>
        <v/>
      </c>
      <c r="V308" s="215">
        <f>IFERROR(V269/V307,"")</f>
        <v/>
      </c>
      <c r="W308" s="215">
        <f>IFERROR(W269/W307,"")</f>
        <v/>
      </c>
      <c r="X308" s="215">
        <f>IFERROR(X269/X307,"")</f>
        <v/>
      </c>
      <c r="Y308" s="215">
        <f>IFERROR(Y269/Y307,"")</f>
        <v/>
      </c>
      <c r="Z308" s="215">
        <f>IFERROR(Z269/Z307,"")</f>
        <v/>
      </c>
      <c r="AA308" s="215">
        <f>IFERROR(AA269/AA307,"")</f>
        <v/>
      </c>
      <c r="AB308" s="215">
        <f>IFERROR(AB269/AB307,"")</f>
        <v/>
      </c>
      <c r="AC308" s="215">
        <f>IFERROR(AC269/AC307,"")</f>
        <v/>
      </c>
      <c r="AD308" s="215">
        <f>IFERROR(AD269/AD307,"")</f>
        <v/>
      </c>
      <c r="AE308" s="215">
        <f>IFERROR(AE269/AE307,"")</f>
        <v/>
      </c>
      <c r="AF308" s="153" t="n"/>
      <c r="AG308" s="153" t="n"/>
      <c r="AH308" s="260" t="n">
        <v>0.22</v>
      </c>
      <c r="AI308" s="260" t="n">
        <v>0.22</v>
      </c>
      <c r="AJ308" s="260" t="n">
        <v>0.22</v>
      </c>
      <c r="AK308" s="260" t="n">
        <v>0.22</v>
      </c>
      <c r="AL308" s="260" t="n">
        <v>0.22</v>
      </c>
      <c r="AM308" s="19" t="n"/>
    </row>
    <row r="309" ht="15" customHeight="1" s="251">
      <c r="B309" s="69" t="inlineStr">
        <is>
          <t xml:space="preserve">  Financial expense ÷ opening lease &amp; financial liabilities %</t>
        </is>
      </c>
      <c r="C309" s="44" t="n"/>
      <c r="D309" s="44" t="n"/>
      <c r="E309" s="44" t="n"/>
      <c r="F309" s="44" t="n"/>
      <c r="G309" s="44" t="n"/>
      <c r="H309" s="44" t="n"/>
      <c r="I309" s="44" t="n"/>
      <c r="J309" s="44" t="n"/>
      <c r="K309" s="44" t="n"/>
      <c r="L309" s="44" t="n"/>
      <c r="M309" s="44" t="n"/>
      <c r="N309" s="44" t="n"/>
      <c r="O309" s="44" t="n"/>
      <c r="P309" s="44" t="n"/>
      <c r="Q309" s="44" t="n"/>
      <c r="R309" s="44" t="n"/>
      <c r="S309" s="44" t="n"/>
      <c r="T309" s="44" t="n"/>
      <c r="U309" s="44" t="n"/>
      <c r="V309" s="44" t="n"/>
      <c r="W309" s="44" t="n"/>
      <c r="X309" s="44" t="n"/>
      <c r="Y309" s="44" t="n"/>
      <c r="Z309" s="44" t="n"/>
      <c r="AA309" s="44" t="n"/>
      <c r="AB309" s="44" t="n"/>
      <c r="AC309" s="44" t="n"/>
      <c r="AD309" s="44" t="n"/>
      <c r="AE309" s="44" t="n"/>
      <c r="AF309" s="153" t="n"/>
      <c r="AG309" s="153" t="n"/>
      <c r="AH309" s="35" t="n"/>
      <c r="AI309" s="260" t="n">
        <v>0.055</v>
      </c>
      <c r="AJ309" s="260" t="n">
        <v>0.055</v>
      </c>
      <c r="AK309" s="260" t="n">
        <v>0.055</v>
      </c>
      <c r="AL309" s="260" t="n">
        <v>0.055</v>
      </c>
      <c r="AM309" s="19" t="inlineStr">
        <is>
          <t>Lease interest plus facility / bank fees (FY25 financial expenses CHF 29m on ~CHF 0.5bn liabilities).</t>
        </is>
      </c>
    </row>
    <row r="310" ht="15" customHeight="1" s="251">
      <c r="B310" s="69" t="inlineStr">
        <is>
          <t xml:space="preserve">  Interest income yield on opening cash %</t>
        </is>
      </c>
      <c r="C310" s="44" t="n"/>
      <c r="D310" s="44" t="n"/>
      <c r="E310" s="44" t="n"/>
      <c r="F310" s="44" t="n"/>
      <c r="G310" s="44" t="n"/>
      <c r="H310" s="44" t="n"/>
      <c r="I310" s="44" t="n"/>
      <c r="J310" s="44" t="n"/>
      <c r="K310" s="44" t="n"/>
      <c r="L310" s="44" t="n"/>
      <c r="M310" s="44" t="n"/>
      <c r="N310" s="44" t="n"/>
      <c r="O310" s="44" t="n"/>
      <c r="P310" s="44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  <c r="AC310" s="44" t="n"/>
      <c r="AD310" s="44" t="n"/>
      <c r="AE310" s="44" t="n"/>
      <c r="AF310" s="153" t="n"/>
      <c r="AG310" s="153" t="n"/>
      <c r="AH310" s="35" t="n"/>
      <c r="AI310" s="260" t="n">
        <v>0.03</v>
      </c>
      <c r="AJ310" s="260" t="n">
        <v>0.03</v>
      </c>
      <c r="AK310" s="260" t="n">
        <v>0.03</v>
      </c>
      <c r="AL310" s="260" t="n">
        <v>0.03</v>
      </c>
      <c r="AM310" s="19" t="inlineStr">
        <is>
          <t>FY25 financial income ≈ 3.3% of average cash (USD / EUR deposits).</t>
        </is>
      </c>
    </row>
    <row r="311" ht="15" customHeight="1" s="251">
      <c r="B311" s="25" t="inlineStr">
        <is>
          <t>Share count &amp; pricing</t>
        </is>
      </c>
      <c r="AM311" s="153" t="n"/>
    </row>
    <row r="312" ht="15" customHeight="1" s="251">
      <c r="B312" s="69" t="inlineStr">
        <is>
          <t xml:space="preserve">  Dilutive securities (m Class A-equivalent shares; options, RSUs, PSUs)</t>
        </is>
      </c>
      <c r="C312" s="44" t="n"/>
      <c r="D312" s="44" t="n"/>
      <c r="E312" s="44" t="n"/>
      <c r="F312" s="44" t="n"/>
      <c r="G312" s="44" t="n"/>
      <c r="H312" s="44" t="n"/>
      <c r="I312" s="44" t="n"/>
      <c r="J312" s="44" t="n"/>
      <c r="K312" s="44" t="n"/>
      <c r="L312" s="44" t="n"/>
      <c r="M312" s="44" t="n"/>
      <c r="N312" s="44" t="n"/>
      <c r="O312" s="44" t="n"/>
      <c r="P312" s="44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  <c r="AC312" s="44" t="n"/>
      <c r="AD312" s="44" t="n"/>
      <c r="AE312" s="44" t="n"/>
      <c r="AF312" s="153" t="n"/>
      <c r="AG312" s="153" t="n"/>
      <c r="AH312" s="35" t="n"/>
      <c r="AI312" s="266" t="n">
        <v>2</v>
      </c>
      <c r="AJ312" s="266" t="n">
        <v>2</v>
      </c>
      <c r="AK312" s="266" t="n">
        <v>2</v>
      </c>
      <c r="AL312" s="266" t="n">
        <v>2</v>
      </c>
      <c r="AM312" s="19" t="n"/>
    </row>
    <row r="313" ht="15" customHeight="1" s="251">
      <c r="B313" s="69" t="inlineStr">
        <is>
          <t xml:space="preserve">  Share-price appreciation % (buyback pricing)</t>
        </is>
      </c>
      <c r="C313" s="44" t="n"/>
      <c r="D313" s="44" t="n"/>
      <c r="E313" s="44" t="n"/>
      <c r="F313" s="44" t="n"/>
      <c r="G313" s="44" t="n"/>
      <c r="H313" s="44" t="n"/>
      <c r="I313" s="44" t="n"/>
      <c r="J313" s="44" t="n"/>
      <c r="K313" s="44" t="n"/>
      <c r="L313" s="44" t="n"/>
      <c r="M313" s="44" t="n"/>
      <c r="N313" s="44" t="n"/>
      <c r="O313" s="44" t="n"/>
      <c r="P313" s="44" t="n"/>
      <c r="Q313" s="44" t="n"/>
      <c r="R313" s="44" t="n"/>
      <c r="S313" s="44" t="n"/>
      <c r="T313" s="44" t="n"/>
      <c r="U313" s="44" t="n"/>
      <c r="V313" s="44" t="n"/>
      <c r="W313" s="44" t="n"/>
      <c r="X313" s="44" t="n"/>
      <c r="Y313" s="44" t="n"/>
      <c r="Z313" s="44" t="n"/>
      <c r="AA313" s="44" t="n"/>
      <c r="AB313" s="44" t="n"/>
      <c r="AC313" s="44" t="n"/>
      <c r="AD313" s="44" t="n"/>
      <c r="AE313" s="44" t="n"/>
      <c r="AF313" s="153" t="n"/>
      <c r="AG313" s="153" t="n"/>
      <c r="AH313" s="35" t="n"/>
      <c r="AI313" s="260" t="n">
        <v>0.1</v>
      </c>
      <c r="AJ313" s="260" t="n">
        <v>0.1</v>
      </c>
      <c r="AK313" s="260" t="n">
        <v>0.1</v>
      </c>
      <c r="AL313" s="260" t="n">
        <v>0.1</v>
      </c>
      <c r="AM313" s="19" t="n"/>
    </row>
    <row r="314" ht="15" customHeight="1" s="251">
      <c r="B314" s="25" t="inlineStr">
        <is>
          <t>Historical reference (driver context)</t>
        </is>
      </c>
      <c r="AM314" s="153" t="n"/>
    </row>
    <row r="315" ht="15" customHeight="1" s="251">
      <c r="B315" s="25" t="inlineStr">
        <is>
          <t xml:space="preserve">  Total D&amp;A % of net sales</t>
        </is>
      </c>
      <c r="C315" s="215">
        <f>IF(AND(ISNUMBER(C125),ISNUMBER(C109)),IFERROR(C125/C109,""),"")</f>
        <v/>
      </c>
      <c r="D315" s="215">
        <f>IF(AND(ISNUMBER(D125),ISNUMBER(D109)),IFERROR(D125/D109,""),"")</f>
        <v/>
      </c>
      <c r="E315" s="215">
        <f>IF(AND(ISNUMBER(E125),ISNUMBER(E109)),IFERROR(E125/E109,""),"")</f>
        <v/>
      </c>
      <c r="F315" s="215">
        <f>IF(AND(ISNUMBER(F125),ISNUMBER(F109)),IFERROR(F125/F109,""),"")</f>
        <v/>
      </c>
      <c r="G315" s="215">
        <f>IF(AND(ISNUMBER(G125),ISNUMBER(G109)),IFERROR(G125/G109,""),"")</f>
        <v/>
      </c>
      <c r="H315" s="215">
        <f>IF(AND(ISNUMBER(H125),ISNUMBER(H109)),IFERROR(H125/H109,""),"")</f>
        <v/>
      </c>
      <c r="I315" s="215">
        <f>IF(AND(ISNUMBER(I125),ISNUMBER(I109)),IFERROR(I125/I109,""),"")</f>
        <v/>
      </c>
      <c r="J315" s="215">
        <f>IF(AND(ISNUMBER(J125),ISNUMBER(J109)),IFERROR(J125/J109,""),"")</f>
        <v/>
      </c>
      <c r="K315" s="215">
        <f>IF(AND(ISNUMBER(K125),ISNUMBER(K109)),IFERROR(K125/K109,""),"")</f>
        <v/>
      </c>
      <c r="L315" s="215">
        <f>IF(AND(ISNUMBER(L125),ISNUMBER(L109)),IFERROR(L125/L109,""),"")</f>
        <v/>
      </c>
      <c r="M315" s="215">
        <f>IF(AND(ISNUMBER(M125),ISNUMBER(M109)),IFERROR(M125/M109,""),"")</f>
        <v/>
      </c>
      <c r="N315" s="215">
        <f>IF(AND(ISNUMBER(N125),ISNUMBER(N109)),IFERROR(N125/N109,""),"")</f>
        <v/>
      </c>
      <c r="O315" s="215">
        <f>IF(AND(ISNUMBER(O125),ISNUMBER(O109)),IFERROR(O125/O109,""),"")</f>
        <v/>
      </c>
      <c r="P315" s="215">
        <f>IF(AND(ISNUMBER(P125),ISNUMBER(P109)),IFERROR(P125/P109,""),"")</f>
        <v/>
      </c>
      <c r="Q315" s="215">
        <f>IF(AND(ISNUMBER(Q125),ISNUMBER(Q109)),IFERROR(Q125/Q109,""),"")</f>
        <v/>
      </c>
      <c r="R315" s="215">
        <f>IF(AND(ISNUMBER(R125),ISNUMBER(R109)),IFERROR(R125/R109,""),"")</f>
        <v/>
      </c>
      <c r="S315" s="215">
        <f>IF(AND(ISNUMBER(S125),ISNUMBER(S109)),IFERROR(S125/S109,""),"")</f>
        <v/>
      </c>
      <c r="T315" s="215">
        <f>IF(AND(ISNUMBER(T125),ISNUMBER(T109)),IFERROR(T125/T109,""),"")</f>
        <v/>
      </c>
      <c r="U315" s="215">
        <f>IF(AND(ISNUMBER(U125),ISNUMBER(U109)),IFERROR(U125/U109,""),"")</f>
        <v/>
      </c>
      <c r="V315" s="215">
        <f>IF(AND(ISNUMBER(V125),ISNUMBER(V109)),IFERROR(V125/V109,""),"")</f>
        <v/>
      </c>
      <c r="W315" s="215">
        <f>IF(AND(ISNUMBER(W125),ISNUMBER(W109)),IFERROR(W125/W109,""),"")</f>
        <v/>
      </c>
      <c r="X315" s="215">
        <f>IF(AND(ISNUMBER(X125),ISNUMBER(X109)),IFERROR(X125/X109,""),"")</f>
        <v/>
      </c>
      <c r="Y315" s="215">
        <f>IF(AND(ISNUMBER(Y125),ISNUMBER(Y109)),IFERROR(Y125/Y109,""),"")</f>
        <v/>
      </c>
      <c r="Z315" s="215">
        <f>IF(AND(ISNUMBER(Z125),ISNUMBER(Z109)),IFERROR(Z125/Z109,""),"")</f>
        <v/>
      </c>
      <c r="AA315" s="215">
        <f>IF(AND(ISNUMBER(AA125),ISNUMBER(AA109)),IFERROR(AA125/AA109,""),"")</f>
        <v/>
      </c>
      <c r="AB315" s="215">
        <f>IF(AND(ISNUMBER(AB125),ISNUMBER(AB109)),IFERROR(AB125/AB109,""),"")</f>
        <v/>
      </c>
      <c r="AC315" s="215">
        <f>IF(AND(ISNUMBER(AC125),ISNUMBER(AC109)),IFERROR(AC125/AC109,""),"")</f>
        <v/>
      </c>
      <c r="AD315" s="215">
        <f>IF(AND(ISNUMBER(AD125),ISNUMBER(AD109)),IFERROR(AD125/AD109,""),"")</f>
        <v/>
      </c>
      <c r="AE315" s="215">
        <f>IF(AND(ISNUMBER(AE125),ISNUMBER(AE109)),IFERROR(AE125/AE109,""),"")</f>
        <v/>
      </c>
      <c r="AF315" s="24" t="n"/>
      <c r="AG315" s="24" t="n"/>
      <c r="AH315" s="256">
        <f>IF(AND(ISNUMBER(AH125),ISNUMBER(AH109)),IFERROR(AH125/AH109,""),"")</f>
        <v/>
      </c>
      <c r="AI315" s="256">
        <f>IF(AND(ISNUMBER(AI125),ISNUMBER(AI109)),IFERROR(AI125/AI109,""),"")</f>
        <v/>
      </c>
      <c r="AJ315" s="256">
        <f>IF(AND(ISNUMBER(AJ125),ISNUMBER(AJ109)),IFERROR(AJ125/AJ109,""),"")</f>
        <v/>
      </c>
      <c r="AK315" s="256">
        <f>IF(AND(ISNUMBER(AK125),ISNUMBER(AK109)),IFERROR(AK125/AK109,""),"")</f>
        <v/>
      </c>
      <c r="AL315" s="256">
        <f>IF(AND(ISNUMBER(AL125),ISNUMBER(AL109)),IFERROR(AL125/AL109,""),"")</f>
        <v/>
      </c>
      <c r="AM315" s="153" t="n"/>
    </row>
    <row r="316" ht="15" customHeight="1" s="251">
      <c r="B316" s="25" t="inlineStr">
        <is>
          <t xml:space="preserve">  Lease principal payments % of net sales</t>
        </is>
      </c>
      <c r="C316" s="215">
        <f>IF(ISNUMBER(C220),IFERROR(-C220/C109,""),"")</f>
        <v/>
      </c>
      <c r="D316" s="215">
        <f>IF(ISNUMBER(D220),IFERROR(-D220/D109,""),"")</f>
        <v/>
      </c>
      <c r="E316" s="215">
        <f>IF(ISNUMBER(E220),IFERROR(-E220/E109,""),"")</f>
        <v/>
      </c>
      <c r="F316" s="215">
        <f>IF(ISNUMBER(F220),IFERROR(-F220/F109,""),"")</f>
        <v/>
      </c>
      <c r="G316" s="215">
        <f>IF(ISNUMBER(G220),IFERROR(-G220/G109,""),"")</f>
        <v/>
      </c>
      <c r="H316" s="215">
        <f>IF(ISNUMBER(H220),IFERROR(-H220/H109,""),"")</f>
        <v/>
      </c>
      <c r="I316" s="215">
        <f>IF(ISNUMBER(I220),IFERROR(-I220/I109,""),"")</f>
        <v/>
      </c>
      <c r="J316" s="215">
        <f>IF(ISNUMBER(J220),IFERROR(-J220/J109,""),"")</f>
        <v/>
      </c>
      <c r="K316" s="215">
        <f>IF(ISNUMBER(K220),IFERROR(-K220/K109,""),"")</f>
        <v/>
      </c>
      <c r="L316" s="215">
        <f>IF(ISNUMBER(L220),IFERROR(-L220/L109,""),"")</f>
        <v/>
      </c>
      <c r="M316" s="215">
        <f>IF(ISNUMBER(M220),IFERROR(-M220/M109,""),"")</f>
        <v/>
      </c>
      <c r="N316" s="215">
        <f>IF(ISNUMBER(N220),IFERROR(-N220/N109,""),"")</f>
        <v/>
      </c>
      <c r="O316" s="215">
        <f>IF(ISNUMBER(O220),IFERROR(-O220/O109,""),"")</f>
        <v/>
      </c>
      <c r="P316" s="215">
        <f>IF(ISNUMBER(P220),IFERROR(-P220/P109,""),"")</f>
        <v/>
      </c>
      <c r="Q316" s="215">
        <f>IF(ISNUMBER(Q220),IFERROR(-Q220/Q109,""),"")</f>
        <v/>
      </c>
      <c r="R316" s="215">
        <f>IF(ISNUMBER(R220),IFERROR(-R220/R109,""),"")</f>
        <v/>
      </c>
      <c r="S316" s="215">
        <f>IF(ISNUMBER(S220),IFERROR(-S220/S109,""),"")</f>
        <v/>
      </c>
      <c r="T316" s="215">
        <f>IF(ISNUMBER(T220),IFERROR(-T220/T109,""),"")</f>
        <v/>
      </c>
      <c r="U316" s="215">
        <f>IF(ISNUMBER(U220),IFERROR(-U220/U109,""),"")</f>
        <v/>
      </c>
      <c r="V316" s="215">
        <f>IF(ISNUMBER(V220),IFERROR(-V220/V109,""),"")</f>
        <v/>
      </c>
      <c r="W316" s="215">
        <f>IF(ISNUMBER(W220),IFERROR(-W220/W109,""),"")</f>
        <v/>
      </c>
      <c r="X316" s="215">
        <f>IF(ISNUMBER(X220),IFERROR(-X220/X109,""),"")</f>
        <v/>
      </c>
      <c r="Y316" s="215">
        <f>IF(ISNUMBER(Y220),IFERROR(-Y220/Y109,""),"")</f>
        <v/>
      </c>
      <c r="Z316" s="215">
        <f>IF(ISNUMBER(Z220),IFERROR(-Z220/Z109,""),"")</f>
        <v/>
      </c>
      <c r="AA316" s="215">
        <f>IF(ISNUMBER(AA220),IFERROR(-AA220/AA109,""),"")</f>
        <v/>
      </c>
      <c r="AB316" s="215">
        <f>IF(ISNUMBER(AB220),IFERROR(-AB220/AB109,""),"")</f>
        <v/>
      </c>
      <c r="AC316" s="215">
        <f>IF(ISNUMBER(AC220),IFERROR(-AC220/AC109,""),"")</f>
        <v/>
      </c>
      <c r="AD316" s="215">
        <f>IF(ISNUMBER(AD220),IFERROR(-AD220/AD109,""),"")</f>
        <v/>
      </c>
      <c r="AE316" s="215">
        <f>IF(ISNUMBER(AE220),IFERROR(-AE220/AE109,""),"")</f>
        <v/>
      </c>
      <c r="AF316" s="24" t="n"/>
      <c r="AG316" s="24" t="n"/>
      <c r="AH316" s="256">
        <f>IF(ISNUMBER(AH220),IFERROR(-AH220/AH109,""),"")</f>
        <v/>
      </c>
      <c r="AI316" s="256">
        <f>IF(ISNUMBER(AI220),IFERROR(-AI220/AI109,""),"")</f>
        <v/>
      </c>
      <c r="AJ316" s="256">
        <f>IF(ISNUMBER(AJ220),IFERROR(-AJ220/AJ109,""),"")</f>
        <v/>
      </c>
      <c r="AK316" s="256">
        <f>IF(ISNUMBER(AK220),IFERROR(-AK220/AK109,""),"")</f>
        <v/>
      </c>
      <c r="AL316" s="256">
        <f>IF(ISNUMBER(AL220),IFERROR(-AL220/AL109,""),"")</f>
        <v/>
      </c>
      <c r="AM316" s="153" t="n"/>
    </row>
    <row r="317" ht="15" customHeight="1" s="251">
      <c r="AU317" s="11" t="n"/>
      <c r="AV317" s="12" t="n"/>
      <c r="AW317" s="12" t="n"/>
      <c r="AX317" s="12" t="n"/>
      <c r="AY317" s="13" t="n"/>
    </row>
    <row r="318" ht="15" customHeight="1" s="251">
      <c r="B318" s="10" t="inlineStr">
        <is>
          <t>RATIO ANALYSIS</t>
        </is>
      </c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  <c r="AH318" s="10" t="n"/>
      <c r="AI318" s="10" t="n"/>
      <c r="AJ318" s="10" t="n"/>
      <c r="AK318" s="10" t="n"/>
      <c r="AL318" s="10" t="n"/>
      <c r="AM318" s="10" t="inlineStr">
        <is>
          <t>RETURNS — annual columns (NOPAT on Adjusted EBIT; invested capital incl. lease liabilities)</t>
        </is>
      </c>
    </row>
    <row r="319" ht="15" customHeight="1" s="251">
      <c r="B319" s="25" t="inlineStr">
        <is>
          <t>DuPont decomposition of ROIC</t>
        </is>
      </c>
      <c r="AM319" s="153" t="n"/>
    </row>
    <row r="320" ht="15" customHeight="1" s="251">
      <c r="B320" s="25" t="inlineStr">
        <is>
          <t>Adjusted EBIT (Adjusted EBITDA − D&amp;A)</t>
        </is>
      </c>
      <c r="C320" s="261">
        <f>C160</f>
        <v/>
      </c>
      <c r="D320" s="261">
        <f>D160</f>
        <v/>
      </c>
      <c r="E320" s="34" t="n"/>
      <c r="F320" s="34" t="n"/>
      <c r="G320" s="34" t="n"/>
      <c r="H320" s="34" t="n"/>
      <c r="I320" s="261">
        <f>I160</f>
        <v/>
      </c>
      <c r="J320" s="34" t="n"/>
      <c r="K320" s="34" t="n"/>
      <c r="L320" s="34" t="n"/>
      <c r="M320" s="34" t="n"/>
      <c r="N320" s="261">
        <f>N160</f>
        <v/>
      </c>
      <c r="O320" s="34" t="n"/>
      <c r="P320" s="34" t="n"/>
      <c r="Q320" s="34" t="n"/>
      <c r="R320" s="34" t="n"/>
      <c r="S320" s="261">
        <f>S160</f>
        <v/>
      </c>
      <c r="T320" s="34" t="n"/>
      <c r="U320" s="34" t="n"/>
      <c r="V320" s="34" t="n"/>
      <c r="W320" s="34" t="n"/>
      <c r="X320" s="261">
        <f>X160</f>
        <v/>
      </c>
      <c r="Y320" s="34" t="n"/>
      <c r="Z320" s="34" t="n"/>
      <c r="AA320" s="34" t="n"/>
      <c r="AB320" s="34" t="n"/>
      <c r="AC320" s="261">
        <f>AC160</f>
        <v/>
      </c>
      <c r="AD320" s="34" t="n"/>
      <c r="AE320" s="34" t="n"/>
      <c r="AF320" s="35" t="n"/>
      <c r="AG320" s="35" t="n"/>
      <c r="AH320" s="254">
        <f>AH160</f>
        <v/>
      </c>
      <c r="AI320" s="254">
        <f>AI160</f>
        <v/>
      </c>
      <c r="AJ320" s="254">
        <f>AJ160</f>
        <v/>
      </c>
      <c r="AK320" s="254">
        <f>AK160</f>
        <v/>
      </c>
      <c r="AL320" s="254">
        <f>AL160</f>
        <v/>
      </c>
      <c r="AM320" s="19" t="n"/>
    </row>
    <row r="321" ht="15" customHeight="1" s="251">
      <c r="B321" s="25" t="inlineStr">
        <is>
          <t>Effective tax rate (20% normalised where not meaningful)</t>
        </is>
      </c>
      <c r="C321" s="215">
        <f>IF(AND(ISNUMBER(C121),C121&gt;0.05,C121&lt;0.4),C121,0.2)</f>
        <v/>
      </c>
      <c r="D321" s="215">
        <f>IF(AND(ISNUMBER(D121),D121&gt;0.05,D121&lt;0.4),D121,0.2)</f>
        <v/>
      </c>
      <c r="E321" s="34" t="n"/>
      <c r="F321" s="34" t="n"/>
      <c r="G321" s="34" t="n"/>
      <c r="H321" s="34" t="n"/>
      <c r="I321" s="215">
        <f>IF(AND(ISNUMBER(I121),I121&gt;0.05,I121&lt;0.4),I121,0.2)</f>
        <v/>
      </c>
      <c r="J321" s="34" t="n"/>
      <c r="K321" s="34" t="n"/>
      <c r="L321" s="34" t="n"/>
      <c r="M321" s="34" t="n"/>
      <c r="N321" s="215">
        <f>IF(AND(ISNUMBER(N121),N121&gt;0.05,N121&lt;0.4),N121,0.2)</f>
        <v/>
      </c>
      <c r="O321" s="34" t="n"/>
      <c r="P321" s="34" t="n"/>
      <c r="Q321" s="34" t="n"/>
      <c r="R321" s="34" t="n"/>
      <c r="S321" s="215">
        <f>IF(AND(ISNUMBER(S121),S121&gt;0.05,S121&lt;0.4),S121,0.2)</f>
        <v/>
      </c>
      <c r="T321" s="34" t="n"/>
      <c r="U321" s="34" t="n"/>
      <c r="V321" s="34" t="n"/>
      <c r="W321" s="34" t="n"/>
      <c r="X321" s="215">
        <f>IF(AND(ISNUMBER(X121),X121&gt;0.05,X121&lt;0.4),X121,0.2)</f>
        <v/>
      </c>
      <c r="Y321" s="34" t="n"/>
      <c r="Z321" s="34" t="n"/>
      <c r="AA321" s="34" t="n"/>
      <c r="AB321" s="34" t="n"/>
      <c r="AC321" s="215">
        <f>IF(AND(ISNUMBER(AC121),AC121&gt;0.05,AC121&lt;0.4),AC121,0.2)</f>
        <v/>
      </c>
      <c r="AD321" s="34" t="n"/>
      <c r="AE321" s="34" t="n"/>
      <c r="AF321" s="35" t="n"/>
      <c r="AG321" s="35" t="n"/>
      <c r="AH321" s="256">
        <f>IF(AND(ISNUMBER(AH121),AH121&gt;0.05,AH121&lt;0.4),AH121,0.2)</f>
        <v/>
      </c>
      <c r="AI321" s="256">
        <f>IF(AND(ISNUMBER(AI121),AI121&gt;0.05,AI121&lt;0.4),AI121,0.2)</f>
        <v/>
      </c>
      <c r="AJ321" s="256">
        <f>IF(AND(ISNUMBER(AJ121),AJ121&gt;0.05,AJ121&lt;0.4),AJ121,0.2)</f>
        <v/>
      </c>
      <c r="AK321" s="256">
        <f>IF(AND(ISNUMBER(AK121),AK121&gt;0.05,AK121&lt;0.4),AK121,0.2)</f>
        <v/>
      </c>
      <c r="AL321" s="256">
        <f>IF(AND(ISNUMBER(AL121),AL121&gt;0.05,AL121&lt;0.4),AL121,0.2)</f>
        <v/>
      </c>
      <c r="AM321" s="19" t="n"/>
    </row>
    <row r="322" ht="15" customHeight="1" s="251">
      <c r="B322" s="25" t="inlineStr">
        <is>
          <t>NOPAT = Adjusted EBIT × (1 − tax rate)</t>
        </is>
      </c>
      <c r="C322" s="261">
        <f>IFERROR(C320*(1-C321),"n/a")</f>
        <v/>
      </c>
      <c r="D322" s="261">
        <f>IFERROR(D320*(1-D321),"n/a")</f>
        <v/>
      </c>
      <c r="E322" s="34" t="n"/>
      <c r="F322" s="34" t="n"/>
      <c r="G322" s="34" t="n"/>
      <c r="H322" s="34" t="n"/>
      <c r="I322" s="261">
        <f>IFERROR(I320*(1-I321),"n/a")</f>
        <v/>
      </c>
      <c r="J322" s="34" t="n"/>
      <c r="K322" s="34" t="n"/>
      <c r="L322" s="34" t="n"/>
      <c r="M322" s="34" t="n"/>
      <c r="N322" s="261">
        <f>IFERROR(N320*(1-N321),"n/a")</f>
        <v/>
      </c>
      <c r="O322" s="34" t="n"/>
      <c r="P322" s="34" t="n"/>
      <c r="Q322" s="34" t="n"/>
      <c r="R322" s="34" t="n"/>
      <c r="S322" s="261">
        <f>IFERROR(S320*(1-S321),"n/a")</f>
        <v/>
      </c>
      <c r="T322" s="34" t="n"/>
      <c r="U322" s="34" t="n"/>
      <c r="V322" s="34" t="n"/>
      <c r="W322" s="34" t="n"/>
      <c r="X322" s="261">
        <f>IFERROR(X320*(1-X321),"n/a")</f>
        <v/>
      </c>
      <c r="Y322" s="34" t="n"/>
      <c r="Z322" s="34" t="n"/>
      <c r="AA322" s="34" t="n"/>
      <c r="AB322" s="34" t="n"/>
      <c r="AC322" s="261">
        <f>IFERROR(AC320*(1-AC321),"n/a")</f>
        <v/>
      </c>
      <c r="AD322" s="34" t="n"/>
      <c r="AE322" s="34" t="n"/>
      <c r="AF322" s="35" t="n"/>
      <c r="AG322" s="35" t="n"/>
      <c r="AH322" s="254">
        <f>IFERROR(AH320*(1-AH321),"n/a")</f>
        <v/>
      </c>
      <c r="AI322" s="254">
        <f>IFERROR(AI320*(1-AI321),"n/a")</f>
        <v/>
      </c>
      <c r="AJ322" s="254">
        <f>IFERROR(AJ320*(1-AJ321),"n/a")</f>
        <v/>
      </c>
      <c r="AK322" s="254">
        <f>IFERROR(AK320*(1-AK321),"n/a")</f>
        <v/>
      </c>
      <c r="AL322" s="254">
        <f>IFERROR(AL320*(1-AL321),"n/a")</f>
        <v/>
      </c>
      <c r="AM322" s="19" t="n"/>
    </row>
    <row r="323" ht="15" customHeight="1" s="251">
      <c r="B323" s="25" t="inlineStr">
        <is>
          <t>Invested capital (IC) = Equity + Net debt (incl. leases)</t>
        </is>
      </c>
      <c r="C323" s="261">
        <f>IFERROR(C324+C325,"n/a")</f>
        <v/>
      </c>
      <c r="D323" s="261">
        <f>IFERROR(D324+D325,"n/a")</f>
        <v/>
      </c>
      <c r="E323" s="34" t="n"/>
      <c r="F323" s="34" t="n"/>
      <c r="G323" s="34" t="n"/>
      <c r="H323" s="34" t="n"/>
      <c r="I323" s="261">
        <f>IFERROR(I324+I325,"n/a")</f>
        <v/>
      </c>
      <c r="J323" s="34" t="n"/>
      <c r="K323" s="34" t="n"/>
      <c r="L323" s="34" t="n"/>
      <c r="M323" s="34" t="n"/>
      <c r="N323" s="261">
        <f>IFERROR(N324+N325,"n/a")</f>
        <v/>
      </c>
      <c r="O323" s="34" t="n"/>
      <c r="P323" s="34" t="n"/>
      <c r="Q323" s="34" t="n"/>
      <c r="R323" s="34" t="n"/>
      <c r="S323" s="261">
        <f>IFERROR(S324+S325,"n/a")</f>
        <v/>
      </c>
      <c r="T323" s="34" t="n"/>
      <c r="U323" s="34" t="n"/>
      <c r="V323" s="34" t="n"/>
      <c r="W323" s="34" t="n"/>
      <c r="X323" s="261">
        <f>IFERROR(X324+X325,"n/a")</f>
        <v/>
      </c>
      <c r="Y323" s="34" t="n"/>
      <c r="Z323" s="34" t="n"/>
      <c r="AA323" s="34" t="n"/>
      <c r="AB323" s="34" t="n"/>
      <c r="AC323" s="261">
        <f>IFERROR(AC324+AC325,"n/a")</f>
        <v/>
      </c>
      <c r="AD323" s="34" t="n"/>
      <c r="AE323" s="34" t="n"/>
      <c r="AF323" s="35" t="n"/>
      <c r="AG323" s="35" t="n"/>
      <c r="AH323" s="254">
        <f>IFERROR(AH324+AH325,"n/a")</f>
        <v/>
      </c>
      <c r="AI323" s="254">
        <f>IFERROR(AI324+AI325,"n/a")</f>
        <v/>
      </c>
      <c r="AJ323" s="254">
        <f>IFERROR(AJ324+AJ325,"n/a")</f>
        <v/>
      </c>
      <c r="AK323" s="254">
        <f>IFERROR(AK324+AK325,"n/a")</f>
        <v/>
      </c>
      <c r="AL323" s="254">
        <f>IFERROR(AL324+AL325,"n/a")</f>
        <v/>
      </c>
      <c r="AM323" s="19" t="n"/>
    </row>
    <row r="324" ht="15" customHeight="1" s="251">
      <c r="B324" s="25" t="inlineStr">
        <is>
          <t xml:space="preserve">  Total equity</t>
        </is>
      </c>
      <c r="C324" s="261">
        <f>IF(ISNUMBER(C279),C279,"n/a")</f>
        <v/>
      </c>
      <c r="D324" s="261">
        <f>IF(ISNUMBER(D279),D279,"n/a")</f>
        <v/>
      </c>
      <c r="E324" s="34" t="n"/>
      <c r="F324" s="34" t="n"/>
      <c r="G324" s="34" t="n"/>
      <c r="H324" s="34" t="n"/>
      <c r="I324" s="261">
        <f>IF(ISNUMBER(I279),I279,"n/a")</f>
        <v/>
      </c>
      <c r="J324" s="34" t="n"/>
      <c r="K324" s="34" t="n"/>
      <c r="L324" s="34" t="n"/>
      <c r="M324" s="34" t="n"/>
      <c r="N324" s="261">
        <f>IF(ISNUMBER(N279),N279,"n/a")</f>
        <v/>
      </c>
      <c r="O324" s="34" t="n"/>
      <c r="P324" s="34" t="n"/>
      <c r="Q324" s="34" t="n"/>
      <c r="R324" s="34" t="n"/>
      <c r="S324" s="261">
        <f>IF(ISNUMBER(S279),S279,"n/a")</f>
        <v/>
      </c>
      <c r="T324" s="34" t="n"/>
      <c r="U324" s="34" t="n"/>
      <c r="V324" s="34" t="n"/>
      <c r="W324" s="34" t="n"/>
      <c r="X324" s="261">
        <f>IF(ISNUMBER(X279),X279,"n/a")</f>
        <v/>
      </c>
      <c r="Y324" s="34" t="n"/>
      <c r="Z324" s="34" t="n"/>
      <c r="AA324" s="34" t="n"/>
      <c r="AB324" s="34" t="n"/>
      <c r="AC324" s="261">
        <f>IF(ISNUMBER(AC279),AC279,"n/a")</f>
        <v/>
      </c>
      <c r="AD324" s="34" t="n"/>
      <c r="AE324" s="34" t="n"/>
      <c r="AF324" s="35" t="n"/>
      <c r="AG324" s="35" t="n"/>
      <c r="AH324" s="254">
        <f>IF(ISNUMBER(AH279),AH279,"n/a")</f>
        <v/>
      </c>
      <c r="AI324" s="254">
        <f>IF(ISNUMBER(AI279),AI279,"n/a")</f>
        <v/>
      </c>
      <c r="AJ324" s="254">
        <f>IF(ISNUMBER(AJ279),AJ279,"n/a")</f>
        <v/>
      </c>
      <c r="AK324" s="254">
        <f>IF(ISNUMBER(AK279),AK279,"n/a")</f>
        <v/>
      </c>
      <c r="AL324" s="254">
        <f>IF(ISNUMBER(AL279),AL279,"n/a")</f>
        <v/>
      </c>
      <c r="AM324" s="19" t="n"/>
    </row>
    <row r="325" ht="15" customHeight="1" s="251">
      <c r="B325" s="25" t="inlineStr">
        <is>
          <t xml:space="preserve">  Net debt = lease &amp; financial liabilities − cash</t>
        </is>
      </c>
      <c r="C325" s="261">
        <f>IFERROR(C307-C258,"n/a")</f>
        <v/>
      </c>
      <c r="D325" s="261">
        <f>IFERROR(D307-D258,"n/a")</f>
        <v/>
      </c>
      <c r="E325" s="34" t="n"/>
      <c r="F325" s="34" t="n"/>
      <c r="G325" s="34" t="n"/>
      <c r="H325" s="34" t="n"/>
      <c r="I325" s="261">
        <f>IFERROR(I307-I258,"n/a")</f>
        <v/>
      </c>
      <c r="J325" s="34" t="n"/>
      <c r="K325" s="34" t="n"/>
      <c r="L325" s="34" t="n"/>
      <c r="M325" s="34" t="n"/>
      <c r="N325" s="261">
        <f>IFERROR(N307-N258,"n/a")</f>
        <v/>
      </c>
      <c r="O325" s="34" t="n"/>
      <c r="P325" s="34" t="n"/>
      <c r="Q325" s="34" t="n"/>
      <c r="R325" s="34" t="n"/>
      <c r="S325" s="261">
        <f>IFERROR(S307-S258,"n/a")</f>
        <v/>
      </c>
      <c r="T325" s="34" t="n"/>
      <c r="U325" s="34" t="n"/>
      <c r="V325" s="34" t="n"/>
      <c r="W325" s="34" t="n"/>
      <c r="X325" s="261">
        <f>IFERROR(X307-X258,"n/a")</f>
        <v/>
      </c>
      <c r="Y325" s="34" t="n"/>
      <c r="Z325" s="34" t="n"/>
      <c r="AA325" s="34" t="n"/>
      <c r="AB325" s="34" t="n"/>
      <c r="AC325" s="261">
        <f>IFERROR(AC307-AC258,"n/a")</f>
        <v/>
      </c>
      <c r="AD325" s="34" t="n"/>
      <c r="AE325" s="34" t="n"/>
      <c r="AF325" s="35" t="n"/>
      <c r="AG325" s="35" t="n"/>
      <c r="AH325" s="254">
        <f>IFERROR(AH307-AH258,"n/a")</f>
        <v/>
      </c>
      <c r="AI325" s="254">
        <f>IFERROR(AI307-AI258,"n/a")</f>
        <v/>
      </c>
      <c r="AJ325" s="254">
        <f>IFERROR(AJ307-AJ258,"n/a")</f>
        <v/>
      </c>
      <c r="AK325" s="254">
        <f>IFERROR(AK307-AK258,"n/a")</f>
        <v/>
      </c>
      <c r="AL325" s="254">
        <f>IFERROR(AL307-AL258,"n/a")</f>
        <v/>
      </c>
      <c r="AM325" s="19" t="n"/>
    </row>
    <row r="326" ht="15" customHeight="1" s="251">
      <c r="B326" s="55" t="inlineStr">
        <is>
          <t>ROIC = NOPAT / IC</t>
        </is>
      </c>
      <c r="C326" s="286">
        <f>IFERROR(C322/C323,"n/a")</f>
        <v/>
      </c>
      <c r="D326" s="286">
        <f>IFERROR(D322/D323,"n/a")</f>
        <v/>
      </c>
      <c r="E326" s="56" t="n"/>
      <c r="F326" s="56" t="n"/>
      <c r="G326" s="56" t="n"/>
      <c r="H326" s="56" t="n"/>
      <c r="I326" s="286">
        <f>IFERROR(I322/I323,"n/a")</f>
        <v/>
      </c>
      <c r="J326" s="56" t="n"/>
      <c r="K326" s="56" t="n"/>
      <c r="L326" s="56" t="n"/>
      <c r="M326" s="56" t="n"/>
      <c r="N326" s="286">
        <f>IFERROR(N322/N323,"n/a")</f>
        <v/>
      </c>
      <c r="O326" s="56" t="n"/>
      <c r="P326" s="56" t="n"/>
      <c r="Q326" s="56" t="n"/>
      <c r="R326" s="56" t="n"/>
      <c r="S326" s="286">
        <f>IFERROR(S322/S323,"n/a")</f>
        <v/>
      </c>
      <c r="T326" s="56" t="n"/>
      <c r="U326" s="56" t="n"/>
      <c r="V326" s="56" t="n"/>
      <c r="W326" s="56" t="n"/>
      <c r="X326" s="286">
        <f>IFERROR(X322/X323,"n/a")</f>
        <v/>
      </c>
      <c r="Y326" s="56" t="n"/>
      <c r="Z326" s="56" t="n"/>
      <c r="AA326" s="56" t="n"/>
      <c r="AB326" s="56" t="n"/>
      <c r="AC326" s="286">
        <f>IFERROR(AC322/AC323,"n/a")</f>
        <v/>
      </c>
      <c r="AD326" s="56" t="n"/>
      <c r="AE326" s="56" t="n"/>
      <c r="AF326" s="56" t="n"/>
      <c r="AG326" s="56" t="n"/>
      <c r="AH326" s="286">
        <f>IFERROR(AH322/AH323,"n/a")</f>
        <v/>
      </c>
      <c r="AI326" s="286">
        <f>IFERROR(AI322/AI323,"n/a")</f>
        <v/>
      </c>
      <c r="AJ326" s="286">
        <f>IFERROR(AJ322/AJ323,"n/a")</f>
        <v/>
      </c>
      <c r="AK326" s="286">
        <f>IFERROR(AK322/AK323,"n/a")</f>
        <v/>
      </c>
      <c r="AL326" s="286">
        <f>IFERROR(AL322/AL323,"n/a")</f>
        <v/>
      </c>
      <c r="AM326" s="153" t="n"/>
      <c r="AO326" s="37">
        <f>IFERROR(AVERAGE(AH326,AI326,AJ326,AK326,AL326),"n/m")</f>
        <v/>
      </c>
      <c r="AP326" s="37">
        <f>IFERROR(AVERAGE(I326,N326,S326,X326,AC326),"n/m")</f>
        <v/>
      </c>
      <c r="AQ326" s="37">
        <f>IFERROR(AVERAGE(S326,X326,AC326),"n/m")</f>
        <v/>
      </c>
      <c r="AR326" s="37">
        <f>IFERROR(AVERAGE(C326,D326,I326,N326,S326,X326,AC326),"n/m")</f>
        <v/>
      </c>
    </row>
    <row r="327" ht="15" customHeight="1" s="251">
      <c r="B327" s="25" t="inlineStr">
        <is>
          <t xml:space="preserve">  Margin = Adjusted EBIT / Net sales</t>
        </is>
      </c>
      <c r="C327" s="215">
        <f>IFERROR(C320/C109,"n/a")</f>
        <v/>
      </c>
      <c r="D327" s="215">
        <f>IFERROR(D320/D109,"n/a")</f>
        <v/>
      </c>
      <c r="E327" s="34" t="n"/>
      <c r="F327" s="34" t="n"/>
      <c r="G327" s="34" t="n"/>
      <c r="H327" s="34" t="n"/>
      <c r="I327" s="215">
        <f>IFERROR(I320/I109,"n/a")</f>
        <v/>
      </c>
      <c r="J327" s="34" t="n"/>
      <c r="K327" s="34" t="n"/>
      <c r="L327" s="34" t="n"/>
      <c r="M327" s="34" t="n"/>
      <c r="N327" s="215">
        <f>IFERROR(N320/N109,"n/a")</f>
        <v/>
      </c>
      <c r="O327" s="34" t="n"/>
      <c r="P327" s="34" t="n"/>
      <c r="Q327" s="34" t="n"/>
      <c r="R327" s="34" t="n"/>
      <c r="S327" s="215">
        <f>IFERROR(S320/S109,"n/a")</f>
        <v/>
      </c>
      <c r="T327" s="34" t="n"/>
      <c r="U327" s="34" t="n"/>
      <c r="V327" s="34" t="n"/>
      <c r="W327" s="34" t="n"/>
      <c r="X327" s="215">
        <f>IFERROR(X320/X109,"n/a")</f>
        <v/>
      </c>
      <c r="Y327" s="34" t="n"/>
      <c r="Z327" s="34" t="n"/>
      <c r="AA327" s="34" t="n"/>
      <c r="AB327" s="34" t="n"/>
      <c r="AC327" s="215">
        <f>IFERROR(AC320/AC109,"n/a")</f>
        <v/>
      </c>
      <c r="AD327" s="34" t="n"/>
      <c r="AE327" s="34" t="n"/>
      <c r="AF327" s="35" t="n"/>
      <c r="AG327" s="35" t="n"/>
      <c r="AH327" s="256">
        <f>IFERROR(AH320/AH109,"n/a")</f>
        <v/>
      </c>
      <c r="AI327" s="256">
        <f>IFERROR(AI320/AI109,"n/a")</f>
        <v/>
      </c>
      <c r="AJ327" s="256">
        <f>IFERROR(AJ320/AJ109,"n/a")</f>
        <v/>
      </c>
      <c r="AK327" s="256">
        <f>IFERROR(AK320/AK109,"n/a")</f>
        <v/>
      </c>
      <c r="AL327" s="256">
        <f>IFERROR(AL320/AL109,"n/a")</f>
        <v/>
      </c>
      <c r="AM327" s="19" t="n"/>
    </row>
    <row r="328" ht="15" customHeight="1" s="251">
      <c r="B328" s="25" t="inlineStr">
        <is>
          <t xml:space="preserve">  Capital turnover = Net sales / IC</t>
        </is>
      </c>
      <c r="C328" s="279">
        <f>IFERROR(C109/C323,"n/a")</f>
        <v/>
      </c>
      <c r="D328" s="279">
        <f>IFERROR(D109/D323,"n/a")</f>
        <v/>
      </c>
      <c r="E328" s="34" t="n"/>
      <c r="F328" s="34" t="n"/>
      <c r="G328" s="34" t="n"/>
      <c r="H328" s="34" t="n"/>
      <c r="I328" s="279">
        <f>IFERROR(I109/I323,"n/a")</f>
        <v/>
      </c>
      <c r="J328" s="34" t="n"/>
      <c r="K328" s="34" t="n"/>
      <c r="L328" s="34" t="n"/>
      <c r="M328" s="34" t="n"/>
      <c r="N328" s="279">
        <f>IFERROR(N109/N323,"n/a")</f>
        <v/>
      </c>
      <c r="O328" s="34" t="n"/>
      <c r="P328" s="34" t="n"/>
      <c r="Q328" s="34" t="n"/>
      <c r="R328" s="34" t="n"/>
      <c r="S328" s="279">
        <f>IFERROR(S109/S323,"n/a")</f>
        <v/>
      </c>
      <c r="T328" s="34" t="n"/>
      <c r="U328" s="34" t="n"/>
      <c r="V328" s="34" t="n"/>
      <c r="W328" s="34" t="n"/>
      <c r="X328" s="279">
        <f>IFERROR(X109/X323,"n/a")</f>
        <v/>
      </c>
      <c r="Y328" s="34" t="n"/>
      <c r="Z328" s="34" t="n"/>
      <c r="AA328" s="34" t="n"/>
      <c r="AB328" s="34" t="n"/>
      <c r="AC328" s="279">
        <f>IFERROR(AC109/AC323,"n/a")</f>
        <v/>
      </c>
      <c r="AD328" s="34" t="n"/>
      <c r="AE328" s="34" t="n"/>
      <c r="AF328" s="35" t="n"/>
      <c r="AG328" s="35" t="n"/>
      <c r="AH328" s="280">
        <f>IFERROR(AH109/AH323,"n/a")</f>
        <v/>
      </c>
      <c r="AI328" s="280">
        <f>IFERROR(AI109/AI323,"n/a")</f>
        <v/>
      </c>
      <c r="AJ328" s="280">
        <f>IFERROR(AJ109/AJ323,"n/a")</f>
        <v/>
      </c>
      <c r="AK328" s="280">
        <f>IFERROR(AK109/AK323,"n/a")</f>
        <v/>
      </c>
      <c r="AL328" s="280">
        <f>IFERROR(AL109/AL323,"n/a")</f>
        <v/>
      </c>
      <c r="AM328" s="19" t="n"/>
    </row>
    <row r="329" ht="15" customHeight="1" s="251">
      <c r="B329" s="25" t="inlineStr">
        <is>
          <t xml:space="preserve">  Tax burden = (1 − effective tax rate)</t>
        </is>
      </c>
      <c r="C329" s="215">
        <f>IFERROR(1-C321,"n/a")</f>
        <v/>
      </c>
      <c r="D329" s="215">
        <f>IFERROR(1-D321,"n/a")</f>
        <v/>
      </c>
      <c r="E329" s="34" t="n"/>
      <c r="F329" s="34" t="n"/>
      <c r="G329" s="34" t="n"/>
      <c r="H329" s="34" t="n"/>
      <c r="I329" s="215">
        <f>IFERROR(1-I321,"n/a")</f>
        <v/>
      </c>
      <c r="J329" s="34" t="n"/>
      <c r="K329" s="34" t="n"/>
      <c r="L329" s="34" t="n"/>
      <c r="M329" s="34" t="n"/>
      <c r="N329" s="215">
        <f>IFERROR(1-N321,"n/a")</f>
        <v/>
      </c>
      <c r="O329" s="34" t="n"/>
      <c r="P329" s="34" t="n"/>
      <c r="Q329" s="34" t="n"/>
      <c r="R329" s="34" t="n"/>
      <c r="S329" s="215">
        <f>IFERROR(1-S321,"n/a")</f>
        <v/>
      </c>
      <c r="T329" s="34" t="n"/>
      <c r="U329" s="34" t="n"/>
      <c r="V329" s="34" t="n"/>
      <c r="W329" s="34" t="n"/>
      <c r="X329" s="215">
        <f>IFERROR(1-X321,"n/a")</f>
        <v/>
      </c>
      <c r="Y329" s="34" t="n"/>
      <c r="Z329" s="34" t="n"/>
      <c r="AA329" s="34" t="n"/>
      <c r="AB329" s="34" t="n"/>
      <c r="AC329" s="215">
        <f>IFERROR(1-AC321,"n/a")</f>
        <v/>
      </c>
      <c r="AD329" s="34" t="n"/>
      <c r="AE329" s="34" t="n"/>
      <c r="AF329" s="35" t="n"/>
      <c r="AG329" s="35" t="n"/>
      <c r="AH329" s="256">
        <f>IFERROR(1-AH321,"n/a")</f>
        <v/>
      </c>
      <c r="AI329" s="256">
        <f>IFERROR(1-AI321,"n/a")</f>
        <v/>
      </c>
      <c r="AJ329" s="256">
        <f>IFERROR(1-AJ321,"n/a")</f>
        <v/>
      </c>
      <c r="AK329" s="256">
        <f>IFERROR(1-AK321,"n/a")</f>
        <v/>
      </c>
      <c r="AL329" s="256">
        <f>IFERROR(1-AL321,"n/a")</f>
        <v/>
      </c>
      <c r="AM329" s="19" t="n"/>
    </row>
    <row r="330" ht="15" customHeight="1" s="251">
      <c r="B330" s="25" t="inlineStr">
        <is>
          <t xml:space="preserve">  Check: Margin × Turnover × Tax burden = ROIC</t>
        </is>
      </c>
      <c r="C330" s="215">
        <f>IFERROR(C327*C328*C329,"n/a")</f>
        <v/>
      </c>
      <c r="D330" s="215">
        <f>IFERROR(D327*D328*D329,"n/a")</f>
        <v/>
      </c>
      <c r="E330" s="34" t="n"/>
      <c r="F330" s="34" t="n"/>
      <c r="G330" s="34" t="n"/>
      <c r="H330" s="34" t="n"/>
      <c r="I330" s="215">
        <f>IFERROR(I327*I328*I329,"n/a")</f>
        <v/>
      </c>
      <c r="J330" s="34" t="n"/>
      <c r="K330" s="34" t="n"/>
      <c r="L330" s="34" t="n"/>
      <c r="M330" s="34" t="n"/>
      <c r="N330" s="215">
        <f>IFERROR(N327*N328*N329,"n/a")</f>
        <v/>
      </c>
      <c r="O330" s="34" t="n"/>
      <c r="P330" s="34" t="n"/>
      <c r="Q330" s="34" t="n"/>
      <c r="R330" s="34" t="n"/>
      <c r="S330" s="215">
        <f>IFERROR(S327*S328*S329,"n/a")</f>
        <v/>
      </c>
      <c r="T330" s="34" t="n"/>
      <c r="U330" s="34" t="n"/>
      <c r="V330" s="34" t="n"/>
      <c r="W330" s="34" t="n"/>
      <c r="X330" s="215">
        <f>IFERROR(X327*X328*X329,"n/a")</f>
        <v/>
      </c>
      <c r="Y330" s="34" t="n"/>
      <c r="Z330" s="34" t="n"/>
      <c r="AA330" s="34" t="n"/>
      <c r="AB330" s="34" t="n"/>
      <c r="AC330" s="215">
        <f>IFERROR(AC327*AC328*AC329,"n/a")</f>
        <v/>
      </c>
      <c r="AD330" s="34" t="n"/>
      <c r="AE330" s="34" t="n"/>
      <c r="AF330" s="35" t="n"/>
      <c r="AG330" s="35" t="n"/>
      <c r="AH330" s="256">
        <f>IFERROR(AH327*AH328*AH329,"n/a")</f>
        <v/>
      </c>
      <c r="AI330" s="256">
        <f>IFERROR(AI327*AI328*AI329,"n/a")</f>
        <v/>
      </c>
      <c r="AJ330" s="256">
        <f>IFERROR(AJ327*AJ328*AJ329,"n/a")</f>
        <v/>
      </c>
      <c r="AK330" s="256">
        <f>IFERROR(AK327*AK328*AK329,"n/a")</f>
        <v/>
      </c>
      <c r="AL330" s="256">
        <f>IFERROR(AL327*AL328*AL329,"n/a")</f>
        <v/>
      </c>
      <c r="AM330" s="19" t="n"/>
    </row>
    <row r="331" ht="15" customHeight="1" s="251">
      <c r="B331" s="25" t="inlineStr">
        <is>
          <t>RONTA decomposition</t>
        </is>
      </c>
      <c r="AM331" s="153" t="n"/>
    </row>
    <row r="332" ht="15" customHeight="1" s="251">
      <c r="B332" s="25" t="inlineStr">
        <is>
          <t>NOPAT = Adjusted EBIT × (1 − tax rate)</t>
        </is>
      </c>
      <c r="C332" s="261">
        <f>C322</f>
        <v/>
      </c>
      <c r="D332" s="261">
        <f>D322</f>
        <v/>
      </c>
      <c r="E332" s="34" t="n"/>
      <c r="F332" s="34" t="n"/>
      <c r="G332" s="34" t="n"/>
      <c r="H332" s="34" t="n"/>
      <c r="I332" s="261">
        <f>I322</f>
        <v/>
      </c>
      <c r="J332" s="34" t="n"/>
      <c r="K332" s="34" t="n"/>
      <c r="L332" s="34" t="n"/>
      <c r="M332" s="34" t="n"/>
      <c r="N332" s="261">
        <f>N322</f>
        <v/>
      </c>
      <c r="O332" s="34" t="n"/>
      <c r="P332" s="34" t="n"/>
      <c r="Q332" s="34" t="n"/>
      <c r="R332" s="34" t="n"/>
      <c r="S332" s="261">
        <f>S322</f>
        <v/>
      </c>
      <c r="T332" s="34" t="n"/>
      <c r="U332" s="34" t="n"/>
      <c r="V332" s="34" t="n"/>
      <c r="W332" s="34" t="n"/>
      <c r="X332" s="261">
        <f>X322</f>
        <v/>
      </c>
      <c r="Y332" s="34" t="n"/>
      <c r="Z332" s="34" t="n"/>
      <c r="AA332" s="34" t="n"/>
      <c r="AB332" s="34" t="n"/>
      <c r="AC332" s="261">
        <f>AC322</f>
        <v/>
      </c>
      <c r="AD332" s="34" t="n"/>
      <c r="AE332" s="34" t="n"/>
      <c r="AF332" s="35" t="n"/>
      <c r="AG332" s="35" t="n"/>
      <c r="AH332" s="254">
        <f>AH322</f>
        <v/>
      </c>
      <c r="AI332" s="254">
        <f>AI322</f>
        <v/>
      </c>
      <c r="AJ332" s="254">
        <f>AJ322</f>
        <v/>
      </c>
      <c r="AK332" s="254">
        <f>AK322</f>
        <v/>
      </c>
      <c r="AL332" s="254">
        <f>AL322</f>
        <v/>
      </c>
      <c r="AM332" s="19" t="n"/>
    </row>
    <row r="333" ht="15" customHeight="1" s="251">
      <c r="B333" s="25" t="inlineStr">
        <is>
          <t xml:space="preserve">  Total assets</t>
        </is>
      </c>
      <c r="C333" s="261">
        <f>C266</f>
        <v/>
      </c>
      <c r="D333" s="261">
        <f>D266</f>
        <v/>
      </c>
      <c r="E333" s="34" t="n"/>
      <c r="F333" s="34" t="n"/>
      <c r="G333" s="34" t="n"/>
      <c r="H333" s="34" t="n"/>
      <c r="I333" s="261">
        <f>I266</f>
        <v/>
      </c>
      <c r="J333" s="34" t="n"/>
      <c r="K333" s="34" t="n"/>
      <c r="L333" s="34" t="n"/>
      <c r="M333" s="34" t="n"/>
      <c r="N333" s="261">
        <f>N266</f>
        <v/>
      </c>
      <c r="O333" s="34" t="n"/>
      <c r="P333" s="34" t="n"/>
      <c r="Q333" s="34" t="n"/>
      <c r="R333" s="34" t="n"/>
      <c r="S333" s="261">
        <f>S266</f>
        <v/>
      </c>
      <c r="T333" s="34" t="n"/>
      <c r="U333" s="34" t="n"/>
      <c r="V333" s="34" t="n"/>
      <c r="W333" s="34" t="n"/>
      <c r="X333" s="261">
        <f>X266</f>
        <v/>
      </c>
      <c r="Y333" s="34" t="n"/>
      <c r="Z333" s="34" t="n"/>
      <c r="AA333" s="34" t="n"/>
      <c r="AB333" s="34" t="n"/>
      <c r="AC333" s="261">
        <f>AC266</f>
        <v/>
      </c>
      <c r="AD333" s="34" t="n"/>
      <c r="AE333" s="34" t="n"/>
      <c r="AF333" s="35" t="n"/>
      <c r="AG333" s="35" t="n"/>
      <c r="AH333" s="254">
        <f>AH266</f>
        <v/>
      </c>
      <c r="AI333" s="254">
        <f>AI266</f>
        <v/>
      </c>
      <c r="AJ333" s="254">
        <f>AJ266</f>
        <v/>
      </c>
      <c r="AK333" s="254">
        <f>AK266</f>
        <v/>
      </c>
      <c r="AL333" s="254">
        <f>AL266</f>
        <v/>
      </c>
      <c r="AM333" s="19" t="n"/>
    </row>
    <row r="334" ht="15" customHeight="1" s="251">
      <c r="B334" s="25" t="inlineStr">
        <is>
          <t xml:space="preserve">  − Cash</t>
        </is>
      </c>
      <c r="C334" s="261">
        <f>IFERROR(-C258,"n/a")</f>
        <v/>
      </c>
      <c r="D334" s="261">
        <f>IFERROR(-D258,"n/a")</f>
        <v/>
      </c>
      <c r="E334" s="34" t="n"/>
      <c r="F334" s="34" t="n"/>
      <c r="G334" s="34" t="n"/>
      <c r="H334" s="34" t="n"/>
      <c r="I334" s="261">
        <f>IFERROR(-I258,"n/a")</f>
        <v/>
      </c>
      <c r="J334" s="34" t="n"/>
      <c r="K334" s="34" t="n"/>
      <c r="L334" s="34" t="n"/>
      <c r="M334" s="34" t="n"/>
      <c r="N334" s="261">
        <f>IFERROR(-N258,"n/a")</f>
        <v/>
      </c>
      <c r="O334" s="34" t="n"/>
      <c r="P334" s="34" t="n"/>
      <c r="Q334" s="34" t="n"/>
      <c r="R334" s="34" t="n"/>
      <c r="S334" s="261">
        <f>IFERROR(-S258,"n/a")</f>
        <v/>
      </c>
      <c r="T334" s="34" t="n"/>
      <c r="U334" s="34" t="n"/>
      <c r="V334" s="34" t="n"/>
      <c r="W334" s="34" t="n"/>
      <c r="X334" s="261">
        <f>IFERROR(-X258,"n/a")</f>
        <v/>
      </c>
      <c r="Y334" s="34" t="n"/>
      <c r="Z334" s="34" t="n"/>
      <c r="AA334" s="34" t="n"/>
      <c r="AB334" s="34" t="n"/>
      <c r="AC334" s="261">
        <f>IFERROR(-AC258,"n/a")</f>
        <v/>
      </c>
      <c r="AD334" s="34" t="n"/>
      <c r="AE334" s="34" t="n"/>
      <c r="AF334" s="35" t="n"/>
      <c r="AG334" s="35" t="n"/>
      <c r="AH334" s="254">
        <f>IFERROR(-AH258,"n/a")</f>
        <v/>
      </c>
      <c r="AI334" s="254">
        <f>IFERROR(-AI258,"n/a")</f>
        <v/>
      </c>
      <c r="AJ334" s="254">
        <f>IFERROR(-AJ258,"n/a")</f>
        <v/>
      </c>
      <c r="AK334" s="254">
        <f>IFERROR(-AK258,"n/a")</f>
        <v/>
      </c>
      <c r="AL334" s="254">
        <f>IFERROR(-AL258,"n/a")</f>
        <v/>
      </c>
      <c r="AM334" s="19" t="n"/>
    </row>
    <row r="335" ht="15" customHeight="1" s="251">
      <c r="B335" s="25" t="inlineStr">
        <is>
          <t xml:space="preserve">  − Non-interest-bearing current liabilities (trade payables &amp; other operating)</t>
        </is>
      </c>
      <c r="C335" s="261">
        <f>IFERROR(-(C268+C270),"n/a")</f>
        <v/>
      </c>
      <c r="D335" s="261">
        <f>IFERROR(-(D268+D270),"n/a")</f>
        <v/>
      </c>
      <c r="E335" s="34" t="n"/>
      <c r="F335" s="34" t="n"/>
      <c r="G335" s="34" t="n"/>
      <c r="H335" s="34" t="n"/>
      <c r="I335" s="261">
        <f>IFERROR(-(I268+I270),"n/a")</f>
        <v/>
      </c>
      <c r="J335" s="34" t="n"/>
      <c r="K335" s="34" t="n"/>
      <c r="L335" s="34" t="n"/>
      <c r="M335" s="34" t="n"/>
      <c r="N335" s="261">
        <f>IFERROR(-(N268+N270),"n/a")</f>
        <v/>
      </c>
      <c r="O335" s="34" t="n"/>
      <c r="P335" s="34" t="n"/>
      <c r="Q335" s="34" t="n"/>
      <c r="R335" s="34" t="n"/>
      <c r="S335" s="261">
        <f>IFERROR(-(S268+S270),"n/a")</f>
        <v/>
      </c>
      <c r="T335" s="34" t="n"/>
      <c r="U335" s="34" t="n"/>
      <c r="V335" s="34" t="n"/>
      <c r="W335" s="34" t="n"/>
      <c r="X335" s="261">
        <f>IFERROR(-(X268+X270),"n/a")</f>
        <v/>
      </c>
      <c r="Y335" s="34" t="n"/>
      <c r="Z335" s="34" t="n"/>
      <c r="AA335" s="34" t="n"/>
      <c r="AB335" s="34" t="n"/>
      <c r="AC335" s="261">
        <f>IFERROR(-(AC268+AC270),"n/a")</f>
        <v/>
      </c>
      <c r="AD335" s="34" t="n"/>
      <c r="AE335" s="34" t="n"/>
      <c r="AF335" s="35" t="n"/>
      <c r="AG335" s="35" t="n"/>
      <c r="AH335" s="254">
        <f>IFERROR(-(AH268+AH270),"n/a")</f>
        <v/>
      </c>
      <c r="AI335" s="254">
        <f>IFERROR(-(AI268+AI270),"n/a")</f>
        <v/>
      </c>
      <c r="AJ335" s="254">
        <f>IFERROR(-(AJ268+AJ270),"n/a")</f>
        <v/>
      </c>
      <c r="AK335" s="254">
        <f>IFERROR(-(AK268+AK270),"n/a")</f>
        <v/>
      </c>
      <c r="AL335" s="254">
        <f>IFERROR(-(AL268+AL270),"n/a")</f>
        <v/>
      </c>
      <c r="AM335" s="19" t="n"/>
    </row>
    <row r="336" ht="15" customHeight="1" s="251">
      <c r="B336" s="25" t="inlineStr">
        <is>
          <t xml:space="preserve">  = Net operating assets (excl. cash)</t>
        </is>
      </c>
      <c r="C336" s="261">
        <f>IFERROR(SUM(C333:C335),"n/a")</f>
        <v/>
      </c>
      <c r="D336" s="261">
        <f>IFERROR(SUM(D333:D335),"n/a")</f>
        <v/>
      </c>
      <c r="E336" s="34" t="n"/>
      <c r="F336" s="34" t="n"/>
      <c r="G336" s="34" t="n"/>
      <c r="H336" s="34" t="n"/>
      <c r="I336" s="261">
        <f>IFERROR(SUM(I333:I335),"n/a")</f>
        <v/>
      </c>
      <c r="J336" s="34" t="n"/>
      <c r="K336" s="34" t="n"/>
      <c r="L336" s="34" t="n"/>
      <c r="M336" s="34" t="n"/>
      <c r="N336" s="261">
        <f>IFERROR(SUM(N333:N335),"n/a")</f>
        <v/>
      </c>
      <c r="O336" s="34" t="n"/>
      <c r="P336" s="34" t="n"/>
      <c r="Q336" s="34" t="n"/>
      <c r="R336" s="34" t="n"/>
      <c r="S336" s="261">
        <f>IFERROR(SUM(S333:S335),"n/a")</f>
        <v/>
      </c>
      <c r="T336" s="34" t="n"/>
      <c r="U336" s="34" t="n"/>
      <c r="V336" s="34" t="n"/>
      <c r="W336" s="34" t="n"/>
      <c r="X336" s="261">
        <f>IFERROR(SUM(X333:X335),"n/a")</f>
        <v/>
      </c>
      <c r="Y336" s="34" t="n"/>
      <c r="Z336" s="34" t="n"/>
      <c r="AA336" s="34" t="n"/>
      <c r="AB336" s="34" t="n"/>
      <c r="AC336" s="261">
        <f>IFERROR(SUM(AC333:AC335),"n/a")</f>
        <v/>
      </c>
      <c r="AD336" s="34" t="n"/>
      <c r="AE336" s="34" t="n"/>
      <c r="AF336" s="35" t="n"/>
      <c r="AG336" s="35" t="n"/>
      <c r="AH336" s="254">
        <f>IFERROR(SUM(AH333:AH335),"n/a")</f>
        <v/>
      </c>
      <c r="AI336" s="254">
        <f>IFERROR(SUM(AI333:AI335),"n/a")</f>
        <v/>
      </c>
      <c r="AJ336" s="254">
        <f>IFERROR(SUM(AJ333:AJ335),"n/a")</f>
        <v/>
      </c>
      <c r="AK336" s="254">
        <f>IFERROR(SUM(AK333:AK335),"n/a")</f>
        <v/>
      </c>
      <c r="AL336" s="254">
        <f>IFERROR(SUM(AL333:AL335),"n/a")</f>
        <v/>
      </c>
      <c r="AM336" s="19" t="n"/>
    </row>
    <row r="337" ht="15" customHeight="1" s="251">
      <c r="B337" s="55" t="inlineStr">
        <is>
          <t>RONTA = NOPAT / net operating assets</t>
        </is>
      </c>
      <c r="C337" s="286">
        <f>IFERROR(C332/C336,"n/a")</f>
        <v/>
      </c>
      <c r="D337" s="286">
        <f>IFERROR(D332/D336,"n/a")</f>
        <v/>
      </c>
      <c r="E337" s="56" t="n"/>
      <c r="F337" s="56" t="n"/>
      <c r="G337" s="56" t="n"/>
      <c r="H337" s="56" t="n"/>
      <c r="I337" s="286">
        <f>IFERROR(I332/I336,"n/a")</f>
        <v/>
      </c>
      <c r="J337" s="56" t="n"/>
      <c r="K337" s="56" t="n"/>
      <c r="L337" s="56" t="n"/>
      <c r="M337" s="56" t="n"/>
      <c r="N337" s="286">
        <f>IFERROR(N332/N336,"n/a")</f>
        <v/>
      </c>
      <c r="O337" s="56" t="n"/>
      <c r="P337" s="56" t="n"/>
      <c r="Q337" s="56" t="n"/>
      <c r="R337" s="56" t="n"/>
      <c r="S337" s="286">
        <f>IFERROR(S332/S336,"n/a")</f>
        <v/>
      </c>
      <c r="T337" s="56" t="n"/>
      <c r="U337" s="56" t="n"/>
      <c r="V337" s="56" t="n"/>
      <c r="W337" s="56" t="n"/>
      <c r="X337" s="286">
        <f>IFERROR(X332/X336,"n/a")</f>
        <v/>
      </c>
      <c r="Y337" s="56" t="n"/>
      <c r="Z337" s="56" t="n"/>
      <c r="AA337" s="56" t="n"/>
      <c r="AB337" s="56" t="n"/>
      <c r="AC337" s="286">
        <f>IFERROR(AC332/AC336,"n/a")</f>
        <v/>
      </c>
      <c r="AD337" s="56" t="n"/>
      <c r="AE337" s="56" t="n"/>
      <c r="AF337" s="56" t="n"/>
      <c r="AG337" s="56" t="n"/>
      <c r="AH337" s="286">
        <f>IFERROR(AH332/AH336,"n/a")</f>
        <v/>
      </c>
      <c r="AI337" s="286">
        <f>IFERROR(AI332/AI336,"n/a")</f>
        <v/>
      </c>
      <c r="AJ337" s="286">
        <f>IFERROR(AJ332/AJ336,"n/a")</f>
        <v/>
      </c>
      <c r="AK337" s="286">
        <f>IFERROR(AK332/AK336,"n/a")</f>
        <v/>
      </c>
      <c r="AL337" s="286">
        <f>IFERROR(AL332/AL336,"n/a")</f>
        <v/>
      </c>
      <c r="AM337" s="153" t="inlineStr">
        <is>
          <t>On has minimal goodwill / acquired intangibles, so tangible returns are measured on operating assets excluding cash.</t>
        </is>
      </c>
      <c r="AO337" s="37">
        <f>IFERROR(AVERAGE(AH337,AI337,AJ337,AK337,AL337),"n/m")</f>
        <v/>
      </c>
      <c r="AP337" s="37">
        <f>IFERROR(AVERAGE(I337,N337,S337,X337,AC337),"n/m")</f>
        <v/>
      </c>
      <c r="AQ337" s="37">
        <f>IFERROR(AVERAGE(S337,X337,AC337),"n/m")</f>
        <v/>
      </c>
      <c r="AR337" s="37">
        <f>IFERROR(AVERAGE(C337,D337,I337,N337,S337,X337,AC337),"n/m")</f>
        <v/>
      </c>
    </row>
    <row r="338" ht="15" customHeight="1" s="251">
      <c r="B338" s="25" t="inlineStr">
        <is>
          <t>Return on Equity (ROE)</t>
        </is>
      </c>
      <c r="AM338" s="153" t="n"/>
    </row>
    <row r="339" ht="15" customHeight="1" s="251">
      <c r="B339" s="25" t="inlineStr">
        <is>
          <t>Net income</t>
        </is>
      </c>
      <c r="C339" s="261">
        <f>C122</f>
        <v/>
      </c>
      <c r="D339" s="261">
        <f>D122</f>
        <v/>
      </c>
      <c r="E339" s="34" t="n"/>
      <c r="F339" s="34" t="n"/>
      <c r="G339" s="34" t="n"/>
      <c r="H339" s="34" t="n"/>
      <c r="I339" s="261">
        <f>I122</f>
        <v/>
      </c>
      <c r="J339" s="34" t="n"/>
      <c r="K339" s="34" t="n"/>
      <c r="L339" s="34" t="n"/>
      <c r="M339" s="34" t="n"/>
      <c r="N339" s="261">
        <f>N122</f>
        <v/>
      </c>
      <c r="O339" s="34" t="n"/>
      <c r="P339" s="34" t="n"/>
      <c r="Q339" s="34" t="n"/>
      <c r="R339" s="34" t="n"/>
      <c r="S339" s="261">
        <f>S122</f>
        <v/>
      </c>
      <c r="T339" s="34" t="n"/>
      <c r="U339" s="34" t="n"/>
      <c r="V339" s="34" t="n"/>
      <c r="W339" s="34" t="n"/>
      <c r="X339" s="261">
        <f>X122</f>
        <v/>
      </c>
      <c r="Y339" s="34" t="n"/>
      <c r="Z339" s="34" t="n"/>
      <c r="AA339" s="34" t="n"/>
      <c r="AB339" s="34" t="n"/>
      <c r="AC339" s="261">
        <f>AC122</f>
        <v/>
      </c>
      <c r="AD339" s="34" t="n"/>
      <c r="AE339" s="34" t="n"/>
      <c r="AF339" s="35" t="n"/>
      <c r="AG339" s="35" t="n"/>
      <c r="AH339" s="254">
        <f>AH122</f>
        <v/>
      </c>
      <c r="AI339" s="254">
        <f>AI122</f>
        <v/>
      </c>
      <c r="AJ339" s="254">
        <f>AJ122</f>
        <v/>
      </c>
      <c r="AK339" s="254">
        <f>AK122</f>
        <v/>
      </c>
      <c r="AL339" s="254">
        <f>AL122</f>
        <v/>
      </c>
      <c r="AM339" s="19" t="n"/>
    </row>
    <row r="340" ht="15" customHeight="1" s="251">
      <c r="B340" s="25" t="inlineStr">
        <is>
          <t>Total equity</t>
        </is>
      </c>
      <c r="C340" s="261">
        <f>C324</f>
        <v/>
      </c>
      <c r="D340" s="261">
        <f>D324</f>
        <v/>
      </c>
      <c r="E340" s="34" t="n"/>
      <c r="F340" s="34" t="n"/>
      <c r="G340" s="34" t="n"/>
      <c r="H340" s="34" t="n"/>
      <c r="I340" s="261">
        <f>I324</f>
        <v/>
      </c>
      <c r="J340" s="34" t="n"/>
      <c r="K340" s="34" t="n"/>
      <c r="L340" s="34" t="n"/>
      <c r="M340" s="34" t="n"/>
      <c r="N340" s="261">
        <f>N324</f>
        <v/>
      </c>
      <c r="O340" s="34" t="n"/>
      <c r="P340" s="34" t="n"/>
      <c r="Q340" s="34" t="n"/>
      <c r="R340" s="34" t="n"/>
      <c r="S340" s="261">
        <f>S324</f>
        <v/>
      </c>
      <c r="T340" s="34" t="n"/>
      <c r="U340" s="34" t="n"/>
      <c r="V340" s="34" t="n"/>
      <c r="W340" s="34" t="n"/>
      <c r="X340" s="261">
        <f>X324</f>
        <v/>
      </c>
      <c r="Y340" s="34" t="n"/>
      <c r="Z340" s="34" t="n"/>
      <c r="AA340" s="34" t="n"/>
      <c r="AB340" s="34" t="n"/>
      <c r="AC340" s="261">
        <f>AC324</f>
        <v/>
      </c>
      <c r="AD340" s="34" t="n"/>
      <c r="AE340" s="34" t="n"/>
      <c r="AF340" s="35" t="n"/>
      <c r="AG340" s="35" t="n"/>
      <c r="AH340" s="254">
        <f>AH324</f>
        <v/>
      </c>
      <c r="AI340" s="254">
        <f>AI324</f>
        <v/>
      </c>
      <c r="AJ340" s="254">
        <f>AJ324</f>
        <v/>
      </c>
      <c r="AK340" s="254">
        <f>AK324</f>
        <v/>
      </c>
      <c r="AL340" s="254">
        <f>AL324</f>
        <v/>
      </c>
      <c r="AM340" s="19" t="n"/>
    </row>
    <row r="341" ht="15" customHeight="1" s="251">
      <c r="B341" s="25" t="inlineStr">
        <is>
          <t>ROE = Net income / Equity</t>
        </is>
      </c>
      <c r="C341" s="215">
        <f>IFERROR(C339/C340,"n/a")</f>
        <v/>
      </c>
      <c r="D341" s="215">
        <f>IFERROR(D339/D340,"n/a")</f>
        <v/>
      </c>
      <c r="E341" s="34" t="n"/>
      <c r="F341" s="34" t="n"/>
      <c r="G341" s="34" t="n"/>
      <c r="H341" s="34" t="n"/>
      <c r="I341" s="215">
        <f>IFERROR(I339/I340,"n/a")</f>
        <v/>
      </c>
      <c r="J341" s="34" t="n"/>
      <c r="K341" s="34" t="n"/>
      <c r="L341" s="34" t="n"/>
      <c r="M341" s="34" t="n"/>
      <c r="N341" s="215">
        <f>IFERROR(N339/N340,"n/a")</f>
        <v/>
      </c>
      <c r="O341" s="34" t="n"/>
      <c r="P341" s="34" t="n"/>
      <c r="Q341" s="34" t="n"/>
      <c r="R341" s="34" t="n"/>
      <c r="S341" s="215">
        <f>IFERROR(S339/S340,"n/a")</f>
        <v/>
      </c>
      <c r="T341" s="34" t="n"/>
      <c r="U341" s="34" t="n"/>
      <c r="V341" s="34" t="n"/>
      <c r="W341" s="34" t="n"/>
      <c r="X341" s="215">
        <f>IFERROR(X339/X340,"n/a")</f>
        <v/>
      </c>
      <c r="Y341" s="34" t="n"/>
      <c r="Z341" s="34" t="n"/>
      <c r="AA341" s="34" t="n"/>
      <c r="AB341" s="34" t="n"/>
      <c r="AC341" s="215">
        <f>IFERROR(AC339/AC340,"n/a")</f>
        <v/>
      </c>
      <c r="AD341" s="34" t="n"/>
      <c r="AE341" s="34" t="n"/>
      <c r="AF341" s="35" t="n"/>
      <c r="AG341" s="35" t="n"/>
      <c r="AH341" s="256">
        <f>IFERROR(AH339/AH340,"n/a")</f>
        <v/>
      </c>
      <c r="AI341" s="256">
        <f>IFERROR(AI339/AI340,"n/a")</f>
        <v/>
      </c>
      <c r="AJ341" s="256">
        <f>IFERROR(AJ339/AJ340,"n/a")</f>
        <v/>
      </c>
      <c r="AK341" s="256">
        <f>IFERROR(AK339/AK340,"n/a")</f>
        <v/>
      </c>
      <c r="AL341" s="256">
        <f>IFERROR(AL339/AL340,"n/a")</f>
        <v/>
      </c>
      <c r="AM341" s="19" t="n"/>
      <c r="AO341" s="37">
        <f>IFERROR(AVERAGE(AH341,AI341,AJ341,AK341,AL341),"n/m")</f>
        <v/>
      </c>
      <c r="AP341" s="37">
        <f>IFERROR(AVERAGE(I341,N341,S341,X341,AC341),"n/m")</f>
        <v/>
      </c>
      <c r="AQ341" s="37">
        <f>IFERROR(AVERAGE(S341,X341,AC341),"n/m")</f>
        <v/>
      </c>
      <c r="AR341" s="37">
        <f>IFERROR(AVERAGE(C341,D341,I341,N341,S341,X341,AC341),"n/m")</f>
        <v/>
      </c>
    </row>
    <row r="342" ht="15" customHeight="1" s="251">
      <c r="B342" s="25" t="inlineStr">
        <is>
          <t>Leverage</t>
        </is>
      </c>
      <c r="AM342" s="153" t="n"/>
    </row>
    <row r="343" ht="15" customHeight="1" s="251">
      <c r="B343" s="25" t="inlineStr">
        <is>
          <t>Net debt incl. lease liabilities (negative = net cash)</t>
        </is>
      </c>
      <c r="C343" s="261">
        <f>C325</f>
        <v/>
      </c>
      <c r="D343" s="261">
        <f>D325</f>
        <v/>
      </c>
      <c r="E343" s="34" t="n"/>
      <c r="F343" s="34" t="n"/>
      <c r="G343" s="34" t="n"/>
      <c r="H343" s="34" t="n"/>
      <c r="I343" s="261">
        <f>I325</f>
        <v/>
      </c>
      <c r="J343" s="34" t="n"/>
      <c r="K343" s="34" t="n"/>
      <c r="L343" s="34" t="n"/>
      <c r="M343" s="34" t="n"/>
      <c r="N343" s="261">
        <f>N325</f>
        <v/>
      </c>
      <c r="O343" s="34" t="n"/>
      <c r="P343" s="34" t="n"/>
      <c r="Q343" s="34" t="n"/>
      <c r="R343" s="34" t="n"/>
      <c r="S343" s="261">
        <f>S325</f>
        <v/>
      </c>
      <c r="T343" s="34" t="n"/>
      <c r="U343" s="34" t="n"/>
      <c r="V343" s="34" t="n"/>
      <c r="W343" s="34" t="n"/>
      <c r="X343" s="261">
        <f>X325</f>
        <v/>
      </c>
      <c r="Y343" s="34" t="n"/>
      <c r="Z343" s="34" t="n"/>
      <c r="AA343" s="34" t="n"/>
      <c r="AB343" s="34" t="n"/>
      <c r="AC343" s="261">
        <f>AC325</f>
        <v/>
      </c>
      <c r="AD343" s="34" t="n"/>
      <c r="AE343" s="34" t="n"/>
      <c r="AF343" s="35" t="n"/>
      <c r="AG343" s="35" t="n"/>
      <c r="AH343" s="254">
        <f>AH325</f>
        <v/>
      </c>
      <c r="AI343" s="254">
        <f>AI325</f>
        <v/>
      </c>
      <c r="AJ343" s="254">
        <f>AJ325</f>
        <v/>
      </c>
      <c r="AK343" s="254">
        <f>AK325</f>
        <v/>
      </c>
      <c r="AL343" s="254">
        <f>AL325</f>
        <v/>
      </c>
      <c r="AM343" s="19" t="n"/>
    </row>
    <row r="344" ht="15" customHeight="1" s="251">
      <c r="B344" s="25" t="inlineStr">
        <is>
          <t>Adjusted EBITDA (company definition)</t>
        </is>
      </c>
      <c r="C344" s="261">
        <f>C150</f>
        <v/>
      </c>
      <c r="D344" s="261">
        <f>D150</f>
        <v/>
      </c>
      <c r="E344" s="34" t="n"/>
      <c r="F344" s="34" t="n"/>
      <c r="G344" s="34" t="n"/>
      <c r="H344" s="34" t="n"/>
      <c r="I344" s="261">
        <f>I150</f>
        <v/>
      </c>
      <c r="J344" s="34" t="n"/>
      <c r="K344" s="34" t="n"/>
      <c r="L344" s="34" t="n"/>
      <c r="M344" s="34" t="n"/>
      <c r="N344" s="261">
        <f>N150</f>
        <v/>
      </c>
      <c r="O344" s="34" t="n"/>
      <c r="P344" s="34" t="n"/>
      <c r="Q344" s="34" t="n"/>
      <c r="R344" s="34" t="n"/>
      <c r="S344" s="261">
        <f>S150</f>
        <v/>
      </c>
      <c r="T344" s="34" t="n"/>
      <c r="U344" s="34" t="n"/>
      <c r="V344" s="34" t="n"/>
      <c r="W344" s="34" t="n"/>
      <c r="X344" s="261">
        <f>X150</f>
        <v/>
      </c>
      <c r="Y344" s="34" t="n"/>
      <c r="Z344" s="34" t="n"/>
      <c r="AA344" s="34" t="n"/>
      <c r="AB344" s="34" t="n"/>
      <c r="AC344" s="261">
        <f>AC150</f>
        <v/>
      </c>
      <c r="AD344" s="34" t="n"/>
      <c r="AE344" s="34" t="n"/>
      <c r="AF344" s="35" t="n"/>
      <c r="AG344" s="35" t="n"/>
      <c r="AH344" s="254">
        <f>AH150</f>
        <v/>
      </c>
      <c r="AI344" s="254">
        <f>AI150</f>
        <v/>
      </c>
      <c r="AJ344" s="254">
        <f>AJ150</f>
        <v/>
      </c>
      <c r="AK344" s="254">
        <f>AK150</f>
        <v/>
      </c>
      <c r="AL344" s="254">
        <f>AL150</f>
        <v/>
      </c>
      <c r="AM344" s="19" t="n"/>
    </row>
    <row r="345" ht="15" customHeight="1" s="251">
      <c r="B345" s="55" t="inlineStr">
        <is>
          <t>Net debt / Adjusted EBITDA (x)</t>
        </is>
      </c>
      <c r="C345" s="287">
        <f>IFERROR(C343/C344,"n/a")</f>
        <v/>
      </c>
      <c r="D345" s="287">
        <f>IFERROR(D343/D344,"n/a")</f>
        <v/>
      </c>
      <c r="E345" s="56" t="n"/>
      <c r="F345" s="56" t="n"/>
      <c r="G345" s="56" t="n"/>
      <c r="H345" s="56" t="n"/>
      <c r="I345" s="287">
        <f>IFERROR(I343/I344,"n/a")</f>
        <v/>
      </c>
      <c r="J345" s="56" t="n"/>
      <c r="K345" s="56" t="n"/>
      <c r="L345" s="56" t="n"/>
      <c r="M345" s="56" t="n"/>
      <c r="N345" s="287">
        <f>IFERROR(N343/N344,"n/a")</f>
        <v/>
      </c>
      <c r="O345" s="56" t="n"/>
      <c r="P345" s="56" t="n"/>
      <c r="Q345" s="56" t="n"/>
      <c r="R345" s="56" t="n"/>
      <c r="S345" s="287">
        <f>IFERROR(S343/S344,"n/a")</f>
        <v/>
      </c>
      <c r="T345" s="56" t="n"/>
      <c r="U345" s="56" t="n"/>
      <c r="V345" s="56" t="n"/>
      <c r="W345" s="56" t="n"/>
      <c r="X345" s="287">
        <f>IFERROR(X343/X344,"n/a")</f>
        <v/>
      </c>
      <c r="Y345" s="56" t="n"/>
      <c r="Z345" s="56" t="n"/>
      <c r="AA345" s="56" t="n"/>
      <c r="AB345" s="56" t="n"/>
      <c r="AC345" s="287">
        <f>IFERROR(AC343/AC344,"n/a")</f>
        <v/>
      </c>
      <c r="AD345" s="56" t="n"/>
      <c r="AE345" s="56" t="n"/>
      <c r="AF345" s="56" t="n"/>
      <c r="AG345" s="56" t="n"/>
      <c r="AH345" s="287">
        <f>IFERROR(AH343/AH344,"n/a")</f>
        <v/>
      </c>
      <c r="AI345" s="287">
        <f>IFERROR(AI343/AI344,"n/a")</f>
        <v/>
      </c>
      <c r="AJ345" s="287">
        <f>IFERROR(AJ343/AJ344,"n/a")</f>
        <v/>
      </c>
      <c r="AK345" s="287">
        <f>IFERROR(AK343/AK344,"n/a")</f>
        <v/>
      </c>
      <c r="AL345" s="287">
        <f>IFERROR(AL343/AL344,"n/a")</f>
        <v/>
      </c>
      <c r="AM345" s="153" t="n"/>
    </row>
    <row r="346" ht="15" customHeight="1" s="251">
      <c r="AU346" s="11" t="n"/>
      <c r="AV346" s="12" t="n"/>
      <c r="AW346" s="12" t="n"/>
      <c r="AX346" s="12" t="n"/>
      <c r="AY346" s="13" t="n"/>
    </row>
    <row r="347" ht="15" customHeight="1" s="251">
      <c r="B347" s="10" t="inlineStr">
        <is>
          <t>VALUATION</t>
        </is>
      </c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  <c r="AH347" s="10" t="n"/>
      <c r="AI347" s="10" t="n"/>
      <c r="AJ347" s="10" t="n"/>
      <c r="AK347" s="10" t="n"/>
      <c r="AL347" s="10" t="n"/>
      <c r="AM347" s="10" t="inlineStr">
        <is>
          <t>VALUATION — share price input USD 32.00 (NYSE: ONON, early Oct-2026 close ~USD 31.9) × USD/CHF 0.80; update both to market</t>
        </is>
      </c>
    </row>
    <row r="348" ht="15" customHeight="1" s="251">
      <c r="B348" s="69" t="inlineStr">
        <is>
          <t>Share price (USD, NYSE: ONON) — current</t>
        </is>
      </c>
      <c r="C348" s="44" t="n"/>
      <c r="D348" s="44" t="n"/>
      <c r="E348" s="44" t="n"/>
      <c r="F348" s="44" t="n"/>
      <c r="G348" s="44" t="n"/>
      <c r="H348" s="44" t="n"/>
      <c r="I348" s="44" t="n"/>
      <c r="J348" s="44" t="n"/>
      <c r="K348" s="44" t="n"/>
      <c r="L348" s="44" t="n"/>
      <c r="M348" s="44" t="n"/>
      <c r="N348" s="44" t="n"/>
      <c r="O348" s="44" t="n"/>
      <c r="P348" s="44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  <c r="AC348" s="44" t="n"/>
      <c r="AD348" s="44" t="n"/>
      <c r="AE348" s="44" t="n"/>
      <c r="AF348" s="153" t="n"/>
      <c r="AG348" s="153" t="n"/>
      <c r="AH348" s="283" t="n">
        <v>32</v>
      </c>
      <c r="AI348" s="282">
        <f>AH348</f>
        <v/>
      </c>
      <c r="AJ348" s="282">
        <f>AI348</f>
        <v/>
      </c>
      <c r="AK348" s="282">
        <f>AJ348</f>
        <v/>
      </c>
      <c r="AL348" s="282">
        <f>AK348</f>
        <v/>
      </c>
      <c r="AM348" s="19" t="n"/>
    </row>
    <row r="349" ht="15" customHeight="1" s="251">
      <c r="B349" s="69" t="inlineStr">
        <is>
          <t>USD/CHF (CHF per USD) — spot input</t>
        </is>
      </c>
      <c r="C349" s="44" t="n"/>
      <c r="D349" s="44" t="n"/>
      <c r="E349" s="44" t="n"/>
      <c r="F349" s="44" t="n"/>
      <c r="G349" s="44" t="n"/>
      <c r="H349" s="44" t="n"/>
      <c r="I349" s="44" t="n"/>
      <c r="J349" s="44" t="n"/>
      <c r="K349" s="44" t="n"/>
      <c r="L349" s="44" t="n"/>
      <c r="M349" s="44" t="n"/>
      <c r="N349" s="44" t="n"/>
      <c r="O349" s="44" t="n"/>
      <c r="P349" s="44" t="n"/>
      <c r="Q349" s="44" t="n"/>
      <c r="R349" s="44" t="n"/>
      <c r="S349" s="44" t="n"/>
      <c r="T349" s="44" t="n"/>
      <c r="U349" s="44" t="n"/>
      <c r="V349" s="44" t="n"/>
      <c r="W349" s="44" t="n"/>
      <c r="X349" s="44" t="n"/>
      <c r="Y349" s="44" t="n"/>
      <c r="Z349" s="44" t="n"/>
      <c r="AA349" s="44" t="n"/>
      <c r="AB349" s="44" t="n"/>
      <c r="AC349" s="44" t="n"/>
      <c r="AD349" s="44" t="n"/>
      <c r="AE349" s="44" t="n"/>
      <c r="AF349" s="153" t="n"/>
      <c r="AG349" s="153" t="n"/>
      <c r="AH349" s="283" t="n">
        <v>0.8</v>
      </c>
      <c r="AI349" s="282">
        <f>AH349</f>
        <v/>
      </c>
      <c r="AJ349" s="282">
        <f>AI349</f>
        <v/>
      </c>
      <c r="AK349" s="282">
        <f>AJ349</f>
        <v/>
      </c>
      <c r="AL349" s="282">
        <f>AK349</f>
        <v/>
      </c>
      <c r="AM349" s="19" t="inlineStr">
        <is>
          <t>Investor Day: "CHF 5.6 billion … approaching USD 7 billion" and USD 65m ≈ CHF 53m imply ~0.80–0.82.</t>
        </is>
      </c>
    </row>
    <row r="350" ht="15" customHeight="1" s="251">
      <c r="B350" s="69" t="inlineStr">
        <is>
          <t>Share price (CHF) = USD price × USD/CHF</t>
        </is>
      </c>
      <c r="C350" s="44" t="n"/>
      <c r="D350" s="44" t="n"/>
      <c r="E350" s="44" t="n"/>
      <c r="F350" s="44" t="n"/>
      <c r="G350" s="44" t="n"/>
      <c r="H350" s="44" t="n"/>
      <c r="I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  <c r="AC350" s="44" t="n"/>
      <c r="AD350" s="44" t="n"/>
      <c r="AE350" s="44" t="n"/>
      <c r="AF350" s="153" t="n"/>
      <c r="AG350" s="153" t="n"/>
      <c r="AH350" s="282">
        <f>AH348*AH349</f>
        <v/>
      </c>
      <c r="AI350" s="282">
        <f>AI348*AI349</f>
        <v/>
      </c>
      <c r="AJ350" s="282">
        <f>AJ348*AJ349</f>
        <v/>
      </c>
      <c r="AK350" s="282">
        <f>AK348*AK349</f>
        <v/>
      </c>
      <c r="AL350" s="282">
        <f>AL348*AL349</f>
        <v/>
      </c>
      <c r="AM350" s="19" t="n"/>
    </row>
    <row r="351" ht="15" customHeight="1" s="251">
      <c r="B351" s="25" t="inlineStr">
        <is>
          <t>Diluted Class A-equivalent shares at period end (m)</t>
        </is>
      </c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  <c r="AA351" s="34" t="n"/>
      <c r="AB351" s="34" t="n"/>
      <c r="AC351" s="34" t="n"/>
      <c r="AD351" s="34" t="n"/>
      <c r="AE351" s="34" t="n"/>
      <c r="AF351" s="35" t="n"/>
      <c r="AG351" s="35" t="n"/>
      <c r="AH351" s="254">
        <f>AH252+(AE129-AE128)</f>
        <v/>
      </c>
      <c r="AI351" s="254">
        <f>AI252+N(AI312)</f>
        <v/>
      </c>
      <c r="AJ351" s="254">
        <f>AJ252+N(AJ312)</f>
        <v/>
      </c>
      <c r="AK351" s="254">
        <f>AK252+N(AK312)</f>
        <v/>
      </c>
      <c r="AL351" s="254">
        <f>AL252+N(AL312)</f>
        <v/>
      </c>
      <c r="AM351" s="19" t="n"/>
    </row>
    <row r="352" ht="15" customHeight="1" s="251">
      <c r="B352" s="25" t="inlineStr">
        <is>
          <t>Market capitalisation (CHF m)</t>
        </is>
      </c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  <c r="AA352" s="34" t="n"/>
      <c r="AB352" s="34" t="n"/>
      <c r="AC352" s="34" t="n"/>
      <c r="AD352" s="34" t="n"/>
      <c r="AE352" s="34" t="n"/>
      <c r="AF352" s="35" t="n"/>
      <c r="AG352" s="35" t="n"/>
      <c r="AH352" s="281">
        <f>IFERROR(AH350*AH351,"n/a")</f>
        <v/>
      </c>
      <c r="AI352" s="281">
        <f>IFERROR(AI350*AI351,"n/a")</f>
        <v/>
      </c>
      <c r="AJ352" s="281">
        <f>IFERROR(AJ350*AJ351,"n/a")</f>
        <v/>
      </c>
      <c r="AK352" s="281">
        <f>IFERROR(AK350*AK351,"n/a")</f>
        <v/>
      </c>
      <c r="AL352" s="281">
        <f>IFERROR(AL350*AL351,"n/a")</f>
        <v/>
      </c>
      <c r="AM352" s="19" t="n"/>
    </row>
    <row r="353" ht="15" customHeight="1" s="251">
      <c r="B353" s="25" t="inlineStr">
        <is>
          <t>Net debt incl. lease liabilities (CHF m)</t>
        </is>
      </c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  <c r="AA353" s="34" t="n"/>
      <c r="AB353" s="34" t="n"/>
      <c r="AC353" s="34" t="n"/>
      <c r="AD353" s="34" t="n"/>
      <c r="AE353" s="34" t="n"/>
      <c r="AF353" s="35" t="n"/>
      <c r="AG353" s="35" t="n"/>
      <c r="AH353" s="281">
        <f>AH343</f>
        <v/>
      </c>
      <c r="AI353" s="281">
        <f>AI343</f>
        <v/>
      </c>
      <c r="AJ353" s="281">
        <f>AJ343</f>
        <v/>
      </c>
      <c r="AK353" s="281">
        <f>AK343</f>
        <v/>
      </c>
      <c r="AL353" s="281">
        <f>AL343</f>
        <v/>
      </c>
      <c r="AM353" s="19" t="n"/>
    </row>
    <row r="354" ht="15" customHeight="1" s="251">
      <c r="B354" s="25" t="inlineStr">
        <is>
          <t>Net debt excl. lease liabilities (CHF m; DCF bridge — UFCF deducts lease payments)</t>
        </is>
      </c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  <c r="AA354" s="34" t="n"/>
      <c r="AB354" s="34" t="n"/>
      <c r="AC354" s="34" t="n"/>
      <c r="AD354" s="34" t="n"/>
      <c r="AE354" s="34" t="n"/>
      <c r="AF354" s="35" t="n"/>
      <c r="AG354" s="35" t="n"/>
      <c r="AH354" s="281">
        <f>-AH258</f>
        <v/>
      </c>
      <c r="AI354" s="281">
        <f>-AI258</f>
        <v/>
      </c>
      <c r="AJ354" s="281">
        <f>-AJ258</f>
        <v/>
      </c>
      <c r="AK354" s="281">
        <f>-AK258</f>
        <v/>
      </c>
      <c r="AL354" s="281">
        <f>-AL258</f>
        <v/>
      </c>
      <c r="AM354" s="19" t="n"/>
    </row>
    <row r="355" ht="15" customHeight="1" s="251">
      <c r="B355" s="25" t="inlineStr">
        <is>
          <t>Noncontrolling interests (CHF m)</t>
        </is>
      </c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  <c r="AA355" s="34" t="n"/>
      <c r="AB355" s="34" t="n"/>
      <c r="AC355" s="34" t="n"/>
      <c r="AD355" s="34" t="n"/>
      <c r="AE355" s="34" t="n"/>
      <c r="AF355" s="35" t="n"/>
      <c r="AG355" s="35" t="n"/>
      <c r="AH355" s="288" t="n">
        <v>0</v>
      </c>
      <c r="AI355" s="288" t="n">
        <v>0</v>
      </c>
      <c r="AJ355" s="288" t="n">
        <v>0</v>
      </c>
      <c r="AK355" s="288" t="n">
        <v>0</v>
      </c>
      <c r="AL355" s="288" t="n">
        <v>0</v>
      </c>
      <c r="AM355" s="19" t="n"/>
    </row>
    <row r="356" ht="15" customHeight="1" s="251">
      <c r="B356" s="16" t="inlineStr">
        <is>
          <t>Enterprise value (CHF m; IFRS 16 basis, incl. leases)</t>
        </is>
      </c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  <c r="AA356" s="43" t="n"/>
      <c r="AB356" s="43" t="n"/>
      <c r="AC356" s="43" t="n"/>
      <c r="AD356" s="43" t="n"/>
      <c r="AE356" s="43" t="n"/>
      <c r="AF356" s="32" t="n"/>
      <c r="AG356" s="32" t="n"/>
      <c r="AH356" s="289">
        <f>IFERROR(AH352+AH353+AH355,"n/a")</f>
        <v/>
      </c>
      <c r="AI356" s="289">
        <f>IFERROR(AI352+AI353+AI355,"n/a")</f>
        <v/>
      </c>
      <c r="AJ356" s="289">
        <f>IFERROR(AJ352+AJ353+AJ355,"n/a")</f>
        <v/>
      </c>
      <c r="AK356" s="289">
        <f>IFERROR(AK352+AK353+AK355,"n/a")</f>
        <v/>
      </c>
      <c r="AL356" s="289">
        <f>IFERROR(AL352+AL353+AL355,"n/a")</f>
        <v/>
      </c>
      <c r="AM356" s="153" t="n"/>
    </row>
    <row r="357" ht="15" customHeight="1" s="251">
      <c r="B357" s="25" t="inlineStr">
        <is>
          <t>Multiples</t>
        </is>
      </c>
      <c r="AM357" s="153" t="n"/>
    </row>
    <row r="358" ht="15" customHeight="1" s="251">
      <c r="B358" s="25" t="inlineStr">
        <is>
          <t xml:space="preserve">  EV / Net sales</t>
        </is>
      </c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  <c r="AA358" s="34" t="n"/>
      <c r="AB358" s="34" t="n"/>
      <c r="AC358" s="34" t="n"/>
      <c r="AD358" s="34" t="n"/>
      <c r="AE358" s="34" t="n"/>
      <c r="AF358" s="35" t="n"/>
      <c r="AG358" s="35" t="n"/>
      <c r="AH358" s="290">
        <f>IFERROR(AH356/AH109,"n/a")</f>
        <v/>
      </c>
      <c r="AI358" s="290">
        <f>IFERROR(AI356/AI109,"n/a")</f>
        <v/>
      </c>
      <c r="AJ358" s="290">
        <f>IFERROR(AJ356/AJ109,"n/a")</f>
        <v/>
      </c>
      <c r="AK358" s="290">
        <f>IFERROR(AK356/AK109,"n/a")</f>
        <v/>
      </c>
      <c r="AL358" s="290">
        <f>IFERROR(AL356/AL109,"n/a")</f>
        <v/>
      </c>
      <c r="AM358" s="19" t="n"/>
    </row>
    <row r="359" ht="15" customHeight="1" s="251">
      <c r="B359" s="25" t="inlineStr">
        <is>
          <t xml:space="preserve">  EV / Adjusted EBITDA</t>
        </is>
      </c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  <c r="AA359" s="34" t="n"/>
      <c r="AB359" s="34" t="n"/>
      <c r="AC359" s="34" t="n"/>
      <c r="AD359" s="34" t="n"/>
      <c r="AE359" s="34" t="n"/>
      <c r="AF359" s="35" t="n"/>
      <c r="AG359" s="35" t="n"/>
      <c r="AH359" s="290">
        <f>IFERROR(AH356/AH150,"n/a")</f>
        <v/>
      </c>
      <c r="AI359" s="290">
        <f>IFERROR(AI356/AI150,"n/a")</f>
        <v/>
      </c>
      <c r="AJ359" s="290">
        <f>IFERROR(AJ356/AJ150,"n/a")</f>
        <v/>
      </c>
      <c r="AK359" s="290">
        <f>IFERROR(AK356/AK150,"n/a")</f>
        <v/>
      </c>
      <c r="AL359" s="290">
        <f>IFERROR(AL356/AL150,"n/a")</f>
        <v/>
      </c>
      <c r="AM359" s="19" t="n"/>
    </row>
    <row r="360" ht="15" customHeight="1" s="251">
      <c r="B360" s="25" t="inlineStr">
        <is>
          <t xml:space="preserve">  EV / Adjusted EBIT</t>
        </is>
      </c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  <c r="AA360" s="34" t="n"/>
      <c r="AB360" s="34" t="n"/>
      <c r="AC360" s="34" t="n"/>
      <c r="AD360" s="34" t="n"/>
      <c r="AE360" s="34" t="n"/>
      <c r="AF360" s="35" t="n"/>
      <c r="AG360" s="35" t="n"/>
      <c r="AH360" s="290">
        <f>IFERROR(AH356/AH160,"n/a")</f>
        <v/>
      </c>
      <c r="AI360" s="290">
        <f>IFERROR(AI356/AI160,"n/a")</f>
        <v/>
      </c>
      <c r="AJ360" s="290">
        <f>IFERROR(AJ356/AJ160,"n/a")</f>
        <v/>
      </c>
      <c r="AK360" s="290">
        <f>IFERROR(AK356/AK160,"n/a")</f>
        <v/>
      </c>
      <c r="AL360" s="290">
        <f>IFERROR(AL356/AL160,"n/a")</f>
        <v/>
      </c>
      <c r="AM360" s="19" t="n"/>
    </row>
    <row r="361" ht="15" customHeight="1" s="251">
      <c r="B361" s="25" t="inlineStr">
        <is>
          <t xml:space="preserve">  EV / IC</t>
        </is>
      </c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  <c r="AA361" s="34" t="n"/>
      <c r="AB361" s="34" t="n"/>
      <c r="AC361" s="34" t="n"/>
      <c r="AD361" s="34" t="n"/>
      <c r="AE361" s="34" t="n"/>
      <c r="AF361" s="35" t="n"/>
      <c r="AG361" s="35" t="n"/>
      <c r="AH361" s="290">
        <f>IFERROR(AH356/AH323,"n/a")</f>
        <v/>
      </c>
      <c r="AI361" s="290">
        <f>IFERROR(AI356/AI323,"n/a")</f>
        <v/>
      </c>
      <c r="AJ361" s="290">
        <f>IFERROR(AJ356/AJ323,"n/a")</f>
        <v/>
      </c>
      <c r="AK361" s="290">
        <f>IFERROR(AK356/AK323,"n/a")</f>
        <v/>
      </c>
      <c r="AL361" s="290">
        <f>IFERROR(AL356/AL323,"n/a")</f>
        <v/>
      </c>
      <c r="AM361" s="19" t="n"/>
    </row>
    <row r="362" ht="15" customHeight="1" s="251">
      <c r="B362" s="25" t="inlineStr">
        <is>
          <t xml:space="preserve">  P / E (IFRS diluted)</t>
        </is>
      </c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  <c r="AA362" s="34" t="n"/>
      <c r="AB362" s="34" t="n"/>
      <c r="AC362" s="34" t="n"/>
      <c r="AD362" s="34" t="n"/>
      <c r="AE362" s="34" t="n"/>
      <c r="AF362" s="35" t="n"/>
      <c r="AG362" s="35" t="n"/>
      <c r="AH362" s="290">
        <f>IFERROR(AH350/AH131,"n/a")</f>
        <v/>
      </c>
      <c r="AI362" s="290">
        <f>IFERROR(AI350/AI131,"n/a")</f>
        <v/>
      </c>
      <c r="AJ362" s="290">
        <f>IFERROR(AJ350/AJ131,"n/a")</f>
        <v/>
      </c>
      <c r="AK362" s="290">
        <f>IFERROR(AK350/AK131,"n/a")</f>
        <v/>
      </c>
      <c r="AL362" s="290">
        <f>IFERROR(AL350/AL131,"n/a")</f>
        <v/>
      </c>
      <c r="AM362" s="19" t="n"/>
    </row>
    <row r="363" ht="15" customHeight="1" s="251">
      <c r="B363" s="25" t="inlineStr">
        <is>
          <t xml:space="preserve">  P / E (adjusted diluted EPS)</t>
        </is>
      </c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  <c r="AA363" s="34" t="n"/>
      <c r="AB363" s="34" t="n"/>
      <c r="AC363" s="34" t="n"/>
      <c r="AD363" s="34" t="n"/>
      <c r="AE363" s="34" t="n"/>
      <c r="AF363" s="35" t="n"/>
      <c r="AG363" s="35" t="n"/>
      <c r="AH363" s="290">
        <f>IFERROR(AH350/AH182,"n/a")</f>
        <v/>
      </c>
      <c r="AI363" s="290">
        <f>IFERROR(AI350/AI182,"n/a")</f>
        <v/>
      </c>
      <c r="AJ363" s="290">
        <f>IFERROR(AJ350/AJ182,"n/a")</f>
        <v/>
      </c>
      <c r="AK363" s="290">
        <f>IFERROR(AK350/AK182,"n/a")</f>
        <v/>
      </c>
      <c r="AL363" s="290">
        <f>IFERROR(AL350/AL182,"n/a")</f>
        <v/>
      </c>
      <c r="AM363" s="19" t="n"/>
    </row>
    <row r="364" ht="15" customHeight="1" s="251">
      <c r="B364" s="25" t="inlineStr">
        <is>
          <t xml:space="preserve">  FCF yield</t>
        </is>
      </c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  <c r="AA364" s="34" t="n"/>
      <c r="AB364" s="34" t="n"/>
      <c r="AC364" s="34" t="n"/>
      <c r="AD364" s="34" t="n"/>
      <c r="AE364" s="34" t="n"/>
      <c r="AF364" s="35" t="n"/>
      <c r="AG364" s="35" t="n"/>
      <c r="AH364" s="256">
        <f>IFERROR(AH233/AH352,"n/a")</f>
        <v/>
      </c>
      <c r="AI364" s="256">
        <f>IFERROR(AI233/AI352,"n/a")</f>
        <v/>
      </c>
      <c r="AJ364" s="256">
        <f>IFERROR(AJ233/AJ352,"n/a")</f>
        <v/>
      </c>
      <c r="AK364" s="256">
        <f>IFERROR(AK233/AK352,"n/a")</f>
        <v/>
      </c>
      <c r="AL364" s="256">
        <f>IFERROR(AL233/AL352,"n/a")</f>
        <v/>
      </c>
      <c r="AM364" s="19" t="n"/>
    </row>
    <row r="365" ht="15" customHeight="1" s="251">
      <c r="B365" s="25" t="inlineStr">
        <is>
          <t xml:space="preserve">  Dividend yield</t>
        </is>
      </c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  <c r="AA365" s="34" t="n"/>
      <c r="AB365" s="34" t="n"/>
      <c r="AC365" s="34" t="n"/>
      <c r="AD365" s="34" t="n"/>
      <c r="AE365" s="34" t="n"/>
      <c r="AF365" s="35" t="n"/>
      <c r="AG365" s="35" t="n"/>
      <c r="AH365" s="256">
        <f>IFERROR(AH136/AH350,"n/a")</f>
        <v/>
      </c>
      <c r="AI365" s="256">
        <f>IFERROR(AI136/AI350,"n/a")</f>
        <v/>
      </c>
      <c r="AJ365" s="256">
        <f>IFERROR(AJ136/AJ350,"n/a")</f>
        <v/>
      </c>
      <c r="AK365" s="256">
        <f>IFERROR(AK136/AK350,"n/a")</f>
        <v/>
      </c>
      <c r="AL365" s="256">
        <f>IFERROR(AL136/AL350,"n/a")</f>
        <v/>
      </c>
      <c r="AM365" s="19" t="n"/>
    </row>
    <row r="366" ht="15" customHeight="1" s="251"/>
    <row r="367" ht="15" customHeight="1" s="251"/>
    <row r="368" ht="15" customHeight="1" s="251"/>
    <row r="369" ht="15" customHeight="1" s="251"/>
    <row r="370" ht="15" customHeight="1" s="251"/>
    <row r="371" ht="15" customHeight="1" s="251"/>
    <row r="372" ht="15" customHeight="1" s="251"/>
    <row r="373" ht="15" customHeight="1" s="251"/>
    <row r="374" ht="15" customHeight="1" s="251"/>
    <row r="375" ht="15" customHeight="1" s="251"/>
    <row r="376" ht="15" customHeight="1" s="251"/>
    <row r="377" ht="15" customHeight="1" s="251"/>
    <row r="378" ht="15" customHeight="1" s="251"/>
    <row r="379" ht="15" customHeight="1" s="251"/>
    <row r="380" ht="15" customHeight="1" s="251"/>
    <row r="381" ht="15" customHeight="1" s="251"/>
    <row r="382" ht="15" customHeight="1" s="251"/>
    <row r="383" ht="15" customHeight="1" s="251"/>
    <row r="384" ht="15" customHeight="1" s="251"/>
    <row r="385" ht="15" customHeight="1" s="251"/>
    <row r="386" ht="15" customHeight="1" s="251"/>
    <row r="387" ht="15" customHeight="1" s="251"/>
    <row r="388" ht="15" customHeight="1" s="251"/>
    <row r="389" ht="15" customHeight="1" s="251"/>
    <row r="390" ht="15" customHeight="1" s="251"/>
    <row r="391" ht="15" customHeight="1" s="251"/>
    <row r="392" ht="15" customHeight="1" s="251"/>
    <row r="393" ht="15" customHeight="1" s="251"/>
    <row r="394" ht="15" customHeight="1" s="251"/>
    <row r="395" ht="15" customHeight="1" s="251"/>
    <row r="396" ht="15" customHeight="1" s="251"/>
    <row r="397" ht="15" customHeight="1" s="251"/>
    <row r="398" ht="15" customHeight="1" s="251"/>
    <row r="399" ht="15" customHeight="1" s="251"/>
    <row r="400" ht="15" customHeight="1" s="251"/>
    <row r="401" ht="15" customHeight="1" s="251"/>
    <row r="402" ht="15" customHeight="1" s="251"/>
    <row r="403" ht="15" customHeight="1" s="251"/>
    <row r="404" ht="15" customHeight="1" s="251"/>
    <row r="405" ht="15" customHeight="1" s="251"/>
    <row r="406" ht="15" customHeight="1" s="251"/>
    <row r="407" ht="15" customHeight="1" s="251"/>
    <row r="408" ht="15" customHeight="1" s="251"/>
    <row r="409" ht="15" customHeight="1" s="251"/>
    <row r="410" ht="15" customHeight="1" s="251"/>
    <row r="411" ht="15" customHeight="1" s="251"/>
    <row r="412" ht="15" customHeight="1" s="251"/>
    <row r="413" ht="15" customHeight="1" s="251"/>
    <row r="414" ht="15" customHeight="1" s="251"/>
    <row r="415" ht="15" customHeight="1" s="251"/>
    <row r="416" ht="15" customHeight="1" s="251"/>
    <row r="417" ht="15" customHeight="1" s="251"/>
    <row r="418" ht="15" customHeight="1" s="251"/>
    <row r="419" ht="15" customHeight="1" s="251"/>
    <row r="420" ht="15" customHeight="1" s="251"/>
    <row r="421" ht="15" customHeight="1" s="251"/>
    <row r="422" ht="15" customHeight="1" s="251"/>
    <row r="423" ht="15" customHeight="1" s="251"/>
    <row r="424" ht="15" customHeight="1" s="251"/>
    <row r="425" ht="15" customHeight="1" s="251"/>
    <row r="426" ht="15" customHeight="1" s="251"/>
    <row r="427" ht="15" customHeight="1" s="251"/>
    <row r="428" ht="15" customHeight="1" s="251"/>
    <row r="429" ht="15" customHeight="1" s="251"/>
    <row r="430" ht="15" customHeight="1" s="251"/>
    <row r="431" ht="15" customHeight="1" s="251"/>
    <row r="432" ht="15" customHeight="1" s="251"/>
    <row r="433" ht="15" customHeight="1" s="251"/>
    <row r="434" ht="15" customHeight="1" s="251"/>
    <row r="435" ht="15" customHeight="1" s="251"/>
    <row r="436" ht="15" customHeight="1" s="251"/>
    <row r="437" ht="15" customHeight="1" s="251"/>
    <row r="438" ht="15" customHeight="1" s="251"/>
    <row r="439" ht="15" customHeight="1" s="251"/>
    <row r="440" ht="15" customHeight="1" s="251"/>
    <row r="441" ht="15" customHeight="1" s="251"/>
    <row r="442" ht="15" customHeight="1" s="251"/>
    <row r="443" ht="15" customHeight="1" s="251"/>
    <row r="444" ht="15" customHeight="1" s="251"/>
    <row r="445" ht="15" customHeight="1" s="251"/>
    <row r="446" ht="15" customHeight="1" s="251"/>
    <row r="447" ht="15" customHeight="1" s="251"/>
  </sheetData>
  <dataValidations count="1">
    <dataValidation sqref="AM2" showDropDown="0" showInputMessage="0" showErrorMessage="0" allowBlank="0" type="list">
      <formula1>"Bull,Base,Bear"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0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style="251" min="1" max="1"/>
    <col width="63.85546875" customWidth="1" style="251" min="2" max="2"/>
    <col width="11.85546875" customWidth="1" style="251" min="3" max="8"/>
    <col width="13.28515625" customWidth="1" style="251" min="9" max="9"/>
    <col width="12.5703125" customWidth="1" style="251" min="10" max="12"/>
    <col width="3.85546875" customWidth="1" style="251" min="13" max="13"/>
    <col width="63.85546875" customWidth="1" style="251" min="14" max="14"/>
    <col width="11.85546875" customWidth="1" style="251" min="15" max="20"/>
    <col width="13.28515625" customWidth="1" style="251" min="21" max="21"/>
    <col width="12.5703125" customWidth="1" style="251" min="22" max="24"/>
    <col width="3.85546875" customWidth="1" style="251" min="25" max="25"/>
    <col width="63.85546875" customWidth="1" style="251" min="26" max="26"/>
    <col width="11.85546875" customWidth="1" style="251" min="27" max="32"/>
    <col width="13.28515625" customWidth="1" style="251" min="33" max="33"/>
    <col width="12.5703125" customWidth="1" style="251" min="34" max="36"/>
  </cols>
  <sheetData>
    <row r="2" ht="19.5" customHeight="1" s="251">
      <c r="B2" s="73" t="inlineStr">
        <is>
          <t>On Holding (ONON) — Bull / Base / Bear Case P&amp;L Summary</t>
        </is>
      </c>
      <c r="J2" s="152" t="inlineStr">
        <is>
          <t>Share price (CHF):</t>
        </is>
      </c>
      <c r="K2" s="74">
        <f>Model!$AH$350</f>
        <v/>
      </c>
    </row>
    <row r="3" ht="15" customHeight="1" s="251">
      <c r="B3" s="4" t="inlineStr">
        <is>
          <t>Adjusted figures (company definitions: Adjusted EBITDA excl. SBC; adjusted EPS Class A on Class A-equivalent shares) · CHF millions · Live panel linked to Model — toggle scenario via Model!AM2. Bull and Bear panels are value snapshots generated from the Model with the switch set to each case. 2026E reported figures include the Q3-26 tariff refund (row 35 excludes it, as guided). Price target / IRR in CHF (USD price × USD/CHF).</t>
        </is>
      </c>
      <c r="J3" s="152" t="inlineStr">
        <is>
          <t>As of:</t>
        </is>
      </c>
      <c r="K3" s="291">
        <f>TODAY()</f>
        <v/>
      </c>
    </row>
    <row r="5" ht="15" customHeight="1" s="251">
      <c r="B5" s="10" t="inlineStr">
        <is>
          <t>Scenario:</t>
        </is>
      </c>
      <c r="C5" s="75">
        <f>Model!$AM$2</f>
        <v/>
      </c>
      <c r="N5" s="76" t="inlineStr">
        <is>
          <t>Scenario:</t>
        </is>
      </c>
      <c r="O5" s="77" t="inlineStr">
        <is>
          <t>Bull</t>
        </is>
      </c>
      <c r="P5" s="4" t="inlineStr">
        <is>
          <t>Snapshot (values) — Model run with switch = Bull</t>
        </is>
      </c>
      <c r="Z5" s="76" t="inlineStr">
        <is>
          <t>Scenario:</t>
        </is>
      </c>
      <c r="AA5" s="77" t="inlineStr">
        <is>
          <t>Bear</t>
        </is>
      </c>
      <c r="AB5" s="4" t="inlineStr">
        <is>
          <t>Snapshot (values) — Model run with switch = Bear</t>
        </is>
      </c>
    </row>
    <row r="7" ht="32.1" customHeight="1" s="251">
      <c r="B7" s="78" t="inlineStr">
        <is>
          <t>(CHFm, except EPS and shares)</t>
        </is>
      </c>
      <c r="C7" s="150" t="inlineStr">
        <is>
          <t>2025A</t>
        </is>
      </c>
      <c r="D7" s="150" t="inlineStr">
        <is>
          <t>2026E</t>
        </is>
      </c>
      <c r="E7" s="150" t="inlineStr">
        <is>
          <t>2027E</t>
        </is>
      </c>
      <c r="F7" s="150" t="inlineStr">
        <is>
          <t>2028E</t>
        </is>
      </c>
      <c r="G7" s="150" t="inlineStr">
        <is>
          <t>2029E</t>
        </is>
      </c>
      <c r="H7" s="150" t="inlineStr">
        <is>
          <t>2030E</t>
        </is>
      </c>
      <c r="I7" s="150" t="inlineStr">
        <is>
          <t>25-'30 CAGR</t>
        </is>
      </c>
      <c r="J7" s="151" t="inlineStr">
        <is>
          <t>LT Hist Avg</t>
        </is>
      </c>
      <c r="K7" s="151" t="inlineStr">
        <is>
          <t>LT Hist Min</t>
        </is>
      </c>
      <c r="L7" s="151" t="inlineStr">
        <is>
          <t>LT Hist Max</t>
        </is>
      </c>
      <c r="N7" s="78" t="inlineStr">
        <is>
          <t>(CHFm, except EPS and shares)</t>
        </is>
      </c>
      <c r="O7" s="150" t="inlineStr">
        <is>
          <t>2025A</t>
        </is>
      </c>
      <c r="P7" s="150" t="inlineStr">
        <is>
          <t>2026E</t>
        </is>
      </c>
      <c r="Q7" s="150" t="inlineStr">
        <is>
          <t>2027E</t>
        </is>
      </c>
      <c r="R7" s="150" t="inlineStr">
        <is>
          <t>2028E</t>
        </is>
      </c>
      <c r="S7" s="150" t="inlineStr">
        <is>
          <t>2029E</t>
        </is>
      </c>
      <c r="T7" s="150" t="inlineStr">
        <is>
          <t>2030E</t>
        </is>
      </c>
      <c r="U7" s="150" t="inlineStr">
        <is>
          <t>25-'30 CAGR</t>
        </is>
      </c>
      <c r="V7" s="151" t="inlineStr">
        <is>
          <t>LT Hist Avg</t>
        </is>
      </c>
      <c r="W7" s="151" t="inlineStr">
        <is>
          <t>LT Hist Min</t>
        </is>
      </c>
      <c r="X7" s="151" t="inlineStr">
        <is>
          <t>LT Hist Max</t>
        </is>
      </c>
      <c r="Z7" s="78" t="inlineStr">
        <is>
          <t>(CHFm, except EPS and shares)</t>
        </is>
      </c>
      <c r="AA7" s="150" t="inlineStr">
        <is>
          <t>2025A</t>
        </is>
      </c>
      <c r="AB7" s="150" t="inlineStr">
        <is>
          <t>2026E</t>
        </is>
      </c>
      <c r="AC7" s="150" t="inlineStr">
        <is>
          <t>2027E</t>
        </is>
      </c>
      <c r="AD7" s="150" t="inlineStr">
        <is>
          <t>2028E</t>
        </is>
      </c>
      <c r="AE7" s="150" t="inlineStr">
        <is>
          <t>2029E</t>
        </is>
      </c>
      <c r="AF7" s="150" t="inlineStr">
        <is>
          <t>2030E</t>
        </is>
      </c>
      <c r="AG7" s="150" t="inlineStr">
        <is>
          <t>25-'30 CAGR</t>
        </is>
      </c>
      <c r="AH7" s="151" t="inlineStr">
        <is>
          <t>LT Hist Avg</t>
        </is>
      </c>
      <c r="AI7" s="151" t="inlineStr">
        <is>
          <t>LT Hist Min</t>
        </is>
      </c>
      <c r="AJ7" s="151" t="inlineStr">
        <is>
          <t>LT Hist Max</t>
        </is>
      </c>
    </row>
    <row r="9" ht="15" customHeight="1" s="251">
      <c r="B9" s="79" t="inlineStr">
        <is>
          <t>Net Sales (CHF m)</t>
        </is>
      </c>
      <c r="C9" s="80">
        <f>Model!AC109</f>
        <v/>
      </c>
      <c r="D9" s="81">
        <f>Model!AH109</f>
        <v/>
      </c>
      <c r="E9" s="81">
        <f>Model!AI109</f>
        <v/>
      </c>
      <c r="F9" s="81">
        <f>Model!AJ109</f>
        <v/>
      </c>
      <c r="G9" s="81">
        <f>Model!AK109</f>
        <v/>
      </c>
      <c r="H9" s="81">
        <f>Model!AL109</f>
        <v/>
      </c>
      <c r="I9" s="292">
        <f>IFERROR((H9/C9)^(1/5)-1,"n/m")</f>
        <v/>
      </c>
      <c r="N9" s="79" t="inlineStr">
        <is>
          <t>Net Sales (CHF m)</t>
        </is>
      </c>
      <c r="O9" s="80" t="n">
        <v>3014</v>
      </c>
      <c r="P9" s="81" t="n">
        <v>3560.1</v>
      </c>
      <c r="Q9" s="81" t="n">
        <v>4340.99404363719</v>
      </c>
      <c r="R9" s="81" t="n">
        <v>5256.13286388766</v>
      </c>
      <c r="S9" s="81" t="n">
        <v>6312.29252241718</v>
      </c>
      <c r="T9" s="81" t="n">
        <v>7399.35658111394</v>
      </c>
      <c r="U9" s="292" t="n">
        <v>0.196768478267839</v>
      </c>
      <c r="Z9" s="79" t="inlineStr">
        <is>
          <t>Net Sales (CHF m)</t>
        </is>
      </c>
      <c r="AA9" s="80" t="n">
        <v>3014</v>
      </c>
      <c r="AB9" s="81" t="n">
        <v>3470.1</v>
      </c>
      <c r="AC9" s="81" t="n">
        <v>3882.10470893305</v>
      </c>
      <c r="AD9" s="81" t="n">
        <v>4304.01908925113</v>
      </c>
      <c r="AE9" s="81" t="n">
        <v>4724.05680215171</v>
      </c>
      <c r="AF9" s="81" t="n">
        <v>5045.76701099465</v>
      </c>
      <c r="AG9" s="292" t="n">
        <v>0.10855383573569</v>
      </c>
    </row>
    <row r="10" ht="15" customHeight="1" s="251">
      <c r="B10" s="83" t="inlineStr">
        <is>
          <t xml:space="preserve">   Net sales y/y % (reported)</t>
        </is>
      </c>
      <c r="C10" s="293" t="n"/>
      <c r="D10" s="294">
        <f>IFERROR(D9/C9-1,"")</f>
        <v/>
      </c>
      <c r="E10" s="294">
        <f>IFERROR(E9/D9-1,"")</f>
        <v/>
      </c>
      <c r="F10" s="294">
        <f>IFERROR(F9/E9-1,"")</f>
        <v/>
      </c>
      <c r="G10" s="294">
        <f>IFERROR(G9/F9-1,"")</f>
        <v/>
      </c>
      <c r="H10" s="294">
        <f>IFERROR(H9/G9-1,"")</f>
        <v/>
      </c>
      <c r="N10" s="83" t="inlineStr">
        <is>
          <t xml:space="preserve">   Net sales y/y % (reported)</t>
        </is>
      </c>
      <c r="O10" s="293" t="n"/>
      <c r="P10" s="294" t="n">
        <v>0.181187790311878</v>
      </c>
      <c r="Q10" s="294" t="n">
        <v>0.219346098041401</v>
      </c>
      <c r="R10" s="294" t="n">
        <v>0.210813194178838</v>
      </c>
      <c r="S10" s="294" t="n">
        <v>0.200938539013327</v>
      </c>
      <c r="T10" s="294" t="n">
        <v>0.172213827992954</v>
      </c>
      <c r="Z10" s="83" t="inlineStr">
        <is>
          <t xml:space="preserve">   Net sales y/y % (reported)</t>
        </is>
      </c>
      <c r="AA10" s="293" t="n"/>
      <c r="AB10" s="294" t="n">
        <v>0.151327140013271</v>
      </c>
      <c r="AC10" s="294" t="n">
        <v>0.118729923902207</v>
      </c>
      <c r="AD10" s="294" t="n">
        <v>0.108681865109723</v>
      </c>
      <c r="AE10" s="294" t="n">
        <v>0.09759197257037711</v>
      </c>
      <c r="AF10" s="294" t="n">
        <v>0.06810041079447091</v>
      </c>
    </row>
    <row r="11" ht="15" customHeight="1" s="251">
      <c r="B11" s="79" t="inlineStr">
        <is>
          <t xml:space="preserve">   Net sales y/y % (constant currency)</t>
        </is>
      </c>
      <c r="C11" s="86">
        <f>Model!AC194</f>
        <v/>
      </c>
      <c r="D11" s="87">
        <f>Model!AH194</f>
        <v/>
      </c>
      <c r="E11" s="87">
        <f>Model!AI194</f>
        <v/>
      </c>
      <c r="F11" s="87">
        <f>Model!AJ194</f>
        <v/>
      </c>
      <c r="G11" s="87">
        <f>Model!AK194</f>
        <v/>
      </c>
      <c r="H11" s="87">
        <f>Model!AL194</f>
        <v/>
      </c>
      <c r="N11" s="79" t="inlineStr">
        <is>
          <t xml:space="preserve">   Net sales y/y % (constant currency)</t>
        </is>
      </c>
      <c r="O11" s="86" t="n">
        <v>0.355657248846137</v>
      </c>
      <c r="P11" s="87" t="n">
        <v>0.23</v>
      </c>
      <c r="Q11" s="87" t="n">
        <v>0.21938034933629</v>
      </c>
      <c r="R11" s="87" t="n">
        <v>0.210813194178838</v>
      </c>
      <c r="S11" s="87" t="n">
        <v>0.200938539013327</v>
      </c>
      <c r="T11" s="87" t="n">
        <v>0.172213827992954</v>
      </c>
      <c r="Z11" s="79" t="inlineStr">
        <is>
          <t xml:space="preserve">   Net sales y/y % (constant currency)</t>
        </is>
      </c>
      <c r="AA11" s="86" t="n">
        <v>0.355657248846137</v>
      </c>
      <c r="AB11" s="87" t="n">
        <v>0.2</v>
      </c>
      <c r="AC11" s="87" t="n">
        <v>0.11876216395765</v>
      </c>
      <c r="AD11" s="87" t="n">
        <v>0.108681865109723</v>
      </c>
      <c r="AE11" s="87" t="n">
        <v>0.09759197257037711</v>
      </c>
      <c r="AF11" s="87" t="n">
        <v>0.06810041079447091</v>
      </c>
    </row>
    <row r="12" ht="15" customHeight="1" s="251">
      <c r="B12" s="79" t="inlineStr">
        <is>
          <t>Adjusted EBITDA (company definition)</t>
        </is>
      </c>
      <c r="C12" s="80">
        <f>Model!AC150</f>
        <v/>
      </c>
      <c r="D12" s="81">
        <f>Model!AH150</f>
        <v/>
      </c>
      <c r="E12" s="81">
        <f>Model!AI150</f>
        <v/>
      </c>
      <c r="F12" s="81">
        <f>Model!AJ150</f>
        <v/>
      </c>
      <c r="G12" s="81">
        <f>Model!AK150</f>
        <v/>
      </c>
      <c r="H12" s="81">
        <f>Model!AL150</f>
        <v/>
      </c>
      <c r="I12" s="292">
        <f>IFERROR((H12/C12)^(1/5)-1,"n/m")</f>
        <v/>
      </c>
      <c r="N12" s="79" t="inlineStr">
        <is>
          <t>Adjusted EBITDA (company definition)</t>
        </is>
      </c>
      <c r="O12" s="80" t="n">
        <v>567</v>
      </c>
      <c r="P12" s="81" t="n">
        <v>765.02</v>
      </c>
      <c r="Q12" s="81" t="n">
        <v>933.313719381996</v>
      </c>
      <c r="R12" s="81" t="n">
        <v>1166.86149578306</v>
      </c>
      <c r="S12" s="81" t="n">
        <v>1451.82728015595</v>
      </c>
      <c r="T12" s="81" t="n">
        <v>1738.84879656178</v>
      </c>
      <c r="U12" s="292" t="n">
        <v>0.251225976258584</v>
      </c>
      <c r="Z12" s="79" t="inlineStr">
        <is>
          <t>Adjusted EBITDA (company definition)</t>
        </is>
      </c>
      <c r="AA12" s="80" t="n">
        <v>567</v>
      </c>
      <c r="AB12" s="81" t="n">
        <v>716.6695</v>
      </c>
      <c r="AC12" s="81" t="n">
        <v>698.778847607948</v>
      </c>
      <c r="AD12" s="81" t="n">
        <v>804.851569689962</v>
      </c>
      <c r="AE12" s="81" t="n">
        <v>921.1910764195831</v>
      </c>
      <c r="AF12" s="81" t="n">
        <v>1009.15340219893</v>
      </c>
      <c r="AG12" s="292" t="n">
        <v>0.12221178704249</v>
      </c>
    </row>
    <row r="13" ht="15" customHeight="1" s="251">
      <c r="B13" s="83" t="inlineStr">
        <is>
          <t xml:space="preserve">   Adjusted EBITDA margin %</t>
        </is>
      </c>
      <c r="C13" s="88">
        <f>IFERROR(C12/C9,"")</f>
        <v/>
      </c>
      <c r="D13" s="89">
        <f>IFERROR(D12/D9,"")</f>
        <v/>
      </c>
      <c r="E13" s="89">
        <f>IFERROR(E12/E9,"")</f>
        <v/>
      </c>
      <c r="F13" s="89">
        <f>IFERROR(F12/F9,"")</f>
        <v/>
      </c>
      <c r="G13" s="89">
        <f>IFERROR(G12/G9,"")</f>
        <v/>
      </c>
      <c r="H13" s="89">
        <f>IFERROR(H12/H9,"")</f>
        <v/>
      </c>
      <c r="J13" s="90">
        <f>IFERROR(AVERAGE(Model!C151,Model!D151,Model!I151,Model!N151,Model!S151,Model!X151,Model!AC151),"")</f>
        <v/>
      </c>
      <c r="K13" s="90">
        <f>IFERROR(MIN(Model!C151,Model!D151,Model!I151,Model!N151,Model!S151,Model!X151,Model!AC151),"")</f>
        <v/>
      </c>
      <c r="L13" s="90">
        <f>IFERROR(MAX(Model!C151,Model!D151,Model!I151,Model!N151,Model!S151,Model!X151,Model!AC151),"")</f>
        <v/>
      </c>
      <c r="N13" s="83" t="inlineStr">
        <is>
          <t xml:space="preserve">   Adjusted EBITDA margin %</t>
        </is>
      </c>
      <c r="O13" s="88" t="n">
        <v>0.188122096881221</v>
      </c>
      <c r="P13" s="89" t="n">
        <v>0.214887222269037</v>
      </c>
      <c r="Q13" s="89" t="n">
        <v>0.215</v>
      </c>
      <c r="R13" s="89" t="n">
        <v>0.222</v>
      </c>
      <c r="S13" s="89" t="n">
        <v>0.23</v>
      </c>
      <c r="T13" s="89" t="n">
        <v>0.235</v>
      </c>
      <c r="V13" s="90" t="n">
        <v>0.143861552876355</v>
      </c>
      <c r="W13" s="90" t="n">
        <v>0.111818658280922</v>
      </c>
      <c r="X13" s="90" t="n">
        <v>0.188122096881221</v>
      </c>
      <c r="Z13" s="83" t="inlineStr">
        <is>
          <t xml:space="preserve">   Adjusted EBITDA margin %</t>
        </is>
      </c>
      <c r="AA13" s="88" t="n">
        <v>0.188122096881221</v>
      </c>
      <c r="AB13" s="89" t="n">
        <v>0.206527045330106</v>
      </c>
      <c r="AC13" s="89" t="n">
        <v>0.18</v>
      </c>
      <c r="AD13" s="89" t="n">
        <v>0.187</v>
      </c>
      <c r="AE13" s="89" t="n">
        <v>0.195</v>
      </c>
      <c r="AF13" s="89" t="n">
        <v>0.2</v>
      </c>
      <c r="AH13" s="90" t="n">
        <v>0.143861552876355</v>
      </c>
      <c r="AI13" s="90" t="n">
        <v>0.111818658280922</v>
      </c>
      <c r="AJ13" s="90" t="n">
        <v>0.188122096881221</v>
      </c>
    </row>
    <row r="15" ht="15" customHeight="1" s="251">
      <c r="B15" s="79" t="inlineStr">
        <is>
          <t>Operating Result (IFRS)</t>
        </is>
      </c>
      <c r="C15" s="80">
        <f>Model!AC114</f>
        <v/>
      </c>
      <c r="D15" s="81">
        <f>Model!AH114</f>
        <v/>
      </c>
      <c r="E15" s="81">
        <f>Model!AI114</f>
        <v/>
      </c>
      <c r="F15" s="81">
        <f>Model!AJ114</f>
        <v/>
      </c>
      <c r="G15" s="81">
        <f>Model!AK114</f>
        <v/>
      </c>
      <c r="H15" s="81">
        <f>Model!AL114</f>
        <v/>
      </c>
      <c r="I15" s="292">
        <f>IFERROR((H15/C15)^(1/5)-1,"n/m")</f>
        <v/>
      </c>
      <c r="N15" s="79" t="inlineStr">
        <is>
          <t>Operating Result (IFRS)</t>
        </is>
      </c>
      <c r="O15" s="80" t="n">
        <v>377</v>
      </c>
      <c r="P15" s="81" t="n">
        <v>549.02</v>
      </c>
      <c r="Q15" s="81" t="n">
        <v>664.17208867649</v>
      </c>
      <c r="R15" s="81" t="n">
        <v>840.981258222026</v>
      </c>
      <c r="S15" s="81" t="n">
        <v>1060.46514376609</v>
      </c>
      <c r="T15" s="81" t="n">
        <v>1280.08868853271</v>
      </c>
      <c r="U15" s="292" t="n">
        <v>0.276967199330183</v>
      </c>
      <c r="Z15" s="79" t="inlineStr">
        <is>
          <t>Operating Result (IFRS)</t>
        </is>
      </c>
      <c r="AA15" s="80" t="n">
        <v>377</v>
      </c>
      <c r="AB15" s="81" t="n">
        <v>500.6695</v>
      </c>
      <c r="AC15" s="81" t="n">
        <v>458.0883556541</v>
      </c>
      <c r="AD15" s="81" t="n">
        <v>538.002386156391</v>
      </c>
      <c r="AE15" s="81" t="n">
        <v>628.299554686177</v>
      </c>
      <c r="AF15" s="81" t="n">
        <v>696.315847517262</v>
      </c>
      <c r="AG15" s="292" t="n">
        <v>0.130558360216491</v>
      </c>
    </row>
    <row r="16" ht="15" customHeight="1" s="251">
      <c r="B16" s="83" t="inlineStr">
        <is>
          <t xml:space="preserve">   Operating result y/y %</t>
        </is>
      </c>
      <c r="C16" s="293" t="n"/>
      <c r="D16" s="294">
        <f>IFERROR(D15/C15-1,"")</f>
        <v/>
      </c>
      <c r="E16" s="294">
        <f>IFERROR(E15/D15-1,"")</f>
        <v/>
      </c>
      <c r="F16" s="294">
        <f>IFERROR(F15/E15-1,"")</f>
        <v/>
      </c>
      <c r="G16" s="294">
        <f>IFERROR(G15/F15-1,"")</f>
        <v/>
      </c>
      <c r="H16" s="294">
        <f>IFERROR(H15/G15-1,"")</f>
        <v/>
      </c>
      <c r="N16" s="83" t="inlineStr">
        <is>
          <t xml:space="preserve">   Operating result y/y %</t>
        </is>
      </c>
      <c r="O16" s="293" t="n"/>
      <c r="P16" s="294" t="n">
        <v>0.456286472148541</v>
      </c>
      <c r="Q16" s="294" t="n">
        <v>0.209741154559926</v>
      </c>
      <c r="R16" s="294" t="n">
        <v>0.266209876265452</v>
      </c>
      <c r="S16" s="294" t="n">
        <v>0.260985465963993</v>
      </c>
      <c r="T16" s="294" t="n">
        <v>0.207101144302268</v>
      </c>
      <c r="Z16" s="83" t="inlineStr">
        <is>
          <t xml:space="preserve">   Operating result y/y %</t>
        </is>
      </c>
      <c r="AA16" s="293" t="n"/>
      <c r="AB16" s="294" t="n">
        <v>0.328035809018568</v>
      </c>
      <c r="AC16" s="294" t="n">
        <v>-0.085048408872321</v>
      </c>
      <c r="AD16" s="294" t="n">
        <v>0.174451128294199</v>
      </c>
      <c r="AE16" s="294" t="n">
        <v>0.167837858814881</v>
      </c>
      <c r="AF16" s="294" t="n">
        <v>0.108254561576218</v>
      </c>
    </row>
    <row r="17" ht="15" customHeight="1" s="251">
      <c r="B17" s="83" t="inlineStr">
        <is>
          <t xml:space="preserve">   Operating margin (IFRS) %</t>
        </is>
      </c>
      <c r="C17" s="88">
        <f>IFERROR(C15/C9,"")</f>
        <v/>
      </c>
      <c r="D17" s="89">
        <f>IFERROR(D15/D9,"")</f>
        <v/>
      </c>
      <c r="E17" s="89">
        <f>IFERROR(E15/E9,"")</f>
        <v/>
      </c>
      <c r="F17" s="89">
        <f>IFERROR(F15/F9,"")</f>
        <v/>
      </c>
      <c r="G17" s="89">
        <f>IFERROR(G15/G9,"")</f>
        <v/>
      </c>
      <c r="H17" s="89">
        <f>IFERROR(H15/H9,"")</f>
        <v/>
      </c>
      <c r="J17" s="90">
        <f>IFERROR(AVERAGE(Model!C204,Model!D204,Model!I204,Model!N204,Model!S204,Model!X204,Model!AC204),"")</f>
        <v/>
      </c>
      <c r="K17" s="90">
        <f>IFERROR(MIN(Model!C204,Model!D204,Model!I204,Model!N204,Model!S204,Model!X204,Model!AC204),"")</f>
        <v/>
      </c>
      <c r="L17" s="90">
        <f>IFERROR(MAX(Model!C204,Model!D204,Model!I204,Model!N204,Model!S204,Model!X204,Model!AC204),"")</f>
        <v/>
      </c>
      <c r="N17" s="83" t="inlineStr">
        <is>
          <t xml:space="preserve">   Operating margin (IFRS) %</t>
        </is>
      </c>
      <c r="O17" s="88" t="n">
        <v>0.125082946250829</v>
      </c>
      <c r="P17" s="89" t="n">
        <v>0.154214769248055</v>
      </c>
      <c r="Q17" s="89" t="n">
        <v>0.153</v>
      </c>
      <c r="R17" s="89" t="n">
        <v>0.16</v>
      </c>
      <c r="S17" s="89" t="n">
        <v>0.168</v>
      </c>
      <c r="T17" s="89" t="n">
        <v>0.173</v>
      </c>
      <c r="V17" s="90" t="n">
        <v>0.0247046125907165</v>
      </c>
      <c r="W17" s="90" t="n">
        <v>-0.194715363563721</v>
      </c>
      <c r="X17" s="90" t="n">
        <v>0.125082946250829</v>
      </c>
      <c r="Z17" s="83" t="inlineStr">
        <is>
          <t xml:space="preserve">   Operating margin (IFRS) %</t>
        </is>
      </c>
      <c r="AA17" s="88" t="n">
        <v>0.125082946250829</v>
      </c>
      <c r="AB17" s="89" t="n">
        <v>0.144281000547535</v>
      </c>
      <c r="AC17" s="89" t="n">
        <v>0.118</v>
      </c>
      <c r="AD17" s="89" t="n">
        <v>0.125</v>
      </c>
      <c r="AE17" s="89" t="n">
        <v>0.133</v>
      </c>
      <c r="AF17" s="89" t="n">
        <v>0.138</v>
      </c>
      <c r="AH17" s="90" t="n">
        <v>0.0247046125907165</v>
      </c>
      <c r="AI17" s="90" t="n">
        <v>-0.194715363563721</v>
      </c>
      <c r="AJ17" s="90" t="n">
        <v>0.125082946250829</v>
      </c>
    </row>
    <row r="19" ht="15" customHeight="1" s="251">
      <c r="B19" s="79" t="inlineStr">
        <is>
          <t>Adjusted Net Income (Class A + B)</t>
        </is>
      </c>
      <c r="C19" s="80">
        <f>Model!AC178</f>
        <v/>
      </c>
      <c r="D19" s="81">
        <f>Model!AH178</f>
        <v/>
      </c>
      <c r="E19" s="81">
        <f>Model!AI178</f>
        <v/>
      </c>
      <c r="F19" s="81">
        <f>Model!AJ178</f>
        <v/>
      </c>
      <c r="G19" s="81">
        <f>Model!AK178</f>
        <v/>
      </c>
      <c r="H19" s="81">
        <f>Model!AL178</f>
        <v/>
      </c>
      <c r="I19" s="292">
        <f>IFERROR((H19/C19)^(1/5)-1,"n/m")</f>
        <v/>
      </c>
      <c r="N19" s="79" t="inlineStr">
        <is>
          <t>Adjusted Net Income (Class A + B)</t>
        </is>
      </c>
      <c r="O19" s="80" t="n">
        <v>266.2</v>
      </c>
      <c r="P19" s="81" t="n">
        <v>535.8647999999999</v>
      </c>
      <c r="Q19" s="81" t="n">
        <v>638.749022215238</v>
      </c>
      <c r="R19" s="81" t="n">
        <v>801.294406860271</v>
      </c>
      <c r="S19" s="81" t="n">
        <v>1004.65609164839</v>
      </c>
      <c r="T19" s="81" t="n">
        <v>1212.10784994121</v>
      </c>
      <c r="U19" s="292" t="n">
        <v>0.354149589885125</v>
      </c>
      <c r="Z19" s="79" t="inlineStr">
        <is>
          <t>Adjusted Net Income (Class A + B)</t>
        </is>
      </c>
      <c r="AA19" s="80" t="n">
        <v>266.2</v>
      </c>
      <c r="AB19" s="81" t="n">
        <v>495.25038</v>
      </c>
      <c r="AC19" s="81" t="n">
        <v>460.246175216617</v>
      </c>
      <c r="AD19" s="81" t="n">
        <v>537.2564119746399</v>
      </c>
      <c r="AE19" s="81" t="n">
        <v>624.935518187545</v>
      </c>
      <c r="AF19" s="81" t="n">
        <v>694.3784817309109</v>
      </c>
      <c r="AG19" s="292" t="n">
        <v>0.211372305481345</v>
      </c>
    </row>
    <row r="21" ht="15" customHeight="1" s="251">
      <c r="B21" s="79" t="inlineStr">
        <is>
          <t>Diluted shares, Class A-equivalent (m)</t>
        </is>
      </c>
      <c r="C21" s="91">
        <f>Model!AC129</f>
        <v/>
      </c>
      <c r="D21" s="92">
        <f>Model!AH129</f>
        <v/>
      </c>
      <c r="E21" s="92">
        <f>Model!AI129</f>
        <v/>
      </c>
      <c r="F21" s="92">
        <f>Model!AJ129</f>
        <v/>
      </c>
      <c r="G21" s="92">
        <f>Model!AK129</f>
        <v/>
      </c>
      <c r="H21" s="92">
        <f>Model!AL129</f>
        <v/>
      </c>
      <c r="I21" s="292">
        <f>IFERROR((H21/C21)^(1/5)-1,"n/m")</f>
        <v/>
      </c>
      <c r="N21" s="79" t="inlineStr">
        <is>
          <t>Diluted shares, Class A-equivalent (m)</t>
        </is>
      </c>
      <c r="O21" s="91" t="n">
        <v>333.8584522</v>
      </c>
      <c r="P21" s="92" t="n">
        <v>335.49581285</v>
      </c>
      <c r="Q21" s="92" t="n">
        <v>327.612024754546</v>
      </c>
      <c r="R21" s="92" t="n">
        <v>317.747975167769</v>
      </c>
      <c r="S21" s="92" t="n">
        <v>308.901487564463</v>
      </c>
      <c r="T21" s="92" t="n">
        <v>300.521156644444</v>
      </c>
      <c r="U21" s="292" t="n">
        <v>-0.0208199979812049</v>
      </c>
      <c r="Z21" s="79" t="inlineStr">
        <is>
          <t>Diluted shares, Class A-equivalent (m)</t>
        </is>
      </c>
      <c r="AA21" s="91" t="n">
        <v>333.8584522</v>
      </c>
      <c r="AB21" s="92" t="n">
        <v>335.80831285</v>
      </c>
      <c r="AC21" s="92" t="n">
        <v>333.663161118182</v>
      </c>
      <c r="AD21" s="92" t="n">
        <v>330.578553680165</v>
      </c>
      <c r="AE21" s="92" t="n">
        <v>327.895195303005</v>
      </c>
      <c r="AF21" s="92" t="n">
        <v>325.117709134028</v>
      </c>
      <c r="AG21" s="292" t="n">
        <v>-0.00529190997533835</v>
      </c>
    </row>
    <row r="23" ht="15" customHeight="1" s="251">
      <c r="B23" s="79" t="inlineStr">
        <is>
          <t>Adjusted EPS — Diluted, Class A (CHF)</t>
        </is>
      </c>
      <c r="C23" s="93">
        <f>Model!AC182</f>
        <v/>
      </c>
      <c r="D23" s="94">
        <f>Model!AH182</f>
        <v/>
      </c>
      <c r="E23" s="94">
        <f>Model!AI182</f>
        <v/>
      </c>
      <c r="F23" s="94">
        <f>Model!AJ182</f>
        <v/>
      </c>
      <c r="G23" s="94">
        <f>Model!AK182</f>
        <v/>
      </c>
      <c r="H23" s="94">
        <f>Model!AL182</f>
        <v/>
      </c>
      <c r="I23" s="292">
        <f>IFERROR((H23/C23)^(1/5)-1,"n/m")</f>
        <v/>
      </c>
      <c r="N23" s="79" t="inlineStr">
        <is>
          <t>Adjusted EPS — Diluted, Class A (CHF)</t>
        </is>
      </c>
      <c r="O23" s="93" t="n">
        <v>0.797343899026199</v>
      </c>
      <c r="P23" s="94" t="n">
        <v>1.5972324526136</v>
      </c>
      <c r="Q23" s="94" t="n">
        <v>1.94971177475492</v>
      </c>
      <c r="R23" s="94" t="n">
        <v>2.52179233065826</v>
      </c>
      <c r="S23" s="94" t="n">
        <v>3.25235109603909</v>
      </c>
      <c r="T23" s="94" t="n">
        <v>4.03335280442599</v>
      </c>
      <c r="U23" s="292" t="n">
        <v>0.382942448878907</v>
      </c>
      <c r="Z23" s="79" t="inlineStr">
        <is>
          <t>Adjusted EPS — Diluted, Class A (CHF)</t>
        </is>
      </c>
      <c r="AA23" s="93" t="n">
        <v>0.797343899026199</v>
      </c>
      <c r="AB23" s="94" t="n">
        <v>1.47480083443086</v>
      </c>
      <c r="AC23" s="94" t="n">
        <v>1.37937365837519</v>
      </c>
      <c r="AD23" s="94" t="n">
        <v>1.62520044326419</v>
      </c>
      <c r="AE23" s="94" t="n">
        <v>1.90590019963558</v>
      </c>
      <c r="AF23" s="94" t="n">
        <v>2.13577563517052</v>
      </c>
      <c r="AG23" s="292" t="n">
        <v>0.217816882791525</v>
      </c>
    </row>
    <row r="24" ht="15" customHeight="1" s="251">
      <c r="B24" s="83" t="inlineStr">
        <is>
          <t xml:space="preserve">   EPS y/y %</t>
        </is>
      </c>
      <c r="C24" s="293" t="n"/>
      <c r="D24" s="294">
        <f>IFERROR(D23/C23-1,"")</f>
        <v/>
      </c>
      <c r="E24" s="294">
        <f>IFERROR(E23/D23-1,"")</f>
        <v/>
      </c>
      <c r="F24" s="294">
        <f>IFERROR(F23/E23-1,"")</f>
        <v/>
      </c>
      <c r="G24" s="294">
        <f>IFERROR(G23/F23-1,"")</f>
        <v/>
      </c>
      <c r="H24" s="294">
        <f>IFERROR(H23/G23-1,"")</f>
        <v/>
      </c>
      <c r="N24" s="83" t="inlineStr">
        <is>
          <t xml:space="preserve">   EPS y/y %</t>
        </is>
      </c>
      <c r="O24" s="293" t="n"/>
      <c r="P24" s="294" t="n">
        <v>1.00319141409913</v>
      </c>
      <c r="Q24" s="294" t="n">
        <v>0.220681292547333</v>
      </c>
      <c r="R24" s="294" t="n">
        <v>0.293418013529336</v>
      </c>
      <c r="S24" s="294" t="n">
        <v>0.289698226336556</v>
      </c>
      <c r="T24" s="294" t="n">
        <v>0.24013450126527</v>
      </c>
      <c r="Z24" s="83" t="inlineStr">
        <is>
          <t xml:space="preserve">   EPS y/y %</t>
        </is>
      </c>
      <c r="AA24" s="293" t="n"/>
      <c r="AB24" s="294" t="n">
        <v>0.8496420882282349</v>
      </c>
      <c r="AC24" s="294" t="n">
        <v>-0.0647051275181159</v>
      </c>
      <c r="AD24" s="294" t="n">
        <v>0.178216238505359</v>
      </c>
      <c r="AE24" s="294" t="n">
        <v>0.172717007021981</v>
      </c>
      <c r="AF24" s="294" t="n">
        <v>0.120612525030896</v>
      </c>
    </row>
    <row r="26" ht="15" customHeight="1" s="251">
      <c r="B26" s="83" t="inlineStr">
        <is>
          <t>P / E (x) — assumed (adjusted EPS)</t>
        </is>
      </c>
      <c r="C26" s="295" t="n"/>
      <c r="D26" s="295" t="n"/>
      <c r="E26" s="295" t="n"/>
      <c r="F26" s="295" t="n">
        <v>25</v>
      </c>
      <c r="G26" s="295" t="n">
        <v>25</v>
      </c>
      <c r="H26" s="295" t="n">
        <v>25</v>
      </c>
      <c r="N26" s="83" t="inlineStr">
        <is>
          <t>P / E (x) — assumed (adjusted EPS)</t>
        </is>
      </c>
      <c r="O26" s="295" t="n"/>
      <c r="P26" s="295" t="n"/>
      <c r="Q26" s="295" t="n"/>
      <c r="R26" s="295" t="n">
        <v>32</v>
      </c>
      <c r="S26" s="295" t="n">
        <v>32</v>
      </c>
      <c r="T26" s="295" t="n">
        <v>32</v>
      </c>
      <c r="Z26" s="83" t="inlineStr">
        <is>
          <t>P / E (x) — assumed (adjusted EPS)</t>
        </is>
      </c>
      <c r="AA26" s="295" t="n"/>
      <c r="AB26" s="295" t="n"/>
      <c r="AC26" s="295" t="n"/>
      <c r="AD26" s="295" t="n">
        <v>16</v>
      </c>
      <c r="AE26" s="295" t="n">
        <v>16</v>
      </c>
      <c r="AF26" s="295" t="n">
        <v>16</v>
      </c>
    </row>
    <row r="27" ht="15" customHeight="1" s="251">
      <c r="B27" s="10" t="inlineStr">
        <is>
          <t>Price Target (CHF)</t>
        </is>
      </c>
      <c r="C27" s="96" t="n"/>
      <c r="D27" s="96" t="n"/>
      <c r="E27" s="96" t="n"/>
      <c r="F27" s="96">
        <f>F26*F23</f>
        <v/>
      </c>
      <c r="G27" s="96">
        <f>G26*G23</f>
        <v/>
      </c>
      <c r="H27" s="96">
        <f>H26*H23</f>
        <v/>
      </c>
      <c r="N27" s="10" t="inlineStr">
        <is>
          <t>Price Target (CHF)</t>
        </is>
      </c>
      <c r="O27" s="96" t="n"/>
      <c r="P27" s="96" t="n"/>
      <c r="Q27" s="96" t="n"/>
      <c r="R27" s="96">
        <f>R26*R23</f>
        <v/>
      </c>
      <c r="S27" s="96">
        <f>S26*S23</f>
        <v/>
      </c>
      <c r="T27" s="96">
        <f>T26*T23</f>
        <v/>
      </c>
      <c r="Z27" s="10" t="inlineStr">
        <is>
          <t>Price Target (CHF)</t>
        </is>
      </c>
      <c r="AA27" s="96" t="n"/>
      <c r="AB27" s="96" t="n"/>
      <c r="AC27" s="96" t="n"/>
      <c r="AD27" s="96">
        <f>AD26*AD23</f>
        <v/>
      </c>
      <c r="AE27" s="96">
        <f>AE26*AE23</f>
        <v/>
      </c>
      <c r="AF27" s="96">
        <f>AF26*AF23</f>
        <v/>
      </c>
    </row>
    <row r="28" ht="15" customHeight="1" s="251">
      <c r="B28" t="inlineStr">
        <is>
          <t xml:space="preserve">   Upside / (Downside) vs current</t>
        </is>
      </c>
      <c r="E28" s="296" t="n"/>
      <c r="F28" s="296">
        <f>IFERROR(F27/$K$2-1,"")</f>
        <v/>
      </c>
      <c r="G28" s="296">
        <f>IFERROR(G27/$K$2-1,"")</f>
        <v/>
      </c>
      <c r="H28" s="296">
        <f>IFERROR(H27/$K$2-1,"")</f>
        <v/>
      </c>
      <c r="N28" t="inlineStr">
        <is>
          <t xml:space="preserve">   Upside / (Downside) vs current</t>
        </is>
      </c>
      <c r="O28" s="296" t="n"/>
      <c r="P28" s="296" t="n"/>
      <c r="Q28" s="296" t="n"/>
      <c r="R28" s="296">
        <f>IFERROR(R27/$K$2-1,"")</f>
        <v/>
      </c>
      <c r="S28" s="296">
        <f>IFERROR(S27/$K$2-1,"")</f>
        <v/>
      </c>
      <c r="T28" s="296">
        <f>IFERROR(T27/$K$2-1,"")</f>
        <v/>
      </c>
      <c r="Z28" t="inlineStr">
        <is>
          <t xml:space="preserve">   Upside / (Downside) vs current</t>
        </is>
      </c>
      <c r="AA28" s="296" t="n"/>
      <c r="AB28" s="296" t="n"/>
      <c r="AC28" s="296" t="n"/>
      <c r="AD28" s="296">
        <f>IFERROR(AD27/$K$2-1,"")</f>
        <v/>
      </c>
      <c r="AE28" s="296">
        <f>IFERROR(AE27/$K$2-1,"")</f>
        <v/>
      </c>
      <c r="AF28" s="296">
        <f>IFERROR(AF27/$K$2-1,"")</f>
        <v/>
      </c>
    </row>
    <row r="29" ht="15" customHeight="1" s="251">
      <c r="B29" s="75" t="inlineStr">
        <is>
          <t>IRR (to Dec-Y-1)</t>
        </is>
      </c>
      <c r="C29" s="297" t="n"/>
      <c r="D29" s="297" t="n"/>
      <c r="E29" s="297" t="n"/>
      <c r="F29" s="297">
        <f>IFERROR((F27/$K$2)^(1/((DATE(2028-1,12,31)-$K$3)/365.25))-1,"")</f>
        <v/>
      </c>
      <c r="G29" s="297">
        <f>IFERROR((G27/$K$2)^(1/((DATE(2029-1,12,31)-$K$3)/365.25))-1,"")</f>
        <v/>
      </c>
      <c r="H29" s="297">
        <f>IFERROR((H27/$K$2)^(1/((DATE(2030-1,12,31)-$K$3)/365.25))-1,"")</f>
        <v/>
      </c>
      <c r="N29" s="75" t="inlineStr">
        <is>
          <t>IRR (to Dec-Y-1)</t>
        </is>
      </c>
      <c r="O29" s="297" t="n"/>
      <c r="P29" s="297" t="n"/>
      <c r="Q29" s="297" t="n"/>
      <c r="R29" s="297">
        <f>IFERROR((R27/$K$2)^(1/((DATE(2028-1,12,31)-$K$3)/365.25))-1,"")</f>
        <v/>
      </c>
      <c r="S29" s="297">
        <f>IFERROR((S27/$K$2)^(1/((DATE(2029-1,12,31)-$K$3)/365.25))-1,"")</f>
        <v/>
      </c>
      <c r="T29" s="297">
        <f>IFERROR((T27/$K$2)^(1/((DATE(2030-1,12,31)-$K$3)/365.25))-1,"")</f>
        <v/>
      </c>
      <c r="Z29" s="75" t="inlineStr">
        <is>
          <t>IRR (to Dec-Y-1)</t>
        </is>
      </c>
      <c r="AA29" s="297" t="n"/>
      <c r="AB29" s="297" t="n"/>
      <c r="AC29" s="297" t="n"/>
      <c r="AD29" s="297">
        <f>IFERROR((AD27/$K$2)^(1/((DATE(2028-1,12,31)-$K$3)/365.25))-1,"")</f>
        <v/>
      </c>
      <c r="AE29" s="297">
        <f>IFERROR((AE27/$K$2)^(1/((DATE(2029-1,12,31)-$K$3)/365.25))-1,"")</f>
        <v/>
      </c>
      <c r="AF29" s="297">
        <f>IFERROR((AF27/$K$2)^(1/((DATE(2030-1,12,31)-$K$3)/365.25))-1,"")</f>
        <v/>
      </c>
    </row>
    <row r="31" ht="15" customHeight="1" s="251">
      <c r="B31" s="79" t="inlineStr">
        <is>
          <t>Free Cash Flow</t>
        </is>
      </c>
      <c r="C31" s="80">
        <f>Model!AC233</f>
        <v/>
      </c>
      <c r="D31" s="81">
        <f>Model!AH233</f>
        <v/>
      </c>
      <c r="E31" s="81">
        <f>Model!AI233</f>
        <v/>
      </c>
      <c r="F31" s="81">
        <f>Model!AJ233</f>
        <v/>
      </c>
      <c r="G31" s="81">
        <f>Model!AK233</f>
        <v/>
      </c>
      <c r="H31" s="81">
        <f>Model!AL233</f>
        <v/>
      </c>
      <c r="I31" s="292">
        <f>IFERROR((H31/C31)^(1/5)-1,"n/m")</f>
        <v/>
      </c>
      <c r="N31" s="79" t="inlineStr">
        <is>
          <t>Free Cash Flow</t>
        </is>
      </c>
      <c r="O31" s="80" t="n">
        <v>211</v>
      </c>
      <c r="P31" s="81" t="n">
        <v>461.254540547945</v>
      </c>
      <c r="Q31" s="81" t="n">
        <v>514.692211044036</v>
      </c>
      <c r="R31" s="81" t="n">
        <v>668.6092691164411</v>
      </c>
      <c r="S31" s="81" t="n">
        <v>851.70725098294</v>
      </c>
      <c r="T31" s="81" t="n">
        <v>1047.20288325771</v>
      </c>
      <c r="U31" s="292" t="n">
        <v>0.377684190728502</v>
      </c>
      <c r="Z31" s="79" t="inlineStr">
        <is>
          <t>Free Cash Flow</t>
        </is>
      </c>
      <c r="AA31" s="80" t="n">
        <v>211</v>
      </c>
      <c r="AB31" s="81" t="n">
        <v>422.504792328767</v>
      </c>
      <c r="AC31" s="81" t="n">
        <v>380.146373396006</v>
      </c>
      <c r="AD31" s="81" t="n">
        <v>470.270758933137</v>
      </c>
      <c r="AE31" s="81" t="n">
        <v>557.883960872628</v>
      </c>
      <c r="AF31" s="81" t="n">
        <v>636.107403473524</v>
      </c>
      <c r="AG31" s="292" t="n">
        <v>0.246951606241533</v>
      </c>
    </row>
    <row r="32" ht="15" customHeight="1" s="251">
      <c r="B32" s="83" t="inlineStr">
        <is>
          <t xml:space="preserve">   FCF %</t>
        </is>
      </c>
      <c r="C32" s="88">
        <f>IFERROR(C31/C9,"")</f>
        <v/>
      </c>
      <c r="D32" s="89">
        <f>IFERROR(D31/D9,"")</f>
        <v/>
      </c>
      <c r="E32" s="89">
        <f>IFERROR(E31/E9,"")</f>
        <v/>
      </c>
      <c r="F32" s="89">
        <f>IFERROR(F31/F9,"")</f>
        <v/>
      </c>
      <c r="G32" s="89">
        <f>IFERROR(G31/G9,"")</f>
        <v/>
      </c>
      <c r="H32" s="89">
        <f>IFERROR(H31/H9,"")</f>
        <v/>
      </c>
      <c r="J32" s="90">
        <f>IFERROR(AVERAGE(Model!C235,Model!D235,Model!I235,Model!N235,Model!S235,Model!X235,Model!AC235),"")</f>
        <v/>
      </c>
      <c r="K32" s="90">
        <f>IFERROR(MIN(Model!C235,Model!D235,Model!I235,Model!N235,Model!S235,Model!X235,Model!AC235),"")</f>
        <v/>
      </c>
      <c r="L32" s="90">
        <f>IFERROR(MAX(Model!C235,Model!D235,Model!I235,Model!N235,Model!S235,Model!X235,Model!AC235),"")</f>
        <v/>
      </c>
      <c r="N32" s="83" t="inlineStr">
        <is>
          <t xml:space="preserve">   FCF %</t>
        </is>
      </c>
      <c r="O32" s="88" t="n">
        <v>0.07000663570006641</v>
      </c>
      <c r="P32" s="89" t="n">
        <v>0.129562242787547</v>
      </c>
      <c r="Q32" s="89" t="n">
        <v>0.118565518835126</v>
      </c>
      <c r="R32" s="89" t="n">
        <v>0.127205549484894</v>
      </c>
      <c r="S32" s="89" t="n">
        <v>0.134928355737353</v>
      </c>
      <c r="T32" s="89" t="n">
        <v>0.141526208634219</v>
      </c>
      <c r="V32" s="90" t="n">
        <v>-0.0114304441712239</v>
      </c>
      <c r="W32" s="90" t="n">
        <v>-0.266262989935357</v>
      </c>
      <c r="X32" s="90" t="n">
        <v>0.170081525255575</v>
      </c>
      <c r="Z32" s="83" t="inlineStr">
        <is>
          <t xml:space="preserve">   FCF %</t>
        </is>
      </c>
      <c r="AA32" s="88" t="n">
        <v>0.07000663570006641</v>
      </c>
      <c r="AB32" s="89" t="n">
        <v>0.121755797334015</v>
      </c>
      <c r="AC32" s="89" t="n">
        <v>0.09792275116156909</v>
      </c>
      <c r="AD32" s="89" t="n">
        <v>0.109263167560663</v>
      </c>
      <c r="AE32" s="89" t="n">
        <v>0.118094253358369</v>
      </c>
      <c r="AF32" s="89" t="n">
        <v>0.12606753385312</v>
      </c>
      <c r="AH32" s="90" t="n">
        <v>-0.0114304441712239</v>
      </c>
      <c r="AI32" s="90" t="n">
        <v>-0.266262989935357</v>
      </c>
      <c r="AJ32" s="90" t="n">
        <v>0.170081525255575</v>
      </c>
    </row>
    <row r="33" ht="15" customHeight="1" s="251">
      <c r="B33" s="83" t="inlineStr">
        <is>
          <t xml:space="preserve">   FCF / share ($)</t>
        </is>
      </c>
      <c r="C33" s="99">
        <f>IFERROR(C31/C21,"")</f>
        <v/>
      </c>
      <c r="D33" s="100">
        <f>IFERROR(D31/D21,"")</f>
        <v/>
      </c>
      <c r="E33" s="100">
        <f>IFERROR(E31/E21,"")</f>
        <v/>
      </c>
      <c r="F33" s="100">
        <f>IFERROR(F31/F21,"")</f>
        <v/>
      </c>
      <c r="G33" s="100">
        <f>IFERROR(G31/G21,"")</f>
        <v/>
      </c>
      <c r="H33" s="100">
        <f>IFERROR(H31/H21,"")</f>
        <v/>
      </c>
      <c r="N33" s="83" t="inlineStr">
        <is>
          <t xml:space="preserve">   FCF / share ($)</t>
        </is>
      </c>
      <c r="O33" s="99" t="n">
        <v>0.632004367748039</v>
      </c>
      <c r="P33" s="100" t="n">
        <v>1.37484440306315</v>
      </c>
      <c r="Q33" s="100" t="n">
        <v>1.57104187927673</v>
      </c>
      <c r="R33" s="100" t="n">
        <v>2.10421252492143</v>
      </c>
      <c r="S33" s="100" t="n">
        <v>2.75721317400649</v>
      </c>
      <c r="T33" s="100" t="n">
        <v>3.48462282972207</v>
      </c>
      <c r="Z33" s="83" t="inlineStr">
        <is>
          <t xml:space="preserve">   FCF / share ($)</t>
        </is>
      </c>
      <c r="AA33" s="99" t="n">
        <v>0.632004367748039</v>
      </c>
      <c r="AB33" s="100" t="n">
        <v>1.25817252331539</v>
      </c>
      <c r="AC33" s="100" t="n">
        <v>1.13931179013604</v>
      </c>
      <c r="AD33" s="100" t="n">
        <v>1.42256886811878</v>
      </c>
      <c r="AE33" s="100" t="n">
        <v>1.70140937977786</v>
      </c>
      <c r="AF33" s="100" t="n">
        <v>1.95654492389183</v>
      </c>
    </row>
    <row r="34" ht="15" customHeight="1" s="251">
      <c r="B34" s="83" t="inlineStr">
        <is>
          <t xml:space="preserve">   FCF Yield (on PT)</t>
        </is>
      </c>
      <c r="E34" s="101" t="n"/>
      <c r="F34" s="101">
        <f>IFERROR(F33/F$27,"")</f>
        <v/>
      </c>
      <c r="G34" s="101">
        <f>IFERROR(G33/G$27,"")</f>
        <v/>
      </c>
      <c r="H34" s="101">
        <f>IFERROR(H33/H$27,"")</f>
        <v/>
      </c>
      <c r="N34" s="83" t="inlineStr">
        <is>
          <t xml:space="preserve">   FCF Yield (on PT)</t>
        </is>
      </c>
      <c r="Q34" s="101" t="n"/>
      <c r="R34" s="101">
        <f>IFERROR(R33/R$27,"")</f>
        <v/>
      </c>
      <c r="S34" s="101">
        <f>IFERROR(S33/S$27,"")</f>
        <v/>
      </c>
      <c r="T34" s="101">
        <f>IFERROR(T33/T$27,"")</f>
        <v/>
      </c>
      <c r="Z34" s="83" t="inlineStr">
        <is>
          <t xml:space="preserve">   FCF Yield (on PT)</t>
        </is>
      </c>
      <c r="AC34" s="101" t="n"/>
      <c r="AD34" s="101">
        <f>IFERROR(AD33/AD$27,"")</f>
        <v/>
      </c>
      <c r="AE34" s="101">
        <f>IFERROR(AE33/AE$27,"")</f>
        <v/>
      </c>
      <c r="AF34" s="101">
        <f>IFERROR(AF33/AF$27,"")</f>
        <v/>
      </c>
    </row>
    <row r="35" ht="15" customHeight="1" s="251">
      <c r="B35" s="79" t="inlineStr">
        <is>
          <t>Adjusted EBITDA excl. tariff refund (guidance basis)</t>
        </is>
      </c>
      <c r="C35" s="80">
        <f>Model!AC155</f>
        <v/>
      </c>
      <c r="D35" s="81">
        <f>Model!AH155</f>
        <v/>
      </c>
      <c r="E35" s="81">
        <f>Model!AI155</f>
        <v/>
      </c>
      <c r="F35" s="81">
        <f>Model!AJ155</f>
        <v/>
      </c>
      <c r="G35" s="81">
        <f>Model!AK155</f>
        <v/>
      </c>
      <c r="H35" s="81">
        <f>Model!AL155</f>
        <v/>
      </c>
      <c r="I35" s="292">
        <f>IFERROR((H35/C35)^(1/5)-1,"n/m")</f>
        <v/>
      </c>
      <c r="N35" s="79" t="inlineStr">
        <is>
          <t>Adjusted EBITDA excl. tariff refund (guidance basis)</t>
        </is>
      </c>
      <c r="O35" s="80" t="n">
        <v>567</v>
      </c>
      <c r="P35" s="81" t="n">
        <v>712.02</v>
      </c>
      <c r="Q35" s="81" t="n">
        <v>933.313719381996</v>
      </c>
      <c r="R35" s="81" t="n">
        <v>1166.86149578306</v>
      </c>
      <c r="S35" s="81" t="n">
        <v>1451.82728015595</v>
      </c>
      <c r="T35" s="81" t="n">
        <v>1738.84879656178</v>
      </c>
      <c r="U35" s="292" t="n">
        <v>0.251225976258584</v>
      </c>
      <c r="Z35" s="79" t="inlineStr">
        <is>
          <t>Adjusted EBITDA excl. tariff refund (guidance basis)</t>
        </is>
      </c>
      <c r="AA35" s="80" t="n">
        <v>567</v>
      </c>
      <c r="AB35" s="81" t="n">
        <v>676.6695</v>
      </c>
      <c r="AC35" s="81" t="n">
        <v>698.778847607948</v>
      </c>
      <c r="AD35" s="81" t="n">
        <v>804.851569689962</v>
      </c>
      <c r="AE35" s="81" t="n">
        <v>921.1910764195831</v>
      </c>
      <c r="AF35" s="81" t="n">
        <v>1009.15340219893</v>
      </c>
      <c r="AG35" s="292" t="n">
        <v>0.12221178704249</v>
      </c>
    </row>
    <row r="36" ht="15" customHeight="1" s="251">
      <c r="B36" s="83" t="inlineStr">
        <is>
          <t xml:space="preserve">   Adjusted EBITDA (excl. refund) % of net sales</t>
        </is>
      </c>
      <c r="C36" s="88">
        <f>IFERROR(C35/C9,"")</f>
        <v/>
      </c>
      <c r="D36" s="89">
        <f>IFERROR(D35/D9,"")</f>
        <v/>
      </c>
      <c r="E36" s="89">
        <f>IFERROR(E35/E9,"")</f>
        <v/>
      </c>
      <c r="F36" s="89">
        <f>IFERROR(F35/F9,"")</f>
        <v/>
      </c>
      <c r="G36" s="89">
        <f>IFERROR(G35/G9,"")</f>
        <v/>
      </c>
      <c r="H36" s="89">
        <f>IFERROR(H35/H9,"")</f>
        <v/>
      </c>
      <c r="J36" s="90">
        <f>IFERROR(AVERAGE(Model!C156,Model!D156,Model!I156,Model!N156,Model!S156,Model!X156,Model!AC156),"")</f>
        <v/>
      </c>
      <c r="K36" s="90">
        <f>IFERROR(MIN(Model!C156,Model!D156,Model!I156,Model!N156,Model!S156,Model!X156,Model!AC156),"")</f>
        <v/>
      </c>
      <c r="L36" s="90">
        <f>IFERROR(MAX(Model!C156,Model!D156,Model!I156,Model!N156,Model!S156,Model!X156,Model!AC156),"")</f>
        <v/>
      </c>
      <c r="N36" s="83" t="inlineStr">
        <is>
          <t xml:space="preserve">   Adjusted EBITDA (excl. refund) % of net sales</t>
        </is>
      </c>
      <c r="O36" s="88" t="n">
        <v>0.188122096881221</v>
      </c>
      <c r="P36" s="89" t="n">
        <v>0.2</v>
      </c>
      <c r="Q36" s="89" t="n">
        <v>0.215</v>
      </c>
      <c r="R36" s="89" t="n">
        <v>0.222</v>
      </c>
      <c r="S36" s="89" t="n">
        <v>0.23</v>
      </c>
      <c r="T36" s="89" t="n">
        <v>0.235</v>
      </c>
      <c r="V36" s="90" t="n">
        <v>0.143861552876355</v>
      </c>
      <c r="W36" s="90" t="n">
        <v>0.111818658280922</v>
      </c>
      <c r="X36" s="90" t="n">
        <v>0.188122096881221</v>
      </c>
      <c r="Z36" s="83" t="inlineStr">
        <is>
          <t xml:space="preserve">   Adjusted EBITDA (excl. refund) % of net sales</t>
        </is>
      </c>
      <c r="AA36" s="88" t="n">
        <v>0.188122096881221</v>
      </c>
      <c r="AB36" s="89" t="n">
        <v>0.195</v>
      </c>
      <c r="AC36" s="89" t="n">
        <v>0.18</v>
      </c>
      <c r="AD36" s="89" t="n">
        <v>0.187</v>
      </c>
      <c r="AE36" s="89" t="n">
        <v>0.195</v>
      </c>
      <c r="AF36" s="89" t="n">
        <v>0.2</v>
      </c>
      <c r="AH36" s="90" t="n">
        <v>0.143861552876355</v>
      </c>
      <c r="AI36" s="90" t="n">
        <v>0.111818658280922</v>
      </c>
      <c r="AJ36" s="90" t="n">
        <v>0.188122096881221</v>
      </c>
    </row>
    <row r="38" ht="15" customHeight="1" s="251">
      <c r="B38" s="79" t="inlineStr">
        <is>
          <t>Net Debt incl. leases (negative = net cash)</t>
        </is>
      </c>
      <c r="C38" s="80">
        <f>Model!AC343</f>
        <v/>
      </c>
      <c r="D38" s="81">
        <f>Model!AH343</f>
        <v/>
      </c>
      <c r="E38" s="81">
        <f>Model!AI343</f>
        <v/>
      </c>
      <c r="F38" s="81">
        <f>Model!AJ343</f>
        <v/>
      </c>
      <c r="G38" s="81">
        <f>Model!AK343</f>
        <v/>
      </c>
      <c r="H38" s="81">
        <f>Model!AL343</f>
        <v/>
      </c>
      <c r="N38" s="79" t="inlineStr">
        <is>
          <t>Net Debt incl. leases (negative = net cash)</t>
        </is>
      </c>
      <c r="O38" s="80" t="n">
        <v>-438.9</v>
      </c>
      <c r="P38" s="81" t="n">
        <v>-737.441040547945</v>
      </c>
      <c r="Q38" s="81" t="n">
        <v>-774.2959323282161</v>
      </c>
      <c r="R38" s="81" t="n">
        <v>-937.602820083828</v>
      </c>
      <c r="S38" s="81" t="n">
        <v>-1255.14790133005</v>
      </c>
      <c r="T38" s="81" t="n">
        <v>-1719.99467173615</v>
      </c>
      <c r="Z38" s="79" t="inlineStr">
        <is>
          <t>Net Debt incl. leases (negative = net cash)</t>
        </is>
      </c>
      <c r="AA38" s="80" t="n">
        <v>-438.9</v>
      </c>
      <c r="AB38" s="81" t="n">
        <v>-776.641292328767</v>
      </c>
      <c r="AC38" s="81" t="n">
        <v>-936.895443340151</v>
      </c>
      <c r="AD38" s="81" t="n">
        <v>-1182.22564068033</v>
      </c>
      <c r="AE38" s="81" t="n">
        <v>-1512.6631033175</v>
      </c>
      <c r="AF38" s="81" t="n">
        <v>-1898.58395018203</v>
      </c>
    </row>
    <row r="39" ht="15" customHeight="1" s="251">
      <c r="B39" s="83" t="inlineStr">
        <is>
          <t xml:space="preserve">   Net Debt / Adjusted EBITDA (x)</t>
        </is>
      </c>
      <c r="C39" s="102">
        <f>IFERROR(C38/C35,"")</f>
        <v/>
      </c>
      <c r="D39" s="103">
        <f>IFERROR(D38/D35,"")</f>
        <v/>
      </c>
      <c r="E39" s="103">
        <f>IFERROR(E38/E35,"")</f>
        <v/>
      </c>
      <c r="F39" s="103">
        <f>IFERROR(F38/F35,"")</f>
        <v/>
      </c>
      <c r="G39" s="103">
        <f>IFERROR(G38/G35,"")</f>
        <v/>
      </c>
      <c r="H39" s="103">
        <f>IFERROR(H38/H35,"")</f>
        <v/>
      </c>
      <c r="N39" s="83" t="inlineStr">
        <is>
          <t xml:space="preserve">   Net Debt / Adjusted EBITDA (x)</t>
        </is>
      </c>
      <c r="O39" s="102" t="n">
        <v>-0.774074074074074</v>
      </c>
      <c r="P39" s="103" t="n">
        <v>-1.03570270574976</v>
      </c>
      <c r="Q39" s="103" t="n">
        <v>-0.829620219063023</v>
      </c>
      <c r="R39" s="103" t="n">
        <v>-0.803525374238713</v>
      </c>
      <c r="S39" s="103" t="n">
        <v>-0.864529767752556</v>
      </c>
      <c r="T39" s="103" t="n">
        <v>-0.989157122308218</v>
      </c>
      <c r="Z39" s="83" t="inlineStr">
        <is>
          <t xml:space="preserve">   Net Debt / Adjusted EBITDA (x)</t>
        </is>
      </c>
      <c r="AA39" s="102" t="n">
        <v>-0.774074074074074</v>
      </c>
      <c r="AB39" s="103" t="n">
        <v>-1.14774094639816</v>
      </c>
      <c r="AC39" s="103" t="n">
        <v>-1.34076102410272</v>
      </c>
      <c r="AD39" s="103" t="n">
        <v>-1.46887411940532</v>
      </c>
      <c r="AE39" s="103" t="n">
        <v>-1.64207311820346</v>
      </c>
      <c r="AF39" s="103" t="n">
        <v>-1.88136307725371</v>
      </c>
    </row>
    <row r="40" ht="15" customHeight="1" s="251">
      <c r="B40" s="252" t="inlineStr">
        <is>
          <t xml:space="preserve">   Share repurchases (CHF m)</t>
        </is>
      </c>
      <c r="C40" s="102" t="n"/>
      <c r="D40" s="248">
        <f>Model!AH247</f>
        <v/>
      </c>
      <c r="E40" s="248">
        <f>Model!AI247</f>
        <v/>
      </c>
      <c r="F40" s="248">
        <f>Model!AJ247</f>
        <v/>
      </c>
      <c r="G40" s="248">
        <f>Model!AK247</f>
        <v/>
      </c>
      <c r="H40" s="248">
        <f>Model!AL247</f>
        <v/>
      </c>
      <c r="N40" s="252" t="inlineStr">
        <is>
          <t xml:space="preserve">   Share repurchases (CHF m)</t>
        </is>
      </c>
      <c r="O40" s="102" t="n"/>
      <c r="P40" s="248" t="n">
        <v>96</v>
      </c>
      <c r="Q40" s="248" t="n">
        <v>326.4</v>
      </c>
      <c r="R40" s="248" t="n">
        <v>326.4</v>
      </c>
      <c r="S40" s="248" t="n">
        <v>325.6</v>
      </c>
      <c r="T40" s="248" t="n">
        <v>360</v>
      </c>
      <c r="Z40" s="83" t="inlineStr">
        <is>
          <t xml:space="preserve">   Share repurchases (CHF m)</t>
        </is>
      </c>
      <c r="AA40" s="102" t="n"/>
      <c r="AB40" s="103" t="n">
        <v>32</v>
      </c>
      <c r="AC40" s="103" t="n">
        <v>126.4</v>
      </c>
      <c r="AD40" s="103" t="n">
        <v>126.4</v>
      </c>
      <c r="AE40" s="103" t="n">
        <v>125.6</v>
      </c>
      <c r="AF40" s="103" t="n">
        <v>160</v>
      </c>
    </row>
    <row r="41" ht="15" customHeight="1" s="251">
      <c r="B41" s="252" t="inlineStr">
        <is>
          <t xml:space="preserve">   Implied avg buyback price (USD)</t>
        </is>
      </c>
      <c r="C41" s="102" t="n"/>
      <c r="D41" s="249">
        <f>Model!AH248</f>
        <v/>
      </c>
      <c r="E41" s="249">
        <f>Model!AI248</f>
        <v/>
      </c>
      <c r="F41" s="249">
        <f>Model!AJ248</f>
        <v/>
      </c>
      <c r="G41" s="249">
        <f>Model!AK248</f>
        <v/>
      </c>
      <c r="H41" s="249">
        <f>Model!AL248</f>
        <v/>
      </c>
      <c r="N41" s="252" t="inlineStr">
        <is>
          <t xml:space="preserve">   Implied avg buyback price (USD)</t>
        </is>
      </c>
      <c r="O41" s="102" t="n"/>
      <c r="P41" s="249" t="n">
        <v>32</v>
      </c>
      <c r="Q41" s="249" t="n">
        <v>35.2</v>
      </c>
      <c r="R41" s="249" t="n">
        <v>38.72</v>
      </c>
      <c r="S41" s="249" t="n">
        <v>42.592</v>
      </c>
      <c r="T41" s="249" t="n">
        <v>46.8512</v>
      </c>
      <c r="Z41" s="83" t="inlineStr">
        <is>
          <t xml:space="preserve">   Implied avg buyback price (USD)</t>
        </is>
      </c>
      <c r="AA41" s="102" t="n"/>
      <c r="AB41" s="103" t="n">
        <v>32</v>
      </c>
      <c r="AC41" s="103" t="n">
        <v>35.2</v>
      </c>
      <c r="AD41" s="103" t="n">
        <v>38.72</v>
      </c>
      <c r="AE41" s="103" t="n">
        <v>42.592</v>
      </c>
      <c r="AF41" s="103" t="n">
        <v>46.8512</v>
      </c>
    </row>
    <row r="42" ht="15" customHeight="1" s="251">
      <c r="B42" s="252" t="inlineStr">
        <is>
          <t xml:space="preserve">   Shares repurchased (m)</t>
        </is>
      </c>
      <c r="C42" s="102" t="n"/>
      <c r="D42" s="250">
        <f>Model!AH249</f>
        <v/>
      </c>
      <c r="E42" s="250">
        <f>Model!AI249</f>
        <v/>
      </c>
      <c r="F42" s="250">
        <f>Model!AJ249</f>
        <v/>
      </c>
      <c r="G42" s="250">
        <f>Model!AK249</f>
        <v/>
      </c>
      <c r="H42" s="250">
        <f>Model!AL249</f>
        <v/>
      </c>
      <c r="N42" s="252" t="inlineStr">
        <is>
          <t xml:space="preserve">   Shares repurchased (m)</t>
        </is>
      </c>
      <c r="O42" s="102" t="n"/>
      <c r="P42" s="250" t="n">
        <v>3.75</v>
      </c>
      <c r="Q42" s="250" t="n">
        <v>11.5909090909091</v>
      </c>
      <c r="R42" s="250" t="n">
        <v>10.5371900826446</v>
      </c>
      <c r="S42" s="250" t="n">
        <v>9.55578512396694</v>
      </c>
      <c r="T42" s="250" t="n">
        <v>9.604876716071299</v>
      </c>
      <c r="Z42" s="83" t="inlineStr">
        <is>
          <t xml:space="preserve">   Shares repurchased (m)</t>
        </is>
      </c>
      <c r="AA42" s="102" t="n"/>
      <c r="AB42" s="103" t="n">
        <v>1.25</v>
      </c>
      <c r="AC42" s="103" t="n">
        <v>4.48863636363636</v>
      </c>
      <c r="AD42" s="103" t="n">
        <v>4.08057851239669</v>
      </c>
      <c r="AE42" s="103" t="n">
        <v>3.68613824192336</v>
      </c>
      <c r="AF42" s="103" t="n">
        <v>4.26883409603169</v>
      </c>
    </row>
    <row r="44" ht="15" customHeight="1" s="251">
      <c r="B44" s="79" t="inlineStr">
        <is>
          <t>ROIC</t>
        </is>
      </c>
      <c r="C44" s="86">
        <f>Model!AC326</f>
        <v/>
      </c>
      <c r="D44" s="87">
        <f>Model!AH326</f>
        <v/>
      </c>
      <c r="E44" s="87">
        <f>Model!AI326</f>
        <v/>
      </c>
      <c r="F44" s="87">
        <f>Model!AJ326</f>
        <v/>
      </c>
      <c r="G44" s="87">
        <f>Model!AK326</f>
        <v/>
      </c>
      <c r="H44" s="87">
        <f>Model!AL326</f>
        <v/>
      </c>
      <c r="J44" s="90">
        <f>IFERROR(AVERAGE(Model!C326,Model!D326,Model!I326,Model!N326,Model!S326,Model!X326,Model!AC326),"")</f>
        <v/>
      </c>
      <c r="K44" s="90">
        <f>IFERROR(MIN(Model!C326,Model!D326,Model!I326,Model!N326,Model!S326,Model!X326,Model!AC326),"")</f>
        <v/>
      </c>
      <c r="L44" s="90">
        <f>IFERROR(MAX(Model!C326,Model!D326,Model!I326,Model!N326,Model!S326,Model!X326,Model!AC326),"")</f>
        <v/>
      </c>
      <c r="N44" s="79" t="inlineStr">
        <is>
          <t>ROIC</t>
        </is>
      </c>
      <c r="O44" s="86" t="n">
        <v>0.294662756598241</v>
      </c>
      <c r="P44" s="87" t="n">
        <v>0.380567520894495</v>
      </c>
      <c r="Q44" s="87" t="n">
        <v>0.374879682484108</v>
      </c>
      <c r="R44" s="87" t="n">
        <v>0.396457082375351</v>
      </c>
      <c r="S44" s="87" t="n">
        <v>0.419366508287178</v>
      </c>
      <c r="T44" s="87" t="n">
        <v>0.432168293573684</v>
      </c>
      <c r="V44" s="90" t="n">
        <v>0.200034128968254</v>
      </c>
      <c r="W44" s="90" t="n">
        <v>0.114582905350809</v>
      </c>
      <c r="X44" s="90" t="n">
        <v>0.294662756598241</v>
      </c>
      <c r="Z44" s="79" t="inlineStr">
        <is>
          <t>ROIC</t>
        </is>
      </c>
      <c r="AA44" s="86" t="n">
        <v>0.294662756598241</v>
      </c>
      <c r="AB44" s="87" t="n">
        <v>0.355109811677109</v>
      </c>
      <c r="AC44" s="87" t="n">
        <v>0.287504107583513</v>
      </c>
      <c r="AD44" s="87" t="n">
        <v>0.301546468922221</v>
      </c>
      <c r="AE44" s="87" t="n">
        <v>0.317043812604518</v>
      </c>
      <c r="AF44" s="87" t="n">
        <v>0.323375493587815</v>
      </c>
      <c r="AH44" s="90" t="n">
        <v>0.200034128968254</v>
      </c>
      <c r="AI44" s="90" t="n">
        <v>0.114582905350809</v>
      </c>
      <c r="AJ44" s="90" t="n">
        <v>0.294662756598241</v>
      </c>
    </row>
    <row r="45" ht="15" customHeight="1" s="251">
      <c r="B45" s="79" t="inlineStr">
        <is>
          <t>RONTA</t>
        </is>
      </c>
      <c r="C45" s="86">
        <f>Model!AC337</f>
        <v/>
      </c>
      <c r="D45" s="87">
        <f>Model!AH337</f>
        <v/>
      </c>
      <c r="E45" s="87">
        <f>Model!AI337</f>
        <v/>
      </c>
      <c r="F45" s="87">
        <f>Model!AJ337</f>
        <v/>
      </c>
      <c r="G45" s="87">
        <f>Model!AK337</f>
        <v/>
      </c>
      <c r="H45" s="87">
        <f>Model!AL337</f>
        <v/>
      </c>
      <c r="J45" s="90">
        <f>IFERROR(AVERAGE(Model!C337,Model!D337,Model!I337,Model!N337,Model!S337,Model!X337,Model!AC337),"")</f>
        <v/>
      </c>
      <c r="K45" s="90">
        <f>IFERROR(MIN(Model!C337,Model!D337,Model!I337,Model!N337,Model!S337,Model!X337,Model!AC337),"")</f>
        <v/>
      </c>
      <c r="L45" s="90">
        <f>IFERROR(MAX(Model!C337,Model!D337,Model!I337,Model!N337,Model!S337,Model!X337,Model!AC337),"")</f>
        <v/>
      </c>
      <c r="N45" s="79" t="inlineStr">
        <is>
          <t>RONTA</t>
        </is>
      </c>
      <c r="O45" s="86" t="n">
        <v>0.286104783599089</v>
      </c>
      <c r="P45" s="87" t="n">
        <v>0.369451335521789</v>
      </c>
      <c r="Q45" s="87" t="n">
        <v>0.365742307944451</v>
      </c>
      <c r="R45" s="87" t="n">
        <v>0.388315046839847</v>
      </c>
      <c r="S45" s="87" t="n">
        <v>0.412081664047627</v>
      </c>
      <c r="T45" s="87" t="n">
        <v>0.425724255909469</v>
      </c>
      <c r="V45" s="90" t="n">
        <v>0.190091280300391</v>
      </c>
      <c r="W45" s="90" t="n">
        <v>0.110140596614097</v>
      </c>
      <c r="X45" s="90" t="n">
        <v>0.286104783599089</v>
      </c>
      <c r="Z45" s="79" t="inlineStr">
        <is>
          <t>RONTA</t>
        </is>
      </c>
      <c r="AA45" s="86" t="n">
        <v>0.286104783599089</v>
      </c>
      <c r="AB45" s="87" t="n">
        <v>0.34461990402141</v>
      </c>
      <c r="AC45" s="87" t="n">
        <v>0.279973244851344</v>
      </c>
      <c r="AD45" s="87" t="n">
        <v>0.294418679093432</v>
      </c>
      <c r="AE45" s="87" t="n">
        <v>0.310228063053327</v>
      </c>
      <c r="AF45" s="87" t="n">
        <v>0.316937858758935</v>
      </c>
      <c r="AH45" s="90" t="n">
        <v>0.190091280300391</v>
      </c>
      <c r="AI45" s="90" t="n">
        <v>0.110140596614097</v>
      </c>
      <c r="AJ45" s="90" t="n">
        <v>0.286104783599089</v>
      </c>
    </row>
    <row r="47" ht="15" customHeight="1" s="251">
      <c r="B47" s="83" t="inlineStr">
        <is>
          <t>Implied Market Cap (CHF m)</t>
        </is>
      </c>
      <c r="E47" s="104" t="n"/>
      <c r="F47" s="104">
        <f>F27*F21</f>
        <v/>
      </c>
      <c r="G47" s="104">
        <f>G27*G21</f>
        <v/>
      </c>
      <c r="H47" s="104">
        <f>H27*H21</f>
        <v/>
      </c>
      <c r="N47" s="83" t="inlineStr">
        <is>
          <t>Implied Market Cap (CHF m)</t>
        </is>
      </c>
      <c r="Q47" s="104" t="n"/>
      <c r="R47" s="104">
        <f>R27*R21</f>
        <v/>
      </c>
      <c r="S47" s="104">
        <f>S27*S21</f>
        <v/>
      </c>
      <c r="T47" s="104">
        <f>T27*T21</f>
        <v/>
      </c>
      <c r="Z47" s="83" t="inlineStr">
        <is>
          <t>Implied Market Cap (CHF m)</t>
        </is>
      </c>
      <c r="AC47" s="104" t="n"/>
      <c r="AD47" s="104">
        <f>AD27*AD21</f>
        <v/>
      </c>
      <c r="AE47" s="104">
        <f>AE27*AE21</f>
        <v/>
      </c>
      <c r="AF47" s="104">
        <f>AF27*AF21</f>
        <v/>
      </c>
    </row>
    <row r="48" ht="15" customHeight="1" s="251">
      <c r="B48" s="83" t="inlineStr">
        <is>
          <t>(+) Net Debt incl. leases &amp; NCI</t>
        </is>
      </c>
      <c r="E48" s="104" t="n"/>
      <c r="F48" s="104">
        <f>F38+Model!AJ355</f>
        <v/>
      </c>
      <c r="G48" s="104">
        <f>G38+Model!AK355</f>
        <v/>
      </c>
      <c r="H48" s="104">
        <f>H38+Model!AL355</f>
        <v/>
      </c>
      <c r="N48" s="83" t="inlineStr">
        <is>
          <t>(+) Net Debt incl. leases &amp; NCI</t>
        </is>
      </c>
      <c r="Q48" s="104" t="n"/>
      <c r="R48" s="104">
        <f>R38+Model!AJ355</f>
        <v/>
      </c>
      <c r="S48" s="104">
        <f>S38+Model!AK355</f>
        <v/>
      </c>
      <c r="T48" s="104">
        <f>T38+Model!AL355</f>
        <v/>
      </c>
      <c r="Z48" s="83" t="inlineStr">
        <is>
          <t>(+) Net Debt incl. leases &amp; NCI</t>
        </is>
      </c>
      <c r="AC48" s="104" t="n"/>
      <c r="AD48" s="104">
        <f>AD38+Model!AJ355</f>
        <v/>
      </c>
      <c r="AE48" s="104">
        <f>AE38+Model!AK355</f>
        <v/>
      </c>
      <c r="AF48" s="104">
        <f>AF38+Model!AL355</f>
        <v/>
      </c>
    </row>
    <row r="49" ht="15" customHeight="1" s="251">
      <c r="B49" s="83" t="inlineStr">
        <is>
          <t>Implied Enterprise Value (CHF m)</t>
        </is>
      </c>
      <c r="E49" s="104" t="n"/>
      <c r="F49" s="104">
        <f>F47+F48</f>
        <v/>
      </c>
      <c r="G49" s="104">
        <f>G47+G48</f>
        <v/>
      </c>
      <c r="H49" s="104">
        <f>H47+H48</f>
        <v/>
      </c>
      <c r="N49" s="83" t="inlineStr">
        <is>
          <t>Implied Enterprise Value (CHF m)</t>
        </is>
      </c>
      <c r="Q49" s="104" t="n"/>
      <c r="R49" s="104">
        <f>R47+R48</f>
        <v/>
      </c>
      <c r="S49" s="104">
        <f>S47+S48</f>
        <v/>
      </c>
      <c r="T49" s="104">
        <f>T47+T48</f>
        <v/>
      </c>
      <c r="Z49" s="83" t="inlineStr">
        <is>
          <t>Implied Enterprise Value (CHF m)</t>
        </is>
      </c>
      <c r="AC49" s="104" t="n"/>
      <c r="AD49" s="104">
        <f>AD47+AD48</f>
        <v/>
      </c>
      <c r="AE49" s="104">
        <f>AE47+AE48</f>
        <v/>
      </c>
      <c r="AF49" s="104">
        <f>AF47+AF48</f>
        <v/>
      </c>
    </row>
    <row r="50" ht="15" customHeight="1" s="251">
      <c r="B50" s="83" t="inlineStr">
        <is>
          <t>Implied EV / Adjusted EBITDA (x)</t>
        </is>
      </c>
      <c r="E50" s="105" t="n"/>
      <c r="F50" s="105">
        <f>IFERROR(F49/F35,"")</f>
        <v/>
      </c>
      <c r="G50" s="105">
        <f>IFERROR(G49/G35,"")</f>
        <v/>
      </c>
      <c r="H50" s="105">
        <f>IFERROR(H49/H35,"")</f>
        <v/>
      </c>
      <c r="N50" s="83" t="inlineStr">
        <is>
          <t>Implied EV / Adjusted EBITDA (x)</t>
        </is>
      </c>
      <c r="Q50" s="105" t="n"/>
      <c r="R50" s="105">
        <f>IFERROR(R49/R35,"")</f>
        <v/>
      </c>
      <c r="S50" s="105">
        <f>IFERROR(S49/S35,"")</f>
        <v/>
      </c>
      <c r="T50" s="105">
        <f>IFERROR(T49/T35,"")</f>
        <v/>
      </c>
      <c r="Z50" s="83" t="inlineStr">
        <is>
          <t>Implied EV / Adjusted EBITDA (x)</t>
        </is>
      </c>
      <c r="AC50" s="105" t="n"/>
      <c r="AD50" s="105">
        <f>IFERROR(AD49/AD35,"")</f>
        <v/>
      </c>
      <c r="AE50" s="105">
        <f>IFERROR(AE49/AE35,"")</f>
        <v/>
      </c>
      <c r="AF50" s="105">
        <f>IFERROR(AF49/AF35,"")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zoomScale="50" zoomScaleNormal="50" workbookViewId="0">
      <selection activeCell="D61" sqref="D61"/>
    </sheetView>
  </sheetViews>
  <sheetFormatPr baseColWidth="8" defaultColWidth="8.5703125" defaultRowHeight="15"/>
  <cols>
    <col width="3.42578125" customWidth="1" style="251" min="1" max="1"/>
    <col width="55.28515625" customWidth="1" style="251" min="2" max="2"/>
    <col width="12.5703125" customWidth="1" style="251" min="3" max="14"/>
    <col width="2.28515625" customWidth="1" style="251" min="15" max="15"/>
    <col width="14.85546875" customWidth="1" style="251" min="16" max="17"/>
  </cols>
  <sheetData>
    <row r="1">
      <c r="A1" s="192" t="n"/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</row>
    <row r="2" ht="24" customHeight="1" s="251">
      <c r="A2" s="192" t="n"/>
      <c r="B2" s="193" t="inlineStr">
        <is>
          <t>DCF VALUATION — ON HOLDING AG (ONON)</t>
        </is>
      </c>
      <c r="C2" s="194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4" t="n"/>
      <c r="N2" s="194" t="n"/>
      <c r="O2" s="192" t="n"/>
      <c r="P2" s="192" t="n"/>
      <c r="Q2" s="192" t="n"/>
    </row>
    <row r="3" ht="15" customHeight="1" s="251">
      <c r="A3" s="192" t="n"/>
      <c r="B3" s="192" t="n"/>
      <c r="C3" s="192" t="n"/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</row>
    <row r="4" ht="15.75" customHeight="1" s="251">
      <c r="A4" s="192" t="n"/>
      <c r="B4" s="195" t="inlineStr">
        <is>
          <t>1. WACC BUILD</t>
        </is>
      </c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2" t="n"/>
      <c r="P4" s="192" t="n"/>
      <c r="Q4" s="192" t="n"/>
    </row>
    <row r="5" ht="15.75" customHeight="1" s="251">
      <c r="A5" s="192" t="n"/>
      <c r="B5" s="197" t="inlineStr">
        <is>
          <t>Risk-free rate (US 10Y govt)</t>
        </is>
      </c>
      <c r="C5" s="169" t="n">
        <v>0.042</v>
      </c>
      <c r="D5" s="198" t="inlineStr">
        <is>
          <t>US 10Y Treasury (~4.2%): forecasts hold FX at spot, so CHF cash flows carry USD / EUR economics (a CHF rate would need ~2–3% p.a. CHF appreciation built in)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15.75" customHeight="1" s="251">
      <c r="A6" s="192" t="n"/>
      <c r="B6" s="197" t="inlineStr">
        <is>
          <t>Equity risk premium</t>
        </is>
      </c>
      <c r="C6" s="169" t="n">
        <v>0.05</v>
      </c>
      <c r="D6" s="198" t="inlineStr">
        <is>
          <t>Implied ERP ~4.5–5.5% (Damodaran)</t>
        </is>
      </c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</row>
    <row r="7" ht="15.75" customHeight="1" s="251">
      <c r="A7" s="192" t="n"/>
      <c r="B7" s="197" t="inlineStr">
        <is>
          <t>Levered beta</t>
        </is>
      </c>
      <c r="C7" s="170" t="n">
        <v>1.25</v>
      </c>
      <c r="D7" s="198" t="inlineStr">
        <is>
          <t>Premium sportswear / footwear peers (Deckers, Lululemon, Nike, adidas, Amer Sports) ~1.0–1.4; high-growth, discretionary, founder-led</t>
        </is>
      </c>
      <c r="E7" s="192" t="n"/>
      <c r="F7" s="192" t="n"/>
      <c r="G7" s="192" t="n"/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</row>
    <row r="8" ht="15.75" customHeight="1" s="251">
      <c r="A8" s="192" t="n"/>
      <c r="B8" s="197" t="inlineStr">
        <is>
          <t>Cost of equity</t>
        </is>
      </c>
      <c r="C8" s="171">
        <f>C5+C7*C6</f>
        <v/>
      </c>
      <c r="D8" s="198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</row>
    <row r="9" ht="15.75" customHeight="1" s="251">
      <c r="A9" s="192" t="n"/>
      <c r="B9" s="197" t="inlineStr">
        <is>
          <t>Pre-tax cost of debt</t>
        </is>
      </c>
      <c r="C9" s="169" t="n">
        <v>0.05</v>
      </c>
      <c r="D9" s="198" t="inlineStr">
        <is>
          <t>No bank debt; CHF 700m revolving facility undrawn (marginal cost ~SARON / SOFR + margin)</t>
        </is>
      </c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</row>
    <row r="10" ht="15.75" customHeight="1" s="251">
      <c r="A10" s="192" t="n"/>
      <c r="B10" s="197" t="inlineStr">
        <is>
          <t>Tax rate</t>
        </is>
      </c>
      <c r="C10" s="169" t="n">
        <v>0.17</v>
      </c>
      <c r="D10" s="198" t="inlineStr">
        <is>
          <t>Model 2027E+ effective tax rate (Swiss holding, global footprint)</t>
        </is>
      </c>
      <c r="E10" s="192" t="n"/>
      <c r="F10" s="192" t="n"/>
      <c r="G10" s="192" t="n"/>
      <c r="H10" s="192" t="n"/>
      <c r="I10" s="192" t="n"/>
      <c r="J10" s="192" t="n"/>
      <c r="K10" s="192" t="n"/>
      <c r="L10" s="192" t="n"/>
      <c r="M10" s="192" t="n"/>
      <c r="N10" s="192" t="n"/>
      <c r="O10" s="192" t="n"/>
      <c r="P10" s="192" t="n"/>
      <c r="Q10" s="192" t="n"/>
    </row>
    <row r="11" ht="15.75" customHeight="1" s="251">
      <c r="A11" s="192" t="n"/>
      <c r="B11" s="197" t="inlineStr">
        <is>
          <t>After-tax cost of debt</t>
        </is>
      </c>
      <c r="C11" s="171">
        <f>C9*(1-C10)</f>
        <v/>
      </c>
      <c r="D11" s="198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</row>
    <row r="12" ht="15.75" customHeight="1" s="251">
      <c r="A12" s="192" t="n"/>
      <c r="B12" s="197" t="inlineStr">
        <is>
          <t>Target D/V</t>
        </is>
      </c>
      <c r="C12" s="169" t="n">
        <v>0</v>
      </c>
      <c r="D12" s="198" t="inlineStr">
        <is>
          <t>Net cash (CHF ~1.2bn at 30-Jun-26) and no financial debt; leases treated as operating costs in UFCF (lease payments deducted, liabilities not in net debt)</t>
        </is>
      </c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</row>
    <row r="13" ht="15.75" customHeight="1" s="251">
      <c r="A13" s="192" t="n"/>
      <c r="B13" s="199" t="inlineStr">
        <is>
          <t>WACC</t>
        </is>
      </c>
      <c r="C13" s="216">
        <f>C8*(1-C12)+C11*C12</f>
        <v/>
      </c>
      <c r="D13" s="198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</row>
    <row r="14" ht="15" customHeight="1" s="251">
      <c r="A14" s="192" t="n"/>
      <c r="B14" s="192" t="n"/>
      <c r="C14" s="192" t="n"/>
      <c r="D14" s="198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</row>
    <row r="15" ht="15.75" customHeight="1" s="251">
      <c r="A15" s="192" t="n"/>
      <c r="B15" s="197" t="inlineStr">
        <is>
          <t>Valuation date (live)</t>
        </is>
      </c>
      <c r="C15" s="172">
        <f>TODAY()</f>
        <v/>
      </c>
      <c r="D15" s="198" t="inlineStr">
        <is>
          <t>Periods = (Dec-31-Year − today) / 365.25; cash flows assumed at year-end</t>
        </is>
      </c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</row>
    <row r="16" ht="15.75" customHeight="1" s="251">
      <c r="A16" s="192" t="n"/>
      <c r="B16" s="195" t="inlineStr">
        <is>
          <t>2. UNLEVERED FREE CASH FLOW BUILD (USDm)</t>
        </is>
      </c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2" t="n"/>
      <c r="P16" s="201" t="n"/>
      <c r="Q16" s="201" t="n"/>
    </row>
    <row r="17" ht="15.75" customHeight="1" s="251">
      <c r="A17" s="192" t="n"/>
      <c r="B17" s="194" t="n"/>
      <c r="C17" s="194" t="n"/>
      <c r="D17" s="203" t="inlineStr">
        <is>
          <t>2026E</t>
        </is>
      </c>
      <c r="E17" s="203" t="inlineStr">
        <is>
          <t>2027E</t>
        </is>
      </c>
      <c r="F17" s="203" t="inlineStr">
        <is>
          <t>2028E</t>
        </is>
      </c>
      <c r="G17" s="203" t="inlineStr">
        <is>
          <t>2029E</t>
        </is>
      </c>
      <c r="H17" s="203" t="inlineStr">
        <is>
          <t>2030E</t>
        </is>
      </c>
      <c r="I17" s="203" t="inlineStr">
        <is>
          <t>2031E</t>
        </is>
      </c>
      <c r="J17" s="203" t="inlineStr">
        <is>
          <t>2032E</t>
        </is>
      </c>
      <c r="K17" s="203" t="inlineStr">
        <is>
          <t>2033E</t>
        </is>
      </c>
      <c r="L17" s="203" t="inlineStr">
        <is>
          <t>2034E</t>
        </is>
      </c>
      <c r="M17" s="203" t="inlineStr">
        <is>
          <t>2035E</t>
        </is>
      </c>
      <c r="N17" s="203" t="inlineStr">
        <is>
          <t>Terminal</t>
        </is>
      </c>
      <c r="O17" s="192" t="n"/>
      <c r="P17" s="204" t="inlineStr">
        <is>
          <t>CAGR 26–30E</t>
        </is>
      </c>
      <c r="Q17" s="204" t="inlineStr">
        <is>
          <t>CAGR 26–35E</t>
        </is>
      </c>
    </row>
    <row r="18" ht="15.75" customHeight="1" s="251">
      <c r="A18" s="192" t="n"/>
      <c r="B18" s="197" t="inlineStr">
        <is>
          <t>Adj. EBIT less share-based compensation (= IFRS operating result; SBC is a real cost)</t>
        </is>
      </c>
      <c r="C18" s="192" t="n"/>
      <c r="D18" s="173">
        <f>Model!AH160-Model!AH104</f>
        <v/>
      </c>
      <c r="E18" s="173">
        <f>Model!AI160-Model!AI104</f>
        <v/>
      </c>
      <c r="F18" s="173">
        <f>Model!AJ160-Model!AJ104</f>
        <v/>
      </c>
      <c r="G18" s="173">
        <f>Model!AK160-Model!AK104</f>
        <v/>
      </c>
      <c r="H18" s="173">
        <f>Model!AL160-Model!AL104</f>
        <v/>
      </c>
      <c r="I18" s="174">
        <f>H18*(1+I$26)</f>
        <v/>
      </c>
      <c r="J18" s="174">
        <f>I18*(1+J$26)</f>
        <v/>
      </c>
      <c r="K18" s="174">
        <f>J18*(1+K$26)</f>
        <v/>
      </c>
      <c r="L18" s="174">
        <f>K18*(1+L$26)</f>
        <v/>
      </c>
      <c r="M18" s="174">
        <f>L18*(1+M$26)</f>
        <v/>
      </c>
      <c r="N18" s="192" t="n"/>
      <c r="O18" s="192" t="n"/>
      <c r="P18" s="176">
        <f>(H18/D18)^(1/(COLUMNS(D18:H18)-1))-1</f>
        <v/>
      </c>
      <c r="Q18" s="176">
        <f>(M18/D18)^(1/(COLUMNS(D18:M18)-1))-1</f>
        <v/>
      </c>
    </row>
    <row r="19" ht="15.75" customHeight="1" s="251">
      <c r="A19" s="192" t="n"/>
      <c r="B19" s="197" t="inlineStr">
        <is>
          <t>× (1 − tax rate)</t>
        </is>
      </c>
      <c r="C19" s="192" t="n"/>
      <c r="D19" s="177">
        <f>1-$C$10</f>
        <v/>
      </c>
      <c r="E19" s="177">
        <f>1-$C$10</f>
        <v/>
      </c>
      <c r="F19" s="177">
        <f>1-$C$10</f>
        <v/>
      </c>
      <c r="G19" s="177">
        <f>1-$C$10</f>
        <v/>
      </c>
      <c r="H19" s="177">
        <f>1-$C$10</f>
        <v/>
      </c>
      <c r="I19" s="177">
        <f>1-$C$10</f>
        <v/>
      </c>
      <c r="J19" s="177">
        <f>1-$C$10</f>
        <v/>
      </c>
      <c r="K19" s="177">
        <f>1-$C$10</f>
        <v/>
      </c>
      <c r="L19" s="177">
        <f>1-$C$10</f>
        <v/>
      </c>
      <c r="M19" s="177">
        <f>1-$C$10</f>
        <v/>
      </c>
      <c r="N19" s="192" t="n"/>
      <c r="O19" s="192" t="n"/>
      <c r="P19" s="176" t="n"/>
      <c r="Q19" s="176" t="n"/>
    </row>
    <row r="20" ht="15.75" customHeight="1" s="251">
      <c r="A20" s="192" t="n"/>
      <c r="B20" s="199" t="inlineStr">
        <is>
          <t>NOPAT</t>
        </is>
      </c>
      <c r="C20" s="192" t="n"/>
      <c r="D20" s="174">
        <f>D18*D19</f>
        <v/>
      </c>
      <c r="E20" s="174">
        <f>E18*E19</f>
        <v/>
      </c>
      <c r="F20" s="174">
        <f>F18*F19</f>
        <v/>
      </c>
      <c r="G20" s="174">
        <f>G18*G19</f>
        <v/>
      </c>
      <c r="H20" s="174">
        <f>H18*H19</f>
        <v/>
      </c>
      <c r="I20" s="174">
        <f>I18*I19</f>
        <v/>
      </c>
      <c r="J20" s="174">
        <f>J18*J19</f>
        <v/>
      </c>
      <c r="K20" s="174">
        <f>K18*K19</f>
        <v/>
      </c>
      <c r="L20" s="174">
        <f>L18*L19</f>
        <v/>
      </c>
      <c r="M20" s="174">
        <f>M18*M19</f>
        <v/>
      </c>
      <c r="N20" s="192" t="n"/>
      <c r="O20" s="192" t="n"/>
      <c r="P20" s="176" t="n"/>
      <c r="Q20" s="176" t="n"/>
    </row>
    <row r="21" ht="15.75" customHeight="1" s="251">
      <c r="A21" s="192" t="n"/>
      <c r="B21" s="197" t="inlineStr">
        <is>
          <t>plus D&amp;A (incl. right-of-use depreciation)</t>
        </is>
      </c>
      <c r="C21" s="192" t="n"/>
      <c r="D21" s="173">
        <f>Model!AH125</f>
        <v/>
      </c>
      <c r="E21" s="173">
        <f>Model!AI125</f>
        <v/>
      </c>
      <c r="F21" s="173">
        <f>Model!AJ125</f>
        <v/>
      </c>
      <c r="G21" s="173">
        <f>Model!AK125</f>
        <v/>
      </c>
      <c r="H21" s="173">
        <f>Model!AL125</f>
        <v/>
      </c>
      <c r="I21" s="174">
        <f>H21*(1+I$26)</f>
        <v/>
      </c>
      <c r="J21" s="174">
        <f>I21*(1+J$26)</f>
        <v/>
      </c>
      <c r="K21" s="174">
        <f>J21*(1+K$26)</f>
        <v/>
      </c>
      <c r="L21" s="174">
        <f>K21*(1+L$26)</f>
        <v/>
      </c>
      <c r="M21" s="174">
        <f>L21*(1+M$26)</f>
        <v/>
      </c>
      <c r="N21" s="192" t="n"/>
      <c r="O21" s="192" t="n"/>
      <c r="P21" s="176" t="n"/>
      <c r="Q21" s="176" t="n"/>
    </row>
    <row r="22" ht="15.75" customHeight="1" s="251">
      <c r="A22" s="192" t="n"/>
      <c r="B22" s="197" t="inlineStr">
        <is>
          <t>− Capex (PP&amp;E, intangibles) and lease principal payments</t>
        </is>
      </c>
      <c r="C22" s="192" t="n"/>
      <c r="D22" s="173">
        <f>Model!AH217+Model!AH220</f>
        <v/>
      </c>
      <c r="E22" s="173">
        <f>Model!AI217+Model!AI220</f>
        <v/>
      </c>
      <c r="F22" s="173">
        <f>Model!AJ217+Model!AJ220</f>
        <v/>
      </c>
      <c r="G22" s="173">
        <f>Model!AK217+Model!AK220</f>
        <v/>
      </c>
      <c r="H22" s="173">
        <f>Model!AL217+Model!AL220</f>
        <v/>
      </c>
      <c r="I22" s="174">
        <f>H22*(1+I$26)</f>
        <v/>
      </c>
      <c r="J22" s="174">
        <f>I22*(1+J$26)</f>
        <v/>
      </c>
      <c r="K22" s="174">
        <f>J22*(1+K$26)</f>
        <v/>
      </c>
      <c r="L22" s="174">
        <f>K22*(1+L$26)</f>
        <v/>
      </c>
      <c r="M22" s="174">
        <f>L22*(1+M$26)</f>
        <v/>
      </c>
      <c r="N22" s="192" t="n"/>
      <c r="O22" s="192" t="n"/>
      <c r="P22" s="176" t="n"/>
      <c r="Q22" s="176" t="n"/>
    </row>
    <row r="23" ht="15.75" customHeight="1" s="251">
      <c r="A23" s="192" t="n"/>
      <c r="B23" s="197" t="inlineStr">
        <is>
          <t>− Δ Working capital (CF statement)</t>
        </is>
      </c>
      <c r="C23" s="192" t="n"/>
      <c r="D23" s="173">
        <f>Model!AH214</f>
        <v/>
      </c>
      <c r="E23" s="173">
        <f>Model!AI214</f>
        <v/>
      </c>
      <c r="F23" s="173">
        <f>Model!AJ214</f>
        <v/>
      </c>
      <c r="G23" s="173">
        <f>Model!AK214</f>
        <v/>
      </c>
      <c r="H23" s="173">
        <f>Model!AL214</f>
        <v/>
      </c>
      <c r="I23" s="174">
        <f>H23*(1+I$26)</f>
        <v/>
      </c>
      <c r="J23" s="174">
        <f>I23*(1+J$26)</f>
        <v/>
      </c>
      <c r="K23" s="174">
        <f>J23*(1+K$26)</f>
        <v/>
      </c>
      <c r="L23" s="174">
        <f>K23*(1+L$26)</f>
        <v/>
      </c>
      <c r="M23" s="174">
        <f>L23*(1+M$26)</f>
        <v/>
      </c>
      <c r="N23" s="192" t="n"/>
      <c r="O23" s="192" t="n"/>
      <c r="P23" s="176" t="n"/>
      <c r="Q23" s="176" t="n"/>
    </row>
    <row r="24" ht="15.75" customHeight="1" s="251">
      <c r="A24" s="192" t="n"/>
      <c r="B24" s="217" t="inlineStr">
        <is>
          <t>Unlevered FCF</t>
        </is>
      </c>
      <c r="C24" s="218" t="n"/>
      <c r="D24" s="219">
        <f>D20+D21+D22+D23</f>
        <v/>
      </c>
      <c r="E24" s="219">
        <f>E20+E21+E22+E23</f>
        <v/>
      </c>
      <c r="F24" s="219">
        <f>F20+F21+F22+F23</f>
        <v/>
      </c>
      <c r="G24" s="219">
        <f>G20+G21+G22+G23</f>
        <v/>
      </c>
      <c r="H24" s="219">
        <f>H20+H21+H22+H23</f>
        <v/>
      </c>
      <c r="I24" s="219">
        <f>I20+I21+I22+I23</f>
        <v/>
      </c>
      <c r="J24" s="219">
        <f>J20+J21+J22+J23</f>
        <v/>
      </c>
      <c r="K24" s="219">
        <f>K20+K21+K22+K23</f>
        <v/>
      </c>
      <c r="L24" s="219">
        <f>L20+L21+L22+L23</f>
        <v/>
      </c>
      <c r="M24" s="219">
        <f>M20+M21+M22+M23</f>
        <v/>
      </c>
      <c r="N24" s="219">
        <f>M24*(1+$C$27)</f>
        <v/>
      </c>
      <c r="O24" s="192" t="n"/>
      <c r="P24" s="181">
        <f>(H24/D24)^(1/(COLUMNS(D24:H24)-1))-1</f>
        <v/>
      </c>
      <c r="Q24" s="181">
        <f>(M24/D24)^(1/(COLUMNS(D24:M24)-1))-1</f>
        <v/>
      </c>
    </row>
    <row r="25" ht="15.75" customHeight="1" s="251">
      <c r="A25" s="192" t="n"/>
      <c r="B25" s="199" t="inlineStr">
        <is>
          <t>Terminal Value (Gordon Growth)</t>
        </is>
      </c>
      <c r="C25" s="192" t="n"/>
      <c r="D25" s="192" t="n"/>
      <c r="E25" s="192" t="n"/>
      <c r="F25" s="192" t="n"/>
      <c r="G25" s="192" t="n"/>
      <c r="H25" s="192" t="n"/>
      <c r="I25" s="192" t="n"/>
      <c r="J25" s="192" t="n"/>
      <c r="K25" s="192" t="n"/>
      <c r="L25" s="192" t="n"/>
      <c r="M25" s="192" t="n"/>
      <c r="N25" s="179">
        <f>N24/($C$13-$C$27)</f>
        <v/>
      </c>
      <c r="O25" s="192" t="n"/>
      <c r="P25" s="192" t="n"/>
      <c r="Q25" s="192" t="n"/>
    </row>
    <row r="26" ht="15.75" customHeight="1" s="251">
      <c r="A26" s="192" t="n"/>
      <c r="B26" s="197" t="inlineStr">
        <is>
          <t>Fade-period growth (2031E–35E; 12% → 6% linear)</t>
        </is>
      </c>
      <c r="C26" s="192" t="n"/>
      <c r="D26" s="192" t="n"/>
      <c r="E26" s="192" t="n"/>
      <c r="F26" s="192" t="n"/>
      <c r="G26" s="192" t="n"/>
      <c r="H26" s="192" t="n"/>
      <c r="I26" s="182" t="n">
        <v>0.12</v>
      </c>
      <c r="J26" s="183">
        <f>I26+($M$26-$I$26)/4</f>
        <v/>
      </c>
      <c r="K26" s="183">
        <f>J26+($M$26-$I$26)/4</f>
        <v/>
      </c>
      <c r="L26" s="183">
        <f>K26+($M$26-$I$26)/4</f>
        <v/>
      </c>
      <c r="M26" s="182" t="n">
        <v>0.06</v>
      </c>
      <c r="N26" s="192" t="n"/>
      <c r="O26" s="192" t="n"/>
      <c r="P26" s="192" t="n"/>
      <c r="Q26" s="192" t="n"/>
    </row>
    <row r="27" ht="15.75" customHeight="1" s="251">
      <c r="A27" s="192" t="n"/>
      <c r="B27" s="197" t="inlineStr">
        <is>
          <t>Terminal growth rate</t>
        </is>
      </c>
      <c r="C27" s="184" t="n">
        <v>0.035</v>
      </c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</row>
    <row r="28" ht="15" customHeight="1" s="251">
      <c r="A28" s="192" t="n"/>
      <c r="B28" s="192" t="n"/>
      <c r="C28" s="192" t="n"/>
      <c r="D28" s="192" t="n"/>
      <c r="E28" s="192" t="n"/>
      <c r="F28" s="192" t="n"/>
      <c r="G28" s="19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</row>
    <row r="29" ht="15.75" customHeight="1" s="251">
      <c r="A29" s="192" t="n"/>
      <c r="B29" s="197" t="inlineStr">
        <is>
          <t>Discount period (years)</t>
        </is>
      </c>
      <c r="C29" s="192" t="n"/>
      <c r="D29" s="177">
        <f>(DATE(2026,12,31)-$C$15)/365.25</f>
        <v/>
      </c>
      <c r="E29" s="177">
        <f>(DATE(2027,12,31)-$C$15)/365.25</f>
        <v/>
      </c>
      <c r="F29" s="177">
        <f>(DATE(2028,12,31)-$C$15)/365.25</f>
        <v/>
      </c>
      <c r="G29" s="177">
        <f>(DATE(2029,12,31)-$C$15)/365.25</f>
        <v/>
      </c>
      <c r="H29" s="177">
        <f>(DATE(2030,12,31)-$C$15)/365.25</f>
        <v/>
      </c>
      <c r="I29" s="177">
        <f>(DATE(2031,12,31)-$C$15)/365.25</f>
        <v/>
      </c>
      <c r="J29" s="177">
        <f>(DATE(2032,12,31)-$C$15)/365.25</f>
        <v/>
      </c>
      <c r="K29" s="177">
        <f>(DATE(2033,12,31)-$C$15)/365.25</f>
        <v/>
      </c>
      <c r="L29" s="177">
        <f>(DATE(2034,12,31)-$C$15)/365.25</f>
        <v/>
      </c>
      <c r="M29" s="177">
        <f>(DATE(2035,12,31)-$C$15)/365.25</f>
        <v/>
      </c>
      <c r="N29" s="177">
        <f>M29</f>
        <v/>
      </c>
      <c r="O29" s="192" t="n"/>
      <c r="P29" s="192" t="n"/>
      <c r="Q29" s="192" t="n"/>
    </row>
    <row r="30" ht="15.75" customHeight="1" s="251">
      <c r="A30" s="192" t="n"/>
      <c r="B30" s="197" t="inlineStr">
        <is>
          <t>Discount factor</t>
        </is>
      </c>
      <c r="C30" s="192" t="n"/>
      <c r="D30" s="185">
        <f>1/(1+$C$13)^D29</f>
        <v/>
      </c>
      <c r="E30" s="185">
        <f>1/(1+$C$13)^E29</f>
        <v/>
      </c>
      <c r="F30" s="185">
        <f>1/(1+$C$13)^F29</f>
        <v/>
      </c>
      <c r="G30" s="185">
        <f>1/(1+$C$13)^G29</f>
        <v/>
      </c>
      <c r="H30" s="185">
        <f>1/(1+$C$13)^H29</f>
        <v/>
      </c>
      <c r="I30" s="185">
        <f>1/(1+$C$13)^I29</f>
        <v/>
      </c>
      <c r="J30" s="185">
        <f>1/(1+$C$13)^J29</f>
        <v/>
      </c>
      <c r="K30" s="185">
        <f>1/(1+$C$13)^K29</f>
        <v/>
      </c>
      <c r="L30" s="185">
        <f>1/(1+$C$13)^L29</f>
        <v/>
      </c>
      <c r="M30" s="185">
        <f>1/(1+$C$13)^M29</f>
        <v/>
      </c>
      <c r="N30" s="185">
        <f>1/(1+$C$13)^N29</f>
        <v/>
      </c>
      <c r="O30" s="192" t="n"/>
      <c r="P30" s="192" t="n"/>
      <c r="Q30" s="192" t="n"/>
    </row>
    <row r="31" ht="15.75" customHeight="1" s="251">
      <c r="A31" s="192" t="n"/>
      <c r="B31" s="220" t="inlineStr">
        <is>
          <t>PV of UFCF</t>
        </is>
      </c>
      <c r="C31" s="221" t="n"/>
      <c r="D31" s="222">
        <f>D24*D30</f>
        <v/>
      </c>
      <c r="E31" s="222">
        <f>E24*E30</f>
        <v/>
      </c>
      <c r="F31" s="222">
        <f>F24*F30</f>
        <v/>
      </c>
      <c r="G31" s="222">
        <f>G24*G30</f>
        <v/>
      </c>
      <c r="H31" s="222">
        <f>H24*H30</f>
        <v/>
      </c>
      <c r="I31" s="222">
        <f>I24*I30</f>
        <v/>
      </c>
      <c r="J31" s="222">
        <f>J24*J30</f>
        <v/>
      </c>
      <c r="K31" s="222">
        <f>K24*K30</f>
        <v/>
      </c>
      <c r="L31" s="222">
        <f>L24*L30</f>
        <v/>
      </c>
      <c r="M31" s="222">
        <f>M24*M30</f>
        <v/>
      </c>
      <c r="N31" s="222">
        <f>N25*N30</f>
        <v/>
      </c>
      <c r="O31" s="192" t="n"/>
      <c r="P31" s="192" t="n"/>
      <c r="Q31" s="192" t="n"/>
    </row>
    <row r="32" ht="15" customHeight="1" s="251">
      <c r="A32" s="192" t="n"/>
      <c r="B32" s="192" t="n"/>
      <c r="C32" s="192" t="n"/>
      <c r="D32" s="198" t="inlineStr">
        <is>
          <t>On's Adjusted EBITDA excludes share-based compensation (~2% of sales), which is deducted here (row 18 = Adjusted EBIT − SBC = IFRS operating result). IFRS 16: D&amp;A includes right-of-use depreciation, so lease principal payments are deducted with capex in row 22 and lease liabilities are excluded from net debt in the equity bridge (rent-as-opex basis). No acquisitions assumed. Forecasts at constant spot FX; FX translation is the largest swing factor (≈ 80%+ of sales outside Switzerland, ~50% in the Americas).</t>
        </is>
      </c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</row>
    <row r="33" ht="15.75" customHeight="1" s="251">
      <c r="A33" s="192" t="n"/>
      <c r="B33" s="195" t="inlineStr">
        <is>
          <t>IMPLIED ROIC — invested capital roll-forward (USDm)</t>
        </is>
      </c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2" t="n"/>
      <c r="P33" s="192" t="n"/>
      <c r="Q33" s="192" t="n"/>
    </row>
    <row r="34" ht="15.75" customHeight="1" s="251">
      <c r="A34" s="192" t="n"/>
      <c r="B34" s="197" t="inlineStr">
        <is>
          <t>Opening invested capital</t>
        </is>
      </c>
      <c r="C34" s="192" t="n"/>
      <c r="D34" s="173">
        <f>Model!AC324-Model!AC258</f>
        <v/>
      </c>
      <c r="E34" s="174">
        <f>D38</f>
        <v/>
      </c>
      <c r="F34" s="174">
        <f>E38</f>
        <v/>
      </c>
      <c r="G34" s="174">
        <f>F38</f>
        <v/>
      </c>
      <c r="H34" s="174">
        <f>G38</f>
        <v/>
      </c>
      <c r="I34" s="174">
        <f>H38</f>
        <v/>
      </c>
      <c r="J34" s="174">
        <f>I38</f>
        <v/>
      </c>
      <c r="K34" s="174">
        <f>J38</f>
        <v/>
      </c>
      <c r="L34" s="174">
        <f>K38</f>
        <v/>
      </c>
      <c r="M34" s="174">
        <f>L38</f>
        <v/>
      </c>
      <c r="N34" s="174" t="n"/>
      <c r="O34" s="192" t="n"/>
      <c r="P34" s="192" t="n"/>
      <c r="Q34" s="192" t="n"/>
    </row>
    <row r="35" ht="15.75" customHeight="1" s="251">
      <c r="A35" s="192" t="n"/>
      <c r="B35" s="197" t="inlineStr">
        <is>
          <t>plus Capex and acquisitions</t>
        </is>
      </c>
      <c r="C35" s="192" t="n"/>
      <c r="D35" s="174">
        <f>-D22</f>
        <v/>
      </c>
      <c r="E35" s="174">
        <f>-E22</f>
        <v/>
      </c>
      <c r="F35" s="174">
        <f>-F22</f>
        <v/>
      </c>
      <c r="G35" s="174">
        <f>-G22</f>
        <v/>
      </c>
      <c r="H35" s="174">
        <f>-H22</f>
        <v/>
      </c>
      <c r="I35" s="174">
        <f>-I22</f>
        <v/>
      </c>
      <c r="J35" s="174">
        <f>-J22</f>
        <v/>
      </c>
      <c r="K35" s="174">
        <f>-K22</f>
        <v/>
      </c>
      <c r="L35" s="174">
        <f>-L22</f>
        <v/>
      </c>
      <c r="M35" s="174">
        <f>-M22</f>
        <v/>
      </c>
      <c r="N35" s="174" t="n"/>
      <c r="O35" s="192" t="n"/>
      <c r="P35" s="192" t="n"/>
      <c r="Q35" s="192" t="n"/>
    </row>
    <row r="36" ht="15.75" customHeight="1" s="251">
      <c r="A36" s="192" t="n"/>
      <c r="B36" s="197" t="inlineStr">
        <is>
          <t>less DD&amp;A</t>
        </is>
      </c>
      <c r="C36" s="192" t="n"/>
      <c r="D36" s="174">
        <f>-D21</f>
        <v/>
      </c>
      <c r="E36" s="174">
        <f>-E21</f>
        <v/>
      </c>
      <c r="F36" s="174">
        <f>-F21</f>
        <v/>
      </c>
      <c r="G36" s="174">
        <f>-G21</f>
        <v/>
      </c>
      <c r="H36" s="174">
        <f>-H21</f>
        <v/>
      </c>
      <c r="I36" s="174">
        <f>-I21</f>
        <v/>
      </c>
      <c r="J36" s="174">
        <f>-J21</f>
        <v/>
      </c>
      <c r="K36" s="174">
        <f>-K21</f>
        <v/>
      </c>
      <c r="L36" s="174">
        <f>-L21</f>
        <v/>
      </c>
      <c r="M36" s="174">
        <f>-M21</f>
        <v/>
      </c>
      <c r="N36" s="174" t="n"/>
      <c r="O36" s="192" t="n"/>
      <c r="P36" s="192" t="n"/>
      <c r="Q36" s="192" t="n"/>
    </row>
    <row r="37" ht="15.75" customHeight="1" s="251">
      <c r="A37" s="192" t="n"/>
      <c r="B37" s="197" t="inlineStr">
        <is>
          <t>plus Δ Working capital investment</t>
        </is>
      </c>
      <c r="C37" s="192" t="n"/>
      <c r="D37" s="174">
        <f>-D23</f>
        <v/>
      </c>
      <c r="E37" s="174">
        <f>-E23</f>
        <v/>
      </c>
      <c r="F37" s="174">
        <f>-F23</f>
        <v/>
      </c>
      <c r="G37" s="174">
        <f>-G23</f>
        <v/>
      </c>
      <c r="H37" s="174">
        <f>-H23</f>
        <v/>
      </c>
      <c r="I37" s="174">
        <f>-I23</f>
        <v/>
      </c>
      <c r="J37" s="174">
        <f>-J23</f>
        <v/>
      </c>
      <c r="K37" s="174">
        <f>-K23</f>
        <v/>
      </c>
      <c r="L37" s="174">
        <f>-L23</f>
        <v/>
      </c>
      <c r="M37" s="174">
        <f>-M23</f>
        <v/>
      </c>
      <c r="N37" s="174" t="n"/>
      <c r="O37" s="192" t="n"/>
      <c r="P37" s="192" t="n"/>
      <c r="Q37" s="192" t="n"/>
    </row>
    <row r="38" ht="15.75" customHeight="1" s="251">
      <c r="A38" s="192" t="n"/>
      <c r="B38" s="223" t="inlineStr">
        <is>
          <t>Closing invested capital</t>
        </is>
      </c>
      <c r="C38" s="223" t="n"/>
      <c r="D38" s="224">
        <f>SUM(D34:D37)</f>
        <v/>
      </c>
      <c r="E38" s="224">
        <f>SUM(E34:E37)</f>
        <v/>
      </c>
      <c r="F38" s="224">
        <f>SUM(F34:F37)</f>
        <v/>
      </c>
      <c r="G38" s="224">
        <f>SUM(G34:G37)</f>
        <v/>
      </c>
      <c r="H38" s="224">
        <f>SUM(H34:H37)</f>
        <v/>
      </c>
      <c r="I38" s="224">
        <f>SUM(I34:I37)</f>
        <v/>
      </c>
      <c r="J38" s="224">
        <f>SUM(J34:J37)</f>
        <v/>
      </c>
      <c r="K38" s="224">
        <f>SUM(K34:K37)</f>
        <v/>
      </c>
      <c r="L38" s="224">
        <f>SUM(L34:L37)</f>
        <v/>
      </c>
      <c r="M38" s="224">
        <f>SUM(M34:M37)</f>
        <v/>
      </c>
      <c r="N38" s="178" t="n"/>
      <c r="O38" s="192" t="n"/>
      <c r="P38" s="192" t="n"/>
      <c r="Q38" s="192" t="n"/>
    </row>
    <row r="39" ht="15.75" customHeight="1" s="251">
      <c r="A39" s="192" t="n"/>
      <c r="B39" s="197" t="inlineStr">
        <is>
          <t>NOPAT (row 20)</t>
        </is>
      </c>
      <c r="C39" s="192" t="n"/>
      <c r="D39" s="174">
        <f>D20</f>
        <v/>
      </c>
      <c r="E39" s="174">
        <f>E20</f>
        <v/>
      </c>
      <c r="F39" s="174">
        <f>F20</f>
        <v/>
      </c>
      <c r="G39" s="174">
        <f>G20</f>
        <v/>
      </c>
      <c r="H39" s="174">
        <f>H20</f>
        <v/>
      </c>
      <c r="I39" s="174">
        <f>I20</f>
        <v/>
      </c>
      <c r="J39" s="174">
        <f>J20</f>
        <v/>
      </c>
      <c r="K39" s="174">
        <f>K20</f>
        <v/>
      </c>
      <c r="L39" s="174">
        <f>L20</f>
        <v/>
      </c>
      <c r="M39" s="174">
        <f>M20</f>
        <v/>
      </c>
      <c r="N39" s="174" t="n"/>
      <c r="O39" s="192" t="n"/>
      <c r="P39" s="192" t="n"/>
      <c r="Q39" s="192" t="n"/>
    </row>
    <row r="40" ht="15.75" customHeight="1" s="251">
      <c r="A40" s="192" t="n"/>
      <c r="B40" s="200" t="inlineStr">
        <is>
          <t>Implied ROIC (NOPAT / avg. invested capital)</t>
        </is>
      </c>
      <c r="C40" s="200" t="n"/>
      <c r="D40" s="180">
        <f>IFERROR(D39/AVERAGE(D34,D38),"")</f>
        <v/>
      </c>
      <c r="E40" s="180">
        <f>IFERROR(E39/AVERAGE(E34,E38),"")</f>
        <v/>
      </c>
      <c r="F40" s="180">
        <f>IFERROR(F39/AVERAGE(F34,F38),"")</f>
        <v/>
      </c>
      <c r="G40" s="180">
        <f>IFERROR(G39/AVERAGE(G34,G38),"")</f>
        <v/>
      </c>
      <c r="H40" s="180">
        <f>IFERROR(H39/AVERAGE(H34,H38),"")</f>
        <v/>
      </c>
      <c r="I40" s="180">
        <f>IFERROR(I39/AVERAGE(I34,I38),"")</f>
        <v/>
      </c>
      <c r="J40" s="180">
        <f>IFERROR(J39/AVERAGE(J34,J38),"")</f>
        <v/>
      </c>
      <c r="K40" s="180">
        <f>IFERROR(K39/AVERAGE(K34,K38),"")</f>
        <v/>
      </c>
      <c r="L40" s="180">
        <f>IFERROR(L39/AVERAGE(L34,L38),"")</f>
        <v/>
      </c>
      <c r="M40" s="180">
        <f>IFERROR(M39/AVERAGE(M34,M38),"")</f>
        <v/>
      </c>
      <c r="N40" s="180" t="n"/>
      <c r="O40" s="192" t="n"/>
      <c r="P40" s="192" t="n"/>
      <c r="Q40" s="192" t="n"/>
    </row>
    <row r="41" ht="15.75" customHeight="1" s="251">
      <c r="A41" s="192" t="n"/>
      <c r="B41" s="197" t="inlineStr">
        <is>
          <t>Reinvestment rate (net investment / NOPAT)</t>
        </is>
      </c>
      <c r="C41" s="192" t="n"/>
      <c r="D41" s="175">
        <f>IFERROR(SUM(D35:D37)/D39,"")</f>
        <v/>
      </c>
      <c r="E41" s="175">
        <f>IFERROR(SUM(E35:E37)/E39,"")</f>
        <v/>
      </c>
      <c r="F41" s="175">
        <f>IFERROR(SUM(F35:F37)/F39,"")</f>
        <v/>
      </c>
      <c r="G41" s="175">
        <f>IFERROR(SUM(G35:G37)/G39,"")</f>
        <v/>
      </c>
      <c r="H41" s="175">
        <f>IFERROR(SUM(H35:H37)/H39,"")</f>
        <v/>
      </c>
      <c r="I41" s="175">
        <f>IFERROR(SUM(I35:I37)/I39,"")</f>
        <v/>
      </c>
      <c r="J41" s="175">
        <f>IFERROR(SUM(J35:J37)/J39,"")</f>
        <v/>
      </c>
      <c r="K41" s="175">
        <f>IFERROR(SUM(K35:K37)/K39,"")</f>
        <v/>
      </c>
      <c r="L41" s="175">
        <f>IFERROR(SUM(L35:L37)/L39,"")</f>
        <v/>
      </c>
      <c r="M41" s="175">
        <f>IFERROR(SUM(M35:M37)/M39,"")</f>
        <v/>
      </c>
      <c r="N41" s="175" t="n"/>
      <c r="O41" s="192" t="n"/>
      <c r="P41" s="192" t="n"/>
      <c r="Q41" s="192" t="n"/>
    </row>
    <row r="42" ht="15.75" customHeight="1" s="251">
      <c r="A42" s="192" t="n"/>
      <c r="B42" s="197" t="inlineStr">
        <is>
          <t>Implied terminal RONIC (g / reinvestment rate)</t>
        </is>
      </c>
      <c r="C42" s="192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>
        <f>IFERROR($C$27/M41,"")</f>
        <v/>
      </c>
      <c r="O42" s="192" t="n"/>
      <c r="P42" s="192" t="n"/>
      <c r="Q42" s="192" t="n"/>
    </row>
    <row r="43" ht="15" customHeight="1" s="251">
      <c r="A43" s="192" t="n"/>
      <c r="B43" s="192" t="n"/>
      <c r="C43" s="192" t="n"/>
      <c r="D43" s="198" t="inlineStr">
        <is>
          <t>Opening IC = Model 2025A equity − cash (leases treated as operating), rolled forward with capex + lease payments − D&amp;A + ΔWC.</t>
        </is>
      </c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</row>
    <row r="44" ht="15.75" customHeight="1" s="251">
      <c r="A44" s="192" t="n"/>
      <c r="B44" s="195" t="inlineStr">
        <is>
          <t>3. VALUATION SUMMARY</t>
        </is>
      </c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2" t="n"/>
      <c r="P44" s="192" t="n"/>
      <c r="Q44" s="192" t="n"/>
    </row>
    <row r="45" ht="15.75" customHeight="1" s="251">
      <c r="A45" s="192" t="n"/>
      <c r="B45" s="197" t="inlineStr">
        <is>
          <t>Sum of PV (explicit + fade)</t>
        </is>
      </c>
      <c r="C45" s="174">
        <f>SUM(D31:M31)</f>
        <v/>
      </c>
      <c r="D45" s="192" t="n"/>
      <c r="E45" s="192" t="n"/>
      <c r="F45" s="192" t="n"/>
      <c r="G45" s="19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</row>
    <row r="46" ht="15.75" customHeight="1" s="251">
      <c r="A46" s="192" t="n"/>
      <c r="B46" s="197" t="inlineStr">
        <is>
          <t>PV of Terminal Value</t>
        </is>
      </c>
      <c r="C46" s="174">
        <f>N31</f>
        <v/>
      </c>
      <c r="D46" s="192" t="n"/>
      <c r="E46" s="192" t="n"/>
      <c r="F46" s="192" t="n"/>
      <c r="G46" s="19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</row>
    <row r="47" ht="15.75" customHeight="1" s="251">
      <c r="A47" s="192" t="n"/>
      <c r="B47" s="199" t="inlineStr">
        <is>
          <t>Enterprise Value</t>
        </is>
      </c>
      <c r="C47" s="219">
        <f>C45+C46</f>
        <v/>
      </c>
      <c r="D47" s="192" t="n"/>
      <c r="E47" s="192" t="n"/>
      <c r="F47" s="192" t="n"/>
      <c r="G47" s="19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</row>
    <row r="48" ht="15.75" customHeight="1" s="251">
      <c r="A48" s="192" t="n"/>
      <c r="B48" s="197" t="inlineStr">
        <is>
          <t>Less: Net debt excl. leases + NCI (Model 2026E YE; negative = net cash)</t>
        </is>
      </c>
      <c r="C48" s="173">
        <f>Model!AH354+Model!AH355</f>
        <v/>
      </c>
      <c r="D48" s="198" t="inlineStr">
        <is>
          <t>Net cash (2026E year end, after Q4-26 buybacks) is added to enterprise value; lease liabilities excluded (lease payments are in UFCF).</t>
        </is>
      </c>
      <c r="E48" s="192" t="n"/>
      <c r="F48" s="192" t="n"/>
      <c r="G48" s="19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</row>
    <row r="49" ht="15.75" customHeight="1" s="251">
      <c r="A49" s="192" t="n"/>
      <c r="B49" s="199" t="inlineStr">
        <is>
          <t>Equity Value</t>
        </is>
      </c>
      <c r="C49" s="178">
        <f>C47-C48</f>
        <v/>
      </c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</row>
    <row r="50" ht="15.75" customHeight="1" s="251">
      <c r="A50" s="192" t="n"/>
      <c r="B50" s="197" t="inlineStr">
        <is>
          <t>Diluted Class A-equivalent shares (m, Model 2026E)</t>
        </is>
      </c>
      <c r="C50" s="186">
        <f>Model!AH351</f>
        <v/>
      </c>
      <c r="D50" s="192" t="n"/>
      <c r="E50" s="192" t="n"/>
      <c r="F50" s="192" t="n"/>
      <c r="G50" s="19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</row>
    <row r="51" ht="15.75" customHeight="1" s="251">
      <c r="A51" s="192" t="n"/>
      <c r="B51" s="199" t="inlineStr">
        <is>
          <t>Implied share price (CHF)</t>
        </is>
      </c>
      <c r="C51" s="187">
        <f>C49/C50</f>
        <v/>
      </c>
      <c r="D51" s="192" t="n"/>
      <c r="E51" s="192" t="n"/>
      <c r="F51" s="192" t="n"/>
      <c r="G51" s="19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</row>
    <row r="52" ht="15.75" customHeight="1" s="251">
      <c r="A52" s="192" t="n"/>
      <c r="B52" s="197" t="inlineStr">
        <is>
          <t>Current share price (CHF; USD price × USD/CHF)</t>
        </is>
      </c>
      <c r="C52" s="188">
        <f>Model!AH350</f>
        <v/>
      </c>
      <c r="D52" s="192" t="n"/>
      <c r="E52" s="192" t="n"/>
      <c r="F52" s="192" t="n"/>
      <c r="G52" s="192" t="n"/>
      <c r="H52" s="192" t="n"/>
      <c r="I52" s="192" t="n"/>
      <c r="J52" s="192" t="n"/>
      <c r="K52" s="192" t="n"/>
      <c r="L52" s="192" t="n"/>
      <c r="M52" s="192" t="n"/>
      <c r="N52" s="192" t="n"/>
      <c r="O52" s="192" t="n"/>
      <c r="P52" s="192" t="n"/>
      <c r="Q52" s="192" t="n"/>
    </row>
    <row r="53" ht="15.75" customHeight="1" s="251">
      <c r="A53" s="192" t="n"/>
      <c r="B53" s="199" t="inlineStr">
        <is>
          <t>Implied upside / (downside)</t>
        </is>
      </c>
      <c r="C53" s="189">
        <f>C51/C52-1</f>
        <v/>
      </c>
      <c r="D53" s="192" t="n"/>
      <c r="E53" s="192" t="n"/>
      <c r="F53" s="192" t="n"/>
      <c r="G53" s="192" t="n"/>
      <c r="H53" s="192" t="n"/>
      <c r="I53" s="192" t="n"/>
      <c r="J53" s="192" t="n"/>
      <c r="K53" s="192" t="n"/>
      <c r="L53" s="192" t="n"/>
      <c r="M53" s="192" t="n"/>
      <c r="N53" s="192" t="n"/>
      <c r="O53" s="192" t="n"/>
      <c r="P53" s="192" t="n"/>
      <c r="Q53" s="192" t="n"/>
    </row>
    <row r="54" ht="15.75" customHeight="1" s="251">
      <c r="A54" s="192" t="n"/>
      <c r="B54" s="197" t="inlineStr">
        <is>
          <t>Required discount to DCF value for target IRR</t>
        </is>
      </c>
      <c r="C54" s="175">
        <f>1-((1+C13)/(1+H54))^H55</f>
        <v/>
      </c>
      <c r="D54" s="205" t="inlineStr">
        <is>
          <t>vs. current</t>
        </is>
      </c>
      <c r="E54" s="237" t="inlineStr">
        <is>
          <t>Target IRR</t>
        </is>
      </c>
      <c r="F54" s="192" t="n"/>
      <c r="G54" s="192" t="n"/>
      <c r="H54" s="182" t="n">
        <v>0.15</v>
      </c>
      <c r="I54" s="192" t="n"/>
      <c r="J54" s="192" t="n"/>
      <c r="K54" s="192" t="n"/>
      <c r="L54" s="192" t="n"/>
      <c r="M54" s="192" t="n"/>
      <c r="N54" s="192" t="n"/>
      <c r="O54" s="192" t="n"/>
      <c r="P54" s="192" t="n"/>
      <c r="Q54" s="192" t="n"/>
    </row>
    <row r="55" ht="15.75" customHeight="1" s="251">
      <c r="A55" s="192" t="n"/>
      <c r="B55" s="199" t="inlineStr">
        <is>
          <t>Max entry price for target IRR (CHF)</t>
        </is>
      </c>
      <c r="C55" s="190">
        <f>C51*(1-C54)</f>
        <v/>
      </c>
      <c r="D55" s="175">
        <f>C55/C52-1</f>
        <v/>
      </c>
      <c r="E55" s="237" t="inlineStr">
        <is>
          <t>Years for discount to close</t>
        </is>
      </c>
      <c r="F55" s="192" t="n"/>
      <c r="G55" s="192" t="n"/>
      <c r="H55" s="191" t="n">
        <v>3</v>
      </c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</row>
    <row r="56" ht="15" customHeight="1" s="251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</row>
    <row r="57" ht="15" customHeight="1" s="251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</row>
    <row r="58" ht="15.75" customHeight="1" s="251">
      <c r="A58" s="192" t="n"/>
      <c r="B58" s="195" t="inlineStr">
        <is>
          <t>4. SENSITIVITY: IMPLIED PRICE ($) — WACC × Terminal Growth</t>
        </is>
      </c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2" t="n"/>
      <c r="P58" s="192" t="n"/>
      <c r="Q58" s="192" t="n"/>
    </row>
    <row r="59" ht="15" customHeight="1" s="251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</row>
    <row r="60" ht="15.75" customHeight="1" s="251">
      <c r="A60" s="192" t="n"/>
      <c r="B60" s="199" t="n"/>
      <c r="C60" s="192" t="n"/>
      <c r="D60" s="206" t="inlineStr">
        <is>
          <t>WACC →</t>
        </is>
      </c>
      <c r="E60" s="206" t="n"/>
      <c r="F60" s="206" t="n"/>
      <c r="G60" s="206" t="n"/>
      <c r="H60" s="206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</row>
    <row r="61" ht="15.75" customHeight="1" s="251">
      <c r="A61" s="192" t="n"/>
      <c r="B61" s="231" t="inlineStr">
        <is>
          <t>Terminal growth ↓</t>
        </is>
      </c>
      <c r="C61" s="227" t="n"/>
      <c r="D61" s="228">
        <f>F61-0.01</f>
        <v/>
      </c>
      <c r="E61" s="228">
        <f>F61-0.005</f>
        <v/>
      </c>
      <c r="F61" s="228">
        <f>$C$13</f>
        <v/>
      </c>
      <c r="G61" s="228">
        <f>F61+0.005</f>
        <v/>
      </c>
      <c r="H61" s="234">
        <f>F61+0.01</f>
        <v/>
      </c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</row>
    <row r="62" ht="15.75" customHeight="1" s="251">
      <c r="A62" s="192" t="n"/>
      <c r="B62" s="232">
        <f>B64-0.01</f>
        <v/>
      </c>
      <c r="C62" s="192" t="n"/>
      <c r="D62" s="225">
        <f t="array" ref="D62">IFERROR((SUMPRODUCT($D$24:$M$24/(1+D$61)^$D$29:$M$29)+($M$24*(1+$B62)/(D$61-$B62))/(1+D$61)^$M$29-$C$48)/$C$50,"")</f>
        <v/>
      </c>
      <c r="E62" s="225">
        <f t="array" ref="E62">IFERROR((SUMPRODUCT($D$24:$M$24/(1+E$61)^$D$29:$M$29)+($M$24*(1+$B62)/(E$61-$B62))/(1+E$61)^$M$29-$C$48)/$C$50,"")</f>
        <v/>
      </c>
      <c r="F62" s="225">
        <f t="array" ref="F62">IFERROR((SUMPRODUCT($D$24:$M$24/(1+F$61)^$D$29:$M$29)+($M$24*(1+$B62)/(F$61-$B62))/(1+F$61)^$M$29-$C$48)/$C$50,"")</f>
        <v/>
      </c>
      <c r="G62" s="225">
        <f t="array" ref="G62">IFERROR((SUMPRODUCT($D$24:$M$24/(1+G$61)^$D$29:$M$29)+($M$24*(1+$B62)/(G$61-$B62))/(1+G$61)^$M$29-$C$48)/$C$50,"")</f>
        <v/>
      </c>
      <c r="H62" s="235">
        <f t="array" ref="H62">IFERROR((SUMPRODUCT($D$24:$M$24/(1+H$61)^$D$29:$M$29)+($M$24*(1+$B62)/(H$61-$B62))/(1+H$61)^$M$29-$C$48)/$C$50,"")</f>
        <v/>
      </c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</row>
    <row r="63" ht="15.75" customHeight="1" s="251">
      <c r="A63" s="192" t="n"/>
      <c r="B63" s="232">
        <f>B64-0.005</f>
        <v/>
      </c>
      <c r="C63" s="192" t="n"/>
      <c r="D63" s="225">
        <f t="array" ref="D63">IFERROR((SUMPRODUCT($D$24:$M$24/(1+D$61)^$D$29:$M$29)+($M$24*(1+$B63)/(D$61-$B63))/(1+D$61)^$M$29-$C$48)/$C$50,"")</f>
        <v/>
      </c>
      <c r="E63" s="225">
        <f t="array" ref="E63">IFERROR((SUMPRODUCT($D$24:$M$24/(1+E$61)^$D$29:$M$29)+($M$24*(1+$B63)/(E$61-$B63))/(1+E$61)^$M$29-$C$48)/$C$50,"")</f>
        <v/>
      </c>
      <c r="F63" s="225">
        <f t="array" ref="F63">IFERROR((SUMPRODUCT($D$24:$M$24/(1+F$61)^$D$29:$M$29)+($M$24*(1+$B63)/(F$61-$B63))/(1+F$61)^$M$29-$C$48)/$C$50,"")</f>
        <v/>
      </c>
      <c r="G63" s="225">
        <f t="array" ref="G63">IFERROR((SUMPRODUCT($D$24:$M$24/(1+G$61)^$D$29:$M$29)+($M$24*(1+$B63)/(G$61-$B63))/(1+G$61)^$M$29-$C$48)/$C$50,"")</f>
        <v/>
      </c>
      <c r="H63" s="235">
        <f t="array" ref="H63">IFERROR((SUMPRODUCT($D$24:$M$24/(1+H$61)^$D$29:$M$29)+($M$24*(1+$B63)/(H$61-$B63))/(1+H$61)^$M$29-$C$48)/$C$50,"")</f>
        <v/>
      </c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</row>
    <row r="64" ht="15.75" customHeight="1" s="251">
      <c r="A64" s="192" t="n"/>
      <c r="B64" s="232">
        <f>$C$27</f>
        <v/>
      </c>
      <c r="C64" s="192" t="n"/>
      <c r="D64" s="225">
        <f t="array" ref="D64">IFERROR((SUMPRODUCT($D$24:$M$24/(1+D$61)^$D$29:$M$29)+($M$24*(1+$B64)/(D$61-$B64))/(1+D$61)^$M$29-$C$48)/$C$50,"")</f>
        <v/>
      </c>
      <c r="E64" s="225">
        <f t="array" ref="E64">IFERROR((SUMPRODUCT($D$24:$M$24/(1+E$61)^$D$29:$M$29)+($M$24*(1+$B64)/(E$61-$B64))/(1+E$61)^$M$29-$C$48)/$C$50,"")</f>
        <v/>
      </c>
      <c r="F64" s="226">
        <f t="array" ref="F64">IFERROR((SUMPRODUCT($D$24:$M$24/(1+F$61)^$D$29:$M$29)+($M$24*(1+$B64)/(F$61-$B64))/(1+F$61)^$M$29-$C$48)/$C$50,"")</f>
        <v/>
      </c>
      <c r="G64" s="225">
        <f t="array" ref="G64">IFERROR((SUMPRODUCT($D$24:$M$24/(1+G$61)^$D$29:$M$29)+($M$24*(1+$B64)/(G$61-$B64))/(1+G$61)^$M$29-$C$48)/$C$50,"")</f>
        <v/>
      </c>
      <c r="H64" s="235">
        <f t="array" ref="H64">IFERROR((SUMPRODUCT($D$24:$M$24/(1+H$61)^$D$29:$M$29)+($M$24*(1+$B64)/(H$61-$B64))/(1+H$61)^$M$29-$C$48)/$C$50,"")</f>
        <v/>
      </c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</row>
    <row r="65" ht="15.75" customHeight="1" s="251">
      <c r="A65" s="192" t="n"/>
      <c r="B65" s="232">
        <f>B64+0.005</f>
        <v/>
      </c>
      <c r="C65" s="192" t="n"/>
      <c r="D65" s="225">
        <f t="array" ref="D65">IFERROR((SUMPRODUCT($D$24:$M$24/(1+D$61)^$D$29:$M$29)+($M$24*(1+$B65)/(D$61-$B65))/(1+D$61)^$M$29-$C$48)/$C$50,"")</f>
        <v/>
      </c>
      <c r="E65" s="225">
        <f t="array" ref="E65">IFERROR((SUMPRODUCT($D$24:$M$24/(1+E$61)^$D$29:$M$29)+($M$24*(1+$B65)/(E$61-$B65))/(1+E$61)^$M$29-$C$48)/$C$50,"")</f>
        <v/>
      </c>
      <c r="F65" s="225">
        <f t="array" ref="F65">IFERROR((SUMPRODUCT($D$24:$M$24/(1+F$61)^$D$29:$M$29)+($M$24*(1+$B65)/(F$61-$B65))/(1+F$61)^$M$29-$C$48)/$C$50,"")</f>
        <v/>
      </c>
      <c r="G65" s="225">
        <f t="array" ref="G65">IFERROR((SUMPRODUCT($D$24:$M$24/(1+G$61)^$D$29:$M$29)+($M$24*(1+$B65)/(G$61-$B65))/(1+G$61)^$M$29-$C$48)/$C$50,"")</f>
        <v/>
      </c>
      <c r="H65" s="235">
        <f t="array" ref="H65">IFERROR((SUMPRODUCT($D$24:$M$24/(1+H$61)^$D$29:$M$29)+($M$24*(1+$B65)/(H$61-$B65))/(1+H$61)^$M$29-$C$48)/$C$50,"")</f>
        <v/>
      </c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</row>
    <row r="66" ht="15.75" customHeight="1" s="251">
      <c r="A66" s="192" t="n"/>
      <c r="B66" s="233">
        <f>B64+0.01</f>
        <v/>
      </c>
      <c r="C66" s="229" t="n"/>
      <c r="D66" s="230">
        <f t="array" ref="D66">IFERROR((SUMPRODUCT($D$24:$M$24/(1+D$61)^$D$29:$M$29)+($M$24*(1+$B66)/(D$61-$B66))/(1+D$61)^$M$29-$C$48)/$C$50,"")</f>
        <v/>
      </c>
      <c r="E66" s="230">
        <f t="array" ref="E66">IFERROR((SUMPRODUCT($D$24:$M$24/(1+E$61)^$D$29:$M$29)+($M$24*(1+$B66)/(E$61-$B66))/(1+E$61)^$M$29-$C$48)/$C$50,"")</f>
        <v/>
      </c>
      <c r="F66" s="230">
        <f t="array" ref="F66">IFERROR((SUMPRODUCT($D$24:$M$24/(1+F$61)^$D$29:$M$29)+($M$24*(1+$B66)/(F$61-$B66))/(1+F$61)^$M$29-$C$48)/$C$50,"")</f>
        <v/>
      </c>
      <c r="G66" s="230">
        <f t="array" ref="G66">IFERROR((SUMPRODUCT($D$24:$M$24/(1+G$61)^$D$29:$M$29)+($M$24*(1+$B66)/(G$61-$B66))/(1+G$61)^$M$29-$C$48)/$C$50,"")</f>
        <v/>
      </c>
      <c r="H66" s="236">
        <f t="array" ref="H66">IFERROR((SUMPRODUCT($D$24:$M$24/(1+H$61)^$D$29:$M$29)+($M$24*(1+$B66)/(H$61-$B66))/(1+H$61)^$M$29-$C$48)/$C$50,"")</f>
        <v/>
      </c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</row>
    <row r="67" ht="15" customHeight="1" s="251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</row>
    <row r="68" ht="15" customHeight="1" s="251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</row>
    <row r="69" ht="15.75" customHeight="1" s="251">
      <c r="A69" s="192" t="n"/>
      <c r="B69" s="195" t="inlineStr">
        <is>
          <t>5. REVERSE DCF</t>
        </is>
      </c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2" t="n"/>
      <c r="P69" s="192" t="n"/>
      <c r="Q69" s="192" t="n"/>
    </row>
    <row r="70" ht="15" customHeight="1" s="251">
      <c r="A70" s="192" t="n"/>
      <c r="B70" s="198" t="inlineStr">
        <is>
          <t>To solve for the market-implied path: Data ▸ What-If Analysis ▸ Goal Seek — set C51 to the current price (C52) by changing C27 (terminal growth), the fade-period growth inputs (I26:M26) or the Model scenario levers (regional cc growth, gross margin, Adjusted EBITDA margin).</t>
        </is>
      </c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</row>
    <row r="71" ht="15" customHeight="1" s="25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</row>
    <row r="72" ht="15.75" customHeight="1" s="251">
      <c r="A72" s="192" t="n"/>
      <c r="B72" s="195" t="inlineStr">
        <is>
          <t>6. MAUBOUSSIN EV / NOPAT — TWO-STAGE FRAMEWORK</t>
        </is>
      </c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2" t="n"/>
      <c r="P72" s="192" t="n"/>
      <c r="Q72" s="192" t="n"/>
    </row>
    <row r="73" ht="15" customHeight="1" s="251">
      <c r="A73" s="192" t="n"/>
      <c r="B73" s="198" t="inlineStr">
        <is>
          <t>EV/NOPAT  =  1/r  +  [g × (1 − r/ROIIC) / (r × (r − g))] × [1 − ((1+g)/(1+r))^N]</t>
        </is>
      </c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</row>
    <row r="74" ht="15" customHeight="1" s="251">
      <c r="A74" s="192" t="n"/>
      <c r="B74" s="198" t="inlineStr">
        <is>
          <t>Formula source: Mauboussin &amp; Rappaport, "Expectations Investing" (2021); Counterpoint Global, "What Does a Price-Earnings Multiple Mean?" (2020).</t>
        </is>
      </c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</row>
    <row r="75" ht="15" customHeight="1" s="251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</row>
    <row r="76" ht="15.75" customHeight="1" s="251">
      <c r="A76" s="192" t="n"/>
      <c r="B76" s="195" t="inlineStr">
        <is>
          <t>Input</t>
        </is>
      </c>
      <c r="C76" s="207" t="inlineStr">
        <is>
          <t>Value</t>
        </is>
      </c>
      <c r="D76" s="195" t="inlineStr">
        <is>
          <t>Rationale (On Holding characteristics)</t>
        </is>
      </c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2" t="n"/>
      <c r="P76" s="192" t="n"/>
      <c r="Q76" s="192" t="n"/>
    </row>
    <row r="77" ht="15.75" customHeight="1" s="251">
      <c r="A77" s="192" t="n"/>
      <c r="B77" s="197" t="inlineStr">
        <is>
          <t>r  (Cost of capital / WACC)</t>
        </is>
      </c>
      <c r="C77" s="238">
        <f>$C$13</f>
        <v/>
      </c>
      <c r="D77" s="198" t="inlineStr">
        <is>
          <t>Linked from Section 1 WACC build</t>
        </is>
      </c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</row>
    <row r="78" ht="15.75" customHeight="1" s="251">
      <c r="A78" s="192" t="n"/>
      <c r="B78" s="197" t="inlineStr">
        <is>
          <t>g  (NOPAT growth, Stage 1)</t>
        </is>
      </c>
      <c r="C78" s="239" t="n">
        <v>0.18</v>
      </c>
      <c r="D78" s="198" t="inlineStr">
        <is>
          <t>Model Adjusted EBIT CAGR 2026–30E: high-teens cc sales growth and ~2.5pts Adjusted EBITDA margin expansion to ≥22% (Investor Day 2029) → ~18% NOPAT growth</t>
        </is>
      </c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</row>
    <row r="79" ht="15.75" customHeight="1" s="251">
      <c r="A79" s="192" t="n"/>
      <c r="B79" s="197" t="inlineStr">
        <is>
          <t>ROIIC  (Return on incremental invested capital)</t>
        </is>
      </c>
      <c r="C79" s="239" t="n">
        <v>0.35</v>
      </c>
      <c r="D79" s="198" t="inlineStr">
        <is>
          <t>Asset-light, outsourced manufacturing, ≥65% gross margin and negative-to-low net working capital intensity at scale: incremental returns well above WACC (2025 ROIC &gt;30%)</t>
        </is>
      </c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</row>
    <row r="80" ht="15.75" customHeight="1" s="251">
      <c r="A80" s="192" t="n"/>
      <c r="B80" s="197" t="inlineStr">
        <is>
          <t>N  (Years of value creation / CAP)</t>
        </is>
      </c>
      <c r="C80" s="208" t="n">
        <v>12</v>
      </c>
      <c r="D80" s="198" t="inlineStr">
        <is>
          <t>Brand / innovation moat (CloudTec, LightSpray, athlete validation), DTC and global expansion runway; fashion / brand-cycle risk caps the advantage period</t>
        </is>
      </c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</row>
    <row r="81" ht="15" customHeight="1" s="25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</row>
    <row r="82" ht="15.75" customHeight="1" s="251">
      <c r="A82" s="192" t="n"/>
      <c r="B82" s="195" t="inlineStr">
        <is>
          <t>Calculation</t>
        </is>
      </c>
      <c r="C82" s="207" t="inlineStr">
        <is>
          <t>Value</t>
        </is>
      </c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</row>
    <row r="83" ht="15.75" customHeight="1" s="251">
      <c r="A83" s="192" t="n"/>
      <c r="B83" s="197" t="inlineStr">
        <is>
          <t>Steady-state component:  1 / r</t>
        </is>
      </c>
      <c r="C83" s="240">
        <f>1/C77</f>
        <v/>
      </c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</row>
    <row r="84" ht="15.75" customHeight="1" s="251">
      <c r="A84" s="192" t="n"/>
      <c r="B84" s="197" t="inlineStr">
        <is>
          <t>Value-creation factor: 1 − r / ROIIC</t>
        </is>
      </c>
      <c r="C84" s="241">
        <f>1-C77/C79</f>
        <v/>
      </c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</row>
    <row r="85" ht="15.75" customHeight="1" s="251">
      <c r="A85" s="192" t="n"/>
      <c r="B85" s="197" t="inlineStr">
        <is>
          <t>Growth multiplier: g × (1 − r/ROIIC) / (r × (r − g))</t>
        </is>
      </c>
      <c r="C85" s="241">
        <f>C78*C84/(C77*(C77-C78))</f>
        <v/>
      </c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</row>
    <row r="86" ht="15.75" customHeight="1" s="251">
      <c r="A86" s="192" t="n"/>
      <c r="B86" s="197" t="inlineStr">
        <is>
          <t>Time decay: 1 − ((1+g)/(1+r))^N</t>
        </is>
      </c>
      <c r="C86" s="242">
        <f>1-((1+C78)/(1+C77))^C80</f>
        <v/>
      </c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</row>
    <row r="87" ht="15.75" customHeight="1" s="251">
      <c r="A87" s="192" t="n"/>
      <c r="B87" s="197" t="inlineStr">
        <is>
          <t>PVGO component (growth value)</t>
        </is>
      </c>
      <c r="C87" s="240">
        <f>C85*C86</f>
        <v/>
      </c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</row>
    <row r="88" ht="15.75" customHeight="1" s="251">
      <c r="A88" s="192" t="n"/>
      <c r="B88" s="202" t="inlineStr">
        <is>
          <t>Mauboussin EV / NOPAT (steady-state + PVGO)</t>
        </is>
      </c>
      <c r="C88" s="298">
        <f>C83+C87</f>
        <v/>
      </c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</row>
    <row r="89" ht="15" customHeight="1" s="251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</row>
    <row r="90" ht="15.75" customHeight="1" s="251">
      <c r="A90" s="192" t="n"/>
      <c r="B90" s="195" t="inlineStr">
        <is>
          <t>VALUATION  —  Applied to 2028E NOPAT</t>
        </is>
      </c>
      <c r="C90" s="207" t="inlineStr">
        <is>
          <t>CHFm</t>
        </is>
      </c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</row>
    <row r="91" ht="15.75" customHeight="1" s="251">
      <c r="A91" s="192" t="n"/>
      <c r="B91" s="197" t="inlineStr">
        <is>
          <t>2028E Adj. EBIT less share-based compensation</t>
        </is>
      </c>
      <c r="C91" s="209">
        <f>Model!AJ160-Model!AJ104</f>
        <v/>
      </c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</row>
    <row r="92" ht="15.75" customHeight="1" s="251">
      <c r="A92" s="192" t="n"/>
      <c r="B92" s="197" t="inlineStr">
        <is>
          <t>Tax rate (from WACC build)</t>
        </is>
      </c>
      <c r="C92" s="210">
        <f>$C$10</f>
        <v/>
      </c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</row>
    <row r="93" ht="15.75" customHeight="1" s="251">
      <c r="A93" s="192" t="n"/>
      <c r="B93" s="197" t="inlineStr">
        <is>
          <t>2028E NOPAT</t>
        </is>
      </c>
      <c r="C93" s="211">
        <f>C91*(1-C92)</f>
        <v/>
      </c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</row>
    <row r="94" ht="15.75" customHeight="1" s="251">
      <c r="A94" s="192" t="n"/>
      <c r="B94" s="197" t="inlineStr">
        <is>
          <t>× Mauboussin EV/NOPAT multiple</t>
        </is>
      </c>
      <c r="C94" s="299">
        <f>C88</f>
        <v/>
      </c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</row>
    <row r="95" ht="15.75" customHeight="1" s="251">
      <c r="A95" s="192" t="n"/>
      <c r="B95" s="197" t="inlineStr">
        <is>
          <t>Implied Enterprise Value (2028E basis)</t>
        </is>
      </c>
      <c r="C95" s="211">
        <f>C93*C94</f>
        <v/>
      </c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</row>
    <row r="96" ht="15.75" customHeight="1" s="251">
      <c r="A96" s="192" t="n"/>
      <c r="B96" s="197" t="inlineStr">
        <is>
          <t>Less: YE2027 net debt excl. leases + NCI (Model)</t>
        </is>
      </c>
      <c r="C96" s="209">
        <f>Model!AI354+Model!AI355</f>
        <v/>
      </c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</row>
    <row r="97" ht="15.75" customHeight="1" s="251">
      <c r="A97" s="192" t="n"/>
      <c r="B97" s="197" t="inlineStr">
        <is>
          <t>Implied Equity Value</t>
        </is>
      </c>
      <c r="C97" s="211">
        <f>C95-C96</f>
        <v/>
      </c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</row>
    <row r="98" ht="15.75" customHeight="1" s="251">
      <c r="A98" s="192" t="n"/>
      <c r="B98" s="197" t="inlineStr">
        <is>
          <t>Diluted shares 2028E (m, Model)</t>
        </is>
      </c>
      <c r="C98" s="212">
        <f>Model!AJ351</f>
        <v/>
      </c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</row>
    <row r="99" ht="15.75" customHeight="1" s="251">
      <c r="A99" s="192" t="n"/>
      <c r="B99" s="202" t="inlineStr">
        <is>
          <t>Implied share price 2028 (CHF)</t>
        </is>
      </c>
      <c r="C99" s="213">
        <f>C97/C98</f>
        <v/>
      </c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</row>
    <row r="100" ht="15" customHeight="1" s="251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</row>
    <row r="101" ht="15.75" customHeight="1" s="251">
      <c r="A101" s="192" t="n"/>
      <c r="B101" s="197" t="inlineStr">
        <is>
          <t>Current share price (CHF)</t>
        </is>
      </c>
      <c r="C101" s="214">
        <f>C52</f>
        <v/>
      </c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</row>
    <row r="102" ht="15.75" customHeight="1" s="251">
      <c r="A102" s="192" t="n"/>
      <c r="B102" s="199" t="inlineStr">
        <is>
          <t>Implied upside / (downside)</t>
        </is>
      </c>
      <c r="C102" s="245">
        <f>C99/C101-1</f>
        <v/>
      </c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</row>
    <row r="103" ht="15" customHeight="1" s="251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</row>
    <row r="104" ht="15.75" customHeight="1" s="251">
      <c r="A104" s="192" t="n"/>
      <c r="B104" s="195" t="inlineStr">
        <is>
          <t>MARKET-IMPLIED EV/NOPAT TODAY</t>
        </is>
      </c>
      <c r="C104" s="207" t="inlineStr">
        <is>
          <t>CHFm</t>
        </is>
      </c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</row>
    <row r="105" ht="15.75" customHeight="1" s="251">
      <c r="A105" s="192" t="n"/>
      <c r="B105" s="197" t="inlineStr">
        <is>
          <t>Current market cap (spot × diluted shares)</t>
        </is>
      </c>
      <c r="C105" s="211">
        <f>C52*C50</f>
        <v/>
      </c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</row>
    <row r="106" ht="15.75" customHeight="1" s="251">
      <c r="A106" s="192" t="n"/>
      <c r="B106" s="197" t="inlineStr">
        <is>
          <t>Plus: YE2026 net debt + NCI</t>
        </is>
      </c>
      <c r="C106" s="211">
        <f>C48</f>
        <v/>
      </c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</row>
    <row r="107" ht="15.75" customHeight="1" s="251">
      <c r="A107" s="192" t="n"/>
      <c r="B107" s="197" t="inlineStr">
        <is>
          <t>Implied Enterprise Value (today)</t>
        </is>
      </c>
      <c r="C107" s="211">
        <f>C105+C106</f>
        <v/>
      </c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</row>
    <row r="108" ht="15.75" customHeight="1" s="251">
      <c r="A108" s="192" t="n"/>
      <c r="B108" s="202" t="inlineStr">
        <is>
          <t>ONON market-implied EV/NOPAT (on 2028E NOPAT)</t>
        </is>
      </c>
      <c r="C108" s="300">
        <f>C107/C93</f>
        <v/>
      </c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</row>
    <row r="109" ht="15" customHeight="1" s="251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</row>
    <row r="110" ht="15.75" customHeight="1" s="251">
      <c r="A110" s="192" t="n"/>
      <c r="B110" s="199" t="inlineStr">
        <is>
          <t>Multiple gap (Mauboussin − Market)</t>
        </is>
      </c>
      <c r="C110" s="247">
        <f>C88-C108</f>
        <v/>
      </c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</row>
    <row r="111" ht="15.75" customHeight="1" s="251">
      <c r="A111" s="192" t="n"/>
      <c r="B111" s="197" t="inlineStr">
        <is>
          <t>Implied re-rating headroom</t>
        </is>
      </c>
      <c r="C111" s="215">
        <f>C88/C108-1</f>
        <v/>
      </c>
      <c r="D111" s="192" t="n"/>
      <c r="E111" s="192" t="n"/>
      <c r="F111" s="192" t="n"/>
      <c r="G111" s="192" t="n"/>
      <c r="H111" s="192" t="n"/>
      <c r="I111" s="192" t="n"/>
      <c r="J111" s="192" t="n"/>
      <c r="K111" s="192" t="n"/>
      <c r="L111" s="192" t="n"/>
      <c r="M111" s="192" t="n"/>
      <c r="N111" s="192" t="n"/>
      <c r="O111" s="192" t="n"/>
      <c r="P111" s="192" t="n"/>
      <c r="Q111" s="192" t="n"/>
    </row>
    <row r="112" ht="15" customHeight="1" s="251">
      <c r="A112" s="192" t="n"/>
      <c r="B112" s="192" t="n"/>
      <c r="C112" s="192" t="n"/>
      <c r="D112" s="192" t="n"/>
      <c r="E112" s="192" t="n"/>
      <c r="F112" s="192" t="n"/>
      <c r="G112" s="192" t="n"/>
      <c r="H112" s="192" t="n"/>
      <c r="I112" s="192" t="n"/>
      <c r="J112" s="192" t="n"/>
      <c r="K112" s="192" t="n"/>
      <c r="L112" s="192" t="n"/>
      <c r="M112" s="192" t="n"/>
      <c r="N112" s="192" t="n"/>
      <c r="O112" s="192" t="n"/>
      <c r="P112" s="192" t="n"/>
      <c r="Q112" s="192" t="n"/>
    </row>
    <row r="113" ht="15" customHeight="1" s="251">
      <c r="A113" s="192" t="n"/>
      <c r="B113" s="192" t="n"/>
      <c r="C113" s="192" t="n"/>
      <c r="D113" s="192" t="n"/>
      <c r="E113" s="192" t="n"/>
      <c r="F113" s="192" t="n"/>
      <c r="G113" s="192" t="n"/>
      <c r="H113" s="192" t="n"/>
      <c r="I113" s="192" t="n"/>
      <c r="J113" s="192" t="n"/>
      <c r="K113" s="192" t="n"/>
      <c r="L113" s="192" t="n"/>
      <c r="M113" s="192" t="n"/>
      <c r="N113" s="192" t="n"/>
      <c r="O113" s="192" t="n"/>
      <c r="P113" s="192" t="n"/>
      <c r="Q113" s="192" t="n"/>
    </row>
    <row r="114" ht="15" customHeight="1" s="251">
      <c r="A114" s="192" t="n"/>
      <c r="B114" s="192" t="n"/>
      <c r="C114" s="192" t="n"/>
      <c r="D114" s="192" t="n"/>
      <c r="E114" s="192" t="n"/>
      <c r="F114" s="192" t="n"/>
      <c r="G114" s="192" t="n"/>
      <c r="H114" s="192" t="n"/>
      <c r="I114" s="192" t="n"/>
      <c r="J114" s="192" t="n"/>
      <c r="K114" s="192" t="n"/>
      <c r="L114" s="192" t="n"/>
      <c r="M114" s="192" t="n"/>
      <c r="N114" s="192" t="n"/>
      <c r="O114" s="192" t="n"/>
      <c r="P114" s="192" t="n"/>
      <c r="Q114" s="192" t="n"/>
    </row>
    <row r="115" ht="15" customHeight="1" s="251">
      <c r="A115" s="192" t="n"/>
      <c r="B115" s="192" t="n"/>
      <c r="C115" s="192" t="n"/>
      <c r="D115" s="192" t="n"/>
      <c r="E115" s="192" t="n"/>
      <c r="F115" s="192" t="n"/>
      <c r="G115" s="192" t="n"/>
      <c r="H115" s="192" t="n"/>
      <c r="I115" s="192" t="n"/>
      <c r="J115" s="192" t="n"/>
      <c r="K115" s="192" t="n"/>
      <c r="L115" s="192" t="n"/>
      <c r="M115" s="192" t="n"/>
      <c r="N115" s="192" t="n"/>
      <c r="O115" s="192" t="n"/>
      <c r="P115" s="192" t="n"/>
      <c r="Q115" s="192" t="n"/>
    </row>
    <row r="116">
      <c r="A116" s="192" t="n"/>
      <c r="B116" s="192" t="n"/>
      <c r="C116" s="192" t="n"/>
      <c r="D116" s="192" t="n"/>
      <c r="E116" s="192" t="n"/>
      <c r="F116" s="192" t="n"/>
      <c r="G116" s="192" t="n"/>
      <c r="H116" s="192" t="n"/>
      <c r="I116" s="192" t="n"/>
      <c r="J116" s="192" t="n"/>
      <c r="K116" s="192" t="n"/>
      <c r="L116" s="192" t="n"/>
      <c r="M116" s="192" t="n"/>
      <c r="N116" s="192" t="n"/>
      <c r="O116" s="192" t="n"/>
      <c r="P116" s="192" t="n"/>
      <c r="Q116" s="192" t="n"/>
    </row>
    <row r="117" ht="15" customHeight="1" s="251">
      <c r="A117" s="192" t="n"/>
      <c r="B117" s="192" t="n"/>
      <c r="C117" s="192" t="n"/>
      <c r="D117" s="192" t="n"/>
      <c r="E117" s="192" t="n"/>
      <c r="F117" s="192" t="n"/>
      <c r="G117" s="192" t="n"/>
      <c r="H117" s="192" t="n"/>
      <c r="I117" s="192" t="n"/>
      <c r="J117" s="192" t="n"/>
      <c r="K117" s="192" t="n"/>
      <c r="L117" s="192" t="n"/>
      <c r="M117" s="192" t="n"/>
      <c r="N117" s="192" t="n"/>
      <c r="O117" s="192" t="n"/>
      <c r="P117" s="192" t="n"/>
      <c r="Q117" s="192" t="n"/>
    </row>
    <row r="118" ht="15" customHeight="1" s="251">
      <c r="A118" s="192" t="n"/>
      <c r="B118" s="192" t="n"/>
      <c r="C118" s="192" t="n"/>
      <c r="D118" s="192" t="n"/>
      <c r="E118" s="192" t="n"/>
      <c r="F118" s="192" t="n"/>
      <c r="G118" s="192" t="n"/>
      <c r="H118" s="192" t="n"/>
      <c r="I118" s="192" t="n"/>
      <c r="J118" s="192" t="n"/>
      <c r="K118" s="192" t="n"/>
      <c r="L118" s="192" t="n"/>
      <c r="M118" s="192" t="n"/>
      <c r="N118" s="192" t="n"/>
      <c r="O118" s="192" t="n"/>
      <c r="P118" s="192" t="n"/>
      <c r="Q118" s="192" t="n"/>
    </row>
    <row r="119">
      <c r="A119" s="192" t="n"/>
      <c r="B119" s="192" t="n"/>
      <c r="C119" s="192" t="n"/>
      <c r="D119" s="192" t="n"/>
      <c r="E119" s="192" t="n"/>
      <c r="F119" s="192" t="n"/>
      <c r="G119" s="192" t="n"/>
      <c r="H119" s="192" t="n"/>
      <c r="I119" s="192" t="n"/>
      <c r="J119" s="192" t="n"/>
      <c r="K119" s="192" t="n"/>
      <c r="L119" s="192" t="n"/>
      <c r="M119" s="192" t="n"/>
      <c r="N119" s="192" t="n"/>
      <c r="O119" s="192" t="n"/>
      <c r="P119" s="192" t="n"/>
      <c r="Q119" s="192" t="n"/>
    </row>
    <row r="120">
      <c r="A120" s="192" t="n"/>
      <c r="B120" s="192" t="n"/>
      <c r="C120" s="192" t="n"/>
      <c r="D120" s="192" t="n"/>
      <c r="E120" s="192" t="n"/>
      <c r="F120" s="192" t="n"/>
      <c r="G120" s="192" t="n"/>
      <c r="H120" s="192" t="n"/>
      <c r="I120" s="192" t="n"/>
      <c r="J120" s="192" t="n"/>
      <c r="K120" s="192" t="n"/>
      <c r="L120" s="192" t="n"/>
      <c r="M120" s="192" t="n"/>
      <c r="N120" s="192" t="n"/>
      <c r="O120" s="192" t="n"/>
      <c r="P120" s="192" t="n"/>
      <c r="Q120" s="192" t="n"/>
    </row>
    <row r="121">
      <c r="A121" s="192" t="n"/>
      <c r="B121" s="192" t="n"/>
      <c r="C121" s="192" t="n"/>
      <c r="D121" s="192" t="n"/>
      <c r="E121" s="192" t="n"/>
      <c r="F121" s="192" t="n"/>
      <c r="G121" s="192" t="n"/>
      <c r="H121" s="192" t="n"/>
      <c r="I121" s="192" t="n"/>
      <c r="J121" s="192" t="n"/>
      <c r="K121" s="192" t="n"/>
      <c r="L121" s="192" t="n"/>
      <c r="M121" s="192" t="n"/>
      <c r="N121" s="192" t="n"/>
      <c r="O121" s="192" t="n"/>
      <c r="P121" s="192" t="n"/>
      <c r="Q121" s="192" t="n"/>
    </row>
    <row r="122">
      <c r="A122" s="192" t="n"/>
      <c r="B122" s="192" t="n"/>
      <c r="C122" s="192" t="n"/>
      <c r="D122" s="192" t="n"/>
      <c r="E122" s="192" t="n"/>
      <c r="F122" s="192" t="n"/>
      <c r="G122" s="192" t="n"/>
      <c r="H122" s="192" t="n"/>
      <c r="I122" s="192" t="n"/>
      <c r="J122" s="192" t="n"/>
      <c r="K122" s="192" t="n"/>
      <c r="L122" s="192" t="n"/>
      <c r="M122" s="192" t="n"/>
      <c r="N122" s="192" t="n"/>
      <c r="O122" s="192" t="n"/>
      <c r="P122" s="192" t="n"/>
      <c r="Q122" s="192" t="n"/>
    </row>
    <row r="123">
      <c r="A123" s="192" t="n"/>
      <c r="B123" s="192" t="n"/>
      <c r="C123" s="192" t="n"/>
      <c r="D123" s="192" t="n"/>
      <c r="E123" s="192" t="n"/>
      <c r="F123" s="192" t="n"/>
      <c r="G123" s="192" t="n"/>
      <c r="H123" s="192" t="n"/>
      <c r="I123" s="192" t="n"/>
      <c r="J123" s="192" t="n"/>
      <c r="K123" s="192" t="n"/>
      <c r="L123" s="192" t="n"/>
      <c r="M123" s="192" t="n"/>
      <c r="N123" s="192" t="n"/>
      <c r="O123" s="192" t="n"/>
      <c r="P123" s="192" t="n"/>
      <c r="Q123" s="192" t="n"/>
    </row>
    <row r="124">
      <c r="A124" s="192" t="n"/>
      <c r="B124" s="192" t="n"/>
      <c r="C124" s="192" t="n"/>
      <c r="D124" s="192" t="n"/>
      <c r="E124" s="192" t="n"/>
      <c r="F124" s="192" t="n"/>
      <c r="G124" s="192" t="n"/>
      <c r="H124" s="192" t="n"/>
      <c r="I124" s="192" t="n"/>
      <c r="J124" s="192" t="n"/>
      <c r="K124" s="192" t="n"/>
      <c r="L124" s="192" t="n"/>
      <c r="M124" s="192" t="n"/>
      <c r="N124" s="192" t="n"/>
      <c r="O124" s="192" t="n"/>
      <c r="P124" s="192" t="n"/>
      <c r="Q124" s="192" t="n"/>
    </row>
    <row r="125">
      <c r="A125" s="192" t="n"/>
      <c r="B125" s="192" t="n"/>
      <c r="C125" s="192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P125" s="192" t="n"/>
      <c r="Q125" s="192" t="n"/>
    </row>
    <row r="126">
      <c r="A126" s="192" t="n"/>
      <c r="B126" s="192" t="n"/>
      <c r="C126" s="192" t="n"/>
      <c r="D126" s="192" t="n"/>
      <c r="E126" s="192" t="n"/>
      <c r="F126" s="192" t="n"/>
      <c r="G126" s="192" t="n"/>
      <c r="H126" s="192" t="n"/>
      <c r="I126" s="192" t="n"/>
      <c r="J126" s="192" t="n"/>
      <c r="K126" s="192" t="n"/>
      <c r="L126" s="192" t="n"/>
      <c r="M126" s="192" t="n"/>
      <c r="N126" s="192" t="n"/>
      <c r="O126" s="192" t="n"/>
      <c r="P126" s="192" t="n"/>
      <c r="Q126" s="192" t="n"/>
    </row>
    <row r="127">
      <c r="A127" s="192" t="n"/>
      <c r="B127" s="192" t="n"/>
      <c r="C127" s="192" t="n"/>
      <c r="D127" s="192" t="n"/>
      <c r="E127" s="192" t="n"/>
      <c r="F127" s="192" t="n"/>
      <c r="G127" s="192" t="n"/>
      <c r="H127" s="192" t="n"/>
      <c r="I127" s="192" t="n"/>
      <c r="J127" s="192" t="n"/>
      <c r="K127" s="192" t="n"/>
      <c r="L127" s="192" t="n"/>
      <c r="M127" s="192" t="n"/>
      <c r="N127" s="192" t="n"/>
      <c r="O127" s="192" t="n"/>
      <c r="P127" s="192" t="n"/>
      <c r="Q127" s="192" t="n"/>
    </row>
    <row r="128">
      <c r="A128" s="192" t="n"/>
      <c r="B128" s="192" t="n"/>
      <c r="C128" s="192" t="n"/>
      <c r="D128" s="192" t="n"/>
      <c r="E128" s="192" t="n"/>
      <c r="F128" s="192" t="n"/>
      <c r="G128" s="192" t="n"/>
      <c r="H128" s="192" t="n"/>
      <c r="I128" s="192" t="n"/>
      <c r="J128" s="192" t="n"/>
      <c r="K128" s="192" t="n"/>
      <c r="L128" s="192" t="n"/>
      <c r="M128" s="192" t="n"/>
      <c r="N128" s="192" t="n"/>
      <c r="O128" s="192" t="n"/>
      <c r="P128" s="192" t="n"/>
      <c r="Q128" s="192" t="n"/>
    </row>
    <row r="129">
      <c r="A129" s="192" t="n"/>
      <c r="B129" s="192" t="n"/>
      <c r="C129" s="192" t="n"/>
      <c r="D129" s="192" t="n"/>
      <c r="E129" s="192" t="n"/>
      <c r="F129" s="192" t="n"/>
      <c r="G129" s="192" t="n"/>
      <c r="H129" s="192" t="n"/>
      <c r="I129" s="192" t="n"/>
      <c r="J129" s="192" t="n"/>
      <c r="K129" s="192" t="n"/>
      <c r="L129" s="192" t="n"/>
      <c r="M129" s="192" t="n"/>
      <c r="N129" s="192" t="n"/>
      <c r="O129" s="192" t="n"/>
      <c r="P129" s="192" t="n"/>
      <c r="Q129" s="192" t="n"/>
    </row>
    <row r="130">
      <c r="A130" s="192" t="n"/>
      <c r="B130" s="192" t="n"/>
      <c r="C130" s="192" t="n"/>
      <c r="D130" s="192" t="n"/>
      <c r="E130" s="192" t="n"/>
      <c r="F130" s="192" t="n"/>
      <c r="G130" s="192" t="n"/>
      <c r="H130" s="192" t="n"/>
      <c r="I130" s="192" t="n"/>
      <c r="J130" s="192" t="n"/>
      <c r="K130" s="192" t="n"/>
      <c r="L130" s="192" t="n"/>
      <c r="M130" s="192" t="n"/>
      <c r="N130" s="192" t="n"/>
      <c r="O130" s="192" t="n"/>
      <c r="P130" s="192" t="n"/>
      <c r="Q130" s="19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style="251" min="2" max="2"/>
  </cols>
  <sheetData>
    <row r="2" ht="17.25" customHeight="1" s="251">
      <c r="B2" s="107" t="inlineStr">
        <is>
          <t>On Holding — Operating Performance (2019–2025) and Model Forecast (2026E–2030E)</t>
        </is>
      </c>
    </row>
    <row r="3" ht="15" customHeight="1" s="251">
      <c r="B3" s="4" t="inlineStr">
        <is>
          <t>CHFm · Linked to Model. Bars = constant-currency growth vs FX translation effect (published from 2024; earlier years: reported growth shown as constant currency). Adjusted EBITDA as reconciled by On in each period (prospectus for FY2019–20). ROIC / RONTA on Adjusted EBIT (balance sheets from FY2020).</t>
        </is>
      </c>
    </row>
    <row r="7" ht="15" customHeight="1" s="251">
      <c r="C7" s="10" t="n">
        <v>2019</v>
      </c>
      <c r="D7" s="10" t="n">
        <v>2020</v>
      </c>
      <c r="E7" s="10" t="n">
        <v>2021</v>
      </c>
      <c r="F7" s="10" t="n">
        <v>2022</v>
      </c>
      <c r="G7" s="10" t="n">
        <v>2023</v>
      </c>
      <c r="H7" s="10" t="n">
        <v>2024</v>
      </c>
      <c r="I7" s="10" t="n">
        <v>2025</v>
      </c>
      <c r="J7" s="10" t="inlineStr">
        <is>
          <t>2026E</t>
        </is>
      </c>
      <c r="K7" s="10" t="inlineStr">
        <is>
          <t>2027E</t>
        </is>
      </c>
      <c r="L7" s="10" t="inlineStr">
        <is>
          <t>2028E</t>
        </is>
      </c>
      <c r="M7" s="10" t="inlineStr">
        <is>
          <t>2029E</t>
        </is>
      </c>
      <c r="N7" s="10" t="inlineStr">
        <is>
          <t>2030E</t>
        </is>
      </c>
      <c r="O7" s="10" t="n"/>
      <c r="P7" s="10" t="n"/>
      <c r="Q7" s="10" t="n"/>
      <c r="R7" s="10" t="n"/>
      <c r="S7" s="10" t="n"/>
      <c r="T7" s="10" t="n"/>
      <c r="U7" s="10" t="n"/>
      <c r="V7" s="10" t="n"/>
    </row>
    <row r="8" ht="15" customHeight="1" s="251">
      <c r="B8" t="inlineStr">
        <is>
          <t>Constant-currency growth %</t>
        </is>
      </c>
      <c r="C8" s="108">
        <f>IFERROR(Model!C194+0,IFERROR(Model!C193+0,0))</f>
        <v/>
      </c>
      <c r="D8" s="108">
        <f>IFERROR(Model!D194+0,IFERROR(Model!D193+0,0))</f>
        <v/>
      </c>
      <c r="E8" s="108">
        <f>IFERROR(Model!I194+0,IFERROR(Model!I193+0,0))</f>
        <v/>
      </c>
      <c r="F8" s="108">
        <f>IFERROR(Model!N194+0,IFERROR(Model!N193+0,0))</f>
        <v/>
      </c>
      <c r="G8" s="108">
        <f>IFERROR(Model!S194+0,IFERROR(Model!S193+0,0))</f>
        <v/>
      </c>
      <c r="H8" s="108">
        <f>IFERROR(Model!X194+0,IFERROR(Model!X193+0,0))</f>
        <v/>
      </c>
      <c r="I8" s="108">
        <f>IFERROR(Model!AC194+0,IFERROR(Model!AC193+0,0))</f>
        <v/>
      </c>
      <c r="J8" s="108">
        <f>IFERROR(Model!AH194+0,IFERROR(Model!AH193+0,0))</f>
        <v/>
      </c>
      <c r="K8" s="108">
        <f>IFERROR(Model!AI194+0,IFERROR(Model!AI193+0,0))</f>
        <v/>
      </c>
      <c r="L8" s="108">
        <f>IFERROR(Model!AJ194+0,IFERROR(Model!AJ193+0,0))</f>
        <v/>
      </c>
      <c r="M8" s="108">
        <f>IFERROR(Model!AK194+0,IFERROR(Model!AK193+0,0))</f>
        <v/>
      </c>
      <c r="N8" s="108">
        <f>IFERROR(Model!AL194+0,IFERROR(Model!AL193+0,0))</f>
        <v/>
      </c>
      <c r="O8" s="108" t="n"/>
      <c r="P8" s="108" t="n"/>
      <c r="Q8" s="108" t="n"/>
      <c r="R8" s="108" t="n"/>
      <c r="S8" s="108" t="n"/>
      <c r="T8" s="108" t="n"/>
      <c r="U8" s="108" t="n"/>
      <c r="V8" s="108" t="n"/>
    </row>
    <row r="9" ht="15" customHeight="1" s="251">
      <c r="B9" t="inlineStr">
        <is>
          <t>FX translation effect %</t>
        </is>
      </c>
      <c r="C9" s="108">
        <f>IFERROR(Model!C44+0,0)</f>
        <v/>
      </c>
      <c r="D9" s="108">
        <f>IFERROR(Model!D44+0,0)</f>
        <v/>
      </c>
      <c r="E9" s="108">
        <f>IFERROR(Model!I44+0,0)</f>
        <v/>
      </c>
      <c r="F9" s="108">
        <f>IFERROR(Model!N44+0,0)</f>
        <v/>
      </c>
      <c r="G9" s="108">
        <f>IFERROR(Model!S44+0,0)</f>
        <v/>
      </c>
      <c r="H9" s="108">
        <f>IFERROR(Model!X44+0,0)</f>
        <v/>
      </c>
      <c r="I9" s="108">
        <f>IFERROR(Model!AC44+0,0)</f>
        <v/>
      </c>
      <c r="J9" s="108">
        <f>IFERROR(Model!AH44+0,0)</f>
        <v/>
      </c>
      <c r="K9" s="108">
        <f>IFERROR(Model!AI44+0,0)</f>
        <v/>
      </c>
      <c r="L9" s="108">
        <f>IFERROR(Model!AJ44+0,0)</f>
        <v/>
      </c>
      <c r="M9" s="108">
        <f>IFERROR(Model!AK44+0,0)</f>
        <v/>
      </c>
      <c r="N9" s="108">
        <f>IFERROR(Model!AL44+0,0)</f>
        <v/>
      </c>
      <c r="O9" s="108" t="n"/>
      <c r="P9" s="108" t="n"/>
      <c r="Q9" s="108" t="n"/>
      <c r="R9" s="108" t="n"/>
      <c r="S9" s="108" t="n"/>
      <c r="T9" s="108" t="n"/>
      <c r="U9" s="108" t="n"/>
      <c r="V9" s="108" t="n"/>
    </row>
    <row r="11" ht="15" customHeight="1" s="251">
      <c r="C11" s="10">
        <f>C7</f>
        <v/>
      </c>
      <c r="D11" s="10">
        <f>D7</f>
        <v/>
      </c>
      <c r="E11" s="10">
        <f>E7</f>
        <v/>
      </c>
      <c r="F11" s="10">
        <f>F7</f>
        <v/>
      </c>
      <c r="G11" s="10">
        <f>G7</f>
        <v/>
      </c>
      <c r="H11" s="10">
        <f>H7</f>
        <v/>
      </c>
      <c r="I11" s="10">
        <f>I7</f>
        <v/>
      </c>
      <c r="J11" s="10">
        <f>J7</f>
        <v/>
      </c>
      <c r="K11" s="10">
        <f>K7</f>
        <v/>
      </c>
      <c r="L11" s="10">
        <f>L7</f>
        <v/>
      </c>
      <c r="M11" s="10">
        <f>M7</f>
        <v/>
      </c>
      <c r="N11" s="10">
        <f>N7</f>
        <v/>
      </c>
      <c r="O11" s="10" t="n"/>
      <c r="P11" s="10" t="n"/>
      <c r="Q11" s="10" t="n"/>
      <c r="R11" s="10" t="n"/>
      <c r="S11" s="10" t="n"/>
      <c r="T11" s="10" t="n"/>
      <c r="U11" s="10" t="n"/>
      <c r="V11" s="10" t="n"/>
    </row>
    <row r="12" ht="15" customHeight="1" s="251">
      <c r="B12" t="inlineStr">
        <is>
          <t>Adjusted EBITDA</t>
        </is>
      </c>
      <c r="C12" s="106">
        <f>Model!C150</f>
        <v/>
      </c>
      <c r="D12" s="106">
        <f>Model!D150</f>
        <v/>
      </c>
      <c r="E12" s="106">
        <f>Model!I150</f>
        <v/>
      </c>
      <c r="F12" s="106">
        <f>Model!N150</f>
        <v/>
      </c>
      <c r="G12" s="106">
        <f>Model!S150</f>
        <v/>
      </c>
      <c r="H12" s="106">
        <f>Model!X150</f>
        <v/>
      </c>
      <c r="I12" s="106">
        <f>Model!AC150</f>
        <v/>
      </c>
      <c r="J12" s="106">
        <f>Model!AH150</f>
        <v/>
      </c>
      <c r="K12" s="106">
        <f>Model!AI150</f>
        <v/>
      </c>
      <c r="L12" s="106">
        <f>Model!AJ150</f>
        <v/>
      </c>
      <c r="M12" s="106">
        <f>Model!AK150</f>
        <v/>
      </c>
      <c r="N12" s="106">
        <f>Model!AL150</f>
        <v/>
      </c>
      <c r="O12" s="106" t="n"/>
      <c r="P12" s="106" t="n"/>
      <c r="Q12" s="106" t="n"/>
      <c r="R12" s="106" t="n"/>
      <c r="S12" s="106" t="n"/>
      <c r="T12" s="106" t="n"/>
      <c r="U12" s="106" t="n"/>
      <c r="V12" s="106" t="n"/>
    </row>
    <row r="13" ht="15" customHeight="1" s="251">
      <c r="B13" t="inlineStr">
        <is>
          <t>Operating Result (IFRS)</t>
        </is>
      </c>
      <c r="C13" s="106">
        <f>Model!C114</f>
        <v/>
      </c>
      <c r="D13" s="106">
        <f>Model!D114</f>
        <v/>
      </c>
      <c r="E13" s="106">
        <f>Model!I114</f>
        <v/>
      </c>
      <c r="F13" s="106">
        <f>Model!N114</f>
        <v/>
      </c>
      <c r="G13" s="106">
        <f>Model!S114</f>
        <v/>
      </c>
      <c r="H13" s="106">
        <f>Model!X114</f>
        <v/>
      </c>
      <c r="I13" s="106">
        <f>Model!AC114</f>
        <v/>
      </c>
      <c r="J13" s="106">
        <f>Model!AH114</f>
        <v/>
      </c>
      <c r="K13" s="106">
        <f>Model!AI114</f>
        <v/>
      </c>
      <c r="L13" s="106">
        <f>Model!AJ114</f>
        <v/>
      </c>
      <c r="M13" s="106">
        <f>Model!AK114</f>
        <v/>
      </c>
      <c r="N13" s="106">
        <f>Model!AL114</f>
        <v/>
      </c>
      <c r="O13" s="106" t="n"/>
      <c r="P13" s="106" t="n"/>
      <c r="Q13" s="106" t="n"/>
      <c r="R13" s="106" t="n"/>
      <c r="S13" s="106" t="n"/>
      <c r="T13" s="106" t="n"/>
      <c r="U13" s="106" t="n"/>
      <c r="V13" s="106" t="n"/>
    </row>
    <row r="14" ht="15" customHeight="1" s="251">
      <c r="B14" t="inlineStr">
        <is>
          <t>Adj. EBITDA Margin %</t>
        </is>
      </c>
      <c r="C14" s="108">
        <f>Model!C201</f>
        <v/>
      </c>
      <c r="D14" s="108">
        <f>Model!D201</f>
        <v/>
      </c>
      <c r="E14" s="108">
        <f>Model!I201</f>
        <v/>
      </c>
      <c r="F14" s="108">
        <f>Model!N201</f>
        <v/>
      </c>
      <c r="G14" s="108">
        <f>Model!S201</f>
        <v/>
      </c>
      <c r="H14" s="108">
        <f>Model!X201</f>
        <v/>
      </c>
      <c r="I14" s="108">
        <f>Model!AC201</f>
        <v/>
      </c>
      <c r="J14" s="108">
        <f>Model!AH201</f>
        <v/>
      </c>
      <c r="K14" s="108">
        <f>Model!AI201</f>
        <v/>
      </c>
      <c r="L14" s="108">
        <f>Model!AJ201</f>
        <v/>
      </c>
      <c r="M14" s="108">
        <f>Model!AK201</f>
        <v/>
      </c>
      <c r="N14" s="108">
        <f>Model!AL201</f>
        <v/>
      </c>
      <c r="O14" s="108" t="n"/>
      <c r="P14" s="108" t="n"/>
      <c r="Q14" s="108" t="n"/>
      <c r="R14" s="108" t="n"/>
      <c r="S14" s="108" t="n"/>
      <c r="T14" s="108" t="n"/>
      <c r="U14" s="108" t="n"/>
      <c r="V14" s="108" t="n"/>
    </row>
    <row r="15" ht="15" customHeight="1" s="251">
      <c r="B15" t="inlineStr">
        <is>
          <t>IFRS Op. Margin %</t>
        </is>
      </c>
      <c r="C15" s="108">
        <f>Model!C204</f>
        <v/>
      </c>
      <c r="D15" s="108">
        <f>Model!D204</f>
        <v/>
      </c>
      <c r="E15" s="108">
        <f>Model!I204</f>
        <v/>
      </c>
      <c r="F15" s="108">
        <f>Model!N204</f>
        <v/>
      </c>
      <c r="G15" s="108">
        <f>Model!S204</f>
        <v/>
      </c>
      <c r="H15" s="108">
        <f>Model!X204</f>
        <v/>
      </c>
      <c r="I15" s="108">
        <f>Model!AC204</f>
        <v/>
      </c>
      <c r="J15" s="108">
        <f>Model!AH204</f>
        <v/>
      </c>
      <c r="K15" s="108">
        <f>Model!AI204</f>
        <v/>
      </c>
      <c r="L15" s="108">
        <f>Model!AJ204</f>
        <v/>
      </c>
      <c r="M15" s="108">
        <f>Model!AK204</f>
        <v/>
      </c>
      <c r="N15" s="108">
        <f>Model!AL204</f>
        <v/>
      </c>
      <c r="O15" s="108" t="n"/>
      <c r="P15" s="108" t="n"/>
      <c r="Q15" s="108" t="n"/>
      <c r="R15" s="108" t="n"/>
      <c r="S15" s="108" t="n"/>
      <c r="T15" s="108" t="n"/>
      <c r="U15" s="108" t="n"/>
      <c r="V15" s="108" t="n"/>
    </row>
    <row r="17" ht="15" customHeight="1" s="251">
      <c r="C17" s="10">
        <f>C7</f>
        <v/>
      </c>
      <c r="D17" s="10">
        <f>D7</f>
        <v/>
      </c>
      <c r="E17" s="10">
        <f>E7</f>
        <v/>
      </c>
      <c r="F17" s="10">
        <f>F7</f>
        <v/>
      </c>
      <c r="G17" s="10">
        <f>G7</f>
        <v/>
      </c>
      <c r="H17" s="10">
        <f>H7</f>
        <v/>
      </c>
      <c r="I17" s="10">
        <f>I7</f>
        <v/>
      </c>
      <c r="J17" s="10">
        <f>J7</f>
        <v/>
      </c>
      <c r="K17" s="10">
        <f>K7</f>
        <v/>
      </c>
      <c r="L17" s="10">
        <f>L7</f>
        <v/>
      </c>
      <c r="M17" s="10">
        <f>M7</f>
        <v/>
      </c>
      <c r="N17" s="10">
        <f>N7</f>
        <v/>
      </c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5" customHeight="1" s="251">
      <c r="B18" t="inlineStr">
        <is>
          <t>ROIC</t>
        </is>
      </c>
      <c r="C18" s="108">
        <f>IFERROR(Model!C326+0,NA())</f>
        <v/>
      </c>
      <c r="D18" s="108">
        <f>IFERROR(Model!D326+0,NA())</f>
        <v/>
      </c>
      <c r="E18" s="108">
        <f>IFERROR(Model!I326+0,NA())</f>
        <v/>
      </c>
      <c r="F18" s="108">
        <f>IFERROR(Model!N326+0,NA())</f>
        <v/>
      </c>
      <c r="G18" s="108">
        <f>IFERROR(Model!S326+0,NA())</f>
        <v/>
      </c>
      <c r="H18" s="108">
        <f>IFERROR(Model!X326+0,NA())</f>
        <v/>
      </c>
      <c r="I18" s="108">
        <f>IFERROR(Model!AC326+0,NA())</f>
        <v/>
      </c>
      <c r="J18" s="108">
        <f>IFERROR(Model!AH326+0,NA())</f>
        <v/>
      </c>
      <c r="K18" s="108">
        <f>IFERROR(Model!AI326+0,NA())</f>
        <v/>
      </c>
      <c r="L18" s="108">
        <f>IFERROR(Model!AJ326+0,NA())</f>
        <v/>
      </c>
      <c r="M18" s="108">
        <f>IFERROR(Model!AK326+0,NA())</f>
        <v/>
      </c>
      <c r="N18" s="108">
        <f>IFERROR(Model!AL326+0,NA())</f>
        <v/>
      </c>
      <c r="O18" s="108" t="n"/>
      <c r="P18" s="108" t="n"/>
      <c r="Q18" s="108" t="n"/>
      <c r="R18" s="108" t="n"/>
      <c r="S18" s="108" t="n"/>
      <c r="T18" s="108" t="n"/>
      <c r="U18" s="108" t="n"/>
      <c r="V18" s="108" t="n"/>
    </row>
    <row r="19" ht="15" customHeight="1" s="251">
      <c r="B19" t="inlineStr">
        <is>
          <t>RONTA</t>
        </is>
      </c>
      <c r="C19" s="108">
        <f>IFERROR(Model!C337+0,NA())</f>
        <v/>
      </c>
      <c r="D19" s="108">
        <f>IFERROR(Model!D337+0,NA())</f>
        <v/>
      </c>
      <c r="E19" s="108">
        <f>IFERROR(Model!I337+0,NA())</f>
        <v/>
      </c>
      <c r="F19" s="108">
        <f>IFERROR(Model!N337+0,NA())</f>
        <v/>
      </c>
      <c r="G19" s="108">
        <f>IFERROR(Model!S337+0,NA())</f>
        <v/>
      </c>
      <c r="H19" s="108">
        <f>IFERROR(Model!X337+0,NA())</f>
        <v/>
      </c>
      <c r="I19" s="108">
        <f>IFERROR(Model!AC337+0,NA())</f>
        <v/>
      </c>
      <c r="J19" s="108">
        <f>IFERROR(Model!AH337+0,NA())</f>
        <v/>
      </c>
      <c r="K19" s="108">
        <f>IFERROR(Model!AI337+0,NA())</f>
        <v/>
      </c>
      <c r="L19" s="108">
        <f>IFERROR(Model!AJ337+0,NA())</f>
        <v/>
      </c>
      <c r="M19" s="108">
        <f>IFERROR(Model!AK337+0,NA())</f>
        <v/>
      </c>
      <c r="N19" s="108">
        <f>IFERROR(Model!AL337+0,NA())</f>
        <v/>
      </c>
      <c r="O19" s="108" t="n"/>
      <c r="P19" s="108" t="n"/>
      <c r="Q19" s="108" t="n"/>
      <c r="R19" s="108" t="n"/>
      <c r="S19" s="108" t="n"/>
      <c r="T19" s="108" t="n"/>
      <c r="U19" s="108" t="n"/>
      <c r="V19" s="108" t="n"/>
    </row>
    <row r="20" ht="15" customHeight="1" s="251">
      <c r="B20" t="inlineStr">
        <is>
          <t>Adj. EBITDA margin %</t>
        </is>
      </c>
      <c r="C20" s="108">
        <f>IFERROR(Model!C201+0,NA())</f>
        <v/>
      </c>
      <c r="D20" s="108">
        <f>IFERROR(Model!D201+0,NA())</f>
        <v/>
      </c>
      <c r="E20" s="108">
        <f>IFERROR(Model!I201+0,NA())</f>
        <v/>
      </c>
      <c r="F20" s="108">
        <f>IFERROR(Model!N201+0,NA())</f>
        <v/>
      </c>
      <c r="G20" s="108">
        <f>IFERROR(Model!S201+0,NA())</f>
        <v/>
      </c>
      <c r="H20" s="108">
        <f>IFERROR(Model!X201+0,NA())</f>
        <v/>
      </c>
      <c r="I20" s="108">
        <f>IFERROR(Model!AC201+0,NA())</f>
        <v/>
      </c>
      <c r="J20" s="108">
        <f>IFERROR(Model!AH201+0,NA())</f>
        <v/>
      </c>
      <c r="K20" s="108">
        <f>IFERROR(Model!AI201+0,NA())</f>
        <v/>
      </c>
      <c r="L20" s="108">
        <f>IFERROR(Model!AJ201+0,NA())</f>
        <v/>
      </c>
      <c r="M20" s="108">
        <f>IFERROR(Model!AK201+0,NA())</f>
        <v/>
      </c>
      <c r="N20" s="108">
        <f>IFERROR(Model!AL201+0,NA())</f>
        <v/>
      </c>
      <c r="O20" s="108" t="n"/>
      <c r="P20" s="108" t="n"/>
      <c r="Q20" s="108" t="n"/>
      <c r="R20" s="108" t="n"/>
      <c r="S20" s="108" t="n"/>
      <c r="T20" s="108" t="n"/>
      <c r="U20" s="108" t="n"/>
      <c r="V20" s="108" t="n"/>
    </row>
    <row r="21" ht="15" customHeight="1" s="251">
      <c r="B21" t="inlineStr">
        <is>
          <t>FCF margin %</t>
        </is>
      </c>
      <c r="C21" s="108">
        <f>IFERROR(Model!C235+0,NA())</f>
        <v/>
      </c>
      <c r="D21" s="108">
        <f>IFERROR(Model!D235+0,NA())</f>
        <v/>
      </c>
      <c r="E21" s="108">
        <f>IFERROR(Model!I235+0,NA())</f>
        <v/>
      </c>
      <c r="F21" s="108">
        <f>IFERROR(Model!N235+0,NA())</f>
        <v/>
      </c>
      <c r="G21" s="108">
        <f>IFERROR(Model!S235+0,NA())</f>
        <v/>
      </c>
      <c r="H21" s="108">
        <f>IFERROR(Model!X235+0,NA())</f>
        <v/>
      </c>
      <c r="I21" s="108">
        <f>IFERROR(Model!AC235+0,NA())</f>
        <v/>
      </c>
      <c r="J21" s="108">
        <f>IFERROR(Model!AH235+0,NA())</f>
        <v/>
      </c>
      <c r="K21" s="108">
        <f>IFERROR(Model!AI235+0,NA())</f>
        <v/>
      </c>
      <c r="L21" s="108">
        <f>IFERROR(Model!AJ235+0,NA())</f>
        <v/>
      </c>
      <c r="M21" s="108">
        <f>IFERROR(Model!AK235+0,NA())</f>
        <v/>
      </c>
      <c r="N21" s="108">
        <f>IFERROR(Model!AL235+0,NA())</f>
        <v/>
      </c>
      <c r="O21" s="108" t="n"/>
      <c r="P21" s="108" t="n"/>
      <c r="Q21" s="108" t="n"/>
      <c r="R21" s="108" t="n"/>
      <c r="S21" s="108" t="n"/>
      <c r="T21" s="108" t="n"/>
      <c r="U21" s="108" t="n"/>
      <c r="V21" s="108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2026-10-06T18:17:42Z</dcterms:modified>
  <cp:lastModifiedBy>Payton Liske</cp:lastModifiedBy>
  <cp:revision>3</cp:revision>
</cp:coreProperties>
</file>